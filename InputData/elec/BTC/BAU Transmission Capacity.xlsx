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GA\elec\BTC\"/>
    </mc:Choice>
  </mc:AlternateContent>
  <xr:revisionPtr revIDLastSave="0" documentId="8_{B62BFEA3-DE83-4147-B4EE-8CDCA3DA42C5}" xr6:coauthVersionLast="47" xr6:coauthVersionMax="47" xr10:uidLastSave="{00000000-0000-0000-0000-000000000000}"/>
  <bookViews>
    <workbookView xWindow="1800" yWindow="1800" windowWidth="14400" windowHeight="7290" xr2:uid="{00000000-000D-0000-FFFF-FFFF00000000}"/>
  </bookViews>
  <sheets>
    <sheet name="About" sheetId="1" r:id="rId1"/>
    <sheet name="Data" sheetId="2" r:id="rId2"/>
    <sheet name="IIJA" sheetId="4" r:id="rId3"/>
    <sheet name="BTC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" i="3" l="1"/>
  <c r="D2" i="3"/>
  <c r="E2" i="3"/>
  <c r="F2" i="3"/>
  <c r="G2" i="3"/>
  <c r="H2" i="3"/>
  <c r="I2" i="3"/>
  <c r="J2" i="3"/>
  <c r="K2" i="3"/>
  <c r="L2" i="3"/>
  <c r="M2" i="3"/>
  <c r="N2" i="3"/>
  <c r="O2" i="3"/>
  <c r="P2" i="3"/>
  <c r="Q2" i="3"/>
  <c r="R2" i="3"/>
  <c r="S2" i="3"/>
  <c r="T2" i="3"/>
  <c r="U2" i="3"/>
  <c r="V2" i="3"/>
  <c r="W2" i="3"/>
  <c r="X2" i="3"/>
  <c r="Y2" i="3"/>
  <c r="Z2" i="3"/>
  <c r="AA2" i="3"/>
  <c r="AB2" i="3"/>
  <c r="AC2" i="3"/>
  <c r="AD2" i="3"/>
  <c r="AE2" i="3"/>
  <c r="AF2" i="3"/>
  <c r="B2" i="3"/>
  <c r="A32" i="2"/>
  <c r="B29" i="2"/>
  <c r="B3" i="4" l="1"/>
  <c r="B2" i="4"/>
  <c r="B1" i="4"/>
  <c r="B4" i="4" s="1"/>
  <c r="D10" i="4" s="1"/>
  <c r="B18" i="2"/>
  <c r="B11" i="2"/>
  <c r="B13" i="2" s="1"/>
  <c r="B22" i="2" s="1"/>
  <c r="B12" i="2"/>
  <c r="E10" i="4" l="1"/>
  <c r="F10" i="4" s="1"/>
  <c r="G10" i="4" s="1"/>
  <c r="H10" i="4" s="1"/>
  <c r="I10" i="4" s="1"/>
  <c r="B21" i="2"/>
  <c r="E25" i="2" l="1" a="1"/>
  <c r="E25" i="2" s="1"/>
  <c r="J25" i="2" a="1"/>
  <c r="J25" i="2" s="1"/>
  <c r="O25" i="2" a="1"/>
  <c r="O25" i="2" s="1"/>
  <c r="AG25" i="2" a="1"/>
  <c r="AG25" i="2" s="1"/>
  <c r="F25" i="2" a="1"/>
  <c r="F25" i="2" s="1"/>
  <c r="K25" i="2" a="1"/>
  <c r="K25" i="2" s="1"/>
  <c r="T25" i="2" a="1"/>
  <c r="T25" i="2" s="1"/>
  <c r="J32" i="2" s="1"/>
  <c r="AC25" i="2" a="1"/>
  <c r="AC25" i="2" s="1"/>
  <c r="S32" i="2" s="1"/>
  <c r="AL25" i="2" a="1"/>
  <c r="AL25" i="2" s="1"/>
  <c r="I25" i="2" a="1"/>
  <c r="I25" i="2" s="1"/>
  <c r="R25" i="2" a="1"/>
  <c r="R25" i="2" s="1"/>
  <c r="W25" i="2" a="1"/>
  <c r="W25" i="2" s="1"/>
  <c r="AF25" i="2" a="1"/>
  <c r="AF25" i="2" s="1"/>
  <c r="AO25" i="2" a="1"/>
  <c r="AO25" i="2" s="1"/>
  <c r="AE32" i="2" s="1"/>
  <c r="N25" i="2" a="1"/>
  <c r="N25" i="2" s="1"/>
  <c r="D32" i="2" s="1"/>
  <c r="S25" i="2" a="1"/>
  <c r="S25" i="2" s="1"/>
  <c r="I32" i="2" s="1"/>
  <c r="AB25" i="2" a="1"/>
  <c r="AB25" i="2" s="1"/>
  <c r="AK25" i="2" a="1"/>
  <c r="AK25" i="2" s="1"/>
  <c r="X25" i="2" a="1"/>
  <c r="X25" i="2" s="1"/>
  <c r="A25" i="2" a="1"/>
  <c r="A25" i="2" s="1"/>
  <c r="G25" i="2" a="1"/>
  <c r="G25" i="2" s="1"/>
  <c r="P25" i="2" a="1"/>
  <c r="P25" i="2" s="1"/>
  <c r="F32" i="2" s="1"/>
  <c r="Y25" i="2" a="1"/>
  <c r="Y25" i="2" s="1"/>
  <c r="O32" i="2" s="1"/>
  <c r="AH25" i="2" a="1"/>
  <c r="AH25" i="2" s="1"/>
  <c r="X32" i="2" s="1"/>
  <c r="AM25" i="2" a="1"/>
  <c r="AM25" i="2" s="1"/>
  <c r="U25" i="2" a="1"/>
  <c r="U25" i="2" s="1"/>
  <c r="AD25" i="2" a="1"/>
  <c r="AD25" i="2" s="1"/>
  <c r="AI25" i="2" a="1"/>
  <c r="AI25" i="2" s="1"/>
  <c r="L25" i="2" a="1"/>
  <c r="L25" i="2" s="1"/>
  <c r="B25" i="2" a="1"/>
  <c r="B25" i="2" s="1"/>
  <c r="H25" i="2" a="1"/>
  <c r="H25" i="2" s="1"/>
  <c r="Q25" i="2" a="1"/>
  <c r="Q25" i="2" s="1"/>
  <c r="G32" i="2" s="1"/>
  <c r="Z25" i="2" a="1"/>
  <c r="Z25" i="2" s="1"/>
  <c r="AE25" i="2" a="1"/>
  <c r="AE25" i="2" s="1"/>
  <c r="AN25" i="2" a="1"/>
  <c r="AN25" i="2" s="1"/>
  <c r="C25" i="2" a="1"/>
  <c r="C25" i="2" s="1"/>
  <c r="M25" i="2" a="1"/>
  <c r="M25" i="2" s="1"/>
  <c r="V25" i="2" a="1"/>
  <c r="V25" i="2" s="1"/>
  <c r="L32" i="2" s="1"/>
  <c r="AA25" i="2" a="1"/>
  <c r="AA25" i="2" s="1"/>
  <c r="Q32" i="2" s="1"/>
  <c r="AJ25" i="2" a="1"/>
  <c r="AJ25" i="2" s="1"/>
  <c r="Z32" i="2" s="1"/>
  <c r="D25" i="2" a="1"/>
  <c r="D25" i="2" s="1"/>
  <c r="J10" i="4"/>
  <c r="C32" i="2" l="1"/>
  <c r="B32" i="2"/>
  <c r="V32" i="2"/>
  <c r="Y32" i="2"/>
  <c r="M32" i="2"/>
  <c r="W32" i="2"/>
  <c r="AD32" i="2"/>
  <c r="T32" i="2"/>
  <c r="N32" i="2"/>
  <c r="H32" i="2"/>
  <c r="E32" i="2"/>
  <c r="U32" i="2"/>
  <c r="K32" i="2"/>
  <c r="AA32" i="2"/>
  <c r="P32" i="2"/>
  <c r="AC32" i="2"/>
  <c r="R32" i="2"/>
  <c r="AB32" i="2"/>
  <c r="K10" i="4"/>
  <c r="L10" i="4" l="1"/>
  <c r="O10" i="4" l="1"/>
  <c r="W10" i="4"/>
  <c r="AE10" i="4"/>
  <c r="AC10" i="4"/>
  <c r="V10" i="4"/>
  <c r="P10" i="4"/>
  <c r="X10" i="4"/>
  <c r="AF10" i="4"/>
  <c r="Z10" i="4"/>
  <c r="AA10" i="4"/>
  <c r="N10" i="4"/>
  <c r="Q10" i="4"/>
  <c r="Y10" i="4"/>
  <c r="M10" i="4"/>
  <c r="R10" i="4"/>
  <c r="S10" i="4"/>
  <c r="T10" i="4"/>
  <c r="AB10" i="4"/>
  <c r="U10" i="4"/>
  <c r="AD10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<sst xmlns="http://schemas.openxmlformats.org/spreadsheetml/2006/main" count="44" uniqueCount="40">
  <si>
    <t>BTC BAU Transmission Capacity</t>
  </si>
  <si>
    <t>Source:</t>
  </si>
  <si>
    <t>National Renewable Energy Laboratory</t>
  </si>
  <si>
    <t>Renewable Energy Futures Study: Volume 1</t>
  </si>
  <si>
    <t>http://www.nrel.gov/docs/fy12osti/52409-1.pdf</t>
  </si>
  <si>
    <t>Page 3-14, Figure 3-8</t>
  </si>
  <si>
    <t>BAU transmission capacity in 2010 is given in the figure caption as</t>
  </si>
  <si>
    <t>150-200 million MW*miles.  The graph shows the additional quantity</t>
  </si>
  <si>
    <t>of transmission being built in the "baseline" scenario, which extends</t>
  </si>
  <si>
    <t>to 2050 in the RE Futures Report.  We assume the growth is linear</t>
  </si>
  <si>
    <t>2010 Transmission (high estimate):</t>
  </si>
  <si>
    <t>2010 Transmission (low estimate):</t>
  </si>
  <si>
    <t>2010 Transmission:</t>
  </si>
  <si>
    <t>Pixels per 50 million MW*miles:</t>
  </si>
  <si>
    <t>Pixel height of new transmission:</t>
  </si>
  <si>
    <t>BAU New Transmission</t>
  </si>
  <si>
    <t>pixels</t>
  </si>
  <si>
    <t>MW*miles</t>
  </si>
  <si>
    <t>New transmission quantity in 2050</t>
  </si>
  <si>
    <t>we must estimate by measuring pixels on the graph.</t>
  </si>
  <si>
    <t>Unfortunately, data are only available as a graph (not in numbers), so</t>
  </si>
  <si>
    <t>and interpolate.</t>
  </si>
  <si>
    <t>Scaling</t>
  </si>
  <si>
    <t>Transmission Projects Ready to Go: Plugging Into America's Untapped Renewable Resources</t>
  </si>
  <si>
    <t>Americans for a Clean Energy Grid and Grid Strategies</t>
  </si>
  <si>
    <t>Page 4</t>
  </si>
  <si>
    <t>Number of MW-miles proposed</t>
  </si>
  <si>
    <t>Proposed investment</t>
  </si>
  <si>
    <t>IIJA Funding</t>
  </si>
  <si>
    <t>Number of MW-miles installed through 2030*</t>
  </si>
  <si>
    <t>*assume funding is available through 2026, but due to the long nature of transmission projects,</t>
  </si>
  <si>
    <t>some lines may come online after 2026</t>
  </si>
  <si>
    <t>additional capacity (MW-miles)</t>
  </si>
  <si>
    <t>Transmission Growth</t>
  </si>
  <si>
    <t>Indexed to 2020</t>
  </si>
  <si>
    <t>2021 Transmission Value</t>
  </si>
  <si>
    <t>https://cleanenergygrid.org/wp-content/uploads/2019/04/Transmission-Projects-Ready-to-Go-Final.pdf</t>
  </si>
  <si>
    <t>Current Value and Infrastructure Investment and Jobs Act Effects</t>
  </si>
  <si>
    <t>BAU Transmission Capacity (MW-miles)</t>
  </si>
  <si>
    <t>Georgia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</si>
</sst>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E+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9" fontId="3" fillId="0" borderId="0" applyFon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11" fontId="0" fillId="0" borderId="0" xfId="0" applyNumberFormat="1"/>
    <xf numFmtId="164" fontId="0" fillId="0" borderId="0" xfId="0" applyNumberFormat="1"/>
    <xf numFmtId="0" fontId="1" fillId="2" borderId="0" xfId="0" applyFont="1" applyFill="1"/>
    <xf numFmtId="0" fontId="0" fillId="0" borderId="0" xfId="0" applyAlignment="1">
      <alignment wrapText="1"/>
    </xf>
    <xf numFmtId="0" fontId="0" fillId="0" borderId="0" xfId="0" applyAlignment="1">
      <alignment horizontal="left" wrapText="1"/>
    </xf>
    <xf numFmtId="0" fontId="2" fillId="0" borderId="0" xfId="1" applyAlignment="1">
      <alignment wrapText="1"/>
    </xf>
    <xf numFmtId="0" fontId="1" fillId="2" borderId="0" xfId="0" applyFont="1" applyFill="1" applyAlignment="1">
      <alignment wrapText="1"/>
    </xf>
    <xf numFmtId="9" fontId="0" fillId="0" borderId="0" xfId="2" applyFont="1"/>
    <xf numFmtId="14" fontId="0" fillId="0" borderId="0" xfId="0" applyNumberFormat="1"/>
  </cellXfs>
  <cellStyles count="3">
    <cellStyle name="Hyperlink" xfId="1" builtinId="8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302260</xdr:colOff>
      <xdr:row>1</xdr:row>
      <xdr:rowOff>102235</xdr:rowOff>
    </xdr:from>
    <xdr:to>
      <xdr:col>8</xdr:col>
      <xdr:colOff>192607</xdr:colOff>
      <xdr:row>21</xdr:row>
      <xdr:rowOff>67624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98060" y="102235"/>
          <a:ext cx="2328747" cy="358488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nrel.gov/docs/fy12osti/52409-1.pdf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tabSelected="1" workbookViewId="0">
      <selection activeCell="B8" sqref="B8"/>
    </sheetView>
  </sheetViews>
  <sheetFormatPr defaultRowHeight="14.75" x14ac:dyDescent="0.75"/>
  <cols>
    <col min="2" max="2" width="42.54296875" customWidth="1"/>
  </cols>
  <sheetData>
    <row r="1" spans="1:3" x14ac:dyDescent="0.75">
      <c r="A1" s="1" t="s">
        <v>0</v>
      </c>
      <c r="B1" t="s">
        <v>39</v>
      </c>
      <c r="C1" s="10">
        <v>45237</v>
      </c>
    </row>
    <row r="3" spans="1:3" x14ac:dyDescent="0.75">
      <c r="A3" s="1" t="s">
        <v>1</v>
      </c>
      <c r="B3" s="4" t="s">
        <v>37</v>
      </c>
    </row>
    <row r="4" spans="1:3" ht="29.5" x14ac:dyDescent="0.75">
      <c r="B4" s="5" t="s">
        <v>24</v>
      </c>
    </row>
    <row r="5" spans="1:3" x14ac:dyDescent="0.75">
      <c r="B5" s="6">
        <v>2021</v>
      </c>
    </row>
    <row r="6" spans="1:3" ht="29.5" x14ac:dyDescent="0.75">
      <c r="B6" s="5" t="s">
        <v>23</v>
      </c>
    </row>
    <row r="7" spans="1:3" ht="44.25" x14ac:dyDescent="0.75">
      <c r="B7" s="7" t="s">
        <v>36</v>
      </c>
    </row>
    <row r="8" spans="1:3" x14ac:dyDescent="0.75">
      <c r="B8" s="5" t="s">
        <v>25</v>
      </c>
    </row>
    <row r="9" spans="1:3" x14ac:dyDescent="0.75">
      <c r="B9" s="5"/>
    </row>
    <row r="10" spans="1:3" x14ac:dyDescent="0.75">
      <c r="B10" s="8" t="s">
        <v>22</v>
      </c>
    </row>
    <row r="11" spans="1:3" x14ac:dyDescent="0.75">
      <c r="B11" s="5" t="s">
        <v>2</v>
      </c>
    </row>
    <row r="12" spans="1:3" x14ac:dyDescent="0.75">
      <c r="B12" s="6">
        <v>2012</v>
      </c>
    </row>
    <row r="13" spans="1:3" x14ac:dyDescent="0.75">
      <c r="B13" s="5" t="s">
        <v>3</v>
      </c>
    </row>
    <row r="14" spans="1:3" x14ac:dyDescent="0.75">
      <c r="B14" s="7" t="s">
        <v>4</v>
      </c>
    </row>
    <row r="15" spans="1:3" x14ac:dyDescent="0.75">
      <c r="B15" s="5" t="s">
        <v>5</v>
      </c>
    </row>
    <row r="16" spans="1:3" x14ac:dyDescent="0.75">
      <c r="B16" s="5"/>
    </row>
  </sheetData>
  <hyperlinks>
    <hyperlink ref="B14" r:id="rId1" xr:uid="{FF197175-E7A8-4C69-9B18-B36AE5DAEF78}"/>
  </hyperlinks>
  <pageMargins left="0.7" right="0.7" top="0.75" bottom="0.75" header="0.3" footer="0.3"/>
  <pageSetup orientation="portrait" horizontalDpi="1200" verticalDpi="12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O36"/>
  <sheetViews>
    <sheetView topLeftCell="A14" workbookViewId="0">
      <selection activeCell="A33" sqref="A33"/>
    </sheetView>
  </sheetViews>
  <sheetFormatPr defaultRowHeight="14.75" x14ac:dyDescent="0.75"/>
  <cols>
    <col min="1" max="1" width="36.453125" customWidth="1"/>
    <col min="2" max="2" width="10.453125" bestFit="1" customWidth="1"/>
  </cols>
  <sheetData>
    <row r="1" spans="1:3" x14ac:dyDescent="0.75">
      <c r="A1" s="1" t="s">
        <v>33</v>
      </c>
    </row>
    <row r="2" spans="1:3" x14ac:dyDescent="0.75">
      <c r="A2" t="s">
        <v>6</v>
      </c>
    </row>
    <row r="3" spans="1:3" x14ac:dyDescent="0.75">
      <c r="A3" t="s">
        <v>7</v>
      </c>
    </row>
    <row r="4" spans="1:3" x14ac:dyDescent="0.75">
      <c r="A4" t="s">
        <v>8</v>
      </c>
    </row>
    <row r="5" spans="1:3" x14ac:dyDescent="0.75">
      <c r="A5" t="s">
        <v>9</v>
      </c>
    </row>
    <row r="6" spans="1:3" x14ac:dyDescent="0.75">
      <c r="A6" t="s">
        <v>21</v>
      </c>
    </row>
    <row r="8" spans="1:3" x14ac:dyDescent="0.75">
      <c r="A8" t="s">
        <v>20</v>
      </c>
    </row>
    <row r="9" spans="1:3" x14ac:dyDescent="0.75">
      <c r="A9" t="s">
        <v>19</v>
      </c>
    </row>
    <row r="11" spans="1:3" x14ac:dyDescent="0.75">
      <c r="A11" t="s">
        <v>11</v>
      </c>
      <c r="B11" s="2">
        <f>150*10^6</f>
        <v>150000000</v>
      </c>
      <c r="C11" t="s">
        <v>17</v>
      </c>
    </row>
    <row r="12" spans="1:3" x14ac:dyDescent="0.75">
      <c r="A12" t="s">
        <v>10</v>
      </c>
      <c r="B12" s="2">
        <f>200*10^6</f>
        <v>200000000</v>
      </c>
      <c r="C12" t="s">
        <v>17</v>
      </c>
    </row>
    <row r="13" spans="1:3" x14ac:dyDescent="0.75">
      <c r="A13" t="s">
        <v>12</v>
      </c>
      <c r="B13" s="2">
        <f>AVERAGE(B11:B12)</f>
        <v>175000000</v>
      </c>
      <c r="C13" t="s">
        <v>17</v>
      </c>
    </row>
    <row r="15" spans="1:3" x14ac:dyDescent="0.75">
      <c r="A15" t="s">
        <v>15</v>
      </c>
    </row>
    <row r="16" spans="1:3" x14ac:dyDescent="0.75">
      <c r="A16" t="s">
        <v>13</v>
      </c>
      <c r="B16">
        <v>141</v>
      </c>
      <c r="C16" t="s">
        <v>16</v>
      </c>
    </row>
    <row r="17" spans="1:41" x14ac:dyDescent="0.75">
      <c r="A17" t="s">
        <v>14</v>
      </c>
      <c r="B17">
        <v>15</v>
      </c>
      <c r="C17" t="s">
        <v>16</v>
      </c>
    </row>
    <row r="18" spans="1:41" x14ac:dyDescent="0.75">
      <c r="A18" t="s">
        <v>18</v>
      </c>
      <c r="B18" s="2">
        <f>B17/B16*50*10^6</f>
        <v>5319148.9361702129</v>
      </c>
      <c r="C18" t="s">
        <v>17</v>
      </c>
    </row>
    <row r="21" spans="1:41" x14ac:dyDescent="0.75">
      <c r="A21">
        <v>2010</v>
      </c>
      <c r="B21" s="2">
        <f>B13</f>
        <v>175000000</v>
      </c>
    </row>
    <row r="22" spans="1:41" x14ac:dyDescent="0.75">
      <c r="A22">
        <v>2050</v>
      </c>
      <c r="B22" s="2">
        <f>B13+B18</f>
        <v>180319148.93617022</v>
      </c>
    </row>
    <row r="24" spans="1:41" x14ac:dyDescent="0.75">
      <c r="A24">
        <v>2010</v>
      </c>
      <c r="B24">
        <v>2011</v>
      </c>
      <c r="C24">
        <v>2012</v>
      </c>
      <c r="D24">
        <v>2013</v>
      </c>
      <c r="E24">
        <v>2014</v>
      </c>
      <c r="F24">
        <v>2015</v>
      </c>
      <c r="G24">
        <v>2016</v>
      </c>
      <c r="H24">
        <v>2017</v>
      </c>
      <c r="I24">
        <v>2018</v>
      </c>
      <c r="J24">
        <v>2019</v>
      </c>
      <c r="K24">
        <v>2020</v>
      </c>
      <c r="L24">
        <v>2021</v>
      </c>
      <c r="M24">
        <v>2022</v>
      </c>
      <c r="N24">
        <v>2023</v>
      </c>
      <c r="O24">
        <v>2024</v>
      </c>
      <c r="P24">
        <v>2025</v>
      </c>
      <c r="Q24">
        <v>2026</v>
      </c>
      <c r="R24">
        <v>2027</v>
      </c>
      <c r="S24">
        <v>2028</v>
      </c>
      <c r="T24">
        <v>2029</v>
      </c>
      <c r="U24">
        <v>2030</v>
      </c>
      <c r="V24">
        <v>2031</v>
      </c>
      <c r="W24">
        <v>2032</v>
      </c>
      <c r="X24">
        <v>2033</v>
      </c>
      <c r="Y24">
        <v>2034</v>
      </c>
      <c r="Z24">
        <v>2035</v>
      </c>
      <c r="AA24">
        <v>2036</v>
      </c>
      <c r="AB24">
        <v>2037</v>
      </c>
      <c r="AC24">
        <v>2038</v>
      </c>
      <c r="AD24">
        <v>2039</v>
      </c>
      <c r="AE24">
        <v>2040</v>
      </c>
      <c r="AF24">
        <v>2041</v>
      </c>
      <c r="AG24">
        <v>2042</v>
      </c>
      <c r="AH24">
        <v>2043</v>
      </c>
      <c r="AI24">
        <v>2044</v>
      </c>
      <c r="AJ24">
        <v>2045</v>
      </c>
      <c r="AK24">
        <v>2046</v>
      </c>
      <c r="AL24">
        <v>2047</v>
      </c>
      <c r="AM24">
        <v>2048</v>
      </c>
      <c r="AN24">
        <v>2049</v>
      </c>
      <c r="AO24">
        <v>2050</v>
      </c>
    </row>
    <row r="25" spans="1:41" x14ac:dyDescent="0.75">
      <c r="A25" s="2" cm="1">
        <f t="array" ref="A25">TREND($B$21:$B$22,$A$21:$A$22,A24)</f>
        <v>175000000</v>
      </c>
      <c r="B25" s="2" cm="1">
        <f t="array" ref="B25">TREND($B$21:$B$22,$A$21:$A$22,B24)</f>
        <v>175132978.72340426</v>
      </c>
      <c r="C25" s="2" cm="1">
        <f t="array" ref="C25">TREND($B$21:$B$22,$A$21:$A$22,C24)</f>
        <v>175265957.44680852</v>
      </c>
      <c r="D25" s="2" cm="1">
        <f t="array" ref="D25">TREND($B$21:$B$22,$A$21:$A$22,D24)</f>
        <v>175398936.17021278</v>
      </c>
      <c r="E25" s="2" cm="1">
        <f t="array" ref="E25">TREND($B$21:$B$22,$A$21:$A$22,E24)</f>
        <v>175531914.893617</v>
      </c>
      <c r="F25" s="2" cm="1">
        <f t="array" ref="F25">TREND($B$21:$B$22,$A$21:$A$22,F24)</f>
        <v>175664893.61702126</v>
      </c>
      <c r="G25" s="2" cm="1">
        <f t="array" ref="G25">TREND($B$21:$B$22,$A$21:$A$22,G24)</f>
        <v>175797872.34042552</v>
      </c>
      <c r="H25" s="2" cm="1">
        <f t="array" ref="H25">TREND($B$21:$B$22,$A$21:$A$22,H24)</f>
        <v>175930851.06382978</v>
      </c>
      <c r="I25" s="2" cm="1">
        <f t="array" ref="I25">TREND($B$21:$B$22,$A$21:$A$22,I24)</f>
        <v>176063829.78723404</v>
      </c>
      <c r="J25" s="2" cm="1">
        <f t="array" ref="J25">TREND($B$21:$B$22,$A$21:$A$22,J24)</f>
        <v>176196808.5106383</v>
      </c>
      <c r="K25" s="2" cm="1">
        <f t="array" ref="K25">TREND($B$21:$B$22,$A$21:$A$22,K24)</f>
        <v>176329787.23404253</v>
      </c>
      <c r="L25" s="2" cm="1">
        <f t="array" ref="L25">TREND($B$21:$B$22,$A$21:$A$22,L24)</f>
        <v>176462765.95744681</v>
      </c>
      <c r="M25" s="2" cm="1">
        <f t="array" ref="M25">TREND($B$21:$B$22,$A$21:$A$22,M24)</f>
        <v>176595744.68085104</v>
      </c>
      <c r="N25" s="2" cm="1">
        <f t="array" ref="N25">TREND($B$21:$B$22,$A$21:$A$22,N24)</f>
        <v>176728723.40425533</v>
      </c>
      <c r="O25" s="2" cm="1">
        <f t="array" ref="O25">TREND($B$21:$B$22,$A$21:$A$22,O24)</f>
        <v>176861702.12765956</v>
      </c>
      <c r="P25" s="2" cm="1">
        <f t="array" ref="P25">TREND($B$21:$B$22,$A$21:$A$22,P24)</f>
        <v>176994680.85106385</v>
      </c>
      <c r="Q25" s="2" cm="1">
        <f t="array" ref="Q25">TREND($B$21:$B$22,$A$21:$A$22,Q24)</f>
        <v>177127659.57446808</v>
      </c>
      <c r="R25" s="2" cm="1">
        <f t="array" ref="R25">TREND($B$21:$B$22,$A$21:$A$22,R24)</f>
        <v>177260638.29787236</v>
      </c>
      <c r="S25" s="2" cm="1">
        <f t="array" ref="S25">TREND($B$21:$B$22,$A$21:$A$22,S24)</f>
        <v>177393617.02127659</v>
      </c>
      <c r="T25" s="2" cm="1">
        <f t="array" ref="T25">TREND($B$21:$B$22,$A$21:$A$22,T24)</f>
        <v>177526595.74468082</v>
      </c>
      <c r="U25" s="2" cm="1">
        <f t="array" ref="U25">TREND($B$21:$B$22,$A$21:$A$22,U24)</f>
        <v>177659574.46808511</v>
      </c>
      <c r="V25" s="2" cm="1">
        <f t="array" ref="V25">TREND($B$21:$B$22,$A$21:$A$22,V24)</f>
        <v>177792553.19148934</v>
      </c>
      <c r="W25" s="2" cm="1">
        <f t="array" ref="W25">TREND($B$21:$B$22,$A$21:$A$22,W24)</f>
        <v>177925531.91489363</v>
      </c>
      <c r="X25" s="2" cm="1">
        <f t="array" ref="X25">TREND($B$21:$B$22,$A$21:$A$22,X24)</f>
        <v>178058510.63829786</v>
      </c>
      <c r="Y25" s="2" cm="1">
        <f t="array" ref="Y25">TREND($B$21:$B$22,$A$21:$A$22,Y24)</f>
        <v>178191489.36170214</v>
      </c>
      <c r="Z25" s="2" cm="1">
        <f t="array" ref="Z25">TREND($B$21:$B$22,$A$21:$A$22,Z24)</f>
        <v>178324468.08510637</v>
      </c>
      <c r="AA25" s="2" cm="1">
        <f t="array" ref="AA25">TREND($B$21:$B$22,$A$21:$A$22,AA24)</f>
        <v>178457446.80851066</v>
      </c>
      <c r="AB25" s="2" cm="1">
        <f t="array" ref="AB25">TREND($B$21:$B$22,$A$21:$A$22,AB24)</f>
        <v>178590425.53191489</v>
      </c>
      <c r="AC25" s="2" cm="1">
        <f t="array" ref="AC25">TREND($B$21:$B$22,$A$21:$A$22,AC24)</f>
        <v>178723404.25531918</v>
      </c>
      <c r="AD25" s="2" cm="1">
        <f t="array" ref="AD25">TREND($B$21:$B$22,$A$21:$A$22,AD24)</f>
        <v>178856382.97872341</v>
      </c>
      <c r="AE25" s="2" cm="1">
        <f t="array" ref="AE25">TREND($B$21:$B$22,$A$21:$A$22,AE24)</f>
        <v>178989361.70212764</v>
      </c>
      <c r="AF25" s="2" cm="1">
        <f t="array" ref="AF25">TREND($B$21:$B$22,$A$21:$A$22,AF24)</f>
        <v>179122340.42553192</v>
      </c>
      <c r="AG25" s="2" cm="1">
        <f t="array" ref="AG25">TREND($B$21:$B$22,$A$21:$A$22,AG24)</f>
        <v>179255319.14893615</v>
      </c>
      <c r="AH25" s="2" cm="1">
        <f t="array" ref="AH25">TREND($B$21:$B$22,$A$21:$A$22,AH24)</f>
        <v>179388297.87234044</v>
      </c>
      <c r="AI25" s="2" cm="1">
        <f t="array" ref="AI25">TREND($B$21:$B$22,$A$21:$A$22,AI24)</f>
        <v>179521276.59574467</v>
      </c>
      <c r="AJ25" s="2" cm="1">
        <f t="array" ref="AJ25">TREND($B$21:$B$22,$A$21:$A$22,AJ24)</f>
        <v>179654255.31914896</v>
      </c>
      <c r="AK25" s="2" cm="1">
        <f t="array" ref="AK25">TREND($B$21:$B$22,$A$21:$A$22,AK24)</f>
        <v>179787234.04255319</v>
      </c>
      <c r="AL25" s="2" cm="1">
        <f t="array" ref="AL25">TREND($B$21:$B$22,$A$21:$A$22,AL24)</f>
        <v>179920212.76595747</v>
      </c>
      <c r="AM25" s="2" cm="1">
        <f t="array" ref="AM25">TREND($B$21:$B$22,$A$21:$A$22,AM24)</f>
        <v>180053191.4893617</v>
      </c>
      <c r="AN25" s="2" cm="1">
        <f t="array" ref="AN25">TREND($B$21:$B$22,$A$21:$A$22,AN24)</f>
        <v>180186170.21276593</v>
      </c>
      <c r="AO25" s="2" cm="1">
        <f t="array" ref="AO25">TREND($B$21:$B$22,$A$21:$A$22,AO24)</f>
        <v>180319148.93617022</v>
      </c>
    </row>
    <row r="27" spans="1:41" x14ac:dyDescent="0.75">
      <c r="A27" t="s">
        <v>34</v>
      </c>
    </row>
    <row r="29" spans="1:41" x14ac:dyDescent="0.75">
      <c r="A29" t="s">
        <v>35</v>
      </c>
      <c r="B29">
        <f>150*10^6</f>
        <v>150000000</v>
      </c>
    </row>
    <row r="31" spans="1:41" x14ac:dyDescent="0.75">
      <c r="A31">
        <v>2020</v>
      </c>
      <c r="B31">
        <v>2021</v>
      </c>
      <c r="C31">
        <v>2022</v>
      </c>
      <c r="D31">
        <v>2023</v>
      </c>
      <c r="E31">
        <v>2024</v>
      </c>
      <c r="F31">
        <v>2025</v>
      </c>
      <c r="G31">
        <v>2026</v>
      </c>
      <c r="H31">
        <v>2027</v>
      </c>
      <c r="I31">
        <v>2028</v>
      </c>
      <c r="J31">
        <v>2029</v>
      </c>
      <c r="K31">
        <v>2030</v>
      </c>
      <c r="L31">
        <v>2031</v>
      </c>
      <c r="M31">
        <v>2032</v>
      </c>
      <c r="N31">
        <v>2033</v>
      </c>
      <c r="O31">
        <v>2034</v>
      </c>
      <c r="P31">
        <v>2035</v>
      </c>
      <c r="Q31">
        <v>2036</v>
      </c>
      <c r="R31">
        <v>2037</v>
      </c>
      <c r="S31">
        <v>2038</v>
      </c>
      <c r="T31">
        <v>2039</v>
      </c>
      <c r="U31">
        <v>2040</v>
      </c>
      <c r="V31">
        <v>2041</v>
      </c>
      <c r="W31">
        <v>2042</v>
      </c>
      <c r="X31">
        <v>2043</v>
      </c>
      <c r="Y31">
        <v>2044</v>
      </c>
      <c r="Z31">
        <v>2045</v>
      </c>
      <c r="AA31">
        <v>2046</v>
      </c>
      <c r="AB31">
        <v>2047</v>
      </c>
      <c r="AC31">
        <v>2048</v>
      </c>
      <c r="AD31">
        <v>2049</v>
      </c>
      <c r="AE31">
        <v>2050</v>
      </c>
    </row>
    <row r="32" spans="1:41" x14ac:dyDescent="0.75">
      <c r="A32" s="2">
        <f>B29</f>
        <v>150000000</v>
      </c>
      <c r="B32" s="2">
        <f>$A$32*L25/$K$25</f>
        <v>150113122.17194575</v>
      </c>
      <c r="C32" s="2">
        <f t="shared" ref="C32:AE32" si="0">$A$32*M25/$K$25</f>
        <v>150226244.34389141</v>
      </c>
      <c r="D32" s="2">
        <f t="shared" si="0"/>
        <v>150339366.51583713</v>
      </c>
      <c r="E32" s="2">
        <f t="shared" si="0"/>
        <v>150452488.68778279</v>
      </c>
      <c r="F32" s="2">
        <f t="shared" si="0"/>
        <v>150565610.85972854</v>
      </c>
      <c r="G32" s="2">
        <f t="shared" si="0"/>
        <v>150678733.03167424</v>
      </c>
      <c r="H32" s="2">
        <f t="shared" si="0"/>
        <v>150791855.20361996</v>
      </c>
      <c r="I32" s="2">
        <f t="shared" si="0"/>
        <v>150904977.37556562</v>
      </c>
      <c r="J32" s="2">
        <f t="shared" si="0"/>
        <v>151018099.54751131</v>
      </c>
      <c r="K32" s="2">
        <f t="shared" si="0"/>
        <v>151131221.71945706</v>
      </c>
      <c r="L32" s="2">
        <f t="shared" si="0"/>
        <v>151244343.89140272</v>
      </c>
      <c r="M32" s="2">
        <f t="shared" si="0"/>
        <v>151357466.06334844</v>
      </c>
      <c r="N32" s="2">
        <f t="shared" si="0"/>
        <v>151470588.23529413</v>
      </c>
      <c r="O32" s="2">
        <f t="shared" si="0"/>
        <v>151583710.40723985</v>
      </c>
      <c r="P32" s="2">
        <f t="shared" si="0"/>
        <v>151696832.57918555</v>
      </c>
      <c r="Q32" s="2">
        <f t="shared" si="0"/>
        <v>151809954.75113127</v>
      </c>
      <c r="R32" s="2">
        <f t="shared" si="0"/>
        <v>151923076.92307693</v>
      </c>
      <c r="S32" s="2">
        <f t="shared" si="0"/>
        <v>152036199.09502268</v>
      </c>
      <c r="T32" s="2">
        <f t="shared" si="0"/>
        <v>152149321.26696837</v>
      </c>
      <c r="U32" s="2">
        <f t="shared" si="0"/>
        <v>152262443.43891403</v>
      </c>
      <c r="V32" s="2">
        <f t="shared" si="0"/>
        <v>152375565.61085975</v>
      </c>
      <c r="W32" s="2">
        <f t="shared" si="0"/>
        <v>152488687.78280544</v>
      </c>
      <c r="X32" s="2">
        <f t="shared" si="0"/>
        <v>152601809.95475119</v>
      </c>
      <c r="Y32" s="2">
        <f t="shared" si="0"/>
        <v>152714932.12669685</v>
      </c>
      <c r="Z32" s="2">
        <f t="shared" si="0"/>
        <v>152828054.29864258</v>
      </c>
      <c r="AA32" s="2">
        <f t="shared" si="0"/>
        <v>152941176.47058824</v>
      </c>
      <c r="AB32" s="2">
        <f t="shared" si="0"/>
        <v>153054298.64253399</v>
      </c>
      <c r="AC32" s="2">
        <f t="shared" si="0"/>
        <v>153167420.81447968</v>
      </c>
      <c r="AD32" s="2">
        <f t="shared" si="0"/>
        <v>153280542.98642534</v>
      </c>
      <c r="AE32" s="2">
        <f t="shared" si="0"/>
        <v>153393665.15837106</v>
      </c>
    </row>
    <row r="34" spans="11:21" x14ac:dyDescent="0.75">
      <c r="U34" s="2"/>
    </row>
    <row r="36" spans="11:21" x14ac:dyDescent="0.75">
      <c r="K36" s="9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8E9EE-75BB-4C67-BE26-F56AE2DF869D}">
  <dimension ref="A1:AF13"/>
  <sheetViews>
    <sheetView workbookViewId="0">
      <selection activeCell="D10" sqref="D10"/>
    </sheetView>
  </sheetViews>
  <sheetFormatPr defaultRowHeight="14.75" x14ac:dyDescent="0.75"/>
  <cols>
    <col min="1" max="1" width="31.453125" customWidth="1"/>
    <col min="2" max="2" width="12" bestFit="1" customWidth="1"/>
  </cols>
  <sheetData>
    <row r="1" spans="1:32" x14ac:dyDescent="0.75">
      <c r="A1" t="s">
        <v>26</v>
      </c>
      <c r="B1">
        <f>17*10^6</f>
        <v>17000000</v>
      </c>
    </row>
    <row r="2" spans="1:32" x14ac:dyDescent="0.75">
      <c r="A2" t="s">
        <v>27</v>
      </c>
      <c r="B2">
        <f>33*10^9</f>
        <v>33000000000</v>
      </c>
    </row>
    <row r="3" spans="1:32" x14ac:dyDescent="0.75">
      <c r="A3" t="s">
        <v>28</v>
      </c>
      <c r="B3">
        <f>500000000*5</f>
        <v>2500000000</v>
      </c>
    </row>
    <row r="4" spans="1:32" ht="29.5" x14ac:dyDescent="0.75">
      <c r="A4" s="5" t="s">
        <v>29</v>
      </c>
      <c r="B4" s="2">
        <f>B1/B2*B3</f>
        <v>1287878.7878787878</v>
      </c>
      <c r="D4" s="9"/>
    </row>
    <row r="6" spans="1:32" x14ac:dyDescent="0.75">
      <c r="A6" t="s">
        <v>30</v>
      </c>
    </row>
    <row r="7" spans="1:32" x14ac:dyDescent="0.75">
      <c r="A7" t="s">
        <v>31</v>
      </c>
    </row>
    <row r="9" spans="1:32" x14ac:dyDescent="0.75">
      <c r="B9">
        <v>2020</v>
      </c>
      <c r="C9">
        <v>2021</v>
      </c>
      <c r="D9">
        <v>2022</v>
      </c>
      <c r="E9">
        <v>2023</v>
      </c>
      <c r="F9">
        <v>2024</v>
      </c>
      <c r="G9">
        <v>2025</v>
      </c>
      <c r="H9">
        <v>2026</v>
      </c>
      <c r="I9">
        <v>2027</v>
      </c>
      <c r="J9">
        <v>2028</v>
      </c>
      <c r="K9">
        <v>2029</v>
      </c>
      <c r="L9">
        <v>2030</v>
      </c>
      <c r="M9">
        <v>2031</v>
      </c>
      <c r="N9">
        <v>2032</v>
      </c>
      <c r="O9">
        <v>2033</v>
      </c>
      <c r="P9">
        <v>2034</v>
      </c>
      <c r="Q9">
        <v>2035</v>
      </c>
      <c r="R9">
        <v>2036</v>
      </c>
      <c r="S9">
        <v>2037</v>
      </c>
      <c r="T9">
        <v>2038</v>
      </c>
      <c r="U9">
        <v>2039</v>
      </c>
      <c r="V9">
        <v>2040</v>
      </c>
      <c r="W9">
        <v>2041</v>
      </c>
      <c r="X9">
        <v>2042</v>
      </c>
      <c r="Y9">
        <v>2043</v>
      </c>
      <c r="Z9">
        <v>2044</v>
      </c>
      <c r="AA9">
        <v>2045</v>
      </c>
      <c r="AB9">
        <v>2046</v>
      </c>
      <c r="AC9">
        <v>2047</v>
      </c>
      <c r="AD9">
        <v>2048</v>
      </c>
      <c r="AE9">
        <v>2049</v>
      </c>
      <c r="AF9">
        <v>2050</v>
      </c>
    </row>
    <row r="10" spans="1:32" x14ac:dyDescent="0.75">
      <c r="A10" t="s">
        <v>32</v>
      </c>
      <c r="B10">
        <v>0</v>
      </c>
      <c r="C10">
        <v>0</v>
      </c>
      <c r="D10" s="2">
        <f>$B$4/9</f>
        <v>143097.6430976431</v>
      </c>
      <c r="E10" s="2">
        <f>$B$4/9+D10</f>
        <v>286195.2861952862</v>
      </c>
      <c r="F10" s="2">
        <f t="shared" ref="F10:L10" si="0">$B$4/9+E10</f>
        <v>429292.9292929293</v>
      </c>
      <c r="G10" s="2">
        <f t="shared" si="0"/>
        <v>572390.5723905724</v>
      </c>
      <c r="H10" s="2">
        <f t="shared" si="0"/>
        <v>715488.21548821544</v>
      </c>
      <c r="I10" s="2">
        <f t="shared" si="0"/>
        <v>858585.85858585848</v>
      </c>
      <c r="J10" s="2">
        <f t="shared" si="0"/>
        <v>1001683.5016835015</v>
      </c>
      <c r="K10" s="2">
        <f t="shared" si="0"/>
        <v>1144781.1447811446</v>
      </c>
      <c r="L10" s="2">
        <f t="shared" si="0"/>
        <v>1287878.7878787876</v>
      </c>
      <c r="M10" s="2">
        <f>$L$10</f>
        <v>1287878.7878787876</v>
      </c>
      <c r="N10" s="2">
        <f t="shared" ref="N10:AF10" si="1">$L$10</f>
        <v>1287878.7878787876</v>
      </c>
      <c r="O10" s="2">
        <f t="shared" si="1"/>
        <v>1287878.7878787876</v>
      </c>
      <c r="P10" s="2">
        <f t="shared" si="1"/>
        <v>1287878.7878787876</v>
      </c>
      <c r="Q10" s="2">
        <f t="shared" si="1"/>
        <v>1287878.7878787876</v>
      </c>
      <c r="R10" s="2">
        <f t="shared" si="1"/>
        <v>1287878.7878787876</v>
      </c>
      <c r="S10" s="2">
        <f t="shared" si="1"/>
        <v>1287878.7878787876</v>
      </c>
      <c r="T10" s="2">
        <f t="shared" si="1"/>
        <v>1287878.7878787876</v>
      </c>
      <c r="U10" s="2">
        <f t="shared" si="1"/>
        <v>1287878.7878787876</v>
      </c>
      <c r="V10" s="2">
        <f t="shared" si="1"/>
        <v>1287878.7878787876</v>
      </c>
      <c r="W10" s="2">
        <f t="shared" si="1"/>
        <v>1287878.7878787876</v>
      </c>
      <c r="X10" s="2">
        <f t="shared" si="1"/>
        <v>1287878.7878787876</v>
      </c>
      <c r="Y10" s="2">
        <f t="shared" si="1"/>
        <v>1287878.7878787876</v>
      </c>
      <c r="Z10" s="2">
        <f t="shared" si="1"/>
        <v>1287878.7878787876</v>
      </c>
      <c r="AA10" s="2">
        <f t="shared" si="1"/>
        <v>1287878.7878787876</v>
      </c>
      <c r="AB10" s="2">
        <f t="shared" si="1"/>
        <v>1287878.7878787876</v>
      </c>
      <c r="AC10" s="2">
        <f t="shared" si="1"/>
        <v>1287878.7878787876</v>
      </c>
      <c r="AD10" s="2">
        <f t="shared" si="1"/>
        <v>1287878.7878787876</v>
      </c>
      <c r="AE10" s="2">
        <f t="shared" si="1"/>
        <v>1287878.7878787876</v>
      </c>
      <c r="AF10" s="2">
        <f t="shared" si="1"/>
        <v>1287878.7878787876</v>
      </c>
    </row>
    <row r="13" spans="1:32" x14ac:dyDescent="0.75">
      <c r="K13" s="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AF4"/>
  <sheetViews>
    <sheetView workbookViewId="0">
      <selection activeCell="A3" sqref="A3"/>
    </sheetView>
  </sheetViews>
  <sheetFormatPr defaultRowHeight="14.75" x14ac:dyDescent="0.75"/>
  <cols>
    <col min="1" max="1" width="38" customWidth="1"/>
    <col min="2" max="32" width="9.453125" bestFit="1" customWidth="1"/>
  </cols>
  <sheetData>
    <row r="1" spans="1:32" x14ac:dyDescent="0.75"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75">
      <c r="A2" t="s">
        <v>38</v>
      </c>
      <c r="B2" s="3">
        <f>Data!A32+IIJA!B10</f>
        <v>150000000</v>
      </c>
      <c r="C2" s="3">
        <f>Data!B32+IIJA!C10</f>
        <v>150113122.17194575</v>
      </c>
      <c r="D2" s="3">
        <f>Data!C32+IIJA!D10</f>
        <v>150369341.98698905</v>
      </c>
      <c r="E2" s="3">
        <f>Data!D32+IIJA!E10</f>
        <v>150625561.80203241</v>
      </c>
      <c r="F2" s="3">
        <f>Data!E32+IIJA!F10</f>
        <v>150881781.61707571</v>
      </c>
      <c r="G2" s="3">
        <f>Data!F32+IIJA!G10</f>
        <v>151138001.43211913</v>
      </c>
      <c r="H2" s="3">
        <f>Data!G32+IIJA!H10</f>
        <v>151394221.24716246</v>
      </c>
      <c r="I2" s="3">
        <f>Data!H32+IIJA!I10</f>
        <v>151650441.06220582</v>
      </c>
      <c r="J2" s="3">
        <f>Data!I32+IIJA!J10</f>
        <v>151906660.87724912</v>
      </c>
      <c r="K2" s="3">
        <f>Data!J32+IIJA!K10</f>
        <v>152162880.69229245</v>
      </c>
      <c r="L2" s="3">
        <f>Data!K32+IIJA!L10</f>
        <v>152419100.50733584</v>
      </c>
      <c r="M2" s="3">
        <f>Data!L32+IIJA!M10</f>
        <v>152532222.6792815</v>
      </c>
      <c r="N2" s="3">
        <f>Data!M32+IIJA!N10</f>
        <v>152645344.85122722</v>
      </c>
      <c r="O2" s="3">
        <f>Data!N32+IIJA!O10</f>
        <v>152758467.02317291</v>
      </c>
      <c r="P2" s="3">
        <f>Data!O32+IIJA!P10</f>
        <v>152871589.19511864</v>
      </c>
      <c r="Q2" s="3">
        <f>Data!P32+IIJA!Q10</f>
        <v>152984711.36706433</v>
      </c>
      <c r="R2" s="3">
        <f>Data!Q32+IIJA!R10</f>
        <v>153097833.53901005</v>
      </c>
      <c r="S2" s="3">
        <f>Data!R32+IIJA!S10</f>
        <v>153210955.71095571</v>
      </c>
      <c r="T2" s="3">
        <f>Data!S32+IIJA!T10</f>
        <v>153324077.88290146</v>
      </c>
      <c r="U2" s="3">
        <f>Data!T32+IIJA!U10</f>
        <v>153437200.05484715</v>
      </c>
      <c r="V2" s="3">
        <f>Data!U32+IIJA!V10</f>
        <v>153550322.22679281</v>
      </c>
      <c r="W2" s="3">
        <f>Data!V32+IIJA!W10</f>
        <v>153663444.39873853</v>
      </c>
      <c r="X2" s="3">
        <f>Data!W32+IIJA!X10</f>
        <v>153776566.57068422</v>
      </c>
      <c r="Y2" s="3">
        <f>Data!X32+IIJA!Y10</f>
        <v>153889688.74262998</v>
      </c>
      <c r="Z2" s="3">
        <f>Data!Y32+IIJA!Z10</f>
        <v>154002810.91457564</v>
      </c>
      <c r="AA2" s="3">
        <f>Data!Z32+IIJA!AA10</f>
        <v>154115933.08652136</v>
      </c>
      <c r="AB2" s="3">
        <f>Data!AA32+IIJA!AB10</f>
        <v>154229055.25846702</v>
      </c>
      <c r="AC2" s="3">
        <f>Data!AB32+IIJA!AC10</f>
        <v>154342177.43041277</v>
      </c>
      <c r="AD2" s="3">
        <f>Data!AC32+IIJA!AD10</f>
        <v>154455299.60235846</v>
      </c>
      <c r="AE2" s="3">
        <f>Data!AD32+IIJA!AE10</f>
        <v>154568421.77430412</v>
      </c>
      <c r="AF2" s="3">
        <f>Data!AE32+IIJA!AF10</f>
        <v>154681543.94624984</v>
      </c>
    </row>
    <row r="4" spans="1:32" x14ac:dyDescent="0.75">
      <c r="L4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Data</vt:lpstr>
      <vt:lpstr>IIJA</vt:lpstr>
      <vt:lpstr>BTC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2015-07-06T20:49:06Z</dcterms:created>
  <dcterms:modified xsi:type="dcterms:W3CDTF">2023-11-07T17:24:25Z</dcterms:modified>
</cp:coreProperties>
</file>