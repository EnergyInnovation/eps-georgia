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GA\trans\BAADTbVT\"/>
    </mc:Choice>
  </mc:AlternateContent>
  <xr:revisionPtr revIDLastSave="0" documentId="8_{D80530AB-867F-429B-8CBC-FAE944EC333A}" xr6:coauthVersionLast="47" xr6:coauthVersionMax="47" xr10:uidLastSave="{00000000-0000-0000-0000-000000000000}"/>
  <bookViews>
    <workbookView xWindow="-98" yWindow="-98" windowWidth="21795" windowHeight="12975" firstSheet="14" activeTab="16" xr2:uid="{00000000-000D-0000-FFFF-FFFF00000000}"/>
  </bookViews>
  <sheets>
    <sheet name="About" sheetId="1" r:id="rId1"/>
    <sheet name="all_csv_SYVbT-passenger" sheetId="18" r:id="rId2"/>
    <sheet name="all_csv_SYVbT-freight" sheetId="17" r:id="rId3"/>
    <sheet name="all_csv_AVLo-passengers" sheetId="23" r:id="rId4"/>
    <sheet name="all_csv_AVLo-freight" sheetId="24" r:id="rId5"/>
    <sheet name="all_csv_SYFAFE-psgr" sheetId="26" r:id="rId6"/>
    <sheet name="all_csv_SYFAFE-frgt" sheetId="25" r:id="rId7"/>
    <sheet name="Codes_and_Descriptions" sheetId="16" r:id="rId8"/>
    <sheet name="SEDS_use_all_btu" sheetId="15" r:id="rId9"/>
    <sheet name="BAADTBVT-USA" sheetId="11" r:id="rId10"/>
    <sheet name="BPoEFUbVT-ships-frgt-dslveh" sheetId="27" r:id="rId11"/>
    <sheet name="Scale to SEDS" sheetId="19" r:id="rId12"/>
    <sheet name="Annual Service Data_rail only" sheetId="34" r:id="rId13"/>
    <sheet name="Fuel and Energy_rail only" sheetId="33" r:id="rId14"/>
    <sheet name="psgr rail calcs" sheetId="32" r:id="rId15"/>
    <sheet name="SYAADTbVT-passengers" sheetId="28" r:id="rId16"/>
    <sheet name="SYAADTbVT-freight" sheetId="29" r:id="rId17"/>
    <sheet name="BAADTbVT-passengers" sheetId="12" r:id="rId18"/>
    <sheet name="BAADTbVT-freight" sheetId="13" r:id="rId19"/>
  </sheets>
  <definedNames>
    <definedName name="_xlnm._FilterDatabase" localSheetId="12" hidden="1">'Annual Service Data_rail only'!$A$1:$AX$1</definedName>
    <definedName name="_xlnm._FilterDatabase" localSheetId="7" hidden="1">Codes_and_Descriptions!$B$11:$D$11</definedName>
    <definedName name="_xlnm._FilterDatabase" localSheetId="8" hidden="1">SEDS_use_all_btu!$A$1:$H$1</definedName>
    <definedName name="billion">About!$A$38</definedName>
    <definedName name="_xlnm.Database">#N/A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OCAL_MYSQL_DATE_FORMAT" localSheetId="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7">Codes_and_Descriptions!$B$1:$D$728</definedName>
    <definedName name="_xlnm.Print_Titles" localSheetId="7">Codes_and_Descriptions!$1:$11</definedName>
    <definedName name="thousand">About!$A$37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4" i="19" l="1"/>
  <c r="E125" i="19"/>
  <c r="E126" i="19"/>
  <c r="E127" i="19"/>
  <c r="E123" i="19"/>
  <c r="E118" i="19"/>
  <c r="E119" i="19"/>
  <c r="E120" i="19"/>
  <c r="E121" i="19"/>
  <c r="E122" i="19"/>
  <c r="E117" i="19"/>
  <c r="F92" i="19"/>
  <c r="F93" i="19"/>
  <c r="F94" i="19"/>
  <c r="F95" i="19"/>
  <c r="F96" i="19"/>
  <c r="E93" i="19"/>
  <c r="E94" i="19"/>
  <c r="E95" i="19"/>
  <c r="E96" i="19"/>
  <c r="E92" i="19"/>
  <c r="F86" i="19"/>
  <c r="F87" i="19"/>
  <c r="F88" i="19"/>
  <c r="F89" i="19"/>
  <c r="F90" i="19"/>
  <c r="F91" i="19"/>
  <c r="E87" i="19"/>
  <c r="E88" i="19"/>
  <c r="E89" i="19"/>
  <c r="E90" i="19"/>
  <c r="E91" i="19"/>
  <c r="E86" i="19"/>
  <c r="F135" i="19" l="1"/>
  <c r="R59" i="32"/>
  <c r="Q59" i="32"/>
  <c r="S59" i="32" s="1"/>
  <c r="P59" i="32"/>
  <c r="I59" i="32"/>
  <c r="H59" i="32"/>
  <c r="G59" i="32"/>
  <c r="F59" i="32"/>
  <c r="E59" i="32"/>
  <c r="M59" i="32" s="1"/>
  <c r="R58" i="32"/>
  <c r="Q58" i="32"/>
  <c r="S58" i="32" s="1"/>
  <c r="P58" i="32"/>
  <c r="I58" i="32"/>
  <c r="H58" i="32"/>
  <c r="G58" i="32"/>
  <c r="F58" i="32"/>
  <c r="E58" i="32"/>
  <c r="M58" i="32" s="1"/>
  <c r="R57" i="32"/>
  <c r="Q57" i="32"/>
  <c r="S57" i="32" s="1"/>
  <c r="P57" i="32"/>
  <c r="I57" i="32"/>
  <c r="H57" i="32"/>
  <c r="G57" i="32"/>
  <c r="F57" i="32"/>
  <c r="E57" i="32"/>
  <c r="R56" i="32"/>
  <c r="Q56" i="32"/>
  <c r="P56" i="32"/>
  <c r="I56" i="32"/>
  <c r="H56" i="32"/>
  <c r="G56" i="32"/>
  <c r="F56" i="32"/>
  <c r="E56" i="32"/>
  <c r="M56" i="32" s="1"/>
  <c r="R55" i="32"/>
  <c r="Q55" i="32"/>
  <c r="S55" i="32" s="1"/>
  <c r="P55" i="32"/>
  <c r="I55" i="32"/>
  <c r="H55" i="32"/>
  <c r="G55" i="32"/>
  <c r="F55" i="32"/>
  <c r="E55" i="32"/>
  <c r="R54" i="32"/>
  <c r="Q54" i="32"/>
  <c r="S54" i="32" s="1"/>
  <c r="P54" i="32"/>
  <c r="I54" i="32"/>
  <c r="H54" i="32"/>
  <c r="G54" i="32"/>
  <c r="F54" i="32"/>
  <c r="E54" i="32"/>
  <c r="N54" i="32" s="1"/>
  <c r="R53" i="32"/>
  <c r="Q53" i="32"/>
  <c r="P53" i="32"/>
  <c r="I53" i="32"/>
  <c r="H53" i="32"/>
  <c r="G53" i="32"/>
  <c r="F53" i="32"/>
  <c r="E53" i="32"/>
  <c r="R52" i="32"/>
  <c r="Q52" i="32"/>
  <c r="S52" i="32" s="1"/>
  <c r="P52" i="32"/>
  <c r="I52" i="32"/>
  <c r="H52" i="32"/>
  <c r="G52" i="32"/>
  <c r="F52" i="32"/>
  <c r="E52" i="32"/>
  <c r="M52" i="32" s="1"/>
  <c r="R51" i="32"/>
  <c r="Q51" i="32"/>
  <c r="S51" i="32" s="1"/>
  <c r="P51" i="32"/>
  <c r="I51" i="32"/>
  <c r="H51" i="32"/>
  <c r="G51" i="32"/>
  <c r="F51" i="32"/>
  <c r="E51" i="32"/>
  <c r="N51" i="32" s="1"/>
  <c r="R50" i="32"/>
  <c r="Q50" i="32"/>
  <c r="S50" i="32" s="1"/>
  <c r="P50" i="32"/>
  <c r="I50" i="32"/>
  <c r="H50" i="32"/>
  <c r="G50" i="32"/>
  <c r="F50" i="32"/>
  <c r="E50" i="32"/>
  <c r="M50" i="32" s="1"/>
  <c r="R49" i="32"/>
  <c r="Q49" i="32"/>
  <c r="S49" i="32" s="1"/>
  <c r="P49" i="32"/>
  <c r="I49" i="32"/>
  <c r="H49" i="32"/>
  <c r="G49" i="32"/>
  <c r="F49" i="32"/>
  <c r="E49" i="32"/>
  <c r="R48" i="32"/>
  <c r="Q48" i="32"/>
  <c r="S48" i="32" s="1"/>
  <c r="P48" i="32"/>
  <c r="I48" i="32"/>
  <c r="H48" i="32"/>
  <c r="G48" i="32"/>
  <c r="F48" i="32"/>
  <c r="E48" i="32"/>
  <c r="M48" i="32" s="1"/>
  <c r="R47" i="32"/>
  <c r="Q47" i="32"/>
  <c r="S47" i="32" s="1"/>
  <c r="P47" i="32"/>
  <c r="I47" i="32"/>
  <c r="H47" i="32"/>
  <c r="G47" i="32"/>
  <c r="F47" i="32"/>
  <c r="E47" i="32"/>
  <c r="M47" i="32" s="1"/>
  <c r="R46" i="32"/>
  <c r="Q46" i="32"/>
  <c r="S46" i="32" s="1"/>
  <c r="P46" i="32"/>
  <c r="I46" i="32"/>
  <c r="H46" i="32"/>
  <c r="G46" i="32"/>
  <c r="F46" i="32"/>
  <c r="E46" i="32"/>
  <c r="N46" i="32" s="1"/>
  <c r="R45" i="32"/>
  <c r="Q45" i="32"/>
  <c r="S45" i="32" s="1"/>
  <c r="P45" i="32"/>
  <c r="I45" i="32"/>
  <c r="H45" i="32"/>
  <c r="G45" i="32"/>
  <c r="F45" i="32"/>
  <c r="E45" i="32"/>
  <c r="R44" i="32"/>
  <c r="Q44" i="32"/>
  <c r="S44" i="32" s="1"/>
  <c r="P44" i="32"/>
  <c r="I44" i="32"/>
  <c r="H44" i="32"/>
  <c r="G44" i="32"/>
  <c r="F44" i="32"/>
  <c r="E44" i="32"/>
  <c r="M44" i="32" s="1"/>
  <c r="R43" i="32"/>
  <c r="Q43" i="32"/>
  <c r="S43" i="32" s="1"/>
  <c r="P43" i="32"/>
  <c r="I43" i="32"/>
  <c r="H43" i="32"/>
  <c r="G43" i="32"/>
  <c r="F43" i="32"/>
  <c r="E43" i="32"/>
  <c r="M43" i="32" s="1"/>
  <c r="R42" i="32"/>
  <c r="Q42" i="32"/>
  <c r="S42" i="32" s="1"/>
  <c r="P42" i="32"/>
  <c r="I42" i="32"/>
  <c r="H42" i="32"/>
  <c r="G42" i="32"/>
  <c r="F42" i="32"/>
  <c r="E42" i="32"/>
  <c r="M42" i="32" s="1"/>
  <c r="R41" i="32"/>
  <c r="Q41" i="32"/>
  <c r="S41" i="32" s="1"/>
  <c r="P41" i="32"/>
  <c r="I41" i="32"/>
  <c r="H41" i="32"/>
  <c r="G41" i="32"/>
  <c r="F41" i="32"/>
  <c r="E41" i="32"/>
  <c r="R40" i="32"/>
  <c r="Q40" i="32"/>
  <c r="P40" i="32"/>
  <c r="I40" i="32"/>
  <c r="H40" i="32"/>
  <c r="G40" i="32"/>
  <c r="F40" i="32"/>
  <c r="E40" i="32"/>
  <c r="M40" i="32" s="1"/>
  <c r="R39" i="32"/>
  <c r="Q39" i="32"/>
  <c r="S39" i="32" s="1"/>
  <c r="P39" i="32"/>
  <c r="I39" i="32"/>
  <c r="H39" i="32"/>
  <c r="G39" i="32"/>
  <c r="F39" i="32"/>
  <c r="E39" i="32"/>
  <c r="N39" i="32" s="1"/>
  <c r="R38" i="32"/>
  <c r="Q38" i="32"/>
  <c r="S38" i="32" s="1"/>
  <c r="P38" i="32"/>
  <c r="I38" i="32"/>
  <c r="H38" i="32"/>
  <c r="G38" i="32"/>
  <c r="F38" i="32"/>
  <c r="E38" i="32"/>
  <c r="M38" i="32" s="1"/>
  <c r="R37" i="32"/>
  <c r="Q37" i="32"/>
  <c r="S37" i="32" s="1"/>
  <c r="P37" i="32"/>
  <c r="I37" i="32"/>
  <c r="H37" i="32"/>
  <c r="G37" i="32"/>
  <c r="F37" i="32"/>
  <c r="E37" i="32"/>
  <c r="R36" i="32"/>
  <c r="Q36" i="32"/>
  <c r="P36" i="32"/>
  <c r="I36" i="32"/>
  <c r="H36" i="32"/>
  <c r="G36" i="32"/>
  <c r="F36" i="32"/>
  <c r="E36" i="32"/>
  <c r="M36" i="32" s="1"/>
  <c r="R35" i="32"/>
  <c r="Q35" i="32"/>
  <c r="S35" i="32" s="1"/>
  <c r="P35" i="32"/>
  <c r="I35" i="32"/>
  <c r="H35" i="32"/>
  <c r="G35" i="32"/>
  <c r="F35" i="32"/>
  <c r="E35" i="32"/>
  <c r="N35" i="32" s="1"/>
  <c r="R34" i="32"/>
  <c r="Q34" i="32"/>
  <c r="S34" i="32" s="1"/>
  <c r="P34" i="32"/>
  <c r="I34" i="32"/>
  <c r="H34" i="32"/>
  <c r="G34" i="32"/>
  <c r="F34" i="32"/>
  <c r="E34" i="32"/>
  <c r="M34" i="32" s="1"/>
  <c r="R33" i="32"/>
  <c r="Q33" i="32"/>
  <c r="S33" i="32" s="1"/>
  <c r="P33" i="32"/>
  <c r="I33" i="32"/>
  <c r="H33" i="32"/>
  <c r="G33" i="32"/>
  <c r="F33" i="32"/>
  <c r="E33" i="32"/>
  <c r="R32" i="32"/>
  <c r="Q32" i="32"/>
  <c r="P32" i="32"/>
  <c r="I32" i="32"/>
  <c r="H32" i="32"/>
  <c r="G32" i="32"/>
  <c r="F32" i="32"/>
  <c r="E32" i="32"/>
  <c r="M32" i="32" s="1"/>
  <c r="R31" i="32"/>
  <c r="Q31" i="32"/>
  <c r="S31" i="32" s="1"/>
  <c r="P31" i="32"/>
  <c r="I31" i="32"/>
  <c r="H31" i="32"/>
  <c r="G31" i="32"/>
  <c r="F31" i="32"/>
  <c r="E31" i="32"/>
  <c r="R30" i="32"/>
  <c r="Q30" i="32"/>
  <c r="S30" i="32" s="1"/>
  <c r="P30" i="32"/>
  <c r="I30" i="32"/>
  <c r="H30" i="32"/>
  <c r="G30" i="32"/>
  <c r="F30" i="32"/>
  <c r="E30" i="32"/>
  <c r="M30" i="32" s="1"/>
  <c r="R29" i="32"/>
  <c r="Q29" i="32"/>
  <c r="S29" i="32" s="1"/>
  <c r="P29" i="32"/>
  <c r="I29" i="32"/>
  <c r="H29" i="32"/>
  <c r="G29" i="32"/>
  <c r="F29" i="32"/>
  <c r="E29" i="32"/>
  <c r="R28" i="32"/>
  <c r="Q28" i="32"/>
  <c r="S28" i="32" s="1"/>
  <c r="P28" i="32"/>
  <c r="I28" i="32"/>
  <c r="H28" i="32"/>
  <c r="G28" i="32"/>
  <c r="F28" i="32"/>
  <c r="E28" i="32"/>
  <c r="M28" i="32" s="1"/>
  <c r="R27" i="32"/>
  <c r="Q27" i="32"/>
  <c r="S27" i="32" s="1"/>
  <c r="P27" i="32"/>
  <c r="I27" i="32"/>
  <c r="H27" i="32"/>
  <c r="G27" i="32"/>
  <c r="F27" i="32"/>
  <c r="E27" i="32"/>
  <c r="R26" i="32"/>
  <c r="Q26" i="32"/>
  <c r="P26" i="32"/>
  <c r="I26" i="32"/>
  <c r="H26" i="32"/>
  <c r="G26" i="32"/>
  <c r="F26" i="32"/>
  <c r="E26" i="32"/>
  <c r="M26" i="32" s="1"/>
  <c r="R25" i="32"/>
  <c r="Q25" i="32"/>
  <c r="P25" i="32"/>
  <c r="I25" i="32"/>
  <c r="H25" i="32"/>
  <c r="G25" i="32"/>
  <c r="F25" i="32"/>
  <c r="E25" i="32"/>
  <c r="R24" i="32"/>
  <c r="Q24" i="32"/>
  <c r="S24" i="32" s="1"/>
  <c r="P24" i="32"/>
  <c r="I24" i="32"/>
  <c r="H24" i="32"/>
  <c r="G24" i="32"/>
  <c r="F24" i="32"/>
  <c r="E24" i="32"/>
  <c r="R23" i="32"/>
  <c r="Q23" i="32"/>
  <c r="S23" i="32" s="1"/>
  <c r="P23" i="32"/>
  <c r="I23" i="32"/>
  <c r="H23" i="32"/>
  <c r="G23" i="32"/>
  <c r="F23" i="32"/>
  <c r="E23" i="32"/>
  <c r="R22" i="32"/>
  <c r="Q22" i="32"/>
  <c r="S22" i="32" s="1"/>
  <c r="P22" i="32"/>
  <c r="I22" i="32"/>
  <c r="H22" i="32"/>
  <c r="G22" i="32"/>
  <c r="F22" i="32"/>
  <c r="E22" i="32"/>
  <c r="M22" i="32" s="1"/>
  <c r="R21" i="32"/>
  <c r="Q21" i="32"/>
  <c r="S21" i="32" s="1"/>
  <c r="P21" i="32"/>
  <c r="I21" i="32"/>
  <c r="H21" i="32"/>
  <c r="G21" i="32"/>
  <c r="F21" i="32"/>
  <c r="E21" i="32"/>
  <c r="R20" i="32"/>
  <c r="Q20" i="32"/>
  <c r="S20" i="32" s="1"/>
  <c r="P20" i="32"/>
  <c r="I20" i="32"/>
  <c r="H20" i="32"/>
  <c r="G20" i="32"/>
  <c r="F20" i="32"/>
  <c r="E20" i="32"/>
  <c r="R19" i="32"/>
  <c r="Q19" i="32"/>
  <c r="P19" i="32"/>
  <c r="I19" i="32"/>
  <c r="H19" i="32"/>
  <c r="G19" i="32"/>
  <c r="F19" i="32"/>
  <c r="E19" i="32"/>
  <c r="R18" i="32"/>
  <c r="Q18" i="32"/>
  <c r="S18" i="32" s="1"/>
  <c r="P18" i="32"/>
  <c r="I18" i="32"/>
  <c r="H18" i="32"/>
  <c r="G18" i="32"/>
  <c r="F18" i="32"/>
  <c r="E18" i="32"/>
  <c r="M18" i="32" s="1"/>
  <c r="R17" i="32"/>
  <c r="Q17" i="32"/>
  <c r="S17" i="32" s="1"/>
  <c r="P17" i="32"/>
  <c r="I17" i="32"/>
  <c r="H17" i="32"/>
  <c r="G17" i="32"/>
  <c r="F17" i="32"/>
  <c r="E17" i="32"/>
  <c r="R16" i="32"/>
  <c r="Q16" i="32"/>
  <c r="P16" i="32"/>
  <c r="I16" i="32"/>
  <c r="H16" i="32"/>
  <c r="G16" i="32"/>
  <c r="F16" i="32"/>
  <c r="E16" i="32"/>
  <c r="M16" i="32" s="1"/>
  <c r="R15" i="32"/>
  <c r="Q15" i="32"/>
  <c r="S15" i="32" s="1"/>
  <c r="P15" i="32"/>
  <c r="I15" i="32"/>
  <c r="H15" i="32"/>
  <c r="G15" i="32"/>
  <c r="F15" i="32"/>
  <c r="E15" i="32"/>
  <c r="R14" i="32"/>
  <c r="Q14" i="32"/>
  <c r="S14" i="32" s="1"/>
  <c r="P14" i="32"/>
  <c r="I14" i="32"/>
  <c r="H14" i="32"/>
  <c r="G14" i="32"/>
  <c r="F14" i="32"/>
  <c r="E14" i="32"/>
  <c r="M14" i="32" s="1"/>
  <c r="R13" i="32"/>
  <c r="Q13" i="32"/>
  <c r="S13" i="32" s="1"/>
  <c r="P13" i="32"/>
  <c r="I13" i="32"/>
  <c r="H13" i="32"/>
  <c r="G13" i="32"/>
  <c r="F13" i="32"/>
  <c r="E13" i="32"/>
  <c r="R12" i="32"/>
  <c r="Q12" i="32"/>
  <c r="S12" i="32" s="1"/>
  <c r="P12" i="32"/>
  <c r="I12" i="32"/>
  <c r="H12" i="32"/>
  <c r="G12" i="32"/>
  <c r="F12" i="32"/>
  <c r="E12" i="32"/>
  <c r="M12" i="32" s="1"/>
  <c r="R11" i="32"/>
  <c r="Q11" i="32"/>
  <c r="S11" i="32" s="1"/>
  <c r="P11" i="32"/>
  <c r="I11" i="32"/>
  <c r="H11" i="32"/>
  <c r="G11" i="32"/>
  <c r="F11" i="32"/>
  <c r="E11" i="32"/>
  <c r="N11" i="32" s="1"/>
  <c r="R10" i="32"/>
  <c r="Q10" i="32"/>
  <c r="S10" i="32" s="1"/>
  <c r="P10" i="32"/>
  <c r="I10" i="32"/>
  <c r="H10" i="32"/>
  <c r="G10" i="32"/>
  <c r="F10" i="32"/>
  <c r="E10" i="32"/>
  <c r="N10" i="32" s="1"/>
  <c r="R9" i="32"/>
  <c r="Q9" i="32"/>
  <c r="P9" i="32"/>
  <c r="I9" i="32"/>
  <c r="H9" i="32"/>
  <c r="G9" i="32"/>
  <c r="F9" i="32"/>
  <c r="E9" i="32"/>
  <c r="N71" i="34"/>
  <c r="AB70" i="33"/>
  <c r="AA70" i="33"/>
  <c r="Z70" i="33"/>
  <c r="Y70" i="33"/>
  <c r="X70" i="33"/>
  <c r="W70" i="33"/>
  <c r="V70" i="33"/>
  <c r="U70" i="33"/>
  <c r="T70" i="33"/>
  <c r="S70" i="33"/>
  <c r="R70" i="33"/>
  <c r="Q70" i="33"/>
  <c r="P70" i="33"/>
  <c r="O70" i="33"/>
  <c r="N70" i="33"/>
  <c r="M70" i="33"/>
  <c r="V61" i="32"/>
  <c r="U61" i="32"/>
  <c r="T61" i="32"/>
  <c r="S61" i="32"/>
  <c r="O61" i="32"/>
  <c r="N61" i="32"/>
  <c r="M61" i="32"/>
  <c r="L61" i="32"/>
  <c r="G61" i="32"/>
  <c r="F61" i="32"/>
  <c r="E61" i="32"/>
  <c r="T59" i="32"/>
  <c r="K59" i="32"/>
  <c r="O59" i="32" s="1"/>
  <c r="J59" i="32"/>
  <c r="L59" i="32"/>
  <c r="T58" i="32"/>
  <c r="J58" i="32"/>
  <c r="K58" i="32"/>
  <c r="L58" i="32"/>
  <c r="N58" i="32"/>
  <c r="T57" i="32"/>
  <c r="L57" i="32"/>
  <c r="K57" i="32"/>
  <c r="T56" i="32"/>
  <c r="S56" i="32"/>
  <c r="K56" i="32"/>
  <c r="J56" i="32"/>
  <c r="L56" i="32"/>
  <c r="T55" i="32"/>
  <c r="K55" i="32"/>
  <c r="J55" i="32"/>
  <c r="L55" i="32"/>
  <c r="M55" i="32"/>
  <c r="T54" i="32"/>
  <c r="J54" i="32"/>
  <c r="K54" i="32"/>
  <c r="L54" i="32"/>
  <c r="M54" i="32"/>
  <c r="S53" i="32"/>
  <c r="T53" i="32"/>
  <c r="L53" i="32"/>
  <c r="K53" i="32"/>
  <c r="T52" i="32"/>
  <c r="K52" i="32"/>
  <c r="O52" i="32" s="1"/>
  <c r="J52" i="32"/>
  <c r="L52" i="32"/>
  <c r="T51" i="32"/>
  <c r="K51" i="32"/>
  <c r="J51" i="32"/>
  <c r="L51" i="32"/>
  <c r="M51" i="32"/>
  <c r="T50" i="32"/>
  <c r="J50" i="32"/>
  <c r="K50" i="32"/>
  <c r="L50" i="32"/>
  <c r="N50" i="32"/>
  <c r="T49" i="32"/>
  <c r="L49" i="32"/>
  <c r="K49" i="32"/>
  <c r="T48" i="32"/>
  <c r="K48" i="32"/>
  <c r="J48" i="32"/>
  <c r="L48" i="32"/>
  <c r="T47" i="32"/>
  <c r="K47" i="32"/>
  <c r="O47" i="32" s="1"/>
  <c r="J47" i="32"/>
  <c r="L47" i="32"/>
  <c r="T46" i="32"/>
  <c r="J46" i="32"/>
  <c r="K46" i="32"/>
  <c r="O46" i="32" s="1"/>
  <c r="L46" i="32"/>
  <c r="M46" i="32"/>
  <c r="T45" i="32"/>
  <c r="L45" i="32"/>
  <c r="K45" i="32"/>
  <c r="T44" i="32"/>
  <c r="K44" i="32"/>
  <c r="O44" i="32" s="1"/>
  <c r="J44" i="32"/>
  <c r="L44" i="32"/>
  <c r="T43" i="32"/>
  <c r="K43" i="32"/>
  <c r="J43" i="32"/>
  <c r="L43" i="32"/>
  <c r="T42" i="32"/>
  <c r="J42" i="32"/>
  <c r="K42" i="32"/>
  <c r="L42" i="32"/>
  <c r="T41" i="32"/>
  <c r="L41" i="32"/>
  <c r="K41" i="32"/>
  <c r="O41" i="32" s="1"/>
  <c r="T40" i="32"/>
  <c r="S40" i="32"/>
  <c r="K40" i="32"/>
  <c r="J40" i="32"/>
  <c r="L40" i="32"/>
  <c r="T39" i="32"/>
  <c r="K39" i="32"/>
  <c r="O39" i="32" s="1"/>
  <c r="J39" i="32"/>
  <c r="L39" i="32"/>
  <c r="T38" i="32"/>
  <c r="J38" i="32"/>
  <c r="K38" i="32"/>
  <c r="L38" i="32"/>
  <c r="T37" i="32"/>
  <c r="L37" i="32"/>
  <c r="K37" i="32"/>
  <c r="O37" i="32" s="1"/>
  <c r="T36" i="32"/>
  <c r="S36" i="32"/>
  <c r="K36" i="32"/>
  <c r="J36" i="32"/>
  <c r="L36" i="32"/>
  <c r="T35" i="32"/>
  <c r="K35" i="32"/>
  <c r="O35" i="32" s="1"/>
  <c r="J35" i="32"/>
  <c r="L35" i="32"/>
  <c r="T34" i="32"/>
  <c r="J34" i="32"/>
  <c r="K34" i="32"/>
  <c r="L34" i="32"/>
  <c r="T33" i="32"/>
  <c r="L33" i="32"/>
  <c r="K33" i="32"/>
  <c r="O33" i="32" s="1"/>
  <c r="T32" i="32"/>
  <c r="S32" i="32"/>
  <c r="K32" i="32"/>
  <c r="J32" i="32"/>
  <c r="L32" i="32"/>
  <c r="T31" i="32"/>
  <c r="K31" i="32"/>
  <c r="J31" i="32"/>
  <c r="L31" i="32"/>
  <c r="T30" i="32"/>
  <c r="J30" i="32"/>
  <c r="K30" i="32"/>
  <c r="L30" i="32"/>
  <c r="N30" i="32"/>
  <c r="T29" i="32"/>
  <c r="L29" i="32"/>
  <c r="K29" i="32"/>
  <c r="T28" i="32"/>
  <c r="K28" i="32"/>
  <c r="J28" i="32"/>
  <c r="L28" i="32"/>
  <c r="T27" i="32"/>
  <c r="K27" i="32"/>
  <c r="J27" i="32"/>
  <c r="L27" i="32"/>
  <c r="S26" i="32"/>
  <c r="T26" i="32"/>
  <c r="K26" i="32"/>
  <c r="J26" i="32"/>
  <c r="L26" i="32"/>
  <c r="N26" i="32"/>
  <c r="T25" i="32"/>
  <c r="S25" i="32"/>
  <c r="L25" i="32"/>
  <c r="K25" i="32"/>
  <c r="T24" i="32"/>
  <c r="K24" i="32"/>
  <c r="J24" i="32"/>
  <c r="L24" i="32"/>
  <c r="M24" i="32"/>
  <c r="T23" i="32"/>
  <c r="K23" i="32"/>
  <c r="J23" i="32"/>
  <c r="L23" i="32"/>
  <c r="T22" i="32"/>
  <c r="K22" i="32"/>
  <c r="O22" i="32" s="1"/>
  <c r="J22" i="32"/>
  <c r="L22" i="32"/>
  <c r="T21" i="32"/>
  <c r="L21" i="32"/>
  <c r="K21" i="32"/>
  <c r="O21" i="32" s="1"/>
  <c r="T20" i="32"/>
  <c r="K20" i="32"/>
  <c r="J20" i="32"/>
  <c r="L20" i="32"/>
  <c r="M20" i="32"/>
  <c r="T19" i="32"/>
  <c r="S19" i="32"/>
  <c r="K19" i="32"/>
  <c r="J19" i="32"/>
  <c r="L19" i="32"/>
  <c r="T18" i="32"/>
  <c r="K18" i="32"/>
  <c r="O18" i="32" s="1"/>
  <c r="J18" i="32"/>
  <c r="L18" i="32"/>
  <c r="T17" i="32"/>
  <c r="L17" i="32"/>
  <c r="K17" i="32"/>
  <c r="O17" i="32" s="1"/>
  <c r="T16" i="32"/>
  <c r="S16" i="32"/>
  <c r="K16" i="32"/>
  <c r="J16" i="32"/>
  <c r="L16" i="32"/>
  <c r="T15" i="32"/>
  <c r="K15" i="32"/>
  <c r="J15" i="32"/>
  <c r="L15" i="32"/>
  <c r="T14" i="32"/>
  <c r="K14" i="32"/>
  <c r="J14" i="32"/>
  <c r="L14" i="32"/>
  <c r="N14" i="32"/>
  <c r="T13" i="32"/>
  <c r="L13" i="32"/>
  <c r="K13" i="32"/>
  <c r="T12" i="32"/>
  <c r="K12" i="32"/>
  <c r="J12" i="32"/>
  <c r="L12" i="32"/>
  <c r="T11" i="32"/>
  <c r="K11" i="32"/>
  <c r="O11" i="32" s="1"/>
  <c r="J11" i="32"/>
  <c r="L11" i="32"/>
  <c r="T10" i="32"/>
  <c r="J10" i="32"/>
  <c r="K10" i="32"/>
  <c r="L10" i="32"/>
  <c r="T9" i="32"/>
  <c r="S9" i="32"/>
  <c r="L9" i="32"/>
  <c r="K9" i="32"/>
  <c r="G62" i="32"/>
  <c r="L62" i="32" s="1"/>
  <c r="F62" i="32"/>
  <c r="O24" i="32" l="1"/>
  <c r="O27" i="32"/>
  <c r="O30" i="32"/>
  <c r="N36" i="32"/>
  <c r="N40" i="32"/>
  <c r="U40" i="32" s="1"/>
  <c r="O45" i="32"/>
  <c r="O50" i="32"/>
  <c r="O51" i="32"/>
  <c r="V51" i="32" s="1"/>
  <c r="O55" i="32"/>
  <c r="O58" i="32"/>
  <c r="O13" i="32"/>
  <c r="O14" i="32"/>
  <c r="N22" i="32"/>
  <c r="U22" i="32" s="1"/>
  <c r="O29" i="32"/>
  <c r="N44" i="32"/>
  <c r="O49" i="32"/>
  <c r="O54" i="32"/>
  <c r="O57" i="32"/>
  <c r="N12" i="32"/>
  <c r="O20" i="32"/>
  <c r="O23" i="32"/>
  <c r="N43" i="32"/>
  <c r="U43" i="32" s="1"/>
  <c r="N48" i="32"/>
  <c r="O53" i="32"/>
  <c r="N18" i="32"/>
  <c r="O25" i="32"/>
  <c r="O26" i="32"/>
  <c r="N34" i="32"/>
  <c r="N38" i="32"/>
  <c r="N42" i="32"/>
  <c r="U42" i="32" s="1"/>
  <c r="N47" i="32"/>
  <c r="N52" i="32"/>
  <c r="O16" i="32"/>
  <c r="O19" i="32"/>
  <c r="O32" i="32"/>
  <c r="O36" i="32"/>
  <c r="O40" i="32"/>
  <c r="V40" i="32" s="1"/>
  <c r="O12" i="32"/>
  <c r="V12" i="32" s="1"/>
  <c r="O15" i="32"/>
  <c r="O28" i="32"/>
  <c r="O31" i="32"/>
  <c r="O34" i="32"/>
  <c r="O38" i="32"/>
  <c r="O42" i="32"/>
  <c r="V42" i="32" s="1"/>
  <c r="O43" i="32"/>
  <c r="V43" i="32" s="1"/>
  <c r="O48" i="32"/>
  <c r="V48" i="32" s="1"/>
  <c r="O56" i="32"/>
  <c r="V56" i="32" s="1"/>
  <c r="O10" i="32"/>
  <c r="V10" i="32" s="1"/>
  <c r="M10" i="32"/>
  <c r="E62" i="32"/>
  <c r="O9" i="32"/>
  <c r="U10" i="32"/>
  <c r="V13" i="32"/>
  <c r="V20" i="32"/>
  <c r="V24" i="32"/>
  <c r="V28" i="32"/>
  <c r="V46" i="32"/>
  <c r="U46" i="32"/>
  <c r="V50" i="32"/>
  <c r="U50" i="32"/>
  <c r="V55" i="32"/>
  <c r="U12" i="32"/>
  <c r="V44" i="32"/>
  <c r="U44" i="32"/>
  <c r="O62" i="32"/>
  <c r="V16" i="32"/>
  <c r="U48" i="32"/>
  <c r="V34" i="32"/>
  <c r="U34" i="32"/>
  <c r="S62" i="32"/>
  <c r="V39" i="32"/>
  <c r="U51" i="32"/>
  <c r="T62" i="32"/>
  <c r="V18" i="32"/>
  <c r="U18" i="32"/>
  <c r="V22" i="32"/>
  <c r="V26" i="32"/>
  <c r="U26" i="32"/>
  <c r="V30" i="32"/>
  <c r="U30" i="32"/>
  <c r="N31" i="32"/>
  <c r="N32" i="32"/>
  <c r="V36" i="32"/>
  <c r="U36" i="32"/>
  <c r="V58" i="32"/>
  <c r="U58" i="32"/>
  <c r="N59" i="32"/>
  <c r="V47" i="32"/>
  <c r="U47" i="32"/>
  <c r="V52" i="32"/>
  <c r="U52" i="32"/>
  <c r="M62" i="32"/>
  <c r="V14" i="32"/>
  <c r="U14" i="32"/>
  <c r="N19" i="32"/>
  <c r="N20" i="32"/>
  <c r="U20" i="32" s="1"/>
  <c r="N23" i="32"/>
  <c r="N24" i="32"/>
  <c r="U24" i="32" s="1"/>
  <c r="N27" i="32"/>
  <c r="N28" i="32"/>
  <c r="U28" i="32" s="1"/>
  <c r="V54" i="32"/>
  <c r="U54" i="32"/>
  <c r="N55" i="32"/>
  <c r="U55" i="32" s="1"/>
  <c r="N56" i="32"/>
  <c r="U56" i="32" s="1"/>
  <c r="V57" i="32"/>
  <c r="V38" i="32"/>
  <c r="U38" i="32"/>
  <c r="N15" i="32"/>
  <c r="N16" i="32"/>
  <c r="U16" i="32" s="1"/>
  <c r="V32" i="32"/>
  <c r="U32" i="32"/>
  <c r="V59" i="32"/>
  <c r="U59" i="32"/>
  <c r="M9" i="32"/>
  <c r="V9" i="32" s="1"/>
  <c r="M13" i="32"/>
  <c r="M17" i="32"/>
  <c r="V17" i="32" s="1"/>
  <c r="M21" i="32"/>
  <c r="V21" i="32" s="1"/>
  <c r="M25" i="32"/>
  <c r="V25" i="32" s="1"/>
  <c r="M29" i="32"/>
  <c r="V29" i="32" s="1"/>
  <c r="M33" i="32"/>
  <c r="V33" i="32" s="1"/>
  <c r="M37" i="32"/>
  <c r="V37" i="32" s="1"/>
  <c r="M41" i="32"/>
  <c r="V41" i="32" s="1"/>
  <c r="M45" i="32"/>
  <c r="V45" i="32" s="1"/>
  <c r="M49" i="32"/>
  <c r="M53" i="32"/>
  <c r="M57" i="32"/>
  <c r="M11" i="32"/>
  <c r="V11" i="32" s="1"/>
  <c r="M15" i="32"/>
  <c r="V15" i="32" s="1"/>
  <c r="M19" i="32"/>
  <c r="V19" i="32" s="1"/>
  <c r="M23" i="32"/>
  <c r="M27" i="32"/>
  <c r="V27" i="32" s="1"/>
  <c r="M31" i="32"/>
  <c r="V31" i="32" s="1"/>
  <c r="M35" i="32"/>
  <c r="V35" i="32" s="1"/>
  <c r="M39" i="32"/>
  <c r="U39" i="32" s="1"/>
  <c r="J9" i="32"/>
  <c r="N9" i="32" s="1"/>
  <c r="J13" i="32"/>
  <c r="N13" i="32" s="1"/>
  <c r="U13" i="32" s="1"/>
  <c r="J17" i="32"/>
  <c r="N17" i="32" s="1"/>
  <c r="J21" i="32"/>
  <c r="N21" i="32" s="1"/>
  <c r="U21" i="32" s="1"/>
  <c r="J25" i="32"/>
  <c r="N25" i="32" s="1"/>
  <c r="J29" i="32"/>
  <c r="N29" i="32" s="1"/>
  <c r="J33" i="32"/>
  <c r="N33" i="32" s="1"/>
  <c r="J37" i="32"/>
  <c r="N37" i="32" s="1"/>
  <c r="J41" i="32"/>
  <c r="N41" i="32" s="1"/>
  <c r="U41" i="32" s="1"/>
  <c r="J45" i="32"/>
  <c r="N45" i="32" s="1"/>
  <c r="U45" i="32" s="1"/>
  <c r="J49" i="32"/>
  <c r="N49" i="32" s="1"/>
  <c r="J53" i="32"/>
  <c r="N53" i="32" s="1"/>
  <c r="U53" i="32" s="1"/>
  <c r="J57" i="32"/>
  <c r="N57" i="32" s="1"/>
  <c r="U15" i="32" l="1"/>
  <c r="V53" i="32"/>
  <c r="U29" i="32"/>
  <c r="U31" i="32"/>
  <c r="V49" i="32"/>
  <c r="U37" i="32"/>
  <c r="U57" i="32"/>
  <c r="U25" i="32"/>
  <c r="V23" i="32"/>
  <c r="V62" i="32"/>
  <c r="T64" i="32" s="1"/>
  <c r="N62" i="32"/>
  <c r="U62" i="32" s="1"/>
  <c r="U9" i="32"/>
  <c r="U17" i="32"/>
  <c r="U27" i="32"/>
  <c r="U19" i="32"/>
  <c r="U35" i="32"/>
  <c r="U23" i="32"/>
  <c r="U49" i="32"/>
  <c r="U33" i="32"/>
  <c r="U11" i="32"/>
  <c r="E64" i="32" l="1"/>
  <c r="S64" i="32"/>
  <c r="G64" i="32"/>
  <c r="B7" i="29" l="1"/>
  <c r="E139" i="19" l="1"/>
  <c r="F139" i="19" s="1"/>
  <c r="G139" i="19" s="1"/>
  <c r="E140" i="19"/>
  <c r="F140" i="19" s="1"/>
  <c r="G140" i="19" s="1"/>
  <c r="E141" i="19"/>
  <c r="F141" i="19" s="1"/>
  <c r="E142" i="19"/>
  <c r="G142" i="19" s="1"/>
  <c r="E138" i="19"/>
  <c r="F138" i="19" s="1"/>
  <c r="G138" i="19" s="1"/>
  <c r="E133" i="19"/>
  <c r="F133" i="19" s="1"/>
  <c r="G133" i="19" s="1"/>
  <c r="E134" i="19"/>
  <c r="F134" i="19" s="1"/>
  <c r="G134" i="19" s="1"/>
  <c r="E136" i="19"/>
  <c r="F136" i="19" s="1"/>
  <c r="G136" i="19" s="1"/>
  <c r="E137" i="19"/>
  <c r="F137" i="19" s="1"/>
  <c r="G137" i="19" s="1"/>
  <c r="E132" i="19"/>
  <c r="F132" i="19" s="1"/>
  <c r="G132" i="19" s="1"/>
  <c r="G141" i="19" l="1"/>
  <c r="B2" i="1"/>
  <c r="F105" i="19" l="1"/>
  <c r="E13" i="19"/>
  <c r="E14" i="19"/>
  <c r="B5" i="28"/>
  <c r="B5" i="12" s="1"/>
  <c r="F118" i="19"/>
  <c r="G118" i="19" s="1"/>
  <c r="G94" i="19"/>
  <c r="F124" i="19"/>
  <c r="G124" i="19" s="1"/>
  <c r="G88" i="19"/>
  <c r="F119" i="19"/>
  <c r="G119" i="19" s="1"/>
  <c r="F121" i="19"/>
  <c r="G121" i="19" s="1"/>
  <c r="F120" i="19"/>
  <c r="G120" i="19" s="1"/>
  <c r="F123" i="19"/>
  <c r="G123" i="19" s="1"/>
  <c r="F125" i="19"/>
  <c r="G125" i="19" s="1"/>
  <c r="F122" i="19"/>
  <c r="G122" i="19" s="1"/>
  <c r="F126" i="19"/>
  <c r="G126" i="19" s="1"/>
  <c r="F117" i="19"/>
  <c r="G117" i="19" s="1"/>
  <c r="F127" i="19"/>
  <c r="G127" i="19" s="1"/>
  <c r="F108" i="19"/>
  <c r="E107" i="19"/>
  <c r="E103" i="19"/>
  <c r="F111" i="19"/>
  <c r="F109" i="19"/>
  <c r="F101" i="19"/>
  <c r="E104" i="19"/>
  <c r="F103" i="19"/>
  <c r="E102" i="19"/>
  <c r="F110" i="19"/>
  <c r="F102" i="19"/>
  <c r="E105" i="19"/>
  <c r="E106" i="19"/>
  <c r="E109" i="19"/>
  <c r="F104" i="19"/>
  <c r="E101" i="19"/>
  <c r="F106" i="19"/>
  <c r="E108" i="19"/>
  <c r="E110" i="19"/>
  <c r="E111" i="19"/>
  <c r="F107" i="19"/>
  <c r="D5" i="19"/>
  <c r="F24" i="19" l="1"/>
  <c r="E24" i="19"/>
  <c r="F30" i="19"/>
  <c r="F31" i="19"/>
  <c r="E21" i="19"/>
  <c r="E11" i="19"/>
  <c r="E12" i="19"/>
  <c r="G103" i="19"/>
  <c r="F27" i="19"/>
  <c r="F21" i="19"/>
  <c r="E31" i="19"/>
  <c r="E26" i="19"/>
  <c r="G109" i="19"/>
  <c r="F25" i="19"/>
  <c r="E25" i="19"/>
  <c r="E30" i="19"/>
  <c r="F22" i="19"/>
  <c r="E28" i="19"/>
  <c r="E27" i="19"/>
  <c r="F26" i="19"/>
  <c r="E22" i="19"/>
  <c r="F28" i="19"/>
  <c r="E32" i="19" l="1"/>
  <c r="G23" i="19"/>
  <c r="G29" i="19"/>
  <c r="E40" i="19" l="1"/>
  <c r="E56" i="19" s="1"/>
  <c r="E72" i="19" s="1"/>
  <c r="E152" i="19" s="1"/>
  <c r="E37" i="19"/>
  <c r="E53" i="19" s="1"/>
  <c r="E69" i="19" s="1"/>
  <c r="E149" i="19" s="1"/>
  <c r="E42" i="19"/>
  <c r="E58" i="19" s="1"/>
  <c r="E74" i="19" s="1"/>
  <c r="B7" i="12" s="1"/>
  <c r="E45" i="19"/>
  <c r="E61" i="19" s="1"/>
  <c r="E77" i="19" s="1"/>
  <c r="E157" i="19" s="1"/>
  <c r="E44" i="19"/>
  <c r="E60" i="19" s="1"/>
  <c r="E76" i="19" s="1"/>
  <c r="E156" i="19" s="1"/>
  <c r="E39" i="19"/>
  <c r="E55" i="19" s="1"/>
  <c r="E71" i="19" s="1"/>
  <c r="E151" i="19" s="1"/>
  <c r="E46" i="19"/>
  <c r="E62" i="19" s="1"/>
  <c r="E78" i="19" s="1"/>
  <c r="E158" i="19" s="1"/>
  <c r="E47" i="19"/>
  <c r="E63" i="19" s="1"/>
  <c r="E79" i="19" s="1"/>
  <c r="E159" i="19" s="1"/>
  <c r="E41" i="19"/>
  <c r="E57" i="19" s="1"/>
  <c r="E73" i="19" s="1"/>
  <c r="E153" i="19" s="1"/>
  <c r="E38" i="19"/>
  <c r="E54" i="19" s="1"/>
  <c r="E70" i="19" s="1"/>
  <c r="E150" i="19" s="1"/>
  <c r="E43" i="19"/>
  <c r="E59" i="19" s="1"/>
  <c r="E75" i="19" s="1"/>
  <c r="E155" i="19" s="1"/>
  <c r="G32" i="19"/>
  <c r="G42" i="19" s="1"/>
  <c r="G58" i="19" s="1"/>
  <c r="G74" i="19" s="1"/>
  <c r="E396" i="16"/>
  <c r="E154" i="19" l="1"/>
  <c r="E160" i="19" s="1"/>
  <c r="E161" i="19" s="1"/>
  <c r="B6" i="12"/>
  <c r="G37" i="19"/>
  <c r="G53" i="19" s="1"/>
  <c r="G69" i="19" s="1"/>
  <c r="B2" i="13"/>
  <c r="B2" i="12"/>
  <c r="E48" i="19"/>
  <c r="G47" i="19"/>
  <c r="G63" i="19" s="1"/>
  <c r="G79" i="19" s="1"/>
  <c r="G43" i="19"/>
  <c r="G59" i="19" s="1"/>
  <c r="G75" i="19" s="1"/>
  <c r="G45" i="19"/>
  <c r="G61" i="19" s="1"/>
  <c r="G77" i="19" s="1"/>
  <c r="G44" i="19"/>
  <c r="G60" i="19" s="1"/>
  <c r="G76" i="19" s="1"/>
  <c r="G41" i="19"/>
  <c r="G57" i="19" s="1"/>
  <c r="G73" i="19" s="1"/>
  <c r="G46" i="19"/>
  <c r="G62" i="19" s="1"/>
  <c r="G78" i="19" s="1"/>
  <c r="G40" i="19"/>
  <c r="G56" i="19" s="1"/>
  <c r="G72" i="19" s="1"/>
  <c r="G38" i="19"/>
  <c r="G54" i="19" s="1"/>
  <c r="G70" i="19" s="1"/>
  <c r="G39" i="19"/>
  <c r="G55" i="19" s="1"/>
  <c r="G71" i="19" s="1"/>
  <c r="D7" i="13"/>
  <c r="E7" i="13" s="1"/>
  <c r="F7" i="13" s="1"/>
  <c r="G7" i="13" s="1"/>
  <c r="H7" i="13" s="1"/>
  <c r="I7" i="13" s="1"/>
  <c r="J7" i="13" s="1"/>
  <c r="K7" i="13" s="1"/>
  <c r="L7" i="13" s="1"/>
  <c r="M7" i="13" s="1"/>
  <c r="N7" i="13" s="1"/>
  <c r="O7" i="13" s="1"/>
  <c r="P7" i="13" s="1"/>
  <c r="Q7" i="13" s="1"/>
  <c r="R7" i="13" s="1"/>
  <c r="S7" i="13" s="1"/>
  <c r="T7" i="13" s="1"/>
  <c r="U7" i="13" s="1"/>
  <c r="V7" i="13" s="1"/>
  <c r="W7" i="13" s="1"/>
  <c r="X7" i="13" s="1"/>
  <c r="Y7" i="13" s="1"/>
  <c r="Z7" i="13" s="1"/>
  <c r="AA7" i="13" s="1"/>
  <c r="AB7" i="13" s="1"/>
  <c r="C7" i="13"/>
  <c r="A38" i="1"/>
  <c r="F32" i="19" l="1"/>
  <c r="G157" i="19"/>
  <c r="B4" i="13"/>
  <c r="G151" i="19"/>
  <c r="B4" i="12"/>
  <c r="G48" i="19"/>
  <c r="I5" i="12"/>
  <c r="K5" i="12"/>
  <c r="O5" i="12"/>
  <c r="Q5" i="12"/>
  <c r="S5" i="12"/>
  <c r="W5" i="12"/>
  <c r="C5" i="12"/>
  <c r="Y5" i="12"/>
  <c r="G5" i="12"/>
  <c r="AA5" i="12"/>
  <c r="J5" i="12"/>
  <c r="R5" i="12"/>
  <c r="Z5" i="12"/>
  <c r="D5" i="12"/>
  <c r="L5" i="12"/>
  <c r="T5" i="12"/>
  <c r="AB5" i="12"/>
  <c r="E5" i="12"/>
  <c r="M5" i="12"/>
  <c r="U5" i="12"/>
  <c r="F5" i="12"/>
  <c r="N5" i="12"/>
  <c r="V5" i="12"/>
  <c r="H5" i="12"/>
  <c r="P5" i="12"/>
  <c r="X5" i="12"/>
  <c r="F40" i="19" l="1"/>
  <c r="F56" i="19" s="1"/>
  <c r="F72" i="19" s="1"/>
  <c r="F152" i="19" s="1"/>
  <c r="F39" i="19"/>
  <c r="F55" i="19" s="1"/>
  <c r="F71" i="19" s="1"/>
  <c r="F151" i="19" s="1"/>
  <c r="F47" i="19"/>
  <c r="F38" i="19"/>
  <c r="F54" i="19" s="1"/>
  <c r="F70" i="19" s="1"/>
  <c r="F37" i="19"/>
  <c r="F43" i="19"/>
  <c r="F59" i="19" s="1"/>
  <c r="F75" i="19" s="1"/>
  <c r="F155" i="19" s="1"/>
  <c r="F44" i="19"/>
  <c r="F60" i="19" s="1"/>
  <c r="F76" i="19" s="1"/>
  <c r="F41" i="19"/>
  <c r="F57" i="19" s="1"/>
  <c r="F73" i="19" s="1"/>
  <c r="F153" i="19" s="1"/>
  <c r="F46" i="19"/>
  <c r="F62" i="19" s="1"/>
  <c r="F78" i="19" s="1"/>
  <c r="F42" i="19"/>
  <c r="F58" i="19" s="1"/>
  <c r="F74" i="19" s="1"/>
  <c r="F154" i="19" s="1"/>
  <c r="F45" i="19"/>
  <c r="F61" i="19" s="1"/>
  <c r="F77" i="19" s="1"/>
  <c r="F157" i="19" s="1"/>
  <c r="G160" i="19"/>
  <c r="G161" i="19" s="1"/>
  <c r="C4" i="13"/>
  <c r="D4" i="13" s="1"/>
  <c r="Z4" i="12"/>
  <c r="R4" i="12"/>
  <c r="J4" i="12"/>
  <c r="Y4" i="12"/>
  <c r="Q4" i="12"/>
  <c r="I4" i="12"/>
  <c r="X4" i="12"/>
  <c r="P4" i="12"/>
  <c r="H4" i="12"/>
  <c r="W4" i="12"/>
  <c r="O4" i="12"/>
  <c r="G4" i="12"/>
  <c r="V4" i="12"/>
  <c r="N4" i="12"/>
  <c r="F4" i="12"/>
  <c r="U4" i="12"/>
  <c r="M4" i="12"/>
  <c r="E4" i="12"/>
  <c r="AB4" i="12"/>
  <c r="T4" i="12"/>
  <c r="L4" i="12"/>
  <c r="D4" i="12"/>
  <c r="B4" i="28" s="1"/>
  <c r="AA4" i="12"/>
  <c r="S4" i="12"/>
  <c r="K4" i="12"/>
  <c r="C4" i="12"/>
  <c r="E4" i="13" l="1"/>
  <c r="F4" i="13" s="1"/>
  <c r="G4" i="13" s="1"/>
  <c r="H4" i="13" s="1"/>
  <c r="I4" i="13" s="1"/>
  <c r="J4" i="13" s="1"/>
  <c r="K4" i="13" s="1"/>
  <c r="L4" i="13" s="1"/>
  <c r="M4" i="13" s="1"/>
  <c r="N4" i="13" s="1"/>
  <c r="O4" i="13" s="1"/>
  <c r="P4" i="13" s="1"/>
  <c r="Q4" i="13" s="1"/>
  <c r="R4" i="13" s="1"/>
  <c r="S4" i="13" s="1"/>
  <c r="T4" i="13" s="1"/>
  <c r="U4" i="13" s="1"/>
  <c r="V4" i="13" s="1"/>
  <c r="W4" i="13" s="1"/>
  <c r="X4" i="13" s="1"/>
  <c r="Y4" i="13" s="1"/>
  <c r="Z4" i="13" s="1"/>
  <c r="AA4" i="13" s="1"/>
  <c r="AB4" i="13" s="1"/>
  <c r="B4" i="29"/>
  <c r="F63" i="19"/>
  <c r="F79" i="19" s="1"/>
  <c r="B6" i="13" s="1"/>
  <c r="B5" i="13"/>
  <c r="C5" i="13" s="1"/>
  <c r="D5" i="13" s="1"/>
  <c r="F158" i="19"/>
  <c r="B3" i="13"/>
  <c r="F156" i="19"/>
  <c r="F53" i="19"/>
  <c r="F69" i="19" s="1"/>
  <c r="F149" i="19" s="1"/>
  <c r="F48" i="19"/>
  <c r="F150" i="19"/>
  <c r="B3" i="12"/>
  <c r="W7" i="12"/>
  <c r="X6" i="12"/>
  <c r="E5" i="13" l="1"/>
  <c r="F5" i="13" s="1"/>
  <c r="G5" i="13" s="1"/>
  <c r="H5" i="13" s="1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B5" i="29"/>
  <c r="F159" i="19"/>
  <c r="F160" i="19" s="1"/>
  <c r="F161" i="19" s="1"/>
  <c r="AA6" i="12"/>
  <c r="C2" i="13"/>
  <c r="D2" i="13" s="1"/>
  <c r="I6" i="12"/>
  <c r="S6" i="12"/>
  <c r="V6" i="12"/>
  <c r="T6" i="12"/>
  <c r="Y6" i="12"/>
  <c r="E6" i="12"/>
  <c r="Z6" i="12"/>
  <c r="C6" i="12"/>
  <c r="W6" i="12"/>
  <c r="U6" i="12"/>
  <c r="J6" i="12"/>
  <c r="D6" i="12"/>
  <c r="B6" i="28" s="1"/>
  <c r="F6" i="12"/>
  <c r="H6" i="12"/>
  <c r="R6" i="12"/>
  <c r="L6" i="12"/>
  <c r="N6" i="12"/>
  <c r="P6" i="12"/>
  <c r="AB6" i="12"/>
  <c r="G6" i="12"/>
  <c r="Q6" i="12"/>
  <c r="K6" i="12"/>
  <c r="M6" i="12"/>
  <c r="O6" i="12"/>
  <c r="AA7" i="12"/>
  <c r="H7" i="12"/>
  <c r="J7" i="12"/>
  <c r="D7" i="12"/>
  <c r="B7" i="28" s="1"/>
  <c r="F7" i="12"/>
  <c r="P7" i="12"/>
  <c r="R7" i="12"/>
  <c r="L7" i="12"/>
  <c r="N7" i="12"/>
  <c r="X7" i="12"/>
  <c r="Z7" i="12"/>
  <c r="V7" i="12"/>
  <c r="T7" i="12"/>
  <c r="Q7" i="12"/>
  <c r="K7" i="12"/>
  <c r="M7" i="12"/>
  <c r="O7" i="12"/>
  <c r="AB7" i="12"/>
  <c r="I7" i="12"/>
  <c r="C7" i="12"/>
  <c r="E7" i="12"/>
  <c r="G7" i="12"/>
  <c r="Y7" i="12"/>
  <c r="S7" i="12"/>
  <c r="U7" i="12"/>
  <c r="E2" i="13" l="1"/>
  <c r="F2" i="13" s="1"/>
  <c r="G2" i="13" s="1"/>
  <c r="H2" i="13" s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B2" i="29"/>
  <c r="AA2" i="12"/>
  <c r="Q2" i="12"/>
  <c r="I2" i="12"/>
  <c r="M2" i="12"/>
  <c r="C2" i="12"/>
  <c r="G2" i="12"/>
  <c r="S2" i="12"/>
  <c r="J2" i="12"/>
  <c r="W2" i="12"/>
  <c r="V2" i="12"/>
  <c r="AB2" i="12"/>
  <c r="H2" i="12"/>
  <c r="K2" i="12"/>
  <c r="X2" i="12"/>
  <c r="R2" i="12"/>
  <c r="U2" i="12"/>
  <c r="F2" i="12"/>
  <c r="O2" i="12"/>
  <c r="Z2" i="12"/>
  <c r="D2" i="12"/>
  <c r="B2" i="28" s="1"/>
  <c r="E2" i="12"/>
  <c r="L2" i="12"/>
  <c r="T2" i="12"/>
  <c r="Y2" i="12"/>
  <c r="N2" i="12"/>
  <c r="P2" i="12"/>
  <c r="C3" i="13" l="1"/>
  <c r="D3" i="13" s="1"/>
  <c r="E3" i="13" l="1"/>
  <c r="F3" i="13" s="1"/>
  <c r="G3" i="13" s="1"/>
  <c r="H3" i="13" s="1"/>
  <c r="I3" i="13" s="1"/>
  <c r="J3" i="13" s="1"/>
  <c r="K3" i="13" s="1"/>
  <c r="L3" i="13" s="1"/>
  <c r="M3" i="13" s="1"/>
  <c r="N3" i="13" s="1"/>
  <c r="O3" i="13" s="1"/>
  <c r="P3" i="13" s="1"/>
  <c r="Q3" i="13" s="1"/>
  <c r="R3" i="13" s="1"/>
  <c r="S3" i="13" s="1"/>
  <c r="T3" i="13" s="1"/>
  <c r="U3" i="13" s="1"/>
  <c r="V3" i="13" s="1"/>
  <c r="W3" i="13" s="1"/>
  <c r="X3" i="13" s="1"/>
  <c r="Y3" i="13" s="1"/>
  <c r="Z3" i="13" s="1"/>
  <c r="AA3" i="13" s="1"/>
  <c r="AB3" i="13" s="1"/>
  <c r="B3" i="29"/>
  <c r="R3" i="12"/>
  <c r="H3" i="12"/>
  <c r="L3" i="12"/>
  <c r="X3" i="12"/>
  <c r="P3" i="12"/>
  <c r="Y3" i="12"/>
  <c r="AB3" i="12"/>
  <c r="T3" i="12"/>
  <c r="M3" i="12"/>
  <c r="S3" i="12"/>
  <c r="AA3" i="12"/>
  <c r="D3" i="12"/>
  <c r="B3" i="28" s="1"/>
  <c r="E3" i="12"/>
  <c r="U3" i="12"/>
  <c r="O3" i="12"/>
  <c r="K3" i="12"/>
  <c r="C3" i="12"/>
  <c r="N3" i="12"/>
  <c r="G3" i="12"/>
  <c r="F3" i="12"/>
  <c r="Z3" i="12"/>
  <c r="W3" i="12"/>
  <c r="I3" i="12"/>
  <c r="Q3" i="12"/>
  <c r="V3" i="12"/>
  <c r="J3" i="12"/>
  <c r="C6" i="13"/>
  <c r="D6" i="13" s="1"/>
  <c r="E6" i="13" l="1"/>
  <c r="F6" i="13" s="1"/>
  <c r="G6" i="13" s="1"/>
  <c r="H6" i="13" s="1"/>
  <c r="I6" i="13" s="1"/>
  <c r="J6" i="13" s="1"/>
  <c r="K6" i="13" s="1"/>
  <c r="L6" i="13" s="1"/>
  <c r="M6" i="13" s="1"/>
  <c r="N6" i="13" s="1"/>
  <c r="O6" i="13" s="1"/>
  <c r="P6" i="13" s="1"/>
  <c r="Q6" i="13" s="1"/>
  <c r="R6" i="13" s="1"/>
  <c r="S6" i="13" s="1"/>
  <c r="T6" i="13" s="1"/>
  <c r="U6" i="13" s="1"/>
  <c r="V6" i="13" s="1"/>
  <c r="W6" i="13" s="1"/>
  <c r="X6" i="13" s="1"/>
  <c r="Y6" i="13" s="1"/>
  <c r="Z6" i="13" s="1"/>
  <c r="AA6" i="13" s="1"/>
  <c r="AB6" i="13" s="1"/>
  <c r="B6" i="29"/>
</calcChain>
</file>

<file path=xl/sharedStrings.xml><?xml version="1.0" encoding="utf-8"?>
<sst xmlns="http://schemas.openxmlformats.org/spreadsheetml/2006/main" count="55499" uniqueCount="1966">
  <si>
    <t>BAADTbVT BAU Average Annual Dist Traveled by Vehicle Type</t>
  </si>
  <si>
    <t>Arizona</t>
  </si>
  <si>
    <t>Source:</t>
  </si>
  <si>
    <t>All vehicle types except motorbikes and passenger ships</t>
  </si>
  <si>
    <t>NREL calibration factors for ships</t>
  </si>
  <si>
    <t>EIA</t>
  </si>
  <si>
    <t>National Renewable Energy Laboratory</t>
  </si>
  <si>
    <t>Electrification Futures Study</t>
  </si>
  <si>
    <t>Final Demand</t>
  </si>
  <si>
    <t>https://data.nrel.gov/submissions/92</t>
  </si>
  <si>
    <t>Motorbikes</t>
  </si>
  <si>
    <t>National Highway Traffic Safety Administration</t>
  </si>
  <si>
    <t>Quick Facts 2014</t>
  </si>
  <si>
    <t>http://www-nrd.nhtsa.dot.gov/Pubs/812234.pdf</t>
  </si>
  <si>
    <t>Page 1, "Exposure Data"</t>
  </si>
  <si>
    <t>passenger ships</t>
  </si>
  <si>
    <t>U.S. Coast Guard</t>
  </si>
  <si>
    <t>National Recreational Boating Survey 2012</t>
  </si>
  <si>
    <t>http://www.uscgboating.org/library/recreational-boating-servey/2012survey%20report.pdf</t>
  </si>
  <si>
    <t>Page 63, Table 40</t>
  </si>
  <si>
    <t>Notes:</t>
  </si>
  <si>
    <t>In the U.S. model, passenger ships are recreational boats, and they are represented</t>
  </si>
  <si>
    <t>in hours per year rather than distance per year.</t>
  </si>
  <si>
    <t>This is a time-series variable to support countries or regions where average distance</t>
  </si>
  <si>
    <t>traveled per year changes over the model run.  The values are constant in the U.S.</t>
  </si>
  <si>
    <t>version of the model.</t>
  </si>
  <si>
    <t>Start Year</t>
  </si>
  <si>
    <t>The start year is the year prior the first simulated year in the model.</t>
  </si>
  <si>
    <t>For the U.S. in EPS 3.0, the start year is 2018, as the first simulated year is 2019.</t>
  </si>
  <si>
    <t>We use AEO 2019 to calculate start year vehicles, as AEO 2020 does not include 2018 data.</t>
  </si>
  <si>
    <t>Number of Vehicles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</si>
  <si>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</si>
  <si>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</si>
  <si>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</si>
  <si>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</si>
  <si>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</si>
  <si>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</si>
  <si>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</si>
  <si>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</si>
  <si>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</si>
  <si>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</si>
  <si>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</si>
  <si>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</si>
  <si>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</si>
  <si>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</si>
  <si>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</si>
  <si>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Fuel Economy (passenger*miles/BTU)</t>
  </si>
  <si>
    <t>Fuel Economy (freight ton*miles/BTU)</t>
  </si>
  <si>
    <t>JET FUEL</t>
  </si>
  <si>
    <t>LDV-frgt</t>
  </si>
  <si>
    <t>HDV-frgt</t>
  </si>
  <si>
    <t>HDV-psgr</t>
  </si>
  <si>
    <t>LDV-psgr</t>
  </si>
  <si>
    <t>ships-psgr</t>
  </si>
  <si>
    <t>rail-psgr</t>
  </si>
  <si>
    <t>rail-frgt</t>
  </si>
  <si>
    <t>ships-frgt</t>
  </si>
  <si>
    <t>1. Conversion Factors</t>
  </si>
  <si>
    <t>BTU per Gallon Liquid Fuels</t>
  </si>
  <si>
    <t>gasoline</t>
  </si>
  <si>
    <t>diesel</t>
  </si>
  <si>
    <t>2. EIA Fuel Consumption</t>
  </si>
  <si>
    <t>EIA: Diesel and Gas Energy Consumption</t>
  </si>
  <si>
    <t>SEDS FUEL</t>
  </si>
  <si>
    <t>billion btu</t>
  </si>
  <si>
    <t>btu</t>
  </si>
  <si>
    <t>Transportation</t>
  </si>
  <si>
    <t>jet fuel</t>
  </si>
  <si>
    <t>petroleum diesel</t>
  </si>
  <si>
    <t>petroleum gasoline</t>
  </si>
  <si>
    <t>Gasoline Fuel</t>
  </si>
  <si>
    <t>Diesel Fuel</t>
  </si>
  <si>
    <t>aircraft-psgr</t>
  </si>
  <si>
    <t>aircraft-frgt</t>
  </si>
  <si>
    <t>Tab is copied via script</t>
  </si>
  <si>
    <t>SYVBT</t>
  </si>
  <si>
    <t>Avlo</t>
  </si>
  <si>
    <t>BAADTbVT-passengers</t>
  </si>
  <si>
    <t>Annual Distance (miles/vehicle)</t>
  </si>
  <si>
    <t>BAADTbVT-freight</t>
  </si>
  <si>
    <t>Connecticut</t>
  </si>
  <si>
    <t>Maine</t>
  </si>
  <si>
    <t>Massachusetts</t>
  </si>
  <si>
    <t>New Hampshire</t>
  </si>
  <si>
    <t>Rhode Island</t>
  </si>
  <si>
    <t>Vermont</t>
  </si>
  <si>
    <t>Delaware</t>
  </si>
  <si>
    <t>Maryland</t>
  </si>
  <si>
    <t>New Jersey</t>
  </si>
  <si>
    <t>New York</t>
  </si>
  <si>
    <t>Pennsylvania</t>
  </si>
  <si>
    <t>Florida</t>
  </si>
  <si>
    <t>Georgia</t>
  </si>
  <si>
    <t>North Carolina</t>
  </si>
  <si>
    <t>South Carolina</t>
  </si>
  <si>
    <t>Virginia</t>
  </si>
  <si>
    <t>West Virginia</t>
  </si>
  <si>
    <t>Illinois</t>
  </si>
  <si>
    <t>Indiana</t>
  </si>
  <si>
    <t>Iowa</t>
  </si>
  <si>
    <t>Kansas</t>
  </si>
  <si>
    <t>Kentucky</t>
  </si>
  <si>
    <t>Michigan</t>
  </si>
  <si>
    <t>Minnesota</t>
  </si>
  <si>
    <t>Missouri</t>
  </si>
  <si>
    <t>Nebraska</t>
  </si>
  <si>
    <t>North Dakota</t>
  </si>
  <si>
    <t>Ohio</t>
  </si>
  <si>
    <t>Oklahoma</t>
  </si>
  <si>
    <t>South Dakota</t>
  </si>
  <si>
    <t>Tennessee</t>
  </si>
  <si>
    <t>Wisconsin</t>
  </si>
  <si>
    <t>Alabama</t>
  </si>
  <si>
    <t>Arkansas</t>
  </si>
  <si>
    <t>Louisiana</t>
  </si>
  <si>
    <t>Mississippi</t>
  </si>
  <si>
    <t>New Mexico</t>
  </si>
  <si>
    <t>Texas</t>
  </si>
  <si>
    <t>Colorado</t>
  </si>
  <si>
    <t>Idaho</t>
  </si>
  <si>
    <t>Montana</t>
  </si>
  <si>
    <t>Utah</t>
  </si>
  <si>
    <t>Wyoming</t>
  </si>
  <si>
    <t>Alaska</t>
  </si>
  <si>
    <t>California</t>
  </si>
  <si>
    <t>Hawaii</t>
  </si>
  <si>
    <t>Nevada</t>
  </si>
  <si>
    <t>Oregon</t>
  </si>
  <si>
    <t>Washington</t>
  </si>
  <si>
    <t>Data_Status</t>
  </si>
  <si>
    <t>State</t>
  </si>
  <si>
    <t>MSN</t>
  </si>
  <si>
    <t>AK</t>
  </si>
  <si>
    <t>ABICB</t>
  </si>
  <si>
    <t>ARICB</t>
  </si>
  <si>
    <t>ARTCB</t>
  </si>
  <si>
    <t>ARTXB</t>
  </si>
  <si>
    <t>AVACB</t>
  </si>
  <si>
    <t>AVTCB</t>
  </si>
  <si>
    <t>AVTXB</t>
  </si>
  <si>
    <t>BDACB</t>
  </si>
  <si>
    <t>BDLCB</t>
  </si>
  <si>
    <t>BDTCB</t>
  </si>
  <si>
    <t>BFLCB</t>
  </si>
  <si>
    <t>BFTCB</t>
  </si>
  <si>
    <t>BMTCB</t>
  </si>
  <si>
    <t>BQICB</t>
  </si>
  <si>
    <t>BQTCB</t>
  </si>
  <si>
    <t>BYICB</t>
  </si>
  <si>
    <t>BYTCB</t>
  </si>
  <si>
    <t>CLACB</t>
  </si>
  <si>
    <t>CLCCB</t>
  </si>
  <si>
    <t>CLEIB</t>
  </si>
  <si>
    <t>CLICB</t>
  </si>
  <si>
    <t>CLKCB</t>
  </si>
  <si>
    <t>CLOCB</t>
  </si>
  <si>
    <t>CLRCB</t>
  </si>
  <si>
    <t>CLTCB</t>
  </si>
  <si>
    <t>CLTXB</t>
  </si>
  <si>
    <t>COICB</t>
  </si>
  <si>
    <t>DFACB</t>
  </si>
  <si>
    <t>DFCCB</t>
  </si>
  <si>
    <t>DFEIB</t>
  </si>
  <si>
    <t>DFICB</t>
  </si>
  <si>
    <t>DFRCB</t>
  </si>
  <si>
    <t>DFTCB</t>
  </si>
  <si>
    <t>DFTXB</t>
  </si>
  <si>
    <t>DKEIB</t>
  </si>
  <si>
    <t>DMTCB</t>
  </si>
  <si>
    <t>ELEXB</t>
  </si>
  <si>
    <t>ELIMB</t>
  </si>
  <si>
    <t>ELISB</t>
  </si>
  <si>
    <t>ELNIB</t>
  </si>
  <si>
    <t>EMACB</t>
  </si>
  <si>
    <t>EMCCB</t>
  </si>
  <si>
    <t>EMICB</t>
  </si>
  <si>
    <t>EMLCB</t>
  </si>
  <si>
    <t>EMTCB</t>
  </si>
  <si>
    <t>EQICB</t>
  </si>
  <si>
    <t>EQTCB</t>
  </si>
  <si>
    <t>ESACB</t>
  </si>
  <si>
    <t>ESCCB</t>
  </si>
  <si>
    <t>ESICB</t>
  </si>
  <si>
    <t>ESRCB</t>
  </si>
  <si>
    <t>ESTCB</t>
  </si>
  <si>
    <t>ESTXB</t>
  </si>
  <si>
    <t>EYICB</t>
  </si>
  <si>
    <t>EYTCB</t>
  </si>
  <si>
    <t>FFTCB</t>
  </si>
  <si>
    <t>FNICB</t>
  </si>
  <si>
    <t>FOICB</t>
  </si>
  <si>
    <t>FSICB</t>
  </si>
  <si>
    <t>GDPRV</t>
  </si>
  <si>
    <t>GDPRX</t>
  </si>
  <si>
    <t>GECCB</t>
  </si>
  <si>
    <t>GEEGB</t>
  </si>
  <si>
    <t>GEICB</t>
  </si>
  <si>
    <t>GERCB</t>
  </si>
  <si>
    <t>GETCB</t>
  </si>
  <si>
    <t>GETXB</t>
  </si>
  <si>
    <t>HLACB</t>
  </si>
  <si>
    <t>HLCCB</t>
  </si>
  <si>
    <t>HLICB</t>
  </si>
  <si>
    <t>HLRCB</t>
  </si>
  <si>
    <t>HLTCB</t>
  </si>
  <si>
    <t>HLTXB</t>
  </si>
  <si>
    <t>HYCCB</t>
  </si>
  <si>
    <t>HYEGB</t>
  </si>
  <si>
    <t>HYICB</t>
  </si>
  <si>
    <t>HYTCB</t>
  </si>
  <si>
    <t>HYTXB</t>
  </si>
  <si>
    <t>IQICB</t>
  </si>
  <si>
    <t>IQTCB</t>
  </si>
  <si>
    <t>IYICB</t>
  </si>
  <si>
    <t>IYTCB</t>
  </si>
  <si>
    <t>JFACB</t>
  </si>
  <si>
    <t>JFTCB</t>
  </si>
  <si>
    <t>JFTXB</t>
  </si>
  <si>
    <t>KSCCB</t>
  </si>
  <si>
    <t>KSICB</t>
  </si>
  <si>
    <t>KSRCB</t>
  </si>
  <si>
    <t>KSTCB</t>
  </si>
  <si>
    <t>KSTXB</t>
  </si>
  <si>
    <t>LOACB</t>
  </si>
  <si>
    <t>LOCCB</t>
  </si>
  <si>
    <t>LOICB</t>
  </si>
  <si>
    <t>LORCB</t>
  </si>
  <si>
    <t>LOTCB</t>
  </si>
  <si>
    <t>LOTXB</t>
  </si>
  <si>
    <t>LUACB</t>
  </si>
  <si>
    <t>LUICB</t>
  </si>
  <si>
    <t>LUTCB</t>
  </si>
  <si>
    <t>LUTXB</t>
  </si>
  <si>
    <t>MBICB</t>
  </si>
  <si>
    <t>MGACB</t>
  </si>
  <si>
    <t>MGCCB</t>
  </si>
  <si>
    <t>MGICB</t>
  </si>
  <si>
    <t>MGTCB</t>
  </si>
  <si>
    <t>MGTXB</t>
  </si>
  <si>
    <t>MMTCB</t>
  </si>
  <si>
    <t>MSICB</t>
  </si>
  <si>
    <t>NAICB</t>
  </si>
  <si>
    <t>NGACB</t>
  </si>
  <si>
    <t>NGCCB</t>
  </si>
  <si>
    <t>NGEIB</t>
  </si>
  <si>
    <t>NGICB</t>
  </si>
  <si>
    <t>NGRCB</t>
  </si>
  <si>
    <t>NGTCB</t>
  </si>
  <si>
    <t>NGTPB</t>
  </si>
  <si>
    <t>NGTXB</t>
  </si>
  <si>
    <t>NNTCB</t>
  </si>
  <si>
    <t>NUEGB</t>
  </si>
  <si>
    <t>NUETB</t>
  </si>
  <si>
    <t>OHICB</t>
  </si>
  <si>
    <t>OPICB</t>
  </si>
  <si>
    <t>OPTCB</t>
  </si>
  <si>
    <t>OPTXB</t>
  </si>
  <si>
    <t>P1ICB</t>
  </si>
  <si>
    <t>P1TCB</t>
  </si>
  <si>
    <t>P1TXB</t>
  </si>
  <si>
    <t>PAACB</t>
  </si>
  <si>
    <t>PACCB</t>
  </si>
  <si>
    <t>PAEIB</t>
  </si>
  <si>
    <t>PAICB</t>
  </si>
  <si>
    <t>PARCB</t>
  </si>
  <si>
    <t>PATCB</t>
  </si>
  <si>
    <t>PATPB</t>
  </si>
  <si>
    <t>PATXB</t>
  </si>
  <si>
    <t>PCCCB</t>
  </si>
  <si>
    <t>PCEIB</t>
  </si>
  <si>
    <t>PCICB</t>
  </si>
  <si>
    <t>PCTCB</t>
  </si>
  <si>
    <t>PCTXB</t>
  </si>
  <si>
    <t>PLICB</t>
  </si>
  <si>
    <t>PMTCB</t>
  </si>
  <si>
    <t>PPICB</t>
  </si>
  <si>
    <t>PPTCB</t>
  </si>
  <si>
    <t>PQACB</t>
  </si>
  <si>
    <t>PQCCB</t>
  </si>
  <si>
    <t>PQICB</t>
  </si>
  <si>
    <t>PQRCB</t>
  </si>
  <si>
    <t>PQTCB</t>
  </si>
  <si>
    <t>PQTXB</t>
  </si>
  <si>
    <t>PYICB</t>
  </si>
  <si>
    <t>PYTCB</t>
  </si>
  <si>
    <t>RETCB</t>
  </si>
  <si>
    <t>RFACB</t>
  </si>
  <si>
    <t>RFCCB</t>
  </si>
  <si>
    <t>RFEIB</t>
  </si>
  <si>
    <t>RFICB</t>
  </si>
  <si>
    <t>RFTCB</t>
  </si>
  <si>
    <t>RFTXB</t>
  </si>
  <si>
    <t>SFCCB</t>
  </si>
  <si>
    <t>SFEIB</t>
  </si>
  <si>
    <t>SFINB</t>
  </si>
  <si>
    <t>SFRCB</t>
  </si>
  <si>
    <t>SFTCB</t>
  </si>
  <si>
    <t>SGICB</t>
  </si>
  <si>
    <t>SNICB</t>
  </si>
  <si>
    <t>SOCCB</t>
  </si>
  <si>
    <t>SOEGB</t>
  </si>
  <si>
    <t>SOICB</t>
  </si>
  <si>
    <t>SORCB</t>
  </si>
  <si>
    <t>SOTCB</t>
  </si>
  <si>
    <t>SOTXB</t>
  </si>
  <si>
    <t>TEACB</t>
  </si>
  <si>
    <t>TEAPB</t>
  </si>
  <si>
    <t>TECCB</t>
  </si>
  <si>
    <t>TECPB</t>
  </si>
  <si>
    <t>TEEIB</t>
  </si>
  <si>
    <t>TEICB</t>
  </si>
  <si>
    <t>TEIPB</t>
  </si>
  <si>
    <t>TERCB</t>
  </si>
  <si>
    <t>TERPB</t>
  </si>
  <si>
    <t>TETCB</t>
  </si>
  <si>
    <t>TETGR</t>
  </si>
  <si>
    <t>TETPB</t>
  </si>
  <si>
    <t>TETXB</t>
  </si>
  <si>
    <t>TNACB</t>
  </si>
  <si>
    <t>TNCCB</t>
  </si>
  <si>
    <t>TNICB</t>
  </si>
  <si>
    <t>TNRCB</t>
  </si>
  <si>
    <t>TNTXB</t>
  </si>
  <si>
    <t>TPOPP</t>
  </si>
  <si>
    <t>UOICB</t>
  </si>
  <si>
    <t>USICB</t>
  </si>
  <si>
    <t>WDCCB</t>
  </si>
  <si>
    <t>WDEIB</t>
  </si>
  <si>
    <t>WDICB</t>
  </si>
  <si>
    <t>WDRCB</t>
  </si>
  <si>
    <t>WDTCB</t>
  </si>
  <si>
    <t>WSCCB</t>
  </si>
  <si>
    <t>WSEIB</t>
  </si>
  <si>
    <t>WSICB</t>
  </si>
  <si>
    <t>WSTCB</t>
  </si>
  <si>
    <t>WWCCB</t>
  </si>
  <si>
    <t>WWEIB</t>
  </si>
  <si>
    <t>WWICB</t>
  </si>
  <si>
    <t>WWTCB</t>
  </si>
  <si>
    <t>WWTXB</t>
  </si>
  <si>
    <t>WXICB</t>
  </si>
  <si>
    <t>WYCCB</t>
  </si>
  <si>
    <t>WYEGB</t>
  </si>
  <si>
    <t>WYICB</t>
  </si>
  <si>
    <t>WYTCB</t>
  </si>
  <si>
    <t>WYTXB</t>
  </si>
  <si>
    <t>ZWCDP</t>
  </si>
  <si>
    <t>ZWHDP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</si>
  <si>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</si>
  <si>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</si>
  <si>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</si>
  <si>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</si>
  <si>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</si>
  <si>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</si>
  <si>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</si>
  <si>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</si>
  <si>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</si>
  <si>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</si>
  <si>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</si>
  <si>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</si>
  <si>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</si>
  <si>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</si>
  <si>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</si>
  <si>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</si>
  <si>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</si>
  <si>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</si>
  <si>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</si>
  <si>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</si>
  <si>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</si>
  <si>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</si>
  <si>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</si>
  <si>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</si>
  <si>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</si>
  <si>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</si>
  <si>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</si>
  <si>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</si>
  <si>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</si>
  <si>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</si>
  <si>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</si>
  <si>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</si>
  <si>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</si>
  <si>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</si>
  <si>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</si>
  <si>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</si>
  <si>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</si>
  <si>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</si>
  <si>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</si>
  <si>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</si>
  <si>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</si>
  <si>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</si>
  <si>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</si>
  <si>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</t>
  </si>
  <si>
    <t>CCEXB</t>
  </si>
  <si>
    <t>CCIMB</t>
  </si>
  <si>
    <t>CCNIB</t>
  </si>
  <si>
    <t>UT</t>
  </si>
  <si>
    <t>VA</t>
  </si>
  <si>
    <t>VT</t>
  </si>
  <si>
    <t>WA</t>
  </si>
  <si>
    <t>WI</t>
  </si>
  <si>
    <t>WV</t>
  </si>
  <si>
    <t>WY</t>
  </si>
  <si>
    <t>State Energy Data System</t>
  </si>
  <si>
    <t>Data Series Names (MSN) and Descriptions</t>
  </si>
  <si>
    <t>The MSNs are five-character codes, most of which are structured as follows:</t>
  </si>
  <si>
    <t>First and second characters - describes an energy source (for example, NG for natural gas, MG for motor gasoline)</t>
  </si>
  <si>
    <t>Third and fourth characters - describes an energy sector or an energy activity (for example, RC for residential consumption, PR for production)</t>
  </si>
  <si>
    <t>Fifth character - describes a type of data (for example, P for data in physical unit, B for data in billion Btu)</t>
  </si>
  <si>
    <t>Description</t>
  </si>
  <si>
    <t>Unit</t>
  </si>
  <si>
    <t>Aviation gasoline blending components consumed by the industrial sector</t>
  </si>
  <si>
    <t>Billion Btu</t>
  </si>
  <si>
    <t>ABICP</t>
  </si>
  <si>
    <t>Thousand barrels</t>
  </si>
  <si>
    <t>Asphalt and road oil consumed by the industrial sector</t>
  </si>
  <si>
    <t>ARICD</t>
  </si>
  <si>
    <t>Asphalt and road oil price in the industrial sector</t>
  </si>
  <si>
    <t>Dollars per million Btu</t>
  </si>
  <si>
    <t>ARICP</t>
  </si>
  <si>
    <t>ARICV</t>
  </si>
  <si>
    <t>Asphalt and road oil expenditures in the industrial sector</t>
  </si>
  <si>
    <t>Million dollars</t>
  </si>
  <si>
    <t>Asphalt and road oil total consumption</t>
  </si>
  <si>
    <t>ARTCD</t>
  </si>
  <si>
    <t>Asphalt and road oil average price, all sectors</t>
  </si>
  <si>
    <t>ARTCP</t>
  </si>
  <si>
    <t>ARTCV</t>
  </si>
  <si>
    <t>Asphalt and road oil total expenditures</t>
  </si>
  <si>
    <t>Asphalt and road oil total end-use consumption</t>
  </si>
  <si>
    <t>ARTXD</t>
  </si>
  <si>
    <t>Asphalt and road oil average price, all end-use sectors</t>
  </si>
  <si>
    <t>ARTXP</t>
  </si>
  <si>
    <t>ARTXV</t>
  </si>
  <si>
    <t>Asphalt and road oil total end-use expenditures</t>
  </si>
  <si>
    <t>Aviation gasoline consumed by the transportation sector</t>
  </si>
  <si>
    <t>AVACD</t>
  </si>
  <si>
    <t>Aviation gasoline price in the transportation sector</t>
  </si>
  <si>
    <t>AVACP</t>
  </si>
  <si>
    <t>AVACV</t>
  </si>
  <si>
    <t>Aviation gasoline expenditures in the transportation sector</t>
  </si>
  <si>
    <t>Aviation gasoline total consumption</t>
  </si>
  <si>
    <t>AVTCD</t>
  </si>
  <si>
    <t>Aviation gasoline average price, all sectors</t>
  </si>
  <si>
    <t>AVTCP</t>
  </si>
  <si>
    <t>AVTCV</t>
  </si>
  <si>
    <t>Aviation gasoline total expenditures</t>
  </si>
  <si>
    <t>Aviation gasoline total end-use consumption</t>
  </si>
  <si>
    <t>AVTXD</t>
  </si>
  <si>
    <t>Aviation gasoline average price, all end-use sectors</t>
  </si>
  <si>
    <t>AVTXP</t>
  </si>
  <si>
    <t>AVTXV</t>
  </si>
  <si>
    <t>Aviation gasoline total end-use expenditures</t>
  </si>
  <si>
    <t>Biodiesel consumed by the transportation sector</t>
  </si>
  <si>
    <t>BDACP</t>
  </si>
  <si>
    <t>BDFDB</t>
  </si>
  <si>
    <t>Biomass inputs (feedstock) to the production of biodiesel</t>
  </si>
  <si>
    <t>Energy losses and co-products from the production of biodiesel</t>
  </si>
  <si>
    <t>BDPRP</t>
  </si>
  <si>
    <t>Biodiesel production</t>
  </si>
  <si>
    <t>Biodiesel total consumption</t>
  </si>
  <si>
    <t>BDTCP</t>
  </si>
  <si>
    <t>BFFDB</t>
  </si>
  <si>
    <t>Biomass inputs (feedstock) to the production of biofuels</t>
  </si>
  <si>
    <t>Energy losses and co-products from the production of biofuels</t>
  </si>
  <si>
    <t>BFPRP</t>
  </si>
  <si>
    <t>Biofuels production</t>
  </si>
  <si>
    <t>Biofuels total consumption, including losses and co-products from the production of biofuels</t>
  </si>
  <si>
    <t>Biomass total consumption</t>
  </si>
  <si>
    <t>Normal butane consumed by the industrial sector</t>
  </si>
  <si>
    <t>BQICP</t>
  </si>
  <si>
    <t>Normal butane total consumption</t>
  </si>
  <si>
    <t>BQTCP</t>
  </si>
  <si>
    <t>Butylene from refineries consumed by the industrial sector</t>
  </si>
  <si>
    <t>BYICP</t>
  </si>
  <si>
    <t>Butylene from refineries total consumption</t>
  </si>
  <si>
    <t>BYTCP</t>
  </si>
  <si>
    <t xml:space="preserve">Coal coke exported from the United States </t>
  </si>
  <si>
    <t>CCEXD</t>
  </si>
  <si>
    <t>Coal coke exports average price, United States</t>
  </si>
  <si>
    <t>CCEXP</t>
  </si>
  <si>
    <t>Thousand short tons</t>
  </si>
  <si>
    <t>CCEXV</t>
  </si>
  <si>
    <t>Coal coke exports expenditures, United States</t>
  </si>
  <si>
    <t>Coal coke imported into the United States</t>
  </si>
  <si>
    <t>CCIMD</t>
  </si>
  <si>
    <t>Coal coke imports average price, United States</t>
  </si>
  <si>
    <t>CCIMP</t>
  </si>
  <si>
    <t>CCIMV</t>
  </si>
  <si>
    <t>Coal coke imports expenditures, United States</t>
  </si>
  <si>
    <t>Coal coke net imports into the United States</t>
  </si>
  <si>
    <t>CCNIP</t>
  </si>
  <si>
    <t>CCNIV</t>
  </si>
  <si>
    <t>Coal coke net imports expenditures, United States</t>
  </si>
  <si>
    <t>Coal consumed by the transportation sector</t>
  </si>
  <si>
    <t>CLACD</t>
  </si>
  <si>
    <t>Coal price in the transportation sector</t>
  </si>
  <si>
    <t>CLACK</t>
  </si>
  <si>
    <t>Factor for converting coal consumed by the transportation sector from physical units to Btu</t>
  </si>
  <si>
    <t>Million Btu per short ton</t>
  </si>
  <si>
    <t>CLACP</t>
  </si>
  <si>
    <t>CLACV</t>
  </si>
  <si>
    <t>Coal expenditures in the transportation sector</t>
  </si>
  <si>
    <t>Coal consumed by the commercial sector</t>
  </si>
  <si>
    <t>CLCCD</t>
  </si>
  <si>
    <t>Coal price in the commercial sector</t>
  </si>
  <si>
    <t>CLCCP</t>
  </si>
  <si>
    <t>CLCCV</t>
  </si>
  <si>
    <t>Coal expenditures in the commercial sector</t>
  </si>
  <si>
    <t>Coal consumed by the electric power sector</t>
  </si>
  <si>
    <t>CLEID</t>
  </si>
  <si>
    <t>Coal price in the electric power sector</t>
  </si>
  <si>
    <t>CLEIK</t>
  </si>
  <si>
    <t>Factor for converting coal consumed by the electric power sector from physical units to Btu</t>
  </si>
  <si>
    <t>CLEIP</t>
  </si>
  <si>
    <t>CLEIV</t>
  </si>
  <si>
    <t>Coal expenditures in the electric power sector</t>
  </si>
  <si>
    <t>CLHCK</t>
  </si>
  <si>
    <t>Factor for converting coal consumed by the residential and commercial sectors from physical units to Btu</t>
  </si>
  <si>
    <t>Coal consumed by the industrial sector</t>
  </si>
  <si>
    <t>CLICD</t>
  </si>
  <si>
    <t>Coal price in the industrial sector</t>
  </si>
  <si>
    <t>CLICP</t>
  </si>
  <si>
    <t>CLICV</t>
  </si>
  <si>
    <t>Coal expenditures in the industrial sector</t>
  </si>
  <si>
    <t>CLISB</t>
  </si>
  <si>
    <t>Coal consumed by the industrial sector excluding refinery fuel</t>
  </si>
  <si>
    <t>Coal consumed at coke plants (coking coal)</t>
  </si>
  <si>
    <t>CLKCD</t>
  </si>
  <si>
    <t>Coal price at coke plants</t>
  </si>
  <si>
    <t>CLKCK</t>
  </si>
  <si>
    <t>Factor for converting coal consumed at coke plants from physical units to Btu</t>
  </si>
  <si>
    <t>CLKCP</t>
  </si>
  <si>
    <t>Coal consumed by coke plants (coking coal)</t>
  </si>
  <si>
    <t>CLKCV</t>
  </si>
  <si>
    <t>Coal expenditures at coke plants</t>
  </si>
  <si>
    <t>Coal consumed by industrial users other than coke plants</t>
  </si>
  <si>
    <t>CLOCD</t>
  </si>
  <si>
    <t>Coal price in the industrial sector other than coke plants</t>
  </si>
  <si>
    <t>CLOCK</t>
  </si>
  <si>
    <t>Factor for converting coal consumed by industrial users other than coke plants from physical units to Btu</t>
  </si>
  <si>
    <t>CLOCP</t>
  </si>
  <si>
    <t>CLOCV</t>
  </si>
  <si>
    <t>Coal expenditures in the industrial sector other than coke plants</t>
  </si>
  <si>
    <t>CLOSB</t>
  </si>
  <si>
    <t>Coal consumed by the industrial sector other than coke plants excluding refinery fuel</t>
  </si>
  <si>
    <t>CLPRB</t>
  </si>
  <si>
    <t>Coal production</t>
  </si>
  <si>
    <t>CLPRK</t>
  </si>
  <si>
    <t>Factor for converting coal production from physical units to Btu</t>
  </si>
  <si>
    <t>CLPRP</t>
  </si>
  <si>
    <t>Coal consumed by the residential sector</t>
  </si>
  <si>
    <t>CLRCD</t>
  </si>
  <si>
    <t>Coal price in the residential sector</t>
  </si>
  <si>
    <t>CLRCP</t>
  </si>
  <si>
    <t>CLRCV</t>
  </si>
  <si>
    <t>Coal expenditures in the residential sector</t>
  </si>
  <si>
    <t>CLRFB</t>
  </si>
  <si>
    <t>Coal consumed as refinery fuel</t>
  </si>
  <si>
    <t>CLSCB</t>
  </si>
  <si>
    <t>Coal total consumption adjusted for process fuel</t>
  </si>
  <si>
    <t>Coal total consumption</t>
  </si>
  <si>
    <t>CLTCD</t>
  </si>
  <si>
    <t>Coal average price, all sectors</t>
  </si>
  <si>
    <t>CLTCP</t>
  </si>
  <si>
    <t>CLTCV</t>
  </si>
  <si>
    <t>Coal total expenditures</t>
  </si>
  <si>
    <t>Coal total end-use consumption</t>
  </si>
  <si>
    <t>CLTXD</t>
  </si>
  <si>
    <t>Coal average price, all end-use sectors</t>
  </si>
  <si>
    <t>CLTXP</t>
  </si>
  <si>
    <t>CLTXV</t>
  </si>
  <si>
    <t>Coal total end-use expenditures</t>
  </si>
  <si>
    <t>Crude oil consumed by the industrial sector</t>
  </si>
  <si>
    <t>COICP</t>
  </si>
  <si>
    <t>COPRK</t>
  </si>
  <si>
    <t>Factor for converting crude oil production from physical units to Btu</t>
  </si>
  <si>
    <t>Million Btu per barrel</t>
  </si>
  <si>
    <t>Distillate fuel oil consumed by the transportation sector</t>
  </si>
  <si>
    <t>DFACD</t>
  </si>
  <si>
    <t>Distillate fuel oil price in the transportation sector</t>
  </si>
  <si>
    <t>DFACP</t>
  </si>
  <si>
    <t>DFACV</t>
  </si>
  <si>
    <t>Distillate fuel oil expenditures in the transportation sector</t>
  </si>
  <si>
    <t>Distillate fuel oil consumed by the commercial sector</t>
  </si>
  <si>
    <t>DFCCD</t>
  </si>
  <si>
    <t>Distillate fuel oil price in the commercial sector</t>
  </si>
  <si>
    <t>DFCCP</t>
  </si>
  <si>
    <t>DFCCV</t>
  </si>
  <si>
    <t>Distillate fuel oil expenditures in the commercial sector</t>
  </si>
  <si>
    <t>Distillate fuel oil consumed by the electric power sector</t>
  </si>
  <si>
    <t>DFEID</t>
  </si>
  <si>
    <t>Distillate fuel oil price in the electric power sector</t>
  </si>
  <si>
    <t>DFEIP</t>
  </si>
  <si>
    <t>DFEIV</t>
  </si>
  <si>
    <t>Distillate fuel oil expenditures in the electric power sector</t>
  </si>
  <si>
    <t>Distillate fuel oil consumed by the industrial sector</t>
  </si>
  <si>
    <t>DFICD</t>
  </si>
  <si>
    <t>Distillate fuel oil price in the industrial sector</t>
  </si>
  <si>
    <t>DFICP</t>
  </si>
  <si>
    <t>DFICV</t>
  </si>
  <si>
    <t>Distillate fuel oil expenditures in the industrial sector</t>
  </si>
  <si>
    <t>DFISB</t>
  </si>
  <si>
    <t>Distillate fuel oil consumed by the industrial sector excluding refinery fuel</t>
  </si>
  <si>
    <t>Distillate fuel oil consumed by the residential sector</t>
  </si>
  <si>
    <t>DFRCD</t>
  </si>
  <si>
    <t>Distillate fuel oil price in the residential sector</t>
  </si>
  <si>
    <t>DFRCP</t>
  </si>
  <si>
    <t>DFRCV</t>
  </si>
  <si>
    <t>Distillate fuel oil expenditures in the residential sector</t>
  </si>
  <si>
    <t>DFRFB</t>
  </si>
  <si>
    <t>Distillate fuel oil consumed as refinery fuel</t>
  </si>
  <si>
    <t>DFSCB</t>
  </si>
  <si>
    <t>Distillate fuel oil total consumption adjusted for process fuel</t>
  </si>
  <si>
    <t>Distillate fuel oil total consumption</t>
  </si>
  <si>
    <t>DFTCD</t>
  </si>
  <si>
    <t>Distillate fuel oil average price, all sectors</t>
  </si>
  <si>
    <t>DFTCK</t>
  </si>
  <si>
    <t>Factor converting distillate fuel oil physical units to Btu, United States only</t>
  </si>
  <si>
    <t>DFTCP</t>
  </si>
  <si>
    <t>DFTCV</t>
  </si>
  <si>
    <t>Distillate fuel oil total expenditures</t>
  </si>
  <si>
    <t>Distillate fuel oil total end-use consumption</t>
  </si>
  <si>
    <t>DFTXD</t>
  </si>
  <si>
    <t>Distillate fuel oil average price, all end-use sectors</t>
  </si>
  <si>
    <t>DFTXP</t>
  </si>
  <si>
    <t>DFTXV</t>
  </si>
  <si>
    <t>Distillate fuel oil total end-use expenditures</t>
  </si>
  <si>
    <t>Distillate fuel oil (including other light fuel oil before 2001) consumed by the electric power sector</t>
  </si>
  <si>
    <t>DKEID</t>
  </si>
  <si>
    <t>Distillate fuel oil (including other light fuel oil before 2001) price in the electric power sector</t>
  </si>
  <si>
    <t>DKEIP</t>
  </si>
  <si>
    <t>DKEIV</t>
  </si>
  <si>
    <t>Distillate fuel oil (including other light fuel oil before 2001) expenditures in the electric power sector</t>
  </si>
  <si>
    <t>Distillate fuel oil, excluding biodiesel, total consumption</t>
  </si>
  <si>
    <t>Electricity exported from the United States</t>
  </si>
  <si>
    <t>ELEXD</t>
  </si>
  <si>
    <t>Electricity exports average price</t>
  </si>
  <si>
    <t>ELEXP</t>
  </si>
  <si>
    <t>Million kilowatthours</t>
  </si>
  <si>
    <t>ELEXV</t>
  </si>
  <si>
    <t>Electricity exports expenditures</t>
  </si>
  <si>
    <t>Electricity imported into the United States</t>
  </si>
  <si>
    <t>ELIMD</t>
  </si>
  <si>
    <t>Electricity imports average price</t>
  </si>
  <si>
    <t>ELIMP</t>
  </si>
  <si>
    <t>ELIMV</t>
  </si>
  <si>
    <t>Electricity imports expenditures</t>
  </si>
  <si>
    <t>Net interstate flow of electricity and associated losses (negative indicates flow out of state)</t>
  </si>
  <si>
    <t>ELISP</t>
  </si>
  <si>
    <t>Net interstate flow of electricity (negative indicates flow out of state)</t>
  </si>
  <si>
    <t>Net imports of electricity into the United States</t>
  </si>
  <si>
    <t>ELNIP</t>
  </si>
  <si>
    <t xml:space="preserve">Fuel ethanol, excluding denaturant, consumed by the transportation sector   </t>
  </si>
  <si>
    <t>EMACV</t>
  </si>
  <si>
    <t>Fuel ethanol, excluding denaturant, expenditures in the transportation sector (through 1992)</t>
  </si>
  <si>
    <t xml:space="preserve">Fuel ethanol, excluding denaturant, consumed by the commercial sector </t>
  </si>
  <si>
    <t>EMCCV</t>
  </si>
  <si>
    <t>Fuel ethanol, excluding denaturant, expenditures in the commercial sector (through 1992)</t>
  </si>
  <si>
    <t>EMFDB</t>
  </si>
  <si>
    <t>Biomass inputs (feedstock) to the production of fuel ethanol</t>
  </si>
  <si>
    <t xml:space="preserve">Fuel ethanol, excluding denaturant, consumed by the industrial sector </t>
  </si>
  <si>
    <t>EMICV</t>
  </si>
  <si>
    <t>Fuel ethanol, excluding denaturant, expenditures in the industrial sector (through 1992)</t>
  </si>
  <si>
    <t>Energy losses and co-products from the production of fuel ethanol</t>
  </si>
  <si>
    <t>Fuel ethanol, excluding denaturant, total consumption</t>
  </si>
  <si>
    <t>EMTCV</t>
  </si>
  <si>
    <t>Fuel ethanol, excluding denaturant, total expenditures (through 1992)</t>
  </si>
  <si>
    <t>ENACP</t>
  </si>
  <si>
    <t>Fuel ethanol, including denaturant, consumed by the transportation sector</t>
  </si>
  <si>
    <t>ENCCP</t>
  </si>
  <si>
    <t>Fuel ethanol, including denaturant, consumed by the commercial sector</t>
  </si>
  <si>
    <t>ENICP</t>
  </si>
  <si>
    <t>Fuel ethanol, including denaturant, consumed by the industrial sector</t>
  </si>
  <si>
    <t>ENPRP</t>
  </si>
  <si>
    <t>Fuel ethanol production, including denaturant</t>
  </si>
  <si>
    <t>ENTCK</t>
  </si>
  <si>
    <t>Factor for converting fuel ethanol consumption from physical units to Btu</t>
  </si>
  <si>
    <t>ENTCP</t>
  </si>
  <si>
    <t>Fuel ethanol, including denaturant, total consumption</t>
  </si>
  <si>
    <t>Ethane consumed by the industrial sector</t>
  </si>
  <si>
    <t>EQICP</t>
  </si>
  <si>
    <t>Ethane total consumption</t>
  </si>
  <si>
    <t>EQTCP</t>
  </si>
  <si>
    <t>Electricity consumed by (i.e., sold to) the transportation sector</t>
  </si>
  <si>
    <t>ESACD</t>
  </si>
  <si>
    <t>Electricity price in the transportation sector</t>
  </si>
  <si>
    <t>ESACP</t>
  </si>
  <si>
    <t>ESACV</t>
  </si>
  <si>
    <t>Electricity expenditures in the transportation sector</t>
  </si>
  <si>
    <t>Electricity consumed by (i.e., sold to) the commercial sector</t>
  </si>
  <si>
    <t>ESCCD</t>
  </si>
  <si>
    <t>Electricity price in the commercial sector</t>
  </si>
  <si>
    <t>ESCCP</t>
  </si>
  <si>
    <t>ESCCV</t>
  </si>
  <si>
    <t>Electricity expenditures in the commercial sector</t>
  </si>
  <si>
    <t>Electricity consumed by (i.e., sold to) the industrial sector</t>
  </si>
  <si>
    <t>ESICD</t>
  </si>
  <si>
    <t>Electricity price in the industrial sector</t>
  </si>
  <si>
    <t>ESICP</t>
  </si>
  <si>
    <t>ESICV</t>
  </si>
  <si>
    <t>Electricity expenditures in the industrial sector</t>
  </si>
  <si>
    <t>ESISB</t>
  </si>
  <si>
    <t>Electricity sales to the industrial sector excluding refinery use</t>
  </si>
  <si>
    <t>Electricity consumed by (i.e., sold to) the residential sector</t>
  </si>
  <si>
    <t>ESRCD</t>
  </si>
  <si>
    <t>Electricity price in the residential sector</t>
  </si>
  <si>
    <t>ESRCP</t>
  </si>
  <si>
    <t>ESRCV</t>
  </si>
  <si>
    <t>Electricity expenditures in the residential sector</t>
  </si>
  <si>
    <t>ESRFB</t>
  </si>
  <si>
    <t>Electricity consumed by refineries</t>
  </si>
  <si>
    <t>ESRPP</t>
  </si>
  <si>
    <t>Electricity consumed by (i.e., sold to) the residential sector per capita</t>
  </si>
  <si>
    <t>Kilowatthours</t>
  </si>
  <si>
    <t>ESSCB</t>
  </si>
  <si>
    <t>Electricity total consumption adjusted for process fuel</t>
  </si>
  <si>
    <t>Electricity total consumption (i.e., retail sales)</t>
  </si>
  <si>
    <t>ESTCD</t>
  </si>
  <si>
    <t>Electricity average price, all sectors</t>
  </si>
  <si>
    <t>ESTCP</t>
  </si>
  <si>
    <t>ESTCV</t>
  </si>
  <si>
    <t>Electricity total expenditures</t>
  </si>
  <si>
    <t>ESTPP</t>
  </si>
  <si>
    <t>Electricity total consumption (i.e., retail sales) per capita</t>
  </si>
  <si>
    <t>Electricity total end-use consumption (i.e., retail sales)</t>
  </si>
  <si>
    <t>ESTXD</t>
  </si>
  <si>
    <t>Electricity average price, all end-use sectors</t>
  </si>
  <si>
    <t>ESTXP</t>
  </si>
  <si>
    <t>ESTXV</t>
  </si>
  <si>
    <t>Electricity total end-use expenditures</t>
  </si>
  <si>
    <t>Ethylene from refineries consumed by the industrial sector</t>
  </si>
  <si>
    <t>EYICP</t>
  </si>
  <si>
    <t>Ethylene from refineries total consumption</t>
  </si>
  <si>
    <t>EYTCP</t>
  </si>
  <si>
    <t>FFETK</t>
  </si>
  <si>
    <t>Fossil fueled steam-electric power plant conversion factor, United States only</t>
  </si>
  <si>
    <t>Thousand Btu per kilowatthour</t>
  </si>
  <si>
    <t>Fossil fuels total consumption</t>
  </si>
  <si>
    <t>Petrochemical feedstocks, naphtha, less than 401° F, consumed by the industrial sector</t>
  </si>
  <si>
    <t>FNICD</t>
  </si>
  <si>
    <t>Petrochemical feedstocks, naphtha less than 401° F, price in the industrial sector</t>
  </si>
  <si>
    <t>FNICP</t>
  </si>
  <si>
    <t>Petrochemical feedstocks, naphtha less than 401° F, consumed by the industrial sector</t>
  </si>
  <si>
    <t>FNICV</t>
  </si>
  <si>
    <t>Petrochemical feedstocks, naphtha less than 401° F, expenditures in the industrial sector</t>
  </si>
  <si>
    <t>Petrochemical feedstocks, other oils equal to or greater than 401° F, consumed by the industrial sector</t>
  </si>
  <si>
    <t>FOICD</t>
  </si>
  <si>
    <t>Petrochemical feedstocks, other oils equal to or greater than 401° F, price in the industrial sector</t>
  </si>
  <si>
    <t>FOICP</t>
  </si>
  <si>
    <t>FOICV</t>
  </si>
  <si>
    <t>Petrochemical feedstocks, other oils equal to or greater than 401° F, expenditures in the industrial sector</t>
  </si>
  <si>
    <t>Petrochemical feedstocks, still gas, consumed by the industrial sector (through 1985)</t>
  </si>
  <si>
    <t>FSICD</t>
  </si>
  <si>
    <t>Petrochemical feedstocks, still gas, price in the industrial sector</t>
  </si>
  <si>
    <t>FSICP</t>
  </si>
  <si>
    <t>Petrochemical feedstocks, still gas, consumed by the industrial sector</t>
  </si>
  <si>
    <t>FSICV</t>
  </si>
  <si>
    <t>Petrochemical feedstocks, still gas, expenditures in the industrial sector</t>
  </si>
  <si>
    <t>Current-dollar gross domestic product</t>
  </si>
  <si>
    <t>Real gross domestic product</t>
  </si>
  <si>
    <t>Million chained (2012) dollars</t>
  </si>
  <si>
    <t>Geothermal energy consumed by the commercial sector</t>
  </si>
  <si>
    <t>Geothermal energy consumed for electricity generation by the electric power sector</t>
  </si>
  <si>
    <t>GEEGP</t>
  </si>
  <si>
    <t>Geothermal electricity net generation in the electric power sector</t>
  </si>
  <si>
    <t>Geothermal energy consumed by the industrial sector</t>
  </si>
  <si>
    <t>Geothermal energy consumed by the residential sector</t>
  </si>
  <si>
    <t>Geothermal energy total consumption</t>
  </si>
  <si>
    <t>Geothermal energy total end-use consumption</t>
  </si>
  <si>
    <t>Hydrocarbon gas liquids consumed by the transportation sector</t>
  </si>
  <si>
    <t>HLACD</t>
  </si>
  <si>
    <t>Hydrocarbon gas liquids price in the transportation sector</t>
  </si>
  <si>
    <t>HLACP</t>
  </si>
  <si>
    <t>HLACV</t>
  </si>
  <si>
    <t>Hydrocarbon gas liquids expenditures in the transportation sector</t>
  </si>
  <si>
    <t>Hydrocarbon gas liquids consumed by the commercial sector</t>
  </si>
  <si>
    <t>HLCCD</t>
  </si>
  <si>
    <t>Hydrocarbon gas liquids price in the commercial sector</t>
  </si>
  <si>
    <t>HLCCP</t>
  </si>
  <si>
    <t>HLCCV</t>
  </si>
  <si>
    <t>Hydrocarbon gas liquids expenditures in the commercial sector</t>
  </si>
  <si>
    <t>Hydrocarbon gas liquids consumed by the industrial sector</t>
  </si>
  <si>
    <t>HLICD</t>
  </si>
  <si>
    <t>Hydrocarbon gas liquids price in the industrial sector</t>
  </si>
  <si>
    <t>HLICK</t>
  </si>
  <si>
    <t>Average conversion factor for industrial consumption of hydrocarbon gas liquids</t>
  </si>
  <si>
    <t>HLICP</t>
  </si>
  <si>
    <t>HLICV</t>
  </si>
  <si>
    <t>Hydrocarbon gas liquids expenditures in the industrial sector</t>
  </si>
  <si>
    <t>HLISB</t>
  </si>
  <si>
    <t>Hydrocarbon gas liquids consumed by the industrial sector adjusted for processed fuel</t>
  </si>
  <si>
    <t>Hydrocarbon gas liquids consumed by the residential sector</t>
  </si>
  <si>
    <t>HLRCD</t>
  </si>
  <si>
    <t>Hydrocarbon gas liquids price in the residential sector</t>
  </si>
  <si>
    <t>HLRCP</t>
  </si>
  <si>
    <t>HLRCV</t>
  </si>
  <si>
    <t>Hydrocarbon gas liquids expenditures in the residential sector</t>
  </si>
  <si>
    <t>HLRFB</t>
  </si>
  <si>
    <t>Hydrocarbon gas liquids consumed as refinery fuel and intermediate products</t>
  </si>
  <si>
    <t>HLSCB</t>
  </si>
  <si>
    <t>Hydrocarbon gas liquids total consumption adjusted for processed fuel</t>
  </si>
  <si>
    <t>Hydrocarbon gas liquids total consumption</t>
  </si>
  <si>
    <t>HLTCD</t>
  </si>
  <si>
    <t>Hydrocarbon gas liquids average price, all sectors</t>
  </si>
  <si>
    <t>HLTCK</t>
  </si>
  <si>
    <t>Factor for converting hydrocarbon gas liquids physical units to Btu</t>
  </si>
  <si>
    <t>HLTCP</t>
  </si>
  <si>
    <t>HLTCV</t>
  </si>
  <si>
    <t>Hydrocarbon gas liquids total expenditures</t>
  </si>
  <si>
    <t>Hydrocarbon gas liquids total end-use consumption</t>
  </si>
  <si>
    <t>HLTXD</t>
  </si>
  <si>
    <t>Hydrocarbon gas liquids average price, all end-use sectors</t>
  </si>
  <si>
    <t>HLTXP</t>
  </si>
  <si>
    <t>HLTXV</t>
  </si>
  <si>
    <t>Hydrocarbon gas liquids total end-use expenditures</t>
  </si>
  <si>
    <t>Hydropower consumed by the commercial sector</t>
  </si>
  <si>
    <t>HYCCP</t>
  </si>
  <si>
    <t>Hydroelectricity net generation in the commercial sector</t>
  </si>
  <si>
    <t>Hydropower consumed for electricity generation by the electric power sector</t>
  </si>
  <si>
    <t>HYEGP</t>
  </si>
  <si>
    <t>Hydroelectricity net generation in the electric power sector</t>
  </si>
  <si>
    <t>Hydropower consumed by the industrial sector</t>
  </si>
  <si>
    <t>HYICP</t>
  </si>
  <si>
    <t>Hydroelectricity net generation in the industrial sector</t>
  </si>
  <si>
    <t>Hydropower total consumption</t>
  </si>
  <si>
    <t>HYTCP</t>
  </si>
  <si>
    <t>Hydroelectricity total net generation</t>
  </si>
  <si>
    <t>Hydropower total end-use consumption</t>
  </si>
  <si>
    <t>HYTXP</t>
  </si>
  <si>
    <t>Hydroelectricity, total end-use net generation</t>
  </si>
  <si>
    <t>Isobutane consumed by the industrial sector</t>
  </si>
  <si>
    <t>IQICP</t>
  </si>
  <si>
    <t>Isobutane total consumption</t>
  </si>
  <si>
    <t>IQTCP</t>
  </si>
  <si>
    <t>Isobutylene from refineries consumed by the industrial sector</t>
  </si>
  <si>
    <t>IYICP</t>
  </si>
  <si>
    <t>Isobutylene from refineries total consumption</t>
  </si>
  <si>
    <t>IYTCP</t>
  </si>
  <si>
    <t>Jet fuel consumed by the transportation sector</t>
  </si>
  <si>
    <t>JFACD</t>
  </si>
  <si>
    <t>Jet fuel price in the transportation sector</t>
  </si>
  <si>
    <t>JFACP</t>
  </si>
  <si>
    <t>JFACV</t>
  </si>
  <si>
    <t>Jet fuel expenditures in the transportation sector</t>
  </si>
  <si>
    <t>Jet fuel total consumption</t>
  </si>
  <si>
    <t>JFTCD</t>
  </si>
  <si>
    <t>Jet fuel average price, all sectors</t>
  </si>
  <si>
    <t>JFTCP</t>
  </si>
  <si>
    <t>JFTCV</t>
  </si>
  <si>
    <t>Jet fuel total expenditures</t>
  </si>
  <si>
    <t>Jet fuel total end-use consumption</t>
  </si>
  <si>
    <t>JFTXD</t>
  </si>
  <si>
    <t>Jet fuel average price, all end-use sectors</t>
  </si>
  <si>
    <t>JFTXP</t>
  </si>
  <si>
    <t>JFTXV</t>
  </si>
  <si>
    <t>Jet fuel total end-use expenditures</t>
  </si>
  <si>
    <t>Kerosene consumed by the commercial sector</t>
  </si>
  <si>
    <t>KSCCD</t>
  </si>
  <si>
    <t>Kerosene price in the commercial sector</t>
  </si>
  <si>
    <t>KSCCP</t>
  </si>
  <si>
    <t>KSCCV</t>
  </si>
  <si>
    <t>Kerosene expenditures in the commercial sector</t>
  </si>
  <si>
    <t>Kerosene consumed by the industrial sector</t>
  </si>
  <si>
    <t>KSICD</t>
  </si>
  <si>
    <t>Kerosene price in the industrial sector</t>
  </si>
  <si>
    <t>KSICP</t>
  </si>
  <si>
    <t>KSICV</t>
  </si>
  <si>
    <t>Kerosene expenditures in the industrial sector</t>
  </si>
  <si>
    <t>Kerosene consumed by the residential sector</t>
  </si>
  <si>
    <t>KSRCD</t>
  </si>
  <si>
    <t>Kerosene price in the residential sector</t>
  </si>
  <si>
    <t>KSRCP</t>
  </si>
  <si>
    <t>KSRCV</t>
  </si>
  <si>
    <t>Kerosene expenditures in the residential sector</t>
  </si>
  <si>
    <t>Kerosene total consumption</t>
  </si>
  <si>
    <t>KSTCD</t>
  </si>
  <si>
    <t>Kerosene average price, all sectors</t>
  </si>
  <si>
    <t>KSTCP</t>
  </si>
  <si>
    <t>KSTCV</t>
  </si>
  <si>
    <t>Kerosene total expenditures</t>
  </si>
  <si>
    <t>Kerosene total end-use consumption</t>
  </si>
  <si>
    <t>KSTXD</t>
  </si>
  <si>
    <t>Kerosene average price, all end-use sectors</t>
  </si>
  <si>
    <t>KSTXP</t>
  </si>
  <si>
    <t>KSTXV</t>
  </si>
  <si>
    <t>Kerosene total end-use expenditures</t>
  </si>
  <si>
    <t>The transportation sector's share of electrical system energy losses</t>
  </si>
  <si>
    <t>The commercial sector's share of electrical system energy losses</t>
  </si>
  <si>
    <t>The industrial sector's share of electrical system energy losses</t>
  </si>
  <si>
    <t>The residential sector's share of electrical system energy losses</t>
  </si>
  <si>
    <t>Total electrical system energy losses</t>
  </si>
  <si>
    <t>Total electrical system energy losses allocated to the end-use sectors</t>
  </si>
  <si>
    <t>Lubricants consumed by the transportation sector</t>
  </si>
  <si>
    <t>LUACD</t>
  </si>
  <si>
    <t>Lubricants price in the transportation sector</t>
  </si>
  <si>
    <t>LUACP</t>
  </si>
  <si>
    <t>LUACV</t>
  </si>
  <si>
    <t>Lubricants expenditures in the transportation sector</t>
  </si>
  <si>
    <t>Lubricants consumed by the industrial sector</t>
  </si>
  <si>
    <t>LUICD</t>
  </si>
  <si>
    <t>Lubricants price in the industrial sector</t>
  </si>
  <si>
    <t>LUICP</t>
  </si>
  <si>
    <t>LUICV</t>
  </si>
  <si>
    <t>Lubricants expenditures in the industrial sector</t>
  </si>
  <si>
    <t>Lubricants total consumption</t>
  </si>
  <si>
    <t>LUTCD</t>
  </si>
  <si>
    <t>Lubricants average price, all sectors</t>
  </si>
  <si>
    <t>LUTCP</t>
  </si>
  <si>
    <t>LUTCV</t>
  </si>
  <si>
    <t>Lubricants total expenditures</t>
  </si>
  <si>
    <t>Lubricants total end-use consumption</t>
  </si>
  <si>
    <t>LUTXD</t>
  </si>
  <si>
    <t>Lubricants average price, all end-use sectors</t>
  </si>
  <si>
    <t>LUTXP</t>
  </si>
  <si>
    <t>LUTXV</t>
  </si>
  <si>
    <t>Lubricants total end-use expenditures</t>
  </si>
  <si>
    <t>Motor gasoline blending components consumed by the industrial sector</t>
  </si>
  <si>
    <t>MBICP</t>
  </si>
  <si>
    <t>MBTCK</t>
  </si>
  <si>
    <t>Factor converting motor gasoline blending components physical units to Btu, United States only</t>
  </si>
  <si>
    <t>Motor gasoline consumed by the transportation sector</t>
  </si>
  <si>
    <t>MGACD</t>
  </si>
  <si>
    <t>Motor gasoline price in the transportation sector</t>
  </si>
  <si>
    <t>MGACP</t>
  </si>
  <si>
    <t>MGACV</t>
  </si>
  <si>
    <t>Motor gasoline expenditures in the transportation sector</t>
  </si>
  <si>
    <t>Motor gasoline consumed by the commercial sector</t>
  </si>
  <si>
    <t>MGCCD</t>
  </si>
  <si>
    <t>Motor gasoline price in the commercial sector</t>
  </si>
  <si>
    <t>MGCCP</t>
  </si>
  <si>
    <t>MGCCV</t>
  </si>
  <si>
    <t>Motor gasoline expenditures in the commercial sector</t>
  </si>
  <si>
    <t>Motor gasoline consumed by the industrial sector</t>
  </si>
  <si>
    <t>MGICD</t>
  </si>
  <si>
    <t>Motor gasoline price in the industrial sector</t>
  </si>
  <si>
    <t>MGICP</t>
  </si>
  <si>
    <t>MGICV</t>
  </si>
  <si>
    <t>Motor gasoline expenditures in the industrial sector</t>
  </si>
  <si>
    <t>Motor gasoline total consumption</t>
  </si>
  <si>
    <t>MGTCD</t>
  </si>
  <si>
    <t>Motor gasoline average price, all sectors</t>
  </si>
  <si>
    <t>MGTCK</t>
  </si>
  <si>
    <t>Factor converting motor gasoline physical units to Btu, United States only</t>
  </si>
  <si>
    <t>MGTCP</t>
  </si>
  <si>
    <t>MGTCV</t>
  </si>
  <si>
    <t>Motor gasoline total expenditures</t>
  </si>
  <si>
    <t>MGTPV</t>
  </si>
  <si>
    <t>Motor gasoline expenditures per capita</t>
  </si>
  <si>
    <t>Dollars</t>
  </si>
  <si>
    <t>Motor gasoline total end-use consumption</t>
  </si>
  <si>
    <t>MGTXD</t>
  </si>
  <si>
    <t>Motor gasoline average price, all end-use sectors</t>
  </si>
  <si>
    <t>MGTXP</t>
  </si>
  <si>
    <t>MGTXV</t>
  </si>
  <si>
    <t>Motor gasoline total end-use expenditures</t>
  </si>
  <si>
    <t>Motor gasoline total consumption, excluding fuel ethanol</t>
  </si>
  <si>
    <t>Miscellaneous petroleum products consumed by the industrial sector</t>
  </si>
  <si>
    <t>MSICD</t>
  </si>
  <si>
    <t>Miscellaneous petroleum products price in the industrial sector</t>
  </si>
  <si>
    <t>MSICP</t>
  </si>
  <si>
    <t>MSICV</t>
  </si>
  <si>
    <t>Miscellaneous petroleum products expenditures in the industrial sector</t>
  </si>
  <si>
    <t>Natural gasoline consumed by the industrial sector (through 1983)</t>
  </si>
  <si>
    <t>NAICP</t>
  </si>
  <si>
    <t>NCPRB</t>
  </si>
  <si>
    <t>Noncombustible renewable energy production</t>
  </si>
  <si>
    <t xml:space="preserve">Natural gas consumed by the transportation sector </t>
  </si>
  <si>
    <t>NGACD</t>
  </si>
  <si>
    <t>Natural gas price in the transportation sector</t>
  </si>
  <si>
    <t>NGACP</t>
  </si>
  <si>
    <t>Natural gas consumed by the transportation sector</t>
  </si>
  <si>
    <t>Million cubic feet</t>
  </si>
  <si>
    <t>NGACV</t>
  </si>
  <si>
    <t>Natural gas expenditures in the transportation sector</t>
  </si>
  <si>
    <t>NGASB</t>
  </si>
  <si>
    <t>Natural gas consumed by the transportation sector adjusted for process fuel</t>
  </si>
  <si>
    <t>Natural gas consumed by (delivered to) the commercial sector</t>
  </si>
  <si>
    <t>NGCCD</t>
  </si>
  <si>
    <t>Natural gas price in the commercial sector</t>
  </si>
  <si>
    <t>NGCCP</t>
  </si>
  <si>
    <t>NGCCV</t>
  </si>
  <si>
    <t>Natural gas expenditures in the commercial sector</t>
  </si>
  <si>
    <t>Natural gas consumed by the electric power sector</t>
  </si>
  <si>
    <t>NGEID</t>
  </si>
  <si>
    <t>Natural gas price in the electric power sector</t>
  </si>
  <si>
    <t>NGEIK</t>
  </si>
  <si>
    <t>Factor for converting natural gas consumed by the electric power sector from physical units to Btu</t>
  </si>
  <si>
    <t>Thousand Btu per cubic foot</t>
  </si>
  <si>
    <t>NGEIP</t>
  </si>
  <si>
    <t>NGEIV</t>
  </si>
  <si>
    <t>Natural gas expenditures in the electric power sector</t>
  </si>
  <si>
    <t>Natural gas consumed by the industrial sector</t>
  </si>
  <si>
    <t>NGICD</t>
  </si>
  <si>
    <t>Natural gas price in the industrial sector</t>
  </si>
  <si>
    <t>NGICP</t>
  </si>
  <si>
    <t>NGICV</t>
  </si>
  <si>
    <t>Natural gas expenditures in the industrial sector</t>
  </si>
  <si>
    <t>NGISB</t>
  </si>
  <si>
    <t>Natural gas consumed by the industrial sector excluding refinery fuel</t>
  </si>
  <si>
    <t>NGLPB</t>
  </si>
  <si>
    <t>Natural gas consumed as lease and plant fuel</t>
  </si>
  <si>
    <t>energy pipelines or oil and gas</t>
  </si>
  <si>
    <t>NGMPB</t>
  </si>
  <si>
    <t>Natural gas marketed production</t>
  </si>
  <si>
    <t>NGMPK</t>
  </si>
  <si>
    <t>Conversion factor for natural gas marketed production</t>
  </si>
  <si>
    <t>Thousand Btu per cubic feet</t>
  </si>
  <si>
    <t>NGMPP</t>
  </si>
  <si>
    <t>NGPZB</t>
  </si>
  <si>
    <t>Natural gas for pipeline and distribution use</t>
  </si>
  <si>
    <t>Natural gas consumed by (delivered to) the residential sector</t>
  </si>
  <si>
    <t>NGRCD</t>
  </si>
  <si>
    <t>Natural gas price in the residential sector</t>
  </si>
  <si>
    <t>NGRCP</t>
  </si>
  <si>
    <t>NGRCV</t>
  </si>
  <si>
    <t>Natural gas expenditures in the residential sector</t>
  </si>
  <si>
    <t>NGRFB</t>
  </si>
  <si>
    <t>Natural gas consumed as refinery fuel</t>
  </si>
  <si>
    <t>refinery</t>
  </si>
  <si>
    <t>NGSCB</t>
  </si>
  <si>
    <t>Natural gas total consumption adjusted for process fuel</t>
  </si>
  <si>
    <t>Natural gas total consumption</t>
  </si>
  <si>
    <t>NGTCD</t>
  </si>
  <si>
    <t>Natural gas average price, all sectors</t>
  </si>
  <si>
    <t>NGTCK</t>
  </si>
  <si>
    <t>Factor for converting natural gas total consumption from physical units to Btu</t>
  </si>
  <si>
    <t>NGTCP</t>
  </si>
  <si>
    <t>NGTCV</t>
  </si>
  <si>
    <t>Natural gas total expenditures</t>
  </si>
  <si>
    <t>Natural gas total consumption per capita</t>
  </si>
  <si>
    <t>Million Btu</t>
  </si>
  <si>
    <t>NGTPP</t>
  </si>
  <si>
    <t>Thousand cubic feet</t>
  </si>
  <si>
    <t>Natural gas total end-use consumption</t>
  </si>
  <si>
    <t>NGTXD</t>
  </si>
  <si>
    <t>Natural gas average price, all end-use sectors</t>
  </si>
  <si>
    <t>NGTXK</t>
  </si>
  <si>
    <t>Factor for converting natural gas consumed by all sectors other than electric power from physical units to Btu</t>
  </si>
  <si>
    <t>NGTXP</t>
  </si>
  <si>
    <t>NGTXV</t>
  </si>
  <si>
    <t>Natural gas total end-use expenditures</t>
  </si>
  <si>
    <t>Natural gas total consumption (excluding supplemental gaseous fuels)</t>
  </si>
  <si>
    <t>Nuclear energy consumed for electricity generation by the electric power sector</t>
  </si>
  <si>
    <t>NUEGD</t>
  </si>
  <si>
    <t>Nuclear fuel price in the electric power sector</t>
  </si>
  <si>
    <t>NUEGP</t>
  </si>
  <si>
    <t>Nuclear electricity net generation in the electric power sector</t>
  </si>
  <si>
    <t>NUEGV</t>
  </si>
  <si>
    <t>Nuclear fuel expenditures in the electric power sector</t>
  </si>
  <si>
    <t>Nuclear energy consumed for electricity generation, total</t>
  </si>
  <si>
    <t>NUETD</t>
  </si>
  <si>
    <t>Nuclear fuel average price, all sectors</t>
  </si>
  <si>
    <t>NUETK</t>
  </si>
  <si>
    <t>Factor for converting electricity generated from nuclear power from physical units to Btu, United States only</t>
  </si>
  <si>
    <t>NUETP</t>
  </si>
  <si>
    <t>Nuclear electricity total net generation</t>
  </si>
  <si>
    <t>NUETV</t>
  </si>
  <si>
    <t>Nuclear fuel total expenditures</t>
  </si>
  <si>
    <t>Other hydrocarbon gas liquids (other than propane) consumed by the industrial sector</t>
  </si>
  <si>
    <t>OHICD</t>
  </si>
  <si>
    <t>Other hydrocarbon gas liquids (other than propane) price in the industrial sector</t>
  </si>
  <si>
    <t>OHICV</t>
  </si>
  <si>
    <t>Other hydrocarbon gas liquids (other than propane) expenditures in the industrial sector</t>
  </si>
  <si>
    <t>Other petroleum products consumed by the industrial sector</t>
  </si>
  <si>
    <t>OPICD</t>
  </si>
  <si>
    <t>Other petroleum products average price in the industrial sector</t>
  </si>
  <si>
    <t>OPICP</t>
  </si>
  <si>
    <t>OPICV</t>
  </si>
  <si>
    <t>Other petroleum products total expenditures in the industrial sector</t>
  </si>
  <si>
    <t>OPISB</t>
  </si>
  <si>
    <t>Other petroleum products consumed by the industrial sector excluding refinery fuel and intermediate products</t>
  </si>
  <si>
    <t>OPSCB</t>
  </si>
  <si>
    <t>Other petroleum products total consumption adjusted for refinery fuel and intermediate products</t>
  </si>
  <si>
    <t>Other petroleum products total consumption</t>
  </si>
  <si>
    <t>OPTCD</t>
  </si>
  <si>
    <t>Other petroleum products average price, all sectors</t>
  </si>
  <si>
    <t>OPTCP</t>
  </si>
  <si>
    <t>OPTCV</t>
  </si>
  <si>
    <t>Other petroleum products total expenditures</t>
  </si>
  <si>
    <t>Other petroleum products total end-use consumption</t>
  </si>
  <si>
    <t>OPTXD</t>
  </si>
  <si>
    <t>Other petroleum products average price, all end-use sectors</t>
  </si>
  <si>
    <t>OPTXP</t>
  </si>
  <si>
    <t>OPTXV</t>
  </si>
  <si>
    <t>Other petroleum products total end-use expenditures</t>
  </si>
  <si>
    <t>Asphalt and road oil, kerosene, lubricants, petroleum coke, and "other petroleum products" consumed by the industrial sector</t>
  </si>
  <si>
    <t>P1ICD</t>
  </si>
  <si>
    <t>Asphalt and road oil, kerosene, lubricants, petroleum coke, and "other petroleum products" average price in the  industrial sector</t>
  </si>
  <si>
    <t>P1ICP</t>
  </si>
  <si>
    <t>P1ICV</t>
  </si>
  <si>
    <t>Asphalt and road oil, kerosene, lubricants, petroleum coke, and "other petroleum products" expenditures in the  industrial sector</t>
  </si>
  <si>
    <t>P1ISB</t>
  </si>
  <si>
    <t>Asphalt and road oil, kerosene, lubricants, petroleum coke, and "other petroleum products" consumed by the industrial sector excluding refinery fuel and intermediate products</t>
  </si>
  <si>
    <t>P1SCB</t>
  </si>
  <si>
    <t>Asphalt and road oil, kerosene, lubricants, petroleum coke, and "other petroleum products" total consumption adjusted for process fuel and intermediate products</t>
  </si>
  <si>
    <t>Asphalt and road oil, aviation gasoline, kerosene, lubricants, petroleum coke, and "other petroleum products" total consumption</t>
  </si>
  <si>
    <t>P1TCD</t>
  </si>
  <si>
    <t>Asphalt and road oil, aviation gasoline, kerosene, lubricants, petroleum coke, and "other petroleum products" average price, all sectors</t>
  </si>
  <si>
    <t>P1TCP</t>
  </si>
  <si>
    <t>P1TCV</t>
  </si>
  <si>
    <t>Asphalt and road oil, aviation gasoline, kerosene, lubricants, petroleum coke, and "other petroleum products" total expenditures</t>
  </si>
  <si>
    <t>Asphalt and road oil, aviation gasoline, kerosene, lubricants, petroleum coke, and "other petroleum products" total end-use consumption</t>
  </si>
  <si>
    <t>P1TXD</t>
  </si>
  <si>
    <t>Asphalt and road oil, aviation gasoline, kerosene, lubricants, petroleum coke, and "other petroleum products" average price, all end-use sectors</t>
  </si>
  <si>
    <t>P1TXP</t>
  </si>
  <si>
    <t>P1TXV</t>
  </si>
  <si>
    <t>Asphalt and road oil, aviation gasoline, kerosene, lubricants, petroleum coke, and "other petroleum products" total end-use expenditures</t>
  </si>
  <si>
    <t>P5RFB</t>
  </si>
  <si>
    <t>Other petroleum products consumed as refinery fuel and intermediate products</t>
  </si>
  <si>
    <t>All petroleum products consumed by the transportation sector</t>
  </si>
  <si>
    <t>PAACD</t>
  </si>
  <si>
    <t>All petroleum products average price in the transportation sector</t>
  </si>
  <si>
    <t>PAACK</t>
  </si>
  <si>
    <t>Factor for converting all petroleum products consumed by the transportation sector from physical units to Btu, United States only</t>
  </si>
  <si>
    <t>PAACP</t>
  </si>
  <si>
    <t>PAACV</t>
  </si>
  <si>
    <t>All petroleum products total expenditures in the transportation sector</t>
  </si>
  <si>
    <t>All petroleum products consumed by the commercial sector</t>
  </si>
  <si>
    <t>PACCD</t>
  </si>
  <si>
    <t>All petroleum products average price in the commercial sector</t>
  </si>
  <si>
    <t>PACCK</t>
  </si>
  <si>
    <t>Factor for converting all petroleum products consumed by the commercial sector from physical units to Btu, United States only</t>
  </si>
  <si>
    <t>PACCP</t>
  </si>
  <si>
    <t>PACCV</t>
  </si>
  <si>
    <t>All petroleum products total expenditures in the commercial sector</t>
  </si>
  <si>
    <t>All petroleum products consumed by the electric power sector</t>
  </si>
  <si>
    <t>PAEID</t>
  </si>
  <si>
    <t>All petroleum products average price in the electric power sector</t>
  </si>
  <si>
    <t>PAEIK</t>
  </si>
  <si>
    <t>Factor for converting all petroleum products consumed by the electric power sector from physical units to Btu, United States only</t>
  </si>
  <si>
    <t>PAEIP</t>
  </si>
  <si>
    <t>PAEIV</t>
  </si>
  <si>
    <t>All petroleum products total expenditures in the electric power sector</t>
  </si>
  <si>
    <t>All petroleum products consumed by the industrial sector</t>
  </si>
  <si>
    <t>PAICD</t>
  </si>
  <si>
    <t>All petroleum products average price in the industrial sector</t>
  </si>
  <si>
    <t>PAICK</t>
  </si>
  <si>
    <t>Factor for converting all petroleum products consumed by the industrial sector from physical units to Btu, United States only</t>
  </si>
  <si>
    <t>PAICP</t>
  </si>
  <si>
    <t>PAICV</t>
  </si>
  <si>
    <t>All petroleum products total expenditures in the industrial sector</t>
  </si>
  <si>
    <t>PAISB</t>
  </si>
  <si>
    <t>All petroleum products consumed by the industrial sector excluding process fuel and intermediate products</t>
  </si>
  <si>
    <t>PAPRB</t>
  </si>
  <si>
    <t>Crude oil production (including lease condensate)</t>
  </si>
  <si>
    <t>PAPRP</t>
  </si>
  <si>
    <t>All petroleum products consumed by the residential sector</t>
  </si>
  <si>
    <t>PARCD</t>
  </si>
  <si>
    <t>All petroleum products average price in the residential sector</t>
  </si>
  <si>
    <t>PARCK</t>
  </si>
  <si>
    <t>Factor for converting all petroleum products consumed by the residential sector from physical units to Btu, United States only</t>
  </si>
  <si>
    <t>PARCP</t>
  </si>
  <si>
    <t>PARCV</t>
  </si>
  <si>
    <t>All petroleum products total expenditures in the residential sector</t>
  </si>
  <si>
    <t>PASCB</t>
  </si>
  <si>
    <t>All petroleum products total consumption adjusted for process fuel and intermediate products</t>
  </si>
  <si>
    <t>All petroleum products total consumption</t>
  </si>
  <si>
    <t>PATCD</t>
  </si>
  <si>
    <t>All petroleum products average price, all sectors</t>
  </si>
  <si>
    <t>PATCK</t>
  </si>
  <si>
    <t>Factor for converting all petroleum products total consumption from physical units to Btu, United States only</t>
  </si>
  <si>
    <t>PATCP</t>
  </si>
  <si>
    <t>PATCV</t>
  </si>
  <si>
    <t>All petroleum products total expenditures</t>
  </si>
  <si>
    <t>All petroleum products total consumption per capita</t>
  </si>
  <si>
    <t>PATPP</t>
  </si>
  <si>
    <t>Barrels</t>
  </si>
  <si>
    <t>All petroleum products total end-use consumption</t>
  </si>
  <si>
    <t>PATXD</t>
  </si>
  <si>
    <t>All petroleum products average price, all end-use sectors</t>
  </si>
  <si>
    <t>PATXP</t>
  </si>
  <si>
    <t>PATXV</t>
  </si>
  <si>
    <t>All petroleum products total end-use expenditures</t>
  </si>
  <si>
    <t>Petroleum coke consumed by the commercial sector</t>
  </si>
  <si>
    <t>PCCCD</t>
  </si>
  <si>
    <t>Petroleum coke price in the commercial sector</t>
  </si>
  <si>
    <t>PCCCP</t>
  </si>
  <si>
    <t>PCCCV</t>
  </si>
  <si>
    <t>Petroleum coke expenditures in the commercial sector</t>
  </si>
  <si>
    <t>PCCTK</t>
  </si>
  <si>
    <t>Factor converting petroleum coke, catalyst coke physical units to Btu, United States only</t>
  </si>
  <si>
    <t>Petroleum coke consumed by the electric power sector</t>
  </si>
  <si>
    <t>PCEID</t>
  </si>
  <si>
    <t>Petroleum coke price in the electric power sector</t>
  </si>
  <si>
    <t>PCEIP</t>
  </si>
  <si>
    <t>PCEIV</t>
  </si>
  <si>
    <t>Petroleum coke expenditures in the electric power sector</t>
  </si>
  <si>
    <t>Petroleum coke consumed by the industrial sector</t>
  </si>
  <si>
    <t>PCICD</t>
  </si>
  <si>
    <t>Petroleum coke price in the industrial sector</t>
  </si>
  <si>
    <t>PCICP</t>
  </si>
  <si>
    <t>PCICV</t>
  </si>
  <si>
    <t>Petroleum coke expenditures in the industrial sector</t>
  </si>
  <si>
    <t>PCISB</t>
  </si>
  <si>
    <t>Petroleum coke consumed by the industrial sector excluding refinery fuel</t>
  </si>
  <si>
    <t>PCMKK</t>
  </si>
  <si>
    <t>Factor converting petroleum coke, marketable coke physical units to Btu, United States only</t>
  </si>
  <si>
    <t>PCRFB</t>
  </si>
  <si>
    <t>Petroleum coke consumed as refinery fuel</t>
  </si>
  <si>
    <t>PCSCB</t>
  </si>
  <si>
    <t>Petroleum coke total consumption adjusted for process fuel</t>
  </si>
  <si>
    <t>Petroleum coke total consumption</t>
  </si>
  <si>
    <t>PCTCD</t>
  </si>
  <si>
    <t>Petroleum coke average price, all sectors</t>
  </si>
  <si>
    <t>PCTCP</t>
  </si>
  <si>
    <t>PCTCV</t>
  </si>
  <si>
    <t>Petroleum coke total expenditures</t>
  </si>
  <si>
    <t>Petroleum coke total end-use consumption</t>
  </si>
  <si>
    <t>PCTXD</t>
  </si>
  <si>
    <t>Petroleum coke average price, all end-use sectors</t>
  </si>
  <si>
    <t>PCTXP</t>
  </si>
  <si>
    <t>PCTXV</t>
  </si>
  <si>
    <t>Petroleum coke total end-use expenditures</t>
  </si>
  <si>
    <t>PEACD</t>
  </si>
  <si>
    <t>Primary energy average price in the transportation sector</t>
  </si>
  <si>
    <t>PEACV</t>
  </si>
  <si>
    <t>Primary energy total expenditures in the transportation sector</t>
  </si>
  <si>
    <t>PEASB</t>
  </si>
  <si>
    <t>Primary energy consumed by the transportation sector, adjusted for process fuel, intermediate products, and fuels with no direct cost</t>
  </si>
  <si>
    <t>PECCD</t>
  </si>
  <si>
    <t>Primary energy average price in the commercial sector</t>
  </si>
  <si>
    <t>PECCV</t>
  </si>
  <si>
    <t>Primary energy total expenditures in the commercial sector</t>
  </si>
  <si>
    <t>PECSB</t>
  </si>
  <si>
    <t>Primary energy consumed by the commercial sector, adjusted for process fuel, intermediate products, and fuels with no direct cost</t>
  </si>
  <si>
    <t>PEEID</t>
  </si>
  <si>
    <t>Primary energy average price in the electric power sector</t>
  </si>
  <si>
    <t>PEEIV</t>
  </si>
  <si>
    <t>Primary energy total expenditures in the electric power sector</t>
  </si>
  <si>
    <t>PEICD</t>
  </si>
  <si>
    <t>Primary energy average price in the industrial sector</t>
  </si>
  <si>
    <t>PEICV</t>
  </si>
  <si>
    <t>Primary energy total expenditures in the industrial sector</t>
  </si>
  <si>
    <t>PEISB</t>
  </si>
  <si>
    <t>Primary energy consumed by the industrial sector, adjusted for process fuel, intermediate products, and fuels with no direct cost</t>
  </si>
  <si>
    <t>PERCD</t>
  </si>
  <si>
    <t>Primary energy average price in the residential sector</t>
  </si>
  <si>
    <t>PERCV</t>
  </si>
  <si>
    <t>Primary energy total expenditures in the residential sector</t>
  </si>
  <si>
    <t>PERSB</t>
  </si>
  <si>
    <t>Primary energy consumed by the residential sector, adjusted for process fuel, intermediate products, and fuels with no direct cost</t>
  </si>
  <si>
    <t>PESCB</t>
  </si>
  <si>
    <t>Primary energy total consumption, adjusted for process fuel, intermediate products, and fuels with no direct cost</t>
  </si>
  <si>
    <t>PETCD</t>
  </si>
  <si>
    <t>Primary energy average price, all sectors</t>
  </si>
  <si>
    <t>PETCV</t>
  </si>
  <si>
    <t>Primary energy total expenditures</t>
  </si>
  <si>
    <t>PETXD</t>
  </si>
  <si>
    <t>Primary energy average price, all end-use sectors</t>
  </si>
  <si>
    <t>PETXV</t>
  </si>
  <si>
    <t>Primary energy total end-use expenditures</t>
  </si>
  <si>
    <t>Plant condensate consumed by the industrial sector (through 1983)</t>
  </si>
  <si>
    <t>PLICP</t>
  </si>
  <si>
    <t>All petroleum products total consumption, excluding biofuels</t>
  </si>
  <si>
    <t>Natural gasoline (pentanes plus) consumed by the industrial sector</t>
  </si>
  <si>
    <t>PPICP</t>
  </si>
  <si>
    <t>Natural gasoline (pentanes plus) total consumption</t>
  </si>
  <si>
    <t>PPTCP</t>
  </si>
  <si>
    <t>Propane consumed by the transportation sector</t>
  </si>
  <si>
    <t>PQACD</t>
  </si>
  <si>
    <t>Propane price in the transportation sector</t>
  </si>
  <si>
    <t>PQACP</t>
  </si>
  <si>
    <t>PQACV</t>
  </si>
  <si>
    <t>Propane expenditures in the transportation sector</t>
  </si>
  <si>
    <t>Propane consumed by the commercial sector</t>
  </si>
  <si>
    <t>PQCCD</t>
  </si>
  <si>
    <t>Propane price in the commercial sector</t>
  </si>
  <si>
    <t>PQCCP</t>
  </si>
  <si>
    <t>PQCCV</t>
  </si>
  <si>
    <t>Propane expenditures in the commercial sector</t>
  </si>
  <si>
    <t>Propane consumed by the industrial sector</t>
  </si>
  <si>
    <t>PQICD</t>
  </si>
  <si>
    <t>Propane price in the industrial sector</t>
  </si>
  <si>
    <t>PQICP</t>
  </si>
  <si>
    <t>PQICV</t>
  </si>
  <si>
    <t>Propane expenditures in the industrial sector</t>
  </si>
  <si>
    <t>PQISB</t>
  </si>
  <si>
    <t>Propane consumed in the industrial sector excluding refinery fuel</t>
  </si>
  <si>
    <t>Propane consumed by the residential sector</t>
  </si>
  <si>
    <t>PQRCD</t>
  </si>
  <si>
    <t>Propane price in the residential sector</t>
  </si>
  <si>
    <t>PQRCP</t>
  </si>
  <si>
    <t>PQRCV</t>
  </si>
  <si>
    <t>Propane expenditures in the residential sector</t>
  </si>
  <si>
    <t>PQRFB</t>
  </si>
  <si>
    <t>Propane consumed as refinery fuel</t>
  </si>
  <si>
    <t>PQSCB</t>
  </si>
  <si>
    <t>Propane total consumption adjusted for process fuel</t>
  </si>
  <si>
    <t>Propane total consumption</t>
  </si>
  <si>
    <t>PQTCD</t>
  </si>
  <si>
    <t>Propane average price, all sectors</t>
  </si>
  <si>
    <t>PQTCP</t>
  </si>
  <si>
    <t>PQTCV</t>
  </si>
  <si>
    <t>Propane total expenditures</t>
  </si>
  <si>
    <t>Propane total end-use consumption</t>
  </si>
  <si>
    <t>PQTXD</t>
  </si>
  <si>
    <t>Propane average price, all end-use sectors</t>
  </si>
  <si>
    <t>PQTXP</t>
  </si>
  <si>
    <t>PQTXV</t>
  </si>
  <si>
    <t>Propane total end-use expenditures</t>
  </si>
  <si>
    <t>Propylene from refineries consumed by the industrial sector</t>
  </si>
  <si>
    <t>PYICP</t>
  </si>
  <si>
    <t>Propylene from refineries total consumption</t>
  </si>
  <si>
    <t>PYTCP</t>
  </si>
  <si>
    <t>REPRB</t>
  </si>
  <si>
    <t>Renewable energy production</t>
  </si>
  <si>
    <t>Renewable energy total consumption</t>
  </si>
  <si>
    <t>Residual fuel oil consumed by the transportation sector</t>
  </si>
  <si>
    <t>RFACD</t>
  </si>
  <si>
    <t>Residual fuel oil price in the transportation sector</t>
  </si>
  <si>
    <t>RFACP</t>
  </si>
  <si>
    <t>RFACV</t>
  </si>
  <si>
    <t>Residual fuel oil expenditures in the transportation sector</t>
  </si>
  <si>
    <t>Residual fuel oil consumed by the commercial sector</t>
  </si>
  <si>
    <t>RFCCD</t>
  </si>
  <si>
    <t>Residual fuel oil price in the commercial sector</t>
  </si>
  <si>
    <t>RFCCP</t>
  </si>
  <si>
    <t>RFCCV</t>
  </si>
  <si>
    <t>Residual fuel oil expenditures in the commercial sector</t>
  </si>
  <si>
    <t>Residual fuel oil consumed by the electric power sector</t>
  </si>
  <si>
    <t>RFEID</t>
  </si>
  <si>
    <t>Residual fuel oil price in the electric power sector</t>
  </si>
  <si>
    <t>RFEIP</t>
  </si>
  <si>
    <t>RFEIV</t>
  </si>
  <si>
    <t>Residual fuel oil expenditures in the electric power sector</t>
  </si>
  <si>
    <t>Residual fuel oil consumed by the industrial sector</t>
  </si>
  <si>
    <t>RFICD</t>
  </si>
  <si>
    <t>Residual fuel oil price in the industrial sector</t>
  </si>
  <si>
    <t>RFICP</t>
  </si>
  <si>
    <t>RFICV</t>
  </si>
  <si>
    <t>Residual fuel oil expenditures in the industrial sector</t>
  </si>
  <si>
    <t>RFISB</t>
  </si>
  <si>
    <t>Residual fuel oil consumed by the industrial sector excluding refinery fuel</t>
  </si>
  <si>
    <t>RFRFB</t>
  </si>
  <si>
    <t>Residual fuel oil consumed as refinery fuel</t>
  </si>
  <si>
    <t>RFSCB</t>
  </si>
  <si>
    <t>Residential fuel oil total consumption excluding process fuel</t>
  </si>
  <si>
    <t>Residual fuel oil total consumption</t>
  </si>
  <si>
    <t>RFTCD</t>
  </si>
  <si>
    <t>Residual fuel oil average price, all sectors</t>
  </si>
  <si>
    <t>RFTCP</t>
  </si>
  <si>
    <t>RFTCV</t>
  </si>
  <si>
    <t>Residual fuel oil total expenditures</t>
  </si>
  <si>
    <t>Residual fuel oil total end-use consumption</t>
  </si>
  <si>
    <t>RFTXD</t>
  </si>
  <si>
    <t>Residual fuel oil average price, all end-use sectors</t>
  </si>
  <si>
    <t>RFTXP</t>
  </si>
  <si>
    <t>RFTXV</t>
  </si>
  <si>
    <t>Residual fuel oil total end-use expenditures</t>
  </si>
  <si>
    <t>Supplemental gaseous fuels consumed by the commercial sector</t>
  </si>
  <si>
    <t>Supplemental gaseous fuels consumed by the electric power sector</t>
  </si>
  <si>
    <t>Supplemental gaseous fuels consumed by the industrial sector</t>
  </si>
  <si>
    <t>Supplemental gaseous fuels consumed by the residential sector</t>
  </si>
  <si>
    <t>Supplemental gaseous fuels total consumption</t>
  </si>
  <si>
    <t>Still gas consumed by the industrial sector</t>
  </si>
  <si>
    <t>SGICP</t>
  </si>
  <si>
    <t>Special naphthas consumed by the industrial sector</t>
  </si>
  <si>
    <t>SNICD</t>
  </si>
  <si>
    <t>Special naphthas price in the industrial sector</t>
  </si>
  <si>
    <t>SNICP</t>
  </si>
  <si>
    <t>SNICV</t>
  </si>
  <si>
    <t>Special naphthas expenditures in the industrial sector</t>
  </si>
  <si>
    <t>Solar energy consumed by the commercial sector</t>
  </si>
  <si>
    <t>SOCCP</t>
  </si>
  <si>
    <t>Solar thermal and photovoltaic electricity net generation in the commercial sector</t>
  </si>
  <si>
    <t>Solar energy consumed for electricity generation by the electric power sector</t>
  </si>
  <si>
    <t>SOEGP</t>
  </si>
  <si>
    <t>Solar thermal and photovoltaic electricity net generation in the electric power sector</t>
  </si>
  <si>
    <t>Solar energy consumed by the industrial sector</t>
  </si>
  <si>
    <t>SOICP</t>
  </si>
  <si>
    <t>Solar thermal and photovoltaic electricity net generation in the industrial sector</t>
  </si>
  <si>
    <t>SOR7P</t>
  </si>
  <si>
    <t>Solar photovoltaic electricity generation by small-scale applications in the residential sector</t>
  </si>
  <si>
    <t>Solar energy consumed by the residential sector</t>
  </si>
  <si>
    <t>Solar energy total consumption</t>
  </si>
  <si>
    <t>SOTGP</t>
  </si>
  <si>
    <t>Solar thermal and photovoltaic electricity total net generation</t>
  </si>
  <si>
    <t>Solar energy total end-use consumption</t>
  </si>
  <si>
    <t>Total energy consumed by the transportation sector</t>
  </si>
  <si>
    <t>TEACD</t>
  </si>
  <si>
    <t>Total energy average price in the transportation sector</t>
  </si>
  <si>
    <t>TEACV</t>
  </si>
  <si>
    <t>Total energy expenditures in the transportation sector</t>
  </si>
  <si>
    <t>Total energy consumption per capita in the transportation sector</t>
  </si>
  <si>
    <t>Total energy consumed by the commercial sector</t>
  </si>
  <si>
    <t>TECCD</t>
  </si>
  <si>
    <t>Total energy average price in the commercial sector</t>
  </si>
  <si>
    <t>TECCV</t>
  </si>
  <si>
    <t>Total energy expenditures in the commercial sector</t>
  </si>
  <si>
    <t>Total energy consumption per capita in the commercial sector</t>
  </si>
  <si>
    <t>Total energy consumed by the electric power sector</t>
  </si>
  <si>
    <t>TEGDS</t>
  </si>
  <si>
    <t>Energy expenditures as percent of current-dollar GDP</t>
  </si>
  <si>
    <t>Percent</t>
  </si>
  <si>
    <t>Total energy consumed by the industrial sector</t>
  </si>
  <si>
    <t>TEICD</t>
  </si>
  <si>
    <t>Total energy average price in the industrial sector</t>
  </si>
  <si>
    <t>TEICV</t>
  </si>
  <si>
    <t>Total energy expenditures in the industrial sector</t>
  </si>
  <si>
    <t>Total energy consumption per capita in the industrial sector</t>
  </si>
  <si>
    <t>TEPFB</t>
  </si>
  <si>
    <t>Total energy used as process fuel and other consumption that has no direct fuel costs</t>
  </si>
  <si>
    <t>TEPRB</t>
  </si>
  <si>
    <t>Total primary energy production</t>
  </si>
  <si>
    <t>Total energy consumed by the residential sector</t>
  </si>
  <si>
    <t>TERCD</t>
  </si>
  <si>
    <t>Total energy average price in the residential sector</t>
  </si>
  <si>
    <t>TERCV</t>
  </si>
  <si>
    <t>Total energy expenditures in the residential sector</t>
  </si>
  <si>
    <t>TERFB</t>
  </si>
  <si>
    <t>Total energy used as refinery fuel and intermediate products</t>
  </si>
  <si>
    <t>Total energy consumption per capita in the residential sector</t>
  </si>
  <si>
    <t>Total energy consumption</t>
  </si>
  <si>
    <t>TETCD</t>
  </si>
  <si>
    <t>Total energy average price</t>
  </si>
  <si>
    <t>TETCV</t>
  </si>
  <si>
    <t>Total energy expenditures</t>
  </si>
  <si>
    <t>Total energy consumed per dollar of real gross domestic product</t>
  </si>
  <si>
    <t>Thousand Btu per chained (2012) dollar</t>
  </si>
  <si>
    <t>Total energy consumption per capita</t>
  </si>
  <si>
    <t>TETPV</t>
  </si>
  <si>
    <t>Total energy expenditures per capita</t>
  </si>
  <si>
    <t>Total end-use energy consumption</t>
  </si>
  <si>
    <t>TETXD</t>
  </si>
  <si>
    <t>Total end-use energy average price</t>
  </si>
  <si>
    <t>TETXV</t>
  </si>
  <si>
    <t>Total end-use energy expenditures</t>
  </si>
  <si>
    <t>Total energy consumed by the transportation sector excluding the sector's share of electrical system energy losses</t>
  </si>
  <si>
    <t>TNASB</t>
  </si>
  <si>
    <t>Total net energy consumed by the transportation sector, adjusted for process fuel, intermediate products, and fuels with no direct cost</t>
  </si>
  <si>
    <t>Total energy consumed by the commercial sector excluding the sector's share of electrical system energy losses</t>
  </si>
  <si>
    <t>TNCSB</t>
  </si>
  <si>
    <t>Total net energy consumed by the commercial sector, adjusted for process fuel, intermediate products, and fuels with no direct cost</t>
  </si>
  <si>
    <t>Total energy consumed by the industrial sector excluding the sector's share of electrical system energy losses</t>
  </si>
  <si>
    <t>TNISB</t>
  </si>
  <si>
    <t>Total net energy consumed by the industrial sector, adjusted for process fuel, intermediate products, and fuels with no direct cost</t>
  </si>
  <si>
    <t>Total energy consumed by the residential sector excluding the sector's share of electrical system energy losses</t>
  </si>
  <si>
    <t>TNRSB</t>
  </si>
  <si>
    <t>Total net energy consumed by the residential sector, adjusted for process fuel, intermediate products, and fuels with no direct cost</t>
  </si>
  <si>
    <t>TNSCB</t>
  </si>
  <si>
    <t>Total net energy consumption, adjusted for process fuel, intermediate products, and fuels with no direct cost</t>
  </si>
  <si>
    <t>Total primary energy and electricity consumed by the end-use sectors</t>
  </si>
  <si>
    <t>Resident population including Armed Forces</t>
  </si>
  <si>
    <t>Thousand</t>
  </si>
  <si>
    <t>Unfinished oils consumed by the industrial sector</t>
  </si>
  <si>
    <t>UOICP</t>
  </si>
  <si>
    <t>Unfractionated streams consumed by the industrial sector (through 1983)</t>
  </si>
  <si>
    <t>USICP</t>
  </si>
  <si>
    <t>Wood energy consumed by the commercial sector</t>
  </si>
  <si>
    <t>Wood energy consumed by the electric power sector</t>
  </si>
  <si>
    <t>WDEXB</t>
  </si>
  <si>
    <t>Densified biomass exports</t>
  </si>
  <si>
    <t>Wood energy consumed by the industrial sector</t>
  </si>
  <si>
    <t>WDPRB</t>
  </si>
  <si>
    <t>Wood energy production</t>
  </si>
  <si>
    <t>Wood energy consumed by the residential sector</t>
  </si>
  <si>
    <t>WDRCD</t>
  </si>
  <si>
    <t>Wood energy price in the residential sector</t>
  </si>
  <si>
    <t>WDRCV</t>
  </si>
  <si>
    <t>Wood energy expenditures in the residential sector</t>
  </si>
  <si>
    <t>WDRSB</t>
  </si>
  <si>
    <t>Wood energy consumed in the residential sector at a cost</t>
  </si>
  <si>
    <t>WDRXB</t>
  </si>
  <si>
    <t>Wood energy consumed in the residential sector at no cost</t>
  </si>
  <si>
    <t>Wood energy total consumption</t>
  </si>
  <si>
    <t>Waste energy consumed by the commercial sector</t>
  </si>
  <si>
    <t>Waste energy consumed by the electric power sector</t>
  </si>
  <si>
    <t>Waste energy consumed by the industrial sector</t>
  </si>
  <si>
    <t>Waste energy total consumption</t>
  </si>
  <si>
    <t>Wood and waste energy consumed in the commercial sector</t>
  </si>
  <si>
    <t>WWCCD</t>
  </si>
  <si>
    <t>Wood and waste energy price in the commercial sector</t>
  </si>
  <si>
    <t>WWCCV</t>
  </si>
  <si>
    <t>Wood and waste energy expenditures in the commercial sector</t>
  </si>
  <si>
    <t>WWCSB</t>
  </si>
  <si>
    <t>Wood and waste energy consumed in the commercial sector at a cost</t>
  </si>
  <si>
    <t>WWCXB</t>
  </si>
  <si>
    <t>Wood and waste energy consumed in the commercial sector at no cost</t>
  </si>
  <si>
    <t>Wood and waste energy consumed by the electric power sector</t>
  </si>
  <si>
    <t>WWEID</t>
  </si>
  <si>
    <t>Wood and waste energy price in the electric power sector</t>
  </si>
  <si>
    <t>WWEIV</t>
  </si>
  <si>
    <t>Wood and waste energy expenditures in the electric power sector</t>
  </si>
  <si>
    <t>Wood and waste energy consumed in the industrial sector</t>
  </si>
  <si>
    <t>WWICD</t>
  </si>
  <si>
    <t>Wood and waste energy price in the industrial sector</t>
  </si>
  <si>
    <t>WWICV</t>
  </si>
  <si>
    <t>Wood and waste energy expenditures in the industrial sector</t>
  </si>
  <si>
    <t>WWISB</t>
  </si>
  <si>
    <t>Wood and waste energy consumed in the industrial sector at a cost</t>
  </si>
  <si>
    <t>WWIXB</t>
  </si>
  <si>
    <t>Wood and waste energy consumed in the industrial sector at no cost</t>
  </si>
  <si>
    <t>WWPRB</t>
  </si>
  <si>
    <t>Wood and waste energy production</t>
  </si>
  <si>
    <t>WWSCB</t>
  </si>
  <si>
    <t>Wood and waste energy total consumption, adjusted for fuels with no direct cost</t>
  </si>
  <si>
    <t>Wood and waste energy total consumption</t>
  </si>
  <si>
    <t>WWTCD</t>
  </si>
  <si>
    <t>Wood and waste energy average price, all sectors</t>
  </si>
  <si>
    <t>WWTCV</t>
  </si>
  <si>
    <t>Wood and waste energy total expenditures</t>
  </si>
  <si>
    <t>Wood and waste energy total end-use consumption</t>
  </si>
  <si>
    <t>WWTXD</t>
  </si>
  <si>
    <t>Wood and waste energy average price, all end-use sectors</t>
  </si>
  <si>
    <t>WWTXV</t>
  </si>
  <si>
    <t>Wood and waste energy total end-use expenditures</t>
  </si>
  <si>
    <t>Waxes consumed by the industrial sector</t>
  </si>
  <si>
    <t>WXICD</t>
  </si>
  <si>
    <t>Waxes price in the industrial sector</t>
  </si>
  <si>
    <t>WXICP</t>
  </si>
  <si>
    <t>WXICV</t>
  </si>
  <si>
    <t>Waxes expenditures in the industrial sector</t>
  </si>
  <si>
    <t>Wind energy consumed by the commercial sector</t>
  </si>
  <si>
    <t>WYCCP</t>
  </si>
  <si>
    <t>Wind electricity net generation in the commercial sector</t>
  </si>
  <si>
    <t>Wind energy consumed for electricity generation by the electric power sector</t>
  </si>
  <si>
    <t>WYEGP</t>
  </si>
  <si>
    <t>Wind electricity net generation in the electric power sector</t>
  </si>
  <si>
    <t>Wind energy consumed by the industrial sector</t>
  </si>
  <si>
    <t>WYICP</t>
  </si>
  <si>
    <t>Wind electricity net generation in the industrial sector</t>
  </si>
  <si>
    <t>Wind energy total consumption</t>
  </si>
  <si>
    <t>WYTCP</t>
  </si>
  <si>
    <t>Wind electricity total net generation</t>
  </si>
  <si>
    <t>Wind energy total end-use consumption</t>
  </si>
  <si>
    <t>WYTXP</t>
  </si>
  <si>
    <t>Wind energy total end-use net generation</t>
  </si>
  <si>
    <t>Cooling degree days</t>
  </si>
  <si>
    <t>Days</t>
  </si>
  <si>
    <t>Heating degree days</t>
  </si>
  <si>
    <t>DIESEL</t>
  </si>
  <si>
    <t>billion</t>
  </si>
  <si>
    <t>SEDS</t>
  </si>
  <si>
    <t>https://www.eia.gov/state/seds/</t>
  </si>
  <si>
    <t>GASOLINE</t>
  </si>
  <si>
    <t>passenger</t>
  </si>
  <si>
    <t>freight</t>
  </si>
  <si>
    <t>US BAADTbVT</t>
  </si>
  <si>
    <t>3. Estimated fuel consumption using US BAAD</t>
  </si>
  <si>
    <t>SYVFE</t>
  </si>
  <si>
    <t>we estimate fuel consumption using US miles traveled and then scale to the specific state</t>
  </si>
  <si>
    <t>TOTAL</t>
  </si>
  <si>
    <t>percent of fuel consumption</t>
  </si>
  <si>
    <t>Assigned state fuel consumption</t>
  </si>
  <si>
    <t>3. Readjusted BAADTVBT</t>
  </si>
  <si>
    <t>STATE DATA</t>
  </si>
  <si>
    <t>baad*bcd*avlo*syvbt/syfate</t>
  </si>
  <si>
    <t>CHECK RESULTS</t>
  </si>
  <si>
    <t>TOTALS</t>
  </si>
  <si>
    <t>Mode</t>
  </si>
  <si>
    <t>PR</t>
  </si>
  <si>
    <t>Agency</t>
  </si>
  <si>
    <t>City</t>
  </si>
  <si>
    <t>Legacy NTD ID</t>
  </si>
  <si>
    <t>NTD ID</t>
  </si>
  <si>
    <t>Organization Type</t>
  </si>
  <si>
    <t>NTD Reporter Type</t>
  </si>
  <si>
    <t>Primary UZA Population</t>
  </si>
  <si>
    <t>Agency VOMS</t>
  </si>
  <si>
    <t>Type of Service</t>
  </si>
  <si>
    <t>Mode VOMS</t>
  </si>
  <si>
    <t>Mode VOMS Questionable</t>
  </si>
  <si>
    <t>Max Trains in Operation</t>
  </si>
  <si>
    <t>Max Trains in Operation Questionable</t>
  </si>
  <si>
    <t>Average Speed (mi/hr)</t>
  </si>
  <si>
    <t>Average Speed (mi/hr) Questionable</t>
  </si>
  <si>
    <t>Average Passenger Trip Length (mi)</t>
  </si>
  <si>
    <t>Average Passenger Trip Length (mi) Questionable</t>
  </si>
  <si>
    <t>Passengers per Hour</t>
  </si>
  <si>
    <t>Passengers per Hour Questionable</t>
  </si>
  <si>
    <t>Scheduled Vehicle Revenue Miles</t>
  </si>
  <si>
    <t>Scheduled Vehicle Revenue Miles Questionable</t>
  </si>
  <si>
    <t>Vehicle Miles</t>
  </si>
  <si>
    <t>Vehicle Miles Questionable</t>
  </si>
  <si>
    <t>Vehicle Revenue Miles</t>
  </si>
  <si>
    <t>Vehicle Revenue Miles Questionable</t>
  </si>
  <si>
    <t>Deadhead Miles</t>
  </si>
  <si>
    <t>Deadhead Miles Questionable</t>
  </si>
  <si>
    <t>Vehicle Hours</t>
  </si>
  <si>
    <t>Vehicle Hours Questionable</t>
  </si>
  <si>
    <t>Vehicle 
Revenue 
Hours</t>
  </si>
  <si>
    <t>Vehicle Revenue Hours Questionable</t>
  </si>
  <si>
    <t>Deadhead Hours</t>
  </si>
  <si>
    <t>Deadhead Hours Questionable</t>
  </si>
  <si>
    <t>Train Miles</t>
  </si>
  <si>
    <t>Train Miles Questionable</t>
  </si>
  <si>
    <t>Train 
Revenue
Miles</t>
  </si>
  <si>
    <t>Train Revenue Miles Questionable</t>
  </si>
  <si>
    <t>Train Hours</t>
  </si>
  <si>
    <t>Train Hours Questionable</t>
  </si>
  <si>
    <t>Train 
Revenue 
Hours</t>
  </si>
  <si>
    <t>Train Revenue Hours Questionable</t>
  </si>
  <si>
    <t>Unlinked Passenger Trips</t>
  </si>
  <si>
    <t>Unlinked Passenger Trips Questionable</t>
  </si>
  <si>
    <t>Passenger Miles</t>
  </si>
  <si>
    <t>Passenger Miles Questionable</t>
  </si>
  <si>
    <t>Directional Route Miles</t>
  </si>
  <si>
    <t>Directional Route Miles Questionable</t>
  </si>
  <si>
    <t>Any data questionable</t>
  </si>
  <si>
    <t>MTA New York City Transit</t>
  </si>
  <si>
    <t>Subsidiary Unit of a Transit Agency, Reporting Separately</t>
  </si>
  <si>
    <t>Full Reporter</t>
  </si>
  <si>
    <t>DO</t>
  </si>
  <si>
    <t/>
  </si>
  <si>
    <t>HR</t>
  </si>
  <si>
    <t>PT</t>
  </si>
  <si>
    <t>New Jersey Transit Corporation</t>
  </si>
  <si>
    <t>Newark</t>
  </si>
  <si>
    <t>Other Publicly-Owned or Privately Chartered Corporation</t>
  </si>
  <si>
    <t>LR</t>
  </si>
  <si>
    <t>CR</t>
  </si>
  <si>
    <t>Los Angeles</t>
  </si>
  <si>
    <t>Independent Public Agency or Authority of Transit Service</t>
  </si>
  <si>
    <t>Washington Metropolitan Area Transit Authority</t>
  </si>
  <si>
    <t>Seattle</t>
  </si>
  <si>
    <t>City, County or Local Government Unit or Department of Transportation</t>
  </si>
  <si>
    <t>W</t>
  </si>
  <si>
    <t>Chicago Transit Authority</t>
  </si>
  <si>
    <t>Chicago</t>
  </si>
  <si>
    <t>Massachusetts Bay Transportation Authority</t>
  </si>
  <si>
    <t>Boston</t>
  </si>
  <si>
    <t>Southeastern Pennsylvania Transportation Authority</t>
  </si>
  <si>
    <t>Philadelphia</t>
  </si>
  <si>
    <t>Houston</t>
  </si>
  <si>
    <t>Maryland Transit Administration</t>
  </si>
  <si>
    <t>Baltimore</t>
  </si>
  <si>
    <t>State Government Unit or Department of Transportation</t>
  </si>
  <si>
    <t>Denver Regional Transportation District</t>
  </si>
  <si>
    <t>Denver</t>
  </si>
  <si>
    <t>San Juan</t>
  </si>
  <si>
    <t>Miami</t>
  </si>
  <si>
    <t>Metro-North Commuter Railroad Company, dba: MTA Metro-North Railroad</t>
  </si>
  <si>
    <t>Utah Transit Authority</t>
  </si>
  <si>
    <t>Salt Lake City</t>
  </si>
  <si>
    <t>Dallas Area Rapid Transit</t>
  </si>
  <si>
    <t>Dallas</t>
  </si>
  <si>
    <t>Northeast Illinois Regional Commuter Railroad Corporation, dba: Metra</t>
  </si>
  <si>
    <t>MTA Long Island Rail Road</t>
  </si>
  <si>
    <t>Jamaica</t>
  </si>
  <si>
    <t>Phoenix</t>
  </si>
  <si>
    <t>San Francisco</t>
  </si>
  <si>
    <t>Portland</t>
  </si>
  <si>
    <t>San Diego Metropolitan Transit System</t>
  </si>
  <si>
    <t>San Diego</t>
  </si>
  <si>
    <t>Port Authority of Allegheny County</t>
  </si>
  <si>
    <t>Pittsburgh</t>
  </si>
  <si>
    <t>Minneapolis</t>
  </si>
  <si>
    <t>Metropolitan Atlanta Rapid Transit Authority</t>
  </si>
  <si>
    <t>Atlanta</t>
  </si>
  <si>
    <t>Oakland</t>
  </si>
  <si>
    <t>Santa Clara Valley Transportation Authority</t>
  </si>
  <si>
    <t>San Jose</t>
  </si>
  <si>
    <t>San Francisco Bay Area Rapid Transit District</t>
  </si>
  <si>
    <t>Q</t>
  </si>
  <si>
    <t>The Greater Cleveland Regional Transit Authority</t>
  </si>
  <si>
    <t>Cleveland</t>
  </si>
  <si>
    <t>City of Charlotte North Carolina, dba: Charlotte Area Transit System</t>
  </si>
  <si>
    <t>Charlotte</t>
  </si>
  <si>
    <t>Transportation District Commission of Hampton Roads, dba: Hampton Roads Transit</t>
  </si>
  <si>
    <t>Hampton</t>
  </si>
  <si>
    <t>Central Puget Sound Regional Transit Authority, dba: Sound Transit</t>
  </si>
  <si>
    <t>San Carlos</t>
  </si>
  <si>
    <t>Niagara Frontier Transportation Authority</t>
  </si>
  <si>
    <t>Buffalo</t>
  </si>
  <si>
    <t>Fort Worth Transportation Authority, dba: Trinity Metro</t>
  </si>
  <si>
    <t>Fort Worth</t>
  </si>
  <si>
    <t>Port Authority Trans-Hudson Corporation</t>
  </si>
  <si>
    <t>Sacramento Regional Transit District, dba: Sacramento RT</t>
  </si>
  <si>
    <t>Sacramento</t>
  </si>
  <si>
    <t>Madison</t>
  </si>
  <si>
    <t>North County Transit District</t>
  </si>
  <si>
    <t>Oceanside</t>
  </si>
  <si>
    <t>Southern California Regional Rail Authority, dba: Metrolink</t>
  </si>
  <si>
    <t>Albuquerque</t>
  </si>
  <si>
    <t>Alexandria</t>
  </si>
  <si>
    <t>Peninsula Corridor Joint Powers Board, dba: Caltrain</t>
  </si>
  <si>
    <t>Harrisburg</t>
  </si>
  <si>
    <t>Tallahassee</t>
  </si>
  <si>
    <t>Stockton</t>
  </si>
  <si>
    <t>Virginia Railway Express</t>
  </si>
  <si>
    <t>Port Authority Transit Corporation</t>
  </si>
  <si>
    <t>Lindenwold</t>
  </si>
  <si>
    <t>Pompano Beach</t>
  </si>
  <si>
    <t>Northern Indiana Commuter Transportation District</t>
  </si>
  <si>
    <t>Chesterton</t>
  </si>
  <si>
    <t>Rio Metro Regional Transit District</t>
  </si>
  <si>
    <t>Regional Transportation Authority</t>
  </si>
  <si>
    <t>Alternativa de Transporte Integrado -ATI</t>
  </si>
  <si>
    <t>Connecticut Department of Transportation</t>
  </si>
  <si>
    <t>Newington</t>
  </si>
  <si>
    <t>Staten Island</t>
  </si>
  <si>
    <t>Pennsylvania Department of Transportation</t>
  </si>
  <si>
    <t>Valley Metro Rail, Inc.</t>
  </si>
  <si>
    <t>Altamont Corridor Express</t>
  </si>
  <si>
    <t>Northern New England Passenger Rail Authority</t>
  </si>
  <si>
    <t>Petaluma</t>
  </si>
  <si>
    <t>Sonoma-Marin Area Rail Transit District</t>
  </si>
  <si>
    <t>Brooklyn</t>
  </si>
  <si>
    <t>Passenger Rail Scaling</t>
  </si>
  <si>
    <t>https://www.apta.com/research-technical-resources/transit-statistics/ntd-data-tables/</t>
  </si>
  <si>
    <t>B1ACB</t>
  </si>
  <si>
    <t>B1TCB</t>
  </si>
  <si>
    <t>BTGBP</t>
  </si>
  <si>
    <t>CLGBP</t>
  </si>
  <si>
    <t>ELGBP</t>
  </si>
  <si>
    <t>FFGBP</t>
  </si>
  <si>
    <t>GEGBP</t>
  </si>
  <si>
    <t>HPGBP</t>
  </si>
  <si>
    <t>HVGBP</t>
  </si>
  <si>
    <t>NGGBP</t>
  </si>
  <si>
    <t>NUGBP</t>
  </si>
  <si>
    <t>OJGBP</t>
  </si>
  <si>
    <t>OMTCB</t>
  </si>
  <si>
    <t>OPACB</t>
  </si>
  <si>
    <t>OTGBP</t>
  </si>
  <si>
    <t>PAGBP</t>
  </si>
  <si>
    <t>REACB</t>
  </si>
  <si>
    <t>RECCB</t>
  </si>
  <si>
    <t>REEIB</t>
  </si>
  <si>
    <t>REGBP</t>
  </si>
  <si>
    <t>REICB</t>
  </si>
  <si>
    <t>RERCB</t>
  </si>
  <si>
    <t>SOGBP</t>
  </si>
  <si>
    <t>WDGBP</t>
  </si>
  <si>
    <t>WSGBP</t>
  </si>
  <si>
    <t>WYGBP</t>
  </si>
  <si>
    <t>BOACB</t>
  </si>
  <si>
    <t>BOTCB</t>
  </si>
  <si>
    <t>RESIDUAL FUEL</t>
  </si>
  <si>
    <t>&lt;add residual fuel to freight ships</t>
  </si>
  <si>
    <t>Percentage Fuel Use (dimensionless)</t>
  </si>
  <si>
    <t>electricity</t>
  </si>
  <si>
    <t>natural gas</t>
  </si>
  <si>
    <t>biofuel gasoline</t>
  </si>
  <si>
    <t>biofuel diesel</t>
  </si>
  <si>
    <t>heavy or residual fuel oil</t>
  </si>
  <si>
    <t>LPG propane or butane</t>
  </si>
  <si>
    <t>hydrogen</t>
  </si>
  <si>
    <t>Metric Name</t>
  </si>
  <si>
    <t>AVLo-freight</t>
  </si>
  <si>
    <t>AVLo-passengers</t>
  </si>
  <si>
    <t>National Transit Database Tables</t>
  </si>
  <si>
    <t>American Public Transportation Association</t>
  </si>
  <si>
    <t>No</t>
  </si>
  <si>
    <t>Los Angeles County Metropolitan Transportation Authority, dba: Metro</t>
  </si>
  <si>
    <t>Yes</t>
  </si>
  <si>
    <t>Metropolitan Transit Authority of Harris County, Texas, dba: Metro</t>
  </si>
  <si>
    <t>County of Miami-Dade, dba: Transportation &amp; Public Work</t>
  </si>
  <si>
    <t>City and County of San Francisco, dba: San Francisco Municipal Transportation Agency (MUNI)</t>
  </si>
  <si>
    <t>Tri-County Metropolitan Transportation District of Oregon, dba: TriMet</t>
  </si>
  <si>
    <t>Metro Transit, dba: Metro Transit</t>
  </si>
  <si>
    <t>Bi-State Development Agency of the Missouri-Illinois Metropolitan District, dba: St. Louis Metro</t>
  </si>
  <si>
    <t>Saint Louis</t>
  </si>
  <si>
    <t>South Florida Regional Transportation Authority, dba: TRI-Rail</t>
  </si>
  <si>
    <t>Staten Island Rapid Transit Operating Authority, dba: MTA Staten Island Railway</t>
  </si>
  <si>
    <t>Central Florida Commuter Rail, dba: SunRail</t>
  </si>
  <si>
    <t>TOS</t>
  </si>
  <si>
    <t>Fuel/Energy Used:</t>
  </si>
  <si>
    <t>Diesel (gal)</t>
  </si>
  <si>
    <t>Diesel (gal) Questionable</t>
  </si>
  <si>
    <t>Gasoline (gal)</t>
  </si>
  <si>
    <t>Gasoline (gal) Questionable</t>
  </si>
  <si>
    <t>Liquefied Petroleum Gas (gal equivalent)</t>
  </si>
  <si>
    <t>Liquefied Petroleum Gas (gal equivalent) Questionable</t>
  </si>
  <si>
    <t>Compressed Natural Gas (gal equivalent)</t>
  </si>
  <si>
    <t>Compressed Natural Gas (gal equivalent) Questionable</t>
  </si>
  <si>
    <t>Bio-Diesel (gal)</t>
  </si>
  <si>
    <t>Bio-Diesel (gal) Questionable</t>
  </si>
  <si>
    <t>Other Fuel (gal/gal equivalent)</t>
  </si>
  <si>
    <t>Other Fuel (gal/gal equivalent) Questionable</t>
  </si>
  <si>
    <t>Electric Propulsion (kwh)</t>
  </si>
  <si>
    <t>Electric Propulsion (kwh) Questionable</t>
  </si>
  <si>
    <t>Electric Battery (kwh)</t>
  </si>
  <si>
    <t>Electric Battery (kwh) Questionable</t>
  </si>
  <si>
    <t>Miles Traveled by Vehicles Fueled by:</t>
  </si>
  <si>
    <t>Diesel</t>
  </si>
  <si>
    <t>Diesel Questionable</t>
  </si>
  <si>
    <t>Gasoline</t>
  </si>
  <si>
    <t>Gasoline Questionable</t>
  </si>
  <si>
    <t>Liquefied Petroleum Gas</t>
  </si>
  <si>
    <t>Liquefied Petroleum Gas Questionable</t>
  </si>
  <si>
    <t>Compressed Natural Gas</t>
  </si>
  <si>
    <t>Compressed Natural Gas Questionable</t>
  </si>
  <si>
    <t>Other Fuel</t>
  </si>
  <si>
    <t>Other Fuel Questionable</t>
  </si>
  <si>
    <t>Electric Propulsion</t>
  </si>
  <si>
    <t>Electric Propulsion Questionable</t>
  </si>
  <si>
    <t>Electric Battery</t>
  </si>
  <si>
    <t>Electric Battery Questionable</t>
  </si>
  <si>
    <t>Miles per Gallon/KwH:</t>
  </si>
  <si>
    <t>Diesel (mpg)</t>
  </si>
  <si>
    <t>Diesel (mpg) Questionable</t>
  </si>
  <si>
    <t>Gasoline (mpg)</t>
  </si>
  <si>
    <t>Gasoline (mpg) Questionable</t>
  </si>
  <si>
    <t>Liquefied Petroleum Gas (mpg)</t>
  </si>
  <si>
    <t>Liquefied Petroleum Gas (mpg) Questionable</t>
  </si>
  <si>
    <t>Compressed Natural Gas (mpg)</t>
  </si>
  <si>
    <t>Compressed Natural Gas (mpg) Questionable</t>
  </si>
  <si>
    <t>Other Fuel (mpg)</t>
  </si>
  <si>
    <t>Other Fuel (mpg) Questionable</t>
  </si>
  <si>
    <t>Electric Propulsion (mi/kwh)</t>
  </si>
  <si>
    <t>Electric Propulsion (mi/kwh) Questionable</t>
  </si>
  <si>
    <t>Electric Battery (mi/kwh)</t>
  </si>
  <si>
    <t>Electric Battery (mi/kwh) Questionable</t>
  </si>
  <si>
    <t>Any data questionable?</t>
  </si>
  <si>
    <t>btu/gallon diesel</t>
  </si>
  <si>
    <t>btu/kwh</t>
  </si>
  <si>
    <t>Rail types</t>
  </si>
  <si>
    <t>Number of Vehicles and Miles</t>
  </si>
  <si>
    <t>Vehicle Fuel Use</t>
  </si>
  <si>
    <t>subregion</t>
  </si>
  <si>
    <t>% of miles diesel</t>
  </si>
  <si>
    <t>% of miles electric</t>
  </si>
  <si>
    <t>calc AVLO</t>
  </si>
  <si>
    <t>calc BAADTVBT</t>
  </si>
  <si>
    <t>SYVBT-diesel</t>
  </si>
  <si>
    <t>SYVBT-electric</t>
  </si>
  <si>
    <t>diesel (btus)</t>
  </si>
  <si>
    <t>electric (btu)</t>
  </si>
  <si>
    <t>calc SYFAFE-diesel</t>
  </si>
  <si>
    <t>calc SYFAFE-electric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</si>
  <si>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</si>
  <si>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</si>
  <si>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</si>
  <si>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</si>
  <si>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</si>
  <si>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</si>
  <si>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</si>
  <si>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</si>
  <si>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NA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</si>
  <si>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</si>
  <si>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</si>
  <si>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</si>
  <si>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</si>
  <si>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</si>
  <si>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</si>
  <si>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</si>
  <si>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</si>
  <si>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</si>
  <si>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</si>
  <si>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</si>
  <si>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</si>
  <si>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</si>
  <si>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</si>
  <si>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</si>
  <si>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</si>
  <si>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</si>
  <si>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</si>
  <si>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</si>
  <si>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</si>
  <si>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</si>
  <si>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</si>
  <si>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</si>
  <si>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</si>
  <si>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</si>
  <si>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</si>
  <si>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</si>
  <si>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</si>
  <si>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</si>
  <si>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</si>
  <si>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</si>
  <si>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</si>
  <si>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</si>
  <si>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</si>
  <si>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</si>
  <si>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</si>
  <si>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</si>
  <si>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</si>
  <si>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</si>
  <si>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</si>
  <si>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</si>
  <si>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</si>
  <si>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totals</t>
  </si>
  <si>
    <t>CHECK</t>
  </si>
  <si>
    <t>SYFAFE-psgr</t>
  </si>
  <si>
    <t>SYFAFE-frgt</t>
  </si>
  <si>
    <t>2024P</t>
  </si>
  <si>
    <t>B1ABB</t>
  </si>
  <si>
    <t>B1AUB</t>
  </si>
  <si>
    <t>B1RIB</t>
  </si>
  <si>
    <t>BDABB</t>
  </si>
  <si>
    <t>BDAUB</t>
  </si>
  <si>
    <t>BDCBB</t>
  </si>
  <si>
    <t>BDCCB</t>
  </si>
  <si>
    <t>BDCUB</t>
  </si>
  <si>
    <t>BDEIB</t>
  </si>
  <si>
    <t>BDEUB</t>
  </si>
  <si>
    <t>BDRBB</t>
  </si>
  <si>
    <t>BDRCB</t>
  </si>
  <si>
    <t>BDRIB</t>
  </si>
  <si>
    <t>BDRUB</t>
  </si>
  <si>
    <t>BDSAB</t>
  </si>
  <si>
    <t>BDSUB</t>
  </si>
  <si>
    <t>BDTXB</t>
  </si>
  <si>
    <t>BDXUB</t>
  </si>
  <si>
    <t>BMCAS</t>
  </si>
  <si>
    <t>BTCAS</t>
  </si>
  <si>
    <t>BTVHN</t>
  </si>
  <si>
    <t>BTVHP</t>
  </si>
  <si>
    <t>BXSUB</t>
  </si>
  <si>
    <t>CLCAS</t>
  </si>
  <si>
    <t>CYCAS</t>
  </si>
  <si>
    <t>DAACB</t>
  </si>
  <si>
    <t>DACCB</t>
  </si>
  <si>
    <t>DAEIB</t>
  </si>
  <si>
    <t>DAICB</t>
  </si>
  <si>
    <t>DARCB</t>
  </si>
  <si>
    <t>DATCB</t>
  </si>
  <si>
    <t>DMACB</t>
  </si>
  <si>
    <t>DMCCB</t>
  </si>
  <si>
    <t>DMEIB</t>
  </si>
  <si>
    <t>DMICB</t>
  </si>
  <si>
    <t>DMRCB</t>
  </si>
  <si>
    <t>ELVHN</t>
  </si>
  <si>
    <t>ELVHS</t>
  </si>
  <si>
    <t>ESVHP</t>
  </si>
  <si>
    <t>EV0CN</t>
  </si>
  <si>
    <t>EV1CN</t>
  </si>
  <si>
    <t>EV2CN</t>
  </si>
  <si>
    <t>EV2CR</t>
  </si>
  <si>
    <t>EVCHN</t>
  </si>
  <si>
    <t>EVCHP</t>
  </si>
  <si>
    <t>EVDCN</t>
  </si>
  <si>
    <t>EVDCR</t>
  </si>
  <si>
    <t>EVNNP</t>
  </si>
  <si>
    <t>EVNOP</t>
  </si>
  <si>
    <t>EVNTP</t>
  </si>
  <si>
    <t>EVPPP</t>
  </si>
  <si>
    <t>EVPUP</t>
  </si>
  <si>
    <t>EVPVP</t>
  </si>
  <si>
    <t>GECAS</t>
  </si>
  <si>
    <t>HPCAS</t>
  </si>
  <si>
    <t>HVCAS</t>
  </si>
  <si>
    <t>LDVHN</t>
  </si>
  <si>
    <t>MMACB</t>
  </si>
  <si>
    <t>MMCCB</t>
  </si>
  <si>
    <t>MMICB</t>
  </si>
  <si>
    <t>NTCAS</t>
  </si>
  <si>
    <t>NUCAS</t>
  </si>
  <si>
    <t>NYCAS</t>
  </si>
  <si>
    <t>OPCCB</t>
  </si>
  <si>
    <t>OPEIB</t>
  </si>
  <si>
    <t>OPRCB</t>
  </si>
  <si>
    <t>PACAS</t>
  </si>
  <si>
    <t>PHVHN</t>
  </si>
  <si>
    <t>PHVHP</t>
  </si>
  <si>
    <t>PMACB</t>
  </si>
  <si>
    <t>PMCCB</t>
  </si>
  <si>
    <t>PMEIB</t>
  </si>
  <si>
    <t>PMICB</t>
  </si>
  <si>
    <t>PMRCB</t>
  </si>
  <si>
    <t>RETES</t>
  </si>
  <si>
    <t>SHCAS</t>
  </si>
  <si>
    <t>SPCAS</t>
  </si>
  <si>
    <t>TNTCB</t>
  </si>
  <si>
    <t>WYCAS</t>
  </si>
  <si>
    <t>WZEIB</t>
  </si>
  <si>
    <t>WZTCB</t>
  </si>
  <si>
    <t>BOABB</t>
  </si>
  <si>
    <t>BOAUB</t>
  </si>
  <si>
    <t>BORIB</t>
  </si>
  <si>
    <t>SourceFolder</t>
  </si>
  <si>
    <t>template_state_4.0</t>
  </si>
  <si>
    <t>USA\InputData</t>
  </si>
  <si>
    <t>Unnamed: 8</t>
  </si>
  <si>
    <t>Unnamed: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</si>
</sst>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###0.00_)"/>
    <numFmt numFmtId="168" formatCode="#,##0_)"/>
    <numFmt numFmtId="169" formatCode="#,##0.0"/>
    <numFmt numFmtId="170" formatCode="000#"/>
    <numFmt numFmtId="171" formatCode="0000#"/>
  </numFmts>
  <fonts count="6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Arial"/>
      <family val="2"/>
    </font>
    <font>
      <u/>
      <sz val="11"/>
      <color rgb="FF0000FF"/>
      <name val="Arial"/>
      <family val="2"/>
    </font>
    <font>
      <sz val="11"/>
      <color theme="0" tint="-0.24997711111789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sz val="11"/>
      <color theme="5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i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11"/>
      <name val="Calibri"/>
    </font>
  </fonts>
  <fills count="4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4DFE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61">
    <xf numFmtId="0" fontId="0" fillId="0" borderId="0"/>
    <xf numFmtId="0" fontId="2" fillId="0" borderId="0"/>
    <xf numFmtId="0" fontId="3" fillId="0" borderId="0"/>
    <xf numFmtId="0" fontId="4" fillId="0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11" borderId="0"/>
    <xf numFmtId="0" fontId="6" fillId="12" borderId="0"/>
    <xf numFmtId="0" fontId="6" fillId="7" borderId="0"/>
    <xf numFmtId="0" fontId="6" fillId="10" borderId="0"/>
    <xf numFmtId="0" fontId="6" fillId="13" borderId="0"/>
    <xf numFmtId="0" fontId="7" fillId="14" borderId="0"/>
    <xf numFmtId="0" fontId="7" fillId="11" borderId="0"/>
    <xf numFmtId="0" fontId="7" fillId="12" borderId="0"/>
    <xf numFmtId="0" fontId="7" fillId="15" borderId="0"/>
    <xf numFmtId="0" fontId="7" fillId="16" borderId="0"/>
    <xf numFmtId="0" fontId="7" fillId="17" borderId="0"/>
    <xf numFmtId="0" fontId="7" fillId="18" borderId="0"/>
    <xf numFmtId="0" fontId="7" fillId="19" borderId="0"/>
    <xf numFmtId="0" fontId="7" fillId="20" borderId="0"/>
    <xf numFmtId="0" fontId="7" fillId="15" borderId="0"/>
    <xf numFmtId="0" fontId="7" fillId="16" borderId="0"/>
    <xf numFmtId="0" fontId="7" fillId="21" borderId="0"/>
    <xf numFmtId="0" fontId="8" fillId="5" borderId="0"/>
    <xf numFmtId="0" fontId="9" fillId="0" borderId="5">
      <alignment wrapText="1"/>
    </xf>
    <xf numFmtId="0" fontId="9" fillId="0" borderId="5">
      <alignment wrapText="1"/>
    </xf>
    <xf numFmtId="0" fontId="10" fillId="22" borderId="6"/>
    <xf numFmtId="0" fontId="11" fillId="23" borderId="7"/>
    <xf numFmtId="0" fontId="12" fillId="0" borderId="0">
      <alignment horizontal="center" vertical="center" wrapText="1"/>
    </xf>
    <xf numFmtId="43" fontId="3" fillId="0" borderId="0"/>
    <xf numFmtId="43" fontId="5" fillId="0" borderId="0"/>
    <xf numFmtId="43" fontId="6" fillId="0" borderId="0"/>
    <xf numFmtId="43" fontId="3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13" fillId="0" borderId="0">
      <alignment horizontal="left" vertical="center" wrapText="1"/>
    </xf>
    <xf numFmtId="44" fontId="5" fillId="0" borderId="0"/>
    <xf numFmtId="44" fontId="5" fillId="0" borderId="0"/>
    <xf numFmtId="44" fontId="3" fillId="0" borderId="0"/>
    <xf numFmtId="167" fontId="14" fillId="0" borderId="8">
      <alignment horizontal="right"/>
    </xf>
    <xf numFmtId="167" fontId="15" fillId="0" borderId="8">
      <alignment horizontal="right"/>
    </xf>
    <xf numFmtId="168" fontId="16" fillId="0" borderId="8">
      <alignment horizontal="right" vertical="center"/>
    </xf>
    <xf numFmtId="49" fontId="17" fillId="0" borderId="8">
      <alignment horizontal="left" vertical="center"/>
    </xf>
    <xf numFmtId="167" fontId="14" fillId="0" borderId="8">
      <alignment horizontal="right"/>
    </xf>
    <xf numFmtId="0" fontId="18" fillId="0" borderId="0"/>
    <xf numFmtId="0" fontId="9" fillId="0" borderId="0"/>
    <xf numFmtId="0" fontId="9" fillId="0" borderId="0"/>
    <xf numFmtId="0" fontId="9" fillId="0" borderId="9">
      <alignment wrapText="1"/>
    </xf>
    <xf numFmtId="0" fontId="9" fillId="0" borderId="9">
      <alignment wrapText="1"/>
    </xf>
    <xf numFmtId="0" fontId="19" fillId="6" borderId="0"/>
    <xf numFmtId="0" fontId="20" fillId="0" borderId="10">
      <alignment wrapText="1"/>
    </xf>
    <xf numFmtId="0" fontId="20" fillId="0" borderId="10">
      <alignment wrapText="1"/>
    </xf>
    <xf numFmtId="0" fontId="21" fillId="0" borderId="11"/>
    <xf numFmtId="0" fontId="22" fillId="0" borderId="12"/>
    <xf numFmtId="0" fontId="23" fillId="0" borderId="13"/>
    <xf numFmtId="0" fontId="23" fillId="0" borderId="0"/>
    <xf numFmtId="0" fontId="24" fillId="0" borderId="8">
      <alignment horizontal="left"/>
    </xf>
    <xf numFmtId="0" fontId="25" fillId="0" borderId="8">
      <alignment horizontal="left"/>
    </xf>
    <xf numFmtId="0" fontId="26" fillId="0" borderId="14">
      <alignment horizontal="right" vertical="center"/>
    </xf>
    <xf numFmtId="0" fontId="27" fillId="0" borderId="8">
      <alignment horizontal="left" vertical="center"/>
    </xf>
    <xf numFmtId="0" fontId="14" fillId="0" borderId="8">
      <alignment horizontal="left" vertical="center"/>
    </xf>
    <xf numFmtId="0" fontId="24" fillId="0" borderId="8">
      <alignment horizontal="left"/>
    </xf>
    <xf numFmtId="0" fontId="24" fillId="24" borderId="0">
      <alignment horizontal="centerContinuous" wrapText="1"/>
    </xf>
    <xf numFmtId="49" fontId="24" fillId="24" borderId="2">
      <alignment horizontal="left" vertical="center"/>
    </xf>
    <xf numFmtId="0" fontId="24" fillId="24" borderId="0">
      <alignment horizontal="centerContinuous" vertical="center" wrapText="1"/>
    </xf>
    <xf numFmtId="0" fontId="28" fillId="0" borderId="0">
      <alignment vertical="top"/>
      <protection locked="0"/>
    </xf>
    <xf numFmtId="0" fontId="29" fillId="9" borderId="6"/>
    <xf numFmtId="0" fontId="30" fillId="0" borderId="15"/>
    <xf numFmtId="0" fontId="31" fillId="25" borderId="0"/>
    <xf numFmtId="0" fontId="5" fillId="0" borderId="0"/>
    <xf numFmtId="0" fontId="5" fillId="0" borderId="0"/>
    <xf numFmtId="0" fontId="3" fillId="0" borderId="0"/>
    <xf numFmtId="0" fontId="3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3" borderId="4"/>
    <xf numFmtId="0" fontId="3" fillId="26" borderId="16"/>
    <xf numFmtId="0" fontId="33" fillId="22" borderId="17"/>
    <xf numFmtId="0" fontId="20" fillId="0" borderId="18">
      <alignment wrapText="1"/>
    </xf>
    <xf numFmtId="0" fontId="20" fillId="0" borderId="18">
      <alignment wrapText="1"/>
    </xf>
    <xf numFmtId="9" fontId="5" fillId="0" borderId="0"/>
    <xf numFmtId="9" fontId="5" fillId="0" borderId="0"/>
    <xf numFmtId="9" fontId="3" fillId="0" borderId="0"/>
    <xf numFmtId="9" fontId="3" fillId="0" borderId="0"/>
    <xf numFmtId="9" fontId="5" fillId="0" borderId="0"/>
    <xf numFmtId="3" fontId="16" fillId="0" borderId="0">
      <alignment horizontal="left" vertical="center"/>
    </xf>
    <xf numFmtId="0" fontId="12" fillId="0" borderId="0">
      <alignment horizontal="left" vertical="center"/>
    </xf>
    <xf numFmtId="0" fontId="34" fillId="0" borderId="0">
      <alignment horizontal="right"/>
    </xf>
    <xf numFmtId="49" fontId="34" fillId="0" borderId="0">
      <alignment horizontal="center"/>
    </xf>
    <xf numFmtId="0" fontId="17" fillId="0" borderId="0">
      <alignment horizontal="right"/>
    </xf>
    <xf numFmtId="0" fontId="35" fillId="0" borderId="0">
      <alignment horizontal="right"/>
    </xf>
    <xf numFmtId="0" fontId="34" fillId="0" borderId="0">
      <alignment horizontal="left"/>
    </xf>
    <xf numFmtId="0" fontId="36" fillId="0" borderId="0">
      <alignment horizontal="left"/>
    </xf>
    <xf numFmtId="49" fontId="16" fillId="0" borderId="0">
      <alignment horizontal="left" vertical="center"/>
    </xf>
    <xf numFmtId="49" fontId="17" fillId="0" borderId="8">
      <alignment horizontal="left"/>
    </xf>
    <xf numFmtId="167" fontId="16" fillId="0" borderId="0">
      <alignment horizontal="right"/>
    </xf>
    <xf numFmtId="0" fontId="26" fillId="27" borderId="0">
      <alignment horizontal="centerContinuous" vertical="center" wrapText="1"/>
    </xf>
    <xf numFmtId="0" fontId="26" fillId="0" borderId="19">
      <alignment horizontal="left" vertical="center"/>
    </xf>
    <xf numFmtId="0" fontId="37" fillId="0" borderId="0">
      <alignment horizontal="left"/>
    </xf>
    <xf numFmtId="0" fontId="37" fillId="0" borderId="0">
      <alignment horizontal="left"/>
    </xf>
    <xf numFmtId="0" fontId="38" fillId="0" borderId="0"/>
    <xf numFmtId="0" fontId="24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9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40" fillId="0" borderId="20"/>
    <xf numFmtId="0" fontId="41" fillId="0" borderId="0"/>
    <xf numFmtId="49" fontId="16" fillId="0" borderId="8">
      <alignment horizontal="left"/>
    </xf>
    <xf numFmtId="0" fontId="26" fillId="0" borderId="14">
      <alignment horizontal="left"/>
    </xf>
    <xf numFmtId="0" fontId="24" fillId="0" borderId="0">
      <alignment horizontal="left" vertical="center"/>
    </xf>
    <xf numFmtId="49" fontId="34" fillId="0" borderId="8">
      <alignment horizontal="left"/>
    </xf>
    <xf numFmtId="43" fontId="5" fillId="0" borderId="0"/>
    <xf numFmtId="9" fontId="5" fillId="0" borderId="0"/>
    <xf numFmtId="0" fontId="28" fillId="0" borderId="0">
      <alignment vertical="top"/>
      <protection locked="0"/>
    </xf>
    <xf numFmtId="43" fontId="5" fillId="0" borderId="0" applyFont="0" applyFill="0" applyBorder="0" applyAlignment="0" applyProtection="0"/>
    <xf numFmtId="43" fontId="3" fillId="0" borderId="0"/>
    <xf numFmtId="9" fontId="5" fillId="0" borderId="0" applyFont="0" applyFill="0" applyBorder="0" applyAlignment="0" applyProtection="0"/>
    <xf numFmtId="43" fontId="3" fillId="0" borderId="0"/>
  </cellStyleXfs>
  <cellXfs count="213">
    <xf numFmtId="0" fontId="0" fillId="0" borderId="0" xfId="0"/>
    <xf numFmtId="0" fontId="2" fillId="0" borderId="0" xfId="1"/>
    <xf numFmtId="0" fontId="1" fillId="2" borderId="0" xfId="0" applyFont="1" applyFill="1"/>
    <xf numFmtId="0" fontId="1" fillId="0" borderId="0" xfId="0" applyFont="1" applyAlignment="1">
      <alignment horizontal="right"/>
    </xf>
    <xf numFmtId="3" fontId="0" fillId="0" borderId="0" xfId="0" applyNumberFormat="1" applyAlignment="1">
      <alignment horizontal="left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/>
    <xf numFmtId="0" fontId="42" fillId="0" borderId="0" xfId="0" applyFont="1"/>
    <xf numFmtId="0" fontId="42" fillId="0" borderId="0" xfId="0" applyFont="1" applyAlignment="1">
      <alignment horizontal="left"/>
    </xf>
    <xf numFmtId="0" fontId="43" fillId="0" borderId="0" xfId="0" applyFont="1"/>
    <xf numFmtId="0" fontId="0" fillId="2" borderId="0" xfId="0" applyFill="1"/>
    <xf numFmtId="0" fontId="1" fillId="29" borderId="0" xfId="0" applyFont="1" applyFill="1"/>
    <xf numFmtId="0" fontId="0" fillId="29" borderId="0" xfId="0" applyFill="1"/>
    <xf numFmtId="11" fontId="0" fillId="29" borderId="0" xfId="0" applyNumberFormat="1" applyFill="1"/>
    <xf numFmtId="0" fontId="1" fillId="0" borderId="0" xfId="0" applyFont="1"/>
    <xf numFmtId="11" fontId="44" fillId="0" borderId="0" xfId="0" applyNumberFormat="1" applyFont="1"/>
    <xf numFmtId="0" fontId="44" fillId="0" borderId="0" xfId="0" applyFont="1"/>
    <xf numFmtId="0" fontId="0" fillId="0" borderId="21" xfId="0" applyBorder="1"/>
    <xf numFmtId="11" fontId="0" fillId="0" borderId="23" xfId="0" applyNumberFormat="1" applyBorder="1"/>
    <xf numFmtId="0" fontId="0" fillId="0" borderId="24" xfId="0" applyBorder="1"/>
    <xf numFmtId="11" fontId="0" fillId="0" borderId="25" xfId="0" applyNumberFormat="1" applyBorder="1"/>
    <xf numFmtId="0" fontId="0" fillId="0" borderId="26" xfId="0" applyBorder="1"/>
    <xf numFmtId="11" fontId="0" fillId="0" borderId="27" xfId="0" applyNumberFormat="1" applyBorder="1"/>
    <xf numFmtId="164" fontId="0" fillId="0" borderId="0" xfId="0" applyNumberFormat="1"/>
    <xf numFmtId="11" fontId="0" fillId="0" borderId="22" xfId="154" applyNumberFormat="1" applyFont="1" applyBorder="1"/>
    <xf numFmtId="11" fontId="0" fillId="0" borderId="0" xfId="154" applyNumberFormat="1" applyFont="1"/>
    <xf numFmtId="11" fontId="0" fillId="0" borderId="2" xfId="154" applyNumberFormat="1" applyFont="1" applyBorder="1"/>
    <xf numFmtId="11" fontId="0" fillId="0" borderId="22" xfId="155" applyNumberFormat="1" applyFont="1" applyBorder="1"/>
    <xf numFmtId="11" fontId="0" fillId="0" borderId="2" xfId="0" applyNumberFormat="1" applyBorder="1"/>
    <xf numFmtId="0" fontId="1" fillId="31" borderId="0" xfId="0" applyFont="1" applyFill="1"/>
    <xf numFmtId="0" fontId="45" fillId="32" borderId="0" xfId="0" applyFont="1" applyFill="1"/>
    <xf numFmtId="11" fontId="0" fillId="0" borderId="0" xfId="0" applyNumberFormat="1"/>
    <xf numFmtId="43" fontId="0" fillId="0" borderId="0" xfId="0" applyNumberFormat="1"/>
    <xf numFmtId="14" fontId="0" fillId="0" borderId="0" xfId="0" applyNumberFormat="1"/>
    <xf numFmtId="0" fontId="0" fillId="0" borderId="29" xfId="0" applyBorder="1"/>
    <xf numFmtId="9" fontId="5" fillId="0" borderId="0" xfId="155"/>
    <xf numFmtId="0" fontId="0" fillId="0" borderId="31" xfId="0" applyBorder="1"/>
    <xf numFmtId="0" fontId="0" fillId="0" borderId="33" xfId="0" applyBorder="1"/>
    <xf numFmtId="0" fontId="0" fillId="34" borderId="0" xfId="0" applyFill="1"/>
    <xf numFmtId="0" fontId="0" fillId="35" borderId="0" xfId="0" applyFill="1"/>
    <xf numFmtId="0" fontId="3" fillId="36" borderId="0" xfId="78" applyFill="1" applyAlignment="1">
      <alignment vertical="top"/>
    </xf>
    <xf numFmtId="0" fontId="46" fillId="36" borderId="0" xfId="78" applyFont="1" applyFill="1"/>
    <xf numFmtId="0" fontId="3" fillId="36" borderId="0" xfId="78" applyFill="1"/>
    <xf numFmtId="0" fontId="47" fillId="37" borderId="0" xfId="78" applyFont="1" applyFill="1"/>
    <xf numFmtId="0" fontId="3" fillId="36" borderId="0" xfId="78" applyFill="1" applyAlignment="1">
      <alignment horizontal="left"/>
    </xf>
    <xf numFmtId="0" fontId="48" fillId="36" borderId="34" xfId="78" applyFont="1" applyFill="1" applyBorder="1"/>
    <xf numFmtId="0" fontId="48" fillId="36" borderId="35" xfId="78" applyFont="1" applyFill="1" applyBorder="1"/>
    <xf numFmtId="0" fontId="48" fillId="36" borderId="36" xfId="78" applyFont="1" applyFill="1" applyBorder="1"/>
    <xf numFmtId="0" fontId="3" fillId="36" borderId="37" xfId="78" applyFill="1" applyBorder="1"/>
    <xf numFmtId="0" fontId="3" fillId="36" borderId="38" xfId="78" applyFill="1" applyBorder="1" applyAlignment="1">
      <alignment wrapText="1"/>
    </xf>
    <xf numFmtId="0" fontId="3" fillId="36" borderId="39" xfId="78" applyFill="1" applyBorder="1"/>
    <xf numFmtId="0" fontId="3" fillId="36" borderId="40" xfId="78" applyFill="1" applyBorder="1" applyAlignment="1">
      <alignment wrapText="1"/>
    </xf>
    <xf numFmtId="0" fontId="3" fillId="0" borderId="37" xfId="78" applyBorder="1"/>
    <xf numFmtId="0" fontId="3" fillId="0" borderId="40" xfId="78" applyBorder="1"/>
    <xf numFmtId="0" fontId="3" fillId="0" borderId="40" xfId="78" applyBorder="1" applyAlignment="1">
      <alignment wrapText="1"/>
    </xf>
    <xf numFmtId="0" fontId="3" fillId="0" borderId="39" xfId="78" applyBorder="1"/>
    <xf numFmtId="0" fontId="3" fillId="35" borderId="37" xfId="78" applyFill="1" applyBorder="1"/>
    <xf numFmtId="0" fontId="3" fillId="35" borderId="40" xfId="78" applyFill="1" applyBorder="1" applyAlignment="1">
      <alignment wrapText="1"/>
    </xf>
    <xf numFmtId="0" fontId="3" fillId="35" borderId="39" xfId="78" applyFill="1" applyBorder="1"/>
    <xf numFmtId="0" fontId="3" fillId="38" borderId="37" xfId="78" applyFill="1" applyBorder="1"/>
    <xf numFmtId="0" fontId="3" fillId="38" borderId="40" xfId="78" applyFill="1" applyBorder="1" applyAlignment="1">
      <alignment wrapText="1"/>
    </xf>
    <xf numFmtId="0" fontId="3" fillId="38" borderId="39" xfId="78" applyFill="1" applyBorder="1"/>
    <xf numFmtId="0" fontId="49" fillId="39" borderId="0" xfId="78" applyFont="1" applyFill="1" applyAlignment="1">
      <alignment vertical="top"/>
    </xf>
    <xf numFmtId="0" fontId="3" fillId="40" borderId="0" xfId="78" applyFill="1" applyAlignment="1">
      <alignment vertical="top"/>
    </xf>
    <xf numFmtId="0" fontId="3" fillId="36" borderId="40" xfId="78" applyFill="1" applyBorder="1"/>
    <xf numFmtId="0" fontId="3" fillId="36" borderId="39" xfId="78" applyFill="1" applyBorder="1" applyAlignment="1">
      <alignment wrapText="1"/>
    </xf>
    <xf numFmtId="0" fontId="3" fillId="34" borderId="37" xfId="78" applyFill="1" applyBorder="1"/>
    <xf numFmtId="0" fontId="3" fillId="34" borderId="40" xfId="78" applyFill="1" applyBorder="1" applyAlignment="1">
      <alignment wrapText="1"/>
    </xf>
    <xf numFmtId="0" fontId="3" fillId="34" borderId="39" xfId="78" applyFill="1" applyBorder="1"/>
    <xf numFmtId="0" fontId="3" fillId="0" borderId="41" xfId="78" applyBorder="1"/>
    <xf numFmtId="0" fontId="3" fillId="0" borderId="42" xfId="78" applyBorder="1" applyAlignment="1">
      <alignment wrapText="1"/>
    </xf>
    <xf numFmtId="0" fontId="3" fillId="0" borderId="43" xfId="78" applyBorder="1"/>
    <xf numFmtId="0" fontId="51" fillId="0" borderId="0" xfId="0" applyFont="1" applyAlignment="1">
      <alignment vertical="center"/>
    </xf>
    <xf numFmtId="0" fontId="52" fillId="0" borderId="0" xfId="0" applyFont="1"/>
    <xf numFmtId="165" fontId="5" fillId="0" borderId="3" xfId="154" applyNumberFormat="1" applyBorder="1"/>
    <xf numFmtId="165" fontId="5" fillId="0" borderId="28" xfId="154" applyNumberFormat="1" applyBorder="1"/>
    <xf numFmtId="165" fontId="5" fillId="0" borderId="0" xfId="154" applyNumberFormat="1"/>
    <xf numFmtId="165" fontId="5" fillId="0" borderId="32" xfId="154" applyNumberFormat="1" applyBorder="1"/>
    <xf numFmtId="165" fontId="5" fillId="0" borderId="1" xfId="154" applyNumberFormat="1" applyBorder="1"/>
    <xf numFmtId="165" fontId="5" fillId="0" borderId="30" xfId="154" applyNumberFormat="1" applyBorder="1"/>
    <xf numFmtId="0" fontId="50" fillId="33" borderId="0" xfId="0" applyFont="1" applyFill="1"/>
    <xf numFmtId="0" fontId="50" fillId="33" borderId="25" xfId="0" applyFont="1" applyFill="1" applyBorder="1"/>
    <xf numFmtId="166" fontId="0" fillId="0" borderId="33" xfId="154" applyNumberFormat="1" applyFont="1" applyBorder="1"/>
    <xf numFmtId="166" fontId="0" fillId="0" borderId="3" xfId="154" applyNumberFormat="1" applyFont="1" applyBorder="1"/>
    <xf numFmtId="166" fontId="0" fillId="0" borderId="28" xfId="154" applyNumberFormat="1" applyFont="1" applyBorder="1"/>
    <xf numFmtId="166" fontId="0" fillId="0" borderId="31" xfId="154" applyNumberFormat="1" applyFont="1" applyBorder="1"/>
    <xf numFmtId="166" fontId="0" fillId="0" borderId="32" xfId="154" applyNumberFormat="1" applyFont="1" applyBorder="1"/>
    <xf numFmtId="11" fontId="5" fillId="0" borderId="22" xfId="154" applyNumberFormat="1" applyBorder="1"/>
    <xf numFmtId="11" fontId="0" fillId="0" borderId="0" xfId="155" applyNumberFormat="1" applyFont="1"/>
    <xf numFmtId="0" fontId="1" fillId="0" borderId="24" xfId="0" applyFont="1" applyBorder="1"/>
    <xf numFmtId="11" fontId="1" fillId="0" borderId="0" xfId="0" applyNumberFormat="1" applyFont="1"/>
    <xf numFmtId="9" fontId="1" fillId="0" borderId="0" xfId="0" applyNumberFormat="1" applyFont="1"/>
    <xf numFmtId="9" fontId="5" fillId="0" borderId="22" xfId="155" applyBorder="1"/>
    <xf numFmtId="9" fontId="5" fillId="0" borderId="23" xfId="155" applyBorder="1"/>
    <xf numFmtId="9" fontId="5" fillId="0" borderId="25" xfId="155" applyBorder="1"/>
    <xf numFmtId="9" fontId="5" fillId="0" borderId="2" xfId="155" applyBorder="1"/>
    <xf numFmtId="9" fontId="5" fillId="0" borderId="27" xfId="155" applyBorder="1"/>
    <xf numFmtId="11" fontId="5" fillId="0" borderId="23" xfId="154" applyNumberFormat="1" applyBorder="1"/>
    <xf numFmtId="11" fontId="5" fillId="0" borderId="0" xfId="154" applyNumberFormat="1"/>
    <xf numFmtId="11" fontId="5" fillId="0" borderId="25" xfId="154" applyNumberFormat="1" applyBorder="1"/>
    <xf numFmtId="11" fontId="5" fillId="0" borderId="2" xfId="154" applyNumberFormat="1" applyBorder="1"/>
    <xf numFmtId="11" fontId="5" fillId="0" borderId="27" xfId="154" applyNumberFormat="1" applyBorder="1"/>
    <xf numFmtId="165" fontId="5" fillId="0" borderId="22" xfId="154" applyNumberFormat="1" applyBorder="1"/>
    <xf numFmtId="165" fontId="5" fillId="0" borderId="23" xfId="154" applyNumberFormat="1" applyBorder="1"/>
    <xf numFmtId="165" fontId="5" fillId="0" borderId="25" xfId="154" applyNumberFormat="1" applyBorder="1"/>
    <xf numFmtId="165" fontId="5" fillId="0" borderId="2" xfId="154" applyNumberFormat="1" applyBorder="1"/>
    <xf numFmtId="165" fontId="5" fillId="0" borderId="27" xfId="154" applyNumberFormat="1" applyBorder="1"/>
    <xf numFmtId="9" fontId="5" fillId="30" borderId="22" xfId="155" applyFill="1" applyBorder="1"/>
    <xf numFmtId="9" fontId="5" fillId="30" borderId="0" xfId="155" applyFill="1"/>
    <xf numFmtId="9" fontId="5" fillId="30" borderId="25" xfId="155" applyFill="1" applyBorder="1"/>
    <xf numFmtId="9" fontId="5" fillId="30" borderId="2" xfId="155" applyFill="1" applyBorder="1"/>
    <xf numFmtId="164" fontId="5" fillId="30" borderId="2" xfId="155" applyNumberFormat="1" applyFill="1" applyBorder="1"/>
    <xf numFmtId="0" fontId="1" fillId="28" borderId="0" xfId="0" applyFont="1" applyFill="1"/>
    <xf numFmtId="11" fontId="1" fillId="28" borderId="0" xfId="0" applyNumberFormat="1" applyFont="1" applyFill="1"/>
    <xf numFmtId="165" fontId="5" fillId="35" borderId="22" xfId="154" applyNumberFormat="1" applyFill="1" applyBorder="1"/>
    <xf numFmtId="165" fontId="5" fillId="35" borderId="0" xfId="154" applyNumberFormat="1" applyFill="1"/>
    <xf numFmtId="165" fontId="5" fillId="35" borderId="25" xfId="154" applyNumberFormat="1" applyFill="1" applyBorder="1"/>
    <xf numFmtId="165" fontId="5" fillId="35" borderId="2" xfId="154" applyNumberFormat="1" applyFill="1" applyBorder="1"/>
    <xf numFmtId="0" fontId="53" fillId="41" borderId="0" xfId="0" applyFont="1" applyFill="1" applyAlignment="1">
      <alignment wrapText="1"/>
    </xf>
    <xf numFmtId="3" fontId="53" fillId="41" borderId="0" xfId="0" applyNumberFormat="1" applyFont="1" applyFill="1" applyAlignment="1">
      <alignment wrapText="1"/>
    </xf>
    <xf numFmtId="169" fontId="53" fillId="41" borderId="0" xfId="0" applyNumberFormat="1" applyFont="1" applyFill="1" applyAlignment="1">
      <alignment wrapText="1"/>
    </xf>
    <xf numFmtId="0" fontId="54" fillId="0" borderId="0" xfId="0" applyFont="1"/>
    <xf numFmtId="170" fontId="54" fillId="0" borderId="0" xfId="0" applyNumberFormat="1" applyFont="1" applyAlignment="1">
      <alignment horizontal="left"/>
    </xf>
    <xf numFmtId="171" fontId="54" fillId="0" borderId="0" xfId="0" applyNumberFormat="1" applyFont="1" applyAlignment="1">
      <alignment horizontal="left"/>
    </xf>
    <xf numFmtId="3" fontId="54" fillId="0" borderId="0" xfId="0" applyNumberFormat="1" applyFont="1"/>
    <xf numFmtId="169" fontId="54" fillId="0" borderId="0" xfId="0" applyNumberFormat="1" applyFont="1"/>
    <xf numFmtId="0" fontId="55" fillId="0" borderId="0" xfId="0" applyFont="1"/>
    <xf numFmtId="0" fontId="56" fillId="0" borderId="0" xfId="0" applyFont="1"/>
    <xf numFmtId="11" fontId="5" fillId="38" borderId="2" xfId="154" applyNumberFormat="1" applyFill="1" applyBorder="1"/>
    <xf numFmtId="0" fontId="0" fillId="38" borderId="0" xfId="0" applyFill="1"/>
    <xf numFmtId="0" fontId="2" fillId="0" borderId="0" xfId="1" applyAlignment="1">
      <alignment horizontal="left"/>
    </xf>
    <xf numFmtId="3" fontId="53" fillId="42" borderId="0" xfId="0" applyNumberFormat="1" applyFont="1" applyFill="1" applyAlignment="1">
      <alignment wrapText="1"/>
    </xf>
    <xf numFmtId="0" fontId="53" fillId="42" borderId="0" xfId="0" applyFont="1" applyFill="1" applyAlignment="1">
      <alignment wrapText="1"/>
    </xf>
    <xf numFmtId="165" fontId="53" fillId="41" borderId="0" xfId="157" applyNumberFormat="1" applyFont="1" applyFill="1" applyBorder="1" applyAlignment="1">
      <alignment wrapText="1"/>
    </xf>
    <xf numFmtId="37" fontId="53" fillId="41" borderId="0" xfId="157" applyNumberFormat="1" applyFont="1" applyFill="1" applyBorder="1" applyAlignment="1">
      <alignment wrapText="1"/>
    </xf>
    <xf numFmtId="37" fontId="53" fillId="42" borderId="0" xfId="157" applyNumberFormat="1" applyFont="1" applyFill="1" applyBorder="1" applyAlignment="1">
      <alignment wrapText="1"/>
    </xf>
    <xf numFmtId="37" fontId="54" fillId="0" borderId="0" xfId="157" applyNumberFormat="1" applyFont="1"/>
    <xf numFmtId="165" fontId="54" fillId="0" borderId="0" xfId="157" applyNumberFormat="1" applyFont="1"/>
    <xf numFmtId="3" fontId="54" fillId="42" borderId="0" xfId="157" applyNumberFormat="1" applyFont="1" applyFill="1"/>
    <xf numFmtId="43" fontId="54" fillId="0" borderId="0" xfId="157" applyFont="1"/>
    <xf numFmtId="37" fontId="54" fillId="42" borderId="0" xfId="157" applyNumberFormat="1" applyFont="1" applyFill="1"/>
    <xf numFmtId="37" fontId="54" fillId="0" borderId="0" xfId="157" applyNumberFormat="1" applyFont="1" applyBorder="1"/>
    <xf numFmtId="3" fontId="0" fillId="42" borderId="0" xfId="0" applyNumberFormat="1" applyFill="1"/>
    <xf numFmtId="0" fontId="0" fillId="42" borderId="0" xfId="0" applyFill="1"/>
    <xf numFmtId="3" fontId="0" fillId="0" borderId="0" xfId="0" applyNumberFormat="1"/>
    <xf numFmtId="9" fontId="0" fillId="0" borderId="0" xfId="159" applyFont="1"/>
    <xf numFmtId="0" fontId="1" fillId="42" borderId="0" xfId="0" applyFont="1" applyFill="1"/>
    <xf numFmtId="0" fontId="1" fillId="44" borderId="0" xfId="0" applyFont="1" applyFill="1"/>
    <xf numFmtId="0" fontId="0" fillId="44" borderId="0" xfId="0" applyFill="1"/>
    <xf numFmtId="0" fontId="1" fillId="45" borderId="0" xfId="0" applyFont="1" applyFill="1"/>
    <xf numFmtId="0" fontId="0" fillId="45" borderId="0" xfId="0" applyFill="1"/>
    <xf numFmtId="165" fontId="0" fillId="0" borderId="0" xfId="157" applyNumberFormat="1" applyFont="1"/>
    <xf numFmtId="0" fontId="1" fillId="46" borderId="0" xfId="0" applyFont="1" applyFill="1"/>
    <xf numFmtId="166" fontId="0" fillId="46" borderId="0" xfId="157" applyNumberFormat="1" applyFont="1" applyFill="1"/>
    <xf numFmtId="165" fontId="0" fillId="46" borderId="0" xfId="157" applyNumberFormat="1" applyFont="1" applyFill="1"/>
    <xf numFmtId="0" fontId="0" fillId="46" borderId="0" xfId="0" applyFill="1"/>
    <xf numFmtId="166" fontId="1" fillId="2" borderId="0" xfId="157" applyNumberFormat="1" applyFont="1" applyFill="1"/>
    <xf numFmtId="165" fontId="1" fillId="2" borderId="0" xfId="157" applyNumberFormat="1" applyFont="1" applyFill="1"/>
    <xf numFmtId="165" fontId="5" fillId="2" borderId="0" xfId="157" applyNumberFormat="1" applyFont="1" applyFill="1"/>
    <xf numFmtId="11" fontId="1" fillId="2" borderId="0" xfId="0" applyNumberFormat="1" applyFont="1" applyFill="1"/>
    <xf numFmtId="43" fontId="0" fillId="0" borderId="0" xfId="157" applyFont="1"/>
    <xf numFmtId="0" fontId="53" fillId="43" borderId="0" xfId="2" applyFont="1" applyFill="1"/>
    <xf numFmtId="0" fontId="53" fillId="43" borderId="0" xfId="2" applyFont="1" applyFill="1" applyAlignment="1">
      <alignment horizontal="left" wrapText="1"/>
    </xf>
    <xf numFmtId="170" fontId="53" fillId="43" borderId="0" xfId="2" applyNumberFormat="1" applyFont="1" applyFill="1" applyAlignment="1">
      <alignment horizontal="left" wrapText="1"/>
    </xf>
    <xf numFmtId="171" fontId="53" fillId="43" borderId="0" xfId="2" applyNumberFormat="1" applyFont="1" applyFill="1" applyAlignment="1">
      <alignment horizontal="left" wrapText="1"/>
    </xf>
    <xf numFmtId="0" fontId="53" fillId="43" borderId="0" xfId="2" applyFont="1" applyFill="1" applyAlignment="1">
      <alignment wrapText="1"/>
    </xf>
    <xf numFmtId="3" fontId="53" fillId="43" borderId="0" xfId="2" applyNumberFormat="1" applyFont="1" applyFill="1" applyAlignment="1">
      <alignment wrapText="1"/>
    </xf>
    <xf numFmtId="3" fontId="57" fillId="38" borderId="24" xfId="2" applyNumberFormat="1" applyFont="1" applyFill="1" applyBorder="1" applyAlignment="1">
      <alignment wrapText="1"/>
    </xf>
    <xf numFmtId="3" fontId="57" fillId="38" borderId="0" xfId="2" applyNumberFormat="1" applyFont="1" applyFill="1" applyAlignment="1">
      <alignment wrapText="1"/>
    </xf>
    <xf numFmtId="0" fontId="53" fillId="43" borderId="24" xfId="2" applyFont="1" applyFill="1" applyBorder="1" applyAlignment="1">
      <alignment wrapText="1"/>
    </xf>
    <xf numFmtId="2" fontId="53" fillId="43" borderId="0" xfId="2" applyNumberFormat="1" applyFont="1" applyFill="1" applyAlignment="1">
      <alignment wrapText="1"/>
    </xf>
    <xf numFmtId="0" fontId="58" fillId="0" borderId="0" xfId="2" applyFont="1"/>
    <xf numFmtId="0" fontId="58" fillId="0" borderId="0" xfId="2" applyFont="1" applyAlignment="1">
      <alignment horizontal="left"/>
    </xf>
    <xf numFmtId="170" fontId="58" fillId="0" borderId="0" xfId="2" quotePrefix="1" applyNumberFormat="1" applyFont="1" applyAlignment="1">
      <alignment horizontal="left"/>
    </xf>
    <xf numFmtId="171" fontId="58" fillId="0" borderId="0" xfId="2" quotePrefix="1" applyNumberFormat="1" applyFont="1" applyAlignment="1">
      <alignment horizontal="left"/>
    </xf>
    <xf numFmtId="3" fontId="58" fillId="0" borderId="0" xfId="2" applyNumberFormat="1" applyFont="1" applyAlignment="1">
      <alignment horizontal="right" wrapText="1"/>
    </xf>
    <xf numFmtId="3" fontId="58" fillId="0" borderId="0" xfId="2" applyNumberFormat="1" applyFont="1" applyAlignment="1">
      <alignment horizontal="right"/>
    </xf>
    <xf numFmtId="165" fontId="58" fillId="0" borderId="0" xfId="160" applyNumberFormat="1" applyFont="1"/>
    <xf numFmtId="169" fontId="58" fillId="0" borderId="0" xfId="160" applyNumberFormat="1" applyFont="1"/>
    <xf numFmtId="3" fontId="58" fillId="0" borderId="0" xfId="160" applyNumberFormat="1" applyFont="1" applyAlignment="1">
      <alignment horizontal="right"/>
    </xf>
    <xf numFmtId="3" fontId="58" fillId="0" borderId="0" xfId="2" applyNumberFormat="1" applyFont="1"/>
    <xf numFmtId="3" fontId="58" fillId="0" borderId="24" xfId="2" applyNumberFormat="1" applyFont="1" applyBorder="1"/>
    <xf numFmtId="0" fontId="58" fillId="0" borderId="24" xfId="2" applyFont="1" applyBorder="1"/>
    <xf numFmtId="2" fontId="58" fillId="0" borderId="0" xfId="2" applyNumberFormat="1" applyFont="1"/>
    <xf numFmtId="166" fontId="0" fillId="0" borderId="0" xfId="154" applyNumberFormat="1" applyFont="1"/>
    <xf numFmtId="166" fontId="0" fillId="33" borderId="31" xfId="154" applyNumberFormat="1" applyFont="1" applyFill="1" applyBorder="1"/>
    <xf numFmtId="166" fontId="0" fillId="33" borderId="0" xfId="154" applyNumberFormat="1" applyFont="1" applyFill="1"/>
    <xf numFmtId="166" fontId="0" fillId="33" borderId="32" xfId="154" applyNumberFormat="1" applyFont="1" applyFill="1" applyBorder="1"/>
    <xf numFmtId="166" fontId="0" fillId="33" borderId="29" xfId="154" applyNumberFormat="1" applyFont="1" applyFill="1" applyBorder="1"/>
    <xf numFmtId="166" fontId="0" fillId="33" borderId="1" xfId="154" applyNumberFormat="1" applyFont="1" applyFill="1" applyBorder="1"/>
    <xf numFmtId="166" fontId="0" fillId="33" borderId="30" xfId="154" applyNumberFormat="1" applyFont="1" applyFill="1" applyBorder="1"/>
    <xf numFmtId="0" fontId="0" fillId="33" borderId="33" xfId="0" applyFill="1" applyBorder="1"/>
    <xf numFmtId="165" fontId="5" fillId="33" borderId="3" xfId="154" applyNumberFormat="1" applyFill="1" applyBorder="1"/>
    <xf numFmtId="165" fontId="5" fillId="33" borderId="28" xfId="154" applyNumberFormat="1" applyFill="1" applyBorder="1"/>
    <xf numFmtId="0" fontId="0" fillId="33" borderId="31" xfId="0" applyFill="1" applyBorder="1"/>
    <xf numFmtId="165" fontId="5" fillId="33" borderId="0" xfId="154" applyNumberFormat="1" applyFill="1"/>
    <xf numFmtId="165" fontId="5" fillId="33" borderId="32" xfId="154" applyNumberFormat="1" applyFill="1" applyBorder="1"/>
    <xf numFmtId="0" fontId="0" fillId="33" borderId="29" xfId="0" applyFill="1" applyBorder="1"/>
    <xf numFmtId="165" fontId="5" fillId="33" borderId="1" xfId="154" applyNumberFormat="1" applyFill="1" applyBorder="1"/>
    <xf numFmtId="165" fontId="5" fillId="33" borderId="30" xfId="154" applyNumberFormat="1" applyFill="1" applyBorder="1"/>
    <xf numFmtId="11" fontId="0" fillId="0" borderId="3" xfId="154" applyNumberFormat="1" applyFont="1" applyBorder="1"/>
    <xf numFmtId="11" fontId="0" fillId="0" borderId="28" xfId="0" applyNumberFormat="1" applyBorder="1"/>
    <xf numFmtId="11" fontId="0" fillId="0" borderId="32" xfId="0" applyNumberFormat="1" applyBorder="1"/>
    <xf numFmtId="11" fontId="0" fillId="33" borderId="0" xfId="155" applyNumberFormat="1" applyFont="1" applyFill="1"/>
    <xf numFmtId="11" fontId="0" fillId="33" borderId="32" xfId="0" applyNumberFormat="1" applyFill="1" applyBorder="1"/>
    <xf numFmtId="11" fontId="0" fillId="33" borderId="1" xfId="155" applyNumberFormat="1" applyFont="1" applyFill="1" applyBorder="1"/>
    <xf numFmtId="11" fontId="0" fillId="33" borderId="30" xfId="0" applyNumberFormat="1" applyFill="1" applyBorder="1"/>
    <xf numFmtId="11" fontId="0" fillId="33" borderId="3" xfId="155" applyNumberFormat="1" applyFont="1" applyFill="1" applyBorder="1"/>
    <xf numFmtId="11" fontId="0" fillId="33" borderId="28" xfId="0" applyNumberFormat="1" applyFill="1" applyBorder="1"/>
    <xf numFmtId="0" fontId="59" fillId="0" borderId="44" xfId="0" applyFont="1" applyBorder="1" applyAlignment="1">
      <alignment horizontal="center" vertical="top"/>
    </xf>
    <xf numFmtId="0" fontId="5" fillId="0" borderId="0" xfId="154" applyNumberFormat="1"/>
  </cellXfs>
  <cellStyles count="161">
    <cellStyle name="20% - Accent1 2" xfId="4" xr:uid="{00000000-0005-0000-0000-000004000000}"/>
    <cellStyle name="20% - Accent2 2" xfId="5" xr:uid="{00000000-0005-0000-0000-000005000000}"/>
    <cellStyle name="20% - Accent3 2" xfId="6" xr:uid="{00000000-0005-0000-0000-000006000000}"/>
    <cellStyle name="20% - Accent4 2" xfId="7" xr:uid="{00000000-0005-0000-0000-000007000000}"/>
    <cellStyle name="20% - Accent5 2" xfId="8" xr:uid="{00000000-0005-0000-0000-000008000000}"/>
    <cellStyle name="20% - Accent6 2" xfId="9" xr:uid="{00000000-0005-0000-0000-000009000000}"/>
    <cellStyle name="40% - Accent1 2" xfId="10" xr:uid="{00000000-0005-0000-0000-00000A000000}"/>
    <cellStyle name="40% - Accent2 2" xfId="11" xr:uid="{00000000-0005-0000-0000-00000B000000}"/>
    <cellStyle name="40% - Accent3 2" xfId="12" xr:uid="{00000000-0005-0000-0000-00000C000000}"/>
    <cellStyle name="40% - Accent4 2" xfId="13" xr:uid="{00000000-0005-0000-0000-00000D000000}"/>
    <cellStyle name="40% - Accent5 2" xfId="14" xr:uid="{00000000-0005-0000-0000-00000E000000}"/>
    <cellStyle name="40% - Accent6 2" xfId="15" xr:uid="{00000000-0005-0000-0000-00000F000000}"/>
    <cellStyle name="60% - Accent1 2" xfId="16" xr:uid="{00000000-0005-0000-0000-000010000000}"/>
    <cellStyle name="60% - Accent2 2" xfId="17" xr:uid="{00000000-0005-0000-0000-000011000000}"/>
    <cellStyle name="60% - Accent3 2" xfId="18" xr:uid="{00000000-0005-0000-0000-000012000000}"/>
    <cellStyle name="60% - Accent4 2" xfId="19" xr:uid="{00000000-0005-0000-0000-000013000000}"/>
    <cellStyle name="60% - Accent5 2" xfId="20" xr:uid="{00000000-0005-0000-0000-000014000000}"/>
    <cellStyle name="60% - Accent6 2" xfId="21" xr:uid="{00000000-0005-0000-0000-000015000000}"/>
    <cellStyle name="Accent1 2" xfId="22" xr:uid="{00000000-0005-0000-0000-000016000000}"/>
    <cellStyle name="Accent2 2" xfId="23" xr:uid="{00000000-0005-0000-0000-000017000000}"/>
    <cellStyle name="Accent3 2" xfId="24" xr:uid="{00000000-0005-0000-0000-000018000000}"/>
    <cellStyle name="Accent4 2" xfId="25" xr:uid="{00000000-0005-0000-0000-000019000000}"/>
    <cellStyle name="Accent5 2" xfId="26" xr:uid="{00000000-0005-0000-0000-00001A000000}"/>
    <cellStyle name="Accent6 2" xfId="27" xr:uid="{00000000-0005-0000-0000-00001B000000}"/>
    <cellStyle name="Bad 2" xfId="28" xr:uid="{00000000-0005-0000-0000-00001C000000}"/>
    <cellStyle name="Body: normal cell" xfId="29" xr:uid="{00000000-0005-0000-0000-00001D000000}"/>
    <cellStyle name="Body: normal cell 2" xfId="30" xr:uid="{00000000-0005-0000-0000-00001E000000}"/>
    <cellStyle name="Calculation 2" xfId="31" xr:uid="{00000000-0005-0000-0000-00001F000000}"/>
    <cellStyle name="Check Cell 2" xfId="32" xr:uid="{00000000-0005-0000-0000-000020000000}"/>
    <cellStyle name="Column heading" xfId="33" xr:uid="{00000000-0005-0000-0000-000021000000}"/>
    <cellStyle name="Comma" xfId="154" builtinId="3"/>
    <cellStyle name="Comma 2" xfId="34" xr:uid="{00000000-0005-0000-0000-000022000000}"/>
    <cellStyle name="Comma 2 2" xfId="35" xr:uid="{00000000-0005-0000-0000-000023000000}"/>
    <cellStyle name="Comma 2 3" xfId="160" xr:uid="{4C697D29-3CF0-4B8F-8891-2E97A8146A72}"/>
    <cellStyle name="Comma 2 4" xfId="158" xr:uid="{FED514EC-329C-4E0F-8A10-FA4E21030B04}"/>
    <cellStyle name="Comma 3" xfId="36" xr:uid="{00000000-0005-0000-0000-000024000000}"/>
    <cellStyle name="Comma 4" xfId="37" xr:uid="{00000000-0005-0000-0000-000025000000}"/>
    <cellStyle name="Comma 5" xfId="38" xr:uid="{00000000-0005-0000-0000-000026000000}"/>
    <cellStyle name="Comma 6" xfId="39" xr:uid="{00000000-0005-0000-0000-000027000000}"/>
    <cellStyle name="Comma 7" xfId="40" xr:uid="{00000000-0005-0000-0000-000028000000}"/>
    <cellStyle name="Comma 8" xfId="41" xr:uid="{00000000-0005-0000-0000-000029000000}"/>
    <cellStyle name="Comma 9" xfId="157" xr:uid="{BFDF5FF0-B1F5-4CFB-AB6A-C8223C7B1B92}"/>
    <cellStyle name="Corner heading" xfId="42" xr:uid="{00000000-0005-0000-0000-00002A000000}"/>
    <cellStyle name="Currency 2" xfId="43" xr:uid="{00000000-0005-0000-0000-00002B000000}"/>
    <cellStyle name="Currency 3" xfId="44" xr:uid="{00000000-0005-0000-0000-00002C000000}"/>
    <cellStyle name="Currency 3 2" xfId="45" xr:uid="{00000000-0005-0000-0000-00002D000000}"/>
    <cellStyle name="Data" xfId="46" xr:uid="{00000000-0005-0000-0000-00002E000000}"/>
    <cellStyle name="Data 2" xfId="47" xr:uid="{00000000-0005-0000-0000-00002F000000}"/>
    <cellStyle name="Data no deci" xfId="48" xr:uid="{00000000-0005-0000-0000-000030000000}"/>
    <cellStyle name="Data Superscript" xfId="49" xr:uid="{00000000-0005-0000-0000-000031000000}"/>
    <cellStyle name="Data_1-1A-Regular" xfId="50" xr:uid="{00000000-0005-0000-0000-000032000000}"/>
    <cellStyle name="Explanatory Text 2" xfId="51" xr:uid="{00000000-0005-0000-0000-000033000000}"/>
    <cellStyle name="Font: Calibri, 9pt regular" xfId="52" xr:uid="{00000000-0005-0000-0000-000034000000}"/>
    <cellStyle name="Font: Calibri, 9pt regular 2" xfId="53" xr:uid="{00000000-0005-0000-0000-000035000000}"/>
    <cellStyle name="Footnotes: top row" xfId="54" xr:uid="{00000000-0005-0000-0000-000036000000}"/>
    <cellStyle name="Footnotes: top row 2" xfId="55" xr:uid="{00000000-0005-0000-0000-000037000000}"/>
    <cellStyle name="Good 2" xfId="56" xr:uid="{00000000-0005-0000-0000-000038000000}"/>
    <cellStyle name="Header: bottom row" xfId="57" xr:uid="{00000000-0005-0000-0000-000039000000}"/>
    <cellStyle name="Header: bottom row 2" xfId="58" xr:uid="{00000000-0005-0000-0000-00003A000000}"/>
    <cellStyle name="Heading 1 2" xfId="59" xr:uid="{00000000-0005-0000-0000-00003B000000}"/>
    <cellStyle name="Heading 2 2" xfId="60" xr:uid="{00000000-0005-0000-0000-00003C000000}"/>
    <cellStyle name="Heading 3 2" xfId="61" xr:uid="{00000000-0005-0000-0000-00003D000000}"/>
    <cellStyle name="Heading 4 2" xfId="62" xr:uid="{00000000-0005-0000-0000-00003E000000}"/>
    <cellStyle name="Hed Side" xfId="63" xr:uid="{00000000-0005-0000-0000-00003F000000}"/>
    <cellStyle name="Hed Side 2" xfId="64" xr:uid="{00000000-0005-0000-0000-000040000000}"/>
    <cellStyle name="Hed Side bold" xfId="65" xr:uid="{00000000-0005-0000-0000-000041000000}"/>
    <cellStyle name="Hed Side Indent" xfId="66" xr:uid="{00000000-0005-0000-0000-000042000000}"/>
    <cellStyle name="Hed Side Regular" xfId="67" xr:uid="{00000000-0005-0000-0000-000043000000}"/>
    <cellStyle name="Hed Side_1-1A-Regular" xfId="68" xr:uid="{00000000-0005-0000-0000-000044000000}"/>
    <cellStyle name="Hed Top" xfId="69" xr:uid="{00000000-0005-0000-0000-000045000000}"/>
    <cellStyle name="Hed Top - SECTION" xfId="70" xr:uid="{00000000-0005-0000-0000-000046000000}"/>
    <cellStyle name="Hed Top_3-new4" xfId="71" xr:uid="{00000000-0005-0000-0000-000047000000}"/>
    <cellStyle name="Hyperlink" xfId="1" builtinId="8"/>
    <cellStyle name="Hyperlink 2" xfId="72" xr:uid="{00000000-0005-0000-0000-000048000000}"/>
    <cellStyle name="Hyperlink 3" xfId="156" xr:uid="{00000000-0005-0000-0000-00009C000000}"/>
    <cellStyle name="Input 2" xfId="73" xr:uid="{00000000-0005-0000-0000-000049000000}"/>
    <cellStyle name="Linked Cell 2" xfId="74" xr:uid="{00000000-0005-0000-0000-00004A000000}"/>
    <cellStyle name="Neutral 2" xfId="75" xr:uid="{00000000-0005-0000-0000-00004B000000}"/>
    <cellStyle name="Normal" xfId="0" builtinId="0"/>
    <cellStyle name="Normal 10" xfId="76" xr:uid="{00000000-0005-0000-0000-00004C000000}"/>
    <cellStyle name="Normal 11" xfId="77" xr:uid="{00000000-0005-0000-0000-00004D000000}"/>
    <cellStyle name="Normal 2" xfId="2" xr:uid="{00000000-0005-0000-0000-000002000000}"/>
    <cellStyle name="Normal 2 2" xfId="78" xr:uid="{00000000-0005-0000-0000-00004E000000}"/>
    <cellStyle name="Normal 2 3" xfId="79" xr:uid="{00000000-0005-0000-0000-00004F000000}"/>
    <cellStyle name="Normal 3" xfId="3" xr:uid="{00000000-0005-0000-0000-000003000000}"/>
    <cellStyle name="Normal 3 2" xfId="80" xr:uid="{00000000-0005-0000-0000-000050000000}"/>
    <cellStyle name="Normal 3 2 2" xfId="81" xr:uid="{00000000-0005-0000-0000-000051000000}"/>
    <cellStyle name="Normal 3 2 2 2" xfId="82" xr:uid="{00000000-0005-0000-0000-000052000000}"/>
    <cellStyle name="Normal 3 2 3" xfId="83" xr:uid="{00000000-0005-0000-0000-000053000000}"/>
    <cellStyle name="Normal 3 3" xfId="84" xr:uid="{00000000-0005-0000-0000-000054000000}"/>
    <cellStyle name="Normal 3 3 2" xfId="85" xr:uid="{00000000-0005-0000-0000-000055000000}"/>
    <cellStyle name="Normal 3 3 2 2" xfId="86" xr:uid="{00000000-0005-0000-0000-000056000000}"/>
    <cellStyle name="Normal 3 3 3" xfId="87" xr:uid="{00000000-0005-0000-0000-000057000000}"/>
    <cellStyle name="Normal 3 4" xfId="88" xr:uid="{00000000-0005-0000-0000-000058000000}"/>
    <cellStyle name="Normal 3 4 2" xfId="89" xr:uid="{00000000-0005-0000-0000-000059000000}"/>
    <cellStyle name="Normal 3 5" xfId="90" xr:uid="{00000000-0005-0000-0000-00005A000000}"/>
    <cellStyle name="Normal 3 6" xfId="91" xr:uid="{00000000-0005-0000-0000-00005B000000}"/>
    <cellStyle name="Normal 3 7" xfId="92" xr:uid="{00000000-0005-0000-0000-00005C000000}"/>
    <cellStyle name="Normal 4" xfId="93" xr:uid="{00000000-0005-0000-0000-00005D000000}"/>
    <cellStyle name="Normal 4 2" xfId="94" xr:uid="{00000000-0005-0000-0000-00005E000000}"/>
    <cellStyle name="Normal 4 2 2" xfId="95" xr:uid="{00000000-0005-0000-0000-00005F000000}"/>
    <cellStyle name="Normal 4 2 2 2" xfId="96" xr:uid="{00000000-0005-0000-0000-000060000000}"/>
    <cellStyle name="Normal 4 2 3" xfId="97" xr:uid="{00000000-0005-0000-0000-000061000000}"/>
    <cellStyle name="Normal 4 3" xfId="98" xr:uid="{00000000-0005-0000-0000-000062000000}"/>
    <cellStyle name="Normal 4 3 2" xfId="99" xr:uid="{00000000-0005-0000-0000-000063000000}"/>
    <cellStyle name="Normal 4 3 2 2" xfId="100" xr:uid="{00000000-0005-0000-0000-000064000000}"/>
    <cellStyle name="Normal 4 3 3" xfId="101" xr:uid="{00000000-0005-0000-0000-000065000000}"/>
    <cellStyle name="Normal 4 4" xfId="102" xr:uid="{00000000-0005-0000-0000-000066000000}"/>
    <cellStyle name="Normal 4 4 2" xfId="103" xr:uid="{00000000-0005-0000-0000-000067000000}"/>
    <cellStyle name="Normal 4 5" xfId="104" xr:uid="{00000000-0005-0000-0000-000068000000}"/>
    <cellStyle name="Normal 4 6" xfId="105" xr:uid="{00000000-0005-0000-0000-000069000000}"/>
    <cellStyle name="Normal 4 7" xfId="106" xr:uid="{00000000-0005-0000-0000-00006A000000}"/>
    <cellStyle name="Normal 5" xfId="107" xr:uid="{00000000-0005-0000-0000-00006B000000}"/>
    <cellStyle name="Normal 5 2" xfId="108" xr:uid="{00000000-0005-0000-0000-00006C000000}"/>
    <cellStyle name="Normal 5 3" xfId="109" xr:uid="{00000000-0005-0000-0000-00006D000000}"/>
    <cellStyle name="Normal 6" xfId="110" xr:uid="{00000000-0005-0000-0000-00006E000000}"/>
    <cellStyle name="Normal 6 2" xfId="111" xr:uid="{00000000-0005-0000-0000-00006F000000}"/>
    <cellStyle name="Normal 7" xfId="112" xr:uid="{00000000-0005-0000-0000-000070000000}"/>
    <cellStyle name="Normal 7 2" xfId="113" xr:uid="{00000000-0005-0000-0000-000071000000}"/>
    <cellStyle name="Normal 8" xfId="114" xr:uid="{00000000-0005-0000-0000-000072000000}"/>
    <cellStyle name="Normal 9" xfId="115" xr:uid="{00000000-0005-0000-0000-000073000000}"/>
    <cellStyle name="Note 2" xfId="116" xr:uid="{00000000-0005-0000-0000-000074000000}"/>
    <cellStyle name="Note 2 2" xfId="117" xr:uid="{00000000-0005-0000-0000-000075000000}"/>
    <cellStyle name="Output 2" xfId="118" xr:uid="{00000000-0005-0000-0000-000076000000}"/>
    <cellStyle name="Parent row" xfId="119" xr:uid="{00000000-0005-0000-0000-000077000000}"/>
    <cellStyle name="Parent row 2" xfId="120" xr:uid="{00000000-0005-0000-0000-000078000000}"/>
    <cellStyle name="Percent" xfId="155" builtinId="5"/>
    <cellStyle name="Percent 2" xfId="121" xr:uid="{00000000-0005-0000-0000-000079000000}"/>
    <cellStyle name="Percent 2 2" xfId="122" xr:uid="{00000000-0005-0000-0000-00007A000000}"/>
    <cellStyle name="Percent 3" xfId="123" xr:uid="{00000000-0005-0000-0000-00007B000000}"/>
    <cellStyle name="Percent 3 2" xfId="124" xr:uid="{00000000-0005-0000-0000-00007C000000}"/>
    <cellStyle name="Percent 4" xfId="125" xr:uid="{00000000-0005-0000-0000-00007D000000}"/>
    <cellStyle name="Percent 5" xfId="159" xr:uid="{73E91ACF-E1C1-4E54-B086-32DA7382F67F}"/>
    <cellStyle name="Reference" xfId="126" xr:uid="{00000000-0005-0000-0000-00007E000000}"/>
    <cellStyle name="Row heading" xfId="127" xr:uid="{00000000-0005-0000-0000-00007F000000}"/>
    <cellStyle name="Source Hed" xfId="128" xr:uid="{00000000-0005-0000-0000-000080000000}"/>
    <cellStyle name="Source Letter" xfId="129" xr:uid="{00000000-0005-0000-0000-000081000000}"/>
    <cellStyle name="Source Superscript" xfId="130" xr:uid="{00000000-0005-0000-0000-000082000000}"/>
    <cellStyle name="Source Superscript 2" xfId="131" xr:uid="{00000000-0005-0000-0000-000083000000}"/>
    <cellStyle name="Source Text" xfId="132" xr:uid="{00000000-0005-0000-0000-000084000000}"/>
    <cellStyle name="Source Text 2" xfId="133" xr:uid="{00000000-0005-0000-0000-000085000000}"/>
    <cellStyle name="State" xfId="134" xr:uid="{00000000-0005-0000-0000-000086000000}"/>
    <cellStyle name="Superscript" xfId="135" xr:uid="{00000000-0005-0000-0000-000087000000}"/>
    <cellStyle name="Table Data" xfId="136" xr:uid="{00000000-0005-0000-0000-000088000000}"/>
    <cellStyle name="Table Head Top" xfId="137" xr:uid="{00000000-0005-0000-0000-000089000000}"/>
    <cellStyle name="Table Hed Side" xfId="138" xr:uid="{00000000-0005-0000-0000-00008A000000}"/>
    <cellStyle name="Table title" xfId="139" xr:uid="{00000000-0005-0000-0000-00008B000000}"/>
    <cellStyle name="Table title 2" xfId="140" xr:uid="{00000000-0005-0000-0000-00008C000000}"/>
    <cellStyle name="Title 2" xfId="141" xr:uid="{00000000-0005-0000-0000-00008D000000}"/>
    <cellStyle name="Title Text" xfId="142" xr:uid="{00000000-0005-0000-0000-00008E000000}"/>
    <cellStyle name="Title Text 1" xfId="143" xr:uid="{00000000-0005-0000-0000-00008F000000}"/>
    <cellStyle name="Title Text 2" xfId="144" xr:uid="{00000000-0005-0000-0000-000090000000}"/>
    <cellStyle name="Title-1" xfId="145" xr:uid="{00000000-0005-0000-0000-000091000000}"/>
    <cellStyle name="Title-2" xfId="146" xr:uid="{00000000-0005-0000-0000-000092000000}"/>
    <cellStyle name="Title-3" xfId="147" xr:uid="{00000000-0005-0000-0000-000093000000}"/>
    <cellStyle name="Total 2" xfId="148" xr:uid="{00000000-0005-0000-0000-000094000000}"/>
    <cellStyle name="Warning Text 2" xfId="149" xr:uid="{00000000-0005-0000-0000-000095000000}"/>
    <cellStyle name="Wrap" xfId="150" xr:uid="{00000000-0005-0000-0000-000096000000}"/>
    <cellStyle name="Wrap Bold" xfId="151" xr:uid="{00000000-0005-0000-0000-000097000000}"/>
    <cellStyle name="Wrap Title" xfId="152" xr:uid="{00000000-0005-0000-0000-000098000000}"/>
    <cellStyle name="Wrap_NTS99-~11" xfId="153" xr:uid="{00000000-0005-0000-0000-000099000000}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pta.com/research-technical-resources/transit-statistics/ntd-data-tables/" TargetMode="External"/><Relationship Id="rId1" Type="http://schemas.openxmlformats.org/officeDocument/2006/relationships/hyperlink" Target="https://data.nrel.gov/submissions/9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B2" sqref="B2"/>
    </sheetView>
  </sheetViews>
  <sheetFormatPr defaultColWidth="8.86328125" defaultRowHeight="14.25"/>
  <cols>
    <col min="1" max="1" width="11" bestFit="1" customWidth="1"/>
    <col min="2" max="2" width="51.73046875" customWidth="1"/>
    <col min="4" max="4" width="38.3984375" customWidth="1"/>
  </cols>
  <sheetData>
    <row r="1" spans="1:6">
      <c r="A1" s="16" t="s">
        <v>0</v>
      </c>
      <c r="B1" s="75" t="s">
        <v>92</v>
      </c>
      <c r="C1" s="35">
        <v>46245</v>
      </c>
      <c r="E1" s="74" t="s">
        <v>130</v>
      </c>
      <c r="F1" s="74" t="s">
        <v>130</v>
      </c>
    </row>
    <row r="2" spans="1:6">
      <c r="B2" t="str">
        <f>LOOKUP(B1,E2:F51,F2:F51)</f>
        <v>GA</v>
      </c>
      <c r="E2" s="75" t="s">
        <v>112</v>
      </c>
      <c r="F2" s="75" t="s">
        <v>348</v>
      </c>
    </row>
    <row r="3" spans="1:6">
      <c r="A3" s="16" t="s">
        <v>2</v>
      </c>
      <c r="B3" s="2" t="s">
        <v>3</v>
      </c>
      <c r="D3" s="2" t="s">
        <v>4</v>
      </c>
      <c r="E3" s="75" t="s">
        <v>123</v>
      </c>
      <c r="F3" s="75" t="s">
        <v>132</v>
      </c>
    </row>
    <row r="4" spans="1:6">
      <c r="B4" t="s">
        <v>5</v>
      </c>
      <c r="D4" s="9" t="s">
        <v>6</v>
      </c>
      <c r="E4" s="75" t="s">
        <v>1</v>
      </c>
      <c r="F4" s="75" t="s">
        <v>350</v>
      </c>
    </row>
    <row r="5" spans="1:6">
      <c r="B5" s="7">
        <v>2024</v>
      </c>
      <c r="D5" s="10">
        <v>2017</v>
      </c>
      <c r="E5" s="75" t="s">
        <v>113</v>
      </c>
      <c r="F5" s="75" t="s">
        <v>349</v>
      </c>
    </row>
    <row r="6" spans="1:6">
      <c r="B6" t="s">
        <v>1532</v>
      </c>
      <c r="D6" s="9" t="s">
        <v>7</v>
      </c>
      <c r="E6" s="75" t="s">
        <v>124</v>
      </c>
      <c r="F6" s="75" t="s">
        <v>351</v>
      </c>
    </row>
    <row r="7" spans="1:6">
      <c r="B7" t="s">
        <v>1533</v>
      </c>
      <c r="D7" s="9" t="s">
        <v>8</v>
      </c>
      <c r="E7" s="75" t="s">
        <v>118</v>
      </c>
      <c r="F7" s="75" t="s">
        <v>352</v>
      </c>
    </row>
    <row r="8" spans="1:6">
      <c r="D8" s="11" t="s">
        <v>9</v>
      </c>
      <c r="E8" s="75" t="s">
        <v>80</v>
      </c>
      <c r="F8" s="75" t="s">
        <v>353</v>
      </c>
    </row>
    <row r="9" spans="1:6">
      <c r="E9" s="75" t="s">
        <v>86</v>
      </c>
      <c r="F9" s="75" t="s">
        <v>355</v>
      </c>
    </row>
    <row r="10" spans="1:6">
      <c r="B10" s="2" t="s">
        <v>10</v>
      </c>
      <c r="D10" s="2" t="s">
        <v>1698</v>
      </c>
      <c r="E10" s="75" t="s">
        <v>91</v>
      </c>
      <c r="F10" s="75" t="s">
        <v>356</v>
      </c>
    </row>
    <row r="11" spans="1:6">
      <c r="B11" t="s">
        <v>11</v>
      </c>
      <c r="D11" s="7" t="s">
        <v>1741</v>
      </c>
      <c r="E11" s="75" t="s">
        <v>92</v>
      </c>
      <c r="F11" s="75" t="s">
        <v>357</v>
      </c>
    </row>
    <row r="12" spans="1:6">
      <c r="B12" s="7">
        <v>2016</v>
      </c>
      <c r="D12" s="7" t="s">
        <v>1742</v>
      </c>
      <c r="E12" s="75" t="s">
        <v>125</v>
      </c>
      <c r="F12" s="75" t="s">
        <v>358</v>
      </c>
    </row>
    <row r="13" spans="1:6">
      <c r="B13" t="s">
        <v>12</v>
      </c>
      <c r="D13" s="7">
        <v>2020</v>
      </c>
      <c r="E13" s="75" t="s">
        <v>119</v>
      </c>
      <c r="F13" s="75" t="s">
        <v>360</v>
      </c>
    </row>
    <row r="14" spans="1:6">
      <c r="B14" s="1" t="s">
        <v>13</v>
      </c>
      <c r="D14" s="132" t="s">
        <v>1699</v>
      </c>
      <c r="E14" s="75" t="s">
        <v>97</v>
      </c>
      <c r="F14" s="75" t="s">
        <v>361</v>
      </c>
    </row>
    <row r="15" spans="1:6">
      <c r="B15" t="s">
        <v>14</v>
      </c>
      <c r="D15" s="128"/>
      <c r="E15" s="75" t="s">
        <v>98</v>
      </c>
      <c r="F15" s="75" t="s">
        <v>362</v>
      </c>
    </row>
    <row r="16" spans="1:6">
      <c r="E16" s="75" t="s">
        <v>99</v>
      </c>
      <c r="F16" s="75" t="s">
        <v>359</v>
      </c>
    </row>
    <row r="17" spans="1:6">
      <c r="B17" s="6" t="s">
        <v>15</v>
      </c>
      <c r="E17" s="75" t="s">
        <v>100</v>
      </c>
      <c r="F17" s="75" t="s">
        <v>363</v>
      </c>
    </row>
    <row r="18" spans="1:6">
      <c r="B18" t="s">
        <v>16</v>
      </c>
      <c r="E18" s="75" t="s">
        <v>101</v>
      </c>
      <c r="F18" s="75" t="s">
        <v>364</v>
      </c>
    </row>
    <row r="19" spans="1:6">
      <c r="B19" s="7">
        <v>2013</v>
      </c>
      <c r="E19" s="75" t="s">
        <v>114</v>
      </c>
      <c r="F19" s="75" t="s">
        <v>365</v>
      </c>
    </row>
    <row r="20" spans="1:6">
      <c r="B20" t="s">
        <v>17</v>
      </c>
      <c r="E20" s="75" t="s">
        <v>81</v>
      </c>
      <c r="F20" s="75" t="s">
        <v>368</v>
      </c>
    </row>
    <row r="21" spans="1:6">
      <c r="B21" t="s">
        <v>18</v>
      </c>
      <c r="E21" s="75" t="s">
        <v>87</v>
      </c>
      <c r="F21" s="75" t="s">
        <v>367</v>
      </c>
    </row>
    <row r="22" spans="1:6">
      <c r="B22" t="s">
        <v>19</v>
      </c>
      <c r="E22" s="75" t="s">
        <v>82</v>
      </c>
      <c r="F22" s="75" t="s">
        <v>366</v>
      </c>
    </row>
    <row r="23" spans="1:6">
      <c r="B23" s="16"/>
      <c r="E23" s="75" t="s">
        <v>102</v>
      </c>
      <c r="F23" s="75" t="s">
        <v>369</v>
      </c>
    </row>
    <row r="24" spans="1:6">
      <c r="A24" s="16" t="s">
        <v>20</v>
      </c>
      <c r="B24" s="4"/>
      <c r="E24" s="75" t="s">
        <v>103</v>
      </c>
      <c r="F24" s="75" t="s">
        <v>370</v>
      </c>
    </row>
    <row r="25" spans="1:6">
      <c r="A25" t="s">
        <v>21</v>
      </c>
      <c r="B25" s="4"/>
      <c r="E25" s="75" t="s">
        <v>115</v>
      </c>
      <c r="F25" s="75" t="s">
        <v>372</v>
      </c>
    </row>
    <row r="26" spans="1:6">
      <c r="A26" t="s">
        <v>22</v>
      </c>
      <c r="B26" s="4"/>
      <c r="E26" s="75" t="s">
        <v>104</v>
      </c>
      <c r="F26" s="75" t="s">
        <v>371</v>
      </c>
    </row>
    <row r="27" spans="1:6">
      <c r="B27" s="4"/>
      <c r="E27" s="75" t="s">
        <v>120</v>
      </c>
      <c r="F27" s="75" t="s">
        <v>373</v>
      </c>
    </row>
    <row r="28" spans="1:6">
      <c r="A28" t="s">
        <v>23</v>
      </c>
      <c r="E28" s="75" t="s">
        <v>105</v>
      </c>
      <c r="F28" s="75" t="s">
        <v>376</v>
      </c>
    </row>
    <row r="29" spans="1:6">
      <c r="A29" t="s">
        <v>24</v>
      </c>
      <c r="E29" s="75" t="s">
        <v>126</v>
      </c>
      <c r="F29" s="75" t="s">
        <v>380</v>
      </c>
    </row>
    <row r="30" spans="1:6">
      <c r="A30" t="s">
        <v>25</v>
      </c>
      <c r="E30" s="75" t="s">
        <v>83</v>
      </c>
      <c r="F30" s="75" t="s">
        <v>377</v>
      </c>
    </row>
    <row r="31" spans="1:6">
      <c r="E31" s="75" t="s">
        <v>88</v>
      </c>
      <c r="F31" s="75" t="s">
        <v>378</v>
      </c>
    </row>
    <row r="32" spans="1:6">
      <c r="A32" t="s">
        <v>26</v>
      </c>
      <c r="B32">
        <v>2018</v>
      </c>
      <c r="E32" s="75" t="s">
        <v>116</v>
      </c>
      <c r="F32" s="75" t="s">
        <v>379</v>
      </c>
    </row>
    <row r="33" spans="1:6">
      <c r="A33" t="s">
        <v>27</v>
      </c>
      <c r="E33" s="75" t="s">
        <v>89</v>
      </c>
      <c r="F33" s="75" t="s">
        <v>381</v>
      </c>
    </row>
    <row r="34" spans="1:6">
      <c r="A34" t="s">
        <v>28</v>
      </c>
      <c r="E34" s="75" t="s">
        <v>93</v>
      </c>
      <c r="F34" s="75" t="s">
        <v>374</v>
      </c>
    </row>
    <row r="35" spans="1:6">
      <c r="A35" t="s">
        <v>29</v>
      </c>
      <c r="E35" s="75" t="s">
        <v>106</v>
      </c>
      <c r="F35" s="75" t="s">
        <v>375</v>
      </c>
    </row>
    <row r="36" spans="1:6">
      <c r="E36" s="75" t="s">
        <v>107</v>
      </c>
      <c r="F36" s="75" t="s">
        <v>382</v>
      </c>
    </row>
    <row r="37" spans="1:6">
      <c r="A37">
        <v>1000</v>
      </c>
      <c r="E37" s="75" t="s">
        <v>108</v>
      </c>
      <c r="F37" s="75" t="s">
        <v>383</v>
      </c>
    </row>
    <row r="38" spans="1:6">
      <c r="A38">
        <f>10^9</f>
        <v>1000000000</v>
      </c>
      <c r="E38" s="75" t="s">
        <v>127</v>
      </c>
      <c r="F38" s="75" t="s">
        <v>384</v>
      </c>
    </row>
    <row r="39" spans="1:6">
      <c r="E39" s="75" t="s">
        <v>90</v>
      </c>
      <c r="F39" s="75" t="s">
        <v>385</v>
      </c>
    </row>
    <row r="40" spans="1:6">
      <c r="E40" s="75" t="s">
        <v>84</v>
      </c>
      <c r="F40" s="75" t="s">
        <v>386</v>
      </c>
    </row>
    <row r="41" spans="1:6">
      <c r="E41" s="75" t="s">
        <v>94</v>
      </c>
      <c r="F41" s="75" t="s">
        <v>387</v>
      </c>
    </row>
    <row r="42" spans="1:6">
      <c r="E42" s="75" t="s">
        <v>109</v>
      </c>
      <c r="F42" s="75" t="s">
        <v>388</v>
      </c>
    </row>
    <row r="43" spans="1:6">
      <c r="E43" s="75" t="s">
        <v>110</v>
      </c>
      <c r="F43" s="75" t="s">
        <v>389</v>
      </c>
    </row>
    <row r="44" spans="1:6">
      <c r="E44" s="75" t="s">
        <v>117</v>
      </c>
      <c r="F44" s="75" t="s">
        <v>390</v>
      </c>
    </row>
    <row r="45" spans="1:6">
      <c r="E45" s="75" t="s">
        <v>121</v>
      </c>
      <c r="F45" s="75" t="s">
        <v>395</v>
      </c>
    </row>
    <row r="46" spans="1:6">
      <c r="E46" s="75" t="s">
        <v>85</v>
      </c>
      <c r="F46" s="75" t="s">
        <v>397</v>
      </c>
    </row>
    <row r="47" spans="1:6">
      <c r="E47" s="75" t="s">
        <v>95</v>
      </c>
      <c r="F47" s="75" t="s">
        <v>396</v>
      </c>
    </row>
    <row r="48" spans="1:6">
      <c r="E48" s="75" t="s">
        <v>128</v>
      </c>
      <c r="F48" s="75" t="s">
        <v>398</v>
      </c>
    </row>
    <row r="49" spans="5:6">
      <c r="E49" s="75" t="s">
        <v>96</v>
      </c>
      <c r="F49" s="75" t="s">
        <v>400</v>
      </c>
    </row>
    <row r="50" spans="5:6">
      <c r="E50" s="75" t="s">
        <v>111</v>
      </c>
      <c r="F50" s="75" t="s">
        <v>399</v>
      </c>
    </row>
    <row r="51" spans="5:6">
      <c r="E51" s="75" t="s">
        <v>122</v>
      </c>
      <c r="F51" s="75" t="s">
        <v>401</v>
      </c>
    </row>
  </sheetData>
  <hyperlinks>
    <hyperlink ref="D8" r:id="rId1" xr:uid="{00000000-0004-0000-0000-000001000000}"/>
    <hyperlink ref="D14" r:id="rId2" xr:uid="{31027297-9229-493C-842D-264D9EC74837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B3FC-BF6E-422E-B822-559D9FC4B3F5}">
  <dimension ref="A1:K313"/>
  <sheetViews>
    <sheetView workbookViewId="0">
      <selection activeCell="A2" sqref="A2"/>
    </sheetView>
  </sheetViews>
  <sheetFormatPr defaultRowHeight="14.25"/>
  <cols>
    <col min="11" max="11" width="16.3984375" bestFit="1" customWidth="1"/>
  </cols>
  <sheetData>
    <row r="1" spans="1:11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K1" s="16"/>
    </row>
    <row r="2" spans="1:11">
      <c r="A2" t="s">
        <v>132</v>
      </c>
      <c r="B2" t="s">
        <v>38</v>
      </c>
      <c r="C2">
        <v>4769953</v>
      </c>
      <c r="D2">
        <v>14506</v>
      </c>
      <c r="E2">
        <v>257649823</v>
      </c>
      <c r="F2">
        <v>1553093</v>
      </c>
      <c r="G2">
        <v>1417825</v>
      </c>
      <c r="H2">
        <v>13525</v>
      </c>
      <c r="I2">
        <v>17094</v>
      </c>
    </row>
    <row r="3" spans="1:11">
      <c r="A3" t="s">
        <v>132</v>
      </c>
      <c r="B3" t="s">
        <v>39</v>
      </c>
      <c r="C3">
        <v>300</v>
      </c>
      <c r="D3">
        <v>128402</v>
      </c>
      <c r="E3">
        <v>101051</v>
      </c>
      <c r="F3">
        <v>802832</v>
      </c>
      <c r="G3">
        <v>0</v>
      </c>
      <c r="H3">
        <v>47038</v>
      </c>
      <c r="I3">
        <v>174</v>
      </c>
    </row>
    <row r="4" spans="1:11">
      <c r="A4" t="s">
        <v>132</v>
      </c>
      <c r="B4" t="s">
        <v>40</v>
      </c>
      <c r="C4">
        <v>0</v>
      </c>
      <c r="D4">
        <v>0</v>
      </c>
      <c r="E4">
        <v>0</v>
      </c>
      <c r="F4">
        <v>6767</v>
      </c>
      <c r="G4">
        <v>0</v>
      </c>
      <c r="H4">
        <v>0</v>
      </c>
      <c r="I4">
        <v>0</v>
      </c>
    </row>
    <row r="5" spans="1:11">
      <c r="A5" t="s">
        <v>132</v>
      </c>
      <c r="B5" t="s">
        <v>41</v>
      </c>
      <c r="C5">
        <v>2564</v>
      </c>
      <c r="D5">
        <v>0</v>
      </c>
      <c r="E5">
        <v>0</v>
      </c>
      <c r="F5">
        <v>173</v>
      </c>
      <c r="G5">
        <v>0</v>
      </c>
      <c r="H5">
        <v>0</v>
      </c>
      <c r="I5">
        <v>0</v>
      </c>
    </row>
    <row r="6" spans="1:11">
      <c r="A6" t="s">
        <v>132</v>
      </c>
      <c r="B6" t="s">
        <v>42</v>
      </c>
      <c r="C6">
        <v>0</v>
      </c>
      <c r="D6">
        <v>0</v>
      </c>
      <c r="E6">
        <v>10214830</v>
      </c>
      <c r="F6">
        <v>2490170</v>
      </c>
      <c r="G6">
        <v>0</v>
      </c>
      <c r="H6">
        <v>0</v>
      </c>
      <c r="I6">
        <v>0</v>
      </c>
    </row>
    <row r="7" spans="1:11">
      <c r="A7" t="s">
        <v>132</v>
      </c>
      <c r="B7" t="s">
        <v>43</v>
      </c>
      <c r="C7">
        <v>0</v>
      </c>
      <c r="D7">
        <v>0</v>
      </c>
      <c r="E7">
        <v>9261249</v>
      </c>
      <c r="F7">
        <v>0</v>
      </c>
      <c r="G7">
        <v>0</v>
      </c>
      <c r="H7">
        <v>0</v>
      </c>
      <c r="I7">
        <v>0</v>
      </c>
    </row>
    <row r="8" spans="1:11">
      <c r="A8" t="s">
        <v>348</v>
      </c>
      <c r="B8" t="s">
        <v>38</v>
      </c>
      <c r="C8">
        <v>17500</v>
      </c>
      <c r="D8">
        <v>100</v>
      </c>
      <c r="E8">
        <v>5181820</v>
      </c>
      <c r="F8">
        <v>28594</v>
      </c>
      <c r="G8">
        <v>6800</v>
      </c>
      <c r="H8">
        <v>100</v>
      </c>
      <c r="I8">
        <v>0</v>
      </c>
    </row>
    <row r="9" spans="1:11">
      <c r="A9" t="s">
        <v>348</v>
      </c>
      <c r="B9" t="s">
        <v>39</v>
      </c>
      <c r="C9">
        <v>1</v>
      </c>
      <c r="D9">
        <v>401</v>
      </c>
      <c r="E9">
        <v>315</v>
      </c>
      <c r="F9">
        <v>2505</v>
      </c>
      <c r="G9">
        <v>0</v>
      </c>
      <c r="H9">
        <v>147</v>
      </c>
      <c r="I9">
        <v>1</v>
      </c>
    </row>
    <row r="10" spans="1:11">
      <c r="A10" t="s">
        <v>348</v>
      </c>
      <c r="B10" t="s">
        <v>40</v>
      </c>
      <c r="C10">
        <v>0</v>
      </c>
      <c r="D10">
        <v>0</v>
      </c>
      <c r="E10">
        <v>0</v>
      </c>
      <c r="F10">
        <v>24</v>
      </c>
      <c r="G10">
        <v>0</v>
      </c>
      <c r="H10">
        <v>0</v>
      </c>
      <c r="I10">
        <v>0</v>
      </c>
    </row>
    <row r="11" spans="1:11">
      <c r="A11" t="s">
        <v>348</v>
      </c>
      <c r="B11" t="s">
        <v>41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11">
      <c r="A12" t="s">
        <v>348</v>
      </c>
      <c r="B12" t="s">
        <v>42</v>
      </c>
      <c r="C12">
        <v>0</v>
      </c>
      <c r="D12">
        <v>0</v>
      </c>
      <c r="E12">
        <v>219517</v>
      </c>
      <c r="F12">
        <v>53514</v>
      </c>
      <c r="G12">
        <v>0</v>
      </c>
      <c r="H12">
        <v>0</v>
      </c>
      <c r="I12">
        <v>0</v>
      </c>
    </row>
    <row r="13" spans="1:11">
      <c r="A13" t="s">
        <v>348</v>
      </c>
      <c r="B13" t="s">
        <v>43</v>
      </c>
      <c r="C13">
        <v>0</v>
      </c>
      <c r="D13">
        <v>0</v>
      </c>
      <c r="E13">
        <v>129014</v>
      </c>
      <c r="F13">
        <v>0</v>
      </c>
      <c r="G13">
        <v>0</v>
      </c>
      <c r="H13">
        <v>0</v>
      </c>
      <c r="I13">
        <v>0</v>
      </c>
    </row>
    <row r="14" spans="1:11">
      <c r="A14" t="s">
        <v>349</v>
      </c>
      <c r="B14" t="s">
        <v>38</v>
      </c>
      <c r="C14">
        <v>9500</v>
      </c>
      <c r="D14">
        <v>200</v>
      </c>
      <c r="E14">
        <v>3033560</v>
      </c>
      <c r="F14">
        <v>20015</v>
      </c>
      <c r="G14">
        <v>3800</v>
      </c>
      <c r="H14">
        <v>0</v>
      </c>
      <c r="I14">
        <v>0</v>
      </c>
    </row>
    <row r="15" spans="1:11">
      <c r="A15" t="s">
        <v>349</v>
      </c>
      <c r="B15" t="s">
        <v>39</v>
      </c>
      <c r="C15">
        <v>3</v>
      </c>
      <c r="D15">
        <v>1285</v>
      </c>
      <c r="E15">
        <v>1011</v>
      </c>
      <c r="F15">
        <v>8034</v>
      </c>
      <c r="G15">
        <v>0</v>
      </c>
      <c r="H15">
        <v>471</v>
      </c>
      <c r="I15">
        <v>2</v>
      </c>
    </row>
    <row r="16" spans="1:11">
      <c r="A16" t="s">
        <v>349</v>
      </c>
      <c r="B16" t="s">
        <v>40</v>
      </c>
      <c r="C16">
        <v>0</v>
      </c>
      <c r="D16">
        <v>0</v>
      </c>
      <c r="E16">
        <v>0</v>
      </c>
      <c r="F16">
        <v>24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173865</v>
      </c>
      <c r="F18">
        <v>42385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100497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111200</v>
      </c>
      <c r="D20">
        <v>500</v>
      </c>
      <c r="E20">
        <v>5865640</v>
      </c>
      <c r="F20">
        <v>42056</v>
      </c>
      <c r="G20">
        <v>29300</v>
      </c>
      <c r="H20">
        <v>700</v>
      </c>
      <c r="I20">
        <v>0</v>
      </c>
    </row>
    <row r="21" spans="1:9">
      <c r="A21" t="s">
        <v>350</v>
      </c>
      <c r="B21" t="s">
        <v>39</v>
      </c>
      <c r="C21">
        <v>6</v>
      </c>
      <c r="D21">
        <v>2689</v>
      </c>
      <c r="E21">
        <v>2117</v>
      </c>
      <c r="F21">
        <v>16816</v>
      </c>
      <c r="G21">
        <v>0</v>
      </c>
      <c r="H21">
        <v>985</v>
      </c>
      <c r="I21">
        <v>4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194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116540</v>
      </c>
      <c r="F24">
        <v>28410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292014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1533900</v>
      </c>
      <c r="D26">
        <v>10000</v>
      </c>
      <c r="E26">
        <v>26563800</v>
      </c>
      <c r="F26">
        <v>145284</v>
      </c>
      <c r="G26">
        <v>447100</v>
      </c>
      <c r="H26">
        <v>1500</v>
      </c>
      <c r="I26">
        <v>16900</v>
      </c>
    </row>
    <row r="27" spans="1:9">
      <c r="A27" t="s">
        <v>351</v>
      </c>
      <c r="B27" t="s">
        <v>39</v>
      </c>
      <c r="C27">
        <v>27</v>
      </c>
      <c r="D27">
        <v>11443</v>
      </c>
      <c r="E27">
        <v>9005</v>
      </c>
      <c r="F27">
        <v>71547</v>
      </c>
      <c r="G27">
        <v>0</v>
      </c>
      <c r="H27">
        <v>4192</v>
      </c>
      <c r="I27">
        <v>16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903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403</v>
      </c>
      <c r="D29">
        <v>0</v>
      </c>
      <c r="E29">
        <v>0</v>
      </c>
      <c r="F29">
        <v>22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705128</v>
      </c>
      <c r="F30">
        <v>171896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751138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127000</v>
      </c>
      <c r="D32">
        <v>300</v>
      </c>
      <c r="E32">
        <v>4569860</v>
      </c>
      <c r="F32">
        <v>41915</v>
      </c>
      <c r="G32">
        <v>48700</v>
      </c>
      <c r="H32">
        <v>100</v>
      </c>
      <c r="I32">
        <v>0</v>
      </c>
    </row>
    <row r="33" spans="1:9">
      <c r="A33" t="s">
        <v>352</v>
      </c>
      <c r="B33" t="s">
        <v>39</v>
      </c>
      <c r="C33">
        <v>4</v>
      </c>
      <c r="D33">
        <v>1499</v>
      </c>
      <c r="E33">
        <v>1179</v>
      </c>
      <c r="F33">
        <v>9370</v>
      </c>
      <c r="G33">
        <v>0</v>
      </c>
      <c r="H33">
        <v>549</v>
      </c>
      <c r="I33">
        <v>2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267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64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73033</v>
      </c>
      <c r="F36">
        <v>17804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176484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39400</v>
      </c>
      <c r="D38">
        <v>100</v>
      </c>
      <c r="E38">
        <v>2511880</v>
      </c>
      <c r="F38">
        <v>8027</v>
      </c>
      <c r="G38">
        <v>22500</v>
      </c>
      <c r="H38">
        <v>0</v>
      </c>
      <c r="I38">
        <v>0</v>
      </c>
    </row>
    <row r="39" spans="1:9">
      <c r="A39" t="s">
        <v>353</v>
      </c>
      <c r="B39" t="s">
        <v>39</v>
      </c>
      <c r="C39">
        <v>3</v>
      </c>
      <c r="D39">
        <v>1176</v>
      </c>
      <c r="E39">
        <v>925</v>
      </c>
      <c r="F39">
        <v>7352</v>
      </c>
      <c r="G39">
        <v>0</v>
      </c>
      <c r="H39">
        <v>431</v>
      </c>
      <c r="I39">
        <v>2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25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4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94125</v>
      </c>
      <c r="F42">
        <v>22946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81996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11100</v>
      </c>
      <c r="D44">
        <v>0</v>
      </c>
      <c r="E44">
        <v>853623</v>
      </c>
      <c r="F44">
        <v>2967</v>
      </c>
      <c r="G44">
        <v>4600</v>
      </c>
      <c r="H44">
        <v>0</v>
      </c>
      <c r="I44">
        <v>0</v>
      </c>
    </row>
    <row r="45" spans="1:9">
      <c r="A45" t="s">
        <v>355</v>
      </c>
      <c r="B45" t="s">
        <v>39</v>
      </c>
      <c r="C45">
        <v>1</v>
      </c>
      <c r="D45">
        <v>414</v>
      </c>
      <c r="E45">
        <v>326</v>
      </c>
      <c r="F45">
        <v>2590</v>
      </c>
      <c r="G45">
        <v>0</v>
      </c>
      <c r="H45">
        <v>152</v>
      </c>
      <c r="I45">
        <v>1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24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52881</v>
      </c>
      <c r="F48">
        <v>12891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24694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334800</v>
      </c>
      <c r="D50">
        <v>400</v>
      </c>
      <c r="E50">
        <v>17568400</v>
      </c>
      <c r="F50">
        <v>82703</v>
      </c>
      <c r="G50">
        <v>70400</v>
      </c>
      <c r="H50">
        <v>100</v>
      </c>
      <c r="I50">
        <v>0</v>
      </c>
    </row>
    <row r="51" spans="1:9">
      <c r="A51" t="s">
        <v>356</v>
      </c>
      <c r="B51" t="s">
        <v>39</v>
      </c>
      <c r="C51">
        <v>16</v>
      </c>
      <c r="D51">
        <v>6834</v>
      </c>
      <c r="E51">
        <v>5378</v>
      </c>
      <c r="F51">
        <v>42728</v>
      </c>
      <c r="G51">
        <v>0</v>
      </c>
      <c r="H51">
        <v>2503</v>
      </c>
      <c r="I51">
        <v>9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717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26</v>
      </c>
      <c r="D53">
        <v>0</v>
      </c>
      <c r="E53">
        <v>0</v>
      </c>
      <c r="F53">
        <v>9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763430</v>
      </c>
      <c r="F54">
        <v>186109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634364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120000</v>
      </c>
      <c r="D56">
        <v>300</v>
      </c>
      <c r="E56">
        <v>8385380</v>
      </c>
      <c r="F56">
        <v>47128</v>
      </c>
      <c r="G56">
        <v>26400</v>
      </c>
      <c r="H56">
        <v>200</v>
      </c>
      <c r="I56">
        <v>0</v>
      </c>
    </row>
    <row r="57" spans="1:9">
      <c r="A57" t="s">
        <v>357</v>
      </c>
      <c r="B57" t="s">
        <v>39</v>
      </c>
      <c r="C57">
        <v>11</v>
      </c>
      <c r="D57">
        <v>4683</v>
      </c>
      <c r="E57">
        <v>3685</v>
      </c>
      <c r="F57">
        <v>29280</v>
      </c>
      <c r="G57">
        <v>0</v>
      </c>
      <c r="H57">
        <v>1716</v>
      </c>
      <c r="I57">
        <v>6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415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37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283765</v>
      </c>
      <c r="F60">
        <v>69176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221294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4769953</v>
      </c>
      <c r="D62">
        <v>14506</v>
      </c>
      <c r="E62">
        <v>257649823</v>
      </c>
      <c r="F62">
        <v>1553093</v>
      </c>
      <c r="G62">
        <v>1417825</v>
      </c>
      <c r="H62">
        <v>13525</v>
      </c>
      <c r="I62">
        <v>17094</v>
      </c>
    </row>
    <row r="63" spans="1:9">
      <c r="A63" t="s">
        <v>358</v>
      </c>
      <c r="B63" t="s">
        <v>39</v>
      </c>
      <c r="C63">
        <v>300</v>
      </c>
      <c r="D63">
        <v>128402</v>
      </c>
      <c r="E63">
        <v>101051</v>
      </c>
      <c r="F63">
        <v>802832</v>
      </c>
      <c r="G63">
        <v>0</v>
      </c>
      <c r="H63">
        <v>47038</v>
      </c>
      <c r="I63">
        <v>174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6767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2564</v>
      </c>
      <c r="D65">
        <v>0</v>
      </c>
      <c r="E65">
        <v>0</v>
      </c>
      <c r="F65">
        <v>173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10214830</v>
      </c>
      <c r="F66">
        <v>2490170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9261249</v>
      </c>
      <c r="F67">
        <v>0</v>
      </c>
      <c r="G67">
        <v>0</v>
      </c>
      <c r="H67">
        <v>0</v>
      </c>
      <c r="I67">
        <v>0</v>
      </c>
    </row>
    <row r="68" spans="1:9">
      <c r="A68" t="s">
        <v>359</v>
      </c>
      <c r="B68" t="s">
        <v>38</v>
      </c>
      <c r="C68">
        <v>11700</v>
      </c>
      <c r="D68">
        <v>100</v>
      </c>
      <c r="E68">
        <v>3399320</v>
      </c>
      <c r="F68">
        <v>23219</v>
      </c>
      <c r="G68">
        <v>7300</v>
      </c>
      <c r="H68">
        <v>0</v>
      </c>
      <c r="I68">
        <v>0</v>
      </c>
    </row>
    <row r="69" spans="1:9">
      <c r="A69" t="s">
        <v>359</v>
      </c>
      <c r="B69" t="s">
        <v>39</v>
      </c>
      <c r="C69">
        <v>3</v>
      </c>
      <c r="D69">
        <v>1090</v>
      </c>
      <c r="E69">
        <v>858</v>
      </c>
      <c r="F69">
        <v>6816</v>
      </c>
      <c r="G69">
        <v>0</v>
      </c>
      <c r="H69">
        <v>399</v>
      </c>
      <c r="I69">
        <v>1</v>
      </c>
    </row>
    <row r="70" spans="1:9">
      <c r="A70" t="s">
        <v>359</v>
      </c>
      <c r="B70" t="s">
        <v>40</v>
      </c>
      <c r="C70">
        <v>0</v>
      </c>
      <c r="D70">
        <v>0</v>
      </c>
      <c r="E70">
        <v>0</v>
      </c>
      <c r="F70">
        <v>24</v>
      </c>
      <c r="G70">
        <v>0</v>
      </c>
      <c r="H70">
        <v>0</v>
      </c>
      <c r="I70">
        <v>0</v>
      </c>
    </row>
    <row r="71" spans="1:9">
      <c r="A71" t="s">
        <v>359</v>
      </c>
      <c r="B71" t="s">
        <v>41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359</v>
      </c>
      <c r="B72" t="s">
        <v>42</v>
      </c>
      <c r="C72">
        <v>0</v>
      </c>
      <c r="D72">
        <v>0</v>
      </c>
      <c r="E72">
        <v>152356</v>
      </c>
      <c r="F72">
        <v>37141</v>
      </c>
      <c r="G72">
        <v>0</v>
      </c>
      <c r="H72">
        <v>0</v>
      </c>
      <c r="I72">
        <v>0</v>
      </c>
    </row>
    <row r="73" spans="1:9">
      <c r="A73" t="s">
        <v>359</v>
      </c>
      <c r="B73" t="s">
        <v>43</v>
      </c>
      <c r="C73">
        <v>0</v>
      </c>
      <c r="D73">
        <v>0</v>
      </c>
      <c r="E73">
        <v>193164</v>
      </c>
      <c r="F73">
        <v>0</v>
      </c>
      <c r="G73">
        <v>0</v>
      </c>
      <c r="H73">
        <v>0</v>
      </c>
      <c r="I73">
        <v>0</v>
      </c>
    </row>
    <row r="74" spans="1:9">
      <c r="A74" t="s">
        <v>360</v>
      </c>
      <c r="B74" t="s">
        <v>38</v>
      </c>
      <c r="C74">
        <v>11000</v>
      </c>
      <c r="D74">
        <v>100</v>
      </c>
      <c r="E74">
        <v>1788860</v>
      </c>
      <c r="F74">
        <v>29687</v>
      </c>
      <c r="G74">
        <v>5600</v>
      </c>
      <c r="H74">
        <v>100</v>
      </c>
      <c r="I74">
        <v>0</v>
      </c>
    </row>
    <row r="75" spans="1:9">
      <c r="A75" t="s">
        <v>360</v>
      </c>
      <c r="B75" t="s">
        <v>39</v>
      </c>
      <c r="C75">
        <v>1</v>
      </c>
      <c r="D75">
        <v>485</v>
      </c>
      <c r="E75">
        <v>382</v>
      </c>
      <c r="F75">
        <v>3035</v>
      </c>
      <c r="G75">
        <v>0</v>
      </c>
      <c r="H75">
        <v>178</v>
      </c>
      <c r="I75">
        <v>1</v>
      </c>
    </row>
    <row r="76" spans="1:9">
      <c r="A76" t="s">
        <v>360</v>
      </c>
      <c r="B76" t="s">
        <v>40</v>
      </c>
      <c r="C76">
        <v>0</v>
      </c>
      <c r="D76">
        <v>0</v>
      </c>
      <c r="E76">
        <v>0</v>
      </c>
      <c r="F76">
        <v>24</v>
      </c>
      <c r="G76">
        <v>0</v>
      </c>
      <c r="H76">
        <v>0</v>
      </c>
      <c r="I76">
        <v>0</v>
      </c>
    </row>
    <row r="77" spans="1:9">
      <c r="A77" t="s">
        <v>360</v>
      </c>
      <c r="B77" t="s">
        <v>41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360</v>
      </c>
      <c r="B78" t="s">
        <v>42</v>
      </c>
      <c r="C78">
        <v>0</v>
      </c>
      <c r="D78">
        <v>0</v>
      </c>
      <c r="E78">
        <v>76853</v>
      </c>
      <c r="F78">
        <v>18735</v>
      </c>
      <c r="G78">
        <v>0</v>
      </c>
      <c r="H78">
        <v>0</v>
      </c>
      <c r="I78">
        <v>0</v>
      </c>
    </row>
    <row r="79" spans="1:9">
      <c r="A79" t="s">
        <v>360</v>
      </c>
      <c r="B79" t="s">
        <v>43</v>
      </c>
      <c r="C79">
        <v>0</v>
      </c>
      <c r="D79">
        <v>0</v>
      </c>
      <c r="E79">
        <v>74915</v>
      </c>
      <c r="F79">
        <v>0</v>
      </c>
      <c r="G79">
        <v>0</v>
      </c>
      <c r="H79">
        <v>0</v>
      </c>
      <c r="I79">
        <v>0</v>
      </c>
    </row>
    <row r="80" spans="1:9">
      <c r="A80" t="s">
        <v>361</v>
      </c>
      <c r="B80" t="s">
        <v>38</v>
      </c>
      <c r="C80">
        <v>125500</v>
      </c>
      <c r="D80">
        <v>300</v>
      </c>
      <c r="E80">
        <v>9498880</v>
      </c>
      <c r="F80">
        <v>36052</v>
      </c>
      <c r="G80">
        <v>40400</v>
      </c>
      <c r="H80">
        <v>0</v>
      </c>
      <c r="I80">
        <v>0</v>
      </c>
    </row>
    <row r="81" spans="1:9">
      <c r="A81" t="s">
        <v>361</v>
      </c>
      <c r="B81" t="s">
        <v>39</v>
      </c>
      <c r="C81">
        <v>11</v>
      </c>
      <c r="D81">
        <v>4659</v>
      </c>
      <c r="E81">
        <v>3667</v>
      </c>
      <c r="F81">
        <v>29133</v>
      </c>
      <c r="G81">
        <v>0</v>
      </c>
      <c r="H81">
        <v>1707</v>
      </c>
      <c r="I81">
        <v>6</v>
      </c>
    </row>
    <row r="82" spans="1:9">
      <c r="A82" t="s">
        <v>361</v>
      </c>
      <c r="B82" t="s">
        <v>40</v>
      </c>
      <c r="C82">
        <v>0</v>
      </c>
      <c r="D82">
        <v>0</v>
      </c>
      <c r="E82">
        <v>0</v>
      </c>
      <c r="F82">
        <v>392</v>
      </c>
      <c r="G82">
        <v>0</v>
      </c>
      <c r="H82">
        <v>0</v>
      </c>
      <c r="I82">
        <v>0</v>
      </c>
    </row>
    <row r="83" spans="1:9">
      <c r="A83" t="s">
        <v>361</v>
      </c>
      <c r="B83" t="s">
        <v>41</v>
      </c>
      <c r="C83">
        <v>250</v>
      </c>
      <c r="D83">
        <v>0</v>
      </c>
      <c r="E83">
        <v>0</v>
      </c>
      <c r="F83">
        <v>17</v>
      </c>
      <c r="G83">
        <v>0</v>
      </c>
      <c r="H83">
        <v>0</v>
      </c>
      <c r="I83">
        <v>0</v>
      </c>
    </row>
    <row r="84" spans="1:9">
      <c r="A84" t="s">
        <v>361</v>
      </c>
      <c r="B84" t="s">
        <v>42</v>
      </c>
      <c r="C84">
        <v>0</v>
      </c>
      <c r="D84">
        <v>0</v>
      </c>
      <c r="E84">
        <v>229941</v>
      </c>
      <c r="F84">
        <v>56055</v>
      </c>
      <c r="G84">
        <v>0</v>
      </c>
      <c r="H84">
        <v>0</v>
      </c>
      <c r="I84">
        <v>0</v>
      </c>
    </row>
    <row r="85" spans="1:9">
      <c r="A85" t="s">
        <v>361</v>
      </c>
      <c r="B85" t="s">
        <v>43</v>
      </c>
      <c r="C85">
        <v>0</v>
      </c>
      <c r="D85">
        <v>0</v>
      </c>
      <c r="E85">
        <v>265273</v>
      </c>
      <c r="F85">
        <v>0</v>
      </c>
      <c r="G85">
        <v>0</v>
      </c>
      <c r="H85">
        <v>0</v>
      </c>
      <c r="I85">
        <v>0</v>
      </c>
    </row>
    <row r="86" spans="1:9">
      <c r="A86" t="s">
        <v>362</v>
      </c>
      <c r="B86" t="s">
        <v>38</v>
      </c>
      <c r="C86">
        <v>34600</v>
      </c>
      <c r="D86">
        <v>300</v>
      </c>
      <c r="E86">
        <v>5454040</v>
      </c>
      <c r="F86">
        <v>33028</v>
      </c>
      <c r="G86">
        <v>15300</v>
      </c>
      <c r="H86">
        <v>0</v>
      </c>
      <c r="I86">
        <v>0</v>
      </c>
    </row>
    <row r="87" spans="1:9">
      <c r="A87" t="s">
        <v>362</v>
      </c>
      <c r="B87" t="s">
        <v>39</v>
      </c>
      <c r="C87">
        <v>9</v>
      </c>
      <c r="D87">
        <v>3848</v>
      </c>
      <c r="E87">
        <v>3028</v>
      </c>
      <c r="F87">
        <v>24060</v>
      </c>
      <c r="G87">
        <v>0</v>
      </c>
      <c r="H87">
        <v>1410</v>
      </c>
      <c r="I87">
        <v>5</v>
      </c>
    </row>
    <row r="88" spans="1:9">
      <c r="A88" t="s">
        <v>362</v>
      </c>
      <c r="B88" t="s">
        <v>40</v>
      </c>
      <c r="C88">
        <v>0</v>
      </c>
      <c r="D88">
        <v>0</v>
      </c>
      <c r="E88">
        <v>0</v>
      </c>
      <c r="F88">
        <v>43</v>
      </c>
      <c r="G88">
        <v>0</v>
      </c>
      <c r="H88">
        <v>0</v>
      </c>
      <c r="I88">
        <v>0</v>
      </c>
    </row>
    <row r="89" spans="1:9">
      <c r="A89" t="s">
        <v>362</v>
      </c>
      <c r="B89" t="s">
        <v>41</v>
      </c>
      <c r="C89">
        <v>15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362</v>
      </c>
      <c r="B90" t="s">
        <v>42</v>
      </c>
      <c r="C90">
        <v>0</v>
      </c>
      <c r="D90">
        <v>0</v>
      </c>
      <c r="E90">
        <v>198079</v>
      </c>
      <c r="F90">
        <v>48288</v>
      </c>
      <c r="G90">
        <v>0</v>
      </c>
      <c r="H90">
        <v>0</v>
      </c>
      <c r="I90">
        <v>0</v>
      </c>
    </row>
    <row r="91" spans="1:9">
      <c r="A91" t="s">
        <v>362</v>
      </c>
      <c r="B91" t="s">
        <v>43</v>
      </c>
      <c r="C91">
        <v>0</v>
      </c>
      <c r="D91">
        <v>0</v>
      </c>
      <c r="E91">
        <v>203871</v>
      </c>
      <c r="F91">
        <v>0</v>
      </c>
      <c r="G91">
        <v>0</v>
      </c>
      <c r="H91">
        <v>0</v>
      </c>
      <c r="I91">
        <v>0</v>
      </c>
    </row>
    <row r="92" spans="1:9">
      <c r="A92" t="s">
        <v>363</v>
      </c>
      <c r="B92" t="s">
        <v>38</v>
      </c>
      <c r="C92">
        <v>14500</v>
      </c>
      <c r="D92">
        <v>200</v>
      </c>
      <c r="E92">
        <v>1766430</v>
      </c>
      <c r="F92">
        <v>18039</v>
      </c>
      <c r="G92">
        <v>6600</v>
      </c>
      <c r="H92">
        <v>100</v>
      </c>
      <c r="I92">
        <v>0</v>
      </c>
    </row>
    <row r="93" spans="1:9">
      <c r="A93" t="s">
        <v>363</v>
      </c>
      <c r="B93" t="s">
        <v>39</v>
      </c>
      <c r="C93">
        <v>0</v>
      </c>
      <c r="D93">
        <v>171</v>
      </c>
      <c r="E93">
        <v>134</v>
      </c>
      <c r="F93">
        <v>1066</v>
      </c>
      <c r="G93">
        <v>0</v>
      </c>
      <c r="H93">
        <v>62</v>
      </c>
      <c r="I93">
        <v>0</v>
      </c>
    </row>
    <row r="94" spans="1:9">
      <c r="A94" t="s">
        <v>363</v>
      </c>
      <c r="B94" t="s">
        <v>40</v>
      </c>
      <c r="C94">
        <v>0</v>
      </c>
      <c r="D94">
        <v>0</v>
      </c>
      <c r="E94">
        <v>0</v>
      </c>
      <c r="F94">
        <v>24</v>
      </c>
      <c r="G94">
        <v>0</v>
      </c>
      <c r="H94">
        <v>0</v>
      </c>
      <c r="I94">
        <v>0</v>
      </c>
    </row>
    <row r="95" spans="1:9">
      <c r="A95" t="s">
        <v>363</v>
      </c>
      <c r="B95" t="s">
        <v>41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363</v>
      </c>
      <c r="B96" t="s">
        <v>42</v>
      </c>
      <c r="C96">
        <v>0</v>
      </c>
      <c r="D96">
        <v>0</v>
      </c>
      <c r="E96">
        <v>74061</v>
      </c>
      <c r="F96">
        <v>18055</v>
      </c>
      <c r="G96">
        <v>0</v>
      </c>
      <c r="H96">
        <v>0</v>
      </c>
      <c r="I96">
        <v>0</v>
      </c>
    </row>
    <row r="97" spans="1:9">
      <c r="A97" t="s">
        <v>363</v>
      </c>
      <c r="B97" t="s">
        <v>43</v>
      </c>
      <c r="C97">
        <v>0</v>
      </c>
      <c r="D97">
        <v>0</v>
      </c>
      <c r="E97">
        <v>94496</v>
      </c>
      <c r="F97">
        <v>0</v>
      </c>
      <c r="G97">
        <v>0</v>
      </c>
      <c r="H97">
        <v>0</v>
      </c>
      <c r="I97">
        <v>0</v>
      </c>
    </row>
    <row r="98" spans="1:9">
      <c r="A98" t="s">
        <v>364</v>
      </c>
      <c r="B98" t="s">
        <v>38</v>
      </c>
      <c r="C98">
        <v>15000</v>
      </c>
      <c r="D98">
        <v>300</v>
      </c>
      <c r="E98">
        <v>4145970</v>
      </c>
      <c r="F98">
        <v>23832</v>
      </c>
      <c r="G98">
        <v>6400</v>
      </c>
      <c r="H98">
        <v>0</v>
      </c>
      <c r="I98">
        <v>0</v>
      </c>
    </row>
    <row r="99" spans="1:9">
      <c r="A99" t="s">
        <v>364</v>
      </c>
      <c r="B99" t="s">
        <v>39</v>
      </c>
      <c r="C99">
        <v>4</v>
      </c>
      <c r="D99">
        <v>1835</v>
      </c>
      <c r="E99">
        <v>1444</v>
      </c>
      <c r="F99">
        <v>11471</v>
      </c>
      <c r="G99">
        <v>0</v>
      </c>
      <c r="H99">
        <v>672</v>
      </c>
      <c r="I99">
        <v>2</v>
      </c>
    </row>
    <row r="100" spans="1:9">
      <c r="A100" t="s">
        <v>364</v>
      </c>
      <c r="B100" t="s">
        <v>40</v>
      </c>
      <c r="C100">
        <v>0</v>
      </c>
      <c r="D100">
        <v>0</v>
      </c>
      <c r="E100">
        <v>0</v>
      </c>
      <c r="F100">
        <v>54</v>
      </c>
      <c r="G100">
        <v>0</v>
      </c>
      <c r="H100">
        <v>0</v>
      </c>
      <c r="I100">
        <v>0</v>
      </c>
    </row>
    <row r="101" spans="1:9">
      <c r="A101" t="s">
        <v>364</v>
      </c>
      <c r="B101" t="s">
        <v>41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364</v>
      </c>
      <c r="B102" t="s">
        <v>42</v>
      </c>
      <c r="C102">
        <v>0</v>
      </c>
      <c r="D102">
        <v>0</v>
      </c>
      <c r="E102">
        <v>148727</v>
      </c>
      <c r="F102">
        <v>36257</v>
      </c>
      <c r="G102">
        <v>0</v>
      </c>
      <c r="H102">
        <v>0</v>
      </c>
      <c r="I102">
        <v>0</v>
      </c>
    </row>
    <row r="103" spans="1:9">
      <c r="A103" t="s">
        <v>364</v>
      </c>
      <c r="B103" t="s">
        <v>43</v>
      </c>
      <c r="C103">
        <v>0</v>
      </c>
      <c r="D103">
        <v>0</v>
      </c>
      <c r="E103">
        <v>115887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365</v>
      </c>
      <c r="B104" t="s">
        <v>38</v>
      </c>
      <c r="C104">
        <v>11600</v>
      </c>
      <c r="D104">
        <v>100</v>
      </c>
      <c r="E104">
        <v>4128210</v>
      </c>
      <c r="F104">
        <v>28035</v>
      </c>
      <c r="G104">
        <v>4600</v>
      </c>
      <c r="H104">
        <v>0</v>
      </c>
      <c r="I104">
        <v>0</v>
      </c>
    </row>
    <row r="105" spans="1:9">
      <c r="A105" t="s">
        <v>365</v>
      </c>
      <c r="B105" t="s">
        <v>39</v>
      </c>
      <c r="C105">
        <v>9</v>
      </c>
      <c r="D105">
        <v>3999</v>
      </c>
      <c r="E105">
        <v>3147</v>
      </c>
      <c r="F105">
        <v>25003</v>
      </c>
      <c r="G105">
        <v>0</v>
      </c>
      <c r="H105">
        <v>1465</v>
      </c>
      <c r="I105">
        <v>5</v>
      </c>
    </row>
    <row r="106" spans="1:9">
      <c r="A106" t="s">
        <v>365</v>
      </c>
      <c r="B106" t="s">
        <v>40</v>
      </c>
      <c r="C106">
        <v>0</v>
      </c>
      <c r="D106">
        <v>0</v>
      </c>
      <c r="E106">
        <v>0</v>
      </c>
      <c r="F106">
        <v>61</v>
      </c>
      <c r="G106">
        <v>0</v>
      </c>
      <c r="H106">
        <v>0</v>
      </c>
      <c r="I106">
        <v>0</v>
      </c>
    </row>
    <row r="107" spans="1:9">
      <c r="A107" t="s">
        <v>365</v>
      </c>
      <c r="B107" t="s">
        <v>41</v>
      </c>
      <c r="C107">
        <v>28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365</v>
      </c>
      <c r="B108" t="s">
        <v>42</v>
      </c>
      <c r="C108">
        <v>0</v>
      </c>
      <c r="D108">
        <v>0</v>
      </c>
      <c r="E108">
        <v>285238</v>
      </c>
      <c r="F108">
        <v>69535</v>
      </c>
      <c r="G108">
        <v>0</v>
      </c>
      <c r="H108">
        <v>0</v>
      </c>
      <c r="I108">
        <v>0</v>
      </c>
    </row>
    <row r="109" spans="1:9">
      <c r="A109" t="s">
        <v>365</v>
      </c>
      <c r="B109" t="s">
        <v>43</v>
      </c>
      <c r="C109">
        <v>0</v>
      </c>
      <c r="D109">
        <v>0</v>
      </c>
      <c r="E109">
        <v>105504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366</v>
      </c>
      <c r="B110" t="s">
        <v>38</v>
      </c>
      <c r="C110">
        <v>91100</v>
      </c>
      <c r="D110">
        <v>200</v>
      </c>
      <c r="E110">
        <v>4523730</v>
      </c>
      <c r="F110">
        <v>12176</v>
      </c>
      <c r="G110">
        <v>52200</v>
      </c>
      <c r="H110">
        <v>0</v>
      </c>
      <c r="I110">
        <v>0</v>
      </c>
    </row>
    <row r="111" spans="1:9">
      <c r="A111" t="s">
        <v>366</v>
      </c>
      <c r="B111" t="s">
        <v>39</v>
      </c>
      <c r="C111">
        <v>4</v>
      </c>
      <c r="D111">
        <v>1653</v>
      </c>
      <c r="E111">
        <v>1301</v>
      </c>
      <c r="F111">
        <v>10337</v>
      </c>
      <c r="G111">
        <v>0</v>
      </c>
      <c r="H111">
        <v>606</v>
      </c>
      <c r="I111">
        <v>2</v>
      </c>
    </row>
    <row r="112" spans="1:9">
      <c r="A112" t="s">
        <v>366</v>
      </c>
      <c r="B112" t="s">
        <v>40</v>
      </c>
      <c r="C112">
        <v>0</v>
      </c>
      <c r="D112">
        <v>0</v>
      </c>
      <c r="E112">
        <v>0</v>
      </c>
      <c r="F112">
        <v>157</v>
      </c>
      <c r="G112">
        <v>0</v>
      </c>
      <c r="H112">
        <v>0</v>
      </c>
      <c r="I112">
        <v>0</v>
      </c>
    </row>
    <row r="113" spans="1:9">
      <c r="A113" t="s">
        <v>366</v>
      </c>
      <c r="B113" t="s">
        <v>41</v>
      </c>
      <c r="C113">
        <v>149</v>
      </c>
      <c r="D113">
        <v>0</v>
      </c>
      <c r="E113">
        <v>0</v>
      </c>
      <c r="F113">
        <v>35</v>
      </c>
      <c r="G113">
        <v>0</v>
      </c>
      <c r="H113">
        <v>0</v>
      </c>
      <c r="I113">
        <v>0</v>
      </c>
    </row>
    <row r="114" spans="1:9">
      <c r="A114" t="s">
        <v>366</v>
      </c>
      <c r="B114" t="s">
        <v>42</v>
      </c>
      <c r="C114">
        <v>0</v>
      </c>
      <c r="D114">
        <v>0</v>
      </c>
      <c r="E114">
        <v>117410</v>
      </c>
      <c r="F114">
        <v>28622</v>
      </c>
      <c r="G114">
        <v>0</v>
      </c>
      <c r="H114">
        <v>0</v>
      </c>
      <c r="I114">
        <v>0</v>
      </c>
    </row>
    <row r="115" spans="1:9">
      <c r="A115" t="s">
        <v>366</v>
      </c>
      <c r="B115" t="s">
        <v>43</v>
      </c>
      <c r="C115">
        <v>0</v>
      </c>
      <c r="D115">
        <v>0</v>
      </c>
      <c r="E115">
        <v>141710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367</v>
      </c>
      <c r="B116" t="s">
        <v>38</v>
      </c>
      <c r="C116">
        <v>94900</v>
      </c>
      <c r="D116">
        <v>200</v>
      </c>
      <c r="E116">
        <v>4464410</v>
      </c>
      <c r="F116">
        <v>18125</v>
      </c>
      <c r="G116">
        <v>36600</v>
      </c>
      <c r="H116">
        <v>0</v>
      </c>
      <c r="I116">
        <v>0</v>
      </c>
    </row>
    <row r="117" spans="1:9">
      <c r="A117" t="s">
        <v>367</v>
      </c>
      <c r="B117" t="s">
        <v>39</v>
      </c>
      <c r="C117">
        <v>4</v>
      </c>
      <c r="D117">
        <v>1892</v>
      </c>
      <c r="E117">
        <v>1489</v>
      </c>
      <c r="F117">
        <v>11827</v>
      </c>
      <c r="G117">
        <v>0</v>
      </c>
      <c r="H117">
        <v>693</v>
      </c>
      <c r="I117">
        <v>3</v>
      </c>
    </row>
    <row r="118" spans="1:9">
      <c r="A118" t="s">
        <v>367</v>
      </c>
      <c r="B118" t="s">
        <v>40</v>
      </c>
      <c r="C118">
        <v>0</v>
      </c>
      <c r="D118">
        <v>0</v>
      </c>
      <c r="E118">
        <v>0</v>
      </c>
      <c r="F118">
        <v>100</v>
      </c>
      <c r="G118">
        <v>0</v>
      </c>
      <c r="H118">
        <v>0</v>
      </c>
      <c r="I118">
        <v>0</v>
      </c>
    </row>
    <row r="119" spans="1:9">
      <c r="A119" t="s">
        <v>367</v>
      </c>
      <c r="B119" t="s">
        <v>41</v>
      </c>
      <c r="C119">
        <v>45</v>
      </c>
      <c r="D119">
        <v>0</v>
      </c>
      <c r="E119">
        <v>0</v>
      </c>
      <c r="F119">
        <v>4</v>
      </c>
      <c r="G119">
        <v>0</v>
      </c>
      <c r="H119">
        <v>0</v>
      </c>
      <c r="I119">
        <v>0</v>
      </c>
    </row>
    <row r="120" spans="1:9">
      <c r="A120" t="s">
        <v>367</v>
      </c>
      <c r="B120" t="s">
        <v>42</v>
      </c>
      <c r="C120">
        <v>0</v>
      </c>
      <c r="D120">
        <v>0</v>
      </c>
      <c r="E120">
        <v>162131</v>
      </c>
      <c r="F120">
        <v>39524</v>
      </c>
      <c r="G120">
        <v>0</v>
      </c>
      <c r="H120">
        <v>0</v>
      </c>
      <c r="I120">
        <v>0</v>
      </c>
    </row>
    <row r="121" spans="1:9">
      <c r="A121" t="s">
        <v>367</v>
      </c>
      <c r="B121" t="s">
        <v>43</v>
      </c>
      <c r="C121">
        <v>0</v>
      </c>
      <c r="D121">
        <v>0</v>
      </c>
      <c r="E121">
        <v>99106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368</v>
      </c>
      <c r="B122" t="s">
        <v>38</v>
      </c>
      <c r="C122">
        <v>9700</v>
      </c>
      <c r="D122">
        <v>0</v>
      </c>
      <c r="E122">
        <v>1064700</v>
      </c>
      <c r="F122">
        <v>6142</v>
      </c>
      <c r="G122">
        <v>9200</v>
      </c>
      <c r="H122">
        <v>0</v>
      </c>
      <c r="I122">
        <v>0</v>
      </c>
    </row>
    <row r="123" spans="1:9">
      <c r="A123" t="s">
        <v>368</v>
      </c>
      <c r="B123" t="s">
        <v>39</v>
      </c>
      <c r="C123">
        <v>0</v>
      </c>
      <c r="D123">
        <v>196</v>
      </c>
      <c r="E123">
        <v>154</v>
      </c>
      <c r="F123">
        <v>1225</v>
      </c>
      <c r="G123">
        <v>0</v>
      </c>
      <c r="H123">
        <v>72</v>
      </c>
      <c r="I123">
        <v>0</v>
      </c>
    </row>
    <row r="124" spans="1:9">
      <c r="A124" t="s">
        <v>368</v>
      </c>
      <c r="B124" t="s">
        <v>40</v>
      </c>
      <c r="C124">
        <v>0</v>
      </c>
      <c r="D124">
        <v>0</v>
      </c>
      <c r="E124">
        <v>0</v>
      </c>
      <c r="F124">
        <v>24</v>
      </c>
      <c r="G124">
        <v>0</v>
      </c>
      <c r="H124">
        <v>0</v>
      </c>
      <c r="I124">
        <v>0</v>
      </c>
    </row>
    <row r="125" spans="1:9">
      <c r="A125" t="s">
        <v>368</v>
      </c>
      <c r="B125" t="s">
        <v>41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368</v>
      </c>
      <c r="B126" t="s">
        <v>42</v>
      </c>
      <c r="C126">
        <v>0</v>
      </c>
      <c r="D126">
        <v>0</v>
      </c>
      <c r="E126">
        <v>98748</v>
      </c>
      <c r="F126">
        <v>24073</v>
      </c>
      <c r="G126">
        <v>0</v>
      </c>
      <c r="H126">
        <v>0</v>
      </c>
      <c r="I126">
        <v>0</v>
      </c>
    </row>
    <row r="127" spans="1:9">
      <c r="A127" t="s">
        <v>368</v>
      </c>
      <c r="B127" t="s">
        <v>43</v>
      </c>
      <c r="C127">
        <v>0</v>
      </c>
      <c r="D127">
        <v>0</v>
      </c>
      <c r="E127">
        <v>47685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369</v>
      </c>
      <c r="B128" t="s">
        <v>38</v>
      </c>
      <c r="C128">
        <v>75800</v>
      </c>
      <c r="D128">
        <v>300</v>
      </c>
      <c r="E128">
        <v>8656020</v>
      </c>
      <c r="F128">
        <v>38189</v>
      </c>
      <c r="G128">
        <v>33600</v>
      </c>
      <c r="H128">
        <v>0</v>
      </c>
      <c r="I128">
        <v>0</v>
      </c>
    </row>
    <row r="129" spans="1:9">
      <c r="A129" t="s">
        <v>369</v>
      </c>
      <c r="B129" t="s">
        <v>39</v>
      </c>
      <c r="C129">
        <v>1</v>
      </c>
      <c r="D129">
        <v>268</v>
      </c>
      <c r="E129">
        <v>211</v>
      </c>
      <c r="F129">
        <v>1677</v>
      </c>
      <c r="G129">
        <v>0</v>
      </c>
      <c r="H129">
        <v>98</v>
      </c>
      <c r="I129">
        <v>0</v>
      </c>
    </row>
    <row r="130" spans="1:9">
      <c r="A130" t="s">
        <v>369</v>
      </c>
      <c r="B130" t="s">
        <v>40</v>
      </c>
      <c r="C130">
        <v>0</v>
      </c>
      <c r="D130">
        <v>0</v>
      </c>
      <c r="E130">
        <v>0</v>
      </c>
      <c r="F130">
        <v>159</v>
      </c>
      <c r="G130">
        <v>0</v>
      </c>
      <c r="H130">
        <v>0</v>
      </c>
      <c r="I130">
        <v>0</v>
      </c>
    </row>
    <row r="131" spans="1:9">
      <c r="A131" t="s">
        <v>369</v>
      </c>
      <c r="B131" t="s">
        <v>41</v>
      </c>
      <c r="C131">
        <v>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369</v>
      </c>
      <c r="B132" t="s">
        <v>42</v>
      </c>
      <c r="C132">
        <v>0</v>
      </c>
      <c r="D132">
        <v>0</v>
      </c>
      <c r="E132">
        <v>690087</v>
      </c>
      <c r="F132">
        <v>168229</v>
      </c>
      <c r="G132">
        <v>0</v>
      </c>
      <c r="H132">
        <v>0</v>
      </c>
      <c r="I132">
        <v>0</v>
      </c>
    </row>
    <row r="133" spans="1:9">
      <c r="A133" t="s">
        <v>369</v>
      </c>
      <c r="B133" t="s">
        <v>43</v>
      </c>
      <c r="C133">
        <v>0</v>
      </c>
      <c r="D133">
        <v>0</v>
      </c>
      <c r="E133">
        <v>249465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370</v>
      </c>
      <c r="B134" t="s">
        <v>38</v>
      </c>
      <c r="C134">
        <v>47400</v>
      </c>
      <c r="D134">
        <v>100</v>
      </c>
      <c r="E134">
        <v>5272660</v>
      </c>
      <c r="F134">
        <v>28045</v>
      </c>
      <c r="G134">
        <v>20100</v>
      </c>
      <c r="H134">
        <v>0</v>
      </c>
      <c r="I134">
        <v>0</v>
      </c>
    </row>
    <row r="135" spans="1:9">
      <c r="A135" t="s">
        <v>370</v>
      </c>
      <c r="B135" t="s">
        <v>39</v>
      </c>
      <c r="C135">
        <v>4</v>
      </c>
      <c r="D135">
        <v>1687</v>
      </c>
      <c r="E135">
        <v>1327</v>
      </c>
      <c r="F135">
        <v>10547</v>
      </c>
      <c r="G135">
        <v>0</v>
      </c>
      <c r="H135">
        <v>618</v>
      </c>
      <c r="I135">
        <v>2</v>
      </c>
    </row>
    <row r="136" spans="1:9">
      <c r="A136" t="s">
        <v>370</v>
      </c>
      <c r="B136" t="s">
        <v>40</v>
      </c>
      <c r="C136">
        <v>0</v>
      </c>
      <c r="D136">
        <v>0</v>
      </c>
      <c r="E136">
        <v>0</v>
      </c>
      <c r="F136">
        <v>147</v>
      </c>
      <c r="G136">
        <v>0</v>
      </c>
      <c r="H136">
        <v>0</v>
      </c>
      <c r="I136">
        <v>0</v>
      </c>
    </row>
    <row r="137" spans="1:9">
      <c r="A137" t="s">
        <v>370</v>
      </c>
      <c r="B137" t="s">
        <v>41</v>
      </c>
      <c r="C137">
        <v>23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</row>
    <row r="138" spans="1:9">
      <c r="A138" t="s">
        <v>370</v>
      </c>
      <c r="B138" t="s">
        <v>42</v>
      </c>
      <c r="C138">
        <v>0</v>
      </c>
      <c r="D138">
        <v>0</v>
      </c>
      <c r="E138">
        <v>546093</v>
      </c>
      <c r="F138">
        <v>133126</v>
      </c>
      <c r="G138">
        <v>0</v>
      </c>
      <c r="H138">
        <v>0</v>
      </c>
      <c r="I138">
        <v>0</v>
      </c>
    </row>
    <row r="139" spans="1:9">
      <c r="A139" t="s">
        <v>370</v>
      </c>
      <c r="B139" t="s">
        <v>43</v>
      </c>
      <c r="C139">
        <v>0</v>
      </c>
      <c r="D139">
        <v>0</v>
      </c>
      <c r="E139">
        <v>226544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371</v>
      </c>
      <c r="B140" t="s">
        <v>38</v>
      </c>
      <c r="C140">
        <v>34200</v>
      </c>
      <c r="D140">
        <v>800</v>
      </c>
      <c r="E140">
        <v>4884280</v>
      </c>
      <c r="F140">
        <v>38719</v>
      </c>
      <c r="G140">
        <v>16800</v>
      </c>
      <c r="H140">
        <v>100</v>
      </c>
      <c r="I140">
        <v>0</v>
      </c>
    </row>
    <row r="141" spans="1:9">
      <c r="A141" t="s">
        <v>371</v>
      </c>
      <c r="B141" t="s">
        <v>39</v>
      </c>
      <c r="C141">
        <v>6</v>
      </c>
      <c r="D141">
        <v>2724</v>
      </c>
      <c r="E141">
        <v>2144</v>
      </c>
      <c r="F141">
        <v>17030</v>
      </c>
      <c r="G141">
        <v>0</v>
      </c>
      <c r="H141">
        <v>998</v>
      </c>
      <c r="I141">
        <v>4</v>
      </c>
    </row>
    <row r="142" spans="1:9">
      <c r="A142" t="s">
        <v>371</v>
      </c>
      <c r="B142" t="s">
        <v>40</v>
      </c>
      <c r="C142">
        <v>0</v>
      </c>
      <c r="D142">
        <v>0</v>
      </c>
      <c r="E142">
        <v>0</v>
      </c>
      <c r="F142">
        <v>107</v>
      </c>
      <c r="G142">
        <v>0</v>
      </c>
      <c r="H142">
        <v>0</v>
      </c>
      <c r="I142">
        <v>0</v>
      </c>
    </row>
    <row r="143" spans="1:9">
      <c r="A143" t="s">
        <v>371</v>
      </c>
      <c r="B143" t="s">
        <v>41</v>
      </c>
      <c r="C143">
        <v>29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371</v>
      </c>
      <c r="B144" t="s">
        <v>42</v>
      </c>
      <c r="C144">
        <v>0</v>
      </c>
      <c r="D144">
        <v>0</v>
      </c>
      <c r="E144">
        <v>274119</v>
      </c>
      <c r="F144">
        <v>66825</v>
      </c>
      <c r="G144">
        <v>0</v>
      </c>
      <c r="H144">
        <v>0</v>
      </c>
      <c r="I144">
        <v>0</v>
      </c>
    </row>
    <row r="145" spans="1:9">
      <c r="A145" t="s">
        <v>371</v>
      </c>
      <c r="B145" t="s">
        <v>43</v>
      </c>
      <c r="C145">
        <v>0</v>
      </c>
      <c r="D145">
        <v>0</v>
      </c>
      <c r="E145">
        <v>133801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372</v>
      </c>
      <c r="B146" t="s">
        <v>38</v>
      </c>
      <c r="C146">
        <v>4900</v>
      </c>
      <c r="D146">
        <v>100</v>
      </c>
      <c r="E146">
        <v>2036780</v>
      </c>
      <c r="F146">
        <v>17195</v>
      </c>
      <c r="G146">
        <v>2400</v>
      </c>
      <c r="H146">
        <v>0</v>
      </c>
      <c r="I146">
        <v>0</v>
      </c>
    </row>
    <row r="147" spans="1:9">
      <c r="A147" t="s">
        <v>372</v>
      </c>
      <c r="B147" t="s">
        <v>39</v>
      </c>
      <c r="C147">
        <v>2</v>
      </c>
      <c r="D147">
        <v>1011</v>
      </c>
      <c r="E147">
        <v>796</v>
      </c>
      <c r="F147">
        <v>6323</v>
      </c>
      <c r="G147">
        <v>0</v>
      </c>
      <c r="H147">
        <v>370</v>
      </c>
      <c r="I147">
        <v>1</v>
      </c>
    </row>
    <row r="148" spans="1:9">
      <c r="A148" t="s">
        <v>372</v>
      </c>
      <c r="B148" t="s">
        <v>40</v>
      </c>
      <c r="C148">
        <v>0</v>
      </c>
      <c r="D148">
        <v>0</v>
      </c>
      <c r="E148">
        <v>0</v>
      </c>
      <c r="F148">
        <v>24</v>
      </c>
      <c r="G148">
        <v>0</v>
      </c>
      <c r="H148">
        <v>0</v>
      </c>
      <c r="I148">
        <v>0</v>
      </c>
    </row>
    <row r="149" spans="1:9">
      <c r="A149" t="s">
        <v>372</v>
      </c>
      <c r="B149" t="s">
        <v>41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372</v>
      </c>
      <c r="B150" t="s">
        <v>42</v>
      </c>
      <c r="C150">
        <v>0</v>
      </c>
      <c r="D150">
        <v>0</v>
      </c>
      <c r="E150">
        <v>120952</v>
      </c>
      <c r="F150">
        <v>29486</v>
      </c>
      <c r="G150">
        <v>0</v>
      </c>
      <c r="H150">
        <v>0</v>
      </c>
      <c r="I150">
        <v>0</v>
      </c>
    </row>
    <row r="151" spans="1:9">
      <c r="A151" t="s">
        <v>372</v>
      </c>
      <c r="B151" t="s">
        <v>43</v>
      </c>
      <c r="C151">
        <v>0</v>
      </c>
      <c r="D151">
        <v>0</v>
      </c>
      <c r="E151">
        <v>30421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373</v>
      </c>
      <c r="B152" t="s">
        <v>38</v>
      </c>
      <c r="C152">
        <v>5600</v>
      </c>
      <c r="D152">
        <v>0</v>
      </c>
      <c r="E152">
        <v>951152</v>
      </c>
      <c r="F152">
        <v>16910</v>
      </c>
      <c r="G152">
        <v>3200</v>
      </c>
      <c r="H152">
        <v>0</v>
      </c>
      <c r="I152">
        <v>0</v>
      </c>
    </row>
    <row r="153" spans="1:9">
      <c r="A153" t="s">
        <v>373</v>
      </c>
      <c r="B153" t="s">
        <v>39</v>
      </c>
      <c r="C153">
        <v>2</v>
      </c>
      <c r="D153">
        <v>669</v>
      </c>
      <c r="E153">
        <v>527</v>
      </c>
      <c r="F153">
        <v>4185</v>
      </c>
      <c r="G153">
        <v>0</v>
      </c>
      <c r="H153">
        <v>245</v>
      </c>
      <c r="I153">
        <v>1</v>
      </c>
    </row>
    <row r="154" spans="1:9">
      <c r="A154" t="s">
        <v>373</v>
      </c>
      <c r="B154" t="s">
        <v>40</v>
      </c>
      <c r="C154">
        <v>0</v>
      </c>
      <c r="D154">
        <v>0</v>
      </c>
      <c r="E154">
        <v>0</v>
      </c>
      <c r="F154">
        <v>24</v>
      </c>
      <c r="G154">
        <v>0</v>
      </c>
      <c r="H154">
        <v>0</v>
      </c>
      <c r="I154">
        <v>0</v>
      </c>
    </row>
    <row r="155" spans="1:9">
      <c r="A155" t="s">
        <v>373</v>
      </c>
      <c r="B155" t="s">
        <v>41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373</v>
      </c>
      <c r="B156" t="s">
        <v>42</v>
      </c>
      <c r="C156">
        <v>0</v>
      </c>
      <c r="D156">
        <v>0</v>
      </c>
      <c r="E156">
        <v>58001</v>
      </c>
      <c r="F156">
        <v>14140</v>
      </c>
      <c r="G156">
        <v>0</v>
      </c>
      <c r="H156">
        <v>0</v>
      </c>
      <c r="I156">
        <v>0</v>
      </c>
    </row>
    <row r="157" spans="1:9">
      <c r="A157" t="s">
        <v>373</v>
      </c>
      <c r="B157" t="s">
        <v>43</v>
      </c>
      <c r="C157">
        <v>0</v>
      </c>
      <c r="D157">
        <v>0</v>
      </c>
      <c r="E157">
        <v>447943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374</v>
      </c>
      <c r="B158" t="s">
        <v>38</v>
      </c>
      <c r="C158">
        <v>91000</v>
      </c>
      <c r="D158">
        <v>300</v>
      </c>
      <c r="E158">
        <v>8022220</v>
      </c>
      <c r="F158">
        <v>45636</v>
      </c>
      <c r="G158">
        <v>28300</v>
      </c>
      <c r="H158">
        <v>100</v>
      </c>
      <c r="I158">
        <v>0</v>
      </c>
    </row>
    <row r="159" spans="1:9">
      <c r="A159" t="s">
        <v>374</v>
      </c>
      <c r="B159" t="s">
        <v>39</v>
      </c>
      <c r="C159">
        <v>9</v>
      </c>
      <c r="D159">
        <v>3863</v>
      </c>
      <c r="E159">
        <v>3040</v>
      </c>
      <c r="F159">
        <v>24151</v>
      </c>
      <c r="G159">
        <v>0</v>
      </c>
      <c r="H159">
        <v>1415</v>
      </c>
      <c r="I159">
        <v>5</v>
      </c>
    </row>
    <row r="160" spans="1:9">
      <c r="A160" t="s">
        <v>374</v>
      </c>
      <c r="B160" t="s">
        <v>40</v>
      </c>
      <c r="C160">
        <v>0</v>
      </c>
      <c r="D160">
        <v>0</v>
      </c>
      <c r="E160">
        <v>0</v>
      </c>
      <c r="F160">
        <v>257</v>
      </c>
      <c r="G160">
        <v>0</v>
      </c>
      <c r="H160">
        <v>0</v>
      </c>
      <c r="I160">
        <v>0</v>
      </c>
    </row>
    <row r="161" spans="1:9">
      <c r="A161" t="s">
        <v>374</v>
      </c>
      <c r="B161" t="s">
        <v>41</v>
      </c>
      <c r="C161">
        <v>18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374</v>
      </c>
      <c r="B162" t="s">
        <v>42</v>
      </c>
      <c r="C162">
        <v>0</v>
      </c>
      <c r="D162">
        <v>0</v>
      </c>
      <c r="E162">
        <v>353706</v>
      </c>
      <c r="F162">
        <v>86226</v>
      </c>
      <c r="G162">
        <v>0</v>
      </c>
      <c r="H162">
        <v>0</v>
      </c>
      <c r="I162">
        <v>0</v>
      </c>
    </row>
    <row r="163" spans="1:9">
      <c r="A163" t="s">
        <v>374</v>
      </c>
      <c r="B163" t="s">
        <v>43</v>
      </c>
      <c r="C163">
        <v>0</v>
      </c>
      <c r="D163">
        <v>0</v>
      </c>
      <c r="E163">
        <v>189734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375</v>
      </c>
      <c r="B164" t="s">
        <v>38</v>
      </c>
      <c r="C164">
        <v>1300</v>
      </c>
      <c r="D164">
        <v>0</v>
      </c>
      <c r="E164">
        <v>951004</v>
      </c>
      <c r="F164">
        <v>10249</v>
      </c>
      <c r="G164">
        <v>1000</v>
      </c>
      <c r="H164">
        <v>0</v>
      </c>
      <c r="I164">
        <v>0</v>
      </c>
    </row>
    <row r="165" spans="1:9">
      <c r="A165" t="s">
        <v>375</v>
      </c>
      <c r="B165" t="s">
        <v>39</v>
      </c>
      <c r="C165">
        <v>1</v>
      </c>
      <c r="D165">
        <v>429</v>
      </c>
      <c r="E165">
        <v>338</v>
      </c>
      <c r="F165">
        <v>2683</v>
      </c>
      <c r="G165">
        <v>0</v>
      </c>
      <c r="H165">
        <v>157</v>
      </c>
      <c r="I165">
        <v>1</v>
      </c>
    </row>
    <row r="166" spans="1:9">
      <c r="A166" t="s">
        <v>375</v>
      </c>
      <c r="B166" t="s">
        <v>40</v>
      </c>
      <c r="C166">
        <v>0</v>
      </c>
      <c r="D166">
        <v>0</v>
      </c>
      <c r="E166">
        <v>0</v>
      </c>
      <c r="F166">
        <v>24</v>
      </c>
      <c r="G166">
        <v>0</v>
      </c>
      <c r="H166">
        <v>0</v>
      </c>
      <c r="I166">
        <v>0</v>
      </c>
    </row>
    <row r="167" spans="1:9">
      <c r="A167" t="s">
        <v>375</v>
      </c>
      <c r="B167" t="s">
        <v>41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375</v>
      </c>
      <c r="B168" t="s">
        <v>42</v>
      </c>
      <c r="C168">
        <v>0</v>
      </c>
      <c r="D168">
        <v>0</v>
      </c>
      <c r="E168">
        <v>63220</v>
      </c>
      <c r="F168">
        <v>15412</v>
      </c>
      <c r="G168">
        <v>0</v>
      </c>
      <c r="H168">
        <v>0</v>
      </c>
      <c r="I168">
        <v>0</v>
      </c>
    </row>
    <row r="169" spans="1:9">
      <c r="A169" t="s">
        <v>375</v>
      </c>
      <c r="B169" t="s">
        <v>43</v>
      </c>
      <c r="C169">
        <v>0</v>
      </c>
      <c r="D169">
        <v>0</v>
      </c>
      <c r="E169">
        <v>44166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376</v>
      </c>
      <c r="B170" t="s">
        <v>38</v>
      </c>
      <c r="C170">
        <v>9100</v>
      </c>
      <c r="D170">
        <v>100</v>
      </c>
      <c r="E170">
        <v>1789060</v>
      </c>
      <c r="F170">
        <v>16530</v>
      </c>
      <c r="G170">
        <v>4700</v>
      </c>
      <c r="H170">
        <v>0</v>
      </c>
      <c r="I170">
        <v>0</v>
      </c>
    </row>
    <row r="171" spans="1:9">
      <c r="A171" t="s">
        <v>376</v>
      </c>
      <c r="B171" t="s">
        <v>39</v>
      </c>
      <c r="C171">
        <v>3</v>
      </c>
      <c r="D171">
        <v>1071</v>
      </c>
      <c r="E171">
        <v>843</v>
      </c>
      <c r="F171">
        <v>6696</v>
      </c>
      <c r="G171">
        <v>0</v>
      </c>
      <c r="H171">
        <v>392</v>
      </c>
      <c r="I171">
        <v>1</v>
      </c>
    </row>
    <row r="172" spans="1:9">
      <c r="A172" t="s">
        <v>376</v>
      </c>
      <c r="B172" t="s">
        <v>40</v>
      </c>
      <c r="C172">
        <v>0</v>
      </c>
      <c r="D172">
        <v>0</v>
      </c>
      <c r="E172">
        <v>0</v>
      </c>
      <c r="F172">
        <v>24</v>
      </c>
      <c r="G172">
        <v>0</v>
      </c>
      <c r="H172">
        <v>0</v>
      </c>
      <c r="I172">
        <v>0</v>
      </c>
    </row>
    <row r="173" spans="1:9">
      <c r="A173" t="s">
        <v>376</v>
      </c>
      <c r="B173" t="s">
        <v>41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376</v>
      </c>
      <c r="B174" t="s">
        <v>42</v>
      </c>
      <c r="C174">
        <v>0</v>
      </c>
      <c r="D174">
        <v>0</v>
      </c>
      <c r="E174">
        <v>77093</v>
      </c>
      <c r="F174">
        <v>18794</v>
      </c>
      <c r="G174">
        <v>0</v>
      </c>
      <c r="H174">
        <v>0</v>
      </c>
      <c r="I174">
        <v>0</v>
      </c>
    </row>
    <row r="175" spans="1:9">
      <c r="A175" t="s">
        <v>376</v>
      </c>
      <c r="B175" t="s">
        <v>43</v>
      </c>
      <c r="C175">
        <v>0</v>
      </c>
      <c r="D175">
        <v>0</v>
      </c>
      <c r="E175">
        <v>50753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377</v>
      </c>
      <c r="B176" t="s">
        <v>38</v>
      </c>
      <c r="C176">
        <v>12700</v>
      </c>
      <c r="D176">
        <v>100</v>
      </c>
      <c r="E176">
        <v>1201120</v>
      </c>
      <c r="F176">
        <v>6662</v>
      </c>
      <c r="G176">
        <v>8200</v>
      </c>
      <c r="H176">
        <v>0</v>
      </c>
      <c r="I176">
        <v>0</v>
      </c>
    </row>
    <row r="177" spans="1:9">
      <c r="A177" t="s">
        <v>377</v>
      </c>
      <c r="B177" t="s">
        <v>39</v>
      </c>
      <c r="C177">
        <v>1</v>
      </c>
      <c r="D177">
        <v>291</v>
      </c>
      <c r="E177">
        <v>229</v>
      </c>
      <c r="F177">
        <v>1819</v>
      </c>
      <c r="G177">
        <v>0</v>
      </c>
      <c r="H177">
        <v>107</v>
      </c>
      <c r="I177">
        <v>0</v>
      </c>
    </row>
    <row r="178" spans="1:9">
      <c r="A178" t="s">
        <v>377</v>
      </c>
      <c r="B178" t="s">
        <v>40</v>
      </c>
      <c r="C178">
        <v>0</v>
      </c>
      <c r="D178">
        <v>0</v>
      </c>
      <c r="E178">
        <v>0</v>
      </c>
      <c r="F178">
        <v>24</v>
      </c>
      <c r="G178">
        <v>0</v>
      </c>
      <c r="H178">
        <v>0</v>
      </c>
      <c r="I178">
        <v>0</v>
      </c>
    </row>
    <row r="179" spans="1:9">
      <c r="A179" t="s">
        <v>377</v>
      </c>
      <c r="B179" t="s">
        <v>41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377</v>
      </c>
      <c r="B180" t="s">
        <v>42</v>
      </c>
      <c r="C180">
        <v>0</v>
      </c>
      <c r="D180">
        <v>0</v>
      </c>
      <c r="E180">
        <v>82180</v>
      </c>
      <c r="F180">
        <v>20034</v>
      </c>
      <c r="G180">
        <v>0</v>
      </c>
      <c r="H180">
        <v>0</v>
      </c>
      <c r="I180">
        <v>0</v>
      </c>
    </row>
    <row r="181" spans="1:9">
      <c r="A181" t="s">
        <v>377</v>
      </c>
      <c r="B181" t="s">
        <v>43</v>
      </c>
      <c r="C181">
        <v>0</v>
      </c>
      <c r="D181">
        <v>0</v>
      </c>
      <c r="E181">
        <v>86208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378</v>
      </c>
      <c r="B182" t="s">
        <v>38</v>
      </c>
      <c r="C182">
        <v>173800</v>
      </c>
      <c r="D182">
        <v>300</v>
      </c>
      <c r="E182">
        <v>5535950</v>
      </c>
      <c r="F182">
        <v>17167</v>
      </c>
      <c r="G182">
        <v>51600</v>
      </c>
      <c r="H182">
        <v>0</v>
      </c>
      <c r="I182">
        <v>0</v>
      </c>
    </row>
    <row r="183" spans="1:9">
      <c r="A183" t="s">
        <v>378</v>
      </c>
      <c r="B183" t="s">
        <v>39</v>
      </c>
      <c r="C183">
        <v>7</v>
      </c>
      <c r="D183">
        <v>2999</v>
      </c>
      <c r="E183">
        <v>2360</v>
      </c>
      <c r="F183">
        <v>18749</v>
      </c>
      <c r="G183">
        <v>0</v>
      </c>
      <c r="H183">
        <v>1099</v>
      </c>
      <c r="I183">
        <v>4</v>
      </c>
    </row>
    <row r="184" spans="1:9">
      <c r="A184" t="s">
        <v>378</v>
      </c>
      <c r="B184" t="s">
        <v>40</v>
      </c>
      <c r="C184">
        <v>0</v>
      </c>
      <c r="D184">
        <v>0</v>
      </c>
      <c r="E184">
        <v>0</v>
      </c>
      <c r="F184">
        <v>181</v>
      </c>
      <c r="G184">
        <v>0</v>
      </c>
      <c r="H184">
        <v>0</v>
      </c>
      <c r="I184">
        <v>0</v>
      </c>
    </row>
    <row r="185" spans="1:9">
      <c r="A185" t="s">
        <v>378</v>
      </c>
      <c r="B185" t="s">
        <v>41</v>
      </c>
      <c r="C185">
        <v>170</v>
      </c>
      <c r="D185">
        <v>0</v>
      </c>
      <c r="E185">
        <v>0</v>
      </c>
      <c r="F185">
        <v>20</v>
      </c>
      <c r="G185">
        <v>0</v>
      </c>
      <c r="H185">
        <v>0</v>
      </c>
      <c r="I185">
        <v>0</v>
      </c>
    </row>
    <row r="186" spans="1:9">
      <c r="A186" t="s">
        <v>378</v>
      </c>
      <c r="B186" t="s">
        <v>42</v>
      </c>
      <c r="C186">
        <v>0</v>
      </c>
      <c r="D186">
        <v>0</v>
      </c>
      <c r="E186">
        <v>139757</v>
      </c>
      <c r="F186">
        <v>34070</v>
      </c>
      <c r="G186">
        <v>0</v>
      </c>
      <c r="H186">
        <v>0</v>
      </c>
      <c r="I186">
        <v>0</v>
      </c>
    </row>
    <row r="187" spans="1:9">
      <c r="A187" t="s">
        <v>378</v>
      </c>
      <c r="B187" t="s">
        <v>43</v>
      </c>
      <c r="C187">
        <v>0</v>
      </c>
      <c r="D187">
        <v>0</v>
      </c>
      <c r="E187">
        <v>146003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379</v>
      </c>
      <c r="B188" t="s">
        <v>38</v>
      </c>
      <c r="C188">
        <v>13000</v>
      </c>
      <c r="D188">
        <v>100</v>
      </c>
      <c r="E188">
        <v>1726320</v>
      </c>
      <c r="F188">
        <v>18955</v>
      </c>
      <c r="G188">
        <v>5800</v>
      </c>
      <c r="H188">
        <v>100</v>
      </c>
      <c r="I188">
        <v>0</v>
      </c>
    </row>
    <row r="189" spans="1:9">
      <c r="A189" t="s">
        <v>379</v>
      </c>
      <c r="B189" t="s">
        <v>39</v>
      </c>
      <c r="C189">
        <v>2</v>
      </c>
      <c r="D189">
        <v>834</v>
      </c>
      <c r="E189">
        <v>656</v>
      </c>
      <c r="F189">
        <v>5214</v>
      </c>
      <c r="G189">
        <v>0</v>
      </c>
      <c r="H189">
        <v>305</v>
      </c>
      <c r="I189">
        <v>1</v>
      </c>
    </row>
    <row r="190" spans="1:9">
      <c r="A190" t="s">
        <v>379</v>
      </c>
      <c r="B190" t="s">
        <v>40</v>
      </c>
      <c r="C190">
        <v>0</v>
      </c>
      <c r="D190">
        <v>0</v>
      </c>
      <c r="E190">
        <v>0</v>
      </c>
      <c r="F190">
        <v>24</v>
      </c>
      <c r="G190">
        <v>0</v>
      </c>
      <c r="H190">
        <v>0</v>
      </c>
      <c r="I190">
        <v>0</v>
      </c>
    </row>
    <row r="191" spans="1:9">
      <c r="A191" t="s">
        <v>379</v>
      </c>
      <c r="B191" t="s">
        <v>41</v>
      </c>
      <c r="C191">
        <v>0</v>
      </c>
      <c r="D191">
        <v>0</v>
      </c>
      <c r="E191">
        <v>0</v>
      </c>
      <c r="F191">
        <v>6</v>
      </c>
      <c r="G191">
        <v>0</v>
      </c>
      <c r="H191">
        <v>0</v>
      </c>
      <c r="I191">
        <v>0</v>
      </c>
    </row>
    <row r="192" spans="1:9">
      <c r="A192" t="s">
        <v>379</v>
      </c>
      <c r="B192" t="s">
        <v>42</v>
      </c>
      <c r="C192">
        <v>0</v>
      </c>
      <c r="D192">
        <v>0</v>
      </c>
      <c r="E192">
        <v>31388</v>
      </c>
      <c r="F192">
        <v>7652</v>
      </c>
      <c r="G192">
        <v>0</v>
      </c>
      <c r="H192">
        <v>0</v>
      </c>
      <c r="I192">
        <v>0</v>
      </c>
    </row>
    <row r="193" spans="1:9">
      <c r="A193" t="s">
        <v>379</v>
      </c>
      <c r="B193" t="s">
        <v>43</v>
      </c>
      <c r="C193">
        <v>0</v>
      </c>
      <c r="D193">
        <v>0</v>
      </c>
      <c r="E193">
        <v>56497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380</v>
      </c>
      <c r="B194" t="s">
        <v>38</v>
      </c>
      <c r="C194">
        <v>65600</v>
      </c>
      <c r="D194">
        <v>200</v>
      </c>
      <c r="E194">
        <v>2079840</v>
      </c>
      <c r="F194">
        <v>17693</v>
      </c>
      <c r="G194">
        <v>13400</v>
      </c>
      <c r="H194">
        <v>100</v>
      </c>
      <c r="I194">
        <v>0</v>
      </c>
    </row>
    <row r="195" spans="1:9">
      <c r="A195" t="s">
        <v>380</v>
      </c>
      <c r="B195" t="s">
        <v>39</v>
      </c>
      <c r="C195">
        <v>2</v>
      </c>
      <c r="D195">
        <v>937</v>
      </c>
      <c r="E195">
        <v>738</v>
      </c>
      <c r="F195">
        <v>5860</v>
      </c>
      <c r="G195">
        <v>0</v>
      </c>
      <c r="H195">
        <v>343</v>
      </c>
      <c r="I195">
        <v>1</v>
      </c>
    </row>
    <row r="196" spans="1:9">
      <c r="A196" t="s">
        <v>380</v>
      </c>
      <c r="B196" t="s">
        <v>40</v>
      </c>
      <c r="C196">
        <v>0</v>
      </c>
      <c r="D196">
        <v>0</v>
      </c>
      <c r="E196">
        <v>0</v>
      </c>
      <c r="F196">
        <v>203</v>
      </c>
      <c r="G196">
        <v>0</v>
      </c>
      <c r="H196">
        <v>0</v>
      </c>
      <c r="I196">
        <v>0</v>
      </c>
    </row>
    <row r="197" spans="1:9">
      <c r="A197" t="s">
        <v>380</v>
      </c>
      <c r="B197" t="s">
        <v>41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380</v>
      </c>
      <c r="B198" t="s">
        <v>42</v>
      </c>
      <c r="C198">
        <v>0</v>
      </c>
      <c r="D198">
        <v>0</v>
      </c>
      <c r="E198">
        <v>41543</v>
      </c>
      <c r="F198">
        <v>10127</v>
      </c>
      <c r="G198">
        <v>0</v>
      </c>
      <c r="H198">
        <v>0</v>
      </c>
      <c r="I198">
        <v>0</v>
      </c>
    </row>
    <row r="199" spans="1:9">
      <c r="A199" t="s">
        <v>380</v>
      </c>
      <c r="B199" t="s">
        <v>43</v>
      </c>
      <c r="C199">
        <v>0</v>
      </c>
      <c r="D199">
        <v>0</v>
      </c>
      <c r="E199">
        <v>87702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381</v>
      </c>
      <c r="B200" t="s">
        <v>38</v>
      </c>
      <c r="C200">
        <v>168100</v>
      </c>
      <c r="D200">
        <v>300</v>
      </c>
      <c r="E200">
        <v>10402200</v>
      </c>
      <c r="F200">
        <v>31743</v>
      </c>
      <c r="G200">
        <v>111400</v>
      </c>
      <c r="H200">
        <v>0</v>
      </c>
      <c r="I200">
        <v>0</v>
      </c>
    </row>
    <row r="201" spans="1:9">
      <c r="A201" t="s">
        <v>381</v>
      </c>
      <c r="B201" t="s">
        <v>39</v>
      </c>
      <c r="C201">
        <v>54</v>
      </c>
      <c r="D201">
        <v>23268</v>
      </c>
      <c r="E201">
        <v>18312</v>
      </c>
      <c r="F201">
        <v>145485</v>
      </c>
      <c r="G201">
        <v>0</v>
      </c>
      <c r="H201">
        <v>8524</v>
      </c>
      <c r="I201">
        <v>32</v>
      </c>
    </row>
    <row r="202" spans="1:9">
      <c r="A202" t="s">
        <v>381</v>
      </c>
      <c r="B202" t="s">
        <v>40</v>
      </c>
      <c r="C202">
        <v>0</v>
      </c>
      <c r="D202">
        <v>0</v>
      </c>
      <c r="E202">
        <v>0</v>
      </c>
      <c r="F202">
        <v>415</v>
      </c>
      <c r="G202">
        <v>0</v>
      </c>
      <c r="H202">
        <v>0</v>
      </c>
      <c r="I202">
        <v>0</v>
      </c>
    </row>
    <row r="203" spans="1:9">
      <c r="A203" t="s">
        <v>381</v>
      </c>
      <c r="B203" t="s">
        <v>41</v>
      </c>
      <c r="C203">
        <v>748</v>
      </c>
      <c r="D203">
        <v>0</v>
      </c>
      <c r="E203">
        <v>0</v>
      </c>
      <c r="F203">
        <v>14</v>
      </c>
      <c r="G203">
        <v>0</v>
      </c>
      <c r="H203">
        <v>0</v>
      </c>
      <c r="I203">
        <v>0</v>
      </c>
    </row>
    <row r="204" spans="1:9">
      <c r="A204" t="s">
        <v>381</v>
      </c>
      <c r="B204" t="s">
        <v>42</v>
      </c>
      <c r="C204">
        <v>0</v>
      </c>
      <c r="D204">
        <v>0</v>
      </c>
      <c r="E204">
        <v>423870</v>
      </c>
      <c r="F204">
        <v>103331</v>
      </c>
      <c r="G204">
        <v>0</v>
      </c>
      <c r="H204">
        <v>0</v>
      </c>
      <c r="I204">
        <v>0</v>
      </c>
    </row>
    <row r="205" spans="1:9">
      <c r="A205" t="s">
        <v>381</v>
      </c>
      <c r="B205" t="s">
        <v>43</v>
      </c>
      <c r="C205">
        <v>0</v>
      </c>
      <c r="D205">
        <v>0</v>
      </c>
      <c r="E205">
        <v>794820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382</v>
      </c>
      <c r="B206" t="s">
        <v>38</v>
      </c>
      <c r="C206">
        <v>69400</v>
      </c>
      <c r="D206">
        <v>600</v>
      </c>
      <c r="E206">
        <v>10197000</v>
      </c>
      <c r="F206">
        <v>41588</v>
      </c>
      <c r="G206">
        <v>29700</v>
      </c>
      <c r="H206">
        <v>100</v>
      </c>
      <c r="I206">
        <v>0</v>
      </c>
    </row>
    <row r="207" spans="1:9">
      <c r="A207" t="s">
        <v>382</v>
      </c>
      <c r="B207" t="s">
        <v>39</v>
      </c>
      <c r="C207">
        <v>10</v>
      </c>
      <c r="D207">
        <v>4192</v>
      </c>
      <c r="E207">
        <v>3299</v>
      </c>
      <c r="F207">
        <v>26209</v>
      </c>
      <c r="G207">
        <v>0</v>
      </c>
      <c r="H207">
        <v>1536</v>
      </c>
      <c r="I207">
        <v>6</v>
      </c>
    </row>
    <row r="208" spans="1:9">
      <c r="A208" t="s">
        <v>382</v>
      </c>
      <c r="B208" t="s">
        <v>40</v>
      </c>
      <c r="C208">
        <v>0</v>
      </c>
      <c r="D208">
        <v>0</v>
      </c>
      <c r="E208">
        <v>0</v>
      </c>
      <c r="F208">
        <v>80</v>
      </c>
      <c r="G208">
        <v>0</v>
      </c>
      <c r="H208">
        <v>0</v>
      </c>
      <c r="I208">
        <v>0</v>
      </c>
    </row>
    <row r="209" spans="1:9">
      <c r="A209" t="s">
        <v>382</v>
      </c>
      <c r="B209" t="s">
        <v>41</v>
      </c>
      <c r="C209">
        <v>21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382</v>
      </c>
      <c r="B210" t="s">
        <v>42</v>
      </c>
      <c r="C210">
        <v>0</v>
      </c>
      <c r="D210">
        <v>0</v>
      </c>
      <c r="E210">
        <v>283476</v>
      </c>
      <c r="F210">
        <v>69106</v>
      </c>
      <c r="G210">
        <v>0</v>
      </c>
      <c r="H210">
        <v>0</v>
      </c>
      <c r="I210">
        <v>0</v>
      </c>
    </row>
    <row r="211" spans="1:9">
      <c r="A211" t="s">
        <v>382</v>
      </c>
      <c r="B211" t="s">
        <v>43</v>
      </c>
      <c r="C211">
        <v>0</v>
      </c>
      <c r="D211">
        <v>0</v>
      </c>
      <c r="E211">
        <v>422404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383</v>
      </c>
      <c r="B212" t="s">
        <v>38</v>
      </c>
      <c r="C212">
        <v>22600</v>
      </c>
      <c r="D212">
        <v>1700</v>
      </c>
      <c r="E212">
        <v>3300240</v>
      </c>
      <c r="F212">
        <v>32652</v>
      </c>
      <c r="G212">
        <v>7632</v>
      </c>
      <c r="H212">
        <v>200</v>
      </c>
      <c r="I212">
        <v>0</v>
      </c>
    </row>
    <row r="213" spans="1:9">
      <c r="A213" t="s">
        <v>383</v>
      </c>
      <c r="B213" t="s">
        <v>39</v>
      </c>
      <c r="C213">
        <v>1</v>
      </c>
      <c r="D213">
        <v>244</v>
      </c>
      <c r="E213">
        <v>192</v>
      </c>
      <c r="F213">
        <v>1526</v>
      </c>
      <c r="G213">
        <v>0</v>
      </c>
      <c r="H213">
        <v>89</v>
      </c>
      <c r="I213">
        <v>0</v>
      </c>
    </row>
    <row r="214" spans="1:9">
      <c r="A214" t="s">
        <v>383</v>
      </c>
      <c r="B214" t="s">
        <v>40</v>
      </c>
      <c r="C214">
        <v>0</v>
      </c>
      <c r="D214">
        <v>0</v>
      </c>
      <c r="E214">
        <v>0</v>
      </c>
      <c r="F214">
        <v>28</v>
      </c>
      <c r="G214">
        <v>0</v>
      </c>
      <c r="H214">
        <v>0</v>
      </c>
      <c r="I214">
        <v>0</v>
      </c>
    </row>
    <row r="215" spans="1:9">
      <c r="A215" t="s">
        <v>383</v>
      </c>
      <c r="B215" t="s">
        <v>41</v>
      </c>
      <c r="C215">
        <v>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383</v>
      </c>
      <c r="B216" t="s">
        <v>42</v>
      </c>
      <c r="C216">
        <v>0</v>
      </c>
      <c r="D216">
        <v>0</v>
      </c>
      <c r="E216">
        <v>180719</v>
      </c>
      <c r="F216">
        <v>44056</v>
      </c>
      <c r="G216">
        <v>0</v>
      </c>
      <c r="H216">
        <v>0</v>
      </c>
      <c r="I216">
        <v>0</v>
      </c>
    </row>
    <row r="217" spans="1:9">
      <c r="A217" t="s">
        <v>383</v>
      </c>
      <c r="B217" t="s">
        <v>43</v>
      </c>
      <c r="C217">
        <v>0</v>
      </c>
      <c r="D217">
        <v>0</v>
      </c>
      <c r="E217">
        <v>139387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384</v>
      </c>
      <c r="B218" t="s">
        <v>38</v>
      </c>
      <c r="C218">
        <v>78400</v>
      </c>
      <c r="D218">
        <v>100</v>
      </c>
      <c r="E218">
        <v>3715280</v>
      </c>
      <c r="F218">
        <v>42482</v>
      </c>
      <c r="G218">
        <v>33200</v>
      </c>
      <c r="H218">
        <v>100</v>
      </c>
      <c r="I218">
        <v>0</v>
      </c>
    </row>
    <row r="219" spans="1:9">
      <c r="A219" t="s">
        <v>384</v>
      </c>
      <c r="B219" t="s">
        <v>39</v>
      </c>
      <c r="C219">
        <v>5</v>
      </c>
      <c r="D219">
        <v>2162</v>
      </c>
      <c r="E219">
        <v>1702</v>
      </c>
      <c r="F219">
        <v>13519</v>
      </c>
      <c r="G219">
        <v>0</v>
      </c>
      <c r="H219">
        <v>792</v>
      </c>
      <c r="I219">
        <v>3</v>
      </c>
    </row>
    <row r="220" spans="1:9">
      <c r="A220" t="s">
        <v>384</v>
      </c>
      <c r="B220" t="s">
        <v>40</v>
      </c>
      <c r="C220">
        <v>0</v>
      </c>
      <c r="D220">
        <v>0</v>
      </c>
      <c r="E220">
        <v>0</v>
      </c>
      <c r="F220">
        <v>85</v>
      </c>
      <c r="G220">
        <v>0</v>
      </c>
      <c r="H220">
        <v>0</v>
      </c>
      <c r="I220">
        <v>0</v>
      </c>
    </row>
    <row r="221" spans="1:9">
      <c r="A221" t="s">
        <v>384</v>
      </c>
      <c r="B221" t="s">
        <v>41</v>
      </c>
      <c r="C221">
        <v>64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</row>
    <row r="222" spans="1:9">
      <c r="A222" t="s">
        <v>384</v>
      </c>
      <c r="B222" t="s">
        <v>42</v>
      </c>
      <c r="C222">
        <v>0</v>
      </c>
      <c r="D222">
        <v>0</v>
      </c>
      <c r="E222">
        <v>152687</v>
      </c>
      <c r="F222">
        <v>37222</v>
      </c>
      <c r="G222">
        <v>0</v>
      </c>
      <c r="H222">
        <v>0</v>
      </c>
      <c r="I222">
        <v>0</v>
      </c>
    </row>
    <row r="223" spans="1:9">
      <c r="A223" t="s">
        <v>384</v>
      </c>
      <c r="B223" t="s">
        <v>43</v>
      </c>
      <c r="C223">
        <v>0</v>
      </c>
      <c r="D223">
        <v>0</v>
      </c>
      <c r="E223">
        <v>143067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385</v>
      </c>
      <c r="B224" t="s">
        <v>38</v>
      </c>
      <c r="C224">
        <v>89900</v>
      </c>
      <c r="D224">
        <v>500</v>
      </c>
      <c r="E224">
        <v>9487520</v>
      </c>
      <c r="F224">
        <v>40866</v>
      </c>
      <c r="G224">
        <v>47600</v>
      </c>
      <c r="H224">
        <v>0</v>
      </c>
      <c r="I224">
        <v>0</v>
      </c>
    </row>
    <row r="225" spans="1:9">
      <c r="A225" t="s">
        <v>385</v>
      </c>
      <c r="B225" t="s">
        <v>39</v>
      </c>
      <c r="C225">
        <v>15</v>
      </c>
      <c r="D225">
        <v>6396</v>
      </c>
      <c r="E225">
        <v>5034</v>
      </c>
      <c r="F225">
        <v>39992</v>
      </c>
      <c r="G225">
        <v>0</v>
      </c>
      <c r="H225">
        <v>2343</v>
      </c>
      <c r="I225">
        <v>9</v>
      </c>
    </row>
    <row r="226" spans="1:9">
      <c r="A226" t="s">
        <v>385</v>
      </c>
      <c r="B226" t="s">
        <v>40</v>
      </c>
      <c r="C226">
        <v>0</v>
      </c>
      <c r="D226">
        <v>0</v>
      </c>
      <c r="E226">
        <v>0</v>
      </c>
      <c r="F226">
        <v>170</v>
      </c>
      <c r="G226">
        <v>0</v>
      </c>
      <c r="H226">
        <v>0</v>
      </c>
      <c r="I226">
        <v>0</v>
      </c>
    </row>
    <row r="227" spans="1:9">
      <c r="A227" t="s">
        <v>385</v>
      </c>
      <c r="B227" t="s">
        <v>41</v>
      </c>
      <c r="C227">
        <v>266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385</v>
      </c>
      <c r="B228" t="s">
        <v>42</v>
      </c>
      <c r="C228">
        <v>0</v>
      </c>
      <c r="D228">
        <v>0</v>
      </c>
      <c r="E228">
        <v>269239</v>
      </c>
      <c r="F228">
        <v>65635</v>
      </c>
      <c r="G228">
        <v>0</v>
      </c>
      <c r="H228">
        <v>0</v>
      </c>
      <c r="I228">
        <v>0</v>
      </c>
    </row>
    <row r="229" spans="1:9">
      <c r="A229" t="s">
        <v>385</v>
      </c>
      <c r="B229" t="s">
        <v>43</v>
      </c>
      <c r="C229">
        <v>0</v>
      </c>
      <c r="D229">
        <v>0</v>
      </c>
      <c r="E229">
        <v>342114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386</v>
      </c>
      <c r="B230" t="s">
        <v>38</v>
      </c>
      <c r="C230">
        <v>8300</v>
      </c>
      <c r="D230">
        <v>0</v>
      </c>
      <c r="E230">
        <v>754429</v>
      </c>
      <c r="F230">
        <v>2189</v>
      </c>
      <c r="G230">
        <v>6000</v>
      </c>
      <c r="H230">
        <v>0</v>
      </c>
      <c r="I230">
        <v>0</v>
      </c>
    </row>
    <row r="231" spans="1:9">
      <c r="A231" t="s">
        <v>386</v>
      </c>
      <c r="B231" t="s">
        <v>39</v>
      </c>
      <c r="C231">
        <v>1</v>
      </c>
      <c r="D231">
        <v>261</v>
      </c>
      <c r="E231">
        <v>206</v>
      </c>
      <c r="F231">
        <v>1633</v>
      </c>
      <c r="G231">
        <v>0</v>
      </c>
      <c r="H231">
        <v>96</v>
      </c>
      <c r="I231">
        <v>0</v>
      </c>
    </row>
    <row r="232" spans="1:9">
      <c r="A232" t="s">
        <v>386</v>
      </c>
      <c r="B232" t="s">
        <v>40</v>
      </c>
      <c r="C232">
        <v>0</v>
      </c>
      <c r="D232">
        <v>0</v>
      </c>
      <c r="E232">
        <v>0</v>
      </c>
      <c r="F232">
        <v>24</v>
      </c>
      <c r="G232">
        <v>0</v>
      </c>
      <c r="H232">
        <v>0</v>
      </c>
      <c r="I232">
        <v>0</v>
      </c>
    </row>
    <row r="233" spans="1:9">
      <c r="A233" t="s">
        <v>386</v>
      </c>
      <c r="B233" t="s">
        <v>41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386</v>
      </c>
      <c r="B234" t="s">
        <v>42</v>
      </c>
      <c r="C234">
        <v>0</v>
      </c>
      <c r="D234">
        <v>0</v>
      </c>
      <c r="E234">
        <v>35150</v>
      </c>
      <c r="F234">
        <v>8569</v>
      </c>
      <c r="G234">
        <v>0</v>
      </c>
      <c r="H234">
        <v>0</v>
      </c>
      <c r="I234">
        <v>0</v>
      </c>
    </row>
    <row r="235" spans="1:9">
      <c r="A235" t="s">
        <v>386</v>
      </c>
      <c r="B235" t="s">
        <v>43</v>
      </c>
      <c r="C235">
        <v>0</v>
      </c>
      <c r="D235">
        <v>0</v>
      </c>
      <c r="E235">
        <v>25375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387</v>
      </c>
      <c r="B236" t="s">
        <v>38</v>
      </c>
      <c r="C236">
        <v>26800</v>
      </c>
      <c r="D236">
        <v>100</v>
      </c>
      <c r="E236">
        <v>4605030</v>
      </c>
      <c r="F236">
        <v>24660</v>
      </c>
      <c r="G236">
        <v>11100</v>
      </c>
      <c r="H236">
        <v>100</v>
      </c>
      <c r="I236">
        <v>0</v>
      </c>
    </row>
    <row r="237" spans="1:9">
      <c r="A237" t="s">
        <v>387</v>
      </c>
      <c r="B237" t="s">
        <v>39</v>
      </c>
      <c r="C237">
        <v>4</v>
      </c>
      <c r="D237">
        <v>1709</v>
      </c>
      <c r="E237">
        <v>1345</v>
      </c>
      <c r="F237">
        <v>10686</v>
      </c>
      <c r="G237">
        <v>0</v>
      </c>
      <c r="H237">
        <v>626</v>
      </c>
      <c r="I237">
        <v>2</v>
      </c>
    </row>
    <row r="238" spans="1:9">
      <c r="A238" t="s">
        <v>387</v>
      </c>
      <c r="B238" t="s">
        <v>40</v>
      </c>
      <c r="C238">
        <v>0</v>
      </c>
      <c r="D238">
        <v>0</v>
      </c>
      <c r="E238">
        <v>0</v>
      </c>
      <c r="F238">
        <v>43</v>
      </c>
      <c r="G238">
        <v>0</v>
      </c>
      <c r="H238">
        <v>0</v>
      </c>
      <c r="I238">
        <v>0</v>
      </c>
    </row>
    <row r="239" spans="1:9">
      <c r="A239" t="s">
        <v>387</v>
      </c>
      <c r="B239" t="s">
        <v>41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387</v>
      </c>
      <c r="B240" t="s">
        <v>42</v>
      </c>
      <c r="C240">
        <v>0</v>
      </c>
      <c r="D240">
        <v>0</v>
      </c>
      <c r="E240">
        <v>408979</v>
      </c>
      <c r="F240">
        <v>99701</v>
      </c>
      <c r="G240">
        <v>0</v>
      </c>
      <c r="H240">
        <v>0</v>
      </c>
      <c r="I240">
        <v>0</v>
      </c>
    </row>
    <row r="241" spans="1:9">
      <c r="A241" t="s">
        <v>387</v>
      </c>
      <c r="B241" t="s">
        <v>43</v>
      </c>
      <c r="C241">
        <v>0</v>
      </c>
      <c r="D241">
        <v>0</v>
      </c>
      <c r="E241">
        <v>125526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388</v>
      </c>
      <c r="B242" t="s">
        <v>38</v>
      </c>
      <c r="C242">
        <v>2300</v>
      </c>
      <c r="D242">
        <v>0</v>
      </c>
      <c r="E242">
        <v>1143730</v>
      </c>
      <c r="F242">
        <v>12185</v>
      </c>
      <c r="G242">
        <v>1700</v>
      </c>
      <c r="H242">
        <v>0</v>
      </c>
      <c r="I242">
        <v>0</v>
      </c>
    </row>
    <row r="243" spans="1:9">
      <c r="A243" t="s">
        <v>388</v>
      </c>
      <c r="B243" t="s">
        <v>39</v>
      </c>
      <c r="C243">
        <v>6</v>
      </c>
      <c r="D243">
        <v>2747</v>
      </c>
      <c r="E243">
        <v>2162</v>
      </c>
      <c r="F243">
        <v>17178</v>
      </c>
      <c r="G243">
        <v>0</v>
      </c>
      <c r="H243">
        <v>1006</v>
      </c>
      <c r="I243">
        <v>4</v>
      </c>
    </row>
    <row r="244" spans="1:9">
      <c r="A244" t="s">
        <v>388</v>
      </c>
      <c r="B244" t="s">
        <v>40</v>
      </c>
      <c r="C244">
        <v>0</v>
      </c>
      <c r="D244">
        <v>0</v>
      </c>
      <c r="E244">
        <v>0</v>
      </c>
      <c r="F244">
        <v>24</v>
      </c>
      <c r="G244">
        <v>0</v>
      </c>
      <c r="H244">
        <v>0</v>
      </c>
      <c r="I244">
        <v>0</v>
      </c>
    </row>
    <row r="245" spans="1:9">
      <c r="A245" t="s">
        <v>388</v>
      </c>
      <c r="B245" t="s">
        <v>41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388</v>
      </c>
      <c r="B246" t="s">
        <v>42</v>
      </c>
      <c r="C246">
        <v>0</v>
      </c>
      <c r="D246">
        <v>0</v>
      </c>
      <c r="E246">
        <v>49171</v>
      </c>
      <c r="F246">
        <v>11987</v>
      </c>
      <c r="G246">
        <v>0</v>
      </c>
      <c r="H246">
        <v>0</v>
      </c>
      <c r="I246">
        <v>0</v>
      </c>
    </row>
    <row r="247" spans="1:9">
      <c r="A247" t="s">
        <v>388</v>
      </c>
      <c r="B247" t="s">
        <v>43</v>
      </c>
      <c r="C247">
        <v>0</v>
      </c>
      <c r="D247">
        <v>0</v>
      </c>
      <c r="E247">
        <v>147254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1962</v>
      </c>
      <c r="B248" t="s">
        <v>38</v>
      </c>
      <c r="C248">
        <v>878899</v>
      </c>
      <c r="D248">
        <v>97967</v>
      </c>
      <c r="E248">
        <v>254657419</v>
      </c>
      <c r="F248">
        <v>1084721</v>
      </c>
      <c r="G248">
        <v>608975</v>
      </c>
      <c r="H248">
        <v>82015</v>
      </c>
      <c r="I248">
        <v>7638</v>
      </c>
    </row>
    <row r="249" spans="1:9">
      <c r="A249" t="s">
        <v>1962</v>
      </c>
      <c r="B249" t="s">
        <v>39</v>
      </c>
      <c r="C249">
        <v>300</v>
      </c>
      <c r="D249">
        <v>142619</v>
      </c>
      <c r="E249">
        <v>100403</v>
      </c>
      <c r="F249">
        <v>760040</v>
      </c>
      <c r="G249">
        <v>0</v>
      </c>
      <c r="H249">
        <v>7242</v>
      </c>
      <c r="I249">
        <v>86</v>
      </c>
    </row>
    <row r="250" spans="1:9">
      <c r="A250" t="s">
        <v>1962</v>
      </c>
      <c r="B250" t="s">
        <v>40</v>
      </c>
      <c r="C250">
        <v>0</v>
      </c>
      <c r="D250">
        <v>0</v>
      </c>
      <c r="E250">
        <v>0</v>
      </c>
      <c r="F250">
        <v>4143</v>
      </c>
      <c r="G250">
        <v>0</v>
      </c>
      <c r="H250">
        <v>0</v>
      </c>
      <c r="I250">
        <v>0</v>
      </c>
    </row>
    <row r="251" spans="1:9">
      <c r="A251" t="s">
        <v>1962</v>
      </c>
      <c r="B251" t="s">
        <v>41</v>
      </c>
      <c r="C251">
        <v>2564</v>
      </c>
      <c r="D251">
        <v>0</v>
      </c>
      <c r="E251">
        <v>0</v>
      </c>
      <c r="F251">
        <v>173</v>
      </c>
      <c r="G251">
        <v>0</v>
      </c>
      <c r="H251">
        <v>0</v>
      </c>
      <c r="I251">
        <v>0</v>
      </c>
    </row>
    <row r="252" spans="1:9">
      <c r="A252" t="s">
        <v>1962</v>
      </c>
      <c r="B252" t="s">
        <v>42</v>
      </c>
      <c r="C252">
        <v>0</v>
      </c>
      <c r="D252">
        <v>0</v>
      </c>
      <c r="E252">
        <v>10280629</v>
      </c>
      <c r="F252">
        <v>2424371</v>
      </c>
      <c r="G252">
        <v>0</v>
      </c>
      <c r="H252">
        <v>0</v>
      </c>
      <c r="I252">
        <v>0</v>
      </c>
    </row>
    <row r="253" spans="1:9">
      <c r="A253" t="s">
        <v>1962</v>
      </c>
      <c r="B253" t="s">
        <v>43</v>
      </c>
      <c r="C253">
        <v>0</v>
      </c>
      <c r="D253">
        <v>0</v>
      </c>
      <c r="E253">
        <v>8347435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389</v>
      </c>
      <c r="B254" t="s">
        <v>38</v>
      </c>
      <c r="C254">
        <v>42600</v>
      </c>
      <c r="D254">
        <v>100</v>
      </c>
      <c r="E254">
        <v>6482770</v>
      </c>
      <c r="F254">
        <v>33772</v>
      </c>
      <c r="G254">
        <v>12800</v>
      </c>
      <c r="H254">
        <v>100</v>
      </c>
      <c r="I254">
        <v>0</v>
      </c>
    </row>
    <row r="255" spans="1:9">
      <c r="A255" t="s">
        <v>389</v>
      </c>
      <c r="B255" t="s">
        <v>39</v>
      </c>
      <c r="C255">
        <v>6</v>
      </c>
      <c r="D255">
        <v>2600</v>
      </c>
      <c r="E255">
        <v>2046</v>
      </c>
      <c r="F255">
        <v>16256</v>
      </c>
      <c r="G255">
        <v>0</v>
      </c>
      <c r="H255">
        <v>952</v>
      </c>
      <c r="I255">
        <v>4</v>
      </c>
    </row>
    <row r="256" spans="1:9">
      <c r="A256" t="s">
        <v>389</v>
      </c>
      <c r="B256" t="s">
        <v>40</v>
      </c>
      <c r="C256">
        <v>0</v>
      </c>
      <c r="D256">
        <v>0</v>
      </c>
      <c r="E256">
        <v>0</v>
      </c>
      <c r="F256">
        <v>99</v>
      </c>
      <c r="G256">
        <v>0</v>
      </c>
      <c r="H256">
        <v>0</v>
      </c>
      <c r="I256">
        <v>0</v>
      </c>
    </row>
    <row r="257" spans="1:9">
      <c r="A257" t="s">
        <v>389</v>
      </c>
      <c r="B257" t="s">
        <v>41</v>
      </c>
      <c r="C257">
        <v>2</v>
      </c>
      <c r="D257">
        <v>0</v>
      </c>
      <c r="E257">
        <v>0</v>
      </c>
      <c r="F257">
        <v>3</v>
      </c>
      <c r="G257">
        <v>0</v>
      </c>
      <c r="H257">
        <v>0</v>
      </c>
      <c r="I257">
        <v>0</v>
      </c>
    </row>
    <row r="258" spans="1:9">
      <c r="A258" t="s">
        <v>389</v>
      </c>
      <c r="B258" t="s">
        <v>42</v>
      </c>
      <c r="C258">
        <v>0</v>
      </c>
      <c r="D258">
        <v>0</v>
      </c>
      <c r="E258">
        <v>238317</v>
      </c>
      <c r="F258">
        <v>58097</v>
      </c>
      <c r="G258">
        <v>0</v>
      </c>
      <c r="H258">
        <v>0</v>
      </c>
      <c r="I258">
        <v>0</v>
      </c>
    </row>
    <row r="259" spans="1:9">
      <c r="A259" t="s">
        <v>389</v>
      </c>
      <c r="B259" t="s">
        <v>43</v>
      </c>
      <c r="C259">
        <v>0</v>
      </c>
      <c r="D259">
        <v>0</v>
      </c>
      <c r="E259">
        <v>204353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390</v>
      </c>
      <c r="B260" t="s">
        <v>38</v>
      </c>
      <c r="C260">
        <v>294700</v>
      </c>
      <c r="D260">
        <v>1300</v>
      </c>
      <c r="E260">
        <v>21379600</v>
      </c>
      <c r="F260">
        <v>193629</v>
      </c>
      <c r="G260">
        <v>64700</v>
      </c>
      <c r="H260">
        <v>1200</v>
      </c>
      <c r="I260">
        <v>0</v>
      </c>
    </row>
    <row r="261" spans="1:9">
      <c r="A261" t="s">
        <v>390</v>
      </c>
      <c r="B261" t="s">
        <v>39</v>
      </c>
      <c r="C261">
        <v>18</v>
      </c>
      <c r="D261">
        <v>7739</v>
      </c>
      <c r="E261">
        <v>6091</v>
      </c>
      <c r="F261">
        <v>48391</v>
      </c>
      <c r="G261">
        <v>0</v>
      </c>
      <c r="H261">
        <v>2835</v>
      </c>
      <c r="I261">
        <v>10</v>
      </c>
    </row>
    <row r="262" spans="1:9">
      <c r="A262" t="s">
        <v>390</v>
      </c>
      <c r="B262" t="s">
        <v>40</v>
      </c>
      <c r="C262">
        <v>0</v>
      </c>
      <c r="D262">
        <v>0</v>
      </c>
      <c r="E262">
        <v>0</v>
      </c>
      <c r="F262">
        <v>686</v>
      </c>
      <c r="G262">
        <v>0</v>
      </c>
      <c r="H262">
        <v>0</v>
      </c>
      <c r="I262">
        <v>0</v>
      </c>
    </row>
    <row r="263" spans="1:9">
      <c r="A263" t="s">
        <v>390</v>
      </c>
      <c r="B263" t="s">
        <v>41</v>
      </c>
      <c r="C263">
        <v>84</v>
      </c>
      <c r="D263">
        <v>0</v>
      </c>
      <c r="E263">
        <v>0</v>
      </c>
      <c r="F263">
        <v>15</v>
      </c>
      <c r="G263">
        <v>0</v>
      </c>
      <c r="H263">
        <v>0</v>
      </c>
      <c r="I263">
        <v>0</v>
      </c>
    </row>
    <row r="264" spans="1:9">
      <c r="A264" t="s">
        <v>390</v>
      </c>
      <c r="B264" t="s">
        <v>42</v>
      </c>
      <c r="C264">
        <v>0</v>
      </c>
      <c r="D264">
        <v>0</v>
      </c>
      <c r="E264">
        <v>524412</v>
      </c>
      <c r="F264">
        <v>127841</v>
      </c>
      <c r="G264">
        <v>0</v>
      </c>
      <c r="H264">
        <v>0</v>
      </c>
      <c r="I264">
        <v>0</v>
      </c>
    </row>
    <row r="265" spans="1:9">
      <c r="A265" t="s">
        <v>390</v>
      </c>
      <c r="B265" t="s">
        <v>43</v>
      </c>
      <c r="C265">
        <v>0</v>
      </c>
      <c r="D265">
        <v>0</v>
      </c>
      <c r="E265">
        <v>326186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1963</v>
      </c>
      <c r="B266" t="s">
        <v>38</v>
      </c>
      <c r="C266">
        <v>878899</v>
      </c>
      <c r="D266">
        <v>97967</v>
      </c>
      <c r="E266">
        <v>254657419</v>
      </c>
      <c r="F266">
        <v>1084721</v>
      </c>
      <c r="G266">
        <v>608975</v>
      </c>
      <c r="H266">
        <v>82015</v>
      </c>
      <c r="I266">
        <v>7638</v>
      </c>
    </row>
    <row r="267" spans="1:9">
      <c r="A267" t="s">
        <v>1963</v>
      </c>
      <c r="B267" t="s">
        <v>39</v>
      </c>
      <c r="C267">
        <v>300</v>
      </c>
      <c r="D267">
        <v>142619</v>
      </c>
      <c r="E267">
        <v>100403</v>
      </c>
      <c r="F267">
        <v>760040</v>
      </c>
      <c r="G267">
        <v>0</v>
      </c>
      <c r="H267">
        <v>7242</v>
      </c>
      <c r="I267">
        <v>86</v>
      </c>
    </row>
    <row r="268" spans="1:9">
      <c r="A268" t="s">
        <v>1963</v>
      </c>
      <c r="B268" t="s">
        <v>40</v>
      </c>
      <c r="C268">
        <v>0</v>
      </c>
      <c r="D268">
        <v>0</v>
      </c>
      <c r="E268">
        <v>0</v>
      </c>
      <c r="F268">
        <v>4143</v>
      </c>
      <c r="G268">
        <v>0</v>
      </c>
      <c r="H268">
        <v>0</v>
      </c>
      <c r="I268">
        <v>0</v>
      </c>
    </row>
    <row r="269" spans="1:9">
      <c r="A269" t="s">
        <v>1963</v>
      </c>
      <c r="B269" t="s">
        <v>41</v>
      </c>
      <c r="C269">
        <v>2564</v>
      </c>
      <c r="D269">
        <v>0</v>
      </c>
      <c r="E269">
        <v>0</v>
      </c>
      <c r="F269">
        <v>173</v>
      </c>
      <c r="G269">
        <v>0</v>
      </c>
      <c r="H269">
        <v>0</v>
      </c>
      <c r="I269">
        <v>0</v>
      </c>
    </row>
    <row r="270" spans="1:9">
      <c r="A270" t="s">
        <v>1963</v>
      </c>
      <c r="B270" t="s">
        <v>42</v>
      </c>
      <c r="C270">
        <v>0</v>
      </c>
      <c r="D270">
        <v>0</v>
      </c>
      <c r="E270">
        <v>10280629</v>
      </c>
      <c r="F270">
        <v>2424371</v>
      </c>
      <c r="G270">
        <v>0</v>
      </c>
      <c r="H270">
        <v>0</v>
      </c>
      <c r="I270">
        <v>0</v>
      </c>
    </row>
    <row r="271" spans="1:9">
      <c r="A271" t="s">
        <v>1963</v>
      </c>
      <c r="B271" t="s">
        <v>43</v>
      </c>
      <c r="C271">
        <v>0</v>
      </c>
      <c r="D271">
        <v>0</v>
      </c>
      <c r="E271">
        <v>8347435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395</v>
      </c>
      <c r="B272" t="s">
        <v>38</v>
      </c>
      <c r="C272">
        <v>52200</v>
      </c>
      <c r="D272">
        <v>2000</v>
      </c>
      <c r="E272">
        <v>2677560</v>
      </c>
      <c r="F272">
        <v>36204</v>
      </c>
      <c r="G272">
        <v>15500</v>
      </c>
      <c r="H272">
        <v>500</v>
      </c>
      <c r="I272">
        <v>0</v>
      </c>
    </row>
    <row r="273" spans="1:9">
      <c r="A273" t="s">
        <v>395</v>
      </c>
      <c r="B273" t="s">
        <v>39</v>
      </c>
      <c r="C273">
        <v>2</v>
      </c>
      <c r="D273">
        <v>954</v>
      </c>
      <c r="E273">
        <v>751</v>
      </c>
      <c r="F273">
        <v>5967</v>
      </c>
      <c r="G273">
        <v>0</v>
      </c>
      <c r="H273">
        <v>350</v>
      </c>
      <c r="I273">
        <v>1</v>
      </c>
    </row>
    <row r="274" spans="1:9">
      <c r="A274" t="s">
        <v>395</v>
      </c>
      <c r="B274" t="s">
        <v>40</v>
      </c>
      <c r="C274">
        <v>0</v>
      </c>
      <c r="D274">
        <v>0</v>
      </c>
      <c r="E274">
        <v>0</v>
      </c>
      <c r="F274">
        <v>99</v>
      </c>
      <c r="G274">
        <v>0</v>
      </c>
      <c r="H274">
        <v>0</v>
      </c>
      <c r="I274">
        <v>0</v>
      </c>
    </row>
    <row r="275" spans="1:9">
      <c r="A275" t="s">
        <v>395</v>
      </c>
      <c r="B275" t="s">
        <v>41</v>
      </c>
      <c r="C275">
        <v>33</v>
      </c>
      <c r="D275">
        <v>0</v>
      </c>
      <c r="E275">
        <v>0</v>
      </c>
      <c r="F275">
        <v>5</v>
      </c>
      <c r="G275">
        <v>0</v>
      </c>
      <c r="H275">
        <v>0</v>
      </c>
      <c r="I275">
        <v>0</v>
      </c>
    </row>
    <row r="276" spans="1:9">
      <c r="A276" t="s">
        <v>395</v>
      </c>
      <c r="B276" t="s">
        <v>42</v>
      </c>
      <c r="C276">
        <v>0</v>
      </c>
      <c r="D276">
        <v>0</v>
      </c>
      <c r="E276">
        <v>60420</v>
      </c>
      <c r="F276">
        <v>14729</v>
      </c>
      <c r="G276">
        <v>0</v>
      </c>
      <c r="H276">
        <v>0</v>
      </c>
      <c r="I276">
        <v>0</v>
      </c>
    </row>
    <row r="277" spans="1:9">
      <c r="A277" t="s">
        <v>395</v>
      </c>
      <c r="B277" t="s">
        <v>43</v>
      </c>
      <c r="C277">
        <v>0</v>
      </c>
      <c r="D277">
        <v>0</v>
      </c>
      <c r="E277">
        <v>256780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396</v>
      </c>
      <c r="B278" t="s">
        <v>38</v>
      </c>
      <c r="C278">
        <v>107400</v>
      </c>
      <c r="D278">
        <v>300</v>
      </c>
      <c r="E278">
        <v>7192280</v>
      </c>
      <c r="F278">
        <v>30645</v>
      </c>
      <c r="G278">
        <v>32100</v>
      </c>
      <c r="H278">
        <v>0</v>
      </c>
      <c r="I278">
        <v>0</v>
      </c>
    </row>
    <row r="279" spans="1:9">
      <c r="A279" t="s">
        <v>396</v>
      </c>
      <c r="B279" t="s">
        <v>39</v>
      </c>
      <c r="C279">
        <v>10</v>
      </c>
      <c r="D279">
        <v>4350</v>
      </c>
      <c r="E279">
        <v>3423</v>
      </c>
      <c r="F279">
        <v>27197</v>
      </c>
      <c r="G279">
        <v>0</v>
      </c>
      <c r="H279">
        <v>1593</v>
      </c>
      <c r="I279">
        <v>6</v>
      </c>
    </row>
    <row r="280" spans="1:9">
      <c r="A280" t="s">
        <v>396</v>
      </c>
      <c r="B280" t="s">
        <v>40</v>
      </c>
      <c r="C280">
        <v>0</v>
      </c>
      <c r="D280">
        <v>0</v>
      </c>
      <c r="E280">
        <v>0</v>
      </c>
      <c r="F280">
        <v>215</v>
      </c>
      <c r="G280">
        <v>0</v>
      </c>
      <c r="H280">
        <v>0</v>
      </c>
      <c r="I280">
        <v>0</v>
      </c>
    </row>
    <row r="281" spans="1:9">
      <c r="A281" t="s">
        <v>396</v>
      </c>
      <c r="B281" t="s">
        <v>41</v>
      </c>
      <c r="C281">
        <v>17</v>
      </c>
      <c r="D281">
        <v>0</v>
      </c>
      <c r="E281">
        <v>0</v>
      </c>
      <c r="F281">
        <v>15</v>
      </c>
      <c r="G281">
        <v>0</v>
      </c>
      <c r="H281">
        <v>0</v>
      </c>
      <c r="I281">
        <v>0</v>
      </c>
    </row>
    <row r="282" spans="1:9">
      <c r="A282" t="s">
        <v>396</v>
      </c>
      <c r="B282" t="s">
        <v>42</v>
      </c>
      <c r="C282">
        <v>0</v>
      </c>
      <c r="D282">
        <v>0</v>
      </c>
      <c r="E282">
        <v>216116</v>
      </c>
      <c r="F282">
        <v>52685</v>
      </c>
      <c r="G282">
        <v>0</v>
      </c>
      <c r="H282">
        <v>0</v>
      </c>
      <c r="I282">
        <v>0</v>
      </c>
    </row>
    <row r="283" spans="1:9">
      <c r="A283" t="s">
        <v>396</v>
      </c>
      <c r="B283" t="s">
        <v>43</v>
      </c>
      <c r="C283">
        <v>0</v>
      </c>
      <c r="D283">
        <v>0</v>
      </c>
      <c r="E283">
        <v>190615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397</v>
      </c>
      <c r="B284" t="s">
        <v>38</v>
      </c>
      <c r="C284">
        <v>10200</v>
      </c>
      <c r="D284">
        <v>0</v>
      </c>
      <c r="E284">
        <v>579315</v>
      </c>
      <c r="F284">
        <v>3329</v>
      </c>
      <c r="G284">
        <v>6900</v>
      </c>
      <c r="H284">
        <v>0</v>
      </c>
      <c r="I284">
        <v>0</v>
      </c>
    </row>
    <row r="285" spans="1:9">
      <c r="A285" t="s">
        <v>397</v>
      </c>
      <c r="B285" t="s">
        <v>39</v>
      </c>
      <c r="C285">
        <v>1</v>
      </c>
      <c r="D285">
        <v>257</v>
      </c>
      <c r="E285">
        <v>202</v>
      </c>
      <c r="F285">
        <v>1607</v>
      </c>
      <c r="G285">
        <v>0</v>
      </c>
      <c r="H285">
        <v>94</v>
      </c>
      <c r="I285">
        <v>0</v>
      </c>
    </row>
    <row r="286" spans="1:9">
      <c r="A286" t="s">
        <v>397</v>
      </c>
      <c r="B286" t="s">
        <v>40</v>
      </c>
      <c r="C286">
        <v>0</v>
      </c>
      <c r="D286">
        <v>0</v>
      </c>
      <c r="E286">
        <v>0</v>
      </c>
      <c r="F286">
        <v>24</v>
      </c>
      <c r="G286">
        <v>0</v>
      </c>
      <c r="H286">
        <v>0</v>
      </c>
      <c r="I286">
        <v>0</v>
      </c>
    </row>
    <row r="287" spans="1:9">
      <c r="A287" t="s">
        <v>397</v>
      </c>
      <c r="B287" t="s">
        <v>41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397</v>
      </c>
      <c r="B288" t="s">
        <v>42</v>
      </c>
      <c r="C288">
        <v>0</v>
      </c>
      <c r="D288">
        <v>0</v>
      </c>
      <c r="E288">
        <v>27839</v>
      </c>
      <c r="F288">
        <v>6787</v>
      </c>
      <c r="G288">
        <v>0</v>
      </c>
      <c r="H288">
        <v>0</v>
      </c>
      <c r="I288">
        <v>0</v>
      </c>
    </row>
    <row r="289" spans="1:9">
      <c r="A289" t="s">
        <v>397</v>
      </c>
      <c r="B289" t="s">
        <v>43</v>
      </c>
      <c r="C289">
        <v>0</v>
      </c>
      <c r="D289">
        <v>0</v>
      </c>
      <c r="E289">
        <v>31427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398</v>
      </c>
      <c r="B290" t="s">
        <v>38</v>
      </c>
      <c r="C290">
        <v>191400</v>
      </c>
      <c r="D290">
        <v>100</v>
      </c>
      <c r="E290">
        <v>6618340</v>
      </c>
      <c r="F290">
        <v>53781</v>
      </c>
      <c r="G290">
        <v>48500</v>
      </c>
      <c r="H290">
        <v>100</v>
      </c>
      <c r="I290">
        <v>0</v>
      </c>
    </row>
    <row r="291" spans="1:9">
      <c r="A291" t="s">
        <v>398</v>
      </c>
      <c r="B291" t="s">
        <v>39</v>
      </c>
      <c r="C291">
        <v>7</v>
      </c>
      <c r="D291">
        <v>2884</v>
      </c>
      <c r="E291">
        <v>2270</v>
      </c>
      <c r="F291">
        <v>18033</v>
      </c>
      <c r="G291">
        <v>0</v>
      </c>
      <c r="H291">
        <v>1057</v>
      </c>
      <c r="I291">
        <v>4</v>
      </c>
    </row>
    <row r="292" spans="1:9">
      <c r="A292" t="s">
        <v>398</v>
      </c>
      <c r="B292" t="s">
        <v>40</v>
      </c>
      <c r="C292">
        <v>0</v>
      </c>
      <c r="D292">
        <v>0</v>
      </c>
      <c r="E292">
        <v>0</v>
      </c>
      <c r="F292">
        <v>213</v>
      </c>
      <c r="G292">
        <v>0</v>
      </c>
      <c r="H292">
        <v>0</v>
      </c>
      <c r="I292">
        <v>0</v>
      </c>
    </row>
    <row r="293" spans="1:9">
      <c r="A293" t="s">
        <v>398</v>
      </c>
      <c r="B293" t="s">
        <v>41</v>
      </c>
      <c r="C293">
        <v>36</v>
      </c>
      <c r="D293">
        <v>0</v>
      </c>
      <c r="E293">
        <v>0</v>
      </c>
      <c r="F293">
        <v>2</v>
      </c>
      <c r="G293">
        <v>0</v>
      </c>
      <c r="H293">
        <v>0</v>
      </c>
      <c r="I293">
        <v>0</v>
      </c>
    </row>
    <row r="294" spans="1:9">
      <c r="A294" t="s">
        <v>398</v>
      </c>
      <c r="B294" t="s">
        <v>42</v>
      </c>
      <c r="C294">
        <v>0</v>
      </c>
      <c r="D294">
        <v>0</v>
      </c>
      <c r="E294">
        <v>212820</v>
      </c>
      <c r="F294">
        <v>51881</v>
      </c>
      <c r="G294">
        <v>0</v>
      </c>
      <c r="H294">
        <v>0</v>
      </c>
      <c r="I294">
        <v>0</v>
      </c>
    </row>
    <row r="295" spans="1:9">
      <c r="A295" t="s">
        <v>398</v>
      </c>
      <c r="B295" t="s">
        <v>43</v>
      </c>
      <c r="C295">
        <v>0</v>
      </c>
      <c r="D295">
        <v>0</v>
      </c>
      <c r="E295">
        <v>200298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399</v>
      </c>
      <c r="B296" t="s">
        <v>38</v>
      </c>
      <c r="C296">
        <v>32300</v>
      </c>
      <c r="D296">
        <v>300</v>
      </c>
      <c r="E296">
        <v>5152120</v>
      </c>
      <c r="F296">
        <v>31286</v>
      </c>
      <c r="G296">
        <v>15100</v>
      </c>
      <c r="H296">
        <v>0</v>
      </c>
      <c r="I296">
        <v>0</v>
      </c>
    </row>
    <row r="297" spans="1:9">
      <c r="A297" t="s">
        <v>399</v>
      </c>
      <c r="B297" t="s">
        <v>39</v>
      </c>
      <c r="C297">
        <v>3</v>
      </c>
      <c r="D297">
        <v>1372</v>
      </c>
      <c r="E297">
        <v>1080</v>
      </c>
      <c r="F297">
        <v>8577</v>
      </c>
      <c r="G297">
        <v>0</v>
      </c>
      <c r="H297">
        <v>503</v>
      </c>
      <c r="I297">
        <v>2</v>
      </c>
    </row>
    <row r="298" spans="1:9">
      <c r="A298" t="s">
        <v>399</v>
      </c>
      <c r="B298" t="s">
        <v>40</v>
      </c>
      <c r="C298">
        <v>0</v>
      </c>
      <c r="D298">
        <v>0</v>
      </c>
      <c r="E298">
        <v>0</v>
      </c>
      <c r="F298">
        <v>42</v>
      </c>
      <c r="G298">
        <v>0</v>
      </c>
      <c r="H298">
        <v>0</v>
      </c>
      <c r="I298">
        <v>0</v>
      </c>
    </row>
    <row r="299" spans="1:9">
      <c r="A299" t="s">
        <v>399</v>
      </c>
      <c r="B299" t="s">
        <v>41</v>
      </c>
      <c r="C299">
        <v>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399</v>
      </c>
      <c r="B300" t="s">
        <v>42</v>
      </c>
      <c r="C300">
        <v>0</v>
      </c>
      <c r="D300">
        <v>0</v>
      </c>
      <c r="E300">
        <v>545593</v>
      </c>
      <c r="F300">
        <v>133005</v>
      </c>
      <c r="G300">
        <v>0</v>
      </c>
      <c r="H300">
        <v>0</v>
      </c>
      <c r="I300">
        <v>0</v>
      </c>
    </row>
    <row r="301" spans="1:9">
      <c r="A301" t="s">
        <v>399</v>
      </c>
      <c r="B301" t="s">
        <v>43</v>
      </c>
      <c r="C301">
        <v>0</v>
      </c>
      <c r="D301">
        <v>0</v>
      </c>
      <c r="E301">
        <v>279308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400</v>
      </c>
      <c r="B302" t="s">
        <v>38</v>
      </c>
      <c r="C302">
        <v>3800</v>
      </c>
      <c r="D302">
        <v>100</v>
      </c>
      <c r="E302">
        <v>1332220</v>
      </c>
      <c r="F302">
        <v>10028</v>
      </c>
      <c r="G302">
        <v>2200</v>
      </c>
      <c r="H302">
        <v>0</v>
      </c>
      <c r="I302">
        <v>0</v>
      </c>
    </row>
    <row r="303" spans="1:9">
      <c r="A303" t="s">
        <v>400</v>
      </c>
      <c r="B303" t="s">
        <v>39</v>
      </c>
      <c r="C303">
        <v>0</v>
      </c>
      <c r="D303">
        <v>19</v>
      </c>
      <c r="E303">
        <v>15</v>
      </c>
      <c r="F303">
        <v>119</v>
      </c>
      <c r="G303">
        <v>0</v>
      </c>
      <c r="H303">
        <v>7</v>
      </c>
      <c r="I303">
        <v>0</v>
      </c>
    </row>
    <row r="304" spans="1:9">
      <c r="A304" t="s">
        <v>400</v>
      </c>
      <c r="B304" t="s">
        <v>40</v>
      </c>
      <c r="C304">
        <v>0</v>
      </c>
      <c r="D304">
        <v>0</v>
      </c>
      <c r="E304">
        <v>0</v>
      </c>
      <c r="F304">
        <v>24</v>
      </c>
      <c r="G304">
        <v>0</v>
      </c>
      <c r="H304">
        <v>0</v>
      </c>
      <c r="I304">
        <v>0</v>
      </c>
    </row>
    <row r="305" spans="1:9">
      <c r="A305" t="s">
        <v>400</v>
      </c>
      <c r="B305" t="s">
        <v>41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400</v>
      </c>
      <c r="B306" t="s">
        <v>42</v>
      </c>
      <c r="C306">
        <v>0</v>
      </c>
      <c r="D306">
        <v>0</v>
      </c>
      <c r="E306">
        <v>57482</v>
      </c>
      <c r="F306">
        <v>14013</v>
      </c>
      <c r="G306">
        <v>0</v>
      </c>
      <c r="H306">
        <v>0</v>
      </c>
      <c r="I306">
        <v>0</v>
      </c>
    </row>
    <row r="307" spans="1:9">
      <c r="A307" t="s">
        <v>400</v>
      </c>
      <c r="B307" t="s">
        <v>43</v>
      </c>
      <c r="C307">
        <v>0</v>
      </c>
      <c r="D307">
        <v>0</v>
      </c>
      <c r="E307">
        <v>47662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401</v>
      </c>
      <c r="B308" t="s">
        <v>38</v>
      </c>
      <c r="C308">
        <v>1500</v>
      </c>
      <c r="D308">
        <v>0</v>
      </c>
      <c r="E308">
        <v>776343</v>
      </c>
      <c r="F308">
        <v>13077</v>
      </c>
      <c r="G308">
        <v>1000</v>
      </c>
      <c r="H308">
        <v>0</v>
      </c>
      <c r="I308">
        <v>0</v>
      </c>
    </row>
    <row r="309" spans="1:9">
      <c r="A309" t="s">
        <v>401</v>
      </c>
      <c r="B309" t="s">
        <v>39</v>
      </c>
      <c r="C309">
        <v>1</v>
      </c>
      <c r="D309">
        <v>232</v>
      </c>
      <c r="E309">
        <v>183</v>
      </c>
      <c r="F309">
        <v>1452</v>
      </c>
      <c r="G309">
        <v>0</v>
      </c>
      <c r="H309">
        <v>85</v>
      </c>
      <c r="I309">
        <v>0</v>
      </c>
    </row>
    <row r="310" spans="1:9">
      <c r="A310" t="s">
        <v>401</v>
      </c>
      <c r="B310" t="s">
        <v>40</v>
      </c>
      <c r="C310">
        <v>0</v>
      </c>
      <c r="D310">
        <v>0</v>
      </c>
      <c r="E310">
        <v>0</v>
      </c>
      <c r="F310">
        <v>24</v>
      </c>
      <c r="G310">
        <v>0</v>
      </c>
      <c r="H310">
        <v>0</v>
      </c>
      <c r="I310">
        <v>0</v>
      </c>
    </row>
    <row r="311" spans="1:9">
      <c r="A311" t="s">
        <v>401</v>
      </c>
      <c r="B311" t="s">
        <v>41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401</v>
      </c>
      <c r="B312" t="s">
        <v>42</v>
      </c>
      <c r="C312">
        <v>0</v>
      </c>
      <c r="D312">
        <v>0</v>
      </c>
      <c r="E312">
        <v>24572</v>
      </c>
      <c r="F312">
        <v>5990</v>
      </c>
      <c r="G312">
        <v>0</v>
      </c>
      <c r="H312">
        <v>0</v>
      </c>
      <c r="I312">
        <v>0</v>
      </c>
    </row>
    <row r="313" spans="1:9">
      <c r="A313" t="s">
        <v>401</v>
      </c>
      <c r="B313" t="s">
        <v>43</v>
      </c>
      <c r="C313">
        <v>0</v>
      </c>
      <c r="D313">
        <v>0</v>
      </c>
      <c r="E313">
        <v>28613</v>
      </c>
      <c r="F313">
        <v>0</v>
      </c>
      <c r="G313">
        <v>0</v>
      </c>
      <c r="H313">
        <v>0</v>
      </c>
      <c r="I3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D881-1A16-41A9-97A8-A83C78B7A1CB}">
  <dimension ref="A1:N329"/>
  <sheetViews>
    <sheetView topLeftCell="A137" workbookViewId="0">
      <selection activeCell="A262" sqref="A262"/>
    </sheetView>
  </sheetViews>
  <sheetFormatPr defaultRowHeight="14.25"/>
  <cols>
    <col min="1" max="1" width="16.19921875" bestFit="1" customWidth="1"/>
    <col min="14" max="14" width="10.59765625" bestFit="1" customWidth="1"/>
  </cols>
  <sheetData>
    <row r="1" spans="1:14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J1" s="211" t="s">
        <v>1964</v>
      </c>
      <c r="K1" s="211" t="s">
        <v>1965</v>
      </c>
      <c r="N1" s="78"/>
    </row>
    <row r="2" spans="1:14">
      <c r="A2" t="s">
        <v>132</v>
      </c>
      <c r="B2" t="s">
        <v>38</v>
      </c>
      <c r="C2">
        <v>138292</v>
      </c>
      <c r="D2">
        <v>25267</v>
      </c>
      <c r="E2">
        <v>12833715</v>
      </c>
      <c r="F2">
        <v>10968619</v>
      </c>
      <c r="G2">
        <v>493</v>
      </c>
      <c r="H2">
        <v>2238</v>
      </c>
      <c r="I2">
        <v>0</v>
      </c>
    </row>
    <row r="3" spans="1:14">
      <c r="A3" t="s">
        <v>132</v>
      </c>
      <c r="B3" t="s">
        <v>39</v>
      </c>
      <c r="C3">
        <v>2114</v>
      </c>
      <c r="D3">
        <v>57392</v>
      </c>
      <c r="E3">
        <v>38136</v>
      </c>
      <c r="F3">
        <v>5453223</v>
      </c>
      <c r="G3">
        <v>0</v>
      </c>
      <c r="H3">
        <v>3057</v>
      </c>
      <c r="I3">
        <v>0</v>
      </c>
      <c r="N3" s="34"/>
    </row>
    <row r="4" spans="1:14">
      <c r="A4" t="s">
        <v>132</v>
      </c>
      <c r="B4" t="s">
        <v>40</v>
      </c>
      <c r="C4">
        <v>0</v>
      </c>
      <c r="D4">
        <v>0</v>
      </c>
      <c r="E4">
        <v>0</v>
      </c>
      <c r="F4">
        <v>925</v>
      </c>
      <c r="G4">
        <v>0</v>
      </c>
      <c r="H4">
        <v>0</v>
      </c>
      <c r="I4">
        <v>0</v>
      </c>
    </row>
    <row r="5" spans="1:14">
      <c r="A5" t="s">
        <v>132</v>
      </c>
      <c r="B5" t="s">
        <v>41</v>
      </c>
      <c r="C5">
        <v>0</v>
      </c>
      <c r="D5">
        <v>0</v>
      </c>
      <c r="E5">
        <v>0</v>
      </c>
      <c r="F5">
        <v>24526</v>
      </c>
      <c r="G5">
        <v>0</v>
      </c>
      <c r="H5">
        <v>0</v>
      </c>
      <c r="I5">
        <v>0</v>
      </c>
    </row>
    <row r="6" spans="1:14">
      <c r="A6" t="s">
        <v>132</v>
      </c>
      <c r="B6" t="s">
        <v>42</v>
      </c>
      <c r="C6">
        <v>0</v>
      </c>
      <c r="D6">
        <v>0</v>
      </c>
      <c r="E6">
        <v>0</v>
      </c>
      <c r="F6">
        <v>164</v>
      </c>
      <c r="G6">
        <v>0</v>
      </c>
      <c r="H6">
        <v>0</v>
      </c>
      <c r="I6">
        <v>0</v>
      </c>
    </row>
    <row r="7" spans="1:14">
      <c r="A7" t="s">
        <v>132</v>
      </c>
      <c r="B7" t="s">
        <v>43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14">
      <c r="A8" t="s">
        <v>348</v>
      </c>
      <c r="B8" t="s">
        <v>38</v>
      </c>
      <c r="C8">
        <v>897</v>
      </c>
      <c r="D8">
        <v>164</v>
      </c>
      <c r="E8">
        <v>83198</v>
      </c>
      <c r="F8">
        <v>71107</v>
      </c>
      <c r="G8">
        <v>3</v>
      </c>
      <c r="H8">
        <v>15</v>
      </c>
      <c r="I8">
        <v>0</v>
      </c>
    </row>
    <row r="9" spans="1:14">
      <c r="A9" t="s">
        <v>348</v>
      </c>
      <c r="B9" t="s">
        <v>39</v>
      </c>
      <c r="C9">
        <v>50</v>
      </c>
      <c r="D9">
        <v>1371</v>
      </c>
      <c r="E9">
        <v>911</v>
      </c>
      <c r="F9">
        <v>130263</v>
      </c>
      <c r="G9">
        <v>0</v>
      </c>
      <c r="H9">
        <v>73</v>
      </c>
      <c r="I9">
        <v>0</v>
      </c>
    </row>
    <row r="10" spans="1:14">
      <c r="A10" t="s">
        <v>348</v>
      </c>
      <c r="B10" t="s">
        <v>40</v>
      </c>
      <c r="C10">
        <v>0</v>
      </c>
      <c r="D10">
        <v>0</v>
      </c>
      <c r="E10">
        <v>0</v>
      </c>
      <c r="F10">
        <v>4</v>
      </c>
      <c r="G10">
        <v>0</v>
      </c>
      <c r="H10">
        <v>0</v>
      </c>
      <c r="I10">
        <v>0</v>
      </c>
    </row>
    <row r="11" spans="1:14">
      <c r="A11" t="s">
        <v>348</v>
      </c>
      <c r="B11" t="s">
        <v>41</v>
      </c>
      <c r="C11">
        <v>0</v>
      </c>
      <c r="D11">
        <v>0</v>
      </c>
      <c r="E11">
        <v>0</v>
      </c>
      <c r="F11">
        <v>371</v>
      </c>
      <c r="G11">
        <v>0</v>
      </c>
      <c r="H11">
        <v>0</v>
      </c>
      <c r="I11">
        <v>0</v>
      </c>
    </row>
    <row r="12" spans="1:14">
      <c r="A12" t="s">
        <v>348</v>
      </c>
      <c r="B12" t="s">
        <v>42</v>
      </c>
      <c r="C12">
        <v>0</v>
      </c>
      <c r="D12">
        <v>0</v>
      </c>
      <c r="E12">
        <v>0</v>
      </c>
      <c r="F12">
        <v>4</v>
      </c>
      <c r="G12">
        <v>0</v>
      </c>
      <c r="H12">
        <v>0</v>
      </c>
      <c r="I12">
        <v>0</v>
      </c>
    </row>
    <row r="13" spans="1:14">
      <c r="A13" t="s">
        <v>348</v>
      </c>
      <c r="B13" t="s">
        <v>43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14">
      <c r="A14" t="s">
        <v>349</v>
      </c>
      <c r="B14" t="s">
        <v>38</v>
      </c>
      <c r="C14">
        <v>586</v>
      </c>
      <c r="D14">
        <v>107</v>
      </c>
      <c r="E14">
        <v>54379</v>
      </c>
      <c r="F14">
        <v>46476</v>
      </c>
      <c r="G14">
        <v>2</v>
      </c>
      <c r="H14">
        <v>9</v>
      </c>
      <c r="I14">
        <v>0</v>
      </c>
    </row>
    <row r="15" spans="1:14">
      <c r="A15" t="s">
        <v>349</v>
      </c>
      <c r="B15" t="s">
        <v>39</v>
      </c>
      <c r="C15">
        <v>33</v>
      </c>
      <c r="D15">
        <v>896</v>
      </c>
      <c r="E15">
        <v>595</v>
      </c>
      <c r="F15">
        <v>85140</v>
      </c>
      <c r="G15">
        <v>0</v>
      </c>
      <c r="H15">
        <v>48</v>
      </c>
      <c r="I15">
        <v>0</v>
      </c>
    </row>
    <row r="16" spans="1:14">
      <c r="A16" t="s">
        <v>349</v>
      </c>
      <c r="B16" t="s">
        <v>40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0</v>
      </c>
      <c r="D17">
        <v>0</v>
      </c>
      <c r="E17">
        <v>0</v>
      </c>
      <c r="F17">
        <v>270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1023</v>
      </c>
      <c r="D20">
        <v>187</v>
      </c>
      <c r="E20">
        <v>94912</v>
      </c>
      <c r="F20">
        <v>81119</v>
      </c>
      <c r="G20">
        <v>4</v>
      </c>
      <c r="H20">
        <v>17</v>
      </c>
      <c r="I20">
        <v>0</v>
      </c>
    </row>
    <row r="21" spans="1:9">
      <c r="A21" t="s">
        <v>350</v>
      </c>
      <c r="B21" t="s">
        <v>39</v>
      </c>
      <c r="C21">
        <v>58</v>
      </c>
      <c r="D21">
        <v>1564</v>
      </c>
      <c r="E21">
        <v>1039</v>
      </c>
      <c r="F21">
        <v>148603</v>
      </c>
      <c r="G21">
        <v>0</v>
      </c>
      <c r="H21">
        <v>83</v>
      </c>
      <c r="I21">
        <v>0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0</v>
      </c>
      <c r="D23">
        <v>0</v>
      </c>
      <c r="E23">
        <v>0</v>
      </c>
      <c r="F23">
        <v>190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4279</v>
      </c>
      <c r="D26">
        <v>782</v>
      </c>
      <c r="E26">
        <v>397094</v>
      </c>
      <c r="F26">
        <v>339385</v>
      </c>
      <c r="G26">
        <v>15</v>
      </c>
      <c r="H26">
        <v>69</v>
      </c>
      <c r="I26">
        <v>0</v>
      </c>
    </row>
    <row r="27" spans="1:9">
      <c r="A27" t="s">
        <v>351</v>
      </c>
      <c r="B27" t="s">
        <v>39</v>
      </c>
      <c r="C27">
        <v>241</v>
      </c>
      <c r="D27">
        <v>6543</v>
      </c>
      <c r="E27">
        <v>4348</v>
      </c>
      <c r="F27">
        <v>621728</v>
      </c>
      <c r="G27">
        <v>0</v>
      </c>
      <c r="H27">
        <v>349</v>
      </c>
      <c r="I27">
        <v>0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118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0</v>
      </c>
      <c r="D29">
        <v>0</v>
      </c>
      <c r="E29">
        <v>0</v>
      </c>
      <c r="F29">
        <v>3107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0</v>
      </c>
      <c r="F30">
        <v>14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933</v>
      </c>
      <c r="D32">
        <v>170</v>
      </c>
      <c r="E32">
        <v>86573</v>
      </c>
      <c r="F32">
        <v>73992</v>
      </c>
      <c r="G32">
        <v>3</v>
      </c>
      <c r="H32">
        <v>15</v>
      </c>
      <c r="I32">
        <v>0</v>
      </c>
    </row>
    <row r="33" spans="1:9">
      <c r="A33" t="s">
        <v>352</v>
      </c>
      <c r="B33" t="s">
        <v>39</v>
      </c>
      <c r="C33">
        <v>53</v>
      </c>
      <c r="D33">
        <v>1427</v>
      </c>
      <c r="E33">
        <v>948</v>
      </c>
      <c r="F33">
        <v>135547</v>
      </c>
      <c r="G33">
        <v>0</v>
      </c>
      <c r="H33">
        <v>76</v>
      </c>
      <c r="I33">
        <v>0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10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0</v>
      </c>
      <c r="D35">
        <v>0</v>
      </c>
      <c r="E35">
        <v>0</v>
      </c>
      <c r="F35">
        <v>290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422</v>
      </c>
      <c r="D38">
        <v>77</v>
      </c>
      <c r="E38">
        <v>39185</v>
      </c>
      <c r="F38">
        <v>33490</v>
      </c>
      <c r="G38">
        <v>2</v>
      </c>
      <c r="H38">
        <v>7</v>
      </c>
      <c r="I38">
        <v>0</v>
      </c>
    </row>
    <row r="39" spans="1:9">
      <c r="A39" t="s">
        <v>353</v>
      </c>
      <c r="B39" t="s">
        <v>39</v>
      </c>
      <c r="C39">
        <v>24</v>
      </c>
      <c r="D39">
        <v>646</v>
      </c>
      <c r="E39">
        <v>429</v>
      </c>
      <c r="F39">
        <v>61352</v>
      </c>
      <c r="G39">
        <v>0</v>
      </c>
      <c r="H39">
        <v>34</v>
      </c>
      <c r="I39">
        <v>0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7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13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148</v>
      </c>
      <c r="D44">
        <v>27</v>
      </c>
      <c r="E44">
        <v>13780</v>
      </c>
      <c r="F44">
        <v>11777</v>
      </c>
      <c r="G44">
        <v>1</v>
      </c>
      <c r="H44">
        <v>2</v>
      </c>
      <c r="I44">
        <v>0</v>
      </c>
    </row>
    <row r="45" spans="1:9">
      <c r="A45" t="s">
        <v>355</v>
      </c>
      <c r="B45" t="s">
        <v>39</v>
      </c>
      <c r="C45">
        <v>8</v>
      </c>
      <c r="D45">
        <v>227</v>
      </c>
      <c r="E45">
        <v>151</v>
      </c>
      <c r="F45">
        <v>21575</v>
      </c>
      <c r="G45">
        <v>0</v>
      </c>
      <c r="H45">
        <v>12</v>
      </c>
      <c r="I45">
        <v>0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20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2949</v>
      </c>
      <c r="D50">
        <v>539</v>
      </c>
      <c r="E50">
        <v>273662</v>
      </c>
      <c r="F50">
        <v>233891</v>
      </c>
      <c r="G50">
        <v>11</v>
      </c>
      <c r="H50">
        <v>48</v>
      </c>
      <c r="I50">
        <v>0</v>
      </c>
    </row>
    <row r="51" spans="1:9">
      <c r="A51" t="s">
        <v>356</v>
      </c>
      <c r="B51" t="s">
        <v>39</v>
      </c>
      <c r="C51">
        <v>166</v>
      </c>
      <c r="D51">
        <v>4509</v>
      </c>
      <c r="E51">
        <v>2996</v>
      </c>
      <c r="F51">
        <v>428471</v>
      </c>
      <c r="G51">
        <v>0</v>
      </c>
      <c r="H51">
        <v>240</v>
      </c>
      <c r="I51">
        <v>0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0</v>
      </c>
      <c r="D53">
        <v>0</v>
      </c>
      <c r="E53">
        <v>0</v>
      </c>
      <c r="F53">
        <v>713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0</v>
      </c>
      <c r="F54">
        <v>5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1461</v>
      </c>
      <c r="D56">
        <v>267</v>
      </c>
      <c r="E56">
        <v>135556</v>
      </c>
      <c r="F56">
        <v>115856</v>
      </c>
      <c r="G56">
        <v>5</v>
      </c>
      <c r="H56">
        <v>24</v>
      </c>
      <c r="I56">
        <v>0</v>
      </c>
    </row>
    <row r="57" spans="1:9">
      <c r="A57" t="s">
        <v>357</v>
      </c>
      <c r="B57" t="s">
        <v>39</v>
      </c>
      <c r="C57">
        <v>82</v>
      </c>
      <c r="D57">
        <v>2234</v>
      </c>
      <c r="E57">
        <v>1484</v>
      </c>
      <c r="F57">
        <v>212239</v>
      </c>
      <c r="G57">
        <v>0</v>
      </c>
      <c r="H57">
        <v>119</v>
      </c>
      <c r="I57">
        <v>0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19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0</v>
      </c>
      <c r="D59">
        <v>0</v>
      </c>
      <c r="E59">
        <v>0</v>
      </c>
      <c r="F59">
        <v>1071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0</v>
      </c>
      <c r="F60">
        <v>3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138292</v>
      </c>
      <c r="D62">
        <v>25267</v>
      </c>
      <c r="E62">
        <v>12833715</v>
      </c>
      <c r="F62">
        <v>10968619</v>
      </c>
      <c r="G62">
        <v>493</v>
      </c>
      <c r="H62">
        <v>2238</v>
      </c>
      <c r="I62">
        <v>0</v>
      </c>
    </row>
    <row r="63" spans="1:9">
      <c r="A63" t="s">
        <v>358</v>
      </c>
      <c r="B63" t="s">
        <v>39</v>
      </c>
      <c r="C63">
        <v>2114</v>
      </c>
      <c r="D63">
        <v>57392</v>
      </c>
      <c r="E63">
        <v>38136</v>
      </c>
      <c r="F63">
        <v>5453223</v>
      </c>
      <c r="G63">
        <v>0</v>
      </c>
      <c r="H63">
        <v>3057</v>
      </c>
      <c r="I63">
        <v>0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925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0</v>
      </c>
      <c r="D65">
        <v>0</v>
      </c>
      <c r="E65">
        <v>0</v>
      </c>
      <c r="F65">
        <v>24526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0</v>
      </c>
      <c r="F66">
        <v>164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358</v>
      </c>
    </row>
    <row r="69" spans="1:9">
      <c r="A69" t="s">
        <v>358</v>
      </c>
    </row>
    <row r="70" spans="1:9">
      <c r="A70" t="s">
        <v>358</v>
      </c>
    </row>
    <row r="71" spans="1:9">
      <c r="A71" t="s">
        <v>358</v>
      </c>
    </row>
    <row r="72" spans="1:9">
      <c r="A72" t="s">
        <v>358</v>
      </c>
    </row>
    <row r="73" spans="1:9">
      <c r="A73" t="s">
        <v>358</v>
      </c>
    </row>
    <row r="74" spans="1:9">
      <c r="A74" t="s">
        <v>358</v>
      </c>
    </row>
    <row r="75" spans="1:9">
      <c r="A75" t="s">
        <v>358</v>
      </c>
    </row>
    <row r="76" spans="1:9">
      <c r="A76" t="s">
        <v>358</v>
      </c>
    </row>
    <row r="77" spans="1:9">
      <c r="A77" t="s">
        <v>358</v>
      </c>
    </row>
    <row r="78" spans="1:9">
      <c r="A78" t="s">
        <v>358</v>
      </c>
    </row>
    <row r="79" spans="1:9">
      <c r="A79" t="s">
        <v>358</v>
      </c>
    </row>
    <row r="80" spans="1:9">
      <c r="A80" t="s">
        <v>358</v>
      </c>
    </row>
    <row r="81" spans="1:9">
      <c r="A81" t="s">
        <v>358</v>
      </c>
    </row>
    <row r="82" spans="1:9">
      <c r="A82" t="s">
        <v>358</v>
      </c>
    </row>
    <row r="83" spans="1:9">
      <c r="A83" t="s">
        <v>358</v>
      </c>
    </row>
    <row r="84" spans="1:9">
      <c r="A84" t="s">
        <v>359</v>
      </c>
      <c r="B84" t="s">
        <v>38</v>
      </c>
      <c r="C84">
        <v>662</v>
      </c>
      <c r="D84">
        <v>121</v>
      </c>
      <c r="E84">
        <v>61426</v>
      </c>
      <c r="F84">
        <v>52499</v>
      </c>
      <c r="G84">
        <v>2</v>
      </c>
      <c r="H84">
        <v>11</v>
      </c>
      <c r="I84">
        <v>0</v>
      </c>
    </row>
    <row r="85" spans="1:9">
      <c r="A85" t="s">
        <v>359</v>
      </c>
      <c r="B85" t="s">
        <v>39</v>
      </c>
      <c r="C85">
        <v>37</v>
      </c>
      <c r="D85">
        <v>1012</v>
      </c>
      <c r="E85">
        <v>673</v>
      </c>
      <c r="F85">
        <v>96175</v>
      </c>
      <c r="G85">
        <v>0</v>
      </c>
      <c r="H85">
        <v>54</v>
      </c>
      <c r="I85">
        <v>0</v>
      </c>
    </row>
    <row r="86" spans="1:9">
      <c r="A86" t="s">
        <v>359</v>
      </c>
      <c r="B86" t="s">
        <v>40</v>
      </c>
      <c r="C86">
        <v>0</v>
      </c>
      <c r="D86">
        <v>0</v>
      </c>
      <c r="E86">
        <v>0</v>
      </c>
      <c r="F86">
        <v>4</v>
      </c>
      <c r="G86">
        <v>0</v>
      </c>
      <c r="H86">
        <v>0</v>
      </c>
      <c r="I86">
        <v>0</v>
      </c>
    </row>
    <row r="87" spans="1:9">
      <c r="A87" t="s">
        <v>359</v>
      </c>
      <c r="B87" t="s">
        <v>41</v>
      </c>
      <c r="C87">
        <v>0</v>
      </c>
      <c r="D87">
        <v>0</v>
      </c>
      <c r="E87">
        <v>0</v>
      </c>
      <c r="F87">
        <v>339</v>
      </c>
      <c r="G87">
        <v>0</v>
      </c>
      <c r="H87">
        <v>0</v>
      </c>
      <c r="I87">
        <v>0</v>
      </c>
    </row>
    <row r="88" spans="1:9">
      <c r="A88" t="s">
        <v>359</v>
      </c>
      <c r="B88" t="s">
        <v>42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359</v>
      </c>
      <c r="B89" t="s">
        <v>43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360</v>
      </c>
      <c r="B90" t="s">
        <v>38</v>
      </c>
      <c r="C90">
        <v>360</v>
      </c>
      <c r="D90">
        <v>66</v>
      </c>
      <c r="E90">
        <v>33426</v>
      </c>
      <c r="F90">
        <v>28568</v>
      </c>
      <c r="G90">
        <v>1</v>
      </c>
      <c r="H90">
        <v>6</v>
      </c>
      <c r="I90">
        <v>0</v>
      </c>
    </row>
    <row r="91" spans="1:9">
      <c r="A91" t="s">
        <v>360</v>
      </c>
      <c r="B91" t="s">
        <v>39</v>
      </c>
      <c r="C91">
        <v>20</v>
      </c>
      <c r="D91">
        <v>551</v>
      </c>
      <c r="E91">
        <v>366</v>
      </c>
      <c r="F91">
        <v>52334</v>
      </c>
      <c r="G91">
        <v>0</v>
      </c>
      <c r="H91">
        <v>29</v>
      </c>
      <c r="I91">
        <v>0</v>
      </c>
    </row>
    <row r="92" spans="1:9">
      <c r="A92" t="s">
        <v>360</v>
      </c>
      <c r="B92" t="s">
        <v>40</v>
      </c>
      <c r="C92">
        <v>0</v>
      </c>
      <c r="D92">
        <v>0</v>
      </c>
      <c r="E92">
        <v>0</v>
      </c>
      <c r="F92">
        <v>2</v>
      </c>
      <c r="G92">
        <v>0</v>
      </c>
      <c r="H92">
        <v>0</v>
      </c>
      <c r="I92">
        <v>0</v>
      </c>
    </row>
    <row r="93" spans="1:9">
      <c r="A93" t="s">
        <v>360</v>
      </c>
      <c r="B93" t="s">
        <v>41</v>
      </c>
      <c r="C93">
        <v>0</v>
      </c>
      <c r="D93">
        <v>0</v>
      </c>
      <c r="E93">
        <v>0</v>
      </c>
      <c r="F93">
        <v>86</v>
      </c>
      <c r="G93">
        <v>0</v>
      </c>
      <c r="H93">
        <v>0</v>
      </c>
      <c r="I93">
        <v>0</v>
      </c>
    </row>
    <row r="94" spans="1:9">
      <c r="A94" t="s">
        <v>360</v>
      </c>
      <c r="B94" t="s">
        <v>42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360</v>
      </c>
      <c r="B95" t="s">
        <v>43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361</v>
      </c>
      <c r="B96" t="s">
        <v>38</v>
      </c>
      <c r="C96">
        <v>1682</v>
      </c>
      <c r="D96">
        <v>307</v>
      </c>
      <c r="E96">
        <v>156096</v>
      </c>
      <c r="F96">
        <v>133411</v>
      </c>
      <c r="G96">
        <v>6</v>
      </c>
      <c r="H96">
        <v>27</v>
      </c>
      <c r="I96">
        <v>0</v>
      </c>
    </row>
    <row r="97" spans="1:9">
      <c r="A97" t="s">
        <v>361</v>
      </c>
      <c r="B97" t="s">
        <v>39</v>
      </c>
      <c r="C97">
        <v>95</v>
      </c>
      <c r="D97">
        <v>2572</v>
      </c>
      <c r="E97">
        <v>1709</v>
      </c>
      <c r="F97">
        <v>244398</v>
      </c>
      <c r="G97">
        <v>0</v>
      </c>
      <c r="H97">
        <v>137</v>
      </c>
      <c r="I97">
        <v>0</v>
      </c>
    </row>
    <row r="98" spans="1:9">
      <c r="A98" t="s">
        <v>361</v>
      </c>
      <c r="B98" t="s">
        <v>40</v>
      </c>
      <c r="C98">
        <v>0</v>
      </c>
      <c r="D98">
        <v>0</v>
      </c>
      <c r="E98">
        <v>0</v>
      </c>
      <c r="F98">
        <v>53</v>
      </c>
      <c r="G98">
        <v>0</v>
      </c>
      <c r="H98">
        <v>0</v>
      </c>
      <c r="I98">
        <v>0</v>
      </c>
    </row>
    <row r="99" spans="1:9">
      <c r="A99" t="s">
        <v>361</v>
      </c>
      <c r="B99" t="s">
        <v>41</v>
      </c>
      <c r="C99">
        <v>0</v>
      </c>
      <c r="D99">
        <v>0</v>
      </c>
      <c r="E99">
        <v>0</v>
      </c>
      <c r="F99">
        <v>3433</v>
      </c>
      <c r="G99">
        <v>0</v>
      </c>
      <c r="H99">
        <v>0</v>
      </c>
      <c r="I99">
        <v>0</v>
      </c>
    </row>
    <row r="100" spans="1:9">
      <c r="A100" t="s">
        <v>361</v>
      </c>
      <c r="B100" t="s">
        <v>42</v>
      </c>
      <c r="C100">
        <v>0</v>
      </c>
      <c r="D100">
        <v>0</v>
      </c>
      <c r="E100">
        <v>0</v>
      </c>
      <c r="F100">
        <v>3</v>
      </c>
      <c r="G100">
        <v>0</v>
      </c>
      <c r="H100">
        <v>0</v>
      </c>
      <c r="I100">
        <v>0</v>
      </c>
    </row>
    <row r="101" spans="1:9">
      <c r="A101" t="s">
        <v>361</v>
      </c>
      <c r="B101" t="s">
        <v>43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362</v>
      </c>
      <c r="B102" t="s">
        <v>38</v>
      </c>
      <c r="C102">
        <v>1018</v>
      </c>
      <c r="D102">
        <v>186</v>
      </c>
      <c r="E102">
        <v>94516</v>
      </c>
      <c r="F102">
        <v>80780</v>
      </c>
      <c r="G102">
        <v>4</v>
      </c>
      <c r="H102">
        <v>16</v>
      </c>
      <c r="I102">
        <v>0</v>
      </c>
    </row>
    <row r="103" spans="1:9">
      <c r="A103" t="s">
        <v>362</v>
      </c>
      <c r="B103" t="s">
        <v>39</v>
      </c>
      <c r="C103">
        <v>57</v>
      </c>
      <c r="D103">
        <v>1557</v>
      </c>
      <c r="E103">
        <v>1035</v>
      </c>
      <c r="F103">
        <v>147983</v>
      </c>
      <c r="G103">
        <v>0</v>
      </c>
      <c r="H103">
        <v>83</v>
      </c>
      <c r="I103">
        <v>0</v>
      </c>
    </row>
    <row r="104" spans="1:9">
      <c r="A104" t="s">
        <v>362</v>
      </c>
      <c r="B104" t="s">
        <v>40</v>
      </c>
      <c r="C104">
        <v>0</v>
      </c>
      <c r="D104">
        <v>0</v>
      </c>
      <c r="E104">
        <v>0</v>
      </c>
      <c r="F104">
        <v>33</v>
      </c>
      <c r="G104">
        <v>0</v>
      </c>
      <c r="H104">
        <v>0</v>
      </c>
      <c r="I104">
        <v>0</v>
      </c>
    </row>
    <row r="105" spans="1:9">
      <c r="A105" t="s">
        <v>362</v>
      </c>
      <c r="B105" t="s">
        <v>41</v>
      </c>
      <c r="C105">
        <v>0</v>
      </c>
      <c r="D105">
        <v>0</v>
      </c>
      <c r="E105">
        <v>0</v>
      </c>
      <c r="F105">
        <v>537</v>
      </c>
      <c r="G105">
        <v>0</v>
      </c>
      <c r="H105">
        <v>0</v>
      </c>
      <c r="I105">
        <v>0</v>
      </c>
    </row>
    <row r="106" spans="1:9">
      <c r="A106" t="s">
        <v>362</v>
      </c>
      <c r="B106" t="s">
        <v>42</v>
      </c>
      <c r="C106">
        <v>0</v>
      </c>
      <c r="D106">
        <v>0</v>
      </c>
      <c r="E106">
        <v>0</v>
      </c>
      <c r="F106">
        <v>2</v>
      </c>
      <c r="G106">
        <v>0</v>
      </c>
      <c r="H106">
        <v>0</v>
      </c>
      <c r="I106">
        <v>0</v>
      </c>
    </row>
    <row r="107" spans="1:9">
      <c r="A107" t="s">
        <v>362</v>
      </c>
      <c r="B107" t="s">
        <v>43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363</v>
      </c>
      <c r="B108" t="s">
        <v>38</v>
      </c>
      <c r="C108">
        <v>329</v>
      </c>
      <c r="D108">
        <v>60</v>
      </c>
      <c r="E108">
        <v>30556</v>
      </c>
      <c r="F108">
        <v>26115</v>
      </c>
      <c r="G108">
        <v>1</v>
      </c>
      <c r="H108">
        <v>5</v>
      </c>
      <c r="I108">
        <v>0</v>
      </c>
    </row>
    <row r="109" spans="1:9">
      <c r="A109" t="s">
        <v>363</v>
      </c>
      <c r="B109" t="s">
        <v>39</v>
      </c>
      <c r="C109">
        <v>19</v>
      </c>
      <c r="D109">
        <v>503</v>
      </c>
      <c r="E109">
        <v>335</v>
      </c>
      <c r="F109">
        <v>47841</v>
      </c>
      <c r="G109">
        <v>0</v>
      </c>
      <c r="H109">
        <v>27</v>
      </c>
      <c r="I109">
        <v>0</v>
      </c>
    </row>
    <row r="110" spans="1:9">
      <c r="A110" t="s">
        <v>363</v>
      </c>
      <c r="B110" t="s">
        <v>40</v>
      </c>
      <c r="C110">
        <v>0</v>
      </c>
      <c r="D110">
        <v>0</v>
      </c>
      <c r="E110">
        <v>0</v>
      </c>
      <c r="F110">
        <v>2</v>
      </c>
      <c r="G110">
        <v>0</v>
      </c>
      <c r="H110">
        <v>0</v>
      </c>
      <c r="I110">
        <v>0</v>
      </c>
    </row>
    <row r="111" spans="1:9">
      <c r="A111" t="s">
        <v>363</v>
      </c>
      <c r="B111" t="s">
        <v>41</v>
      </c>
      <c r="C111">
        <v>0</v>
      </c>
      <c r="D111">
        <v>0</v>
      </c>
      <c r="E111">
        <v>0</v>
      </c>
      <c r="F111">
        <v>362</v>
      </c>
      <c r="G111">
        <v>0</v>
      </c>
      <c r="H111">
        <v>0</v>
      </c>
      <c r="I111">
        <v>0</v>
      </c>
    </row>
    <row r="112" spans="1:9">
      <c r="A112" t="s">
        <v>363</v>
      </c>
      <c r="B112" t="s">
        <v>42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363</v>
      </c>
      <c r="B113" t="s">
        <v>43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364</v>
      </c>
      <c r="B114" t="s">
        <v>38</v>
      </c>
      <c r="C114">
        <v>743</v>
      </c>
      <c r="D114">
        <v>136</v>
      </c>
      <c r="E114">
        <v>68950</v>
      </c>
      <c r="F114">
        <v>58930</v>
      </c>
      <c r="G114">
        <v>3</v>
      </c>
      <c r="H114">
        <v>12</v>
      </c>
      <c r="I114">
        <v>0</v>
      </c>
    </row>
    <row r="115" spans="1:9">
      <c r="A115" t="s">
        <v>364</v>
      </c>
      <c r="B115" t="s">
        <v>39</v>
      </c>
      <c r="C115">
        <v>42</v>
      </c>
      <c r="D115">
        <v>1136</v>
      </c>
      <c r="E115">
        <v>755</v>
      </c>
      <c r="F115">
        <v>107954</v>
      </c>
      <c r="G115">
        <v>0</v>
      </c>
      <c r="H115">
        <v>61</v>
      </c>
      <c r="I115">
        <v>0</v>
      </c>
    </row>
    <row r="116" spans="1:9">
      <c r="A116" t="s">
        <v>364</v>
      </c>
      <c r="B116" t="s">
        <v>40</v>
      </c>
      <c r="C116">
        <v>0</v>
      </c>
      <c r="D116">
        <v>0</v>
      </c>
      <c r="E116">
        <v>0</v>
      </c>
      <c r="F116">
        <v>134</v>
      </c>
      <c r="G116">
        <v>0</v>
      </c>
      <c r="H116">
        <v>0</v>
      </c>
      <c r="I116">
        <v>0</v>
      </c>
    </row>
    <row r="117" spans="1:9">
      <c r="A117" t="s">
        <v>364</v>
      </c>
      <c r="B117" t="s">
        <v>41</v>
      </c>
      <c r="C117">
        <v>0</v>
      </c>
      <c r="D117">
        <v>0</v>
      </c>
      <c r="E117">
        <v>0</v>
      </c>
      <c r="F117">
        <v>278</v>
      </c>
      <c r="G117">
        <v>0</v>
      </c>
      <c r="H117">
        <v>0</v>
      </c>
      <c r="I117">
        <v>0</v>
      </c>
    </row>
    <row r="118" spans="1:9">
      <c r="A118" t="s">
        <v>364</v>
      </c>
      <c r="B118" t="s">
        <v>42</v>
      </c>
      <c r="C118">
        <v>0</v>
      </c>
      <c r="D118">
        <v>0</v>
      </c>
      <c r="E118">
        <v>0</v>
      </c>
      <c r="F118">
        <v>3</v>
      </c>
      <c r="G118">
        <v>0</v>
      </c>
      <c r="H118">
        <v>0</v>
      </c>
      <c r="I118">
        <v>0</v>
      </c>
    </row>
    <row r="119" spans="1:9">
      <c r="A119" t="s">
        <v>364</v>
      </c>
      <c r="B119" t="s">
        <v>43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365</v>
      </c>
      <c r="B120" t="s">
        <v>38</v>
      </c>
      <c r="C120">
        <v>762</v>
      </c>
      <c r="D120">
        <v>139</v>
      </c>
      <c r="E120">
        <v>70694</v>
      </c>
      <c r="F120">
        <v>60420</v>
      </c>
      <c r="G120">
        <v>3</v>
      </c>
      <c r="H120">
        <v>12</v>
      </c>
      <c r="I120">
        <v>0</v>
      </c>
    </row>
    <row r="121" spans="1:9">
      <c r="A121" t="s">
        <v>365</v>
      </c>
      <c r="B121" t="s">
        <v>39</v>
      </c>
      <c r="C121">
        <v>43</v>
      </c>
      <c r="D121">
        <v>1165</v>
      </c>
      <c r="E121">
        <v>774</v>
      </c>
      <c r="F121">
        <v>110685</v>
      </c>
      <c r="G121">
        <v>0</v>
      </c>
      <c r="H121">
        <v>62</v>
      </c>
      <c r="I121">
        <v>0</v>
      </c>
    </row>
    <row r="122" spans="1:9">
      <c r="A122" t="s">
        <v>365</v>
      </c>
      <c r="B122" t="s">
        <v>40</v>
      </c>
      <c r="C122">
        <v>0</v>
      </c>
      <c r="D122">
        <v>0</v>
      </c>
      <c r="E122">
        <v>0</v>
      </c>
      <c r="F122">
        <v>5</v>
      </c>
      <c r="G122">
        <v>0</v>
      </c>
      <c r="H122">
        <v>0</v>
      </c>
      <c r="I122">
        <v>0</v>
      </c>
    </row>
    <row r="123" spans="1:9">
      <c r="A123" t="s">
        <v>365</v>
      </c>
      <c r="B123" t="s">
        <v>41</v>
      </c>
      <c r="C123">
        <v>0</v>
      </c>
      <c r="D123">
        <v>0</v>
      </c>
      <c r="E123">
        <v>0</v>
      </c>
      <c r="F123">
        <v>380</v>
      </c>
      <c r="G123">
        <v>0</v>
      </c>
      <c r="H123">
        <v>0</v>
      </c>
      <c r="I123">
        <v>0</v>
      </c>
    </row>
    <row r="124" spans="1:9">
      <c r="A124" t="s">
        <v>365</v>
      </c>
      <c r="B124" t="s">
        <v>42</v>
      </c>
      <c r="C124">
        <v>0</v>
      </c>
      <c r="D124">
        <v>0</v>
      </c>
      <c r="E124">
        <v>0</v>
      </c>
      <c r="F124">
        <v>36</v>
      </c>
      <c r="G124">
        <v>0</v>
      </c>
      <c r="H124">
        <v>0</v>
      </c>
      <c r="I124">
        <v>0</v>
      </c>
    </row>
    <row r="125" spans="1:9">
      <c r="A125" t="s">
        <v>365</v>
      </c>
      <c r="B125" t="s">
        <v>43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366</v>
      </c>
      <c r="B126" t="s">
        <v>38</v>
      </c>
      <c r="C126">
        <v>808</v>
      </c>
      <c r="D126">
        <v>148</v>
      </c>
      <c r="E126">
        <v>75001</v>
      </c>
      <c r="F126">
        <v>64101</v>
      </c>
      <c r="G126">
        <v>3</v>
      </c>
      <c r="H126">
        <v>13</v>
      </c>
      <c r="I126">
        <v>0</v>
      </c>
    </row>
    <row r="127" spans="1:9">
      <c r="A127" t="s">
        <v>366</v>
      </c>
      <c r="B127" t="s">
        <v>39</v>
      </c>
      <c r="C127">
        <v>46</v>
      </c>
      <c r="D127">
        <v>1236</v>
      </c>
      <c r="E127">
        <v>821</v>
      </c>
      <c r="F127">
        <v>117429</v>
      </c>
      <c r="G127">
        <v>0</v>
      </c>
      <c r="H127">
        <v>66</v>
      </c>
      <c r="I127">
        <v>0</v>
      </c>
    </row>
    <row r="128" spans="1:9">
      <c r="A128" t="s">
        <v>366</v>
      </c>
      <c r="B128" t="s">
        <v>40</v>
      </c>
      <c r="C128">
        <v>0</v>
      </c>
      <c r="D128">
        <v>0</v>
      </c>
      <c r="E128">
        <v>0</v>
      </c>
      <c r="F128">
        <v>6</v>
      </c>
      <c r="G128">
        <v>0</v>
      </c>
      <c r="H128">
        <v>0</v>
      </c>
      <c r="I128">
        <v>0</v>
      </c>
    </row>
    <row r="129" spans="1:9">
      <c r="A129" t="s">
        <v>366</v>
      </c>
      <c r="B129" t="s">
        <v>41</v>
      </c>
      <c r="C129">
        <v>0</v>
      </c>
      <c r="D129">
        <v>0</v>
      </c>
      <c r="E129">
        <v>0</v>
      </c>
      <c r="F129">
        <v>155</v>
      </c>
      <c r="G129">
        <v>0</v>
      </c>
      <c r="H129">
        <v>0</v>
      </c>
      <c r="I129">
        <v>0</v>
      </c>
    </row>
    <row r="130" spans="1:9">
      <c r="A130" t="s">
        <v>366</v>
      </c>
      <c r="B130" t="s">
        <v>42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</row>
    <row r="131" spans="1:9">
      <c r="A131" t="s">
        <v>366</v>
      </c>
      <c r="B131" t="s">
        <v>43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367</v>
      </c>
      <c r="B132" t="s">
        <v>38</v>
      </c>
      <c r="C132">
        <v>736</v>
      </c>
      <c r="D132">
        <v>134</v>
      </c>
      <c r="E132">
        <v>68267</v>
      </c>
      <c r="F132">
        <v>58346</v>
      </c>
      <c r="G132">
        <v>3</v>
      </c>
      <c r="H132">
        <v>12</v>
      </c>
      <c r="I132">
        <v>0</v>
      </c>
    </row>
    <row r="133" spans="1:9">
      <c r="A133" t="s">
        <v>367</v>
      </c>
      <c r="B133" t="s">
        <v>39</v>
      </c>
      <c r="C133">
        <v>41</v>
      </c>
      <c r="D133">
        <v>1125</v>
      </c>
      <c r="E133">
        <v>747</v>
      </c>
      <c r="F133">
        <v>106885</v>
      </c>
      <c r="G133">
        <v>0</v>
      </c>
      <c r="H133">
        <v>60</v>
      </c>
      <c r="I133">
        <v>0</v>
      </c>
    </row>
    <row r="134" spans="1:9">
      <c r="A134" t="s">
        <v>367</v>
      </c>
      <c r="B134" t="s">
        <v>40</v>
      </c>
      <c r="C134">
        <v>0</v>
      </c>
      <c r="D134">
        <v>0</v>
      </c>
      <c r="E134">
        <v>0</v>
      </c>
      <c r="F134">
        <v>8</v>
      </c>
      <c r="G134">
        <v>0</v>
      </c>
      <c r="H134">
        <v>0</v>
      </c>
      <c r="I134">
        <v>0</v>
      </c>
    </row>
    <row r="135" spans="1:9">
      <c r="A135" t="s">
        <v>367</v>
      </c>
      <c r="B135" t="s">
        <v>41</v>
      </c>
      <c r="C135">
        <v>0</v>
      </c>
      <c r="D135">
        <v>0</v>
      </c>
      <c r="E135">
        <v>0</v>
      </c>
      <c r="F135">
        <v>184</v>
      </c>
      <c r="G135">
        <v>0</v>
      </c>
      <c r="H135">
        <v>0</v>
      </c>
      <c r="I135">
        <v>0</v>
      </c>
    </row>
    <row r="136" spans="1:9">
      <c r="A136" t="s">
        <v>367</v>
      </c>
      <c r="B136" t="s">
        <v>42</v>
      </c>
      <c r="C136">
        <v>0</v>
      </c>
      <c r="D136">
        <v>0</v>
      </c>
      <c r="E136">
        <v>0</v>
      </c>
      <c r="F136">
        <v>3</v>
      </c>
      <c r="G136">
        <v>0</v>
      </c>
      <c r="H136">
        <v>0</v>
      </c>
      <c r="I136">
        <v>0</v>
      </c>
    </row>
    <row r="137" spans="1:9">
      <c r="A137" t="s">
        <v>367</v>
      </c>
      <c r="B137" t="s">
        <v>43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368</v>
      </c>
      <c r="B138" t="s">
        <v>38</v>
      </c>
      <c r="C138">
        <v>211</v>
      </c>
      <c r="D138">
        <v>39</v>
      </c>
      <c r="E138">
        <v>19610</v>
      </c>
      <c r="F138">
        <v>16761</v>
      </c>
      <c r="G138">
        <v>1</v>
      </c>
      <c r="H138">
        <v>3</v>
      </c>
      <c r="I138">
        <v>0</v>
      </c>
    </row>
    <row r="139" spans="1:9">
      <c r="A139" t="s">
        <v>368</v>
      </c>
      <c r="B139" t="s">
        <v>39</v>
      </c>
      <c r="C139">
        <v>12</v>
      </c>
      <c r="D139">
        <v>323</v>
      </c>
      <c r="E139">
        <v>215</v>
      </c>
      <c r="F139">
        <v>30704</v>
      </c>
      <c r="G139">
        <v>0</v>
      </c>
      <c r="H139">
        <v>17</v>
      </c>
      <c r="I139">
        <v>0</v>
      </c>
    </row>
    <row r="140" spans="1:9">
      <c r="A140" t="s">
        <v>368</v>
      </c>
      <c r="B140" t="s">
        <v>40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368</v>
      </c>
      <c r="B141" t="s">
        <v>41</v>
      </c>
      <c r="C141">
        <v>0</v>
      </c>
      <c r="D141">
        <v>0</v>
      </c>
      <c r="E141">
        <v>0</v>
      </c>
      <c r="F141">
        <v>20</v>
      </c>
      <c r="G141">
        <v>0</v>
      </c>
      <c r="H141">
        <v>0</v>
      </c>
      <c r="I141">
        <v>0</v>
      </c>
    </row>
    <row r="142" spans="1:9">
      <c r="A142" t="s">
        <v>368</v>
      </c>
      <c r="B142" t="s">
        <v>42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</row>
    <row r="143" spans="1:9">
      <c r="A143" t="s">
        <v>368</v>
      </c>
      <c r="B143" t="s">
        <v>43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369</v>
      </c>
      <c r="B144" t="s">
        <v>38</v>
      </c>
      <c r="C144">
        <v>1715</v>
      </c>
      <c r="D144">
        <v>313</v>
      </c>
      <c r="E144">
        <v>159194</v>
      </c>
      <c r="F144">
        <v>136058</v>
      </c>
      <c r="G144">
        <v>6</v>
      </c>
      <c r="H144">
        <v>28</v>
      </c>
      <c r="I144">
        <v>0</v>
      </c>
    </row>
    <row r="145" spans="1:9">
      <c r="A145" t="s">
        <v>369</v>
      </c>
      <c r="B145" t="s">
        <v>39</v>
      </c>
      <c r="C145">
        <v>97</v>
      </c>
      <c r="D145">
        <v>2623</v>
      </c>
      <c r="E145">
        <v>1743</v>
      </c>
      <c r="F145">
        <v>249249</v>
      </c>
      <c r="G145">
        <v>0</v>
      </c>
      <c r="H145">
        <v>140</v>
      </c>
      <c r="I145">
        <v>0</v>
      </c>
    </row>
    <row r="146" spans="1:9">
      <c r="A146" t="s">
        <v>369</v>
      </c>
      <c r="B146" t="s">
        <v>40</v>
      </c>
      <c r="C146">
        <v>0</v>
      </c>
      <c r="D146">
        <v>0</v>
      </c>
      <c r="E146">
        <v>0</v>
      </c>
      <c r="F146">
        <v>10</v>
      </c>
      <c r="G146">
        <v>0</v>
      </c>
      <c r="H146">
        <v>0</v>
      </c>
      <c r="I146">
        <v>0</v>
      </c>
    </row>
    <row r="147" spans="1:9">
      <c r="A147" t="s">
        <v>369</v>
      </c>
      <c r="B147" t="s">
        <v>41</v>
      </c>
      <c r="C147">
        <v>0</v>
      </c>
      <c r="D147">
        <v>0</v>
      </c>
      <c r="E147">
        <v>0</v>
      </c>
      <c r="F147">
        <v>450</v>
      </c>
      <c r="G147">
        <v>0</v>
      </c>
      <c r="H147">
        <v>0</v>
      </c>
      <c r="I147">
        <v>0</v>
      </c>
    </row>
    <row r="148" spans="1:9">
      <c r="A148" t="s">
        <v>369</v>
      </c>
      <c r="B148" t="s">
        <v>42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</row>
    <row r="149" spans="1:9">
      <c r="A149" t="s">
        <v>369</v>
      </c>
      <c r="B149" t="s">
        <v>43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370</v>
      </c>
      <c r="B150" t="s">
        <v>38</v>
      </c>
      <c r="C150">
        <v>1022</v>
      </c>
      <c r="D150">
        <v>187</v>
      </c>
      <c r="E150">
        <v>94846</v>
      </c>
      <c r="F150">
        <v>81063</v>
      </c>
      <c r="G150">
        <v>4</v>
      </c>
      <c r="H150">
        <v>17</v>
      </c>
      <c r="I150">
        <v>0</v>
      </c>
    </row>
    <row r="151" spans="1:9">
      <c r="A151" t="s">
        <v>370</v>
      </c>
      <c r="B151" t="s">
        <v>39</v>
      </c>
      <c r="C151">
        <v>58</v>
      </c>
      <c r="D151">
        <v>1563</v>
      </c>
      <c r="E151">
        <v>1039</v>
      </c>
      <c r="F151">
        <v>148501</v>
      </c>
      <c r="G151">
        <v>0</v>
      </c>
      <c r="H151">
        <v>83</v>
      </c>
      <c r="I151">
        <v>0</v>
      </c>
    </row>
    <row r="152" spans="1:9">
      <c r="A152" t="s">
        <v>370</v>
      </c>
      <c r="B152" t="s">
        <v>40</v>
      </c>
      <c r="C152">
        <v>0</v>
      </c>
      <c r="D152">
        <v>0</v>
      </c>
      <c r="E152">
        <v>0</v>
      </c>
      <c r="F152">
        <v>7</v>
      </c>
      <c r="G152">
        <v>0</v>
      </c>
      <c r="H152">
        <v>0</v>
      </c>
      <c r="I152">
        <v>0</v>
      </c>
    </row>
    <row r="153" spans="1:9">
      <c r="A153" t="s">
        <v>370</v>
      </c>
      <c r="B153" t="s">
        <v>41</v>
      </c>
      <c r="C153">
        <v>0</v>
      </c>
      <c r="D153">
        <v>0</v>
      </c>
      <c r="E153">
        <v>0</v>
      </c>
      <c r="F153">
        <v>937</v>
      </c>
      <c r="G153">
        <v>0</v>
      </c>
      <c r="H153">
        <v>0</v>
      </c>
      <c r="I153">
        <v>0</v>
      </c>
    </row>
    <row r="154" spans="1:9">
      <c r="A154" t="s">
        <v>370</v>
      </c>
      <c r="B154" t="s">
        <v>42</v>
      </c>
      <c r="C154">
        <v>0</v>
      </c>
      <c r="D154">
        <v>0</v>
      </c>
      <c r="E154">
        <v>0</v>
      </c>
      <c r="F154">
        <v>2</v>
      </c>
      <c r="G154">
        <v>0</v>
      </c>
      <c r="H154">
        <v>0</v>
      </c>
      <c r="I154">
        <v>0</v>
      </c>
    </row>
    <row r="155" spans="1:9">
      <c r="A155" t="s">
        <v>370</v>
      </c>
      <c r="B155" t="s">
        <v>43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371</v>
      </c>
      <c r="B156" t="s">
        <v>38</v>
      </c>
      <c r="C156">
        <v>905</v>
      </c>
      <c r="D156">
        <v>165</v>
      </c>
      <c r="E156">
        <v>83996</v>
      </c>
      <c r="F156">
        <v>71789</v>
      </c>
      <c r="G156">
        <v>3</v>
      </c>
      <c r="H156">
        <v>15</v>
      </c>
      <c r="I156">
        <v>0</v>
      </c>
    </row>
    <row r="157" spans="1:9">
      <c r="A157" t="s">
        <v>371</v>
      </c>
      <c r="B157" t="s">
        <v>39</v>
      </c>
      <c r="C157">
        <v>51</v>
      </c>
      <c r="D157">
        <v>1384</v>
      </c>
      <c r="E157">
        <v>920</v>
      </c>
      <c r="F157">
        <v>131511</v>
      </c>
      <c r="G157">
        <v>0</v>
      </c>
      <c r="H157">
        <v>74</v>
      </c>
      <c r="I157">
        <v>0</v>
      </c>
    </row>
    <row r="158" spans="1:9">
      <c r="A158" t="s">
        <v>371</v>
      </c>
      <c r="B158" t="s">
        <v>40</v>
      </c>
      <c r="C158">
        <v>0</v>
      </c>
      <c r="D158">
        <v>0</v>
      </c>
      <c r="E158">
        <v>0</v>
      </c>
      <c r="F158">
        <v>7</v>
      </c>
      <c r="G158">
        <v>0</v>
      </c>
      <c r="H158">
        <v>0</v>
      </c>
      <c r="I158">
        <v>0</v>
      </c>
    </row>
    <row r="159" spans="1:9">
      <c r="A159" t="s">
        <v>371</v>
      </c>
      <c r="B159" t="s">
        <v>41</v>
      </c>
      <c r="C159">
        <v>0</v>
      </c>
      <c r="D159">
        <v>0</v>
      </c>
      <c r="E159">
        <v>0</v>
      </c>
      <c r="F159">
        <v>484</v>
      </c>
      <c r="G159">
        <v>0</v>
      </c>
      <c r="H159">
        <v>0</v>
      </c>
      <c r="I159">
        <v>0</v>
      </c>
    </row>
    <row r="160" spans="1:9">
      <c r="A160" t="s">
        <v>371</v>
      </c>
      <c r="B160" t="s">
        <v>42</v>
      </c>
      <c r="C160">
        <v>0</v>
      </c>
      <c r="D160">
        <v>0</v>
      </c>
      <c r="E160">
        <v>0</v>
      </c>
      <c r="F160">
        <v>2</v>
      </c>
      <c r="G160">
        <v>0</v>
      </c>
      <c r="H160">
        <v>0</v>
      </c>
      <c r="I160">
        <v>0</v>
      </c>
    </row>
    <row r="161" spans="1:9">
      <c r="A161" t="s">
        <v>371</v>
      </c>
      <c r="B161" t="s">
        <v>43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372</v>
      </c>
      <c r="B162" t="s">
        <v>38</v>
      </c>
      <c r="C162">
        <v>355</v>
      </c>
      <c r="D162">
        <v>65</v>
      </c>
      <c r="E162">
        <v>32911</v>
      </c>
      <c r="F162">
        <v>28128</v>
      </c>
      <c r="G162">
        <v>1</v>
      </c>
      <c r="H162">
        <v>6</v>
      </c>
      <c r="I162">
        <v>0</v>
      </c>
    </row>
    <row r="163" spans="1:9">
      <c r="A163" t="s">
        <v>372</v>
      </c>
      <c r="B163" t="s">
        <v>39</v>
      </c>
      <c r="C163">
        <v>20</v>
      </c>
      <c r="D163">
        <v>542</v>
      </c>
      <c r="E163">
        <v>360</v>
      </c>
      <c r="F163">
        <v>51529</v>
      </c>
      <c r="G163">
        <v>0</v>
      </c>
      <c r="H163">
        <v>29</v>
      </c>
      <c r="I163">
        <v>0</v>
      </c>
    </row>
    <row r="164" spans="1:9">
      <c r="A164" t="s">
        <v>372</v>
      </c>
      <c r="B164" t="s">
        <v>40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372</v>
      </c>
      <c r="B165" t="s">
        <v>41</v>
      </c>
      <c r="C165">
        <v>0</v>
      </c>
      <c r="D165">
        <v>0</v>
      </c>
      <c r="E165">
        <v>0</v>
      </c>
      <c r="F165">
        <v>116</v>
      </c>
      <c r="G165">
        <v>0</v>
      </c>
      <c r="H165">
        <v>0</v>
      </c>
      <c r="I165">
        <v>0</v>
      </c>
    </row>
    <row r="166" spans="1:9">
      <c r="A166" t="s">
        <v>372</v>
      </c>
      <c r="B166" t="s">
        <v>42</v>
      </c>
      <c r="C166">
        <v>0</v>
      </c>
      <c r="D166">
        <v>0</v>
      </c>
      <c r="E166">
        <v>0</v>
      </c>
      <c r="F166">
        <v>2</v>
      </c>
      <c r="G166">
        <v>0</v>
      </c>
      <c r="H166">
        <v>0</v>
      </c>
      <c r="I166">
        <v>0</v>
      </c>
    </row>
    <row r="167" spans="1:9">
      <c r="A167" t="s">
        <v>372</v>
      </c>
      <c r="B167" t="s">
        <v>43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373</v>
      </c>
      <c r="B168" t="s">
        <v>38</v>
      </c>
      <c r="C168">
        <v>192</v>
      </c>
      <c r="D168">
        <v>35</v>
      </c>
      <c r="E168">
        <v>17832</v>
      </c>
      <c r="F168">
        <v>15240</v>
      </c>
      <c r="G168">
        <v>1</v>
      </c>
      <c r="H168">
        <v>3</v>
      </c>
      <c r="I168">
        <v>0</v>
      </c>
    </row>
    <row r="169" spans="1:9">
      <c r="A169" t="s">
        <v>373</v>
      </c>
      <c r="B169" t="s">
        <v>39</v>
      </c>
      <c r="C169">
        <v>11</v>
      </c>
      <c r="D169">
        <v>294</v>
      </c>
      <c r="E169">
        <v>195</v>
      </c>
      <c r="F169">
        <v>27919</v>
      </c>
      <c r="G169">
        <v>0</v>
      </c>
      <c r="H169">
        <v>16</v>
      </c>
      <c r="I169">
        <v>0</v>
      </c>
    </row>
    <row r="170" spans="1:9">
      <c r="A170" t="s">
        <v>373</v>
      </c>
      <c r="B170" t="s">
        <v>40</v>
      </c>
      <c r="C170">
        <v>0</v>
      </c>
      <c r="D170">
        <v>0</v>
      </c>
      <c r="E170">
        <v>0</v>
      </c>
      <c r="F170">
        <v>4</v>
      </c>
      <c r="G170">
        <v>0</v>
      </c>
      <c r="H170">
        <v>0</v>
      </c>
      <c r="I170">
        <v>0</v>
      </c>
    </row>
    <row r="171" spans="1:9">
      <c r="A171" t="s">
        <v>373</v>
      </c>
      <c r="B171" t="s">
        <v>41</v>
      </c>
      <c r="C171">
        <v>0</v>
      </c>
      <c r="D171">
        <v>0</v>
      </c>
      <c r="E171">
        <v>0</v>
      </c>
      <c r="F171">
        <v>152</v>
      </c>
      <c r="G171">
        <v>0</v>
      </c>
      <c r="H171">
        <v>0</v>
      </c>
      <c r="I171">
        <v>0</v>
      </c>
    </row>
    <row r="172" spans="1:9">
      <c r="A172" t="s">
        <v>373</v>
      </c>
      <c r="B172" t="s">
        <v>42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373</v>
      </c>
      <c r="B173" t="s">
        <v>43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374</v>
      </c>
      <c r="B174" t="s">
        <v>38</v>
      </c>
      <c r="C174">
        <v>1409</v>
      </c>
      <c r="D174">
        <v>257</v>
      </c>
      <c r="E174">
        <v>130740</v>
      </c>
      <c r="F174">
        <v>111740</v>
      </c>
      <c r="G174">
        <v>5</v>
      </c>
      <c r="H174">
        <v>23</v>
      </c>
      <c r="I174">
        <v>0</v>
      </c>
    </row>
    <row r="175" spans="1:9">
      <c r="A175" t="s">
        <v>374</v>
      </c>
      <c r="B175" t="s">
        <v>39</v>
      </c>
      <c r="C175">
        <v>79</v>
      </c>
      <c r="D175">
        <v>2154</v>
      </c>
      <c r="E175">
        <v>1432</v>
      </c>
      <c r="F175">
        <v>204699</v>
      </c>
      <c r="G175">
        <v>0</v>
      </c>
      <c r="H175">
        <v>115</v>
      </c>
      <c r="I175">
        <v>0</v>
      </c>
    </row>
    <row r="176" spans="1:9">
      <c r="A176" t="s">
        <v>374</v>
      </c>
      <c r="B176" t="s">
        <v>40</v>
      </c>
      <c r="C176">
        <v>0</v>
      </c>
      <c r="D176">
        <v>0</v>
      </c>
      <c r="E176">
        <v>0</v>
      </c>
      <c r="F176">
        <v>13</v>
      </c>
      <c r="G176">
        <v>0</v>
      </c>
      <c r="H176">
        <v>0</v>
      </c>
      <c r="I176">
        <v>0</v>
      </c>
    </row>
    <row r="177" spans="1:9">
      <c r="A177" t="s">
        <v>374</v>
      </c>
      <c r="B177" t="s">
        <v>41</v>
      </c>
      <c r="C177">
        <v>0</v>
      </c>
      <c r="D177">
        <v>0</v>
      </c>
      <c r="E177">
        <v>0</v>
      </c>
      <c r="F177">
        <v>369</v>
      </c>
      <c r="G177">
        <v>0</v>
      </c>
      <c r="H177">
        <v>0</v>
      </c>
      <c r="I177">
        <v>0</v>
      </c>
    </row>
    <row r="178" spans="1:9">
      <c r="A178" t="s">
        <v>374</v>
      </c>
      <c r="B178" t="s">
        <v>42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</row>
    <row r="179" spans="1:9">
      <c r="A179" t="s">
        <v>374</v>
      </c>
      <c r="B179" t="s">
        <v>43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375</v>
      </c>
      <c r="B180" t="s">
        <v>38</v>
      </c>
      <c r="C180">
        <v>203</v>
      </c>
      <c r="D180">
        <v>37</v>
      </c>
      <c r="E180">
        <v>18879</v>
      </c>
      <c r="F180">
        <v>16135</v>
      </c>
      <c r="G180">
        <v>1</v>
      </c>
      <c r="H180">
        <v>3</v>
      </c>
      <c r="I180">
        <v>0</v>
      </c>
    </row>
    <row r="181" spans="1:9">
      <c r="A181" t="s">
        <v>375</v>
      </c>
      <c r="B181" t="s">
        <v>39</v>
      </c>
      <c r="C181">
        <v>11</v>
      </c>
      <c r="D181">
        <v>311</v>
      </c>
      <c r="E181">
        <v>207</v>
      </c>
      <c r="F181">
        <v>29558</v>
      </c>
      <c r="G181">
        <v>0</v>
      </c>
      <c r="H181">
        <v>17</v>
      </c>
      <c r="I181">
        <v>0</v>
      </c>
    </row>
    <row r="182" spans="1:9">
      <c r="A182" t="s">
        <v>375</v>
      </c>
      <c r="B182" t="s">
        <v>40</v>
      </c>
      <c r="C182">
        <v>0</v>
      </c>
      <c r="D182">
        <v>0</v>
      </c>
      <c r="E182">
        <v>0</v>
      </c>
      <c r="F182">
        <v>2</v>
      </c>
      <c r="G182">
        <v>0</v>
      </c>
      <c r="H182">
        <v>0</v>
      </c>
      <c r="I182">
        <v>0</v>
      </c>
    </row>
    <row r="183" spans="1:9">
      <c r="A183" t="s">
        <v>375</v>
      </c>
      <c r="B183" t="s">
        <v>41</v>
      </c>
      <c r="C183">
        <v>0</v>
      </c>
      <c r="D183">
        <v>0</v>
      </c>
      <c r="E183">
        <v>0</v>
      </c>
      <c r="F183">
        <v>220</v>
      </c>
      <c r="G183">
        <v>0</v>
      </c>
      <c r="H183">
        <v>0</v>
      </c>
      <c r="I183">
        <v>0</v>
      </c>
    </row>
    <row r="184" spans="1:9">
      <c r="A184" t="s">
        <v>375</v>
      </c>
      <c r="B184" t="s">
        <v>42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375</v>
      </c>
      <c r="B185" t="s">
        <v>43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376</v>
      </c>
      <c r="B186" t="s">
        <v>38</v>
      </c>
      <c r="C186">
        <v>342</v>
      </c>
      <c r="D186">
        <v>63</v>
      </c>
      <c r="E186">
        <v>31749</v>
      </c>
      <c r="F186">
        <v>27135</v>
      </c>
      <c r="G186">
        <v>1</v>
      </c>
      <c r="H186">
        <v>6</v>
      </c>
      <c r="I186">
        <v>0</v>
      </c>
    </row>
    <row r="187" spans="1:9">
      <c r="A187" t="s">
        <v>376</v>
      </c>
      <c r="B187" t="s">
        <v>39</v>
      </c>
      <c r="C187">
        <v>19</v>
      </c>
      <c r="D187">
        <v>523</v>
      </c>
      <c r="E187">
        <v>348</v>
      </c>
      <c r="F187">
        <v>49709</v>
      </c>
      <c r="G187">
        <v>0</v>
      </c>
      <c r="H187">
        <v>28</v>
      </c>
      <c r="I187">
        <v>0</v>
      </c>
    </row>
    <row r="188" spans="1:9">
      <c r="A188" t="s">
        <v>376</v>
      </c>
      <c r="B188" t="s">
        <v>40</v>
      </c>
      <c r="C188">
        <v>0</v>
      </c>
      <c r="D188">
        <v>0</v>
      </c>
      <c r="E188">
        <v>0</v>
      </c>
      <c r="F188">
        <v>3</v>
      </c>
      <c r="G188">
        <v>0</v>
      </c>
      <c r="H188">
        <v>0</v>
      </c>
      <c r="I188">
        <v>0</v>
      </c>
    </row>
    <row r="189" spans="1:9">
      <c r="A189" t="s">
        <v>376</v>
      </c>
      <c r="B189" t="s">
        <v>41</v>
      </c>
      <c r="C189">
        <v>0</v>
      </c>
      <c r="D189">
        <v>0</v>
      </c>
      <c r="E189">
        <v>0</v>
      </c>
      <c r="F189">
        <v>260</v>
      </c>
      <c r="G189">
        <v>0</v>
      </c>
      <c r="H189">
        <v>0</v>
      </c>
      <c r="I189">
        <v>0</v>
      </c>
    </row>
    <row r="190" spans="1:9">
      <c r="A190" t="s">
        <v>376</v>
      </c>
      <c r="B190" t="s">
        <v>42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376</v>
      </c>
      <c r="B191" t="s">
        <v>43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377</v>
      </c>
      <c r="B192" t="s">
        <v>38</v>
      </c>
      <c r="C192">
        <v>228</v>
      </c>
      <c r="D192">
        <v>42</v>
      </c>
      <c r="E192">
        <v>21136</v>
      </c>
      <c r="F192">
        <v>18064</v>
      </c>
      <c r="G192">
        <v>1</v>
      </c>
      <c r="H192">
        <v>4</v>
      </c>
      <c r="I192">
        <v>0</v>
      </c>
    </row>
    <row r="193" spans="1:9">
      <c r="A193" t="s">
        <v>377</v>
      </c>
      <c r="B193" t="s">
        <v>39</v>
      </c>
      <c r="C193">
        <v>13</v>
      </c>
      <c r="D193">
        <v>348</v>
      </c>
      <c r="E193">
        <v>231</v>
      </c>
      <c r="F193">
        <v>33092</v>
      </c>
      <c r="G193">
        <v>0</v>
      </c>
      <c r="H193">
        <v>19</v>
      </c>
      <c r="I193">
        <v>0</v>
      </c>
    </row>
    <row r="194" spans="1:9">
      <c r="A194" t="s">
        <v>377</v>
      </c>
      <c r="B194" t="s">
        <v>40</v>
      </c>
      <c r="C194">
        <v>0</v>
      </c>
      <c r="D194">
        <v>0</v>
      </c>
      <c r="E194">
        <v>0</v>
      </c>
      <c r="F194">
        <v>3</v>
      </c>
      <c r="G194">
        <v>0</v>
      </c>
      <c r="H194">
        <v>0</v>
      </c>
      <c r="I194">
        <v>0</v>
      </c>
    </row>
    <row r="195" spans="1:9">
      <c r="A195" t="s">
        <v>377</v>
      </c>
      <c r="B195" t="s">
        <v>41</v>
      </c>
      <c r="C195">
        <v>0</v>
      </c>
      <c r="D195">
        <v>0</v>
      </c>
      <c r="E195">
        <v>0</v>
      </c>
      <c r="F195">
        <v>4</v>
      </c>
      <c r="G195">
        <v>0</v>
      </c>
      <c r="H195">
        <v>0</v>
      </c>
      <c r="I195">
        <v>0</v>
      </c>
    </row>
    <row r="196" spans="1:9">
      <c r="A196" t="s">
        <v>377</v>
      </c>
      <c r="B196" t="s">
        <v>42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377</v>
      </c>
      <c r="B197" t="s">
        <v>43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378</v>
      </c>
      <c r="B198" t="s">
        <v>38</v>
      </c>
      <c r="C198">
        <v>953</v>
      </c>
      <c r="D198">
        <v>174</v>
      </c>
      <c r="E198">
        <v>88400</v>
      </c>
      <c r="F198">
        <v>75553</v>
      </c>
      <c r="G198">
        <v>3</v>
      </c>
      <c r="H198">
        <v>15</v>
      </c>
      <c r="I198">
        <v>0</v>
      </c>
    </row>
    <row r="199" spans="1:9">
      <c r="A199" t="s">
        <v>378</v>
      </c>
      <c r="B199" t="s">
        <v>39</v>
      </c>
      <c r="C199">
        <v>54</v>
      </c>
      <c r="D199">
        <v>1457</v>
      </c>
      <c r="E199">
        <v>968</v>
      </c>
      <c r="F199">
        <v>138408</v>
      </c>
      <c r="G199">
        <v>0</v>
      </c>
      <c r="H199">
        <v>78</v>
      </c>
      <c r="I199">
        <v>0</v>
      </c>
    </row>
    <row r="200" spans="1:9">
      <c r="A200" t="s">
        <v>378</v>
      </c>
      <c r="B200" t="s">
        <v>40</v>
      </c>
      <c r="C200">
        <v>0</v>
      </c>
      <c r="D200">
        <v>0</v>
      </c>
      <c r="E200">
        <v>0</v>
      </c>
      <c r="F200">
        <v>18</v>
      </c>
      <c r="G200">
        <v>0</v>
      </c>
      <c r="H200">
        <v>0</v>
      </c>
      <c r="I200">
        <v>0</v>
      </c>
    </row>
    <row r="201" spans="1:9">
      <c r="A201" t="s">
        <v>378</v>
      </c>
      <c r="B201" t="s">
        <v>41</v>
      </c>
      <c r="C201">
        <v>0</v>
      </c>
      <c r="D201">
        <v>0</v>
      </c>
      <c r="E201">
        <v>0</v>
      </c>
      <c r="F201">
        <v>648</v>
      </c>
      <c r="G201">
        <v>0</v>
      </c>
      <c r="H201">
        <v>0</v>
      </c>
      <c r="I201">
        <v>0</v>
      </c>
    </row>
    <row r="202" spans="1:9">
      <c r="A202" t="s">
        <v>378</v>
      </c>
      <c r="B202" t="s">
        <v>42</v>
      </c>
      <c r="C202">
        <v>0</v>
      </c>
      <c r="D202">
        <v>0</v>
      </c>
      <c r="E202">
        <v>0</v>
      </c>
      <c r="F202">
        <v>6</v>
      </c>
      <c r="G202">
        <v>0</v>
      </c>
      <c r="H202">
        <v>0</v>
      </c>
      <c r="I202">
        <v>0</v>
      </c>
    </row>
    <row r="203" spans="1:9">
      <c r="A203" t="s">
        <v>378</v>
      </c>
      <c r="B203" t="s">
        <v>43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379</v>
      </c>
      <c r="B204" t="s">
        <v>38</v>
      </c>
      <c r="C204">
        <v>319</v>
      </c>
      <c r="D204">
        <v>58</v>
      </c>
      <c r="E204">
        <v>29626</v>
      </c>
      <c r="F204">
        <v>25321</v>
      </c>
      <c r="G204">
        <v>1</v>
      </c>
      <c r="H204">
        <v>5</v>
      </c>
      <c r="I204">
        <v>0</v>
      </c>
    </row>
    <row r="205" spans="1:9">
      <c r="A205" t="s">
        <v>379</v>
      </c>
      <c r="B205" t="s">
        <v>39</v>
      </c>
      <c r="C205">
        <v>18</v>
      </c>
      <c r="D205">
        <v>488</v>
      </c>
      <c r="E205">
        <v>324</v>
      </c>
      <c r="F205">
        <v>46385</v>
      </c>
      <c r="G205">
        <v>0</v>
      </c>
      <c r="H205">
        <v>26</v>
      </c>
      <c r="I205">
        <v>0</v>
      </c>
    </row>
    <row r="206" spans="1:9">
      <c r="A206" t="s">
        <v>379</v>
      </c>
      <c r="B206" t="s">
        <v>40</v>
      </c>
      <c r="C206">
        <v>0</v>
      </c>
      <c r="D206">
        <v>0</v>
      </c>
      <c r="E206">
        <v>0</v>
      </c>
      <c r="F206">
        <v>3</v>
      </c>
      <c r="G206">
        <v>0</v>
      </c>
      <c r="H206">
        <v>0</v>
      </c>
      <c r="I206">
        <v>0</v>
      </c>
    </row>
    <row r="207" spans="1:9">
      <c r="A207" t="s">
        <v>379</v>
      </c>
      <c r="B207" t="s">
        <v>41</v>
      </c>
      <c r="C207">
        <v>0</v>
      </c>
      <c r="D207">
        <v>0</v>
      </c>
      <c r="E207">
        <v>0</v>
      </c>
      <c r="F207">
        <v>100</v>
      </c>
      <c r="G207">
        <v>0</v>
      </c>
      <c r="H207">
        <v>0</v>
      </c>
      <c r="I207">
        <v>0</v>
      </c>
    </row>
    <row r="208" spans="1:9">
      <c r="A208" t="s">
        <v>379</v>
      </c>
      <c r="B208" t="s">
        <v>42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379</v>
      </c>
      <c r="B209" t="s">
        <v>43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380</v>
      </c>
      <c r="B210" t="s">
        <v>38</v>
      </c>
      <c r="C210">
        <v>363</v>
      </c>
      <c r="D210">
        <v>66</v>
      </c>
      <c r="E210">
        <v>33650</v>
      </c>
      <c r="F210">
        <v>28760</v>
      </c>
      <c r="G210">
        <v>1</v>
      </c>
      <c r="H210">
        <v>6</v>
      </c>
      <c r="I210">
        <v>0</v>
      </c>
    </row>
    <row r="211" spans="1:9">
      <c r="A211" t="s">
        <v>380</v>
      </c>
      <c r="B211" t="s">
        <v>39</v>
      </c>
      <c r="C211">
        <v>20</v>
      </c>
      <c r="D211">
        <v>554</v>
      </c>
      <c r="E211">
        <v>368</v>
      </c>
      <c r="F211">
        <v>52686</v>
      </c>
      <c r="G211">
        <v>0</v>
      </c>
      <c r="H211">
        <v>30</v>
      </c>
      <c r="I211">
        <v>0</v>
      </c>
    </row>
    <row r="212" spans="1:9">
      <c r="A212" t="s">
        <v>380</v>
      </c>
      <c r="B212" t="s">
        <v>40</v>
      </c>
      <c r="C212">
        <v>0</v>
      </c>
      <c r="D212">
        <v>0</v>
      </c>
      <c r="E212">
        <v>0</v>
      </c>
      <c r="F212">
        <v>6</v>
      </c>
      <c r="G212">
        <v>0</v>
      </c>
      <c r="H212">
        <v>0</v>
      </c>
      <c r="I212">
        <v>0</v>
      </c>
    </row>
    <row r="213" spans="1:9">
      <c r="A213" t="s">
        <v>380</v>
      </c>
      <c r="B213" t="s">
        <v>41</v>
      </c>
      <c r="C213">
        <v>0</v>
      </c>
      <c r="D213">
        <v>0</v>
      </c>
      <c r="E213">
        <v>0</v>
      </c>
      <c r="F213">
        <v>52</v>
      </c>
      <c r="G213">
        <v>0</v>
      </c>
      <c r="H213">
        <v>0</v>
      </c>
      <c r="I213">
        <v>0</v>
      </c>
    </row>
    <row r="214" spans="1:9">
      <c r="A214" t="s">
        <v>380</v>
      </c>
      <c r="B214" t="s">
        <v>42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380</v>
      </c>
      <c r="B215" t="s">
        <v>43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381</v>
      </c>
      <c r="B216" t="s">
        <v>38</v>
      </c>
      <c r="C216">
        <v>1916</v>
      </c>
      <c r="D216">
        <v>350</v>
      </c>
      <c r="E216">
        <v>177785</v>
      </c>
      <c r="F216">
        <v>151948</v>
      </c>
      <c r="G216">
        <v>7</v>
      </c>
      <c r="H216">
        <v>31</v>
      </c>
      <c r="I216">
        <v>0</v>
      </c>
    </row>
    <row r="217" spans="1:9">
      <c r="A217" t="s">
        <v>381</v>
      </c>
      <c r="B217" t="s">
        <v>39</v>
      </c>
      <c r="C217">
        <v>108</v>
      </c>
      <c r="D217">
        <v>2930</v>
      </c>
      <c r="E217">
        <v>1947</v>
      </c>
      <c r="F217">
        <v>278357</v>
      </c>
      <c r="G217">
        <v>0</v>
      </c>
      <c r="H217">
        <v>156</v>
      </c>
      <c r="I217">
        <v>0</v>
      </c>
    </row>
    <row r="218" spans="1:9">
      <c r="A218" t="s">
        <v>381</v>
      </c>
      <c r="B218" t="s">
        <v>40</v>
      </c>
      <c r="C218">
        <v>0</v>
      </c>
      <c r="D218">
        <v>0</v>
      </c>
      <c r="E218">
        <v>0</v>
      </c>
      <c r="F218">
        <v>28</v>
      </c>
      <c r="G218">
        <v>0</v>
      </c>
      <c r="H218">
        <v>0</v>
      </c>
      <c r="I218">
        <v>0</v>
      </c>
    </row>
    <row r="219" spans="1:9">
      <c r="A219" t="s">
        <v>381</v>
      </c>
      <c r="B219" t="s">
        <v>41</v>
      </c>
      <c r="C219">
        <v>0</v>
      </c>
      <c r="D219">
        <v>0</v>
      </c>
      <c r="E219">
        <v>0</v>
      </c>
      <c r="F219">
        <v>213</v>
      </c>
      <c r="G219">
        <v>0</v>
      </c>
      <c r="H219">
        <v>0</v>
      </c>
      <c r="I219">
        <v>0</v>
      </c>
    </row>
    <row r="220" spans="1:9">
      <c r="A220" t="s">
        <v>381</v>
      </c>
      <c r="B220" t="s">
        <v>42</v>
      </c>
      <c r="C220">
        <v>0</v>
      </c>
      <c r="D220">
        <v>0</v>
      </c>
      <c r="E220">
        <v>0</v>
      </c>
      <c r="F220">
        <v>5</v>
      </c>
      <c r="G220">
        <v>0</v>
      </c>
      <c r="H220">
        <v>0</v>
      </c>
      <c r="I220">
        <v>0</v>
      </c>
    </row>
    <row r="221" spans="1:9">
      <c r="A221" t="s">
        <v>381</v>
      </c>
      <c r="B221" t="s">
        <v>43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382</v>
      </c>
      <c r="B222" t="s">
        <v>38</v>
      </c>
      <c r="C222">
        <v>1776</v>
      </c>
      <c r="D222">
        <v>325</v>
      </c>
      <c r="E222">
        <v>164822</v>
      </c>
      <c r="F222">
        <v>140869</v>
      </c>
      <c r="G222">
        <v>6</v>
      </c>
      <c r="H222">
        <v>29</v>
      </c>
      <c r="I222">
        <v>0</v>
      </c>
    </row>
    <row r="223" spans="1:9">
      <c r="A223" t="s">
        <v>382</v>
      </c>
      <c r="B223" t="s">
        <v>39</v>
      </c>
      <c r="C223">
        <v>100</v>
      </c>
      <c r="D223">
        <v>2716</v>
      </c>
      <c r="E223">
        <v>1805</v>
      </c>
      <c r="F223">
        <v>258061</v>
      </c>
      <c r="G223">
        <v>0</v>
      </c>
      <c r="H223">
        <v>145</v>
      </c>
      <c r="I223">
        <v>0</v>
      </c>
    </row>
    <row r="224" spans="1:9">
      <c r="A224" t="s">
        <v>382</v>
      </c>
      <c r="B224" t="s">
        <v>40</v>
      </c>
      <c r="C224">
        <v>0</v>
      </c>
      <c r="D224">
        <v>0</v>
      </c>
      <c r="E224">
        <v>0</v>
      </c>
      <c r="F224">
        <v>10</v>
      </c>
      <c r="G224">
        <v>0</v>
      </c>
      <c r="H224">
        <v>0</v>
      </c>
      <c r="I224">
        <v>0</v>
      </c>
    </row>
    <row r="225" spans="1:9">
      <c r="A225" t="s">
        <v>382</v>
      </c>
      <c r="B225" t="s">
        <v>41</v>
      </c>
      <c r="C225">
        <v>0</v>
      </c>
      <c r="D225">
        <v>0</v>
      </c>
      <c r="E225">
        <v>0</v>
      </c>
      <c r="F225">
        <v>941</v>
      </c>
      <c r="G225">
        <v>0</v>
      </c>
      <c r="H225">
        <v>0</v>
      </c>
      <c r="I225">
        <v>0</v>
      </c>
    </row>
    <row r="226" spans="1:9">
      <c r="A226" t="s">
        <v>382</v>
      </c>
      <c r="B226" t="s">
        <v>42</v>
      </c>
      <c r="C226">
        <v>0</v>
      </c>
      <c r="D226">
        <v>0</v>
      </c>
      <c r="E226">
        <v>0</v>
      </c>
      <c r="F226">
        <v>2</v>
      </c>
      <c r="G226">
        <v>0</v>
      </c>
      <c r="H226">
        <v>0</v>
      </c>
      <c r="I226">
        <v>0</v>
      </c>
    </row>
    <row r="227" spans="1:9">
      <c r="A227" t="s">
        <v>382</v>
      </c>
      <c r="B227" t="s">
        <v>43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383</v>
      </c>
      <c r="B228" t="s">
        <v>38</v>
      </c>
      <c r="C228">
        <v>626</v>
      </c>
      <c r="D228">
        <v>114</v>
      </c>
      <c r="E228">
        <v>58128</v>
      </c>
      <c r="F228">
        <v>49680</v>
      </c>
      <c r="G228">
        <v>2</v>
      </c>
      <c r="H228">
        <v>10</v>
      </c>
      <c r="I228">
        <v>0</v>
      </c>
    </row>
    <row r="229" spans="1:9">
      <c r="A229" t="s">
        <v>383</v>
      </c>
      <c r="B229" t="s">
        <v>39</v>
      </c>
      <c r="C229">
        <v>35</v>
      </c>
      <c r="D229">
        <v>958</v>
      </c>
      <c r="E229">
        <v>636</v>
      </c>
      <c r="F229">
        <v>91010</v>
      </c>
      <c r="G229">
        <v>0</v>
      </c>
      <c r="H229">
        <v>51</v>
      </c>
      <c r="I229">
        <v>0</v>
      </c>
    </row>
    <row r="230" spans="1:9">
      <c r="A230" t="s">
        <v>383</v>
      </c>
      <c r="B230" t="s">
        <v>40</v>
      </c>
      <c r="C230">
        <v>0</v>
      </c>
      <c r="D230">
        <v>0</v>
      </c>
      <c r="E230">
        <v>0</v>
      </c>
      <c r="F230">
        <v>4</v>
      </c>
      <c r="G230">
        <v>0</v>
      </c>
      <c r="H230">
        <v>0</v>
      </c>
      <c r="I230">
        <v>0</v>
      </c>
    </row>
    <row r="231" spans="1:9">
      <c r="A231" t="s">
        <v>383</v>
      </c>
      <c r="B231" t="s">
        <v>41</v>
      </c>
      <c r="C231">
        <v>0</v>
      </c>
      <c r="D231">
        <v>0</v>
      </c>
      <c r="E231">
        <v>0</v>
      </c>
      <c r="F231">
        <v>174</v>
      </c>
      <c r="G231">
        <v>0</v>
      </c>
      <c r="H231">
        <v>0</v>
      </c>
      <c r="I231">
        <v>0</v>
      </c>
    </row>
    <row r="232" spans="1:9">
      <c r="A232" t="s">
        <v>383</v>
      </c>
      <c r="B232" t="s">
        <v>42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383</v>
      </c>
      <c r="B233" t="s">
        <v>43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384</v>
      </c>
      <c r="B234" t="s">
        <v>38</v>
      </c>
      <c r="C234">
        <v>696</v>
      </c>
      <c r="D234">
        <v>127</v>
      </c>
      <c r="E234">
        <v>64604</v>
      </c>
      <c r="F234">
        <v>55215</v>
      </c>
      <c r="G234">
        <v>2</v>
      </c>
      <c r="H234">
        <v>11</v>
      </c>
      <c r="I234">
        <v>0</v>
      </c>
    </row>
    <row r="235" spans="1:9">
      <c r="A235" t="s">
        <v>384</v>
      </c>
      <c r="B235" t="s">
        <v>39</v>
      </c>
      <c r="C235">
        <v>39</v>
      </c>
      <c r="D235">
        <v>1065</v>
      </c>
      <c r="E235">
        <v>707</v>
      </c>
      <c r="F235">
        <v>101150</v>
      </c>
      <c r="G235">
        <v>0</v>
      </c>
      <c r="H235">
        <v>57</v>
      </c>
      <c r="I235">
        <v>0</v>
      </c>
    </row>
    <row r="236" spans="1:9">
      <c r="A236" t="s">
        <v>384</v>
      </c>
      <c r="B236" t="s">
        <v>40</v>
      </c>
      <c r="C236">
        <v>0</v>
      </c>
      <c r="D236">
        <v>0</v>
      </c>
      <c r="E236">
        <v>0</v>
      </c>
      <c r="F236">
        <v>12</v>
      </c>
      <c r="G236">
        <v>0</v>
      </c>
      <c r="H236">
        <v>0</v>
      </c>
      <c r="I236">
        <v>0</v>
      </c>
    </row>
    <row r="237" spans="1:9">
      <c r="A237" t="s">
        <v>384</v>
      </c>
      <c r="B237" t="s">
        <v>41</v>
      </c>
      <c r="C237">
        <v>0</v>
      </c>
      <c r="D237">
        <v>0</v>
      </c>
      <c r="E237">
        <v>0</v>
      </c>
      <c r="F237">
        <v>318</v>
      </c>
      <c r="G237">
        <v>0</v>
      </c>
      <c r="H237">
        <v>0</v>
      </c>
      <c r="I237">
        <v>0</v>
      </c>
    </row>
    <row r="238" spans="1:9">
      <c r="A238" t="s">
        <v>384</v>
      </c>
      <c r="B238" t="s">
        <v>42</v>
      </c>
      <c r="C238">
        <v>0</v>
      </c>
      <c r="D238">
        <v>0</v>
      </c>
      <c r="E238">
        <v>0</v>
      </c>
      <c r="F238">
        <v>2</v>
      </c>
      <c r="G238">
        <v>0</v>
      </c>
      <c r="H238">
        <v>0</v>
      </c>
      <c r="I238">
        <v>0</v>
      </c>
    </row>
    <row r="239" spans="1:9">
      <c r="A239" t="s">
        <v>384</v>
      </c>
      <c r="B239" t="s">
        <v>43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385</v>
      </c>
      <c r="B240" t="s">
        <v>38</v>
      </c>
      <c r="C240">
        <v>1711</v>
      </c>
      <c r="D240">
        <v>313</v>
      </c>
      <c r="E240">
        <v>158818</v>
      </c>
      <c r="F240">
        <v>135738</v>
      </c>
      <c r="G240">
        <v>6</v>
      </c>
      <c r="H240">
        <v>28</v>
      </c>
      <c r="I240">
        <v>0</v>
      </c>
    </row>
    <row r="241" spans="1:9">
      <c r="A241" t="s">
        <v>385</v>
      </c>
      <c r="B241" t="s">
        <v>39</v>
      </c>
      <c r="C241">
        <v>96</v>
      </c>
      <c r="D241">
        <v>2617</v>
      </c>
      <c r="E241">
        <v>1739</v>
      </c>
      <c r="F241">
        <v>248661</v>
      </c>
      <c r="G241">
        <v>0</v>
      </c>
      <c r="H241">
        <v>139</v>
      </c>
      <c r="I241">
        <v>0</v>
      </c>
    </row>
    <row r="242" spans="1:9">
      <c r="A242" t="s">
        <v>385</v>
      </c>
      <c r="B242" t="s">
        <v>40</v>
      </c>
      <c r="C242">
        <v>0</v>
      </c>
      <c r="D242">
        <v>0</v>
      </c>
      <c r="E242">
        <v>0</v>
      </c>
      <c r="F242">
        <v>26</v>
      </c>
      <c r="G242">
        <v>0</v>
      </c>
      <c r="H242">
        <v>0</v>
      </c>
      <c r="I242">
        <v>0</v>
      </c>
    </row>
    <row r="243" spans="1:9">
      <c r="A243" t="s">
        <v>385</v>
      </c>
      <c r="B243" t="s">
        <v>41</v>
      </c>
      <c r="C243">
        <v>0</v>
      </c>
      <c r="D243">
        <v>0</v>
      </c>
      <c r="E243">
        <v>0</v>
      </c>
      <c r="F243">
        <v>891</v>
      </c>
      <c r="G243">
        <v>0</v>
      </c>
      <c r="H243">
        <v>0</v>
      </c>
      <c r="I243">
        <v>0</v>
      </c>
    </row>
    <row r="244" spans="1:9">
      <c r="A244" t="s">
        <v>385</v>
      </c>
      <c r="B244" t="s">
        <v>42</v>
      </c>
      <c r="C244">
        <v>0</v>
      </c>
      <c r="D244">
        <v>0</v>
      </c>
      <c r="E244">
        <v>0</v>
      </c>
      <c r="F244">
        <v>3</v>
      </c>
      <c r="G244">
        <v>0</v>
      </c>
      <c r="H244">
        <v>0</v>
      </c>
      <c r="I244">
        <v>0</v>
      </c>
    </row>
    <row r="245" spans="1:9">
      <c r="A245" t="s">
        <v>385</v>
      </c>
      <c r="B245" t="s">
        <v>43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386</v>
      </c>
      <c r="B246" t="s">
        <v>38</v>
      </c>
      <c r="C246">
        <v>126</v>
      </c>
      <c r="D246">
        <v>23</v>
      </c>
      <c r="E246">
        <v>11662</v>
      </c>
      <c r="F246">
        <v>9967</v>
      </c>
      <c r="G246">
        <v>0</v>
      </c>
      <c r="H246">
        <v>2</v>
      </c>
      <c r="I246">
        <v>0</v>
      </c>
    </row>
    <row r="247" spans="1:9">
      <c r="A247" t="s">
        <v>386</v>
      </c>
      <c r="B247" t="s">
        <v>39</v>
      </c>
      <c r="C247">
        <v>7</v>
      </c>
      <c r="D247">
        <v>192</v>
      </c>
      <c r="E247">
        <v>128</v>
      </c>
      <c r="F247">
        <v>18259</v>
      </c>
      <c r="G247">
        <v>0</v>
      </c>
      <c r="H247">
        <v>10</v>
      </c>
      <c r="I247">
        <v>0</v>
      </c>
    </row>
    <row r="248" spans="1:9">
      <c r="A248" t="s">
        <v>386</v>
      </c>
      <c r="B248" t="s">
        <v>40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</row>
    <row r="249" spans="1:9">
      <c r="A249" t="s">
        <v>386</v>
      </c>
      <c r="B249" t="s">
        <v>41</v>
      </c>
      <c r="C249">
        <v>0</v>
      </c>
      <c r="D249">
        <v>0</v>
      </c>
      <c r="E249">
        <v>0</v>
      </c>
      <c r="F249">
        <v>3</v>
      </c>
      <c r="G249">
        <v>0</v>
      </c>
      <c r="H249">
        <v>0</v>
      </c>
      <c r="I249">
        <v>0</v>
      </c>
    </row>
    <row r="250" spans="1:9">
      <c r="A250" t="s">
        <v>386</v>
      </c>
      <c r="B250" t="s">
        <v>42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</row>
    <row r="251" spans="1:9">
      <c r="A251" t="s">
        <v>386</v>
      </c>
      <c r="B251" t="s">
        <v>43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387</v>
      </c>
      <c r="B252" t="s">
        <v>38</v>
      </c>
      <c r="C252">
        <v>801</v>
      </c>
      <c r="D252">
        <v>146</v>
      </c>
      <c r="E252">
        <v>74363</v>
      </c>
      <c r="F252">
        <v>63556</v>
      </c>
      <c r="G252">
        <v>3</v>
      </c>
      <c r="H252">
        <v>13</v>
      </c>
      <c r="I252">
        <v>0</v>
      </c>
    </row>
    <row r="253" spans="1:9">
      <c r="A253" t="s">
        <v>387</v>
      </c>
      <c r="B253" t="s">
        <v>39</v>
      </c>
      <c r="C253">
        <v>45</v>
      </c>
      <c r="D253">
        <v>1225</v>
      </c>
      <c r="E253">
        <v>814</v>
      </c>
      <c r="F253">
        <v>116430</v>
      </c>
      <c r="G253">
        <v>0</v>
      </c>
      <c r="H253">
        <v>65</v>
      </c>
      <c r="I253">
        <v>0</v>
      </c>
    </row>
    <row r="254" spans="1:9">
      <c r="A254" t="s">
        <v>387</v>
      </c>
      <c r="B254" t="s">
        <v>40</v>
      </c>
      <c r="C254">
        <v>0</v>
      </c>
      <c r="D254">
        <v>0</v>
      </c>
      <c r="E254">
        <v>0</v>
      </c>
      <c r="F254">
        <v>8</v>
      </c>
      <c r="G254">
        <v>0</v>
      </c>
      <c r="H254">
        <v>0</v>
      </c>
      <c r="I254">
        <v>0</v>
      </c>
    </row>
    <row r="255" spans="1:9">
      <c r="A255" t="s">
        <v>387</v>
      </c>
      <c r="B255" t="s">
        <v>41</v>
      </c>
      <c r="C255">
        <v>0</v>
      </c>
      <c r="D255">
        <v>0</v>
      </c>
      <c r="E255">
        <v>0</v>
      </c>
      <c r="F255">
        <v>386</v>
      </c>
      <c r="G255">
        <v>0</v>
      </c>
      <c r="H255">
        <v>0</v>
      </c>
      <c r="I255">
        <v>0</v>
      </c>
    </row>
    <row r="256" spans="1:9">
      <c r="A256" t="s">
        <v>387</v>
      </c>
      <c r="B256" t="s">
        <v>42</v>
      </c>
      <c r="C256">
        <v>0</v>
      </c>
      <c r="D256">
        <v>0</v>
      </c>
      <c r="E256">
        <v>0</v>
      </c>
      <c r="F256">
        <v>2</v>
      </c>
      <c r="G256">
        <v>0</v>
      </c>
      <c r="H256">
        <v>0</v>
      </c>
      <c r="I256">
        <v>0</v>
      </c>
    </row>
    <row r="257" spans="1:9">
      <c r="A257" t="s">
        <v>387</v>
      </c>
      <c r="B257" t="s">
        <v>43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388</v>
      </c>
      <c r="B258" t="s">
        <v>38</v>
      </c>
      <c r="C258">
        <v>239</v>
      </c>
      <c r="D258">
        <v>44</v>
      </c>
      <c r="E258">
        <v>22138</v>
      </c>
      <c r="F258">
        <v>18920</v>
      </c>
      <c r="G258">
        <v>1</v>
      </c>
      <c r="H258">
        <v>4</v>
      </c>
      <c r="I258">
        <v>0</v>
      </c>
    </row>
    <row r="259" spans="1:9">
      <c r="A259" t="s">
        <v>388</v>
      </c>
      <c r="B259" t="s">
        <v>39</v>
      </c>
      <c r="C259">
        <v>13</v>
      </c>
      <c r="D259">
        <v>365</v>
      </c>
      <c r="E259">
        <v>242</v>
      </c>
      <c r="F259">
        <v>34661</v>
      </c>
      <c r="G259">
        <v>0</v>
      </c>
      <c r="H259">
        <v>19</v>
      </c>
      <c r="I259">
        <v>0</v>
      </c>
    </row>
    <row r="260" spans="1:9">
      <c r="A260" t="s">
        <v>388</v>
      </c>
      <c r="B260" t="s">
        <v>40</v>
      </c>
      <c r="C260">
        <v>0</v>
      </c>
      <c r="D260">
        <v>0</v>
      </c>
      <c r="E260">
        <v>0</v>
      </c>
      <c r="F260">
        <v>2</v>
      </c>
      <c r="G260">
        <v>0</v>
      </c>
      <c r="H260">
        <v>0</v>
      </c>
      <c r="I260">
        <v>0</v>
      </c>
    </row>
    <row r="261" spans="1:9">
      <c r="A261" t="s">
        <v>388</v>
      </c>
      <c r="B261" t="s">
        <v>41</v>
      </c>
      <c r="C261">
        <v>0</v>
      </c>
      <c r="D261">
        <v>0</v>
      </c>
      <c r="E261">
        <v>0</v>
      </c>
      <c r="F261">
        <v>89</v>
      </c>
      <c r="G261">
        <v>0</v>
      </c>
      <c r="H261">
        <v>0</v>
      </c>
      <c r="I261">
        <v>0</v>
      </c>
    </row>
    <row r="262" spans="1:9">
      <c r="A262" t="s">
        <v>388</v>
      </c>
      <c r="B262" t="s">
        <v>42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388</v>
      </c>
      <c r="B263" t="s">
        <v>43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1962</v>
      </c>
      <c r="B264" t="s">
        <v>38</v>
      </c>
      <c r="C264">
        <v>1501</v>
      </c>
      <c r="D264">
        <v>15153</v>
      </c>
      <c r="E264">
        <v>12396598</v>
      </c>
      <c r="F264">
        <v>10118227</v>
      </c>
      <c r="G264">
        <v>2849</v>
      </c>
      <c r="H264">
        <v>5509</v>
      </c>
      <c r="I264">
        <v>286</v>
      </c>
    </row>
    <row r="265" spans="1:9">
      <c r="A265" t="s">
        <v>1962</v>
      </c>
      <c r="B265" t="s">
        <v>39</v>
      </c>
      <c r="C265">
        <v>113</v>
      </c>
      <c r="D265">
        <v>44406</v>
      </c>
      <c r="E265">
        <v>47628</v>
      </c>
      <c r="F265">
        <v>4927361</v>
      </c>
      <c r="G265">
        <v>501</v>
      </c>
      <c r="H265">
        <v>3747</v>
      </c>
      <c r="I265">
        <v>297</v>
      </c>
    </row>
    <row r="266" spans="1:9">
      <c r="A266" t="s">
        <v>1962</v>
      </c>
      <c r="B266" t="s">
        <v>40</v>
      </c>
      <c r="C266">
        <v>0</v>
      </c>
      <c r="D266">
        <v>0</v>
      </c>
      <c r="E266">
        <v>0</v>
      </c>
      <c r="F266">
        <v>859</v>
      </c>
      <c r="G266">
        <v>0</v>
      </c>
      <c r="H266">
        <v>0</v>
      </c>
      <c r="I266">
        <v>0</v>
      </c>
    </row>
    <row r="267" spans="1:9">
      <c r="A267" t="s">
        <v>1962</v>
      </c>
      <c r="B267" t="s">
        <v>41</v>
      </c>
      <c r="C267">
        <v>0</v>
      </c>
      <c r="D267">
        <v>0</v>
      </c>
      <c r="E267">
        <v>0</v>
      </c>
      <c r="F267">
        <v>24937</v>
      </c>
      <c r="G267">
        <v>0</v>
      </c>
      <c r="H267">
        <v>0</v>
      </c>
      <c r="I267">
        <v>0</v>
      </c>
    </row>
    <row r="268" spans="1:9">
      <c r="A268" t="s">
        <v>1962</v>
      </c>
      <c r="B268" t="s">
        <v>42</v>
      </c>
      <c r="C268">
        <v>0</v>
      </c>
      <c r="D268">
        <v>0</v>
      </c>
      <c r="E268">
        <v>0</v>
      </c>
      <c r="F268">
        <v>9652</v>
      </c>
      <c r="G268">
        <v>0</v>
      </c>
      <c r="H268">
        <v>0</v>
      </c>
      <c r="I268">
        <v>0</v>
      </c>
    </row>
    <row r="269" spans="1:9">
      <c r="A269" t="s">
        <v>1962</v>
      </c>
      <c r="B269" t="s">
        <v>43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389</v>
      </c>
      <c r="B270" t="s">
        <v>38</v>
      </c>
      <c r="C270">
        <v>1174</v>
      </c>
      <c r="D270">
        <v>215</v>
      </c>
      <c r="E270">
        <v>108971</v>
      </c>
      <c r="F270">
        <v>93135</v>
      </c>
      <c r="G270">
        <v>4</v>
      </c>
      <c r="H270">
        <v>19</v>
      </c>
      <c r="I270">
        <v>0</v>
      </c>
    </row>
    <row r="271" spans="1:9">
      <c r="A271" t="s">
        <v>389</v>
      </c>
      <c r="B271" t="s">
        <v>39</v>
      </c>
      <c r="C271">
        <v>66</v>
      </c>
      <c r="D271">
        <v>1796</v>
      </c>
      <c r="E271">
        <v>1193</v>
      </c>
      <c r="F271">
        <v>170616</v>
      </c>
      <c r="G271">
        <v>0</v>
      </c>
      <c r="H271">
        <v>96</v>
      </c>
      <c r="I271">
        <v>0</v>
      </c>
    </row>
    <row r="272" spans="1:9">
      <c r="A272" t="s">
        <v>389</v>
      </c>
      <c r="B272" t="s">
        <v>40</v>
      </c>
      <c r="C272">
        <v>0</v>
      </c>
      <c r="D272">
        <v>0</v>
      </c>
      <c r="E272">
        <v>0</v>
      </c>
      <c r="F272">
        <v>147</v>
      </c>
      <c r="G272">
        <v>0</v>
      </c>
      <c r="H272">
        <v>0</v>
      </c>
      <c r="I272">
        <v>0</v>
      </c>
    </row>
    <row r="273" spans="1:9">
      <c r="A273" t="s">
        <v>389</v>
      </c>
      <c r="B273" t="s">
        <v>41</v>
      </c>
      <c r="C273">
        <v>0</v>
      </c>
      <c r="D273">
        <v>0</v>
      </c>
      <c r="E273">
        <v>0</v>
      </c>
      <c r="F273">
        <v>511</v>
      </c>
      <c r="G273">
        <v>0</v>
      </c>
      <c r="H273">
        <v>0</v>
      </c>
      <c r="I273">
        <v>0</v>
      </c>
    </row>
    <row r="274" spans="1:9">
      <c r="A274" t="s">
        <v>389</v>
      </c>
      <c r="B274" t="s">
        <v>42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</row>
    <row r="275" spans="1:9">
      <c r="A275" t="s">
        <v>389</v>
      </c>
      <c r="B275" t="s">
        <v>43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390</v>
      </c>
      <c r="B276" t="s">
        <v>38</v>
      </c>
      <c r="C276">
        <v>3984</v>
      </c>
      <c r="D276">
        <v>728</v>
      </c>
      <c r="E276">
        <v>369709</v>
      </c>
      <c r="F276">
        <v>315980</v>
      </c>
      <c r="G276">
        <v>14</v>
      </c>
      <c r="H276">
        <v>64</v>
      </c>
      <c r="I276">
        <v>0</v>
      </c>
    </row>
    <row r="277" spans="1:9">
      <c r="A277" t="s">
        <v>390</v>
      </c>
      <c r="B277" t="s">
        <v>39</v>
      </c>
      <c r="C277">
        <v>224</v>
      </c>
      <c r="D277">
        <v>6092</v>
      </c>
      <c r="E277">
        <v>4048</v>
      </c>
      <c r="F277">
        <v>578851</v>
      </c>
      <c r="G277">
        <v>0</v>
      </c>
      <c r="H277">
        <v>324</v>
      </c>
      <c r="I277">
        <v>0</v>
      </c>
    </row>
    <row r="278" spans="1:9">
      <c r="A278" t="s">
        <v>390</v>
      </c>
      <c r="B278" t="s">
        <v>40</v>
      </c>
      <c r="C278">
        <v>0</v>
      </c>
      <c r="D278">
        <v>0</v>
      </c>
      <c r="E278">
        <v>0</v>
      </c>
      <c r="F278">
        <v>69</v>
      </c>
      <c r="G278">
        <v>0</v>
      </c>
      <c r="H278">
        <v>0</v>
      </c>
      <c r="I278">
        <v>0</v>
      </c>
    </row>
    <row r="279" spans="1:9">
      <c r="A279" t="s">
        <v>390</v>
      </c>
      <c r="B279" t="s">
        <v>41</v>
      </c>
      <c r="C279">
        <v>0</v>
      </c>
      <c r="D279">
        <v>0</v>
      </c>
      <c r="E279">
        <v>0</v>
      </c>
      <c r="F279">
        <v>2205</v>
      </c>
      <c r="G279">
        <v>0</v>
      </c>
      <c r="H279">
        <v>0</v>
      </c>
      <c r="I279">
        <v>0</v>
      </c>
    </row>
    <row r="280" spans="1:9">
      <c r="A280" t="s">
        <v>390</v>
      </c>
      <c r="B280" t="s">
        <v>42</v>
      </c>
      <c r="C280">
        <v>0</v>
      </c>
      <c r="D280">
        <v>0</v>
      </c>
      <c r="E280">
        <v>0</v>
      </c>
      <c r="F280">
        <v>48</v>
      </c>
      <c r="G280">
        <v>0</v>
      </c>
      <c r="H280">
        <v>0</v>
      </c>
      <c r="I280">
        <v>0</v>
      </c>
    </row>
    <row r="281" spans="1:9">
      <c r="A281" t="s">
        <v>390</v>
      </c>
      <c r="B281" t="s">
        <v>43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1963</v>
      </c>
      <c r="B282" t="s">
        <v>38</v>
      </c>
      <c r="C282">
        <v>1501</v>
      </c>
      <c r="D282">
        <v>15153</v>
      </c>
      <c r="E282">
        <v>12396598</v>
      </c>
      <c r="F282">
        <v>10118227</v>
      </c>
      <c r="G282">
        <v>2849</v>
      </c>
      <c r="H282">
        <v>5509</v>
      </c>
      <c r="I282">
        <v>286</v>
      </c>
    </row>
    <row r="283" spans="1:9">
      <c r="A283" t="s">
        <v>1963</v>
      </c>
      <c r="B283" t="s">
        <v>39</v>
      </c>
      <c r="C283">
        <v>113</v>
      </c>
      <c r="D283">
        <v>44406</v>
      </c>
      <c r="E283">
        <v>47628</v>
      </c>
      <c r="F283">
        <v>4927361</v>
      </c>
      <c r="G283">
        <v>501</v>
      </c>
      <c r="H283">
        <v>3747</v>
      </c>
      <c r="I283">
        <v>297</v>
      </c>
    </row>
    <row r="284" spans="1:9">
      <c r="A284" t="s">
        <v>1963</v>
      </c>
      <c r="B284" t="s">
        <v>40</v>
      </c>
      <c r="C284">
        <v>0</v>
      </c>
      <c r="D284">
        <v>0</v>
      </c>
      <c r="E284">
        <v>0</v>
      </c>
      <c r="F284">
        <v>859</v>
      </c>
      <c r="G284">
        <v>0</v>
      </c>
      <c r="H284">
        <v>0</v>
      </c>
      <c r="I284">
        <v>0</v>
      </c>
    </row>
    <row r="285" spans="1:9">
      <c r="A285" t="s">
        <v>1963</v>
      </c>
      <c r="B285" t="s">
        <v>41</v>
      </c>
      <c r="C285">
        <v>0</v>
      </c>
      <c r="D285">
        <v>0</v>
      </c>
      <c r="E285">
        <v>0</v>
      </c>
      <c r="F285">
        <v>24937</v>
      </c>
      <c r="G285">
        <v>0</v>
      </c>
      <c r="H285">
        <v>0</v>
      </c>
      <c r="I285">
        <v>0</v>
      </c>
    </row>
    <row r="286" spans="1:9">
      <c r="A286" t="s">
        <v>1963</v>
      </c>
      <c r="B286" t="s">
        <v>42</v>
      </c>
      <c r="C286">
        <v>0</v>
      </c>
      <c r="D286">
        <v>0</v>
      </c>
      <c r="E286">
        <v>0</v>
      </c>
      <c r="F286">
        <v>9652</v>
      </c>
      <c r="G286">
        <v>0</v>
      </c>
      <c r="H286">
        <v>0</v>
      </c>
      <c r="I286">
        <v>0</v>
      </c>
    </row>
    <row r="287" spans="1:9">
      <c r="A287" t="s">
        <v>1963</v>
      </c>
      <c r="B287" t="s">
        <v>43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395</v>
      </c>
      <c r="B288" t="s">
        <v>38</v>
      </c>
      <c r="C288">
        <v>493</v>
      </c>
      <c r="D288">
        <v>90</v>
      </c>
      <c r="E288">
        <v>45742</v>
      </c>
      <c r="F288">
        <v>39094</v>
      </c>
      <c r="G288">
        <v>2</v>
      </c>
      <c r="H288">
        <v>8</v>
      </c>
      <c r="I288">
        <v>0</v>
      </c>
    </row>
    <row r="289" spans="1:9">
      <c r="A289" t="s">
        <v>395</v>
      </c>
      <c r="B289" t="s">
        <v>39</v>
      </c>
      <c r="C289">
        <v>28</v>
      </c>
      <c r="D289">
        <v>754</v>
      </c>
      <c r="E289">
        <v>501</v>
      </c>
      <c r="F289">
        <v>71618</v>
      </c>
      <c r="G289">
        <v>0</v>
      </c>
      <c r="H289">
        <v>40</v>
      </c>
      <c r="I289">
        <v>0</v>
      </c>
    </row>
    <row r="290" spans="1:9">
      <c r="A290" t="s">
        <v>395</v>
      </c>
      <c r="B290" t="s">
        <v>40</v>
      </c>
      <c r="C290">
        <v>0</v>
      </c>
      <c r="D290">
        <v>0</v>
      </c>
      <c r="E290">
        <v>0</v>
      </c>
      <c r="F290">
        <v>7</v>
      </c>
      <c r="G290">
        <v>0</v>
      </c>
      <c r="H290">
        <v>0</v>
      </c>
      <c r="I290">
        <v>0</v>
      </c>
    </row>
    <row r="291" spans="1:9">
      <c r="A291" t="s">
        <v>395</v>
      </c>
      <c r="B291" t="s">
        <v>41</v>
      </c>
      <c r="C291">
        <v>0</v>
      </c>
      <c r="D291">
        <v>0</v>
      </c>
      <c r="E291">
        <v>0</v>
      </c>
      <c r="F291">
        <v>219</v>
      </c>
      <c r="G291">
        <v>0</v>
      </c>
      <c r="H291">
        <v>0</v>
      </c>
      <c r="I291">
        <v>0</v>
      </c>
    </row>
    <row r="292" spans="1:9">
      <c r="A292" t="s">
        <v>395</v>
      </c>
      <c r="B292" t="s">
        <v>42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395</v>
      </c>
      <c r="B293" t="s">
        <v>43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396</v>
      </c>
      <c r="B294" t="s">
        <v>38</v>
      </c>
      <c r="C294">
        <v>1231</v>
      </c>
      <c r="D294">
        <v>225</v>
      </c>
      <c r="E294">
        <v>114264</v>
      </c>
      <c r="F294">
        <v>97658</v>
      </c>
      <c r="G294">
        <v>4</v>
      </c>
      <c r="H294">
        <v>20</v>
      </c>
      <c r="I294">
        <v>0</v>
      </c>
    </row>
    <row r="295" spans="1:9">
      <c r="A295" t="s">
        <v>396</v>
      </c>
      <c r="B295" t="s">
        <v>39</v>
      </c>
      <c r="C295">
        <v>69</v>
      </c>
      <c r="D295">
        <v>1883</v>
      </c>
      <c r="E295">
        <v>1251</v>
      </c>
      <c r="F295">
        <v>178902</v>
      </c>
      <c r="G295">
        <v>0</v>
      </c>
      <c r="H295">
        <v>100</v>
      </c>
      <c r="I295">
        <v>0</v>
      </c>
    </row>
    <row r="296" spans="1:9">
      <c r="A296" t="s">
        <v>396</v>
      </c>
      <c r="B296" t="s">
        <v>40</v>
      </c>
      <c r="C296">
        <v>0</v>
      </c>
      <c r="D296">
        <v>0</v>
      </c>
      <c r="E296">
        <v>0</v>
      </c>
      <c r="F296">
        <v>8</v>
      </c>
      <c r="G296">
        <v>0</v>
      </c>
      <c r="H296">
        <v>0</v>
      </c>
      <c r="I296">
        <v>0</v>
      </c>
    </row>
    <row r="297" spans="1:9">
      <c r="A297" t="s">
        <v>396</v>
      </c>
      <c r="B297" t="s">
        <v>41</v>
      </c>
      <c r="C297">
        <v>0</v>
      </c>
      <c r="D297">
        <v>0</v>
      </c>
      <c r="E297">
        <v>0</v>
      </c>
      <c r="F297">
        <v>617</v>
      </c>
      <c r="G297">
        <v>0</v>
      </c>
      <c r="H297">
        <v>0</v>
      </c>
      <c r="I297">
        <v>0</v>
      </c>
    </row>
    <row r="298" spans="1:9">
      <c r="A298" t="s">
        <v>396</v>
      </c>
      <c r="B298" t="s">
        <v>42</v>
      </c>
      <c r="C298">
        <v>0</v>
      </c>
      <c r="D298">
        <v>0</v>
      </c>
      <c r="E298">
        <v>0</v>
      </c>
      <c r="F298">
        <v>4</v>
      </c>
      <c r="G298">
        <v>0</v>
      </c>
      <c r="H298">
        <v>0</v>
      </c>
      <c r="I298">
        <v>0</v>
      </c>
    </row>
    <row r="299" spans="1:9">
      <c r="A299" t="s">
        <v>396</v>
      </c>
      <c r="B299" t="s">
        <v>43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397</v>
      </c>
      <c r="B300" t="s">
        <v>38</v>
      </c>
      <c r="C300">
        <v>118</v>
      </c>
      <c r="D300">
        <v>22</v>
      </c>
      <c r="E300">
        <v>10988</v>
      </c>
      <c r="F300">
        <v>9391</v>
      </c>
      <c r="G300">
        <v>0</v>
      </c>
      <c r="H300">
        <v>2</v>
      </c>
      <c r="I300">
        <v>0</v>
      </c>
    </row>
    <row r="301" spans="1:9">
      <c r="A301" t="s">
        <v>397</v>
      </c>
      <c r="B301" t="s">
        <v>39</v>
      </c>
      <c r="C301">
        <v>7</v>
      </c>
      <c r="D301">
        <v>181</v>
      </c>
      <c r="E301">
        <v>120</v>
      </c>
      <c r="F301">
        <v>17204</v>
      </c>
      <c r="G301">
        <v>0</v>
      </c>
      <c r="H301">
        <v>10</v>
      </c>
      <c r="I301">
        <v>0</v>
      </c>
    </row>
    <row r="302" spans="1:9">
      <c r="A302" t="s">
        <v>397</v>
      </c>
      <c r="B302" t="s">
        <v>40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397</v>
      </c>
      <c r="B303" t="s">
        <v>41</v>
      </c>
      <c r="C303">
        <v>0</v>
      </c>
      <c r="D303">
        <v>0</v>
      </c>
      <c r="E303">
        <v>0</v>
      </c>
      <c r="F303">
        <v>8</v>
      </c>
      <c r="G303">
        <v>0</v>
      </c>
      <c r="H303">
        <v>0</v>
      </c>
      <c r="I303">
        <v>0</v>
      </c>
    </row>
    <row r="304" spans="1:9">
      <c r="A304" t="s">
        <v>397</v>
      </c>
      <c r="B304" t="s">
        <v>42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</row>
    <row r="305" spans="1:9">
      <c r="A305" t="s">
        <v>397</v>
      </c>
      <c r="B305" t="s">
        <v>43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398</v>
      </c>
      <c r="B306" t="s">
        <v>38</v>
      </c>
      <c r="C306">
        <v>1190</v>
      </c>
      <c r="D306">
        <v>217</v>
      </c>
      <c r="E306">
        <v>110414</v>
      </c>
      <c r="F306">
        <v>94368</v>
      </c>
      <c r="G306">
        <v>4</v>
      </c>
      <c r="H306">
        <v>19</v>
      </c>
      <c r="I306">
        <v>0</v>
      </c>
    </row>
    <row r="307" spans="1:9">
      <c r="A307" t="s">
        <v>398</v>
      </c>
      <c r="B307" t="s">
        <v>39</v>
      </c>
      <c r="C307">
        <v>67</v>
      </c>
      <c r="D307">
        <v>1819</v>
      </c>
      <c r="E307">
        <v>1209</v>
      </c>
      <c r="F307">
        <v>172875</v>
      </c>
      <c r="G307">
        <v>0</v>
      </c>
      <c r="H307">
        <v>97</v>
      </c>
      <c r="I307">
        <v>0</v>
      </c>
    </row>
    <row r="308" spans="1:9">
      <c r="A308" t="s">
        <v>398</v>
      </c>
      <c r="B308" t="s">
        <v>40</v>
      </c>
      <c r="C308">
        <v>0</v>
      </c>
      <c r="D308">
        <v>0</v>
      </c>
      <c r="E308">
        <v>0</v>
      </c>
      <c r="F308">
        <v>23</v>
      </c>
      <c r="G308">
        <v>0</v>
      </c>
      <c r="H308">
        <v>0</v>
      </c>
      <c r="I308">
        <v>0</v>
      </c>
    </row>
    <row r="309" spans="1:9">
      <c r="A309" t="s">
        <v>398</v>
      </c>
      <c r="B309" t="s">
        <v>41</v>
      </c>
      <c r="C309">
        <v>0</v>
      </c>
      <c r="D309">
        <v>0</v>
      </c>
      <c r="E309">
        <v>0</v>
      </c>
      <c r="F309">
        <v>879</v>
      </c>
      <c r="G309">
        <v>0</v>
      </c>
      <c r="H309">
        <v>0</v>
      </c>
      <c r="I309">
        <v>0</v>
      </c>
    </row>
    <row r="310" spans="1:9">
      <c r="A310" t="s">
        <v>398</v>
      </c>
      <c r="B310" t="s">
        <v>42</v>
      </c>
      <c r="C310">
        <v>0</v>
      </c>
      <c r="D310">
        <v>0</v>
      </c>
      <c r="E310">
        <v>0</v>
      </c>
      <c r="F310">
        <v>6</v>
      </c>
      <c r="G310">
        <v>0</v>
      </c>
      <c r="H310">
        <v>0</v>
      </c>
      <c r="I310">
        <v>0</v>
      </c>
    </row>
    <row r="311" spans="1:9">
      <c r="A311" t="s">
        <v>398</v>
      </c>
      <c r="B311" t="s">
        <v>43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399</v>
      </c>
      <c r="B312" t="s">
        <v>38</v>
      </c>
      <c r="C312">
        <v>980</v>
      </c>
      <c r="D312">
        <v>179</v>
      </c>
      <c r="E312">
        <v>90933</v>
      </c>
      <c r="F312">
        <v>77718</v>
      </c>
      <c r="G312">
        <v>3</v>
      </c>
      <c r="H312">
        <v>16</v>
      </c>
      <c r="I312">
        <v>0</v>
      </c>
    </row>
    <row r="313" spans="1:9">
      <c r="A313" t="s">
        <v>399</v>
      </c>
      <c r="B313" t="s">
        <v>39</v>
      </c>
      <c r="C313">
        <v>55</v>
      </c>
      <c r="D313">
        <v>1498</v>
      </c>
      <c r="E313">
        <v>996</v>
      </c>
      <c r="F313">
        <v>142373</v>
      </c>
      <c r="G313">
        <v>0</v>
      </c>
      <c r="H313">
        <v>80</v>
      </c>
      <c r="I313">
        <v>0</v>
      </c>
    </row>
    <row r="314" spans="1:9">
      <c r="A314" t="s">
        <v>399</v>
      </c>
      <c r="B314" t="s">
        <v>40</v>
      </c>
      <c r="C314">
        <v>0</v>
      </c>
      <c r="D314">
        <v>0</v>
      </c>
      <c r="E314">
        <v>0</v>
      </c>
      <c r="F314">
        <v>5</v>
      </c>
      <c r="G314">
        <v>0</v>
      </c>
      <c r="H314">
        <v>0</v>
      </c>
      <c r="I314">
        <v>0</v>
      </c>
    </row>
    <row r="315" spans="1:9">
      <c r="A315" t="s">
        <v>399</v>
      </c>
      <c r="B315" t="s">
        <v>41</v>
      </c>
      <c r="C315">
        <v>0</v>
      </c>
      <c r="D315">
        <v>0</v>
      </c>
      <c r="E315">
        <v>0</v>
      </c>
      <c r="F315">
        <v>293</v>
      </c>
      <c r="G315">
        <v>0</v>
      </c>
      <c r="H315">
        <v>0</v>
      </c>
      <c r="I315">
        <v>0</v>
      </c>
    </row>
    <row r="316" spans="1:9">
      <c r="A316" t="s">
        <v>399</v>
      </c>
      <c r="B316" t="s">
        <v>42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</row>
    <row r="317" spans="1:9">
      <c r="A317" t="s">
        <v>399</v>
      </c>
      <c r="B317" t="s">
        <v>43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400</v>
      </c>
      <c r="B318" t="s">
        <v>38</v>
      </c>
      <c r="C318">
        <v>258</v>
      </c>
      <c r="D318">
        <v>47</v>
      </c>
      <c r="E318">
        <v>23962</v>
      </c>
      <c r="F318">
        <v>20479</v>
      </c>
      <c r="G318">
        <v>1</v>
      </c>
      <c r="H318">
        <v>4</v>
      </c>
      <c r="I318">
        <v>0</v>
      </c>
    </row>
    <row r="319" spans="1:9">
      <c r="A319" t="s">
        <v>400</v>
      </c>
      <c r="B319" t="s">
        <v>39</v>
      </c>
      <c r="C319">
        <v>15</v>
      </c>
      <c r="D319">
        <v>395</v>
      </c>
      <c r="E319">
        <v>262</v>
      </c>
      <c r="F319">
        <v>37517</v>
      </c>
      <c r="G319">
        <v>0</v>
      </c>
      <c r="H319">
        <v>21</v>
      </c>
      <c r="I319">
        <v>0</v>
      </c>
    </row>
    <row r="320" spans="1:9">
      <c r="A320" t="s">
        <v>400</v>
      </c>
      <c r="B320" t="s">
        <v>40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400</v>
      </c>
      <c r="B321" t="s">
        <v>41</v>
      </c>
      <c r="C321">
        <v>0</v>
      </c>
      <c r="D321">
        <v>0</v>
      </c>
      <c r="E321">
        <v>0</v>
      </c>
      <c r="F321">
        <v>239</v>
      </c>
      <c r="G321">
        <v>0</v>
      </c>
      <c r="H321">
        <v>0</v>
      </c>
      <c r="I321">
        <v>0</v>
      </c>
    </row>
    <row r="322" spans="1:9">
      <c r="A322" t="s">
        <v>400</v>
      </c>
      <c r="B322" t="s">
        <v>42</v>
      </c>
      <c r="C322">
        <v>0</v>
      </c>
      <c r="D322">
        <v>0</v>
      </c>
      <c r="E322">
        <v>0</v>
      </c>
      <c r="F322">
        <v>4</v>
      </c>
      <c r="G322">
        <v>0</v>
      </c>
      <c r="H322">
        <v>0</v>
      </c>
      <c r="I322">
        <v>0</v>
      </c>
    </row>
    <row r="323" spans="1:9">
      <c r="A323" t="s">
        <v>400</v>
      </c>
      <c r="B323" t="s">
        <v>43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401</v>
      </c>
      <c r="B324" t="s">
        <v>38</v>
      </c>
      <c r="C324">
        <v>170</v>
      </c>
      <c r="D324">
        <v>31</v>
      </c>
      <c r="E324">
        <v>15789</v>
      </c>
      <c r="F324">
        <v>13495</v>
      </c>
      <c r="G324">
        <v>1</v>
      </c>
      <c r="H324">
        <v>3</v>
      </c>
      <c r="I324">
        <v>0</v>
      </c>
    </row>
    <row r="325" spans="1:9">
      <c r="A325" t="s">
        <v>401</v>
      </c>
      <c r="B325" t="s">
        <v>39</v>
      </c>
      <c r="C325">
        <v>10</v>
      </c>
      <c r="D325">
        <v>260</v>
      </c>
      <c r="E325">
        <v>173</v>
      </c>
      <c r="F325">
        <v>24721</v>
      </c>
      <c r="G325">
        <v>0</v>
      </c>
      <c r="H325">
        <v>14</v>
      </c>
      <c r="I325">
        <v>0</v>
      </c>
    </row>
    <row r="326" spans="1:9">
      <c r="A326" t="s">
        <v>401</v>
      </c>
      <c r="B326" t="s">
        <v>40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401</v>
      </c>
      <c r="B327" t="s">
        <v>41</v>
      </c>
      <c r="C327">
        <v>0</v>
      </c>
      <c r="D327">
        <v>0</v>
      </c>
      <c r="E327">
        <v>0</v>
      </c>
      <c r="F327">
        <v>928</v>
      </c>
      <c r="G327">
        <v>0</v>
      </c>
      <c r="H327">
        <v>0</v>
      </c>
      <c r="I327">
        <v>0</v>
      </c>
    </row>
    <row r="328" spans="1:9">
      <c r="A328" t="s">
        <v>401</v>
      </c>
      <c r="B328" t="s">
        <v>42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401</v>
      </c>
      <c r="B329" t="s">
        <v>43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E70F-0900-4AAE-8541-EFD8781AB044}">
  <dimension ref="A1:E301"/>
  <sheetViews>
    <sheetView workbookViewId="0">
      <selection activeCell="A7" sqref="A7"/>
    </sheetView>
  </sheetViews>
  <sheetFormatPr defaultRowHeight="14.25"/>
  <sheetData>
    <row r="1" spans="1:5">
      <c r="B1" t="s">
        <v>44</v>
      </c>
      <c r="C1">
        <v>2015</v>
      </c>
      <c r="D1" t="s">
        <v>130</v>
      </c>
    </row>
    <row r="2" spans="1:5">
      <c r="A2" s="131">
        <v>0</v>
      </c>
      <c r="B2" s="131" t="s">
        <v>38</v>
      </c>
      <c r="C2" s="131">
        <v>1.67</v>
      </c>
      <c r="D2" s="131" t="s">
        <v>132</v>
      </c>
      <c r="E2" s="131" t="s">
        <v>1740</v>
      </c>
    </row>
    <row r="3" spans="1:5">
      <c r="A3" s="131">
        <v>1</v>
      </c>
      <c r="B3" s="131" t="s">
        <v>39</v>
      </c>
      <c r="C3" s="131">
        <v>21.196137259</v>
      </c>
      <c r="D3" s="131" t="s">
        <v>132</v>
      </c>
      <c r="E3" s="131" t="s">
        <v>1740</v>
      </c>
    </row>
    <row r="4" spans="1:5">
      <c r="A4" s="131">
        <v>2</v>
      </c>
      <c r="B4" s="131" t="s">
        <v>40</v>
      </c>
      <c r="C4" s="131">
        <v>111.394163064</v>
      </c>
      <c r="D4" s="131" t="s">
        <v>132</v>
      </c>
      <c r="E4" s="131" t="s">
        <v>1740</v>
      </c>
    </row>
    <row r="5" spans="1:5">
      <c r="A5" s="131">
        <v>3</v>
      </c>
      <c r="B5" s="131" t="s">
        <v>41</v>
      </c>
      <c r="C5" s="131">
        <v>15.34784043</v>
      </c>
      <c r="D5" s="131" t="s">
        <v>132</v>
      </c>
      <c r="E5" s="131" t="s">
        <v>1740</v>
      </c>
    </row>
    <row r="6" spans="1:5">
      <c r="A6" s="131">
        <v>4</v>
      </c>
      <c r="B6" s="131" t="s">
        <v>42</v>
      </c>
      <c r="C6" s="131">
        <v>1</v>
      </c>
      <c r="D6" s="131" t="s">
        <v>132</v>
      </c>
      <c r="E6" s="131" t="s">
        <v>1740</v>
      </c>
    </row>
    <row r="7" spans="1:5">
      <c r="A7" s="131">
        <v>5</v>
      </c>
      <c r="B7" s="131" t="s">
        <v>43</v>
      </c>
      <c r="C7" s="131">
        <v>1.2700756740000001</v>
      </c>
      <c r="D7" s="131" t="s">
        <v>132</v>
      </c>
      <c r="E7" s="131" t="s">
        <v>1740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2F825-07D6-4F77-8770-4FFB754C7343}">
  <dimension ref="A1:E301"/>
  <sheetViews>
    <sheetView workbookViewId="0">
      <selection activeCell="C16" sqref="C16"/>
    </sheetView>
  </sheetViews>
  <sheetFormatPr defaultRowHeight="14.25"/>
  <sheetData>
    <row r="1" spans="1:5">
      <c r="A1" s="131"/>
      <c r="B1" s="131" t="s">
        <v>45</v>
      </c>
      <c r="C1" s="131">
        <v>2021</v>
      </c>
      <c r="D1" s="131" t="s">
        <v>130</v>
      </c>
      <c r="E1" s="131" t="s">
        <v>1738</v>
      </c>
    </row>
    <row r="2" spans="1:5">
      <c r="A2" s="131">
        <v>0</v>
      </c>
      <c r="B2" s="131" t="s">
        <v>38</v>
      </c>
      <c r="C2" s="131">
        <v>1</v>
      </c>
      <c r="D2" s="131" t="s">
        <v>132</v>
      </c>
      <c r="E2" s="131" t="s">
        <v>1739</v>
      </c>
    </row>
    <row r="3" spans="1:5">
      <c r="A3" s="131">
        <v>1</v>
      </c>
      <c r="B3" s="131" t="s">
        <v>39</v>
      </c>
      <c r="C3" s="131">
        <v>16</v>
      </c>
      <c r="D3" s="131" t="s">
        <v>132</v>
      </c>
      <c r="E3" s="131" t="s">
        <v>1739</v>
      </c>
    </row>
    <row r="4" spans="1:5">
      <c r="A4" s="131">
        <v>2</v>
      </c>
      <c r="B4" s="131" t="s">
        <v>40</v>
      </c>
      <c r="C4" s="131">
        <v>41.989116133000003</v>
      </c>
      <c r="D4" s="131" t="s">
        <v>132</v>
      </c>
      <c r="E4" s="131" t="s">
        <v>1739</v>
      </c>
    </row>
    <row r="5" spans="1:5">
      <c r="A5" s="131">
        <v>3</v>
      </c>
      <c r="B5" s="131" t="s">
        <v>41</v>
      </c>
      <c r="C5" s="131">
        <v>3512.359164212</v>
      </c>
      <c r="D5" s="131" t="s">
        <v>132</v>
      </c>
      <c r="E5" s="131" t="s">
        <v>1739</v>
      </c>
    </row>
    <row r="6" spans="1:5">
      <c r="A6" s="131">
        <v>4</v>
      </c>
      <c r="B6" s="131" t="s">
        <v>42</v>
      </c>
      <c r="C6" s="131">
        <v>1974.4736422179999</v>
      </c>
      <c r="D6" s="131" t="s">
        <v>132</v>
      </c>
      <c r="E6" s="131" t="s">
        <v>1739</v>
      </c>
    </row>
    <row r="7" spans="1:5">
      <c r="A7" s="131">
        <v>5</v>
      </c>
      <c r="B7" s="131" t="s">
        <v>43</v>
      </c>
      <c r="C7" s="131">
        <v>0</v>
      </c>
      <c r="D7" s="131" t="s">
        <v>132</v>
      </c>
      <c r="E7" s="131" t="s">
        <v>1739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42897-95AC-4304-9CF2-1B3ED0BA27DE}">
  <dimension ref="A1:K301"/>
  <sheetViews>
    <sheetView workbookViewId="0">
      <selection activeCell="F1" sqref="F1:F1048576"/>
    </sheetView>
  </sheetViews>
  <sheetFormatPr defaultRowHeight="14.25"/>
  <cols>
    <col min="2" max="2" width="30.53125" bestFit="1" customWidth="1"/>
    <col min="3" max="10" width="8.3984375" customWidth="1"/>
  </cols>
  <sheetData>
    <row r="1" spans="1:11">
      <c r="B1" t="s">
        <v>46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130</v>
      </c>
    </row>
    <row r="2" spans="1:11">
      <c r="A2" s="16">
        <v>0</v>
      </c>
      <c r="B2" s="16" t="s">
        <v>38</v>
      </c>
      <c r="C2" s="16">
        <v>1.464487E-3</v>
      </c>
      <c r="D2" s="16">
        <v>2.85996E-4</v>
      </c>
      <c r="E2" s="16">
        <v>3.0811499999999997E-4</v>
      </c>
      <c r="F2" s="16">
        <v>3.4955099999999997E-4</v>
      </c>
      <c r="G2" s="16">
        <v>5.4440200000000004E-4</v>
      </c>
      <c r="H2" s="16">
        <v>2.4597200000000001E-4</v>
      </c>
      <c r="I2" s="16">
        <v>9.5477599999999995E-4</v>
      </c>
      <c r="J2" s="16" t="s">
        <v>132</v>
      </c>
      <c r="K2" s="16" t="s">
        <v>1874</v>
      </c>
    </row>
    <row r="3" spans="1:11">
      <c r="A3" s="16">
        <v>1</v>
      </c>
      <c r="B3" s="16" t="s">
        <v>39</v>
      </c>
      <c r="C3" s="16">
        <v>3.3199660000000001E-3</v>
      </c>
      <c r="D3" s="16">
        <v>2.3489660000000001E-3</v>
      </c>
      <c r="E3" s="16">
        <v>8.5179799999999996E-4</v>
      </c>
      <c r="F3" s="16">
        <v>1.033139E-3</v>
      </c>
      <c r="G3" s="16">
        <v>2.2908939999999999E-3</v>
      </c>
      <c r="H3" s="16">
        <v>1.8294439999999999E-3</v>
      </c>
      <c r="I3" s="16">
        <v>3.0994170000000001E-3</v>
      </c>
      <c r="J3" s="16" t="s">
        <v>132</v>
      </c>
      <c r="K3" s="16" t="s">
        <v>1874</v>
      </c>
    </row>
    <row r="4" spans="1:11">
      <c r="A4" s="16">
        <v>2</v>
      </c>
      <c r="B4" s="16" t="s">
        <v>40</v>
      </c>
      <c r="C4" s="16">
        <v>9.7898299999999989E-4</v>
      </c>
      <c r="D4" s="16">
        <v>3.0464899999999999E-4</v>
      </c>
      <c r="E4" s="16">
        <v>3.0464899999999999E-4</v>
      </c>
      <c r="F4" s="16">
        <v>3.0464899999999999E-4</v>
      </c>
      <c r="G4" s="16">
        <v>0</v>
      </c>
      <c r="H4" s="16">
        <v>0</v>
      </c>
      <c r="I4" s="16">
        <v>9.1394800000000004E-4</v>
      </c>
      <c r="J4" s="16" t="s">
        <v>132</v>
      </c>
      <c r="K4" s="16" t="s">
        <v>1874</v>
      </c>
    </row>
    <row r="5" spans="1:11">
      <c r="A5" s="16">
        <v>3</v>
      </c>
      <c r="B5" s="16" t="s">
        <v>41</v>
      </c>
      <c r="C5" s="16">
        <v>6.7428500000000005E-4</v>
      </c>
      <c r="D5" s="92">
        <v>5.05863E-5</v>
      </c>
      <c r="E5" s="92">
        <v>5.05863E-5</v>
      </c>
      <c r="F5" s="92">
        <v>5.05863E-5</v>
      </c>
      <c r="G5" s="16">
        <v>0</v>
      </c>
      <c r="H5" s="16">
        <v>0</v>
      </c>
      <c r="I5" s="16">
        <v>1.5175900000000001E-4</v>
      </c>
      <c r="J5" s="16" t="s">
        <v>132</v>
      </c>
      <c r="K5" s="16" t="s">
        <v>1874</v>
      </c>
    </row>
    <row r="6" spans="1:11">
      <c r="A6" s="16">
        <v>4</v>
      </c>
      <c r="B6" s="16" t="s">
        <v>42</v>
      </c>
      <c r="C6" s="92">
        <v>3.8151700000000003E-5</v>
      </c>
      <c r="D6" s="16">
        <v>0</v>
      </c>
      <c r="E6" s="92">
        <v>1.18724E-5</v>
      </c>
      <c r="F6" s="92">
        <v>1.18724E-5</v>
      </c>
      <c r="G6" s="16">
        <v>0</v>
      </c>
      <c r="H6" s="16">
        <v>0</v>
      </c>
      <c r="I6" s="92">
        <v>3.5617200000000002E-5</v>
      </c>
      <c r="J6" s="16" t="s">
        <v>132</v>
      </c>
      <c r="K6" s="16" t="s">
        <v>1874</v>
      </c>
    </row>
    <row r="7" spans="1:11">
      <c r="A7" s="16">
        <v>5</v>
      </c>
      <c r="B7" s="16" t="s">
        <v>43</v>
      </c>
      <c r="C7" s="16">
        <v>5.802878E-3</v>
      </c>
      <c r="D7" s="16">
        <v>1.822391E-3</v>
      </c>
      <c r="E7" s="16">
        <v>1.822391E-3</v>
      </c>
      <c r="F7" s="16">
        <v>1.822391E-3</v>
      </c>
      <c r="G7" s="16">
        <v>4.0116589999999999E-3</v>
      </c>
      <c r="H7" s="16">
        <v>1.4123530000000001E-3</v>
      </c>
      <c r="I7" s="16">
        <v>5.467174E-3</v>
      </c>
      <c r="J7" s="16" t="s">
        <v>132</v>
      </c>
      <c r="K7" s="16" t="s">
        <v>1874</v>
      </c>
    </row>
    <row r="8" spans="1:1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1">
      <c r="A11" s="16"/>
      <c r="B11" s="16"/>
      <c r="C11" s="16"/>
      <c r="D11" s="92"/>
      <c r="E11" s="92"/>
      <c r="F11" s="92"/>
      <c r="G11" s="16"/>
      <c r="H11" s="16"/>
      <c r="I11" s="16"/>
      <c r="J11" s="16"/>
      <c r="K11" s="16"/>
    </row>
    <row r="12" spans="1:11">
      <c r="A12" s="16"/>
      <c r="B12" s="16"/>
      <c r="C12" s="92"/>
      <c r="D12" s="16"/>
      <c r="E12" s="92"/>
      <c r="F12" s="92"/>
      <c r="G12" s="16"/>
      <c r="H12" s="16"/>
      <c r="I12" s="92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spans="1:11">
      <c r="A17" s="16"/>
      <c r="B17" s="16"/>
      <c r="C17" s="16"/>
      <c r="D17" s="92"/>
      <c r="E17" s="92"/>
      <c r="F17" s="92"/>
      <c r="G17" s="16"/>
      <c r="H17" s="16"/>
      <c r="I17" s="16"/>
      <c r="J17" s="16"/>
      <c r="K17" s="16"/>
    </row>
    <row r="18" spans="1:11">
      <c r="A18" s="16"/>
      <c r="B18" s="16"/>
      <c r="C18" s="92"/>
      <c r="D18" s="16"/>
      <c r="E18" s="92"/>
      <c r="F18" s="92"/>
      <c r="G18" s="16"/>
      <c r="H18" s="16"/>
      <c r="I18" s="92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spans="1:11">
      <c r="A23" s="16"/>
      <c r="B23" s="16"/>
      <c r="C23" s="16"/>
      <c r="D23" s="92"/>
      <c r="E23" s="92"/>
      <c r="F23" s="92"/>
      <c r="G23" s="16"/>
      <c r="H23" s="16"/>
      <c r="I23" s="16"/>
      <c r="J23" s="16"/>
      <c r="K23" s="16"/>
    </row>
    <row r="24" spans="1:11">
      <c r="A24" s="16"/>
      <c r="B24" s="16"/>
      <c r="C24" s="92"/>
      <c r="D24" s="16"/>
      <c r="E24" s="92"/>
      <c r="F24" s="92"/>
      <c r="G24" s="16"/>
      <c r="H24" s="16"/>
      <c r="I24" s="92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1">
      <c r="A29" s="16"/>
      <c r="B29" s="16"/>
      <c r="C29" s="16"/>
      <c r="D29" s="92"/>
      <c r="E29" s="92"/>
      <c r="F29" s="92"/>
      <c r="G29" s="16"/>
      <c r="H29" s="16"/>
      <c r="I29" s="16"/>
      <c r="J29" s="16"/>
      <c r="K29" s="16"/>
    </row>
    <row r="30" spans="1:11">
      <c r="A30" s="16"/>
      <c r="B30" s="16"/>
      <c r="C30" s="92"/>
      <c r="D30" s="16"/>
      <c r="E30" s="92"/>
      <c r="F30" s="92"/>
      <c r="G30" s="16"/>
      <c r="H30" s="16"/>
      <c r="I30" s="92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>
      <c r="A35" s="16"/>
      <c r="B35" s="16"/>
      <c r="C35" s="16"/>
      <c r="D35" s="92"/>
      <c r="E35" s="92"/>
      <c r="F35" s="92"/>
      <c r="G35" s="16"/>
      <c r="H35" s="16"/>
      <c r="I35" s="16"/>
      <c r="J35" s="16"/>
      <c r="K35" s="16"/>
    </row>
    <row r="36" spans="1:11">
      <c r="A36" s="16"/>
      <c r="B36" s="16"/>
      <c r="C36" s="92"/>
      <c r="D36" s="16"/>
      <c r="E36" s="92"/>
      <c r="F36" s="92"/>
      <c r="G36" s="16"/>
      <c r="H36" s="16"/>
      <c r="I36" s="92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</row>
    <row r="41" spans="1:11">
      <c r="A41" s="16"/>
      <c r="B41" s="16"/>
      <c r="C41" s="16"/>
      <c r="D41" s="92"/>
      <c r="E41" s="92"/>
      <c r="F41" s="92"/>
      <c r="G41" s="16"/>
      <c r="H41" s="16"/>
      <c r="I41" s="16"/>
      <c r="J41" s="16"/>
      <c r="K41" s="16"/>
    </row>
    <row r="42" spans="1:11">
      <c r="A42" s="16"/>
      <c r="B42" s="16"/>
      <c r="C42" s="92"/>
      <c r="D42" s="16"/>
      <c r="E42" s="92"/>
      <c r="F42" s="92"/>
      <c r="G42" s="16"/>
      <c r="H42" s="16"/>
      <c r="I42" s="92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</row>
    <row r="47" spans="1:11">
      <c r="A47" s="16"/>
      <c r="B47" s="16"/>
      <c r="C47" s="16"/>
      <c r="D47" s="92"/>
      <c r="E47" s="92"/>
      <c r="F47" s="92"/>
      <c r="G47" s="16"/>
      <c r="H47" s="16"/>
      <c r="I47" s="16"/>
      <c r="J47" s="16"/>
      <c r="K47" s="16"/>
    </row>
    <row r="48" spans="1:11">
      <c r="A48" s="16"/>
      <c r="B48" s="16"/>
      <c r="C48" s="92"/>
      <c r="D48" s="16"/>
      <c r="E48" s="92"/>
      <c r="F48" s="92"/>
      <c r="G48" s="16"/>
      <c r="H48" s="16"/>
      <c r="I48" s="92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</row>
    <row r="53" spans="1:11">
      <c r="A53" s="16"/>
      <c r="B53" s="16"/>
      <c r="C53" s="16"/>
      <c r="D53" s="92"/>
      <c r="E53" s="92"/>
      <c r="F53" s="92"/>
      <c r="G53" s="16"/>
      <c r="H53" s="16"/>
      <c r="I53" s="16"/>
      <c r="J53" s="16"/>
      <c r="K53" s="16"/>
    </row>
    <row r="54" spans="1:11">
      <c r="A54" s="16"/>
      <c r="B54" s="16"/>
      <c r="C54" s="92"/>
      <c r="D54" s="16"/>
      <c r="E54" s="92"/>
      <c r="F54" s="92"/>
      <c r="G54" s="16"/>
      <c r="H54" s="16"/>
      <c r="I54" s="92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</row>
    <row r="59" spans="1:11">
      <c r="A59" s="16"/>
      <c r="B59" s="16"/>
      <c r="C59" s="16"/>
      <c r="D59" s="92"/>
      <c r="E59" s="92"/>
      <c r="F59" s="92"/>
      <c r="G59" s="16"/>
      <c r="H59" s="16"/>
      <c r="I59" s="16"/>
      <c r="J59" s="16"/>
      <c r="K59" s="16"/>
    </row>
    <row r="60" spans="1:11">
      <c r="A60" s="16"/>
      <c r="B60" s="16"/>
      <c r="C60" s="92"/>
      <c r="D60" s="16"/>
      <c r="E60" s="92"/>
      <c r="F60" s="92"/>
      <c r="G60" s="16"/>
      <c r="H60" s="16"/>
      <c r="I60" s="92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</row>
    <row r="65" spans="1:11">
      <c r="A65" s="16"/>
      <c r="B65" s="16"/>
      <c r="C65" s="16"/>
      <c r="D65" s="92"/>
      <c r="E65" s="92"/>
      <c r="F65" s="92"/>
      <c r="G65" s="16"/>
      <c r="H65" s="16"/>
      <c r="I65" s="16"/>
      <c r="J65" s="16"/>
      <c r="K65" s="16"/>
    </row>
    <row r="66" spans="1:11">
      <c r="A66" s="16"/>
      <c r="B66" s="16"/>
      <c r="C66" s="92"/>
      <c r="D66" s="16"/>
      <c r="E66" s="92"/>
      <c r="F66" s="92"/>
      <c r="G66" s="16"/>
      <c r="H66" s="16"/>
      <c r="I66" s="92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</row>
    <row r="71" spans="1:11">
      <c r="A71" s="16"/>
      <c r="B71" s="16"/>
      <c r="C71" s="16"/>
      <c r="D71" s="92"/>
      <c r="E71" s="92"/>
      <c r="F71" s="92"/>
      <c r="G71" s="16"/>
      <c r="H71" s="16"/>
      <c r="I71" s="16"/>
      <c r="J71" s="16"/>
      <c r="K71" s="16"/>
    </row>
    <row r="72" spans="1:11">
      <c r="A72" s="16"/>
      <c r="B72" s="16"/>
      <c r="C72" s="92"/>
      <c r="D72" s="16"/>
      <c r="E72" s="92"/>
      <c r="F72" s="92"/>
      <c r="G72" s="16"/>
      <c r="H72" s="16"/>
      <c r="I72" s="92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</row>
    <row r="77" spans="1:11">
      <c r="A77" s="16"/>
      <c r="B77" s="16"/>
      <c r="C77" s="16"/>
      <c r="D77" s="92"/>
      <c r="E77" s="92"/>
      <c r="F77" s="92"/>
      <c r="G77" s="16"/>
      <c r="H77" s="16"/>
      <c r="I77" s="16"/>
      <c r="J77" s="16"/>
      <c r="K77" s="16"/>
    </row>
    <row r="78" spans="1:11">
      <c r="A78" s="16"/>
      <c r="B78" s="16"/>
      <c r="C78" s="92"/>
      <c r="D78" s="16"/>
      <c r="E78" s="92"/>
      <c r="F78" s="92"/>
      <c r="G78" s="16"/>
      <c r="H78" s="16"/>
      <c r="I78" s="92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</row>
    <row r="83" spans="1:11">
      <c r="A83" s="16"/>
      <c r="B83" s="16"/>
      <c r="C83" s="16"/>
      <c r="D83" s="92"/>
      <c r="E83" s="92"/>
      <c r="F83" s="92"/>
      <c r="G83" s="16"/>
      <c r="H83" s="16"/>
      <c r="I83" s="16"/>
      <c r="J83" s="16"/>
      <c r="K83" s="16"/>
    </row>
    <row r="84" spans="1:11">
      <c r="A84" s="16"/>
      <c r="B84" s="16"/>
      <c r="C84" s="92"/>
      <c r="D84" s="16"/>
      <c r="E84" s="92"/>
      <c r="F84" s="92"/>
      <c r="G84" s="16"/>
      <c r="H84" s="16"/>
      <c r="I84" s="92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</row>
    <row r="89" spans="1:11">
      <c r="A89" s="16"/>
      <c r="B89" s="16"/>
      <c r="C89" s="16"/>
      <c r="D89" s="92"/>
      <c r="E89" s="92"/>
      <c r="F89" s="92"/>
      <c r="G89" s="16"/>
      <c r="H89" s="16"/>
      <c r="I89" s="16"/>
      <c r="J89" s="16"/>
      <c r="K89" s="16"/>
    </row>
    <row r="90" spans="1:11">
      <c r="A90" s="16"/>
      <c r="B90" s="16"/>
      <c r="C90" s="92"/>
      <c r="D90" s="16"/>
      <c r="E90" s="92"/>
      <c r="F90" s="92"/>
      <c r="G90" s="16"/>
      <c r="H90" s="16"/>
      <c r="I90" s="92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</row>
    <row r="95" spans="1:11">
      <c r="A95" s="16"/>
      <c r="B95" s="16"/>
      <c r="C95" s="16"/>
      <c r="D95" s="92"/>
      <c r="E95" s="92"/>
      <c r="F95" s="92"/>
      <c r="G95" s="16"/>
      <c r="H95" s="16"/>
      <c r="I95" s="16"/>
      <c r="J95" s="16"/>
      <c r="K95" s="16"/>
    </row>
    <row r="96" spans="1:11">
      <c r="A96" s="16"/>
      <c r="B96" s="16"/>
      <c r="C96" s="92"/>
      <c r="D96" s="16"/>
      <c r="E96" s="92"/>
      <c r="F96" s="92"/>
      <c r="G96" s="16"/>
      <c r="H96" s="16"/>
      <c r="I96" s="92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92"/>
      <c r="E101" s="92"/>
      <c r="F101" s="92"/>
      <c r="G101" s="16"/>
      <c r="H101" s="16"/>
      <c r="I101" s="16"/>
      <c r="J101" s="16"/>
      <c r="K101" s="16"/>
    </row>
    <row r="102" spans="1:11">
      <c r="A102" s="16"/>
      <c r="B102" s="16"/>
      <c r="C102" s="92"/>
      <c r="D102" s="16"/>
      <c r="E102" s="92"/>
      <c r="F102" s="92"/>
      <c r="G102" s="16"/>
      <c r="H102" s="16"/>
      <c r="I102" s="92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92"/>
      <c r="E107" s="92"/>
      <c r="F107" s="92"/>
      <c r="G107" s="16"/>
      <c r="H107" s="16"/>
      <c r="I107" s="16"/>
      <c r="J107" s="16"/>
      <c r="K107" s="16"/>
    </row>
    <row r="108" spans="1:11">
      <c r="A108" s="16"/>
      <c r="B108" s="16"/>
      <c r="C108" s="92"/>
      <c r="D108" s="16"/>
      <c r="E108" s="92"/>
      <c r="F108" s="92"/>
      <c r="G108" s="16"/>
      <c r="H108" s="16"/>
      <c r="I108" s="92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92"/>
      <c r="E113" s="92"/>
      <c r="F113" s="92"/>
      <c r="G113" s="16"/>
      <c r="H113" s="16"/>
      <c r="I113" s="16"/>
      <c r="J113" s="16"/>
      <c r="K113" s="16"/>
    </row>
    <row r="114" spans="1:11">
      <c r="A114" s="16"/>
      <c r="B114" s="16"/>
      <c r="C114" s="92"/>
      <c r="D114" s="16"/>
      <c r="E114" s="92"/>
      <c r="F114" s="92"/>
      <c r="G114" s="16"/>
      <c r="H114" s="16"/>
      <c r="I114" s="92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92"/>
      <c r="E119" s="92"/>
      <c r="F119" s="92"/>
      <c r="G119" s="16"/>
      <c r="H119" s="16"/>
      <c r="I119" s="16"/>
      <c r="J119" s="16"/>
      <c r="K119" s="16"/>
    </row>
    <row r="120" spans="1:11">
      <c r="A120" s="16"/>
      <c r="B120" s="16"/>
      <c r="C120" s="92"/>
      <c r="D120" s="16"/>
      <c r="E120" s="92"/>
      <c r="F120" s="92"/>
      <c r="G120" s="16"/>
      <c r="H120" s="16"/>
      <c r="I120" s="92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92"/>
      <c r="E125" s="92"/>
      <c r="F125" s="92"/>
      <c r="G125" s="16"/>
      <c r="H125" s="16"/>
      <c r="I125" s="16"/>
      <c r="J125" s="16"/>
      <c r="K125" s="16"/>
    </row>
    <row r="126" spans="1:11">
      <c r="A126" s="16"/>
      <c r="B126" s="16"/>
      <c r="C126" s="92"/>
      <c r="D126" s="16"/>
      <c r="E126" s="92"/>
      <c r="F126" s="92"/>
      <c r="G126" s="16"/>
      <c r="H126" s="16"/>
      <c r="I126" s="92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92"/>
      <c r="E131" s="92"/>
      <c r="F131" s="92"/>
      <c r="G131" s="16"/>
      <c r="H131" s="16"/>
      <c r="I131" s="16"/>
      <c r="J131" s="16"/>
      <c r="K131" s="16"/>
    </row>
    <row r="132" spans="1:11">
      <c r="A132" s="16"/>
      <c r="B132" s="16"/>
      <c r="C132" s="92"/>
      <c r="D132" s="16"/>
      <c r="E132" s="92"/>
      <c r="F132" s="92"/>
      <c r="G132" s="16"/>
      <c r="H132" s="16"/>
      <c r="I132" s="92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92"/>
      <c r="E137" s="92"/>
      <c r="F137" s="92"/>
      <c r="G137" s="16"/>
      <c r="H137" s="16"/>
      <c r="I137" s="16"/>
      <c r="J137" s="16"/>
      <c r="K137" s="16"/>
    </row>
    <row r="138" spans="1:11">
      <c r="A138" s="16"/>
      <c r="B138" s="16"/>
      <c r="C138" s="92"/>
      <c r="D138" s="16"/>
      <c r="E138" s="92"/>
      <c r="F138" s="92"/>
      <c r="G138" s="16"/>
      <c r="H138" s="16"/>
      <c r="I138" s="92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92"/>
      <c r="E143" s="92"/>
      <c r="F143" s="92"/>
      <c r="G143" s="16"/>
      <c r="H143" s="16"/>
      <c r="I143" s="16"/>
      <c r="J143" s="16"/>
      <c r="K143" s="16"/>
    </row>
    <row r="144" spans="1:11">
      <c r="A144" s="16"/>
      <c r="B144" s="16"/>
      <c r="C144" s="92"/>
      <c r="D144" s="16"/>
      <c r="E144" s="92"/>
      <c r="F144" s="92"/>
      <c r="G144" s="16"/>
      <c r="H144" s="16"/>
      <c r="I144" s="92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92"/>
      <c r="E149" s="92"/>
      <c r="F149" s="92"/>
      <c r="G149" s="16"/>
      <c r="H149" s="16"/>
      <c r="I149" s="16"/>
      <c r="J149" s="16"/>
      <c r="K149" s="16"/>
    </row>
    <row r="150" spans="1:11">
      <c r="A150" s="16"/>
      <c r="B150" s="16"/>
      <c r="C150" s="92"/>
      <c r="D150" s="16"/>
      <c r="E150" s="92"/>
      <c r="F150" s="92"/>
      <c r="G150" s="16"/>
      <c r="H150" s="16"/>
      <c r="I150" s="92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92"/>
      <c r="E155" s="92"/>
      <c r="F155" s="92"/>
      <c r="G155" s="16"/>
      <c r="H155" s="16"/>
      <c r="I155" s="16"/>
      <c r="J155" s="16"/>
      <c r="K155" s="16"/>
    </row>
    <row r="156" spans="1:11">
      <c r="A156" s="16"/>
      <c r="B156" s="16"/>
      <c r="C156" s="92"/>
      <c r="D156" s="16"/>
      <c r="E156" s="92"/>
      <c r="F156" s="92"/>
      <c r="G156" s="16"/>
      <c r="H156" s="16"/>
      <c r="I156" s="92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92"/>
      <c r="E161" s="92"/>
      <c r="F161" s="92"/>
      <c r="G161" s="16"/>
      <c r="H161" s="16"/>
      <c r="I161" s="16"/>
      <c r="J161" s="16"/>
      <c r="K161" s="16"/>
    </row>
    <row r="162" spans="1:11">
      <c r="A162" s="16"/>
      <c r="B162" s="16"/>
      <c r="C162" s="92"/>
      <c r="D162" s="16"/>
      <c r="E162" s="92"/>
      <c r="F162" s="92"/>
      <c r="G162" s="16"/>
      <c r="H162" s="16"/>
      <c r="I162" s="92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92"/>
      <c r="E167" s="92"/>
      <c r="F167" s="92"/>
      <c r="G167" s="16"/>
      <c r="H167" s="16"/>
      <c r="I167" s="16"/>
      <c r="J167" s="16"/>
      <c r="K167" s="16"/>
    </row>
    <row r="168" spans="1:11">
      <c r="A168" s="16"/>
      <c r="B168" s="16"/>
      <c r="C168" s="92"/>
      <c r="D168" s="16"/>
      <c r="E168" s="92"/>
      <c r="F168" s="92"/>
      <c r="G168" s="16"/>
      <c r="H168" s="16"/>
      <c r="I168" s="92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92"/>
      <c r="E173" s="92"/>
      <c r="F173" s="92"/>
      <c r="G173" s="16"/>
      <c r="H173" s="16"/>
      <c r="I173" s="16"/>
      <c r="J173" s="16"/>
      <c r="K173" s="16"/>
    </row>
    <row r="174" spans="1:11">
      <c r="A174" s="16"/>
      <c r="B174" s="16"/>
      <c r="C174" s="92"/>
      <c r="D174" s="16"/>
      <c r="E174" s="92"/>
      <c r="F174" s="92"/>
      <c r="G174" s="16"/>
      <c r="H174" s="16"/>
      <c r="I174" s="92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92"/>
      <c r="E179" s="92"/>
      <c r="F179" s="92"/>
      <c r="G179" s="16"/>
      <c r="H179" s="16"/>
      <c r="I179" s="16"/>
      <c r="J179" s="16"/>
      <c r="K179" s="16"/>
    </row>
    <row r="180" spans="1:11">
      <c r="A180" s="16"/>
      <c r="B180" s="16"/>
      <c r="C180" s="92"/>
      <c r="D180" s="16"/>
      <c r="E180" s="92"/>
      <c r="F180" s="92"/>
      <c r="G180" s="16"/>
      <c r="H180" s="16"/>
      <c r="I180" s="92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92"/>
      <c r="E185" s="92"/>
      <c r="F185" s="92"/>
      <c r="G185" s="16"/>
      <c r="H185" s="16"/>
      <c r="I185" s="16"/>
      <c r="J185" s="16"/>
      <c r="K185" s="16"/>
    </row>
    <row r="186" spans="1:11">
      <c r="A186" s="16"/>
      <c r="B186" s="16"/>
      <c r="C186" s="92"/>
      <c r="D186" s="16"/>
      <c r="E186" s="92"/>
      <c r="F186" s="92"/>
      <c r="G186" s="16"/>
      <c r="H186" s="16"/>
      <c r="I186" s="92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92"/>
      <c r="E191" s="92"/>
      <c r="F191" s="92"/>
      <c r="G191" s="16"/>
      <c r="H191" s="16"/>
      <c r="I191" s="16"/>
      <c r="J191" s="16"/>
      <c r="K191" s="16"/>
    </row>
    <row r="192" spans="1:11">
      <c r="A192" s="16"/>
      <c r="B192" s="16"/>
      <c r="C192" s="92"/>
      <c r="D192" s="16"/>
      <c r="E192" s="92"/>
      <c r="F192" s="92"/>
      <c r="G192" s="16"/>
      <c r="H192" s="16"/>
      <c r="I192" s="92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92"/>
      <c r="E197" s="92"/>
      <c r="F197" s="92"/>
      <c r="G197" s="16"/>
      <c r="H197" s="16"/>
      <c r="I197" s="16"/>
      <c r="J197" s="16"/>
      <c r="K197" s="16"/>
    </row>
    <row r="198" spans="1:11">
      <c r="A198" s="16"/>
      <c r="B198" s="16"/>
      <c r="C198" s="92"/>
      <c r="D198" s="16"/>
      <c r="E198" s="92"/>
      <c r="F198" s="92"/>
      <c r="G198" s="16"/>
      <c r="H198" s="16"/>
      <c r="I198" s="92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92"/>
      <c r="E203" s="92"/>
      <c r="F203" s="92"/>
      <c r="G203" s="16"/>
      <c r="H203" s="16"/>
      <c r="I203" s="16"/>
      <c r="J203" s="16"/>
      <c r="K203" s="16"/>
    </row>
    <row r="204" spans="1:11">
      <c r="A204" s="16"/>
      <c r="B204" s="16"/>
      <c r="C204" s="92"/>
      <c r="D204" s="16"/>
      <c r="E204" s="92"/>
      <c r="F204" s="92"/>
      <c r="G204" s="16"/>
      <c r="H204" s="16"/>
      <c r="I204" s="92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92"/>
      <c r="E209" s="92"/>
      <c r="F209" s="92"/>
      <c r="G209" s="16"/>
      <c r="H209" s="16"/>
      <c r="I209" s="16"/>
      <c r="J209" s="16"/>
      <c r="K209" s="16"/>
    </row>
    <row r="210" spans="1:11">
      <c r="A210" s="16"/>
      <c r="B210" s="16"/>
      <c r="C210" s="92"/>
      <c r="D210" s="16"/>
      <c r="E210" s="92"/>
      <c r="F210" s="92"/>
      <c r="G210" s="16"/>
      <c r="H210" s="16"/>
      <c r="I210" s="92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92"/>
      <c r="E215" s="92"/>
      <c r="F215" s="92"/>
      <c r="G215" s="16"/>
      <c r="H215" s="16"/>
      <c r="I215" s="16"/>
      <c r="J215" s="16"/>
      <c r="K215" s="16"/>
    </row>
    <row r="216" spans="1:11">
      <c r="A216" s="16"/>
      <c r="B216" s="16"/>
      <c r="C216" s="92"/>
      <c r="D216" s="16"/>
      <c r="E216" s="92"/>
      <c r="F216" s="92"/>
      <c r="G216" s="16"/>
      <c r="H216" s="16"/>
      <c r="I216" s="92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92"/>
      <c r="E221" s="92"/>
      <c r="F221" s="92"/>
      <c r="G221" s="16"/>
      <c r="H221" s="16"/>
      <c r="I221" s="16"/>
      <c r="J221" s="16"/>
      <c r="K221" s="16"/>
    </row>
    <row r="222" spans="1:11">
      <c r="A222" s="16"/>
      <c r="B222" s="16"/>
      <c r="C222" s="92"/>
      <c r="D222" s="16"/>
      <c r="E222" s="92"/>
      <c r="F222" s="92"/>
      <c r="G222" s="16"/>
      <c r="H222" s="16"/>
      <c r="I222" s="92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92"/>
      <c r="E227" s="92"/>
      <c r="F227" s="92"/>
      <c r="G227" s="16"/>
      <c r="H227" s="16"/>
      <c r="I227" s="16"/>
      <c r="J227" s="16"/>
      <c r="K227" s="16"/>
    </row>
    <row r="228" spans="1:11">
      <c r="A228" s="16"/>
      <c r="B228" s="16"/>
      <c r="C228" s="92"/>
      <c r="D228" s="16"/>
      <c r="E228" s="92"/>
      <c r="F228" s="92"/>
      <c r="G228" s="16"/>
      <c r="H228" s="16"/>
      <c r="I228" s="92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92"/>
      <c r="E233" s="92"/>
      <c r="F233" s="92"/>
      <c r="G233" s="16"/>
      <c r="H233" s="16"/>
      <c r="I233" s="16"/>
      <c r="J233" s="16"/>
      <c r="K233" s="16"/>
    </row>
    <row r="234" spans="1:11">
      <c r="A234" s="16"/>
      <c r="B234" s="16"/>
      <c r="C234" s="92"/>
      <c r="D234" s="16"/>
      <c r="E234" s="92"/>
      <c r="F234" s="92"/>
      <c r="G234" s="16"/>
      <c r="H234" s="16"/>
      <c r="I234" s="92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92"/>
      <c r="E239" s="92"/>
      <c r="F239" s="92"/>
      <c r="G239" s="16"/>
      <c r="H239" s="16"/>
      <c r="I239" s="16"/>
      <c r="J239" s="16"/>
      <c r="K239" s="16"/>
    </row>
    <row r="240" spans="1:11">
      <c r="A240" s="16"/>
      <c r="B240" s="16"/>
      <c r="C240" s="92"/>
      <c r="D240" s="16"/>
      <c r="E240" s="92"/>
      <c r="F240" s="92"/>
      <c r="G240" s="16"/>
      <c r="H240" s="16"/>
      <c r="I240" s="92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92"/>
      <c r="E245" s="92"/>
      <c r="F245" s="92"/>
      <c r="G245" s="16"/>
      <c r="H245" s="16"/>
      <c r="I245" s="16"/>
      <c r="J245" s="16"/>
      <c r="K245" s="16"/>
    </row>
    <row r="246" spans="1:11">
      <c r="A246" s="16"/>
      <c r="B246" s="16"/>
      <c r="C246" s="92"/>
      <c r="D246" s="16"/>
      <c r="E246" s="92"/>
      <c r="F246" s="92"/>
      <c r="G246" s="16"/>
      <c r="H246" s="16"/>
      <c r="I246" s="92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92"/>
      <c r="E251" s="92"/>
      <c r="F251" s="92"/>
      <c r="G251" s="16"/>
      <c r="H251" s="16"/>
      <c r="I251" s="16"/>
      <c r="J251" s="16"/>
      <c r="K251" s="16"/>
    </row>
    <row r="252" spans="1:11">
      <c r="A252" s="16"/>
      <c r="B252" s="16"/>
      <c r="C252" s="92"/>
      <c r="D252" s="16"/>
      <c r="E252" s="92"/>
      <c r="F252" s="92"/>
      <c r="G252" s="16"/>
      <c r="H252" s="16"/>
      <c r="I252" s="92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92"/>
      <c r="E257" s="92"/>
      <c r="F257" s="92"/>
      <c r="G257" s="16"/>
      <c r="H257" s="16"/>
      <c r="I257" s="16"/>
      <c r="J257" s="16"/>
      <c r="K257" s="16"/>
    </row>
    <row r="258" spans="1:11">
      <c r="A258" s="16"/>
      <c r="B258" s="16"/>
      <c r="C258" s="92"/>
      <c r="D258" s="16"/>
      <c r="E258" s="92"/>
      <c r="F258" s="92"/>
      <c r="G258" s="16"/>
      <c r="H258" s="16"/>
      <c r="I258" s="92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92"/>
      <c r="E263" s="92"/>
      <c r="F263" s="92"/>
      <c r="G263" s="16"/>
      <c r="H263" s="16"/>
      <c r="I263" s="16"/>
      <c r="J263" s="16"/>
      <c r="K263" s="16"/>
    </row>
    <row r="264" spans="1:11">
      <c r="A264" s="16"/>
      <c r="B264" s="16"/>
      <c r="C264" s="92"/>
      <c r="D264" s="16"/>
      <c r="E264" s="92"/>
      <c r="F264" s="92"/>
      <c r="G264" s="16"/>
      <c r="H264" s="16"/>
      <c r="I264" s="92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92"/>
      <c r="E269" s="92"/>
      <c r="F269" s="92"/>
      <c r="G269" s="16"/>
      <c r="H269" s="16"/>
      <c r="I269" s="16"/>
      <c r="J269" s="16"/>
      <c r="K269" s="16"/>
    </row>
    <row r="270" spans="1:11">
      <c r="A270" s="16"/>
      <c r="B270" s="16"/>
      <c r="C270" s="92"/>
      <c r="D270" s="16"/>
      <c r="E270" s="92"/>
      <c r="F270" s="92"/>
      <c r="G270" s="16"/>
      <c r="H270" s="16"/>
      <c r="I270" s="92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92"/>
      <c r="E275" s="92"/>
      <c r="F275" s="92"/>
      <c r="G275" s="16"/>
      <c r="H275" s="16"/>
      <c r="I275" s="16"/>
      <c r="J275" s="16"/>
      <c r="K275" s="16"/>
    </row>
    <row r="276" spans="1:11">
      <c r="A276" s="16"/>
      <c r="B276" s="16"/>
      <c r="C276" s="92"/>
      <c r="D276" s="16"/>
      <c r="E276" s="92"/>
      <c r="F276" s="92"/>
      <c r="G276" s="16"/>
      <c r="H276" s="16"/>
      <c r="I276" s="92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92"/>
      <c r="E281" s="92"/>
      <c r="F281" s="92"/>
      <c r="G281" s="16"/>
      <c r="H281" s="16"/>
      <c r="I281" s="16"/>
      <c r="J281" s="16"/>
      <c r="K281" s="16"/>
    </row>
    <row r="282" spans="1:11">
      <c r="A282" s="16"/>
      <c r="B282" s="16"/>
      <c r="C282" s="92"/>
      <c r="D282" s="16"/>
      <c r="E282" s="92"/>
      <c r="F282" s="92"/>
      <c r="G282" s="16"/>
      <c r="H282" s="16"/>
      <c r="I282" s="92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92"/>
      <c r="E287" s="92"/>
      <c r="F287" s="92"/>
      <c r="G287" s="16"/>
      <c r="H287" s="16"/>
      <c r="I287" s="16"/>
      <c r="J287" s="16"/>
      <c r="K287" s="16"/>
    </row>
    <row r="288" spans="1:11">
      <c r="A288" s="16"/>
      <c r="B288" s="16"/>
      <c r="C288" s="92"/>
      <c r="D288" s="16"/>
      <c r="E288" s="92"/>
      <c r="F288" s="92"/>
      <c r="G288" s="16"/>
      <c r="H288" s="16"/>
      <c r="I288" s="92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92"/>
      <c r="E293" s="92"/>
      <c r="F293" s="92"/>
      <c r="G293" s="16"/>
      <c r="H293" s="16"/>
      <c r="I293" s="16"/>
      <c r="J293" s="16"/>
      <c r="K293" s="16"/>
    </row>
    <row r="294" spans="1:11">
      <c r="A294" s="16"/>
      <c r="B294" s="16"/>
      <c r="C294" s="92"/>
      <c r="D294" s="16"/>
      <c r="E294" s="92"/>
      <c r="F294" s="92"/>
      <c r="G294" s="16"/>
      <c r="H294" s="16"/>
      <c r="I294" s="92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92"/>
      <c r="E299" s="92"/>
      <c r="F299" s="92"/>
      <c r="G299" s="16"/>
      <c r="H299" s="16"/>
      <c r="I299" s="16"/>
      <c r="J299" s="16"/>
      <c r="K299" s="16"/>
    </row>
    <row r="300" spans="1:11">
      <c r="A300" s="16"/>
      <c r="B300" s="16"/>
      <c r="C300" s="92"/>
      <c r="D300" s="16"/>
      <c r="E300" s="92"/>
      <c r="F300" s="92"/>
      <c r="G300" s="16"/>
      <c r="H300" s="16"/>
      <c r="I300" s="92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B178-7517-4C00-B487-70E36383F8BB}">
  <dimension ref="A1:K301"/>
  <sheetViews>
    <sheetView workbookViewId="0">
      <selection activeCell="B1" sqref="B1:I7"/>
    </sheetView>
  </sheetViews>
  <sheetFormatPr defaultRowHeight="14.25"/>
  <sheetData>
    <row r="1" spans="1:11">
      <c r="A1" s="16"/>
      <c r="B1" s="16" t="s">
        <v>47</v>
      </c>
      <c r="C1" s="16" t="s">
        <v>31</v>
      </c>
      <c r="D1" s="16" t="s">
        <v>32</v>
      </c>
      <c r="E1" s="16" t="s">
        <v>33</v>
      </c>
      <c r="F1" s="16" t="s">
        <v>34</v>
      </c>
      <c r="G1" s="16" t="s">
        <v>35</v>
      </c>
      <c r="H1" s="16" t="s">
        <v>36</v>
      </c>
      <c r="I1" s="16" t="s">
        <v>37</v>
      </c>
      <c r="J1" s="16" t="s">
        <v>130</v>
      </c>
      <c r="K1" s="16" t="s">
        <v>1738</v>
      </c>
    </row>
    <row r="2" spans="1:11">
      <c r="A2" s="16">
        <v>0</v>
      </c>
      <c r="B2" s="16" t="s">
        <v>38</v>
      </c>
      <c r="C2" s="16">
        <v>3.0156650473713915E-4</v>
      </c>
      <c r="D2" s="92">
        <v>7.0213473556835903E-5</v>
      </c>
      <c r="E2" s="92">
        <v>9.3322264163941547E-5</v>
      </c>
      <c r="F2" s="92">
        <v>8.9590243650741159E-5</v>
      </c>
      <c r="G2" s="16">
        <v>1.5342859945717928E-4</v>
      </c>
      <c r="H2" s="92">
        <v>1.1549320628198341E-4</v>
      </c>
      <c r="I2" s="16">
        <v>8.379890176963306E-5</v>
      </c>
      <c r="J2" s="16" t="s">
        <v>132</v>
      </c>
      <c r="K2" s="16" t="s">
        <v>1875</v>
      </c>
    </row>
    <row r="3" spans="1:11">
      <c r="A3" s="16">
        <v>1</v>
      </c>
      <c r="B3" s="16" t="s">
        <v>39</v>
      </c>
      <c r="C3" s="16">
        <v>1.6283396676658034E-3</v>
      </c>
      <c r="D3" s="16">
        <v>7.7263481523290941E-4</v>
      </c>
      <c r="E3" s="16">
        <v>6.720672001062452E-4</v>
      </c>
      <c r="F3" s="16">
        <v>7.5059325437243547E-4</v>
      </c>
      <c r="G3" s="16">
        <v>0</v>
      </c>
      <c r="H3" s="16">
        <v>6.8755018426906603E-4</v>
      </c>
      <c r="I3" s="16">
        <v>0</v>
      </c>
      <c r="J3" s="16" t="s">
        <v>132</v>
      </c>
      <c r="K3" s="16" t="s">
        <v>1875</v>
      </c>
    </row>
    <row r="4" spans="1:11">
      <c r="A4" s="16">
        <v>2</v>
      </c>
      <c r="B4" s="16" t="s">
        <v>40</v>
      </c>
      <c r="C4" s="16">
        <v>2.9962432880267732E-4</v>
      </c>
      <c r="D4" s="92">
        <v>9.3239985476639982E-5</v>
      </c>
      <c r="E4" s="92">
        <v>9.3239985476639982E-5</v>
      </c>
      <c r="F4" s="92">
        <v>9.3239985476639982E-5</v>
      </c>
      <c r="G4" s="16">
        <v>0</v>
      </c>
      <c r="H4" s="16">
        <v>0</v>
      </c>
      <c r="I4" s="16">
        <v>2.7971995642991991E-4</v>
      </c>
      <c r="J4" s="16" t="s">
        <v>132</v>
      </c>
      <c r="K4" s="16" t="s">
        <v>1875</v>
      </c>
    </row>
    <row r="5" spans="1:11">
      <c r="A5" s="16">
        <v>3</v>
      </c>
      <c r="B5" s="16" t="s">
        <v>41</v>
      </c>
      <c r="C5" s="16">
        <v>1.0840496025738076E-2</v>
      </c>
      <c r="D5" s="16">
        <v>3.3734500000000001E-3</v>
      </c>
      <c r="E5" s="16">
        <v>3.3734500000000001E-3</v>
      </c>
      <c r="F5" s="16">
        <v>3.3734500000000001E-3</v>
      </c>
      <c r="G5" s="16">
        <v>0</v>
      </c>
      <c r="H5" s="16">
        <v>0</v>
      </c>
      <c r="I5" s="16">
        <v>1.0120349999999998E-2</v>
      </c>
      <c r="J5" s="16" t="s">
        <v>132</v>
      </c>
      <c r="K5" s="16" t="s">
        <v>1875</v>
      </c>
    </row>
    <row r="6" spans="1:11">
      <c r="A6" s="16">
        <v>4</v>
      </c>
      <c r="B6" s="16" t="s">
        <v>42</v>
      </c>
      <c r="C6" s="16">
        <v>1.5610349625283874E-2</v>
      </c>
      <c r="D6" s="16">
        <v>4.8577789999999996E-3</v>
      </c>
      <c r="E6" s="16">
        <v>4.8577789999999996E-3</v>
      </c>
      <c r="F6" s="16">
        <v>4.8577789999999996E-3</v>
      </c>
      <c r="G6" s="16">
        <v>0</v>
      </c>
      <c r="H6" s="16">
        <v>0</v>
      </c>
      <c r="I6" s="16">
        <v>1.4573336999999997E-2</v>
      </c>
      <c r="J6" s="16" t="s">
        <v>132</v>
      </c>
      <c r="K6" s="16" t="s">
        <v>1875</v>
      </c>
    </row>
    <row r="7" spans="1:11">
      <c r="A7" s="16">
        <v>5</v>
      </c>
      <c r="B7" s="16" t="s">
        <v>43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 t="s">
        <v>132</v>
      </c>
      <c r="K7" s="16" t="s">
        <v>1875</v>
      </c>
    </row>
    <row r="8" spans="1:11">
      <c r="A8" s="16"/>
      <c r="B8" s="16"/>
      <c r="C8" s="16"/>
      <c r="D8" s="92"/>
      <c r="E8" s="92"/>
      <c r="F8" s="92"/>
      <c r="G8" s="16"/>
      <c r="H8" s="92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92"/>
      <c r="E10" s="92"/>
      <c r="F10" s="92"/>
      <c r="G10" s="16"/>
      <c r="H10" s="16"/>
      <c r="I10" s="16"/>
      <c r="J10" s="16"/>
      <c r="K10" s="16"/>
    </row>
    <row r="11" spans="1: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1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92"/>
      <c r="E14" s="92"/>
      <c r="F14" s="92"/>
      <c r="G14" s="16"/>
      <c r="H14" s="92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92"/>
      <c r="E16" s="92"/>
      <c r="F16" s="92"/>
      <c r="G16" s="16"/>
      <c r="H16" s="16"/>
      <c r="I16" s="16"/>
      <c r="J16" s="16"/>
      <c r="K16" s="16"/>
    </row>
    <row r="17" spans="1:1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92"/>
      <c r="E20" s="92"/>
      <c r="F20" s="92"/>
      <c r="G20" s="16"/>
      <c r="H20" s="92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92"/>
      <c r="E22" s="92"/>
      <c r="F22" s="92"/>
      <c r="G22" s="16"/>
      <c r="H22" s="16"/>
      <c r="I22" s="16"/>
      <c r="J22" s="16"/>
      <c r="K22" s="16"/>
    </row>
    <row r="23" spans="1:1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92"/>
      <c r="E26" s="92"/>
      <c r="F26" s="92"/>
      <c r="G26" s="16"/>
      <c r="H26" s="92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92"/>
      <c r="E28" s="92"/>
      <c r="F28" s="92"/>
      <c r="G28" s="16"/>
      <c r="H28" s="16"/>
      <c r="I28" s="16"/>
      <c r="J28" s="16"/>
      <c r="K28" s="16"/>
    </row>
    <row r="29" spans="1:1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spans="1:1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92"/>
      <c r="E32" s="92"/>
      <c r="F32" s="92"/>
      <c r="G32" s="16"/>
      <c r="H32" s="92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92"/>
      <c r="E34" s="92"/>
      <c r="F34" s="92"/>
      <c r="G34" s="16"/>
      <c r="H34" s="16"/>
      <c r="I34" s="16"/>
      <c r="J34" s="16"/>
      <c r="K34" s="16"/>
    </row>
    <row r="35" spans="1:1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92"/>
      <c r="E38" s="92"/>
      <c r="F38" s="92"/>
      <c r="G38" s="16"/>
      <c r="H38" s="92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92"/>
      <c r="E40" s="92"/>
      <c r="F40" s="92"/>
      <c r="G40" s="16"/>
      <c r="H40" s="16"/>
      <c r="I40" s="16"/>
      <c r="J40" s="16"/>
      <c r="K40" s="16"/>
    </row>
    <row r="41" spans="1:1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92"/>
      <c r="E44" s="92"/>
      <c r="F44" s="92"/>
      <c r="G44" s="16"/>
      <c r="H44" s="92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92"/>
      <c r="E46" s="92"/>
      <c r="F46" s="92"/>
      <c r="G46" s="16"/>
      <c r="H46" s="16"/>
      <c r="I46" s="16"/>
      <c r="J46" s="16"/>
      <c r="K46" s="16"/>
    </row>
    <row r="47" spans="1:1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</row>
    <row r="48" spans="1:1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92"/>
      <c r="E50" s="92"/>
      <c r="F50" s="92"/>
      <c r="G50" s="16"/>
      <c r="H50" s="92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92"/>
      <c r="E52" s="92"/>
      <c r="F52" s="92"/>
      <c r="G52" s="16"/>
      <c r="H52" s="16"/>
      <c r="I52" s="16"/>
      <c r="J52" s="16"/>
      <c r="K52" s="16"/>
    </row>
    <row r="53" spans="1:1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</row>
    <row r="54" spans="1:1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92"/>
      <c r="E56" s="92"/>
      <c r="F56" s="92"/>
      <c r="G56" s="16"/>
      <c r="H56" s="92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92"/>
      <c r="E58" s="92"/>
      <c r="F58" s="92"/>
      <c r="G58" s="16"/>
      <c r="H58" s="16"/>
      <c r="I58" s="16"/>
      <c r="J58" s="16"/>
      <c r="K58" s="16"/>
    </row>
    <row r="59" spans="1:1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</row>
    <row r="60" spans="1:1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92"/>
      <c r="E62" s="92"/>
      <c r="F62" s="92"/>
      <c r="G62" s="16"/>
      <c r="H62" s="92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92"/>
      <c r="E64" s="92"/>
      <c r="F64" s="92"/>
      <c r="G64" s="16"/>
      <c r="H64" s="16"/>
      <c r="I64" s="16"/>
      <c r="J64" s="16"/>
      <c r="K64" s="16"/>
    </row>
    <row r="65" spans="1:1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</row>
    <row r="66" spans="1:1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92"/>
      <c r="E68" s="92"/>
      <c r="F68" s="92"/>
      <c r="G68" s="16"/>
      <c r="H68" s="92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92"/>
      <c r="E70" s="92"/>
      <c r="F70" s="92"/>
      <c r="G70" s="16"/>
      <c r="H70" s="16"/>
      <c r="I70" s="16"/>
      <c r="J70" s="16"/>
      <c r="K70" s="16"/>
    </row>
    <row r="71" spans="1:1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</row>
    <row r="72" spans="1:1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92"/>
      <c r="E74" s="92"/>
      <c r="F74" s="92"/>
      <c r="G74" s="16"/>
      <c r="H74" s="92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92"/>
      <c r="E76" s="92"/>
      <c r="F76" s="92"/>
      <c r="G76" s="16"/>
      <c r="H76" s="16"/>
      <c r="I76" s="16"/>
      <c r="J76" s="16"/>
      <c r="K76" s="16"/>
    </row>
    <row r="77" spans="1:1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</row>
    <row r="78" spans="1:1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92"/>
      <c r="E80" s="92"/>
      <c r="F80" s="92"/>
      <c r="G80" s="16"/>
      <c r="H80" s="92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92"/>
      <c r="E82" s="92"/>
      <c r="F82" s="92"/>
      <c r="G82" s="16"/>
      <c r="H82" s="16"/>
      <c r="I82" s="16"/>
      <c r="J82" s="16"/>
      <c r="K82" s="16"/>
    </row>
    <row r="83" spans="1:1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</row>
    <row r="84" spans="1:1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92"/>
      <c r="E86" s="92"/>
      <c r="F86" s="92"/>
      <c r="G86" s="16"/>
      <c r="H86" s="92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92"/>
      <c r="E88" s="92"/>
      <c r="F88" s="92"/>
      <c r="G88" s="16"/>
      <c r="H88" s="16"/>
      <c r="I88" s="16"/>
      <c r="J88" s="16"/>
      <c r="K88" s="16"/>
    </row>
    <row r="89" spans="1:1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</row>
    <row r="90" spans="1:1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92"/>
      <c r="E92" s="92"/>
      <c r="F92" s="92"/>
      <c r="G92" s="16"/>
      <c r="H92" s="92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92"/>
      <c r="E94" s="92"/>
      <c r="F94" s="92"/>
      <c r="G94" s="16"/>
      <c r="H94" s="16"/>
      <c r="I94" s="16"/>
      <c r="J94" s="16"/>
      <c r="K94" s="16"/>
    </row>
    <row r="95" spans="1:1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</row>
    <row r="96" spans="1:1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92"/>
      <c r="E98" s="92"/>
      <c r="F98" s="92"/>
      <c r="G98" s="16"/>
      <c r="H98" s="92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92"/>
      <c r="E100" s="92"/>
      <c r="F100" s="92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</row>
    <row r="102" spans="1:1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92"/>
      <c r="E104" s="92"/>
      <c r="F104" s="92"/>
      <c r="G104" s="16"/>
      <c r="H104" s="92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92"/>
      <c r="E106" s="92"/>
      <c r="F106" s="92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</row>
    <row r="108" spans="1:1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92"/>
      <c r="E110" s="92"/>
      <c r="F110" s="92"/>
      <c r="G110" s="16"/>
      <c r="H110" s="92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92"/>
      <c r="E112" s="92"/>
      <c r="F112" s="92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</row>
    <row r="114" spans="1:1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92"/>
      <c r="E116" s="92"/>
      <c r="F116" s="92"/>
      <c r="G116" s="16"/>
      <c r="H116" s="92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92"/>
      <c r="E118" s="92"/>
      <c r="F118" s="92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</row>
    <row r="120" spans="1:1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92"/>
      <c r="E122" s="92"/>
      <c r="F122" s="92"/>
      <c r="G122" s="16"/>
      <c r="H122" s="92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92"/>
      <c r="E124" s="92"/>
      <c r="F124" s="92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</row>
    <row r="126" spans="1:1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92"/>
      <c r="E128" s="92"/>
      <c r="F128" s="92"/>
      <c r="G128" s="16"/>
      <c r="H128" s="92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92"/>
      <c r="E130" s="92"/>
      <c r="F130" s="92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</row>
    <row r="132" spans="1:1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92"/>
      <c r="E134" s="92"/>
      <c r="F134" s="92"/>
      <c r="G134" s="16"/>
      <c r="H134" s="92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92"/>
      <c r="E136" s="92"/>
      <c r="F136" s="92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</row>
    <row r="138" spans="1:1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92"/>
      <c r="E140" s="92"/>
      <c r="F140" s="92"/>
      <c r="G140" s="16"/>
      <c r="H140" s="92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92"/>
      <c r="E142" s="92"/>
      <c r="F142" s="92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</row>
    <row r="144" spans="1:1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92"/>
      <c r="E146" s="92"/>
      <c r="F146" s="92"/>
      <c r="G146" s="16"/>
      <c r="H146" s="92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92"/>
      <c r="E148" s="92"/>
      <c r="F148" s="92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</row>
    <row r="150" spans="1:1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92"/>
      <c r="E152" s="92"/>
      <c r="F152" s="92"/>
      <c r="G152" s="16"/>
      <c r="H152" s="92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92"/>
      <c r="E154" s="92"/>
      <c r="F154" s="92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</row>
    <row r="156" spans="1:1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92"/>
      <c r="E158" s="92"/>
      <c r="F158" s="92"/>
      <c r="G158" s="16"/>
      <c r="H158" s="92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92"/>
      <c r="E160" s="92"/>
      <c r="F160" s="92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</row>
    <row r="162" spans="1:1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92"/>
      <c r="E164" s="92"/>
      <c r="F164" s="92"/>
      <c r="G164" s="16"/>
      <c r="H164" s="92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92"/>
      <c r="E166" s="92"/>
      <c r="F166" s="92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</row>
    <row r="168" spans="1:1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92"/>
      <c r="E170" s="92"/>
      <c r="F170" s="92"/>
      <c r="G170" s="16"/>
      <c r="H170" s="92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92"/>
      <c r="E172" s="92"/>
      <c r="F172" s="92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</row>
    <row r="174" spans="1:1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92"/>
      <c r="E176" s="92"/>
      <c r="F176" s="92"/>
      <c r="G176" s="16"/>
      <c r="H176" s="92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92"/>
      <c r="E178" s="92"/>
      <c r="F178" s="92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</row>
    <row r="180" spans="1:1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92"/>
      <c r="E182" s="92"/>
      <c r="F182" s="92"/>
      <c r="G182" s="16"/>
      <c r="H182" s="92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92"/>
      <c r="E184" s="92"/>
      <c r="F184" s="92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</row>
    <row r="186" spans="1:1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92"/>
      <c r="E188" s="92"/>
      <c r="F188" s="92"/>
      <c r="G188" s="16"/>
      <c r="H188" s="92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92"/>
      <c r="E190" s="92"/>
      <c r="F190" s="92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</row>
    <row r="192" spans="1:1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92"/>
      <c r="E194" s="92"/>
      <c r="F194" s="92"/>
      <c r="G194" s="16"/>
      <c r="H194" s="92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92"/>
      <c r="E196" s="92"/>
      <c r="F196" s="92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</row>
    <row r="198" spans="1:1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92"/>
      <c r="E200" s="92"/>
      <c r="F200" s="92"/>
      <c r="G200" s="16"/>
      <c r="H200" s="92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92"/>
      <c r="E202" s="92"/>
      <c r="F202" s="92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</row>
    <row r="204" spans="1:1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92"/>
      <c r="E206" s="92"/>
      <c r="F206" s="92"/>
      <c r="G206" s="16"/>
      <c r="H206" s="92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92"/>
      <c r="E208" s="92"/>
      <c r="F208" s="92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</row>
    <row r="210" spans="1:1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92"/>
      <c r="E212" s="92"/>
      <c r="F212" s="92"/>
      <c r="G212" s="16"/>
      <c r="H212" s="92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92"/>
      <c r="E214" s="92"/>
      <c r="F214" s="92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92"/>
      <c r="E218" s="92"/>
      <c r="F218" s="92"/>
      <c r="G218" s="16"/>
      <c r="H218" s="92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92"/>
      <c r="E220" s="92"/>
      <c r="F220" s="92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</row>
    <row r="222" spans="1:1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92"/>
      <c r="E224" s="92"/>
      <c r="F224" s="92"/>
      <c r="G224" s="16"/>
      <c r="H224" s="92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92"/>
      <c r="E226" s="92"/>
      <c r="F226" s="92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</row>
    <row r="228" spans="1:1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92"/>
      <c r="E230" s="92"/>
      <c r="F230" s="92"/>
      <c r="G230" s="16"/>
      <c r="H230" s="92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92"/>
      <c r="E232" s="92"/>
      <c r="F232" s="92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</row>
    <row r="234" spans="1:1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92"/>
      <c r="E236" s="92"/>
      <c r="F236" s="92"/>
      <c r="G236" s="16"/>
      <c r="H236" s="92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92"/>
      <c r="E238" s="92"/>
      <c r="F238" s="92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</row>
    <row r="240" spans="1:1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92"/>
      <c r="E242" s="92"/>
      <c r="F242" s="92"/>
      <c r="G242" s="16"/>
      <c r="H242" s="92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92"/>
      <c r="E244" s="92"/>
      <c r="F244" s="92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</row>
    <row r="246" spans="1:1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92"/>
      <c r="E248" s="92"/>
      <c r="F248" s="92"/>
      <c r="G248" s="16"/>
      <c r="H248" s="92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92"/>
      <c r="E250" s="92"/>
      <c r="F250" s="92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</row>
    <row r="252" spans="1:1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92"/>
      <c r="E254" s="92"/>
      <c r="F254" s="92"/>
      <c r="G254" s="16"/>
      <c r="H254" s="92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92"/>
      <c r="E256" s="92"/>
      <c r="F256" s="92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</row>
    <row r="258" spans="1:1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92"/>
      <c r="E260" s="92"/>
      <c r="F260" s="92"/>
      <c r="G260" s="16"/>
      <c r="H260" s="92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92"/>
      <c r="E262" s="92"/>
      <c r="F262" s="92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</row>
    <row r="264" spans="1:1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92"/>
      <c r="E266" s="92"/>
      <c r="F266" s="92"/>
      <c r="G266" s="16"/>
      <c r="H266" s="92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92"/>
      <c r="E268" s="92"/>
      <c r="F268" s="92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</row>
    <row r="270" spans="1:1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92"/>
      <c r="E272" s="92"/>
      <c r="F272" s="92"/>
      <c r="G272" s="16"/>
      <c r="H272" s="92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92"/>
      <c r="E274" s="92"/>
      <c r="F274" s="92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</row>
    <row r="276" spans="1:1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92"/>
      <c r="E278" s="92"/>
      <c r="F278" s="92"/>
      <c r="G278" s="16"/>
      <c r="H278" s="92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92"/>
      <c r="E280" s="92"/>
      <c r="F280" s="92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</row>
    <row r="282" spans="1:1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92"/>
      <c r="E284" s="92"/>
      <c r="F284" s="92"/>
      <c r="G284" s="16"/>
      <c r="H284" s="92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92"/>
      <c r="E286" s="92"/>
      <c r="F286" s="92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</row>
    <row r="288" spans="1:1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92"/>
      <c r="E290" s="92"/>
      <c r="F290" s="92"/>
      <c r="G290" s="16"/>
      <c r="H290" s="92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92"/>
      <c r="E292" s="92"/>
      <c r="F292" s="92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</row>
    <row r="294" spans="1:1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92"/>
      <c r="E296" s="92"/>
      <c r="F296" s="92"/>
      <c r="G296" s="16"/>
      <c r="H296" s="92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92"/>
      <c r="E298" s="92"/>
      <c r="F298" s="92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</row>
    <row r="300" spans="1:1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2D28-9962-47AE-B293-F3E9BE33C4A8}">
  <sheetPr>
    <tabColor theme="4" tint="0.749992370372631"/>
    <pageSetUpPr fitToPage="1"/>
  </sheetPr>
  <dimension ref="A2:I733"/>
  <sheetViews>
    <sheetView topLeftCell="A567" workbookViewId="0">
      <selection activeCell="B587" sqref="B587"/>
    </sheetView>
  </sheetViews>
  <sheetFormatPr defaultColWidth="9.1328125" defaultRowHeight="12.75"/>
  <cols>
    <col min="1" max="1" width="78.73046875" style="42" customWidth="1"/>
    <col min="2" max="2" width="9.1328125" style="44"/>
    <col min="3" max="3" width="72.73046875" style="44" customWidth="1"/>
    <col min="4" max="4" width="39.1328125" style="44" customWidth="1"/>
    <col min="5" max="5" width="12.3984375" style="42" bestFit="1" customWidth="1"/>
    <col min="6" max="6" width="9.1328125" style="42"/>
    <col min="7" max="7" width="5.73046875" style="42" customWidth="1"/>
    <col min="8" max="16384" width="9.1328125" style="42"/>
  </cols>
  <sheetData>
    <row r="2" spans="1:4" ht="22.5">
      <c r="B2" s="43" t="s">
        <v>402</v>
      </c>
    </row>
    <row r="3" spans="1:4" ht="20.65">
      <c r="B3" s="45" t="s">
        <v>403</v>
      </c>
    </row>
    <row r="6" spans="1:4">
      <c r="B6" s="44" t="s">
        <v>404</v>
      </c>
    </row>
    <row r="7" spans="1:4">
      <c r="B7" s="46" t="s">
        <v>405</v>
      </c>
    </row>
    <row r="8" spans="1:4" ht="12.75" customHeight="1">
      <c r="B8" s="46" t="s">
        <v>406</v>
      </c>
    </row>
    <row r="9" spans="1:4">
      <c r="B9" s="46" t="s">
        <v>407</v>
      </c>
    </row>
    <row r="10" spans="1:4" ht="13.15" thickBot="1">
      <c r="A10" s="44"/>
    </row>
    <row r="11" spans="1:4" ht="15.75" thickTop="1" thickBot="1">
      <c r="B11" s="47" t="s">
        <v>131</v>
      </c>
      <c r="C11" s="48" t="s">
        <v>408</v>
      </c>
      <c r="D11" s="49" t="s">
        <v>409</v>
      </c>
    </row>
    <row r="12" spans="1:4">
      <c r="B12" s="50" t="s">
        <v>133</v>
      </c>
      <c r="C12" s="51" t="s">
        <v>410</v>
      </c>
      <c r="D12" s="52" t="s">
        <v>411</v>
      </c>
    </row>
    <row r="13" spans="1:4">
      <c r="B13" s="50" t="s">
        <v>412</v>
      </c>
      <c r="C13" s="53" t="s">
        <v>410</v>
      </c>
      <c r="D13" s="52" t="s">
        <v>413</v>
      </c>
    </row>
    <row r="14" spans="1:4">
      <c r="B14" s="50" t="s">
        <v>134</v>
      </c>
      <c r="C14" s="53" t="s">
        <v>414</v>
      </c>
      <c r="D14" s="52" t="s">
        <v>411</v>
      </c>
    </row>
    <row r="15" spans="1:4">
      <c r="B15" s="50" t="s">
        <v>415</v>
      </c>
      <c r="C15" s="53" t="s">
        <v>416</v>
      </c>
      <c r="D15" s="52" t="s">
        <v>417</v>
      </c>
    </row>
    <row r="16" spans="1:4">
      <c r="B16" s="50" t="s">
        <v>418</v>
      </c>
      <c r="C16" s="53" t="s">
        <v>414</v>
      </c>
      <c r="D16" s="52" t="s">
        <v>413</v>
      </c>
    </row>
    <row r="17" spans="2:4">
      <c r="B17" s="50" t="s">
        <v>419</v>
      </c>
      <c r="C17" s="53" t="s">
        <v>420</v>
      </c>
      <c r="D17" s="52" t="s">
        <v>421</v>
      </c>
    </row>
    <row r="18" spans="2:4">
      <c r="B18" s="50" t="s">
        <v>135</v>
      </c>
      <c r="C18" s="53" t="s">
        <v>422</v>
      </c>
      <c r="D18" s="52" t="s">
        <v>411</v>
      </c>
    </row>
    <row r="19" spans="2:4">
      <c r="B19" s="50" t="s">
        <v>423</v>
      </c>
      <c r="C19" s="53" t="s">
        <v>424</v>
      </c>
      <c r="D19" s="52" t="s">
        <v>417</v>
      </c>
    </row>
    <row r="20" spans="2:4">
      <c r="B20" s="50" t="s">
        <v>425</v>
      </c>
      <c r="C20" s="53" t="s">
        <v>422</v>
      </c>
      <c r="D20" s="52" t="s">
        <v>413</v>
      </c>
    </row>
    <row r="21" spans="2:4">
      <c r="B21" s="50" t="s">
        <v>426</v>
      </c>
      <c r="C21" s="53" t="s">
        <v>427</v>
      </c>
      <c r="D21" s="52" t="s">
        <v>421</v>
      </c>
    </row>
    <row r="22" spans="2:4">
      <c r="B22" s="54" t="s">
        <v>136</v>
      </c>
      <c r="C22" s="53" t="s">
        <v>428</v>
      </c>
      <c r="D22" s="52" t="s">
        <v>411</v>
      </c>
    </row>
    <row r="23" spans="2:4">
      <c r="B23" s="50" t="s">
        <v>429</v>
      </c>
      <c r="C23" s="53" t="s">
        <v>430</v>
      </c>
      <c r="D23" s="52" t="s">
        <v>417</v>
      </c>
    </row>
    <row r="24" spans="2:4">
      <c r="B24" s="50" t="s">
        <v>431</v>
      </c>
      <c r="C24" s="53" t="s">
        <v>428</v>
      </c>
      <c r="D24" s="52" t="s">
        <v>413</v>
      </c>
    </row>
    <row r="25" spans="2:4">
      <c r="B25" s="54" t="s">
        <v>432</v>
      </c>
      <c r="C25" s="53" t="s">
        <v>433</v>
      </c>
      <c r="D25" s="52" t="s">
        <v>421</v>
      </c>
    </row>
    <row r="26" spans="2:4">
      <c r="B26" s="50" t="s">
        <v>137</v>
      </c>
      <c r="C26" s="53" t="s">
        <v>434</v>
      </c>
      <c r="D26" s="52" t="s">
        <v>411</v>
      </c>
    </row>
    <row r="27" spans="2:4">
      <c r="B27" s="50" t="s">
        <v>435</v>
      </c>
      <c r="C27" s="53" t="s">
        <v>436</v>
      </c>
      <c r="D27" s="52" t="s">
        <v>417</v>
      </c>
    </row>
    <row r="28" spans="2:4">
      <c r="B28" s="50" t="s">
        <v>437</v>
      </c>
      <c r="C28" s="53" t="s">
        <v>434</v>
      </c>
      <c r="D28" s="52" t="s">
        <v>413</v>
      </c>
    </row>
    <row r="29" spans="2:4">
      <c r="B29" s="50" t="s">
        <v>438</v>
      </c>
      <c r="C29" s="53" t="s">
        <v>439</v>
      </c>
      <c r="D29" s="52" t="s">
        <v>421</v>
      </c>
    </row>
    <row r="30" spans="2:4">
      <c r="B30" s="50" t="s">
        <v>138</v>
      </c>
      <c r="C30" s="53" t="s">
        <v>440</v>
      </c>
      <c r="D30" s="52" t="s">
        <v>411</v>
      </c>
    </row>
    <row r="31" spans="2:4">
      <c r="B31" s="50" t="s">
        <v>441</v>
      </c>
      <c r="C31" s="53" t="s">
        <v>442</v>
      </c>
      <c r="D31" s="52" t="s">
        <v>417</v>
      </c>
    </row>
    <row r="32" spans="2:4">
      <c r="B32" s="50" t="s">
        <v>443</v>
      </c>
      <c r="C32" s="53" t="s">
        <v>440</v>
      </c>
      <c r="D32" s="52" t="s">
        <v>413</v>
      </c>
    </row>
    <row r="33" spans="1:4">
      <c r="B33" s="50" t="s">
        <v>444</v>
      </c>
      <c r="C33" s="53" t="s">
        <v>445</v>
      </c>
      <c r="D33" s="52" t="s">
        <v>421</v>
      </c>
    </row>
    <row r="34" spans="1:4">
      <c r="B34" s="50" t="s">
        <v>139</v>
      </c>
      <c r="C34" s="53" t="s">
        <v>446</v>
      </c>
      <c r="D34" s="52" t="s">
        <v>411</v>
      </c>
    </row>
    <row r="35" spans="1:4">
      <c r="B35" s="50" t="s">
        <v>447</v>
      </c>
      <c r="C35" s="53" t="s">
        <v>448</v>
      </c>
      <c r="D35" s="52" t="s">
        <v>417</v>
      </c>
    </row>
    <row r="36" spans="1:4">
      <c r="B36" s="50" t="s">
        <v>449</v>
      </c>
      <c r="C36" s="53" t="s">
        <v>446</v>
      </c>
      <c r="D36" s="52" t="s">
        <v>413</v>
      </c>
    </row>
    <row r="37" spans="1:4">
      <c r="B37" s="50" t="s">
        <v>450</v>
      </c>
      <c r="C37" s="53" t="s">
        <v>451</v>
      </c>
      <c r="D37" s="52" t="s">
        <v>421</v>
      </c>
    </row>
    <row r="38" spans="1:4">
      <c r="B38" s="50" t="s">
        <v>140</v>
      </c>
      <c r="C38" s="53" t="s">
        <v>452</v>
      </c>
      <c r="D38" s="52" t="s">
        <v>411</v>
      </c>
    </row>
    <row r="39" spans="1:4">
      <c r="B39" s="50" t="s">
        <v>453</v>
      </c>
      <c r="C39" s="53" t="s">
        <v>452</v>
      </c>
      <c r="D39" s="52" t="s">
        <v>413</v>
      </c>
    </row>
    <row r="40" spans="1:4">
      <c r="B40" s="50" t="s">
        <v>454</v>
      </c>
      <c r="C40" s="53" t="s">
        <v>455</v>
      </c>
      <c r="D40" s="52" t="s">
        <v>411</v>
      </c>
    </row>
    <row r="41" spans="1:4">
      <c r="B41" s="50" t="s">
        <v>141</v>
      </c>
      <c r="C41" s="53" t="s">
        <v>456</v>
      </c>
      <c r="D41" s="52" t="s">
        <v>411</v>
      </c>
    </row>
    <row r="42" spans="1:4">
      <c r="B42" s="50" t="s">
        <v>457</v>
      </c>
      <c r="C42" s="53" t="s">
        <v>458</v>
      </c>
      <c r="D42" s="52" t="s">
        <v>413</v>
      </c>
    </row>
    <row r="43" spans="1:4">
      <c r="B43" s="50" t="s">
        <v>142</v>
      </c>
      <c r="C43" s="53" t="s">
        <v>459</v>
      </c>
      <c r="D43" s="52" t="s">
        <v>411</v>
      </c>
    </row>
    <row r="44" spans="1:4">
      <c r="B44" s="50" t="s">
        <v>460</v>
      </c>
      <c r="C44" s="53" t="s">
        <v>459</v>
      </c>
      <c r="D44" s="52" t="s">
        <v>413</v>
      </c>
    </row>
    <row r="45" spans="1:4">
      <c r="A45" s="44"/>
      <c r="B45" s="50" t="s">
        <v>461</v>
      </c>
      <c r="C45" s="53" t="s">
        <v>462</v>
      </c>
      <c r="D45" s="52" t="s">
        <v>411</v>
      </c>
    </row>
    <row r="46" spans="1:4">
      <c r="A46" s="44"/>
      <c r="B46" s="50" t="s">
        <v>143</v>
      </c>
      <c r="C46" s="53" t="s">
        <v>463</v>
      </c>
      <c r="D46" s="52" t="s">
        <v>411</v>
      </c>
    </row>
    <row r="47" spans="1:4">
      <c r="A47" s="44"/>
      <c r="B47" s="50" t="s">
        <v>464</v>
      </c>
      <c r="C47" s="53" t="s">
        <v>465</v>
      </c>
      <c r="D47" s="52" t="s">
        <v>413</v>
      </c>
    </row>
    <row r="48" spans="1:4" ht="25.5">
      <c r="A48" s="44"/>
      <c r="B48" s="50" t="s">
        <v>144</v>
      </c>
      <c r="C48" s="53" t="s">
        <v>466</v>
      </c>
      <c r="D48" s="52" t="s">
        <v>411</v>
      </c>
    </row>
    <row r="49" spans="2:4">
      <c r="B49" s="50" t="s">
        <v>145</v>
      </c>
      <c r="C49" s="53" t="s">
        <v>467</v>
      </c>
      <c r="D49" s="52" t="s">
        <v>411</v>
      </c>
    </row>
    <row r="50" spans="2:4">
      <c r="B50" s="50" t="s">
        <v>146</v>
      </c>
      <c r="C50" s="53" t="s">
        <v>468</v>
      </c>
      <c r="D50" s="52" t="s">
        <v>411</v>
      </c>
    </row>
    <row r="51" spans="2:4">
      <c r="B51" s="50" t="s">
        <v>469</v>
      </c>
      <c r="C51" s="53" t="s">
        <v>468</v>
      </c>
      <c r="D51" s="52" t="s">
        <v>413</v>
      </c>
    </row>
    <row r="52" spans="2:4">
      <c r="B52" s="50" t="s">
        <v>147</v>
      </c>
      <c r="C52" s="53" t="s">
        <v>470</v>
      </c>
      <c r="D52" s="52" t="s">
        <v>411</v>
      </c>
    </row>
    <row r="53" spans="2:4">
      <c r="B53" s="50" t="s">
        <v>471</v>
      </c>
      <c r="C53" s="53" t="s">
        <v>470</v>
      </c>
      <c r="D53" s="52" t="s">
        <v>413</v>
      </c>
    </row>
    <row r="54" spans="2:4">
      <c r="B54" s="50" t="s">
        <v>148</v>
      </c>
      <c r="C54" s="53" t="s">
        <v>472</v>
      </c>
      <c r="D54" s="52" t="s">
        <v>411</v>
      </c>
    </row>
    <row r="55" spans="2:4">
      <c r="B55" s="50" t="s">
        <v>473</v>
      </c>
      <c r="C55" s="53" t="s">
        <v>472</v>
      </c>
      <c r="D55" s="52" t="s">
        <v>413</v>
      </c>
    </row>
    <row r="56" spans="2:4">
      <c r="B56" s="50" t="s">
        <v>149</v>
      </c>
      <c r="C56" s="53" t="s">
        <v>474</v>
      </c>
      <c r="D56" s="52" t="s">
        <v>411</v>
      </c>
    </row>
    <row r="57" spans="2:4">
      <c r="B57" s="50" t="s">
        <v>475</v>
      </c>
      <c r="C57" s="53" t="s">
        <v>474</v>
      </c>
      <c r="D57" s="52" t="s">
        <v>413</v>
      </c>
    </row>
    <row r="58" spans="2:4">
      <c r="B58" s="50" t="s">
        <v>392</v>
      </c>
      <c r="C58" s="53" t="s">
        <v>476</v>
      </c>
      <c r="D58" s="52" t="s">
        <v>411</v>
      </c>
    </row>
    <row r="59" spans="2:4">
      <c r="B59" s="50" t="s">
        <v>477</v>
      </c>
      <c r="C59" s="53" t="s">
        <v>478</v>
      </c>
      <c r="D59" s="52" t="s">
        <v>417</v>
      </c>
    </row>
    <row r="60" spans="2:4">
      <c r="B60" s="50" t="s">
        <v>479</v>
      </c>
      <c r="C60" s="53" t="s">
        <v>476</v>
      </c>
      <c r="D60" s="52" t="s">
        <v>480</v>
      </c>
    </row>
    <row r="61" spans="2:4">
      <c r="B61" s="50" t="s">
        <v>481</v>
      </c>
      <c r="C61" s="53" t="s">
        <v>482</v>
      </c>
      <c r="D61" s="52" t="s">
        <v>421</v>
      </c>
    </row>
    <row r="62" spans="2:4">
      <c r="B62" s="50" t="s">
        <v>393</v>
      </c>
      <c r="C62" s="53" t="s">
        <v>483</v>
      </c>
      <c r="D62" s="52" t="s">
        <v>411</v>
      </c>
    </row>
    <row r="63" spans="2:4">
      <c r="B63" s="50" t="s">
        <v>484</v>
      </c>
      <c r="C63" s="53" t="s">
        <v>485</v>
      </c>
      <c r="D63" s="52" t="s">
        <v>417</v>
      </c>
    </row>
    <row r="64" spans="2:4">
      <c r="B64" s="50" t="s">
        <v>486</v>
      </c>
      <c r="C64" s="53" t="s">
        <v>483</v>
      </c>
      <c r="D64" s="52" t="s">
        <v>480</v>
      </c>
    </row>
    <row r="65" spans="2:4">
      <c r="B65" s="50" t="s">
        <v>487</v>
      </c>
      <c r="C65" s="53" t="s">
        <v>488</v>
      </c>
      <c r="D65" s="52" t="s">
        <v>421</v>
      </c>
    </row>
    <row r="66" spans="2:4">
      <c r="B66" s="50" t="s">
        <v>394</v>
      </c>
      <c r="C66" s="53" t="s">
        <v>489</v>
      </c>
      <c r="D66" s="52" t="s">
        <v>411</v>
      </c>
    </row>
    <row r="67" spans="2:4">
      <c r="B67" s="50" t="s">
        <v>490</v>
      </c>
      <c r="C67" s="53" t="s">
        <v>489</v>
      </c>
      <c r="D67" s="52" t="s">
        <v>480</v>
      </c>
    </row>
    <row r="68" spans="2:4">
      <c r="B68" s="50" t="s">
        <v>491</v>
      </c>
      <c r="C68" s="53" t="s">
        <v>492</v>
      </c>
      <c r="D68" s="52" t="s">
        <v>421</v>
      </c>
    </row>
    <row r="69" spans="2:4">
      <c r="B69" s="50" t="s">
        <v>150</v>
      </c>
      <c r="C69" s="53" t="s">
        <v>493</v>
      </c>
      <c r="D69" s="52" t="s">
        <v>411</v>
      </c>
    </row>
    <row r="70" spans="2:4">
      <c r="B70" s="50" t="s">
        <v>494</v>
      </c>
      <c r="C70" s="53" t="s">
        <v>495</v>
      </c>
      <c r="D70" s="52" t="s">
        <v>417</v>
      </c>
    </row>
    <row r="71" spans="2:4" ht="25.5">
      <c r="B71" s="50" t="s">
        <v>496</v>
      </c>
      <c r="C71" s="53" t="s">
        <v>497</v>
      </c>
      <c r="D71" s="52" t="s">
        <v>498</v>
      </c>
    </row>
    <row r="72" spans="2:4">
      <c r="B72" s="50" t="s">
        <v>499</v>
      </c>
      <c r="C72" s="53" t="s">
        <v>493</v>
      </c>
      <c r="D72" s="52" t="s">
        <v>480</v>
      </c>
    </row>
    <row r="73" spans="2:4">
      <c r="B73" s="50" t="s">
        <v>500</v>
      </c>
      <c r="C73" s="53" t="s">
        <v>501</v>
      </c>
      <c r="D73" s="52" t="s">
        <v>421</v>
      </c>
    </row>
    <row r="74" spans="2:4">
      <c r="B74" s="50" t="s">
        <v>151</v>
      </c>
      <c r="C74" s="53" t="s">
        <v>502</v>
      </c>
      <c r="D74" s="52" t="s">
        <v>411</v>
      </c>
    </row>
    <row r="75" spans="2:4">
      <c r="B75" s="50" t="s">
        <v>503</v>
      </c>
      <c r="C75" s="53" t="s">
        <v>504</v>
      </c>
      <c r="D75" s="52" t="s">
        <v>417</v>
      </c>
    </row>
    <row r="76" spans="2:4">
      <c r="B76" s="50" t="s">
        <v>505</v>
      </c>
      <c r="C76" s="53" t="s">
        <v>502</v>
      </c>
      <c r="D76" s="52" t="s">
        <v>480</v>
      </c>
    </row>
    <row r="77" spans="2:4">
      <c r="B77" s="50" t="s">
        <v>506</v>
      </c>
      <c r="C77" s="53" t="s">
        <v>507</v>
      </c>
      <c r="D77" s="52" t="s">
        <v>421</v>
      </c>
    </row>
    <row r="78" spans="2:4">
      <c r="B78" s="50" t="s">
        <v>152</v>
      </c>
      <c r="C78" s="53" t="s">
        <v>508</v>
      </c>
      <c r="D78" s="52" t="s">
        <v>411</v>
      </c>
    </row>
    <row r="79" spans="2:4">
      <c r="B79" s="50" t="s">
        <v>509</v>
      </c>
      <c r="C79" s="53" t="s">
        <v>510</v>
      </c>
      <c r="D79" s="52" t="s">
        <v>417</v>
      </c>
    </row>
    <row r="80" spans="2:4" ht="25.5">
      <c r="B80" s="50" t="s">
        <v>511</v>
      </c>
      <c r="C80" s="53" t="s">
        <v>512</v>
      </c>
      <c r="D80" s="52" t="s">
        <v>498</v>
      </c>
    </row>
    <row r="81" spans="1:9">
      <c r="B81" s="50" t="s">
        <v>513</v>
      </c>
      <c r="C81" s="53" t="s">
        <v>508</v>
      </c>
      <c r="D81" s="52" t="s">
        <v>480</v>
      </c>
    </row>
    <row r="82" spans="1:9">
      <c r="B82" s="50" t="s">
        <v>514</v>
      </c>
      <c r="C82" s="53" t="s">
        <v>515</v>
      </c>
      <c r="D82" s="52" t="s">
        <v>421</v>
      </c>
    </row>
    <row r="83" spans="1:9" ht="25.5">
      <c r="B83" s="50" t="s">
        <v>516</v>
      </c>
      <c r="C83" s="53" t="s">
        <v>517</v>
      </c>
      <c r="D83" s="52" t="s">
        <v>498</v>
      </c>
    </row>
    <row r="84" spans="1:9">
      <c r="B84" s="50" t="s">
        <v>153</v>
      </c>
      <c r="C84" s="53" t="s">
        <v>518</v>
      </c>
      <c r="D84" s="52" t="s">
        <v>411</v>
      </c>
    </row>
    <row r="85" spans="1:9">
      <c r="B85" s="50" t="s">
        <v>519</v>
      </c>
      <c r="C85" s="53" t="s">
        <v>520</v>
      </c>
      <c r="D85" s="52" t="s">
        <v>417</v>
      </c>
    </row>
    <row r="86" spans="1:9">
      <c r="B86" s="50" t="s">
        <v>521</v>
      </c>
      <c r="C86" s="53" t="s">
        <v>518</v>
      </c>
      <c r="D86" s="52" t="s">
        <v>480</v>
      </c>
    </row>
    <row r="87" spans="1:9">
      <c r="B87" s="50" t="s">
        <v>522</v>
      </c>
      <c r="C87" s="53" t="s">
        <v>523</v>
      </c>
      <c r="D87" s="52" t="s">
        <v>421</v>
      </c>
    </row>
    <row r="88" spans="1:9">
      <c r="B88" s="50" t="s">
        <v>524</v>
      </c>
      <c r="C88" s="53" t="s">
        <v>525</v>
      </c>
      <c r="D88" s="52" t="s">
        <v>411</v>
      </c>
      <c r="G88" s="44"/>
      <c r="H88" s="44"/>
      <c r="I88" s="44"/>
    </row>
    <row r="89" spans="1:9" s="44" customFormat="1">
      <c r="A89" s="42"/>
      <c r="B89" s="50" t="s">
        <v>154</v>
      </c>
      <c r="C89" s="53" t="s">
        <v>526</v>
      </c>
      <c r="D89" s="52" t="s">
        <v>411</v>
      </c>
      <c r="E89" s="42"/>
      <c r="F89" s="42"/>
    </row>
    <row r="90" spans="1:9" s="44" customFormat="1">
      <c r="A90" s="42"/>
      <c r="B90" s="50" t="s">
        <v>527</v>
      </c>
      <c r="C90" s="53" t="s">
        <v>528</v>
      </c>
      <c r="D90" s="52" t="s">
        <v>417</v>
      </c>
      <c r="E90" s="42"/>
      <c r="F90" s="42"/>
      <c r="G90" s="42"/>
      <c r="H90" s="42"/>
      <c r="I90" s="42"/>
    </row>
    <row r="91" spans="1:9">
      <c r="B91" s="50" t="s">
        <v>529</v>
      </c>
      <c r="C91" s="53" t="s">
        <v>530</v>
      </c>
      <c r="D91" s="52" t="s">
        <v>498</v>
      </c>
    </row>
    <row r="92" spans="1:9">
      <c r="B92" s="50" t="s">
        <v>531</v>
      </c>
      <c r="C92" s="53" t="s">
        <v>532</v>
      </c>
      <c r="D92" s="52" t="s">
        <v>480</v>
      </c>
      <c r="G92" s="44"/>
      <c r="H92" s="44"/>
      <c r="I92" s="44"/>
    </row>
    <row r="93" spans="1:9" s="44" customFormat="1">
      <c r="B93" s="50" t="s">
        <v>533</v>
      </c>
      <c r="C93" s="53" t="s">
        <v>534</v>
      </c>
      <c r="D93" s="52" t="s">
        <v>421</v>
      </c>
      <c r="E93" s="42"/>
      <c r="F93" s="42"/>
      <c r="G93" s="42"/>
      <c r="H93" s="42"/>
      <c r="I93" s="42"/>
    </row>
    <row r="94" spans="1:9">
      <c r="A94" s="44"/>
      <c r="B94" s="50" t="s">
        <v>155</v>
      </c>
      <c r="C94" s="53" t="s">
        <v>535</v>
      </c>
      <c r="D94" s="52" t="s">
        <v>411</v>
      </c>
    </row>
    <row r="95" spans="1:9">
      <c r="B95" s="50" t="s">
        <v>536</v>
      </c>
      <c r="C95" s="53" t="s">
        <v>537</v>
      </c>
      <c r="D95" s="52" t="s">
        <v>417</v>
      </c>
    </row>
    <row r="96" spans="1:9" ht="25.5">
      <c r="B96" s="50" t="s">
        <v>538</v>
      </c>
      <c r="C96" s="53" t="s">
        <v>539</v>
      </c>
      <c r="D96" s="52" t="s">
        <v>498</v>
      </c>
    </row>
    <row r="97" spans="1:9">
      <c r="A97" s="44"/>
      <c r="B97" s="50" t="s">
        <v>540</v>
      </c>
      <c r="C97" s="53" t="s">
        <v>535</v>
      </c>
      <c r="D97" s="52" t="s">
        <v>480</v>
      </c>
    </row>
    <row r="98" spans="1:9">
      <c r="B98" s="50" t="s">
        <v>541</v>
      </c>
      <c r="C98" s="53" t="s">
        <v>542</v>
      </c>
      <c r="D98" s="52" t="s">
        <v>421</v>
      </c>
    </row>
    <row r="99" spans="1:9">
      <c r="B99" s="50" t="s">
        <v>543</v>
      </c>
      <c r="C99" s="53" t="s">
        <v>544</v>
      </c>
      <c r="D99" s="52" t="s">
        <v>411</v>
      </c>
    </row>
    <row r="100" spans="1:9">
      <c r="B100" s="50" t="s">
        <v>545</v>
      </c>
      <c r="C100" s="53" t="s">
        <v>546</v>
      </c>
      <c r="D100" s="52" t="s">
        <v>411</v>
      </c>
    </row>
    <row r="101" spans="1:9">
      <c r="B101" s="50" t="s">
        <v>547</v>
      </c>
      <c r="C101" s="53" t="s">
        <v>548</v>
      </c>
      <c r="D101" s="52" t="s">
        <v>498</v>
      </c>
    </row>
    <row r="102" spans="1:9">
      <c r="B102" s="50" t="s">
        <v>549</v>
      </c>
      <c r="C102" s="53" t="s">
        <v>546</v>
      </c>
      <c r="D102" s="52" t="s">
        <v>480</v>
      </c>
    </row>
    <row r="103" spans="1:9">
      <c r="B103" s="50" t="s">
        <v>156</v>
      </c>
      <c r="C103" s="53" t="s">
        <v>550</v>
      </c>
      <c r="D103" s="52" t="s">
        <v>411</v>
      </c>
    </row>
    <row r="104" spans="1:9">
      <c r="B104" s="50" t="s">
        <v>551</v>
      </c>
      <c r="C104" s="53" t="s">
        <v>552</v>
      </c>
      <c r="D104" s="52" t="s">
        <v>417</v>
      </c>
    </row>
    <row r="105" spans="1:9">
      <c r="B105" s="50" t="s">
        <v>553</v>
      </c>
      <c r="C105" s="53" t="s">
        <v>550</v>
      </c>
      <c r="D105" s="52" t="s">
        <v>480</v>
      </c>
    </row>
    <row r="106" spans="1:9">
      <c r="B106" s="50" t="s">
        <v>554</v>
      </c>
      <c r="C106" s="53" t="s">
        <v>555</v>
      </c>
      <c r="D106" s="52" t="s">
        <v>421</v>
      </c>
    </row>
    <row r="107" spans="1:9">
      <c r="B107" s="50" t="s">
        <v>556</v>
      </c>
      <c r="C107" s="53" t="s">
        <v>557</v>
      </c>
      <c r="D107" s="52" t="s">
        <v>411</v>
      </c>
      <c r="G107" s="44"/>
      <c r="H107" s="44"/>
      <c r="I107" s="44"/>
    </row>
    <row r="108" spans="1:9">
      <c r="B108" s="50" t="s">
        <v>558</v>
      </c>
      <c r="C108" s="53" t="s">
        <v>559</v>
      </c>
      <c r="D108" s="52" t="s">
        <v>411</v>
      </c>
      <c r="G108" s="44"/>
      <c r="H108" s="44"/>
      <c r="I108" s="44"/>
    </row>
    <row r="109" spans="1:9">
      <c r="B109" s="50" t="s">
        <v>157</v>
      </c>
      <c r="C109" s="53" t="s">
        <v>560</v>
      </c>
      <c r="D109" s="52" t="s">
        <v>411</v>
      </c>
      <c r="G109" s="44"/>
      <c r="H109" s="44"/>
      <c r="I109" s="44"/>
    </row>
    <row r="110" spans="1:9">
      <c r="B110" s="50" t="s">
        <v>561</v>
      </c>
      <c r="C110" s="55" t="s">
        <v>562</v>
      </c>
      <c r="D110" s="52" t="s">
        <v>417</v>
      </c>
      <c r="G110" s="44"/>
      <c r="H110" s="44"/>
      <c r="I110" s="44"/>
    </row>
    <row r="111" spans="1:9">
      <c r="B111" s="50" t="s">
        <v>563</v>
      </c>
      <c r="C111" s="53" t="s">
        <v>560</v>
      </c>
      <c r="D111" s="52" t="s">
        <v>480</v>
      </c>
      <c r="G111" s="44"/>
      <c r="H111" s="44"/>
      <c r="I111" s="44"/>
    </row>
    <row r="112" spans="1:9">
      <c r="B112" s="50" t="s">
        <v>564</v>
      </c>
      <c r="C112" s="53" t="s">
        <v>565</v>
      </c>
      <c r="D112" s="52" t="s">
        <v>421</v>
      </c>
    </row>
    <row r="113" spans="1:4">
      <c r="B113" s="50" t="s">
        <v>158</v>
      </c>
      <c r="C113" s="53" t="s">
        <v>566</v>
      </c>
      <c r="D113" s="52" t="s">
        <v>411</v>
      </c>
    </row>
    <row r="114" spans="1:4">
      <c r="A114" s="44"/>
      <c r="B114" s="50" t="s">
        <v>567</v>
      </c>
      <c r="C114" s="53" t="s">
        <v>568</v>
      </c>
      <c r="D114" s="52" t="s">
        <v>417</v>
      </c>
    </row>
    <row r="115" spans="1:4">
      <c r="B115" s="50" t="s">
        <v>569</v>
      </c>
      <c r="C115" s="53" t="s">
        <v>566</v>
      </c>
      <c r="D115" s="52" t="s">
        <v>413</v>
      </c>
    </row>
    <row r="116" spans="1:4">
      <c r="B116" s="50" t="s">
        <v>570</v>
      </c>
      <c r="C116" s="53" t="s">
        <v>571</v>
      </c>
      <c r="D116" s="52" t="s">
        <v>421</v>
      </c>
    </row>
    <row r="117" spans="1:4">
      <c r="B117" s="50" t="s">
        <v>159</v>
      </c>
      <c r="C117" s="53" t="s">
        <v>572</v>
      </c>
      <c r="D117" s="52" t="s">
        <v>411</v>
      </c>
    </row>
    <row r="118" spans="1:4">
      <c r="B118" s="50" t="s">
        <v>573</v>
      </c>
      <c r="C118" s="53" t="s">
        <v>572</v>
      </c>
      <c r="D118" s="52" t="s">
        <v>413</v>
      </c>
    </row>
    <row r="119" spans="1:4">
      <c r="B119" s="50" t="s">
        <v>574</v>
      </c>
      <c r="C119" s="53" t="s">
        <v>575</v>
      </c>
      <c r="D119" s="52" t="s">
        <v>576</v>
      </c>
    </row>
    <row r="120" spans="1:4">
      <c r="B120" s="50" t="s">
        <v>160</v>
      </c>
      <c r="C120" s="53" t="s">
        <v>577</v>
      </c>
      <c r="D120" s="52" t="s">
        <v>411</v>
      </c>
    </row>
    <row r="121" spans="1:4">
      <c r="B121" s="50" t="s">
        <v>578</v>
      </c>
      <c r="C121" s="53" t="s">
        <v>579</v>
      </c>
      <c r="D121" s="52" t="s">
        <v>417</v>
      </c>
    </row>
    <row r="122" spans="1:4">
      <c r="B122" s="50" t="s">
        <v>580</v>
      </c>
      <c r="C122" s="53" t="s">
        <v>577</v>
      </c>
      <c r="D122" s="52" t="s">
        <v>413</v>
      </c>
    </row>
    <row r="123" spans="1:4">
      <c r="B123" s="50" t="s">
        <v>581</v>
      </c>
      <c r="C123" s="53" t="s">
        <v>582</v>
      </c>
      <c r="D123" s="52" t="s">
        <v>421</v>
      </c>
    </row>
    <row r="124" spans="1:4">
      <c r="B124" s="50" t="s">
        <v>161</v>
      </c>
      <c r="C124" s="53" t="s">
        <v>583</v>
      </c>
      <c r="D124" s="52" t="s">
        <v>411</v>
      </c>
    </row>
    <row r="125" spans="1:4">
      <c r="B125" s="50" t="s">
        <v>584</v>
      </c>
      <c r="C125" s="53" t="s">
        <v>585</v>
      </c>
      <c r="D125" s="52" t="s">
        <v>417</v>
      </c>
    </row>
    <row r="126" spans="1:4">
      <c r="B126" s="50" t="s">
        <v>586</v>
      </c>
      <c r="C126" s="53" t="s">
        <v>583</v>
      </c>
      <c r="D126" s="52" t="s">
        <v>413</v>
      </c>
    </row>
    <row r="127" spans="1:4">
      <c r="B127" s="50" t="s">
        <v>587</v>
      </c>
      <c r="C127" s="53" t="s">
        <v>588</v>
      </c>
      <c r="D127" s="52" t="s">
        <v>421</v>
      </c>
    </row>
    <row r="128" spans="1:4">
      <c r="B128" s="50" t="s">
        <v>162</v>
      </c>
      <c r="C128" s="53" t="s">
        <v>589</v>
      </c>
      <c r="D128" s="52" t="s">
        <v>411</v>
      </c>
    </row>
    <row r="129" spans="2:4">
      <c r="B129" s="50" t="s">
        <v>590</v>
      </c>
      <c r="C129" s="53" t="s">
        <v>591</v>
      </c>
      <c r="D129" s="52" t="s">
        <v>417</v>
      </c>
    </row>
    <row r="130" spans="2:4">
      <c r="B130" s="50" t="s">
        <v>592</v>
      </c>
      <c r="C130" s="53" t="s">
        <v>589</v>
      </c>
      <c r="D130" s="52" t="s">
        <v>413</v>
      </c>
    </row>
    <row r="131" spans="2:4">
      <c r="B131" s="50" t="s">
        <v>593</v>
      </c>
      <c r="C131" s="53" t="s">
        <v>594</v>
      </c>
      <c r="D131" s="52" t="s">
        <v>421</v>
      </c>
    </row>
    <row r="132" spans="2:4">
      <c r="B132" s="50" t="s">
        <v>163</v>
      </c>
      <c r="C132" s="53" t="s">
        <v>595</v>
      </c>
      <c r="D132" s="52" t="s">
        <v>411</v>
      </c>
    </row>
    <row r="133" spans="2:4">
      <c r="B133" s="50" t="s">
        <v>596</v>
      </c>
      <c r="C133" s="53" t="s">
        <v>597</v>
      </c>
      <c r="D133" s="52" t="s">
        <v>417</v>
      </c>
    </row>
    <row r="134" spans="2:4">
      <c r="B134" s="50" t="s">
        <v>598</v>
      </c>
      <c r="C134" s="53" t="s">
        <v>595</v>
      </c>
      <c r="D134" s="52" t="s">
        <v>413</v>
      </c>
    </row>
    <row r="135" spans="2:4">
      <c r="B135" s="50" t="s">
        <v>599</v>
      </c>
      <c r="C135" s="53" t="s">
        <v>600</v>
      </c>
      <c r="D135" s="52" t="s">
        <v>421</v>
      </c>
    </row>
    <row r="136" spans="2:4">
      <c r="B136" s="50" t="s">
        <v>601</v>
      </c>
      <c r="C136" s="53" t="s">
        <v>602</v>
      </c>
      <c r="D136" s="52" t="s">
        <v>411</v>
      </c>
    </row>
    <row r="137" spans="2:4">
      <c r="B137" s="50" t="s">
        <v>164</v>
      </c>
      <c r="C137" s="53" t="s">
        <v>603</v>
      </c>
      <c r="D137" s="52" t="s">
        <v>411</v>
      </c>
    </row>
    <row r="138" spans="2:4">
      <c r="B138" s="50" t="s">
        <v>604</v>
      </c>
      <c r="C138" s="53" t="s">
        <v>605</v>
      </c>
      <c r="D138" s="52" t="s">
        <v>417</v>
      </c>
    </row>
    <row r="139" spans="2:4">
      <c r="B139" s="50" t="s">
        <v>606</v>
      </c>
      <c r="C139" s="53" t="s">
        <v>603</v>
      </c>
      <c r="D139" s="52" t="s">
        <v>413</v>
      </c>
    </row>
    <row r="140" spans="2:4">
      <c r="B140" s="50" t="s">
        <v>607</v>
      </c>
      <c r="C140" s="53" t="s">
        <v>608</v>
      </c>
      <c r="D140" s="52" t="s">
        <v>421</v>
      </c>
    </row>
    <row r="141" spans="2:4">
      <c r="B141" s="50" t="s">
        <v>609</v>
      </c>
      <c r="C141" s="53" t="s">
        <v>610</v>
      </c>
      <c r="D141" s="52" t="s">
        <v>411</v>
      </c>
    </row>
    <row r="142" spans="2:4">
      <c r="B142" s="50" t="s">
        <v>611</v>
      </c>
      <c r="C142" s="53" t="s">
        <v>612</v>
      </c>
      <c r="D142" s="52" t="s">
        <v>411</v>
      </c>
    </row>
    <row r="143" spans="2:4">
      <c r="B143" s="50" t="s">
        <v>165</v>
      </c>
      <c r="C143" s="53" t="s">
        <v>613</v>
      </c>
      <c r="D143" s="52" t="s">
        <v>411</v>
      </c>
    </row>
    <row r="144" spans="2:4">
      <c r="B144" s="50" t="s">
        <v>614</v>
      </c>
      <c r="C144" s="53" t="s">
        <v>615</v>
      </c>
      <c r="D144" s="52" t="s">
        <v>417</v>
      </c>
    </row>
    <row r="145" spans="2:4">
      <c r="B145" s="50" t="s">
        <v>616</v>
      </c>
      <c r="C145" s="55" t="s">
        <v>617</v>
      </c>
      <c r="D145" s="52" t="s">
        <v>576</v>
      </c>
    </row>
    <row r="146" spans="2:4">
      <c r="B146" s="50" t="s">
        <v>618</v>
      </c>
      <c r="C146" s="53" t="s">
        <v>613</v>
      </c>
      <c r="D146" s="52" t="s">
        <v>413</v>
      </c>
    </row>
    <row r="147" spans="2:4">
      <c r="B147" s="50" t="s">
        <v>619</v>
      </c>
      <c r="C147" s="53" t="s">
        <v>620</v>
      </c>
      <c r="D147" s="52" t="s">
        <v>421</v>
      </c>
    </row>
    <row r="148" spans="2:4">
      <c r="B148" s="50" t="s">
        <v>166</v>
      </c>
      <c r="C148" s="53" t="s">
        <v>621</v>
      </c>
      <c r="D148" s="52" t="s">
        <v>411</v>
      </c>
    </row>
    <row r="149" spans="2:4">
      <c r="B149" s="50" t="s">
        <v>622</v>
      </c>
      <c r="C149" s="53" t="s">
        <v>623</v>
      </c>
      <c r="D149" s="52" t="s">
        <v>417</v>
      </c>
    </row>
    <row r="150" spans="2:4">
      <c r="B150" s="50" t="s">
        <v>624</v>
      </c>
      <c r="C150" s="53" t="s">
        <v>621</v>
      </c>
      <c r="D150" s="52" t="s">
        <v>413</v>
      </c>
    </row>
    <row r="151" spans="2:4">
      <c r="B151" s="50" t="s">
        <v>625</v>
      </c>
      <c r="C151" s="53" t="s">
        <v>626</v>
      </c>
      <c r="D151" s="52" t="s">
        <v>421</v>
      </c>
    </row>
    <row r="152" spans="2:4" ht="25.5">
      <c r="B152" s="50" t="s">
        <v>167</v>
      </c>
      <c r="C152" s="53" t="s">
        <v>627</v>
      </c>
      <c r="D152" s="52" t="s">
        <v>411</v>
      </c>
    </row>
    <row r="153" spans="2:4" ht="25.5">
      <c r="B153" s="50" t="s">
        <v>628</v>
      </c>
      <c r="C153" s="53" t="s">
        <v>629</v>
      </c>
      <c r="D153" s="52" t="s">
        <v>417</v>
      </c>
    </row>
    <row r="154" spans="2:4" ht="25.5">
      <c r="B154" s="50" t="s">
        <v>630</v>
      </c>
      <c r="C154" s="53" t="s">
        <v>627</v>
      </c>
      <c r="D154" s="52" t="s">
        <v>413</v>
      </c>
    </row>
    <row r="155" spans="2:4" ht="25.5">
      <c r="B155" s="50" t="s">
        <v>631</v>
      </c>
      <c r="C155" s="53" t="s">
        <v>632</v>
      </c>
      <c r="D155" s="52" t="s">
        <v>421</v>
      </c>
    </row>
    <row r="156" spans="2:4">
      <c r="B156" s="50" t="s">
        <v>168</v>
      </c>
      <c r="C156" s="53" t="s">
        <v>633</v>
      </c>
      <c r="D156" s="52" t="s">
        <v>411</v>
      </c>
    </row>
    <row r="157" spans="2:4">
      <c r="B157" s="50" t="s">
        <v>169</v>
      </c>
      <c r="C157" s="53" t="s">
        <v>634</v>
      </c>
      <c r="D157" s="52" t="s">
        <v>411</v>
      </c>
    </row>
    <row r="158" spans="2:4">
      <c r="B158" s="50" t="s">
        <v>635</v>
      </c>
      <c r="C158" s="53" t="s">
        <v>636</v>
      </c>
      <c r="D158" s="52" t="s">
        <v>417</v>
      </c>
    </row>
    <row r="159" spans="2:4">
      <c r="B159" s="50" t="s">
        <v>637</v>
      </c>
      <c r="C159" s="53" t="s">
        <v>634</v>
      </c>
      <c r="D159" s="52" t="s">
        <v>638</v>
      </c>
    </row>
    <row r="160" spans="2:4">
      <c r="B160" s="50" t="s">
        <v>639</v>
      </c>
      <c r="C160" s="53" t="s">
        <v>640</v>
      </c>
      <c r="D160" s="52" t="s">
        <v>421</v>
      </c>
    </row>
    <row r="161" spans="2:4">
      <c r="B161" s="50" t="s">
        <v>170</v>
      </c>
      <c r="C161" s="53" t="s">
        <v>641</v>
      </c>
      <c r="D161" s="52" t="s">
        <v>411</v>
      </c>
    </row>
    <row r="162" spans="2:4">
      <c r="B162" s="50" t="s">
        <v>642</v>
      </c>
      <c r="C162" s="53" t="s">
        <v>643</v>
      </c>
      <c r="D162" s="52" t="s">
        <v>417</v>
      </c>
    </row>
    <row r="163" spans="2:4">
      <c r="B163" s="50" t="s">
        <v>644</v>
      </c>
      <c r="C163" s="53" t="s">
        <v>641</v>
      </c>
      <c r="D163" s="52" t="s">
        <v>638</v>
      </c>
    </row>
    <row r="164" spans="2:4">
      <c r="B164" s="50" t="s">
        <v>645</v>
      </c>
      <c r="C164" s="53" t="s">
        <v>646</v>
      </c>
      <c r="D164" s="52" t="s">
        <v>421</v>
      </c>
    </row>
    <row r="165" spans="2:4" ht="25.5">
      <c r="B165" s="50" t="s">
        <v>171</v>
      </c>
      <c r="C165" s="53" t="s">
        <v>647</v>
      </c>
      <c r="D165" s="52" t="s">
        <v>411</v>
      </c>
    </row>
    <row r="166" spans="2:4">
      <c r="B166" s="50" t="s">
        <v>648</v>
      </c>
      <c r="C166" s="53" t="s">
        <v>649</v>
      </c>
      <c r="D166" s="52" t="s">
        <v>638</v>
      </c>
    </row>
    <row r="167" spans="2:4">
      <c r="B167" s="50" t="s">
        <v>172</v>
      </c>
      <c r="C167" s="53" t="s">
        <v>650</v>
      </c>
      <c r="D167" s="52" t="s">
        <v>411</v>
      </c>
    </row>
    <row r="168" spans="2:4">
      <c r="B168" s="50" t="s">
        <v>651</v>
      </c>
      <c r="C168" s="53" t="s">
        <v>650</v>
      </c>
      <c r="D168" s="52" t="s">
        <v>638</v>
      </c>
    </row>
    <row r="169" spans="2:4">
      <c r="B169" s="50" t="s">
        <v>173</v>
      </c>
      <c r="C169" s="53" t="s">
        <v>652</v>
      </c>
      <c r="D169" s="52" t="s">
        <v>411</v>
      </c>
    </row>
    <row r="170" spans="2:4" ht="25.5">
      <c r="B170" s="50" t="s">
        <v>653</v>
      </c>
      <c r="C170" s="53" t="s">
        <v>654</v>
      </c>
      <c r="D170" s="52" t="s">
        <v>421</v>
      </c>
    </row>
    <row r="171" spans="2:4">
      <c r="B171" s="54" t="s">
        <v>174</v>
      </c>
      <c r="C171" s="56" t="s">
        <v>655</v>
      </c>
      <c r="D171" s="57" t="s">
        <v>411</v>
      </c>
    </row>
    <row r="172" spans="2:4" ht="25.5">
      <c r="B172" s="50" t="s">
        <v>656</v>
      </c>
      <c r="C172" s="53" t="s">
        <v>657</v>
      </c>
      <c r="D172" s="52" t="s">
        <v>421</v>
      </c>
    </row>
    <row r="173" spans="2:4">
      <c r="B173" s="50" t="s">
        <v>658</v>
      </c>
      <c r="C173" s="53" t="s">
        <v>659</v>
      </c>
      <c r="D173" s="52" t="s">
        <v>411</v>
      </c>
    </row>
    <row r="174" spans="2:4">
      <c r="B174" s="50" t="s">
        <v>175</v>
      </c>
      <c r="C174" s="53" t="s">
        <v>660</v>
      </c>
      <c r="D174" s="52" t="s">
        <v>411</v>
      </c>
    </row>
    <row r="175" spans="2:4">
      <c r="B175" s="50" t="s">
        <v>661</v>
      </c>
      <c r="C175" s="53" t="s">
        <v>662</v>
      </c>
      <c r="D175" s="52" t="s">
        <v>421</v>
      </c>
    </row>
    <row r="176" spans="2:4">
      <c r="B176" s="50" t="s">
        <v>176</v>
      </c>
      <c r="C176" s="53" t="s">
        <v>663</v>
      </c>
      <c r="D176" s="52" t="s">
        <v>411</v>
      </c>
    </row>
    <row r="177" spans="2:4">
      <c r="B177" s="50" t="s">
        <v>177</v>
      </c>
      <c r="C177" s="53" t="s">
        <v>664</v>
      </c>
      <c r="D177" s="52" t="s">
        <v>411</v>
      </c>
    </row>
    <row r="178" spans="2:4">
      <c r="B178" s="50" t="s">
        <v>665</v>
      </c>
      <c r="C178" s="53" t="s">
        <v>666</v>
      </c>
      <c r="D178" s="52" t="s">
        <v>421</v>
      </c>
    </row>
    <row r="179" spans="2:4">
      <c r="B179" s="50" t="s">
        <v>667</v>
      </c>
      <c r="C179" s="53" t="s">
        <v>668</v>
      </c>
      <c r="D179" s="52" t="s">
        <v>413</v>
      </c>
    </row>
    <row r="180" spans="2:4">
      <c r="B180" s="54" t="s">
        <v>669</v>
      </c>
      <c r="C180" s="56" t="s">
        <v>670</v>
      </c>
      <c r="D180" s="57" t="s">
        <v>413</v>
      </c>
    </row>
    <row r="181" spans="2:4">
      <c r="B181" s="54" t="s">
        <v>671</v>
      </c>
      <c r="C181" s="53" t="s">
        <v>672</v>
      </c>
      <c r="D181" s="52" t="s">
        <v>413</v>
      </c>
    </row>
    <row r="182" spans="2:4">
      <c r="B182" s="50" t="s">
        <v>673</v>
      </c>
      <c r="C182" s="53" t="s">
        <v>674</v>
      </c>
      <c r="D182" s="52" t="s">
        <v>413</v>
      </c>
    </row>
    <row r="183" spans="2:4">
      <c r="B183" s="50" t="s">
        <v>675</v>
      </c>
      <c r="C183" s="53" t="s">
        <v>676</v>
      </c>
      <c r="D183" s="52" t="s">
        <v>576</v>
      </c>
    </row>
    <row r="184" spans="2:4">
      <c r="B184" s="50" t="s">
        <v>677</v>
      </c>
      <c r="C184" s="53" t="s">
        <v>678</v>
      </c>
      <c r="D184" s="52" t="s">
        <v>413</v>
      </c>
    </row>
    <row r="185" spans="2:4">
      <c r="B185" s="50" t="s">
        <v>178</v>
      </c>
      <c r="C185" s="53" t="s">
        <v>679</v>
      </c>
      <c r="D185" s="52" t="s">
        <v>411</v>
      </c>
    </row>
    <row r="186" spans="2:4">
      <c r="B186" s="50" t="s">
        <v>680</v>
      </c>
      <c r="C186" s="53" t="s">
        <v>679</v>
      </c>
      <c r="D186" s="52" t="s">
        <v>413</v>
      </c>
    </row>
    <row r="187" spans="2:4">
      <c r="B187" s="50" t="s">
        <v>179</v>
      </c>
      <c r="C187" s="53" t="s">
        <v>681</v>
      </c>
      <c r="D187" s="52" t="s">
        <v>411</v>
      </c>
    </row>
    <row r="188" spans="2:4">
      <c r="B188" s="50" t="s">
        <v>682</v>
      </c>
      <c r="C188" s="53" t="s">
        <v>681</v>
      </c>
      <c r="D188" s="52" t="s">
        <v>413</v>
      </c>
    </row>
    <row r="189" spans="2:4">
      <c r="B189" s="50" t="s">
        <v>180</v>
      </c>
      <c r="C189" s="53" t="s">
        <v>683</v>
      </c>
      <c r="D189" s="52" t="s">
        <v>411</v>
      </c>
    </row>
    <row r="190" spans="2:4">
      <c r="B190" s="50" t="s">
        <v>684</v>
      </c>
      <c r="C190" s="53" t="s">
        <v>685</v>
      </c>
      <c r="D190" s="52" t="s">
        <v>417</v>
      </c>
    </row>
    <row r="191" spans="2:4">
      <c r="B191" s="50" t="s">
        <v>686</v>
      </c>
      <c r="C191" s="53" t="s">
        <v>683</v>
      </c>
      <c r="D191" s="52" t="s">
        <v>638</v>
      </c>
    </row>
    <row r="192" spans="2:4">
      <c r="B192" s="50" t="s">
        <v>687</v>
      </c>
      <c r="C192" s="53" t="s">
        <v>688</v>
      </c>
      <c r="D192" s="52" t="s">
        <v>421</v>
      </c>
    </row>
    <row r="193" spans="2:4">
      <c r="B193" s="50" t="s">
        <v>181</v>
      </c>
      <c r="C193" s="53" t="s">
        <v>689</v>
      </c>
      <c r="D193" s="52" t="s">
        <v>411</v>
      </c>
    </row>
    <row r="194" spans="2:4">
      <c r="B194" s="50" t="s">
        <v>690</v>
      </c>
      <c r="C194" s="53" t="s">
        <v>691</v>
      </c>
      <c r="D194" s="52" t="s">
        <v>417</v>
      </c>
    </row>
    <row r="195" spans="2:4">
      <c r="B195" s="50" t="s">
        <v>692</v>
      </c>
      <c r="C195" s="53" t="s">
        <v>689</v>
      </c>
      <c r="D195" s="52" t="s">
        <v>638</v>
      </c>
    </row>
    <row r="196" spans="2:4">
      <c r="B196" s="50" t="s">
        <v>693</v>
      </c>
      <c r="C196" s="53" t="s">
        <v>694</v>
      </c>
      <c r="D196" s="52" t="s">
        <v>421</v>
      </c>
    </row>
    <row r="197" spans="2:4">
      <c r="B197" s="58" t="s">
        <v>182</v>
      </c>
      <c r="C197" s="59" t="s">
        <v>695</v>
      </c>
      <c r="D197" s="60" t="s">
        <v>411</v>
      </c>
    </row>
    <row r="198" spans="2:4">
      <c r="B198" s="50" t="s">
        <v>696</v>
      </c>
      <c r="C198" s="53" t="s">
        <v>697</v>
      </c>
      <c r="D198" s="52" t="s">
        <v>417</v>
      </c>
    </row>
    <row r="199" spans="2:4">
      <c r="B199" s="50" t="s">
        <v>698</v>
      </c>
      <c r="C199" s="53" t="s">
        <v>695</v>
      </c>
      <c r="D199" s="52" t="s">
        <v>638</v>
      </c>
    </row>
    <row r="200" spans="2:4">
      <c r="B200" s="50" t="s">
        <v>699</v>
      </c>
      <c r="C200" s="53" t="s">
        <v>700</v>
      </c>
      <c r="D200" s="52" t="s">
        <v>421</v>
      </c>
    </row>
    <row r="201" spans="2:4">
      <c r="B201" s="61" t="s">
        <v>701</v>
      </c>
      <c r="C201" s="62" t="s">
        <v>702</v>
      </c>
      <c r="D201" s="63" t="s">
        <v>411</v>
      </c>
    </row>
    <row r="202" spans="2:4">
      <c r="B202" s="50" t="s">
        <v>183</v>
      </c>
      <c r="C202" s="53" t="s">
        <v>703</v>
      </c>
      <c r="D202" s="52" t="s">
        <v>411</v>
      </c>
    </row>
    <row r="203" spans="2:4">
      <c r="B203" s="50" t="s">
        <v>704</v>
      </c>
      <c r="C203" s="53" t="s">
        <v>705</v>
      </c>
      <c r="D203" s="52" t="s">
        <v>417</v>
      </c>
    </row>
    <row r="204" spans="2:4">
      <c r="B204" s="50" t="s">
        <v>706</v>
      </c>
      <c r="C204" s="53" t="s">
        <v>703</v>
      </c>
      <c r="D204" s="52" t="s">
        <v>638</v>
      </c>
    </row>
    <row r="205" spans="2:4">
      <c r="B205" s="50" t="s">
        <v>707</v>
      </c>
      <c r="C205" s="53" t="s">
        <v>708</v>
      </c>
      <c r="D205" s="52" t="s">
        <v>421</v>
      </c>
    </row>
    <row r="206" spans="2:4">
      <c r="B206" s="50" t="s">
        <v>709</v>
      </c>
      <c r="C206" s="53" t="s">
        <v>710</v>
      </c>
      <c r="D206" s="52" t="s">
        <v>411</v>
      </c>
    </row>
    <row r="207" spans="2:4">
      <c r="B207" s="50" t="s">
        <v>711</v>
      </c>
      <c r="C207" s="53" t="s">
        <v>712</v>
      </c>
      <c r="D207" s="52" t="s">
        <v>713</v>
      </c>
    </row>
    <row r="208" spans="2:4">
      <c r="B208" s="50" t="s">
        <v>714</v>
      </c>
      <c r="C208" s="53" t="s">
        <v>715</v>
      </c>
      <c r="D208" s="52" t="s">
        <v>411</v>
      </c>
    </row>
    <row r="209" spans="2:4">
      <c r="B209" s="50" t="s">
        <v>184</v>
      </c>
      <c r="C209" s="53" t="s">
        <v>716</v>
      </c>
      <c r="D209" s="52" t="s">
        <v>411</v>
      </c>
    </row>
    <row r="210" spans="2:4">
      <c r="B210" s="50" t="s">
        <v>717</v>
      </c>
      <c r="C210" s="53" t="s">
        <v>718</v>
      </c>
      <c r="D210" s="52" t="s">
        <v>417</v>
      </c>
    </row>
    <row r="211" spans="2:4">
      <c r="B211" s="50" t="s">
        <v>719</v>
      </c>
      <c r="C211" s="53" t="s">
        <v>716</v>
      </c>
      <c r="D211" s="52" t="s">
        <v>638</v>
      </c>
    </row>
    <row r="212" spans="2:4">
      <c r="B212" s="50" t="s">
        <v>720</v>
      </c>
      <c r="C212" s="53" t="s">
        <v>721</v>
      </c>
      <c r="D212" s="52" t="s">
        <v>421</v>
      </c>
    </row>
    <row r="213" spans="2:4">
      <c r="B213" s="50" t="s">
        <v>722</v>
      </c>
      <c r="C213" s="53" t="s">
        <v>723</v>
      </c>
      <c r="D213" s="52" t="s">
        <v>713</v>
      </c>
    </row>
    <row r="214" spans="2:4">
      <c r="B214" s="50" t="s">
        <v>185</v>
      </c>
      <c r="C214" s="55" t="s">
        <v>724</v>
      </c>
      <c r="D214" s="52" t="s">
        <v>411</v>
      </c>
    </row>
    <row r="215" spans="2:4">
      <c r="B215" s="50" t="s">
        <v>725</v>
      </c>
      <c r="C215" s="53" t="s">
        <v>726</v>
      </c>
      <c r="D215" s="52" t="s">
        <v>417</v>
      </c>
    </row>
    <row r="216" spans="2:4">
      <c r="B216" s="50" t="s">
        <v>727</v>
      </c>
      <c r="C216" s="53" t="s">
        <v>724</v>
      </c>
      <c r="D216" s="52" t="s">
        <v>638</v>
      </c>
    </row>
    <row r="217" spans="2:4">
      <c r="B217" s="50" t="s">
        <v>728</v>
      </c>
      <c r="C217" s="53" t="s">
        <v>729</v>
      </c>
      <c r="D217" s="52" t="s">
        <v>421</v>
      </c>
    </row>
    <row r="218" spans="2:4">
      <c r="B218" s="50" t="s">
        <v>186</v>
      </c>
      <c r="C218" s="53" t="s">
        <v>730</v>
      </c>
      <c r="D218" s="52" t="s">
        <v>411</v>
      </c>
    </row>
    <row r="219" spans="2:4">
      <c r="B219" s="50" t="s">
        <v>731</v>
      </c>
      <c r="C219" s="53" t="s">
        <v>730</v>
      </c>
      <c r="D219" s="52" t="s">
        <v>413</v>
      </c>
    </row>
    <row r="220" spans="2:4">
      <c r="B220" s="50" t="s">
        <v>187</v>
      </c>
      <c r="C220" s="53" t="s">
        <v>732</v>
      </c>
      <c r="D220" s="52" t="s">
        <v>411</v>
      </c>
    </row>
    <row r="221" spans="2:4">
      <c r="B221" s="50" t="s">
        <v>733</v>
      </c>
      <c r="C221" s="53" t="s">
        <v>732</v>
      </c>
      <c r="D221" s="52" t="s">
        <v>413</v>
      </c>
    </row>
    <row r="222" spans="2:4">
      <c r="B222" s="50" t="s">
        <v>734</v>
      </c>
      <c r="C222" s="53" t="s">
        <v>735</v>
      </c>
      <c r="D222" s="52" t="s">
        <v>736</v>
      </c>
    </row>
    <row r="223" spans="2:4">
      <c r="B223" s="50" t="s">
        <v>188</v>
      </c>
      <c r="C223" s="53" t="s">
        <v>737</v>
      </c>
      <c r="D223" s="52" t="s">
        <v>411</v>
      </c>
    </row>
    <row r="224" spans="2:4">
      <c r="B224" s="50" t="s">
        <v>189</v>
      </c>
      <c r="C224" s="53" t="s">
        <v>738</v>
      </c>
      <c r="D224" s="52" t="s">
        <v>411</v>
      </c>
    </row>
    <row r="225" spans="2:4">
      <c r="B225" s="50" t="s">
        <v>739</v>
      </c>
      <c r="C225" s="53" t="s">
        <v>740</v>
      </c>
      <c r="D225" s="52" t="s">
        <v>417</v>
      </c>
    </row>
    <row r="226" spans="2:4">
      <c r="B226" s="50" t="s">
        <v>741</v>
      </c>
      <c r="C226" s="53" t="s">
        <v>742</v>
      </c>
      <c r="D226" s="52" t="s">
        <v>413</v>
      </c>
    </row>
    <row r="227" spans="2:4" ht="25.5">
      <c r="B227" s="50" t="s">
        <v>743</v>
      </c>
      <c r="C227" s="53" t="s">
        <v>744</v>
      </c>
      <c r="D227" s="52" t="s">
        <v>421</v>
      </c>
    </row>
    <row r="228" spans="2:4" ht="25.5">
      <c r="B228" s="50" t="s">
        <v>190</v>
      </c>
      <c r="C228" s="53" t="s">
        <v>745</v>
      </c>
      <c r="D228" s="52" t="s">
        <v>411</v>
      </c>
    </row>
    <row r="229" spans="2:4" ht="25.5">
      <c r="B229" s="50" t="s">
        <v>746</v>
      </c>
      <c r="C229" s="53" t="s">
        <v>747</v>
      </c>
      <c r="D229" s="52" t="s">
        <v>417</v>
      </c>
    </row>
    <row r="230" spans="2:4" ht="25.5">
      <c r="B230" s="50" t="s">
        <v>748</v>
      </c>
      <c r="C230" s="53" t="s">
        <v>745</v>
      </c>
      <c r="D230" s="52" t="s">
        <v>413</v>
      </c>
    </row>
    <row r="231" spans="2:4" ht="25.5">
      <c r="B231" s="50" t="s">
        <v>749</v>
      </c>
      <c r="C231" s="53" t="s">
        <v>750</v>
      </c>
      <c r="D231" s="52" t="s">
        <v>421</v>
      </c>
    </row>
    <row r="232" spans="2:4">
      <c r="B232" s="50" t="s">
        <v>191</v>
      </c>
      <c r="C232" s="53" t="s">
        <v>751</v>
      </c>
      <c r="D232" s="52" t="s">
        <v>411</v>
      </c>
    </row>
    <row r="233" spans="2:4">
      <c r="B233" s="50" t="s">
        <v>752</v>
      </c>
      <c r="C233" s="53" t="s">
        <v>753</v>
      </c>
      <c r="D233" s="52" t="s">
        <v>417</v>
      </c>
    </row>
    <row r="234" spans="2:4">
      <c r="B234" s="50" t="s">
        <v>754</v>
      </c>
      <c r="C234" s="53" t="s">
        <v>755</v>
      </c>
      <c r="D234" s="52" t="s">
        <v>413</v>
      </c>
    </row>
    <row r="235" spans="2:4">
      <c r="B235" s="50" t="s">
        <v>756</v>
      </c>
      <c r="C235" s="53" t="s">
        <v>757</v>
      </c>
      <c r="D235" s="52" t="s">
        <v>421</v>
      </c>
    </row>
    <row r="236" spans="2:4">
      <c r="B236" s="50" t="s">
        <v>192</v>
      </c>
      <c r="C236" s="53" t="s">
        <v>758</v>
      </c>
      <c r="D236" s="52" t="s">
        <v>421</v>
      </c>
    </row>
    <row r="237" spans="2:4">
      <c r="B237" s="50" t="s">
        <v>193</v>
      </c>
      <c r="C237" s="53" t="s">
        <v>759</v>
      </c>
      <c r="D237" s="52" t="s">
        <v>760</v>
      </c>
    </row>
    <row r="238" spans="2:4">
      <c r="B238" s="50" t="s">
        <v>194</v>
      </c>
      <c r="C238" s="53" t="s">
        <v>761</v>
      </c>
      <c r="D238" s="52" t="s">
        <v>411</v>
      </c>
    </row>
    <row r="239" spans="2:4">
      <c r="B239" s="50" t="s">
        <v>195</v>
      </c>
      <c r="C239" s="53" t="s">
        <v>762</v>
      </c>
      <c r="D239" s="52" t="s">
        <v>411</v>
      </c>
    </row>
    <row r="240" spans="2:4">
      <c r="B240" s="50" t="s">
        <v>763</v>
      </c>
      <c r="C240" s="53" t="s">
        <v>764</v>
      </c>
      <c r="D240" s="52" t="s">
        <v>638</v>
      </c>
    </row>
    <row r="241" spans="2:4">
      <c r="B241" s="50" t="s">
        <v>196</v>
      </c>
      <c r="C241" s="53" t="s">
        <v>765</v>
      </c>
      <c r="D241" s="52" t="s">
        <v>411</v>
      </c>
    </row>
    <row r="242" spans="2:4">
      <c r="B242" s="50" t="s">
        <v>197</v>
      </c>
      <c r="C242" s="53" t="s">
        <v>766</v>
      </c>
      <c r="D242" s="52" t="s">
        <v>411</v>
      </c>
    </row>
    <row r="243" spans="2:4">
      <c r="B243" s="50" t="s">
        <v>198</v>
      </c>
      <c r="C243" s="53" t="s">
        <v>767</v>
      </c>
      <c r="D243" s="52" t="s">
        <v>411</v>
      </c>
    </row>
    <row r="244" spans="2:4">
      <c r="B244" s="50" t="s">
        <v>199</v>
      </c>
      <c r="C244" s="53" t="s">
        <v>768</v>
      </c>
      <c r="D244" s="52" t="s">
        <v>411</v>
      </c>
    </row>
    <row r="245" spans="2:4">
      <c r="B245" s="50" t="s">
        <v>200</v>
      </c>
      <c r="C245" s="53" t="s">
        <v>769</v>
      </c>
      <c r="D245" s="52" t="s">
        <v>411</v>
      </c>
    </row>
    <row r="246" spans="2:4">
      <c r="B246" s="50" t="s">
        <v>770</v>
      </c>
      <c r="C246" s="53" t="s">
        <v>771</v>
      </c>
      <c r="D246" s="52" t="s">
        <v>417</v>
      </c>
    </row>
    <row r="247" spans="2:4">
      <c r="B247" s="50" t="s">
        <v>772</v>
      </c>
      <c r="C247" s="53" t="s">
        <v>769</v>
      </c>
      <c r="D247" s="52" t="s">
        <v>413</v>
      </c>
    </row>
    <row r="248" spans="2:4">
      <c r="B248" s="50" t="s">
        <v>773</v>
      </c>
      <c r="C248" s="53" t="s">
        <v>774</v>
      </c>
      <c r="D248" s="52" t="s">
        <v>421</v>
      </c>
    </row>
    <row r="249" spans="2:4">
      <c r="B249" s="50" t="s">
        <v>201</v>
      </c>
      <c r="C249" s="53" t="s">
        <v>775</v>
      </c>
      <c r="D249" s="52" t="s">
        <v>411</v>
      </c>
    </row>
    <row r="250" spans="2:4">
      <c r="B250" s="50" t="s">
        <v>776</v>
      </c>
      <c r="C250" s="53" t="s">
        <v>777</v>
      </c>
      <c r="D250" s="52" t="s">
        <v>417</v>
      </c>
    </row>
    <row r="251" spans="2:4">
      <c r="B251" s="50" t="s">
        <v>778</v>
      </c>
      <c r="C251" s="53" t="s">
        <v>775</v>
      </c>
      <c r="D251" s="52" t="s">
        <v>413</v>
      </c>
    </row>
    <row r="252" spans="2:4">
      <c r="B252" s="50" t="s">
        <v>779</v>
      </c>
      <c r="C252" s="53" t="s">
        <v>780</v>
      </c>
      <c r="D252" s="52" t="s">
        <v>421</v>
      </c>
    </row>
    <row r="253" spans="2:4">
      <c r="B253" s="50" t="s">
        <v>202</v>
      </c>
      <c r="C253" s="53" t="s">
        <v>781</v>
      </c>
      <c r="D253" s="52" t="s">
        <v>411</v>
      </c>
    </row>
    <row r="254" spans="2:4">
      <c r="B254" s="50" t="s">
        <v>782</v>
      </c>
      <c r="C254" s="53" t="s">
        <v>783</v>
      </c>
      <c r="D254" s="52" t="s">
        <v>417</v>
      </c>
    </row>
    <row r="255" spans="2:4">
      <c r="B255" s="50" t="s">
        <v>784</v>
      </c>
      <c r="C255" s="53" t="s">
        <v>785</v>
      </c>
      <c r="D255" s="52" t="s">
        <v>576</v>
      </c>
    </row>
    <row r="256" spans="2:4">
      <c r="B256" s="50" t="s">
        <v>786</v>
      </c>
      <c r="C256" s="53" t="s">
        <v>781</v>
      </c>
      <c r="D256" s="52" t="s">
        <v>413</v>
      </c>
    </row>
    <row r="257" spans="2:4">
      <c r="B257" s="50" t="s">
        <v>787</v>
      </c>
      <c r="C257" s="53" t="s">
        <v>788</v>
      </c>
      <c r="D257" s="52" t="s">
        <v>421</v>
      </c>
    </row>
    <row r="258" spans="2:4">
      <c r="B258" s="50" t="s">
        <v>789</v>
      </c>
      <c r="C258" s="53" t="s">
        <v>790</v>
      </c>
      <c r="D258" s="52" t="s">
        <v>411</v>
      </c>
    </row>
    <row r="259" spans="2:4">
      <c r="B259" s="50" t="s">
        <v>203</v>
      </c>
      <c r="C259" s="53" t="s">
        <v>791</v>
      </c>
      <c r="D259" s="52" t="s">
        <v>411</v>
      </c>
    </row>
    <row r="260" spans="2:4">
      <c r="B260" s="50" t="s">
        <v>792</v>
      </c>
      <c r="C260" s="53" t="s">
        <v>793</v>
      </c>
      <c r="D260" s="52" t="s">
        <v>417</v>
      </c>
    </row>
    <row r="261" spans="2:4">
      <c r="B261" s="50" t="s">
        <v>794</v>
      </c>
      <c r="C261" s="53" t="s">
        <v>791</v>
      </c>
      <c r="D261" s="52" t="s">
        <v>413</v>
      </c>
    </row>
    <row r="262" spans="2:4">
      <c r="B262" s="50" t="s">
        <v>795</v>
      </c>
      <c r="C262" s="53" t="s">
        <v>796</v>
      </c>
      <c r="D262" s="52" t="s">
        <v>421</v>
      </c>
    </row>
    <row r="263" spans="2:4">
      <c r="B263" s="50" t="s">
        <v>797</v>
      </c>
      <c r="C263" s="53" t="s">
        <v>798</v>
      </c>
      <c r="D263" s="52" t="s">
        <v>411</v>
      </c>
    </row>
    <row r="264" spans="2:4">
      <c r="B264" s="50" t="s">
        <v>799</v>
      </c>
      <c r="C264" s="53" t="s">
        <v>800</v>
      </c>
      <c r="D264" s="52" t="s">
        <v>411</v>
      </c>
    </row>
    <row r="265" spans="2:4">
      <c r="B265" s="50" t="s">
        <v>204</v>
      </c>
      <c r="C265" s="53" t="s">
        <v>801</v>
      </c>
      <c r="D265" s="52" t="s">
        <v>411</v>
      </c>
    </row>
    <row r="266" spans="2:4">
      <c r="B266" s="50" t="s">
        <v>802</v>
      </c>
      <c r="C266" s="53" t="s">
        <v>803</v>
      </c>
      <c r="D266" s="52" t="s">
        <v>417</v>
      </c>
    </row>
    <row r="267" spans="2:4">
      <c r="B267" s="50" t="s">
        <v>804</v>
      </c>
      <c r="C267" s="53" t="s">
        <v>805</v>
      </c>
      <c r="D267" s="52" t="s">
        <v>576</v>
      </c>
    </row>
    <row r="268" spans="2:4">
      <c r="B268" s="50" t="s">
        <v>806</v>
      </c>
      <c r="C268" s="53" t="s">
        <v>801</v>
      </c>
      <c r="D268" s="52" t="s">
        <v>413</v>
      </c>
    </row>
    <row r="269" spans="2:4">
      <c r="B269" s="50" t="s">
        <v>807</v>
      </c>
      <c r="C269" s="53" t="s">
        <v>808</v>
      </c>
      <c r="D269" s="52" t="s">
        <v>421</v>
      </c>
    </row>
    <row r="270" spans="2:4">
      <c r="B270" s="50" t="s">
        <v>205</v>
      </c>
      <c r="C270" s="53" t="s">
        <v>809</v>
      </c>
      <c r="D270" s="52" t="s">
        <v>411</v>
      </c>
    </row>
    <row r="271" spans="2:4">
      <c r="B271" s="50" t="s">
        <v>810</v>
      </c>
      <c r="C271" s="53" t="s">
        <v>811</v>
      </c>
      <c r="D271" s="52" t="s">
        <v>417</v>
      </c>
    </row>
    <row r="272" spans="2:4">
      <c r="B272" s="50" t="s">
        <v>812</v>
      </c>
      <c r="C272" s="53" t="s">
        <v>809</v>
      </c>
      <c r="D272" s="52" t="s">
        <v>413</v>
      </c>
    </row>
    <row r="273" spans="2:4">
      <c r="B273" s="50" t="s">
        <v>813</v>
      </c>
      <c r="C273" s="53" t="s">
        <v>814</v>
      </c>
      <c r="D273" s="52" t="s">
        <v>421</v>
      </c>
    </row>
    <row r="274" spans="2:4">
      <c r="B274" s="50" t="s">
        <v>206</v>
      </c>
      <c r="C274" s="53" t="s">
        <v>815</v>
      </c>
      <c r="D274" s="52" t="s">
        <v>411</v>
      </c>
    </row>
    <row r="275" spans="2:4">
      <c r="B275" s="50" t="s">
        <v>816</v>
      </c>
      <c r="C275" s="53" t="s">
        <v>817</v>
      </c>
      <c r="D275" s="52" t="s">
        <v>638</v>
      </c>
    </row>
    <row r="276" spans="2:4">
      <c r="B276" s="50" t="s">
        <v>207</v>
      </c>
      <c r="C276" s="53" t="s">
        <v>818</v>
      </c>
      <c r="D276" s="52" t="s">
        <v>411</v>
      </c>
    </row>
    <row r="277" spans="2:4">
      <c r="B277" s="50" t="s">
        <v>819</v>
      </c>
      <c r="C277" s="53" t="s">
        <v>820</v>
      </c>
      <c r="D277" s="52" t="s">
        <v>638</v>
      </c>
    </row>
    <row r="278" spans="2:4">
      <c r="B278" s="50" t="s">
        <v>208</v>
      </c>
      <c r="C278" s="53" t="s">
        <v>821</v>
      </c>
      <c r="D278" s="52" t="s">
        <v>411</v>
      </c>
    </row>
    <row r="279" spans="2:4">
      <c r="B279" s="50" t="s">
        <v>822</v>
      </c>
      <c r="C279" s="53" t="s">
        <v>823</v>
      </c>
      <c r="D279" s="52" t="s">
        <v>638</v>
      </c>
    </row>
    <row r="280" spans="2:4">
      <c r="B280" s="50" t="s">
        <v>209</v>
      </c>
      <c r="C280" s="53" t="s">
        <v>824</v>
      </c>
      <c r="D280" s="52" t="s">
        <v>411</v>
      </c>
    </row>
    <row r="281" spans="2:4">
      <c r="B281" s="50" t="s">
        <v>825</v>
      </c>
      <c r="C281" s="53" t="s">
        <v>826</v>
      </c>
      <c r="D281" s="52" t="s">
        <v>638</v>
      </c>
    </row>
    <row r="282" spans="2:4">
      <c r="B282" s="50" t="s">
        <v>210</v>
      </c>
      <c r="C282" s="53" t="s">
        <v>827</v>
      </c>
      <c r="D282" s="52" t="s">
        <v>411</v>
      </c>
    </row>
    <row r="283" spans="2:4">
      <c r="B283" s="50" t="s">
        <v>828</v>
      </c>
      <c r="C283" s="53" t="s">
        <v>829</v>
      </c>
      <c r="D283" s="52" t="s">
        <v>638</v>
      </c>
    </row>
    <row r="284" spans="2:4">
      <c r="B284" s="50" t="s">
        <v>211</v>
      </c>
      <c r="C284" s="53" t="s">
        <v>830</v>
      </c>
      <c r="D284" s="52" t="s">
        <v>411</v>
      </c>
    </row>
    <row r="285" spans="2:4">
      <c r="B285" s="50" t="s">
        <v>831</v>
      </c>
      <c r="C285" s="53" t="s">
        <v>830</v>
      </c>
      <c r="D285" s="52" t="s">
        <v>413</v>
      </c>
    </row>
    <row r="286" spans="2:4">
      <c r="B286" s="50" t="s">
        <v>212</v>
      </c>
      <c r="C286" s="53" t="s">
        <v>832</v>
      </c>
      <c r="D286" s="52" t="s">
        <v>411</v>
      </c>
    </row>
    <row r="287" spans="2:4">
      <c r="B287" s="50" t="s">
        <v>833</v>
      </c>
      <c r="C287" s="53" t="s">
        <v>832</v>
      </c>
      <c r="D287" s="52" t="s">
        <v>413</v>
      </c>
    </row>
    <row r="288" spans="2:4">
      <c r="B288" s="50" t="s">
        <v>213</v>
      </c>
      <c r="C288" s="53" t="s">
        <v>834</v>
      </c>
      <c r="D288" s="52" t="s">
        <v>411</v>
      </c>
    </row>
    <row r="289" spans="2:4">
      <c r="B289" s="50" t="s">
        <v>835</v>
      </c>
      <c r="C289" s="53" t="s">
        <v>834</v>
      </c>
      <c r="D289" s="52" t="s">
        <v>413</v>
      </c>
    </row>
    <row r="290" spans="2:4">
      <c r="B290" s="50" t="s">
        <v>214</v>
      </c>
      <c r="C290" s="53" t="s">
        <v>836</v>
      </c>
      <c r="D290" s="52" t="s">
        <v>411</v>
      </c>
    </row>
    <row r="291" spans="2:4">
      <c r="B291" s="50" t="s">
        <v>837</v>
      </c>
      <c r="C291" s="53" t="s">
        <v>836</v>
      </c>
      <c r="D291" s="52" t="s">
        <v>413</v>
      </c>
    </row>
    <row r="292" spans="2:4">
      <c r="B292" s="50" t="s">
        <v>215</v>
      </c>
      <c r="C292" s="53" t="s">
        <v>838</v>
      </c>
      <c r="D292" s="52" t="s">
        <v>411</v>
      </c>
    </row>
    <row r="293" spans="2:4">
      <c r="B293" s="50" t="s">
        <v>839</v>
      </c>
      <c r="C293" s="53" t="s">
        <v>840</v>
      </c>
      <c r="D293" s="52" t="s">
        <v>417</v>
      </c>
    </row>
    <row r="294" spans="2:4">
      <c r="B294" s="50" t="s">
        <v>841</v>
      </c>
      <c r="C294" s="53" t="s">
        <v>838</v>
      </c>
      <c r="D294" s="52" t="s">
        <v>413</v>
      </c>
    </row>
    <row r="295" spans="2:4">
      <c r="B295" s="50" t="s">
        <v>842</v>
      </c>
      <c r="C295" s="53" t="s">
        <v>843</v>
      </c>
      <c r="D295" s="52" t="s">
        <v>421</v>
      </c>
    </row>
    <row r="296" spans="2:4">
      <c r="B296" s="50" t="s">
        <v>216</v>
      </c>
      <c r="C296" s="53" t="s">
        <v>844</v>
      </c>
      <c r="D296" s="52" t="s">
        <v>411</v>
      </c>
    </row>
    <row r="297" spans="2:4">
      <c r="B297" s="50" t="s">
        <v>845</v>
      </c>
      <c r="C297" s="53" t="s">
        <v>846</v>
      </c>
      <c r="D297" s="52" t="s">
        <v>417</v>
      </c>
    </row>
    <row r="298" spans="2:4">
      <c r="B298" s="50" t="s">
        <v>847</v>
      </c>
      <c r="C298" s="53" t="s">
        <v>844</v>
      </c>
      <c r="D298" s="52" t="s">
        <v>413</v>
      </c>
    </row>
    <row r="299" spans="2:4">
      <c r="B299" s="50" t="s">
        <v>848</v>
      </c>
      <c r="C299" s="53" t="s">
        <v>849</v>
      </c>
      <c r="D299" s="52" t="s">
        <v>421</v>
      </c>
    </row>
    <row r="300" spans="2:4">
      <c r="B300" s="50" t="s">
        <v>217</v>
      </c>
      <c r="C300" s="53" t="s">
        <v>850</v>
      </c>
      <c r="D300" s="52" t="s">
        <v>411</v>
      </c>
    </row>
    <row r="301" spans="2:4">
      <c r="B301" s="50" t="s">
        <v>851</v>
      </c>
      <c r="C301" s="53" t="s">
        <v>852</v>
      </c>
      <c r="D301" s="52" t="s">
        <v>417</v>
      </c>
    </row>
    <row r="302" spans="2:4">
      <c r="B302" s="50" t="s">
        <v>853</v>
      </c>
      <c r="C302" s="53" t="s">
        <v>850</v>
      </c>
      <c r="D302" s="52" t="s">
        <v>413</v>
      </c>
    </row>
    <row r="303" spans="2:4">
      <c r="B303" s="50" t="s">
        <v>854</v>
      </c>
      <c r="C303" s="53" t="s">
        <v>855</v>
      </c>
      <c r="D303" s="52" t="s">
        <v>421</v>
      </c>
    </row>
    <row r="304" spans="2:4">
      <c r="B304" s="50" t="s">
        <v>218</v>
      </c>
      <c r="C304" s="53" t="s">
        <v>856</v>
      </c>
      <c r="D304" s="52" t="s">
        <v>411</v>
      </c>
    </row>
    <row r="305" spans="2:4">
      <c r="B305" s="50" t="s">
        <v>857</v>
      </c>
      <c r="C305" s="53" t="s">
        <v>858</v>
      </c>
      <c r="D305" s="52" t="s">
        <v>417</v>
      </c>
    </row>
    <row r="306" spans="2:4">
      <c r="B306" s="50" t="s">
        <v>859</v>
      </c>
      <c r="C306" s="53" t="s">
        <v>856</v>
      </c>
      <c r="D306" s="52" t="s">
        <v>413</v>
      </c>
    </row>
    <row r="307" spans="2:4">
      <c r="B307" s="50" t="s">
        <v>860</v>
      </c>
      <c r="C307" s="53" t="s">
        <v>861</v>
      </c>
      <c r="D307" s="52" t="s">
        <v>421</v>
      </c>
    </row>
    <row r="308" spans="2:4">
      <c r="B308" s="50" t="s">
        <v>219</v>
      </c>
      <c r="C308" s="53" t="s">
        <v>862</v>
      </c>
      <c r="D308" s="52" t="s">
        <v>411</v>
      </c>
    </row>
    <row r="309" spans="2:4">
      <c r="B309" s="50" t="s">
        <v>863</v>
      </c>
      <c r="C309" s="53" t="s">
        <v>864</v>
      </c>
      <c r="D309" s="52" t="s">
        <v>417</v>
      </c>
    </row>
    <row r="310" spans="2:4">
      <c r="B310" s="50" t="s">
        <v>865</v>
      </c>
      <c r="C310" s="53" t="s">
        <v>862</v>
      </c>
      <c r="D310" s="52" t="s">
        <v>413</v>
      </c>
    </row>
    <row r="311" spans="2:4">
      <c r="B311" s="50" t="s">
        <v>866</v>
      </c>
      <c r="C311" s="53" t="s">
        <v>867</v>
      </c>
      <c r="D311" s="52" t="s">
        <v>421</v>
      </c>
    </row>
    <row r="312" spans="2:4">
      <c r="B312" s="50" t="s">
        <v>220</v>
      </c>
      <c r="C312" s="53" t="s">
        <v>868</v>
      </c>
      <c r="D312" s="52" t="s">
        <v>411</v>
      </c>
    </row>
    <row r="313" spans="2:4">
      <c r="B313" s="50" t="s">
        <v>869</v>
      </c>
      <c r="C313" s="53" t="s">
        <v>870</v>
      </c>
      <c r="D313" s="52" t="s">
        <v>417</v>
      </c>
    </row>
    <row r="314" spans="2:4">
      <c r="B314" s="50" t="s">
        <v>871</v>
      </c>
      <c r="C314" s="53" t="s">
        <v>868</v>
      </c>
      <c r="D314" s="52" t="s">
        <v>413</v>
      </c>
    </row>
    <row r="315" spans="2:4">
      <c r="B315" s="50" t="s">
        <v>872</v>
      </c>
      <c r="C315" s="53" t="s">
        <v>873</v>
      </c>
      <c r="D315" s="52" t="s">
        <v>421</v>
      </c>
    </row>
    <row r="316" spans="2:4">
      <c r="B316" s="50" t="s">
        <v>221</v>
      </c>
      <c r="C316" s="53" t="s">
        <v>874</v>
      </c>
      <c r="D316" s="52" t="s">
        <v>411</v>
      </c>
    </row>
    <row r="317" spans="2:4">
      <c r="B317" s="50" t="s">
        <v>875</v>
      </c>
      <c r="C317" s="53" t="s">
        <v>876</v>
      </c>
      <c r="D317" s="52" t="s">
        <v>417</v>
      </c>
    </row>
    <row r="318" spans="2:4">
      <c r="B318" s="50" t="s">
        <v>877</v>
      </c>
      <c r="C318" s="53" t="s">
        <v>874</v>
      </c>
      <c r="D318" s="52" t="s">
        <v>413</v>
      </c>
    </row>
    <row r="319" spans="2:4">
      <c r="B319" s="50" t="s">
        <v>878</v>
      </c>
      <c r="C319" s="53" t="s">
        <v>879</v>
      </c>
      <c r="D319" s="52" t="s">
        <v>421</v>
      </c>
    </row>
    <row r="320" spans="2:4">
      <c r="B320" s="50" t="s">
        <v>222</v>
      </c>
      <c r="C320" s="53" t="s">
        <v>880</v>
      </c>
      <c r="D320" s="52" t="s">
        <v>411</v>
      </c>
    </row>
    <row r="321" spans="2:5">
      <c r="B321" s="50" t="s">
        <v>881</v>
      </c>
      <c r="C321" s="53" t="s">
        <v>882</v>
      </c>
      <c r="D321" s="52" t="s">
        <v>417</v>
      </c>
    </row>
    <row r="322" spans="2:5">
      <c r="B322" s="50" t="s">
        <v>883</v>
      </c>
      <c r="C322" s="53" t="s">
        <v>880</v>
      </c>
      <c r="D322" s="52" t="s">
        <v>413</v>
      </c>
    </row>
    <row r="323" spans="2:5">
      <c r="B323" s="50" t="s">
        <v>884</v>
      </c>
      <c r="C323" s="53" t="s">
        <v>885</v>
      </c>
      <c r="D323" s="52" t="s">
        <v>421</v>
      </c>
    </row>
    <row r="324" spans="2:5">
      <c r="B324" s="50" t="s">
        <v>223</v>
      </c>
      <c r="C324" s="53" t="s">
        <v>886</v>
      </c>
      <c r="D324" s="52" t="s">
        <v>411</v>
      </c>
    </row>
    <row r="325" spans="2:5">
      <c r="B325" s="50" t="s">
        <v>224</v>
      </c>
      <c r="C325" s="53" t="s">
        <v>887</v>
      </c>
      <c r="D325" s="52" t="s">
        <v>411</v>
      </c>
    </row>
    <row r="326" spans="2:5">
      <c r="B326" s="50" t="s">
        <v>225</v>
      </c>
      <c r="C326" s="53" t="s">
        <v>888</v>
      </c>
      <c r="D326" s="52" t="s">
        <v>411</v>
      </c>
    </row>
    <row r="327" spans="2:5">
      <c r="B327" s="50" t="s">
        <v>226</v>
      </c>
      <c r="C327" s="53" t="s">
        <v>889</v>
      </c>
      <c r="D327" s="52" t="s">
        <v>411</v>
      </c>
    </row>
    <row r="328" spans="2:5">
      <c r="B328" s="50" t="s">
        <v>227</v>
      </c>
      <c r="C328" s="53" t="s">
        <v>890</v>
      </c>
      <c r="D328" s="52" t="s">
        <v>411</v>
      </c>
    </row>
    <row r="329" spans="2:5">
      <c r="B329" s="50" t="s">
        <v>228</v>
      </c>
      <c r="C329" s="53" t="s">
        <v>891</v>
      </c>
      <c r="D329" s="52" t="s">
        <v>411</v>
      </c>
    </row>
    <row r="330" spans="2:5">
      <c r="B330" s="50" t="s">
        <v>229</v>
      </c>
      <c r="C330" s="53" t="s">
        <v>892</v>
      </c>
      <c r="D330" s="52" t="s">
        <v>411</v>
      </c>
    </row>
    <row r="331" spans="2:5">
      <c r="B331" s="50" t="s">
        <v>893</v>
      </c>
      <c r="C331" s="53" t="s">
        <v>894</v>
      </c>
      <c r="D331" s="52" t="s">
        <v>417</v>
      </c>
    </row>
    <row r="332" spans="2:5">
      <c r="B332" s="50" t="s">
        <v>895</v>
      </c>
      <c r="C332" s="53" t="s">
        <v>892</v>
      </c>
      <c r="D332" s="52" t="s">
        <v>413</v>
      </c>
    </row>
    <row r="333" spans="2:5">
      <c r="B333" s="50" t="s">
        <v>896</v>
      </c>
      <c r="C333" s="53" t="s">
        <v>897</v>
      </c>
      <c r="D333" s="52" t="s">
        <v>421</v>
      </c>
    </row>
    <row r="334" spans="2:5">
      <c r="B334" s="50" t="s">
        <v>230</v>
      </c>
      <c r="C334" s="53" t="s">
        <v>898</v>
      </c>
      <c r="D334" s="52" t="s">
        <v>411</v>
      </c>
      <c r="E334" s="44"/>
    </row>
    <row r="335" spans="2:5">
      <c r="B335" s="50" t="s">
        <v>899</v>
      </c>
      <c r="C335" s="53" t="s">
        <v>900</v>
      </c>
      <c r="D335" s="52" t="s">
        <v>417</v>
      </c>
    </row>
    <row r="336" spans="2:5">
      <c r="B336" s="50" t="s">
        <v>901</v>
      </c>
      <c r="C336" s="53" t="s">
        <v>898</v>
      </c>
      <c r="D336" s="52" t="s">
        <v>413</v>
      </c>
    </row>
    <row r="337" spans="2:4">
      <c r="B337" s="50" t="s">
        <v>902</v>
      </c>
      <c r="C337" s="53" t="s">
        <v>903</v>
      </c>
      <c r="D337" s="52" t="s">
        <v>421</v>
      </c>
    </row>
    <row r="338" spans="2:4">
      <c r="B338" s="50" t="s">
        <v>231</v>
      </c>
      <c r="C338" s="53" t="s">
        <v>904</v>
      </c>
      <c r="D338" s="52" t="s">
        <v>411</v>
      </c>
    </row>
    <row r="339" spans="2:4">
      <c r="B339" s="50" t="s">
        <v>905</v>
      </c>
      <c r="C339" s="53" t="s">
        <v>906</v>
      </c>
      <c r="D339" s="52" t="s">
        <v>417</v>
      </c>
    </row>
    <row r="340" spans="2:4">
      <c r="B340" s="50" t="s">
        <v>907</v>
      </c>
      <c r="C340" s="53" t="s">
        <v>904</v>
      </c>
      <c r="D340" s="52" t="s">
        <v>413</v>
      </c>
    </row>
    <row r="341" spans="2:4">
      <c r="B341" s="50" t="s">
        <v>908</v>
      </c>
      <c r="C341" s="53" t="s">
        <v>909</v>
      </c>
      <c r="D341" s="52" t="s">
        <v>421</v>
      </c>
    </row>
    <row r="342" spans="2:4">
      <c r="B342" s="50" t="s">
        <v>232</v>
      </c>
      <c r="C342" s="53" t="s">
        <v>910</v>
      </c>
      <c r="D342" s="52" t="s">
        <v>411</v>
      </c>
    </row>
    <row r="343" spans="2:4">
      <c r="B343" s="50" t="s">
        <v>911</v>
      </c>
      <c r="C343" s="53" t="s">
        <v>912</v>
      </c>
      <c r="D343" s="52" t="s">
        <v>417</v>
      </c>
    </row>
    <row r="344" spans="2:4">
      <c r="B344" s="50" t="s">
        <v>913</v>
      </c>
      <c r="C344" s="53" t="s">
        <v>910</v>
      </c>
      <c r="D344" s="52" t="s">
        <v>413</v>
      </c>
    </row>
    <row r="345" spans="2:4">
      <c r="B345" s="50" t="s">
        <v>914</v>
      </c>
      <c r="C345" s="53" t="s">
        <v>915</v>
      </c>
      <c r="D345" s="52" t="s">
        <v>421</v>
      </c>
    </row>
    <row r="346" spans="2:4">
      <c r="B346" s="50" t="s">
        <v>233</v>
      </c>
      <c r="C346" s="53" t="s">
        <v>916</v>
      </c>
      <c r="D346" s="52" t="s">
        <v>411</v>
      </c>
    </row>
    <row r="347" spans="2:4">
      <c r="B347" s="50" t="s">
        <v>917</v>
      </c>
      <c r="C347" s="53" t="s">
        <v>916</v>
      </c>
      <c r="D347" s="52" t="s">
        <v>413</v>
      </c>
    </row>
    <row r="348" spans="2:4" ht="25.5">
      <c r="B348" s="50" t="s">
        <v>918</v>
      </c>
      <c r="C348" s="53" t="s">
        <v>919</v>
      </c>
      <c r="D348" s="52" t="s">
        <v>576</v>
      </c>
    </row>
    <row r="349" spans="2:4">
      <c r="B349" s="50" t="s">
        <v>234</v>
      </c>
      <c r="C349" s="53" t="s">
        <v>920</v>
      </c>
      <c r="D349" s="52" t="s">
        <v>411</v>
      </c>
    </row>
    <row r="350" spans="2:4">
      <c r="B350" s="50" t="s">
        <v>921</v>
      </c>
      <c r="C350" s="53" t="s">
        <v>922</v>
      </c>
      <c r="D350" s="52" t="s">
        <v>417</v>
      </c>
    </row>
    <row r="351" spans="2:4">
      <c r="B351" s="50" t="s">
        <v>923</v>
      </c>
      <c r="C351" s="53" t="s">
        <v>920</v>
      </c>
      <c r="D351" s="52" t="s">
        <v>413</v>
      </c>
    </row>
    <row r="352" spans="2:4">
      <c r="B352" s="50" t="s">
        <v>924</v>
      </c>
      <c r="C352" s="53" t="s">
        <v>925</v>
      </c>
      <c r="D352" s="52" t="s">
        <v>421</v>
      </c>
    </row>
    <row r="353" spans="2:4">
      <c r="B353" s="50" t="s">
        <v>235</v>
      </c>
      <c r="C353" s="53" t="s">
        <v>926</v>
      </c>
      <c r="D353" s="52" t="s">
        <v>411</v>
      </c>
    </row>
    <row r="354" spans="2:4">
      <c r="B354" s="50" t="s">
        <v>927</v>
      </c>
      <c r="C354" s="53" t="s">
        <v>928</v>
      </c>
      <c r="D354" s="52" t="s">
        <v>417</v>
      </c>
    </row>
    <row r="355" spans="2:4">
      <c r="B355" s="50" t="s">
        <v>929</v>
      </c>
      <c r="C355" s="53" t="s">
        <v>926</v>
      </c>
      <c r="D355" s="52" t="s">
        <v>413</v>
      </c>
    </row>
    <row r="356" spans="2:4">
      <c r="B356" s="50" t="s">
        <v>930</v>
      </c>
      <c r="C356" s="53" t="s">
        <v>931</v>
      </c>
      <c r="D356" s="52" t="s">
        <v>421</v>
      </c>
    </row>
    <row r="357" spans="2:4">
      <c r="B357" s="50" t="s">
        <v>236</v>
      </c>
      <c r="C357" s="53" t="s">
        <v>932</v>
      </c>
      <c r="D357" s="52" t="s">
        <v>411</v>
      </c>
    </row>
    <row r="358" spans="2:4">
      <c r="B358" s="50" t="s">
        <v>933</v>
      </c>
      <c r="C358" s="53" t="s">
        <v>934</v>
      </c>
      <c r="D358" s="52" t="s">
        <v>417</v>
      </c>
    </row>
    <row r="359" spans="2:4">
      <c r="B359" s="50" t="s">
        <v>935</v>
      </c>
      <c r="C359" s="53" t="s">
        <v>932</v>
      </c>
      <c r="D359" s="52" t="s">
        <v>413</v>
      </c>
    </row>
    <row r="360" spans="2:4">
      <c r="B360" s="50" t="s">
        <v>936</v>
      </c>
      <c r="C360" s="53" t="s">
        <v>937</v>
      </c>
      <c r="D360" s="52" t="s">
        <v>421</v>
      </c>
    </row>
    <row r="361" spans="2:4">
      <c r="B361" s="50" t="s">
        <v>237</v>
      </c>
      <c r="C361" s="53" t="s">
        <v>938</v>
      </c>
      <c r="D361" s="52" t="s">
        <v>411</v>
      </c>
    </row>
    <row r="362" spans="2:4">
      <c r="B362" s="50" t="s">
        <v>939</v>
      </c>
      <c r="C362" s="53" t="s">
        <v>940</v>
      </c>
      <c r="D362" s="52" t="s">
        <v>417</v>
      </c>
    </row>
    <row r="363" spans="2:4">
      <c r="B363" s="50" t="s">
        <v>941</v>
      </c>
      <c r="C363" s="53" t="s">
        <v>942</v>
      </c>
      <c r="D363" s="52" t="s">
        <v>576</v>
      </c>
    </row>
    <row r="364" spans="2:4">
      <c r="B364" s="50" t="s">
        <v>943</v>
      </c>
      <c r="C364" s="53" t="s">
        <v>938</v>
      </c>
      <c r="D364" s="52" t="s">
        <v>413</v>
      </c>
    </row>
    <row r="365" spans="2:4">
      <c r="B365" s="50" t="s">
        <v>944</v>
      </c>
      <c r="C365" s="53" t="s">
        <v>945</v>
      </c>
      <c r="D365" s="52" t="s">
        <v>421</v>
      </c>
    </row>
    <row r="366" spans="2:4">
      <c r="B366" s="50" t="s">
        <v>946</v>
      </c>
      <c r="C366" s="53" t="s">
        <v>947</v>
      </c>
      <c r="D366" s="52" t="s">
        <v>948</v>
      </c>
    </row>
    <row r="367" spans="2:4">
      <c r="B367" s="50" t="s">
        <v>238</v>
      </c>
      <c r="C367" s="53" t="s">
        <v>949</v>
      </c>
      <c r="D367" s="52" t="s">
        <v>411</v>
      </c>
    </row>
    <row r="368" spans="2:4">
      <c r="B368" s="50" t="s">
        <v>950</v>
      </c>
      <c r="C368" s="53" t="s">
        <v>951</v>
      </c>
      <c r="D368" s="52" t="s">
        <v>417</v>
      </c>
    </row>
    <row r="369" spans="2:4">
      <c r="B369" s="50" t="s">
        <v>952</v>
      </c>
      <c r="C369" s="53" t="s">
        <v>949</v>
      </c>
      <c r="D369" s="52" t="s">
        <v>413</v>
      </c>
    </row>
    <row r="370" spans="2:4">
      <c r="B370" s="50" t="s">
        <v>953</v>
      </c>
      <c r="C370" s="53" t="s">
        <v>954</v>
      </c>
      <c r="D370" s="52" t="s">
        <v>421</v>
      </c>
    </row>
    <row r="371" spans="2:4">
      <c r="B371" s="50" t="s">
        <v>239</v>
      </c>
      <c r="C371" s="53" t="s">
        <v>955</v>
      </c>
      <c r="D371" s="52" t="s">
        <v>411</v>
      </c>
    </row>
    <row r="372" spans="2:4">
      <c r="B372" s="50" t="s">
        <v>240</v>
      </c>
      <c r="C372" s="53" t="s">
        <v>956</v>
      </c>
      <c r="D372" s="52" t="s">
        <v>411</v>
      </c>
    </row>
    <row r="373" spans="2:4">
      <c r="B373" s="50" t="s">
        <v>957</v>
      </c>
      <c r="C373" s="53" t="s">
        <v>958</v>
      </c>
      <c r="D373" s="52" t="s">
        <v>417</v>
      </c>
    </row>
    <row r="374" spans="2:4">
      <c r="B374" s="50" t="s">
        <v>959</v>
      </c>
      <c r="C374" s="53" t="s">
        <v>956</v>
      </c>
      <c r="D374" s="52" t="s">
        <v>413</v>
      </c>
    </row>
    <row r="375" spans="2:4">
      <c r="B375" s="50" t="s">
        <v>960</v>
      </c>
      <c r="C375" s="53" t="s">
        <v>961</v>
      </c>
      <c r="D375" s="52" t="s">
        <v>421</v>
      </c>
    </row>
    <row r="376" spans="2:4">
      <c r="B376" s="61" t="s">
        <v>241</v>
      </c>
      <c r="C376" s="62" t="s">
        <v>962</v>
      </c>
      <c r="D376" s="63" t="s">
        <v>411</v>
      </c>
    </row>
    <row r="377" spans="2:4">
      <c r="B377" s="61" t="s">
        <v>963</v>
      </c>
      <c r="C377" s="62" t="s">
        <v>962</v>
      </c>
      <c r="D377" s="63" t="s">
        <v>413</v>
      </c>
    </row>
    <row r="378" spans="2:4">
      <c r="B378" s="61" t="s">
        <v>964</v>
      </c>
      <c r="C378" s="62" t="s">
        <v>965</v>
      </c>
      <c r="D378" s="63" t="s">
        <v>411</v>
      </c>
    </row>
    <row r="379" spans="2:4">
      <c r="B379" s="61" t="s">
        <v>242</v>
      </c>
      <c r="C379" s="62" t="s">
        <v>966</v>
      </c>
      <c r="D379" s="63" t="s">
        <v>411</v>
      </c>
    </row>
    <row r="380" spans="2:4">
      <c r="B380" s="61" t="s">
        <v>967</v>
      </c>
      <c r="C380" s="62" t="s">
        <v>968</v>
      </c>
      <c r="D380" s="63" t="s">
        <v>417</v>
      </c>
    </row>
    <row r="381" spans="2:4">
      <c r="B381" s="61" t="s">
        <v>969</v>
      </c>
      <c r="C381" s="62" t="s">
        <v>970</v>
      </c>
      <c r="D381" s="63" t="s">
        <v>971</v>
      </c>
    </row>
    <row r="382" spans="2:4">
      <c r="B382" s="61" t="s">
        <v>972</v>
      </c>
      <c r="C382" s="62" t="s">
        <v>973</v>
      </c>
      <c r="D382" s="63" t="s">
        <v>421</v>
      </c>
    </row>
    <row r="383" spans="2:4">
      <c r="B383" s="61" t="s">
        <v>974</v>
      </c>
      <c r="C383" s="62" t="s">
        <v>975</v>
      </c>
      <c r="D383" s="63" t="s">
        <v>411</v>
      </c>
    </row>
    <row r="384" spans="2:4">
      <c r="B384" s="61" t="s">
        <v>243</v>
      </c>
      <c r="C384" s="62" t="s">
        <v>976</v>
      </c>
      <c r="D384" s="63" t="s">
        <v>411</v>
      </c>
    </row>
    <row r="385" spans="1:9">
      <c r="B385" s="61" t="s">
        <v>977</v>
      </c>
      <c r="C385" s="62" t="s">
        <v>978</v>
      </c>
      <c r="D385" s="63" t="s">
        <v>417</v>
      </c>
    </row>
    <row r="386" spans="1:9">
      <c r="B386" s="61" t="s">
        <v>979</v>
      </c>
      <c r="C386" s="62" t="s">
        <v>976</v>
      </c>
      <c r="D386" s="63" t="s">
        <v>971</v>
      </c>
    </row>
    <row r="387" spans="1:9">
      <c r="B387" s="61" t="s">
        <v>980</v>
      </c>
      <c r="C387" s="62" t="s">
        <v>981</v>
      </c>
      <c r="D387" s="63" t="s">
        <v>421</v>
      </c>
    </row>
    <row r="388" spans="1:9">
      <c r="B388" s="61" t="s">
        <v>244</v>
      </c>
      <c r="C388" s="62" t="s">
        <v>982</v>
      </c>
      <c r="D388" s="63" t="s">
        <v>411</v>
      </c>
    </row>
    <row r="389" spans="1:9">
      <c r="B389" s="61" t="s">
        <v>983</v>
      </c>
      <c r="C389" s="62" t="s">
        <v>984</v>
      </c>
      <c r="D389" s="63" t="s">
        <v>417</v>
      </c>
      <c r="E389" s="44"/>
    </row>
    <row r="390" spans="1:9" ht="25.5">
      <c r="B390" s="61" t="s">
        <v>985</v>
      </c>
      <c r="C390" s="62" t="s">
        <v>986</v>
      </c>
      <c r="D390" s="63" t="s">
        <v>987</v>
      </c>
    </row>
    <row r="391" spans="1:9">
      <c r="B391" s="61" t="s">
        <v>988</v>
      </c>
      <c r="C391" s="62" t="s">
        <v>982</v>
      </c>
      <c r="D391" s="63" t="s">
        <v>971</v>
      </c>
      <c r="G391" s="44"/>
      <c r="H391" s="44"/>
      <c r="I391" s="44"/>
    </row>
    <row r="392" spans="1:9" s="44" customFormat="1">
      <c r="A392" s="42"/>
      <c r="B392" s="61" t="s">
        <v>989</v>
      </c>
      <c r="C392" s="62" t="s">
        <v>990</v>
      </c>
      <c r="D392" s="63" t="s">
        <v>421</v>
      </c>
      <c r="E392" s="42"/>
      <c r="F392" s="42"/>
    </row>
    <row r="393" spans="1:9" s="44" customFormat="1" ht="13.15">
      <c r="A393" s="64"/>
      <c r="B393" s="61" t="s">
        <v>245</v>
      </c>
      <c r="C393" s="62" t="s">
        <v>991</v>
      </c>
      <c r="D393" s="63" t="s">
        <v>411</v>
      </c>
      <c r="E393" s="42"/>
      <c r="F393" s="42"/>
    </row>
    <row r="394" spans="1:9" s="44" customFormat="1">
      <c r="A394" s="42"/>
      <c r="B394" s="61" t="s">
        <v>992</v>
      </c>
      <c r="C394" s="62" t="s">
        <v>993</v>
      </c>
      <c r="D394" s="63" t="s">
        <v>417</v>
      </c>
      <c r="E394" s="42"/>
      <c r="F394" s="42"/>
      <c r="G394" s="42"/>
      <c r="H394" s="42"/>
      <c r="I394" s="42"/>
    </row>
    <row r="395" spans="1:9">
      <c r="B395" s="61" t="s">
        <v>994</v>
      </c>
      <c r="C395" s="62" t="s">
        <v>991</v>
      </c>
      <c r="D395" s="63" t="s">
        <v>971</v>
      </c>
    </row>
    <row r="396" spans="1:9" ht="13.15">
      <c r="B396" s="61" t="s">
        <v>995</v>
      </c>
      <c r="C396" s="62" t="s">
        <v>996</v>
      </c>
      <c r="D396" s="63" t="s">
        <v>421</v>
      </c>
      <c r="E396" s="64">
        <f>SUM(A397:A398,A407)</f>
        <v>0</v>
      </c>
    </row>
    <row r="397" spans="1:9">
      <c r="A397" s="65"/>
      <c r="B397" s="61" t="s">
        <v>997</v>
      </c>
      <c r="C397" s="62" t="s">
        <v>998</v>
      </c>
      <c r="D397" s="63" t="s">
        <v>411</v>
      </c>
    </row>
    <row r="398" spans="1:9">
      <c r="A398" s="65"/>
      <c r="B398" s="61" t="s">
        <v>999</v>
      </c>
      <c r="C398" s="62" t="s">
        <v>1000</v>
      </c>
      <c r="D398" s="63" t="s">
        <v>411</v>
      </c>
      <c r="E398" s="42" t="s">
        <v>1001</v>
      </c>
    </row>
    <row r="399" spans="1:9">
      <c r="B399" s="61" t="s">
        <v>1002</v>
      </c>
      <c r="C399" s="62" t="s">
        <v>1003</v>
      </c>
      <c r="D399" s="63" t="s">
        <v>411</v>
      </c>
    </row>
    <row r="400" spans="1:9">
      <c r="B400" s="61" t="s">
        <v>1004</v>
      </c>
      <c r="C400" s="62" t="s">
        <v>1005</v>
      </c>
      <c r="D400" s="63" t="s">
        <v>1006</v>
      </c>
    </row>
    <row r="401" spans="1:5">
      <c r="B401" s="61" t="s">
        <v>1007</v>
      </c>
      <c r="C401" s="62" t="s">
        <v>1003</v>
      </c>
      <c r="D401" s="63" t="s">
        <v>971</v>
      </c>
    </row>
    <row r="402" spans="1:5">
      <c r="B402" s="61" t="s">
        <v>1008</v>
      </c>
      <c r="C402" s="62" t="s">
        <v>1009</v>
      </c>
      <c r="D402" s="63" t="s">
        <v>411</v>
      </c>
      <c r="E402" s="44"/>
    </row>
    <row r="403" spans="1:5">
      <c r="B403" s="61" t="s">
        <v>246</v>
      </c>
      <c r="C403" s="62" t="s">
        <v>1010</v>
      </c>
      <c r="D403" s="63" t="s">
        <v>411</v>
      </c>
    </row>
    <row r="404" spans="1:5">
      <c r="B404" s="61" t="s">
        <v>1011</v>
      </c>
      <c r="C404" s="62" t="s">
        <v>1012</v>
      </c>
      <c r="D404" s="63" t="s">
        <v>417</v>
      </c>
    </row>
    <row r="405" spans="1:5">
      <c r="B405" s="61" t="s">
        <v>1013</v>
      </c>
      <c r="C405" s="62" t="s">
        <v>1010</v>
      </c>
      <c r="D405" s="63" t="s">
        <v>971</v>
      </c>
    </row>
    <row r="406" spans="1:5">
      <c r="B406" s="61" t="s">
        <v>1014</v>
      </c>
      <c r="C406" s="62" t="s">
        <v>1015</v>
      </c>
      <c r="D406" s="63" t="s">
        <v>421</v>
      </c>
    </row>
    <row r="407" spans="1:5">
      <c r="A407" s="65"/>
      <c r="B407" s="61" t="s">
        <v>1016</v>
      </c>
      <c r="C407" s="62" t="s">
        <v>1017</v>
      </c>
      <c r="D407" s="63" t="s">
        <v>411</v>
      </c>
      <c r="E407" s="42" t="s">
        <v>1018</v>
      </c>
    </row>
    <row r="408" spans="1:5">
      <c r="B408" s="61" t="s">
        <v>1019</v>
      </c>
      <c r="C408" s="62" t="s">
        <v>1020</v>
      </c>
      <c r="D408" s="63" t="s">
        <v>411</v>
      </c>
    </row>
    <row r="409" spans="1:5">
      <c r="B409" s="61" t="s">
        <v>247</v>
      </c>
      <c r="C409" s="62" t="s">
        <v>1021</v>
      </c>
      <c r="D409" s="63" t="s">
        <v>411</v>
      </c>
    </row>
    <row r="410" spans="1:5">
      <c r="B410" s="61" t="s">
        <v>1022</v>
      </c>
      <c r="C410" s="62" t="s">
        <v>1023</v>
      </c>
      <c r="D410" s="63" t="s">
        <v>417</v>
      </c>
    </row>
    <row r="411" spans="1:5">
      <c r="B411" s="61" t="s">
        <v>1024</v>
      </c>
      <c r="C411" s="62" t="s">
        <v>1025</v>
      </c>
      <c r="D411" s="63" t="s">
        <v>987</v>
      </c>
    </row>
    <row r="412" spans="1:5">
      <c r="B412" s="61" t="s">
        <v>1026</v>
      </c>
      <c r="C412" s="62" t="s">
        <v>1021</v>
      </c>
      <c r="D412" s="63" t="s">
        <v>971</v>
      </c>
    </row>
    <row r="413" spans="1:5">
      <c r="B413" s="61" t="s">
        <v>1027</v>
      </c>
      <c r="C413" s="62" t="s">
        <v>1028</v>
      </c>
      <c r="D413" s="63" t="s">
        <v>421</v>
      </c>
    </row>
    <row r="414" spans="1:5">
      <c r="B414" s="61" t="s">
        <v>248</v>
      </c>
      <c r="C414" s="62" t="s">
        <v>1029</v>
      </c>
      <c r="D414" s="63" t="s">
        <v>1030</v>
      </c>
    </row>
    <row r="415" spans="1:5">
      <c r="B415" s="61" t="s">
        <v>1031</v>
      </c>
      <c r="C415" s="62" t="s">
        <v>1029</v>
      </c>
      <c r="D415" s="63" t="s">
        <v>1032</v>
      </c>
    </row>
    <row r="416" spans="1:5">
      <c r="B416" s="61" t="s">
        <v>249</v>
      </c>
      <c r="C416" s="62" t="s">
        <v>1033</v>
      </c>
      <c r="D416" s="63" t="s">
        <v>411</v>
      </c>
    </row>
    <row r="417" spans="2:4">
      <c r="B417" s="61" t="s">
        <v>1034</v>
      </c>
      <c r="C417" s="62" t="s">
        <v>1035</v>
      </c>
      <c r="D417" s="63" t="s">
        <v>417</v>
      </c>
    </row>
    <row r="418" spans="2:4" ht="25.5">
      <c r="B418" s="61" t="s">
        <v>1036</v>
      </c>
      <c r="C418" s="62" t="s">
        <v>1037</v>
      </c>
      <c r="D418" s="63" t="s">
        <v>987</v>
      </c>
    </row>
    <row r="419" spans="2:4">
      <c r="B419" s="61" t="s">
        <v>1038</v>
      </c>
      <c r="C419" s="62" t="s">
        <v>1033</v>
      </c>
      <c r="D419" s="63" t="s">
        <v>971</v>
      </c>
    </row>
    <row r="420" spans="2:4">
      <c r="B420" s="61" t="s">
        <v>1039</v>
      </c>
      <c r="C420" s="62" t="s">
        <v>1040</v>
      </c>
      <c r="D420" s="63" t="s">
        <v>421</v>
      </c>
    </row>
    <row r="421" spans="2:4">
      <c r="B421" s="61" t="s">
        <v>250</v>
      </c>
      <c r="C421" s="62" t="s">
        <v>1041</v>
      </c>
      <c r="D421" s="63" t="s">
        <v>411</v>
      </c>
    </row>
    <row r="422" spans="2:4">
      <c r="B422" s="50" t="s">
        <v>251</v>
      </c>
      <c r="C422" s="53" t="s">
        <v>1042</v>
      </c>
      <c r="D422" s="52" t="s">
        <v>411</v>
      </c>
    </row>
    <row r="423" spans="2:4">
      <c r="B423" s="50" t="s">
        <v>1043</v>
      </c>
      <c r="C423" s="53" t="s">
        <v>1044</v>
      </c>
      <c r="D423" s="52" t="s">
        <v>417</v>
      </c>
    </row>
    <row r="424" spans="2:4">
      <c r="B424" s="50" t="s">
        <v>1045</v>
      </c>
      <c r="C424" s="53" t="s">
        <v>1046</v>
      </c>
      <c r="D424" s="52" t="s">
        <v>638</v>
      </c>
    </row>
    <row r="425" spans="2:4">
      <c r="B425" s="50" t="s">
        <v>1047</v>
      </c>
      <c r="C425" s="53" t="s">
        <v>1048</v>
      </c>
      <c r="D425" s="52" t="s">
        <v>421</v>
      </c>
    </row>
    <row r="426" spans="2:4">
      <c r="B426" s="50" t="s">
        <v>252</v>
      </c>
      <c r="C426" s="53" t="s">
        <v>1049</v>
      </c>
      <c r="D426" s="52" t="s">
        <v>411</v>
      </c>
    </row>
    <row r="427" spans="2:4">
      <c r="B427" s="50" t="s">
        <v>1050</v>
      </c>
      <c r="C427" s="53" t="s">
        <v>1051</v>
      </c>
      <c r="D427" s="52" t="s">
        <v>417</v>
      </c>
    </row>
    <row r="428" spans="2:4" ht="25.5">
      <c r="B428" s="50" t="s">
        <v>1052</v>
      </c>
      <c r="C428" s="53" t="s">
        <v>1053</v>
      </c>
      <c r="D428" s="52" t="s">
        <v>736</v>
      </c>
    </row>
    <row r="429" spans="2:4">
      <c r="B429" s="50" t="s">
        <v>1054</v>
      </c>
      <c r="C429" s="53" t="s">
        <v>1055</v>
      </c>
      <c r="D429" s="52" t="s">
        <v>638</v>
      </c>
    </row>
    <row r="430" spans="2:4">
      <c r="B430" s="50" t="s">
        <v>1056</v>
      </c>
      <c r="C430" s="53" t="s">
        <v>1057</v>
      </c>
      <c r="D430" s="52" t="s">
        <v>421</v>
      </c>
    </row>
    <row r="431" spans="2:4">
      <c r="B431" s="50" t="s">
        <v>253</v>
      </c>
      <c r="C431" s="53" t="s">
        <v>1058</v>
      </c>
      <c r="D431" s="52" t="s">
        <v>411</v>
      </c>
    </row>
    <row r="432" spans="2:4">
      <c r="B432" s="50" t="s">
        <v>1059</v>
      </c>
      <c r="C432" s="53" t="s">
        <v>1060</v>
      </c>
      <c r="D432" s="52" t="s">
        <v>417</v>
      </c>
    </row>
    <row r="433" spans="1:9">
      <c r="B433" s="50" t="s">
        <v>1061</v>
      </c>
      <c r="C433" s="53" t="s">
        <v>1062</v>
      </c>
      <c r="D433" s="52" t="s">
        <v>421</v>
      </c>
      <c r="G433" s="44"/>
      <c r="H433" s="44"/>
      <c r="I433" s="44"/>
    </row>
    <row r="434" spans="1:9">
      <c r="B434" s="50" t="s">
        <v>254</v>
      </c>
      <c r="C434" s="53" t="s">
        <v>1063</v>
      </c>
      <c r="D434" s="52" t="s">
        <v>411</v>
      </c>
      <c r="G434" s="44"/>
      <c r="H434" s="44"/>
      <c r="I434" s="44"/>
    </row>
    <row r="435" spans="1:9">
      <c r="B435" s="50" t="s">
        <v>1064</v>
      </c>
      <c r="C435" s="53" t="s">
        <v>1065</v>
      </c>
      <c r="D435" s="52" t="s">
        <v>417</v>
      </c>
      <c r="G435" s="44"/>
      <c r="H435" s="44"/>
      <c r="I435" s="44"/>
    </row>
    <row r="436" spans="1:9" s="44" customFormat="1">
      <c r="A436" s="42"/>
      <c r="B436" s="50" t="s">
        <v>1066</v>
      </c>
      <c r="C436" s="53" t="s">
        <v>1063</v>
      </c>
      <c r="D436" s="52" t="s">
        <v>413</v>
      </c>
      <c r="E436" s="42"/>
      <c r="F436" s="42"/>
      <c r="G436" s="42"/>
      <c r="H436" s="42"/>
      <c r="I436" s="42"/>
    </row>
    <row r="437" spans="1:9">
      <c r="B437" s="50" t="s">
        <v>1067</v>
      </c>
      <c r="C437" s="53" t="s">
        <v>1068</v>
      </c>
      <c r="D437" s="52" t="s">
        <v>421</v>
      </c>
    </row>
    <row r="438" spans="1:9" ht="25.5">
      <c r="B438" s="50" t="s">
        <v>1069</v>
      </c>
      <c r="C438" s="53" t="s">
        <v>1070</v>
      </c>
      <c r="D438" s="52" t="s">
        <v>411</v>
      </c>
    </row>
    <row r="439" spans="1:9" ht="25.5">
      <c r="B439" s="50" t="s">
        <v>1071</v>
      </c>
      <c r="C439" s="53" t="s">
        <v>1072</v>
      </c>
      <c r="D439" s="52" t="s">
        <v>411</v>
      </c>
    </row>
    <row r="440" spans="1:9">
      <c r="B440" s="50" t="s">
        <v>255</v>
      </c>
      <c r="C440" s="53" t="s">
        <v>1073</v>
      </c>
      <c r="D440" s="52" t="s">
        <v>411</v>
      </c>
    </row>
    <row r="441" spans="1:9">
      <c r="B441" s="50" t="s">
        <v>1074</v>
      </c>
      <c r="C441" s="53" t="s">
        <v>1075</v>
      </c>
      <c r="D441" s="52" t="s">
        <v>417</v>
      </c>
    </row>
    <row r="442" spans="1:9">
      <c r="B442" s="50" t="s">
        <v>1076</v>
      </c>
      <c r="C442" s="53" t="s">
        <v>1073</v>
      </c>
      <c r="D442" s="52" t="s">
        <v>413</v>
      </c>
    </row>
    <row r="443" spans="1:9">
      <c r="B443" s="50" t="s">
        <v>1077</v>
      </c>
      <c r="C443" s="53" t="s">
        <v>1078</v>
      </c>
      <c r="D443" s="52" t="s">
        <v>421</v>
      </c>
    </row>
    <row r="444" spans="1:9">
      <c r="B444" s="50" t="s">
        <v>256</v>
      </c>
      <c r="C444" s="53" t="s">
        <v>1079</v>
      </c>
      <c r="D444" s="52" t="s">
        <v>411</v>
      </c>
    </row>
    <row r="445" spans="1:9">
      <c r="B445" s="50" t="s">
        <v>1080</v>
      </c>
      <c r="C445" s="53" t="s">
        <v>1081</v>
      </c>
      <c r="D445" s="52" t="s">
        <v>417</v>
      </c>
    </row>
    <row r="446" spans="1:9">
      <c r="B446" s="50" t="s">
        <v>1082</v>
      </c>
      <c r="C446" s="53" t="s">
        <v>1079</v>
      </c>
      <c r="D446" s="52" t="s">
        <v>413</v>
      </c>
    </row>
    <row r="447" spans="1:9">
      <c r="B447" s="50" t="s">
        <v>1083</v>
      </c>
      <c r="C447" s="53" t="s">
        <v>1084</v>
      </c>
      <c r="D447" s="52" t="s">
        <v>421</v>
      </c>
    </row>
    <row r="448" spans="1:9">
      <c r="B448" s="50" t="s">
        <v>257</v>
      </c>
      <c r="C448" s="66" t="s">
        <v>1085</v>
      </c>
      <c r="D448" s="52" t="s">
        <v>411</v>
      </c>
    </row>
    <row r="449" spans="2:4" ht="13.15" customHeight="1">
      <c r="B449" s="50" t="s">
        <v>1086</v>
      </c>
      <c r="C449" s="66" t="s">
        <v>1087</v>
      </c>
      <c r="D449" s="52" t="s">
        <v>417</v>
      </c>
    </row>
    <row r="450" spans="2:4" ht="13.15" customHeight="1">
      <c r="B450" s="50" t="s">
        <v>1088</v>
      </c>
      <c r="C450" s="53" t="s">
        <v>1085</v>
      </c>
      <c r="D450" s="52" t="s">
        <v>413</v>
      </c>
    </row>
    <row r="451" spans="2:4" ht="13.15" customHeight="1">
      <c r="B451" s="50" t="s">
        <v>1089</v>
      </c>
      <c r="C451" s="53" t="s">
        <v>1090</v>
      </c>
      <c r="D451" s="52" t="s">
        <v>421</v>
      </c>
    </row>
    <row r="452" spans="2:4" ht="13.15" customHeight="1">
      <c r="B452" s="50" t="s">
        <v>1091</v>
      </c>
      <c r="C452" s="53" t="s">
        <v>1092</v>
      </c>
      <c r="D452" s="52" t="s">
        <v>411</v>
      </c>
    </row>
    <row r="453" spans="2:4" ht="25.5">
      <c r="B453" s="50" t="s">
        <v>1093</v>
      </c>
      <c r="C453" s="53" t="s">
        <v>1094</v>
      </c>
      <c r="D453" s="52" t="s">
        <v>411</v>
      </c>
    </row>
    <row r="454" spans="2:4" ht="25.5">
      <c r="B454" s="50" t="s">
        <v>258</v>
      </c>
      <c r="C454" s="53" t="s">
        <v>1095</v>
      </c>
      <c r="D454" s="52" t="s">
        <v>411</v>
      </c>
    </row>
    <row r="455" spans="2:4" ht="12" customHeight="1">
      <c r="B455" s="50" t="s">
        <v>1096</v>
      </c>
      <c r="C455" s="53" t="s">
        <v>1097</v>
      </c>
      <c r="D455" s="52" t="s">
        <v>417</v>
      </c>
    </row>
    <row r="456" spans="2:4" ht="25.5">
      <c r="B456" s="50" t="s">
        <v>1098</v>
      </c>
      <c r="C456" s="53" t="s">
        <v>1095</v>
      </c>
      <c r="D456" s="52" t="s">
        <v>413</v>
      </c>
    </row>
    <row r="457" spans="2:4" ht="25.5">
      <c r="B457" s="50" t="s">
        <v>1099</v>
      </c>
      <c r="C457" s="53" t="s">
        <v>1100</v>
      </c>
      <c r="D457" s="52" t="s">
        <v>421</v>
      </c>
    </row>
    <row r="458" spans="2:4" ht="12" customHeight="1">
      <c r="B458" s="50" t="s">
        <v>259</v>
      </c>
      <c r="C458" s="53" t="s">
        <v>1101</v>
      </c>
      <c r="D458" s="52" t="s">
        <v>411</v>
      </c>
    </row>
    <row r="459" spans="2:4" ht="25.5">
      <c r="B459" s="50" t="s">
        <v>1102</v>
      </c>
      <c r="C459" s="53" t="s">
        <v>1103</v>
      </c>
      <c r="D459" s="52" t="s">
        <v>417</v>
      </c>
    </row>
    <row r="460" spans="2:4" ht="25.5">
      <c r="B460" s="50" t="s">
        <v>1104</v>
      </c>
      <c r="C460" s="53" t="s">
        <v>1101</v>
      </c>
      <c r="D460" s="52" t="s">
        <v>413</v>
      </c>
    </row>
    <row r="461" spans="2:4" ht="12" customHeight="1">
      <c r="B461" s="50" t="s">
        <v>1105</v>
      </c>
      <c r="C461" s="53" t="s">
        <v>1106</v>
      </c>
      <c r="D461" s="52" t="s">
        <v>421</v>
      </c>
    </row>
    <row r="462" spans="2:4">
      <c r="B462" s="50" t="s">
        <v>1107</v>
      </c>
      <c r="C462" s="53" t="s">
        <v>1108</v>
      </c>
      <c r="D462" s="52" t="s">
        <v>411</v>
      </c>
    </row>
    <row r="463" spans="2:4">
      <c r="B463" s="50" t="s">
        <v>260</v>
      </c>
      <c r="C463" s="53" t="s">
        <v>1109</v>
      </c>
      <c r="D463" s="52" t="s">
        <v>411</v>
      </c>
    </row>
    <row r="464" spans="2:4">
      <c r="B464" s="50" t="s">
        <v>1110</v>
      </c>
      <c r="C464" s="53" t="s">
        <v>1111</v>
      </c>
      <c r="D464" s="52" t="s">
        <v>417</v>
      </c>
    </row>
    <row r="465" spans="1:9" ht="25.5">
      <c r="B465" s="50" t="s">
        <v>1112</v>
      </c>
      <c r="C465" s="53" t="s">
        <v>1113</v>
      </c>
      <c r="D465" s="52" t="s">
        <v>576</v>
      </c>
    </row>
    <row r="466" spans="1:9" ht="12" customHeight="1">
      <c r="B466" s="50" t="s">
        <v>1114</v>
      </c>
      <c r="C466" s="53" t="s">
        <v>1109</v>
      </c>
      <c r="D466" s="52" t="s">
        <v>413</v>
      </c>
    </row>
    <row r="467" spans="1:9">
      <c r="B467" s="50" t="s">
        <v>1115</v>
      </c>
      <c r="C467" s="53" t="s">
        <v>1116</v>
      </c>
      <c r="D467" s="52" t="s">
        <v>421</v>
      </c>
    </row>
    <row r="468" spans="1:9">
      <c r="B468" s="50" t="s">
        <v>261</v>
      </c>
      <c r="C468" s="53" t="s">
        <v>1117</v>
      </c>
      <c r="D468" s="52" t="s">
        <v>411</v>
      </c>
    </row>
    <row r="469" spans="1:9">
      <c r="B469" s="50" t="s">
        <v>1118</v>
      </c>
      <c r="C469" s="53" t="s">
        <v>1119</v>
      </c>
      <c r="D469" s="52" t="s">
        <v>417</v>
      </c>
    </row>
    <row r="470" spans="1:9" ht="25.5">
      <c r="B470" s="50" t="s">
        <v>1120</v>
      </c>
      <c r="C470" s="53" t="s">
        <v>1121</v>
      </c>
      <c r="D470" s="52" t="s">
        <v>576</v>
      </c>
    </row>
    <row r="471" spans="1:9" ht="14.25" customHeight="1">
      <c r="B471" s="50" t="s">
        <v>1122</v>
      </c>
      <c r="C471" s="53" t="s">
        <v>1117</v>
      </c>
      <c r="D471" s="52" t="s">
        <v>413</v>
      </c>
    </row>
    <row r="472" spans="1:9">
      <c r="B472" s="50" t="s">
        <v>1123</v>
      </c>
      <c r="C472" s="53" t="s">
        <v>1124</v>
      </c>
      <c r="D472" s="52" t="s">
        <v>421</v>
      </c>
    </row>
    <row r="473" spans="1:9">
      <c r="B473" s="50" t="s">
        <v>262</v>
      </c>
      <c r="C473" s="53" t="s">
        <v>1125</v>
      </c>
      <c r="D473" s="52" t="s">
        <v>411</v>
      </c>
    </row>
    <row r="474" spans="1:9" s="44" customFormat="1">
      <c r="A474" s="42"/>
      <c r="B474" s="50" t="s">
        <v>1126</v>
      </c>
      <c r="C474" s="53" t="s">
        <v>1127</v>
      </c>
      <c r="D474" s="52" t="s">
        <v>417</v>
      </c>
      <c r="E474" s="42"/>
      <c r="F474" s="42"/>
    </row>
    <row r="475" spans="1:9" s="44" customFormat="1" ht="25.5">
      <c r="A475" s="42"/>
      <c r="B475" s="50" t="s">
        <v>1128</v>
      </c>
      <c r="C475" s="53" t="s">
        <v>1129</v>
      </c>
      <c r="D475" s="52" t="s">
        <v>576</v>
      </c>
      <c r="E475" s="42"/>
      <c r="F475" s="42"/>
      <c r="G475" s="42"/>
      <c r="H475" s="42"/>
      <c r="I475" s="42"/>
    </row>
    <row r="476" spans="1:9" ht="13.5" customHeight="1">
      <c r="B476" s="50" t="s">
        <v>1130</v>
      </c>
      <c r="C476" s="53" t="s">
        <v>1125</v>
      </c>
      <c r="D476" s="52" t="s">
        <v>413</v>
      </c>
    </row>
    <row r="477" spans="1:9">
      <c r="B477" s="50" t="s">
        <v>1131</v>
      </c>
      <c r="C477" s="53" t="s">
        <v>1132</v>
      </c>
      <c r="D477" s="52" t="s">
        <v>421</v>
      </c>
    </row>
    <row r="478" spans="1:9">
      <c r="A478" s="44"/>
      <c r="B478" s="61" t="s">
        <v>263</v>
      </c>
      <c r="C478" s="62" t="s">
        <v>1133</v>
      </c>
      <c r="D478" s="63" t="s">
        <v>411</v>
      </c>
    </row>
    <row r="479" spans="1:9">
      <c r="A479" s="44"/>
      <c r="B479" s="50" t="s">
        <v>1134</v>
      </c>
      <c r="C479" s="53" t="s">
        <v>1135</v>
      </c>
      <c r="D479" s="52" t="s">
        <v>417</v>
      </c>
    </row>
    <row r="480" spans="1:9" ht="25.5">
      <c r="A480" s="44"/>
      <c r="B480" s="50" t="s">
        <v>1136</v>
      </c>
      <c r="C480" s="53" t="s">
        <v>1137</v>
      </c>
      <c r="D480" s="52" t="s">
        <v>576</v>
      </c>
    </row>
    <row r="481" spans="2:4">
      <c r="B481" s="50" t="s">
        <v>1138</v>
      </c>
      <c r="C481" s="53" t="s">
        <v>1133</v>
      </c>
      <c r="D481" s="52" t="s">
        <v>413</v>
      </c>
    </row>
    <row r="482" spans="2:4">
      <c r="B482" s="50" t="s">
        <v>1139</v>
      </c>
      <c r="C482" s="53" t="s">
        <v>1140</v>
      </c>
      <c r="D482" s="52" t="s">
        <v>421</v>
      </c>
    </row>
    <row r="483" spans="2:4" ht="25.5">
      <c r="B483" s="50" t="s">
        <v>1141</v>
      </c>
      <c r="C483" s="53" t="s">
        <v>1142</v>
      </c>
      <c r="D483" s="52" t="s">
        <v>411</v>
      </c>
    </row>
    <row r="484" spans="2:4" ht="13.5" customHeight="1">
      <c r="B484" s="50" t="s">
        <v>1143</v>
      </c>
      <c r="C484" s="53" t="s">
        <v>1144</v>
      </c>
      <c r="D484" s="52" t="s">
        <v>411</v>
      </c>
    </row>
    <row r="485" spans="2:4">
      <c r="B485" s="50" t="s">
        <v>1145</v>
      </c>
      <c r="C485" s="53" t="s">
        <v>1144</v>
      </c>
      <c r="D485" s="52" t="s">
        <v>413</v>
      </c>
    </row>
    <row r="486" spans="2:4">
      <c r="B486" s="50" t="s">
        <v>264</v>
      </c>
      <c r="C486" s="53" t="s">
        <v>1146</v>
      </c>
      <c r="D486" s="52" t="s">
        <v>411</v>
      </c>
    </row>
    <row r="487" spans="2:4">
      <c r="B487" s="50" t="s">
        <v>1147</v>
      </c>
      <c r="C487" s="53" t="s">
        <v>1148</v>
      </c>
      <c r="D487" s="52" t="s">
        <v>417</v>
      </c>
    </row>
    <row r="488" spans="2:4" ht="25.5">
      <c r="B488" s="50" t="s">
        <v>1149</v>
      </c>
      <c r="C488" s="53" t="s">
        <v>1150</v>
      </c>
      <c r="D488" s="52" t="s">
        <v>576</v>
      </c>
    </row>
    <row r="489" spans="2:4">
      <c r="B489" s="50" t="s">
        <v>1151</v>
      </c>
      <c r="C489" s="53" t="s">
        <v>1146</v>
      </c>
      <c r="D489" s="52" t="s">
        <v>413</v>
      </c>
    </row>
    <row r="490" spans="2:4">
      <c r="B490" s="50" t="s">
        <v>1152</v>
      </c>
      <c r="C490" s="53" t="s">
        <v>1153</v>
      </c>
      <c r="D490" s="52" t="s">
        <v>421</v>
      </c>
    </row>
    <row r="491" spans="2:4" ht="25.5">
      <c r="B491" s="50" t="s">
        <v>1154</v>
      </c>
      <c r="C491" s="53" t="s">
        <v>1155</v>
      </c>
      <c r="D491" s="52" t="s">
        <v>411</v>
      </c>
    </row>
    <row r="492" spans="2:4">
      <c r="B492" s="50" t="s">
        <v>265</v>
      </c>
      <c r="C492" s="53" t="s">
        <v>1156</v>
      </c>
      <c r="D492" s="52" t="s">
        <v>411</v>
      </c>
    </row>
    <row r="493" spans="2:4">
      <c r="B493" s="50" t="s">
        <v>1157</v>
      </c>
      <c r="C493" s="53" t="s">
        <v>1158</v>
      </c>
      <c r="D493" s="52" t="s">
        <v>417</v>
      </c>
    </row>
    <row r="494" spans="2:4" ht="25.5">
      <c r="B494" s="50" t="s">
        <v>1159</v>
      </c>
      <c r="C494" s="53" t="s">
        <v>1160</v>
      </c>
      <c r="D494" s="52" t="s">
        <v>576</v>
      </c>
    </row>
    <row r="495" spans="2:4">
      <c r="B495" s="50" t="s">
        <v>1161</v>
      </c>
      <c r="C495" s="53" t="s">
        <v>1156</v>
      </c>
      <c r="D495" s="52" t="s">
        <v>413</v>
      </c>
    </row>
    <row r="496" spans="2:4">
      <c r="B496" s="50" t="s">
        <v>1162</v>
      </c>
      <c r="C496" s="53" t="s">
        <v>1163</v>
      </c>
      <c r="D496" s="52" t="s">
        <v>421</v>
      </c>
    </row>
    <row r="497" spans="2:5">
      <c r="B497" s="50" t="s">
        <v>266</v>
      </c>
      <c r="C497" s="53" t="s">
        <v>1164</v>
      </c>
      <c r="D497" s="52" t="s">
        <v>1030</v>
      </c>
    </row>
    <row r="498" spans="2:5">
      <c r="B498" s="50" t="s">
        <v>1165</v>
      </c>
      <c r="C498" s="53" t="s">
        <v>1164</v>
      </c>
      <c r="D498" s="52" t="s">
        <v>1166</v>
      </c>
    </row>
    <row r="499" spans="2:5">
      <c r="B499" s="50" t="s">
        <v>267</v>
      </c>
      <c r="C499" s="53" t="s">
        <v>1167</v>
      </c>
      <c r="D499" s="52" t="s">
        <v>411</v>
      </c>
    </row>
    <row r="500" spans="2:5">
      <c r="B500" s="50" t="s">
        <v>1168</v>
      </c>
      <c r="C500" s="53" t="s">
        <v>1169</v>
      </c>
      <c r="D500" s="52" t="s">
        <v>417</v>
      </c>
    </row>
    <row r="501" spans="2:5">
      <c r="B501" s="50" t="s">
        <v>1170</v>
      </c>
      <c r="C501" s="53" t="s">
        <v>1167</v>
      </c>
      <c r="D501" s="52" t="s">
        <v>413</v>
      </c>
    </row>
    <row r="502" spans="2:5">
      <c r="B502" s="50" t="s">
        <v>1171</v>
      </c>
      <c r="C502" s="53" t="s">
        <v>1172</v>
      </c>
      <c r="D502" s="52" t="s">
        <v>421</v>
      </c>
    </row>
    <row r="503" spans="2:5">
      <c r="B503" s="50" t="s">
        <v>268</v>
      </c>
      <c r="C503" s="53" t="s">
        <v>1173</v>
      </c>
      <c r="D503" s="52" t="s">
        <v>411</v>
      </c>
    </row>
    <row r="504" spans="2:5">
      <c r="B504" s="50" t="s">
        <v>1174</v>
      </c>
      <c r="C504" s="53" t="s">
        <v>1175</v>
      </c>
      <c r="D504" s="52" t="s">
        <v>417</v>
      </c>
    </row>
    <row r="505" spans="2:5">
      <c r="B505" s="50" t="s">
        <v>1176</v>
      </c>
      <c r="C505" s="53" t="s">
        <v>1173</v>
      </c>
      <c r="D505" s="52" t="s">
        <v>413</v>
      </c>
    </row>
    <row r="506" spans="2:5">
      <c r="B506" s="50" t="s">
        <v>1177</v>
      </c>
      <c r="C506" s="53" t="s">
        <v>1178</v>
      </c>
      <c r="D506" s="52" t="s">
        <v>421</v>
      </c>
    </row>
    <row r="507" spans="2:5" ht="25.5">
      <c r="B507" s="50" t="s">
        <v>1179</v>
      </c>
      <c r="C507" s="53" t="s">
        <v>1180</v>
      </c>
      <c r="D507" s="52" t="s">
        <v>576</v>
      </c>
      <c r="E507" s="44"/>
    </row>
    <row r="508" spans="2:5">
      <c r="B508" s="50" t="s">
        <v>269</v>
      </c>
      <c r="C508" s="53" t="s">
        <v>1181</v>
      </c>
      <c r="D508" s="52" t="s">
        <v>411</v>
      </c>
    </row>
    <row r="509" spans="2:5">
      <c r="B509" s="50" t="s">
        <v>1182</v>
      </c>
      <c r="C509" s="53" t="s">
        <v>1183</v>
      </c>
      <c r="D509" s="52" t="s">
        <v>417</v>
      </c>
    </row>
    <row r="510" spans="2:5">
      <c r="B510" s="50" t="s">
        <v>1184</v>
      </c>
      <c r="C510" s="53" t="s">
        <v>1181</v>
      </c>
      <c r="D510" s="52" t="s">
        <v>413</v>
      </c>
    </row>
    <row r="511" spans="2:5">
      <c r="B511" s="50" t="s">
        <v>1185</v>
      </c>
      <c r="C511" s="53" t="s">
        <v>1186</v>
      </c>
      <c r="D511" s="52" t="s">
        <v>421</v>
      </c>
    </row>
    <row r="512" spans="2:5">
      <c r="B512" s="50" t="s">
        <v>270</v>
      </c>
      <c r="C512" s="53" t="s">
        <v>1187</v>
      </c>
      <c r="D512" s="52" t="s">
        <v>411</v>
      </c>
    </row>
    <row r="513" spans="2:4">
      <c r="B513" s="50" t="s">
        <v>1188</v>
      </c>
      <c r="C513" s="53" t="s">
        <v>1189</v>
      </c>
      <c r="D513" s="52" t="s">
        <v>417</v>
      </c>
    </row>
    <row r="514" spans="2:4">
      <c r="B514" s="50" t="s">
        <v>1190</v>
      </c>
      <c r="C514" s="53" t="s">
        <v>1187</v>
      </c>
      <c r="D514" s="52" t="s">
        <v>413</v>
      </c>
    </row>
    <row r="515" spans="2:4">
      <c r="B515" s="50" t="s">
        <v>1191</v>
      </c>
      <c r="C515" s="53" t="s">
        <v>1192</v>
      </c>
      <c r="D515" s="52" t="s">
        <v>421</v>
      </c>
    </row>
    <row r="516" spans="2:4">
      <c r="B516" s="50" t="s">
        <v>1193</v>
      </c>
      <c r="C516" s="53" t="s">
        <v>1194</v>
      </c>
      <c r="D516" s="52" t="s">
        <v>411</v>
      </c>
    </row>
    <row r="517" spans="2:4" ht="25.5">
      <c r="B517" s="50" t="s">
        <v>1195</v>
      </c>
      <c r="C517" s="53" t="s">
        <v>1196</v>
      </c>
      <c r="D517" s="52" t="s">
        <v>576</v>
      </c>
    </row>
    <row r="518" spans="2:4">
      <c r="B518" s="50" t="s">
        <v>1197</v>
      </c>
      <c r="C518" s="53" t="s">
        <v>1198</v>
      </c>
      <c r="D518" s="52" t="s">
        <v>411</v>
      </c>
    </row>
    <row r="519" spans="2:4">
      <c r="B519" s="50" t="s">
        <v>1199</v>
      </c>
      <c r="C519" s="53" t="s">
        <v>1200</v>
      </c>
      <c r="D519" s="52" t="s">
        <v>411</v>
      </c>
    </row>
    <row r="520" spans="2:4">
      <c r="B520" s="50" t="s">
        <v>271</v>
      </c>
      <c r="C520" s="53" t="s">
        <v>1201</v>
      </c>
      <c r="D520" s="52" t="s">
        <v>411</v>
      </c>
    </row>
    <row r="521" spans="2:4">
      <c r="B521" s="50" t="s">
        <v>1202</v>
      </c>
      <c r="C521" s="53" t="s">
        <v>1203</v>
      </c>
      <c r="D521" s="52" t="s">
        <v>417</v>
      </c>
    </row>
    <row r="522" spans="2:4">
      <c r="B522" s="50" t="s">
        <v>1204</v>
      </c>
      <c r="C522" s="53" t="s">
        <v>1201</v>
      </c>
      <c r="D522" s="52" t="s">
        <v>413</v>
      </c>
    </row>
    <row r="523" spans="2:4">
      <c r="B523" s="50" t="s">
        <v>1205</v>
      </c>
      <c r="C523" s="53" t="s">
        <v>1206</v>
      </c>
      <c r="D523" s="52" t="s">
        <v>421</v>
      </c>
    </row>
    <row r="524" spans="2:4">
      <c r="B524" s="50" t="s">
        <v>272</v>
      </c>
      <c r="C524" s="53" t="s">
        <v>1207</v>
      </c>
      <c r="D524" s="52" t="s">
        <v>411</v>
      </c>
    </row>
    <row r="525" spans="2:4">
      <c r="B525" s="50" t="s">
        <v>1208</v>
      </c>
      <c r="C525" s="53" t="s">
        <v>1209</v>
      </c>
      <c r="D525" s="52" t="s">
        <v>417</v>
      </c>
    </row>
    <row r="526" spans="2:4">
      <c r="B526" s="50" t="s">
        <v>1210</v>
      </c>
      <c r="C526" s="53" t="s">
        <v>1207</v>
      </c>
      <c r="D526" s="52" t="s">
        <v>413</v>
      </c>
    </row>
    <row r="527" spans="2:4">
      <c r="B527" s="50" t="s">
        <v>1211</v>
      </c>
      <c r="C527" s="53" t="s">
        <v>1212</v>
      </c>
      <c r="D527" s="52" t="s">
        <v>421</v>
      </c>
    </row>
    <row r="528" spans="2:4">
      <c r="B528" s="50" t="s">
        <v>1213</v>
      </c>
      <c r="C528" s="53" t="s">
        <v>1214</v>
      </c>
      <c r="D528" s="52" t="s">
        <v>417</v>
      </c>
    </row>
    <row r="529" spans="2:4">
      <c r="B529" s="50" t="s">
        <v>1215</v>
      </c>
      <c r="C529" s="53" t="s">
        <v>1216</v>
      </c>
      <c r="D529" s="52" t="s">
        <v>421</v>
      </c>
    </row>
    <row r="530" spans="2:4" ht="25.5">
      <c r="B530" s="50" t="s">
        <v>1217</v>
      </c>
      <c r="C530" s="53" t="s">
        <v>1218</v>
      </c>
      <c r="D530" s="52" t="s">
        <v>411</v>
      </c>
    </row>
    <row r="531" spans="2:4">
      <c r="B531" s="50" t="s">
        <v>1219</v>
      </c>
      <c r="C531" s="53" t="s">
        <v>1220</v>
      </c>
      <c r="D531" s="52" t="s">
        <v>417</v>
      </c>
    </row>
    <row r="532" spans="2:4">
      <c r="B532" s="50" t="s">
        <v>1221</v>
      </c>
      <c r="C532" s="53" t="s">
        <v>1222</v>
      </c>
      <c r="D532" s="52" t="s">
        <v>421</v>
      </c>
    </row>
    <row r="533" spans="2:4" ht="25.5">
      <c r="B533" s="50" t="s">
        <v>1223</v>
      </c>
      <c r="C533" s="53" t="s">
        <v>1224</v>
      </c>
      <c r="D533" s="52" t="s">
        <v>411</v>
      </c>
    </row>
    <row r="534" spans="2:4">
      <c r="B534" s="50" t="s">
        <v>1225</v>
      </c>
      <c r="C534" s="53" t="s">
        <v>1226</v>
      </c>
      <c r="D534" s="52" t="s">
        <v>417</v>
      </c>
    </row>
    <row r="535" spans="2:4">
      <c r="B535" s="50" t="s">
        <v>1227</v>
      </c>
      <c r="C535" s="53" t="s">
        <v>1228</v>
      </c>
      <c r="D535" s="52" t="s">
        <v>421</v>
      </c>
    </row>
    <row r="536" spans="2:4">
      <c r="B536" s="50" t="s">
        <v>1229</v>
      </c>
      <c r="C536" s="53" t="s">
        <v>1230</v>
      </c>
      <c r="D536" s="52" t="s">
        <v>417</v>
      </c>
    </row>
    <row r="537" spans="2:4">
      <c r="B537" s="50" t="s">
        <v>1231</v>
      </c>
      <c r="C537" s="53" t="s">
        <v>1232</v>
      </c>
      <c r="D537" s="52" t="s">
        <v>421</v>
      </c>
    </row>
    <row r="538" spans="2:4" ht="25.5">
      <c r="B538" s="50" t="s">
        <v>1233</v>
      </c>
      <c r="C538" s="53" t="s">
        <v>1234</v>
      </c>
      <c r="D538" s="52" t="s">
        <v>411</v>
      </c>
    </row>
    <row r="539" spans="2:4">
      <c r="B539" s="50" t="s">
        <v>1235</v>
      </c>
      <c r="C539" s="53" t="s">
        <v>1236</v>
      </c>
      <c r="D539" s="52" t="s">
        <v>417</v>
      </c>
    </row>
    <row r="540" spans="2:4">
      <c r="B540" s="50" t="s">
        <v>1237</v>
      </c>
      <c r="C540" s="53" t="s">
        <v>1238</v>
      </c>
      <c r="D540" s="52" t="s">
        <v>421</v>
      </c>
    </row>
    <row r="541" spans="2:4" ht="25.5">
      <c r="B541" s="50" t="s">
        <v>1239</v>
      </c>
      <c r="C541" s="53" t="s">
        <v>1240</v>
      </c>
      <c r="D541" s="52" t="s">
        <v>411</v>
      </c>
    </row>
    <row r="542" spans="2:4" ht="25.5">
      <c r="B542" s="50" t="s">
        <v>1241</v>
      </c>
      <c r="C542" s="53" t="s">
        <v>1242</v>
      </c>
      <c r="D542" s="52" t="s">
        <v>411</v>
      </c>
    </row>
    <row r="543" spans="2:4">
      <c r="B543" s="50" t="s">
        <v>1243</v>
      </c>
      <c r="C543" s="53" t="s">
        <v>1244</v>
      </c>
      <c r="D543" s="52" t="s">
        <v>417</v>
      </c>
    </row>
    <row r="544" spans="2:4">
      <c r="B544" s="50" t="s">
        <v>1245</v>
      </c>
      <c r="C544" s="53" t="s">
        <v>1246</v>
      </c>
      <c r="D544" s="52" t="s">
        <v>421</v>
      </c>
    </row>
    <row r="545" spans="1:4">
      <c r="B545" s="50" t="s">
        <v>1247</v>
      </c>
      <c r="C545" s="53" t="s">
        <v>1248</v>
      </c>
      <c r="D545" s="52" t="s">
        <v>417</v>
      </c>
    </row>
    <row r="546" spans="1:4">
      <c r="A546" s="44"/>
      <c r="B546" s="50" t="s">
        <v>1249</v>
      </c>
      <c r="C546" s="53" t="s">
        <v>1250</v>
      </c>
      <c r="D546" s="52" t="s">
        <v>421</v>
      </c>
    </row>
    <row r="547" spans="1:4">
      <c r="A547" s="44"/>
      <c r="B547" s="50" t="s">
        <v>273</v>
      </c>
      <c r="C547" s="53" t="s">
        <v>1251</v>
      </c>
      <c r="D547" s="52" t="s">
        <v>411</v>
      </c>
    </row>
    <row r="548" spans="1:4">
      <c r="A548" s="44"/>
      <c r="B548" s="50" t="s">
        <v>1252</v>
      </c>
      <c r="C548" s="53" t="s">
        <v>1251</v>
      </c>
      <c r="D548" s="52" t="s">
        <v>413</v>
      </c>
    </row>
    <row r="549" spans="1:4">
      <c r="A549" s="44"/>
      <c r="B549" s="50" t="s">
        <v>274</v>
      </c>
      <c r="C549" s="53" t="s">
        <v>1253</v>
      </c>
      <c r="D549" s="52" t="s">
        <v>411</v>
      </c>
    </row>
    <row r="550" spans="1:4">
      <c r="A550" s="44"/>
      <c r="B550" s="50" t="s">
        <v>275</v>
      </c>
      <c r="C550" s="53" t="s">
        <v>1254</v>
      </c>
      <c r="D550" s="52" t="s">
        <v>411</v>
      </c>
    </row>
    <row r="551" spans="1:4">
      <c r="A551" s="44"/>
      <c r="B551" s="50" t="s">
        <v>1255</v>
      </c>
      <c r="C551" s="53" t="s">
        <v>1254</v>
      </c>
      <c r="D551" s="52" t="s">
        <v>413</v>
      </c>
    </row>
    <row r="552" spans="1:4">
      <c r="A552" s="44"/>
      <c r="B552" s="50" t="s">
        <v>276</v>
      </c>
      <c r="C552" s="53" t="s">
        <v>1256</v>
      </c>
      <c r="D552" s="52" t="s">
        <v>411</v>
      </c>
    </row>
    <row r="553" spans="1:4">
      <c r="A553" s="44"/>
      <c r="B553" s="50" t="s">
        <v>1257</v>
      </c>
      <c r="C553" s="53" t="s">
        <v>1256</v>
      </c>
      <c r="D553" s="52" t="s">
        <v>413</v>
      </c>
    </row>
    <row r="554" spans="1:4">
      <c r="A554" s="44"/>
      <c r="B554" s="50" t="s">
        <v>277</v>
      </c>
      <c r="C554" s="53" t="s">
        <v>1258</v>
      </c>
      <c r="D554" s="52" t="s">
        <v>411</v>
      </c>
    </row>
    <row r="555" spans="1:4">
      <c r="A555" s="44"/>
      <c r="B555" s="50" t="s">
        <v>1259</v>
      </c>
      <c r="C555" s="53" t="s">
        <v>1260</v>
      </c>
      <c r="D555" s="52" t="s">
        <v>417</v>
      </c>
    </row>
    <row r="556" spans="1:4">
      <c r="A556" s="44"/>
      <c r="B556" s="50" t="s">
        <v>1261</v>
      </c>
      <c r="C556" s="53" t="s">
        <v>1258</v>
      </c>
      <c r="D556" s="52" t="s">
        <v>413</v>
      </c>
    </row>
    <row r="557" spans="1:4">
      <c r="A557" s="44"/>
      <c r="B557" s="50" t="s">
        <v>1262</v>
      </c>
      <c r="C557" s="53" t="s">
        <v>1263</v>
      </c>
      <c r="D557" s="52" t="s">
        <v>421</v>
      </c>
    </row>
    <row r="558" spans="1:4">
      <c r="A558" s="44"/>
      <c r="B558" s="50" t="s">
        <v>278</v>
      </c>
      <c r="C558" s="53" t="s">
        <v>1264</v>
      </c>
      <c r="D558" s="52" t="s">
        <v>411</v>
      </c>
    </row>
    <row r="559" spans="1:4">
      <c r="A559" s="44"/>
      <c r="B559" s="50" t="s">
        <v>1265</v>
      </c>
      <c r="C559" s="53" t="s">
        <v>1266</v>
      </c>
      <c r="D559" s="52" t="s">
        <v>417</v>
      </c>
    </row>
    <row r="560" spans="1:4">
      <c r="A560" s="44"/>
      <c r="B560" s="50" t="s">
        <v>1267</v>
      </c>
      <c r="C560" s="53" t="s">
        <v>1264</v>
      </c>
      <c r="D560" s="52" t="s">
        <v>413</v>
      </c>
    </row>
    <row r="561" spans="1:4">
      <c r="A561" s="44"/>
      <c r="B561" s="50" t="s">
        <v>1268</v>
      </c>
      <c r="C561" s="53" t="s">
        <v>1269</v>
      </c>
      <c r="D561" s="52" t="s">
        <v>421</v>
      </c>
    </row>
    <row r="562" spans="1:4">
      <c r="A562" s="44"/>
      <c r="B562" s="50" t="s">
        <v>279</v>
      </c>
      <c r="C562" s="53" t="s">
        <v>1270</v>
      </c>
      <c r="D562" s="52" t="s">
        <v>411</v>
      </c>
    </row>
    <row r="563" spans="1:4">
      <c r="A563" s="44"/>
      <c r="B563" s="50" t="s">
        <v>1271</v>
      </c>
      <c r="C563" s="53" t="s">
        <v>1272</v>
      </c>
      <c r="D563" s="52" t="s">
        <v>417</v>
      </c>
    </row>
    <row r="564" spans="1:4">
      <c r="A564" s="44"/>
      <c r="B564" s="50" t="s">
        <v>1273</v>
      </c>
      <c r="C564" s="53" t="s">
        <v>1270</v>
      </c>
      <c r="D564" s="52" t="s">
        <v>413</v>
      </c>
    </row>
    <row r="565" spans="1:4">
      <c r="A565" s="44"/>
      <c r="B565" s="50" t="s">
        <v>1274</v>
      </c>
      <c r="C565" s="53" t="s">
        <v>1275</v>
      </c>
      <c r="D565" s="52" t="s">
        <v>421</v>
      </c>
    </row>
    <row r="566" spans="1:4">
      <c r="A566" s="44"/>
      <c r="B566" s="50" t="s">
        <v>1276</v>
      </c>
      <c r="C566" s="53" t="s">
        <v>1277</v>
      </c>
      <c r="D566" s="52" t="s">
        <v>411</v>
      </c>
    </row>
    <row r="567" spans="1:4">
      <c r="A567" s="44"/>
      <c r="B567" s="50" t="s">
        <v>280</v>
      </c>
      <c r="C567" s="53" t="s">
        <v>1278</v>
      </c>
      <c r="D567" s="52" t="s">
        <v>411</v>
      </c>
    </row>
    <row r="568" spans="1:4">
      <c r="A568" s="44"/>
      <c r="B568" s="50" t="s">
        <v>1279</v>
      </c>
      <c r="C568" s="53" t="s">
        <v>1280</v>
      </c>
      <c r="D568" s="52" t="s">
        <v>417</v>
      </c>
    </row>
    <row r="569" spans="1:4">
      <c r="A569" s="44"/>
      <c r="B569" s="50" t="s">
        <v>1281</v>
      </c>
      <c r="C569" s="53" t="s">
        <v>1278</v>
      </c>
      <c r="D569" s="52" t="s">
        <v>413</v>
      </c>
    </row>
    <row r="570" spans="1:4">
      <c r="A570" s="44"/>
      <c r="B570" s="50" t="s">
        <v>1282</v>
      </c>
      <c r="C570" s="53" t="s">
        <v>1283</v>
      </c>
      <c r="D570" s="52" t="s">
        <v>421</v>
      </c>
    </row>
    <row r="571" spans="1:4">
      <c r="A571" s="44"/>
      <c r="B571" s="50" t="s">
        <v>1284</v>
      </c>
      <c r="C571" s="53" t="s">
        <v>1285</v>
      </c>
      <c r="D571" s="52" t="s">
        <v>411</v>
      </c>
    </row>
    <row r="572" spans="1:4">
      <c r="A572" s="44"/>
      <c r="B572" s="50" t="s">
        <v>1286</v>
      </c>
      <c r="C572" s="53" t="s">
        <v>1287</v>
      </c>
      <c r="D572" s="52" t="s">
        <v>411</v>
      </c>
    </row>
    <row r="573" spans="1:4">
      <c r="A573" s="44"/>
      <c r="B573" s="50" t="s">
        <v>281</v>
      </c>
      <c r="C573" s="53" t="s">
        <v>1288</v>
      </c>
      <c r="D573" s="52" t="s">
        <v>411</v>
      </c>
    </row>
    <row r="574" spans="1:4">
      <c r="A574" s="44"/>
      <c r="B574" s="50" t="s">
        <v>1289</v>
      </c>
      <c r="C574" s="53" t="s">
        <v>1290</v>
      </c>
      <c r="D574" s="52" t="s">
        <v>417</v>
      </c>
    </row>
    <row r="575" spans="1:4">
      <c r="A575" s="44"/>
      <c r="B575" s="50" t="s">
        <v>1291</v>
      </c>
      <c r="C575" s="53" t="s">
        <v>1288</v>
      </c>
      <c r="D575" s="52" t="s">
        <v>413</v>
      </c>
    </row>
    <row r="576" spans="1:4">
      <c r="A576" s="44"/>
      <c r="B576" s="50" t="s">
        <v>1292</v>
      </c>
      <c r="C576" s="53" t="s">
        <v>1293</v>
      </c>
      <c r="D576" s="52" t="s">
        <v>421</v>
      </c>
    </row>
    <row r="577" spans="1:4">
      <c r="A577" s="44"/>
      <c r="B577" s="50" t="s">
        <v>282</v>
      </c>
      <c r="C577" s="53" t="s">
        <v>1294</v>
      </c>
      <c r="D577" s="52" t="s">
        <v>411</v>
      </c>
    </row>
    <row r="578" spans="1:4">
      <c r="A578" s="44"/>
      <c r="B578" s="50" t="s">
        <v>1295</v>
      </c>
      <c r="C578" s="53" t="s">
        <v>1296</v>
      </c>
      <c r="D578" s="52" t="s">
        <v>417</v>
      </c>
    </row>
    <row r="579" spans="1:4">
      <c r="A579" s="44"/>
      <c r="B579" s="50" t="s">
        <v>1297</v>
      </c>
      <c r="C579" s="53" t="s">
        <v>1294</v>
      </c>
      <c r="D579" s="52" t="s">
        <v>413</v>
      </c>
    </row>
    <row r="580" spans="1:4">
      <c r="A580" s="44"/>
      <c r="B580" s="50" t="s">
        <v>1298</v>
      </c>
      <c r="C580" s="53" t="s">
        <v>1299</v>
      </c>
      <c r="D580" s="52" t="s">
        <v>421</v>
      </c>
    </row>
    <row r="581" spans="1:4">
      <c r="A581" s="44"/>
      <c r="B581" s="50" t="s">
        <v>283</v>
      </c>
      <c r="C581" s="53" t="s">
        <v>1300</v>
      </c>
      <c r="D581" s="52" t="s">
        <v>411</v>
      </c>
    </row>
    <row r="582" spans="1:4">
      <c r="A582" s="44"/>
      <c r="B582" s="50" t="s">
        <v>1301</v>
      </c>
      <c r="C582" s="53" t="s">
        <v>1300</v>
      </c>
      <c r="D582" s="52" t="s">
        <v>413</v>
      </c>
    </row>
    <row r="583" spans="1:4">
      <c r="B583" s="50" t="s">
        <v>284</v>
      </c>
      <c r="C583" s="53" t="s">
        <v>1302</v>
      </c>
      <c r="D583" s="52" t="s">
        <v>411</v>
      </c>
    </row>
    <row r="584" spans="1:4">
      <c r="B584" s="50" t="s">
        <v>1303</v>
      </c>
      <c r="C584" s="53" t="s">
        <v>1302</v>
      </c>
      <c r="D584" s="52" t="s">
        <v>413</v>
      </c>
    </row>
    <row r="585" spans="1:4">
      <c r="B585" s="50" t="s">
        <v>1304</v>
      </c>
      <c r="C585" s="53" t="s">
        <v>1305</v>
      </c>
      <c r="D585" s="52" t="s">
        <v>411</v>
      </c>
    </row>
    <row r="586" spans="1:4">
      <c r="B586" s="50" t="s">
        <v>285</v>
      </c>
      <c r="C586" s="53" t="s">
        <v>1306</v>
      </c>
      <c r="D586" s="52" t="s">
        <v>411</v>
      </c>
    </row>
    <row r="587" spans="1:4">
      <c r="B587" s="50" t="s">
        <v>286</v>
      </c>
      <c r="C587" s="62" t="s">
        <v>1307</v>
      </c>
      <c r="D587" s="52" t="s">
        <v>411</v>
      </c>
    </row>
    <row r="588" spans="1:4">
      <c r="B588" s="50" t="s">
        <v>1308</v>
      </c>
      <c r="C588" s="53" t="s">
        <v>1309</v>
      </c>
      <c r="D588" s="52" t="s">
        <v>417</v>
      </c>
    </row>
    <row r="589" spans="1:4">
      <c r="B589" s="50" t="s">
        <v>1310</v>
      </c>
      <c r="C589" s="53" t="s">
        <v>1307</v>
      </c>
      <c r="D589" s="52" t="s">
        <v>413</v>
      </c>
    </row>
    <row r="590" spans="1:4">
      <c r="B590" s="50" t="s">
        <v>1311</v>
      </c>
      <c r="C590" s="53" t="s">
        <v>1312</v>
      </c>
      <c r="D590" s="52" t="s">
        <v>421</v>
      </c>
    </row>
    <row r="591" spans="1:4">
      <c r="B591" s="50" t="s">
        <v>287</v>
      </c>
      <c r="C591" s="53" t="s">
        <v>1313</v>
      </c>
      <c r="D591" s="52" t="s">
        <v>411</v>
      </c>
    </row>
    <row r="592" spans="1:4">
      <c r="B592" s="50" t="s">
        <v>1314</v>
      </c>
      <c r="C592" s="53" t="s">
        <v>1315</v>
      </c>
      <c r="D592" s="52" t="s">
        <v>417</v>
      </c>
    </row>
    <row r="593" spans="2:4">
      <c r="B593" s="50" t="s">
        <v>1316</v>
      </c>
      <c r="C593" s="53" t="s">
        <v>1313</v>
      </c>
      <c r="D593" s="52" t="s">
        <v>413</v>
      </c>
    </row>
    <row r="594" spans="2:4">
      <c r="B594" s="50" t="s">
        <v>1317</v>
      </c>
      <c r="C594" s="53" t="s">
        <v>1318</v>
      </c>
      <c r="D594" s="52" t="s">
        <v>421</v>
      </c>
    </row>
    <row r="595" spans="2:4">
      <c r="B595" s="50" t="s">
        <v>288</v>
      </c>
      <c r="C595" s="53" t="s">
        <v>1319</v>
      </c>
      <c r="D595" s="52" t="s">
        <v>411</v>
      </c>
    </row>
    <row r="596" spans="2:4">
      <c r="B596" s="50" t="s">
        <v>1320</v>
      </c>
      <c r="C596" s="53" t="s">
        <v>1321</v>
      </c>
      <c r="D596" s="52" t="s">
        <v>417</v>
      </c>
    </row>
    <row r="597" spans="2:4">
      <c r="B597" s="50" t="s">
        <v>1322</v>
      </c>
      <c r="C597" s="53" t="s">
        <v>1319</v>
      </c>
      <c r="D597" s="52" t="s">
        <v>413</v>
      </c>
    </row>
    <row r="598" spans="2:4">
      <c r="B598" s="50" t="s">
        <v>1323</v>
      </c>
      <c r="C598" s="53" t="s">
        <v>1324</v>
      </c>
      <c r="D598" s="52" t="s">
        <v>421</v>
      </c>
    </row>
    <row r="599" spans="2:4">
      <c r="B599" s="50" t="s">
        <v>289</v>
      </c>
      <c r="C599" s="53" t="s">
        <v>1325</v>
      </c>
      <c r="D599" s="52" t="s">
        <v>411</v>
      </c>
    </row>
    <row r="600" spans="2:4">
      <c r="B600" s="50" t="s">
        <v>1326</v>
      </c>
      <c r="C600" s="53" t="s">
        <v>1327</v>
      </c>
      <c r="D600" s="52" t="s">
        <v>417</v>
      </c>
    </row>
    <row r="601" spans="2:4">
      <c r="B601" s="50" t="s">
        <v>1328</v>
      </c>
      <c r="C601" s="53" t="s">
        <v>1325</v>
      </c>
      <c r="D601" s="52" t="s">
        <v>413</v>
      </c>
    </row>
    <row r="602" spans="2:4">
      <c r="B602" s="50" t="s">
        <v>1329</v>
      </c>
      <c r="C602" s="53" t="s">
        <v>1330</v>
      </c>
      <c r="D602" s="52" t="s">
        <v>421</v>
      </c>
    </row>
    <row r="603" spans="2:4">
      <c r="B603" s="50" t="s">
        <v>1331</v>
      </c>
      <c r="C603" s="53" t="s">
        <v>1332</v>
      </c>
      <c r="D603" s="52" t="s">
        <v>411</v>
      </c>
    </row>
    <row r="604" spans="2:4">
      <c r="B604" s="50" t="s">
        <v>1333</v>
      </c>
      <c r="C604" s="53" t="s">
        <v>1334</v>
      </c>
      <c r="D604" s="52" t="s">
        <v>411</v>
      </c>
    </row>
    <row r="605" spans="2:4">
      <c r="B605" s="50" t="s">
        <v>1335</v>
      </c>
      <c r="C605" s="53" t="s">
        <v>1336</v>
      </c>
      <c r="D605" s="52" t="s">
        <v>411</v>
      </c>
    </row>
    <row r="606" spans="2:4">
      <c r="B606" s="50" t="s">
        <v>290</v>
      </c>
      <c r="C606" s="53" t="s">
        <v>1337</v>
      </c>
      <c r="D606" s="52" t="s">
        <v>411</v>
      </c>
    </row>
    <row r="607" spans="2:4">
      <c r="B607" s="50" t="s">
        <v>1338</v>
      </c>
      <c r="C607" s="53" t="s">
        <v>1339</v>
      </c>
      <c r="D607" s="52" t="s">
        <v>417</v>
      </c>
    </row>
    <row r="608" spans="2:4">
      <c r="B608" s="50" t="s">
        <v>1340</v>
      </c>
      <c r="C608" s="53" t="s">
        <v>1337</v>
      </c>
      <c r="D608" s="52" t="s">
        <v>413</v>
      </c>
    </row>
    <row r="609" spans="2:4">
      <c r="B609" s="50" t="s">
        <v>1341</v>
      </c>
      <c r="C609" s="53" t="s">
        <v>1342</v>
      </c>
      <c r="D609" s="52" t="s">
        <v>421</v>
      </c>
    </row>
    <row r="610" spans="2:4">
      <c r="B610" s="50" t="s">
        <v>291</v>
      </c>
      <c r="C610" s="53" t="s">
        <v>1343</v>
      </c>
      <c r="D610" s="52" t="s">
        <v>411</v>
      </c>
    </row>
    <row r="611" spans="2:4">
      <c r="B611" s="50" t="s">
        <v>1344</v>
      </c>
      <c r="C611" s="53" t="s">
        <v>1345</v>
      </c>
      <c r="D611" s="52" t="s">
        <v>417</v>
      </c>
    </row>
    <row r="612" spans="2:4">
      <c r="B612" s="54" t="s">
        <v>1346</v>
      </c>
      <c r="C612" s="56" t="s">
        <v>1343</v>
      </c>
      <c r="D612" s="57" t="s">
        <v>413</v>
      </c>
    </row>
    <row r="613" spans="2:4">
      <c r="B613" s="50" t="s">
        <v>1347</v>
      </c>
      <c r="C613" s="53" t="s">
        <v>1348</v>
      </c>
      <c r="D613" s="52" t="s">
        <v>421</v>
      </c>
    </row>
    <row r="614" spans="2:4">
      <c r="B614" s="50" t="s">
        <v>292</v>
      </c>
      <c r="C614" s="53" t="s">
        <v>1349</v>
      </c>
      <c r="D614" s="52" t="s">
        <v>411</v>
      </c>
    </row>
    <row r="615" spans="2:4">
      <c r="B615" s="50" t="s">
        <v>293</v>
      </c>
      <c r="C615" s="53" t="s">
        <v>1350</v>
      </c>
      <c r="D615" s="52" t="s">
        <v>411</v>
      </c>
    </row>
    <row r="616" spans="2:4">
      <c r="B616" s="50" t="s">
        <v>294</v>
      </c>
      <c r="C616" s="53" t="s">
        <v>1351</v>
      </c>
      <c r="D616" s="52" t="s">
        <v>411</v>
      </c>
    </row>
    <row r="617" spans="2:4">
      <c r="B617" s="50" t="s">
        <v>295</v>
      </c>
      <c r="C617" s="53" t="s">
        <v>1352</v>
      </c>
      <c r="D617" s="52" t="s">
        <v>411</v>
      </c>
    </row>
    <row r="618" spans="2:4">
      <c r="B618" s="50" t="s">
        <v>296</v>
      </c>
      <c r="C618" s="53" t="s">
        <v>1353</v>
      </c>
      <c r="D618" s="52" t="s">
        <v>411</v>
      </c>
    </row>
    <row r="619" spans="2:4">
      <c r="B619" s="50" t="s">
        <v>297</v>
      </c>
      <c r="C619" s="53" t="s">
        <v>1354</v>
      </c>
      <c r="D619" s="52" t="s">
        <v>411</v>
      </c>
    </row>
    <row r="620" spans="2:4">
      <c r="B620" s="50" t="s">
        <v>1355</v>
      </c>
      <c r="C620" s="53" t="s">
        <v>1354</v>
      </c>
      <c r="D620" s="52" t="s">
        <v>413</v>
      </c>
    </row>
    <row r="621" spans="2:4">
      <c r="B621" s="50" t="s">
        <v>298</v>
      </c>
      <c r="C621" s="53" t="s">
        <v>1356</v>
      </c>
      <c r="D621" s="52" t="s">
        <v>411</v>
      </c>
    </row>
    <row r="622" spans="2:4">
      <c r="B622" s="50" t="s">
        <v>1357</v>
      </c>
      <c r="C622" s="53" t="s">
        <v>1358</v>
      </c>
      <c r="D622" s="52" t="s">
        <v>417</v>
      </c>
    </row>
    <row r="623" spans="2:4">
      <c r="B623" s="50" t="s">
        <v>1359</v>
      </c>
      <c r="C623" s="53" t="s">
        <v>1356</v>
      </c>
      <c r="D623" s="52" t="s">
        <v>413</v>
      </c>
    </row>
    <row r="624" spans="2:4">
      <c r="B624" s="50" t="s">
        <v>1360</v>
      </c>
      <c r="C624" s="53" t="s">
        <v>1361</v>
      </c>
      <c r="D624" s="52" t="s">
        <v>421</v>
      </c>
    </row>
    <row r="625" spans="2:5">
      <c r="B625" s="50" t="s">
        <v>299</v>
      </c>
      <c r="C625" s="53" t="s">
        <v>1362</v>
      </c>
      <c r="D625" s="52" t="s">
        <v>411</v>
      </c>
    </row>
    <row r="626" spans="2:5">
      <c r="B626" s="50" t="s">
        <v>1363</v>
      </c>
      <c r="C626" s="53" t="s">
        <v>1364</v>
      </c>
      <c r="D626" s="52" t="s">
        <v>638</v>
      </c>
    </row>
    <row r="627" spans="2:5">
      <c r="B627" s="50" t="s">
        <v>300</v>
      </c>
      <c r="C627" s="53" t="s">
        <v>1365</v>
      </c>
      <c r="D627" s="52" t="s">
        <v>411</v>
      </c>
    </row>
    <row r="628" spans="2:5">
      <c r="B628" s="50" t="s">
        <v>1366</v>
      </c>
      <c r="C628" s="53" t="s">
        <v>1367</v>
      </c>
      <c r="D628" s="52" t="s">
        <v>638</v>
      </c>
    </row>
    <row r="629" spans="2:5">
      <c r="B629" s="50" t="s">
        <v>301</v>
      </c>
      <c r="C629" s="53" t="s">
        <v>1368</v>
      </c>
      <c r="D629" s="52" t="s">
        <v>411</v>
      </c>
    </row>
    <row r="630" spans="2:5">
      <c r="B630" s="50" t="s">
        <v>1369</v>
      </c>
      <c r="C630" s="53" t="s">
        <v>1370</v>
      </c>
      <c r="D630" s="52" t="s">
        <v>638</v>
      </c>
    </row>
    <row r="631" spans="2:5" ht="25.5">
      <c r="B631" s="50" t="s">
        <v>1371</v>
      </c>
      <c r="C631" s="53" t="s">
        <v>1372</v>
      </c>
      <c r="D631" s="52" t="s">
        <v>638</v>
      </c>
    </row>
    <row r="632" spans="2:5">
      <c r="B632" s="50" t="s">
        <v>302</v>
      </c>
      <c r="C632" s="53" t="s">
        <v>1373</v>
      </c>
      <c r="D632" s="52" t="s">
        <v>411</v>
      </c>
    </row>
    <row r="633" spans="2:5">
      <c r="B633" s="50" t="s">
        <v>303</v>
      </c>
      <c r="C633" s="53" t="s">
        <v>1374</v>
      </c>
      <c r="D633" s="52" t="s">
        <v>411</v>
      </c>
    </row>
    <row r="634" spans="2:5">
      <c r="B634" s="50" t="s">
        <v>1375</v>
      </c>
      <c r="C634" s="53" t="s">
        <v>1376</v>
      </c>
      <c r="D634" s="52" t="s">
        <v>638</v>
      </c>
    </row>
    <row r="635" spans="2:5">
      <c r="B635" s="50" t="s">
        <v>304</v>
      </c>
      <c r="C635" s="53" t="s">
        <v>1377</v>
      </c>
      <c r="D635" s="52" t="s">
        <v>411</v>
      </c>
    </row>
    <row r="636" spans="2:5">
      <c r="B636" s="50" t="s">
        <v>305</v>
      </c>
      <c r="C636" s="53" t="s">
        <v>1378</v>
      </c>
      <c r="D636" s="52" t="s">
        <v>411</v>
      </c>
    </row>
    <row r="637" spans="2:5">
      <c r="B637" s="50" t="s">
        <v>1379</v>
      </c>
      <c r="C637" s="53" t="s">
        <v>1380</v>
      </c>
      <c r="D637" s="52" t="s">
        <v>417</v>
      </c>
    </row>
    <row r="638" spans="2:5">
      <c r="B638" s="50" t="s">
        <v>1381</v>
      </c>
      <c r="C638" s="53" t="s">
        <v>1382</v>
      </c>
      <c r="D638" s="52" t="s">
        <v>421</v>
      </c>
    </row>
    <row r="639" spans="2:5">
      <c r="B639" s="50" t="s">
        <v>306</v>
      </c>
      <c r="C639" s="53" t="s">
        <v>1383</v>
      </c>
      <c r="D639" s="52" t="s">
        <v>1030</v>
      </c>
    </row>
    <row r="640" spans="2:5">
      <c r="B640" s="50" t="s">
        <v>307</v>
      </c>
      <c r="C640" s="53" t="s">
        <v>1384</v>
      </c>
      <c r="D640" s="52" t="s">
        <v>411</v>
      </c>
      <c r="E640" s="44"/>
    </row>
    <row r="641" spans="1:9">
      <c r="B641" s="50" t="s">
        <v>1385</v>
      </c>
      <c r="C641" s="53" t="s">
        <v>1386</v>
      </c>
      <c r="D641" s="52" t="s">
        <v>417</v>
      </c>
      <c r="E641" s="44"/>
      <c r="G641" s="44"/>
      <c r="H641" s="44"/>
      <c r="I641" s="44"/>
    </row>
    <row r="642" spans="1:9">
      <c r="B642" s="50" t="s">
        <v>1387</v>
      </c>
      <c r="C642" s="53" t="s">
        <v>1388</v>
      </c>
      <c r="D642" s="52" t="s">
        <v>421</v>
      </c>
      <c r="E642" s="44"/>
      <c r="G642" s="44"/>
      <c r="H642" s="44"/>
      <c r="I642" s="44"/>
    </row>
    <row r="643" spans="1:9" s="44" customFormat="1">
      <c r="A643" s="42"/>
      <c r="B643" s="50" t="s">
        <v>308</v>
      </c>
      <c r="C643" s="53" t="s">
        <v>1389</v>
      </c>
      <c r="D643" s="52" t="s">
        <v>1030</v>
      </c>
      <c r="F643" s="42"/>
      <c r="G643" s="42"/>
      <c r="H643" s="42"/>
      <c r="I643" s="42"/>
    </row>
    <row r="644" spans="1:9">
      <c r="B644" s="50" t="s">
        <v>309</v>
      </c>
      <c r="C644" s="53" t="s">
        <v>1390</v>
      </c>
      <c r="D644" s="52" t="s">
        <v>411</v>
      </c>
      <c r="E644" s="44"/>
    </row>
    <row r="645" spans="1:9">
      <c r="B645" s="50" t="s">
        <v>1391</v>
      </c>
      <c r="C645" s="53" t="s">
        <v>1392</v>
      </c>
      <c r="D645" s="52" t="s">
        <v>1393</v>
      </c>
    </row>
    <row r="646" spans="1:9">
      <c r="B646" s="50" t="s">
        <v>310</v>
      </c>
      <c r="C646" s="53" t="s">
        <v>1394</v>
      </c>
      <c r="D646" s="52" t="s">
        <v>411</v>
      </c>
    </row>
    <row r="647" spans="1:9">
      <c r="A647" s="44"/>
      <c r="B647" s="50" t="s">
        <v>1395</v>
      </c>
      <c r="C647" s="53" t="s">
        <v>1396</v>
      </c>
      <c r="D647" s="52" t="s">
        <v>417</v>
      </c>
    </row>
    <row r="648" spans="1:9">
      <c r="A648" s="44"/>
      <c r="B648" s="50" t="s">
        <v>1397</v>
      </c>
      <c r="C648" s="53" t="s">
        <v>1398</v>
      </c>
      <c r="D648" s="52" t="s">
        <v>421</v>
      </c>
    </row>
    <row r="649" spans="1:9">
      <c r="B649" s="50" t="s">
        <v>311</v>
      </c>
      <c r="C649" s="53" t="s">
        <v>1399</v>
      </c>
      <c r="D649" s="52" t="s">
        <v>1030</v>
      </c>
    </row>
    <row r="650" spans="1:9">
      <c r="B650" s="50" t="s">
        <v>1400</v>
      </c>
      <c r="C650" s="53" t="s">
        <v>1401</v>
      </c>
      <c r="D650" s="52" t="s">
        <v>411</v>
      </c>
    </row>
    <row r="651" spans="1:9">
      <c r="B651" s="50" t="s">
        <v>1402</v>
      </c>
      <c r="C651" s="53" t="s">
        <v>1403</v>
      </c>
      <c r="D651" s="52" t="s">
        <v>411</v>
      </c>
    </row>
    <row r="652" spans="1:9">
      <c r="B652" s="50" t="s">
        <v>312</v>
      </c>
      <c r="C652" s="53" t="s">
        <v>1404</v>
      </c>
      <c r="D652" s="52" t="s">
        <v>411</v>
      </c>
    </row>
    <row r="653" spans="1:9">
      <c r="B653" s="50" t="s">
        <v>1405</v>
      </c>
      <c r="C653" s="53" t="s">
        <v>1406</v>
      </c>
      <c r="D653" s="52" t="s">
        <v>417</v>
      </c>
    </row>
    <row r="654" spans="1:9">
      <c r="B654" s="50" t="s">
        <v>1407</v>
      </c>
      <c r="C654" s="53" t="s">
        <v>1408</v>
      </c>
      <c r="D654" s="52" t="s">
        <v>421</v>
      </c>
    </row>
    <row r="655" spans="1:9">
      <c r="B655" s="50" t="s">
        <v>1409</v>
      </c>
      <c r="C655" s="53" t="s">
        <v>1410</v>
      </c>
      <c r="D655" s="52" t="s">
        <v>411</v>
      </c>
    </row>
    <row r="656" spans="1:9">
      <c r="B656" s="50" t="s">
        <v>313</v>
      </c>
      <c r="C656" s="53" t="s">
        <v>1411</v>
      </c>
      <c r="D656" s="52" t="s">
        <v>1030</v>
      </c>
    </row>
    <row r="657" spans="2:4">
      <c r="B657" s="50" t="s">
        <v>314</v>
      </c>
      <c r="C657" s="53" t="s">
        <v>1412</v>
      </c>
      <c r="D657" s="52" t="s">
        <v>411</v>
      </c>
    </row>
    <row r="658" spans="2:4">
      <c r="B658" s="50" t="s">
        <v>1413</v>
      </c>
      <c r="C658" s="53" t="s">
        <v>1414</v>
      </c>
      <c r="D658" s="52" t="s">
        <v>417</v>
      </c>
    </row>
    <row r="659" spans="2:4">
      <c r="B659" s="50" t="s">
        <v>1415</v>
      </c>
      <c r="C659" s="53" t="s">
        <v>1416</v>
      </c>
      <c r="D659" s="67" t="s">
        <v>421</v>
      </c>
    </row>
    <row r="660" spans="2:4">
      <c r="B660" s="50" t="s">
        <v>315</v>
      </c>
      <c r="C660" s="53" t="s">
        <v>1417</v>
      </c>
      <c r="D660" s="52" t="s">
        <v>1418</v>
      </c>
    </row>
    <row r="661" spans="2:4">
      <c r="B661" s="50" t="s">
        <v>316</v>
      </c>
      <c r="C661" s="53" t="s">
        <v>1419</v>
      </c>
      <c r="D661" s="52" t="s">
        <v>1030</v>
      </c>
    </row>
    <row r="662" spans="2:4">
      <c r="B662" s="50" t="s">
        <v>1420</v>
      </c>
      <c r="C662" s="53" t="s">
        <v>1421</v>
      </c>
      <c r="D662" s="52" t="s">
        <v>948</v>
      </c>
    </row>
    <row r="663" spans="2:4">
      <c r="B663" s="50" t="s">
        <v>317</v>
      </c>
      <c r="C663" s="53" t="s">
        <v>1422</v>
      </c>
      <c r="D663" s="52" t="s">
        <v>411</v>
      </c>
    </row>
    <row r="664" spans="2:4">
      <c r="B664" s="50" t="s">
        <v>1423</v>
      </c>
      <c r="C664" s="53" t="s">
        <v>1424</v>
      </c>
      <c r="D664" s="52" t="s">
        <v>417</v>
      </c>
    </row>
    <row r="665" spans="2:4" ht="14.25" customHeight="1">
      <c r="B665" s="50" t="s">
        <v>1425</v>
      </c>
      <c r="C665" s="53" t="s">
        <v>1426</v>
      </c>
      <c r="D665" s="52" t="s">
        <v>421</v>
      </c>
    </row>
    <row r="666" spans="2:4" ht="14.25" customHeight="1">
      <c r="B666" s="50" t="s">
        <v>318</v>
      </c>
      <c r="C666" s="53" t="s">
        <v>1427</v>
      </c>
      <c r="D666" s="52" t="s">
        <v>411</v>
      </c>
    </row>
    <row r="667" spans="2:4" ht="25.5">
      <c r="B667" s="50" t="s">
        <v>1428</v>
      </c>
      <c r="C667" s="53" t="s">
        <v>1429</v>
      </c>
      <c r="D667" s="52" t="s">
        <v>411</v>
      </c>
    </row>
    <row r="668" spans="2:4" ht="25.5">
      <c r="B668" s="50" t="s">
        <v>319</v>
      </c>
      <c r="C668" s="53" t="s">
        <v>1430</v>
      </c>
      <c r="D668" s="52" t="s">
        <v>411</v>
      </c>
    </row>
    <row r="669" spans="2:4" ht="25.5">
      <c r="B669" s="50" t="s">
        <v>1431</v>
      </c>
      <c r="C669" s="53" t="s">
        <v>1432</v>
      </c>
      <c r="D669" s="52" t="s">
        <v>411</v>
      </c>
    </row>
    <row r="670" spans="2:4" ht="25.5">
      <c r="B670" s="68" t="s">
        <v>320</v>
      </c>
      <c r="C670" s="69" t="s">
        <v>1433</v>
      </c>
      <c r="D670" s="70" t="s">
        <v>411</v>
      </c>
    </row>
    <row r="671" spans="2:4" ht="25.5">
      <c r="B671" s="50" t="s">
        <v>1434</v>
      </c>
      <c r="C671" s="53" t="s">
        <v>1435</v>
      </c>
      <c r="D671" s="52" t="s">
        <v>411</v>
      </c>
    </row>
    <row r="672" spans="2:4" ht="25.5">
      <c r="B672" s="50" t="s">
        <v>321</v>
      </c>
      <c r="C672" s="53" t="s">
        <v>1436</v>
      </c>
      <c r="D672" s="52" t="s">
        <v>411</v>
      </c>
    </row>
    <row r="673" spans="2:4" ht="25.5">
      <c r="B673" s="50" t="s">
        <v>1437</v>
      </c>
      <c r="C673" s="53" t="s">
        <v>1438</v>
      </c>
      <c r="D673" s="52" t="s">
        <v>411</v>
      </c>
    </row>
    <row r="674" spans="2:4" ht="25.5">
      <c r="B674" s="50" t="s">
        <v>1439</v>
      </c>
      <c r="C674" s="53" t="s">
        <v>1440</v>
      </c>
      <c r="D674" s="52" t="s">
        <v>411</v>
      </c>
    </row>
    <row r="675" spans="2:4">
      <c r="B675" s="50" t="s">
        <v>322</v>
      </c>
      <c r="C675" s="53" t="s">
        <v>1441</v>
      </c>
      <c r="D675" s="52" t="s">
        <v>411</v>
      </c>
    </row>
    <row r="676" spans="2:4">
      <c r="B676" s="50" t="s">
        <v>323</v>
      </c>
      <c r="C676" s="53" t="s">
        <v>1442</v>
      </c>
      <c r="D676" s="52" t="s">
        <v>1443</v>
      </c>
    </row>
    <row r="677" spans="2:4">
      <c r="B677" s="50" t="s">
        <v>324</v>
      </c>
      <c r="C677" s="53" t="s">
        <v>1444</v>
      </c>
      <c r="D677" s="52" t="s">
        <v>411</v>
      </c>
    </row>
    <row r="678" spans="2:4">
      <c r="B678" s="50" t="s">
        <v>1445</v>
      </c>
      <c r="C678" s="53" t="s">
        <v>1444</v>
      </c>
      <c r="D678" s="52" t="s">
        <v>413</v>
      </c>
    </row>
    <row r="679" spans="2:4">
      <c r="B679" s="50" t="s">
        <v>325</v>
      </c>
      <c r="C679" s="53" t="s">
        <v>1446</v>
      </c>
      <c r="D679" s="52" t="s">
        <v>411</v>
      </c>
    </row>
    <row r="680" spans="2:4">
      <c r="B680" s="50" t="s">
        <v>1447</v>
      </c>
      <c r="C680" s="53" t="s">
        <v>1446</v>
      </c>
      <c r="D680" s="52" t="s">
        <v>413</v>
      </c>
    </row>
    <row r="681" spans="2:4">
      <c r="B681" s="50" t="s">
        <v>326</v>
      </c>
      <c r="C681" s="53" t="s">
        <v>1448</v>
      </c>
      <c r="D681" s="52" t="s">
        <v>411</v>
      </c>
    </row>
    <row r="682" spans="2:4">
      <c r="B682" s="50" t="s">
        <v>327</v>
      </c>
      <c r="C682" s="53" t="s">
        <v>1449</v>
      </c>
      <c r="D682" s="52" t="s">
        <v>411</v>
      </c>
    </row>
    <row r="683" spans="2:4">
      <c r="B683" s="50" t="s">
        <v>1450</v>
      </c>
      <c r="C683" s="53" t="s">
        <v>1451</v>
      </c>
      <c r="D683" s="52" t="s">
        <v>411</v>
      </c>
    </row>
    <row r="684" spans="2:4">
      <c r="B684" s="50" t="s">
        <v>328</v>
      </c>
      <c r="C684" s="53" t="s">
        <v>1452</v>
      </c>
      <c r="D684" s="52" t="s">
        <v>411</v>
      </c>
    </row>
    <row r="685" spans="2:4">
      <c r="B685" s="50" t="s">
        <v>1453</v>
      </c>
      <c r="C685" s="53" t="s">
        <v>1454</v>
      </c>
      <c r="D685" s="52" t="s">
        <v>411</v>
      </c>
    </row>
    <row r="686" spans="2:4">
      <c r="B686" s="50" t="s">
        <v>329</v>
      </c>
      <c r="C686" s="53" t="s">
        <v>1455</v>
      </c>
      <c r="D686" s="52" t="s">
        <v>411</v>
      </c>
    </row>
    <row r="687" spans="2:4">
      <c r="B687" s="50" t="s">
        <v>1456</v>
      </c>
      <c r="C687" s="53" t="s">
        <v>1457</v>
      </c>
      <c r="D687" s="52" t="s">
        <v>417</v>
      </c>
    </row>
    <row r="688" spans="2:4">
      <c r="B688" s="50" t="s">
        <v>1458</v>
      </c>
      <c r="C688" s="53" t="s">
        <v>1459</v>
      </c>
      <c r="D688" s="52" t="s">
        <v>421</v>
      </c>
    </row>
    <row r="689" spans="2:4">
      <c r="B689" s="50" t="s">
        <v>1460</v>
      </c>
      <c r="C689" s="53" t="s">
        <v>1461</v>
      </c>
      <c r="D689" s="52" t="s">
        <v>411</v>
      </c>
    </row>
    <row r="690" spans="2:4">
      <c r="B690" s="50" t="s">
        <v>1462</v>
      </c>
      <c r="C690" s="53" t="s">
        <v>1463</v>
      </c>
      <c r="D690" s="52" t="s">
        <v>411</v>
      </c>
    </row>
    <row r="691" spans="2:4">
      <c r="B691" s="50" t="s">
        <v>330</v>
      </c>
      <c r="C691" s="53" t="s">
        <v>1464</v>
      </c>
      <c r="D691" s="52" t="s">
        <v>411</v>
      </c>
    </row>
    <row r="692" spans="2:4">
      <c r="B692" s="50" t="s">
        <v>331</v>
      </c>
      <c r="C692" s="53" t="s">
        <v>1465</v>
      </c>
      <c r="D692" s="52" t="s">
        <v>411</v>
      </c>
    </row>
    <row r="693" spans="2:4">
      <c r="B693" s="50" t="s">
        <v>332</v>
      </c>
      <c r="C693" s="53" t="s">
        <v>1466</v>
      </c>
      <c r="D693" s="52" t="s">
        <v>411</v>
      </c>
    </row>
    <row r="694" spans="2:4">
      <c r="B694" s="50" t="s">
        <v>333</v>
      </c>
      <c r="C694" s="53" t="s">
        <v>1467</v>
      </c>
      <c r="D694" s="52" t="s">
        <v>411</v>
      </c>
    </row>
    <row r="695" spans="2:4">
      <c r="B695" s="50" t="s">
        <v>334</v>
      </c>
      <c r="C695" s="53" t="s">
        <v>1468</v>
      </c>
      <c r="D695" s="52" t="s">
        <v>411</v>
      </c>
    </row>
    <row r="696" spans="2:4">
      <c r="B696" s="50" t="s">
        <v>335</v>
      </c>
      <c r="C696" s="53" t="s">
        <v>1469</v>
      </c>
      <c r="D696" s="52" t="s">
        <v>411</v>
      </c>
    </row>
    <row r="697" spans="2:4">
      <c r="B697" s="50" t="s">
        <v>1470</v>
      </c>
      <c r="C697" s="53" t="s">
        <v>1471</v>
      </c>
      <c r="D697" s="52" t="s">
        <v>417</v>
      </c>
    </row>
    <row r="698" spans="2:4">
      <c r="B698" s="50" t="s">
        <v>1472</v>
      </c>
      <c r="C698" s="53" t="s">
        <v>1473</v>
      </c>
      <c r="D698" s="52" t="s">
        <v>421</v>
      </c>
    </row>
    <row r="699" spans="2:4">
      <c r="B699" s="50" t="s">
        <v>1474</v>
      </c>
      <c r="C699" s="53" t="s">
        <v>1475</v>
      </c>
      <c r="D699" s="52" t="s">
        <v>411</v>
      </c>
    </row>
    <row r="700" spans="2:4">
      <c r="B700" s="50" t="s">
        <v>1476</v>
      </c>
      <c r="C700" s="53" t="s">
        <v>1477</v>
      </c>
      <c r="D700" s="52" t="s">
        <v>411</v>
      </c>
    </row>
    <row r="701" spans="2:4">
      <c r="B701" s="50" t="s">
        <v>336</v>
      </c>
      <c r="C701" s="53" t="s">
        <v>1478</v>
      </c>
      <c r="D701" s="52" t="s">
        <v>411</v>
      </c>
    </row>
    <row r="702" spans="2:4">
      <c r="B702" s="50" t="s">
        <v>1479</v>
      </c>
      <c r="C702" s="53" t="s">
        <v>1480</v>
      </c>
      <c r="D702" s="52" t="s">
        <v>417</v>
      </c>
    </row>
    <row r="703" spans="2:4">
      <c r="B703" s="50" t="s">
        <v>1481</v>
      </c>
      <c r="C703" s="53" t="s">
        <v>1482</v>
      </c>
      <c r="D703" s="52" t="s">
        <v>421</v>
      </c>
    </row>
    <row r="704" spans="2:4">
      <c r="B704" s="50" t="s">
        <v>337</v>
      </c>
      <c r="C704" s="53" t="s">
        <v>1483</v>
      </c>
      <c r="D704" s="52" t="s">
        <v>411</v>
      </c>
    </row>
    <row r="705" spans="2:4">
      <c r="B705" s="50" t="s">
        <v>1484</v>
      </c>
      <c r="C705" s="53" t="s">
        <v>1485</v>
      </c>
      <c r="D705" s="52" t="s">
        <v>417</v>
      </c>
    </row>
    <row r="706" spans="2:4">
      <c r="B706" s="50" t="s">
        <v>1486</v>
      </c>
      <c r="C706" s="53" t="s">
        <v>1487</v>
      </c>
      <c r="D706" s="52" t="s">
        <v>421</v>
      </c>
    </row>
    <row r="707" spans="2:4">
      <c r="B707" s="50" t="s">
        <v>1488</v>
      </c>
      <c r="C707" s="53" t="s">
        <v>1489</v>
      </c>
      <c r="D707" s="52" t="s">
        <v>411</v>
      </c>
    </row>
    <row r="708" spans="2:4">
      <c r="B708" s="50" t="s">
        <v>1490</v>
      </c>
      <c r="C708" s="53" t="s">
        <v>1491</v>
      </c>
      <c r="D708" s="52" t="s">
        <v>411</v>
      </c>
    </row>
    <row r="709" spans="2:4">
      <c r="B709" s="50" t="s">
        <v>1492</v>
      </c>
      <c r="C709" s="53" t="s">
        <v>1493</v>
      </c>
      <c r="D709" s="52" t="s">
        <v>411</v>
      </c>
    </row>
    <row r="710" spans="2:4">
      <c r="B710" s="50" t="s">
        <v>1494</v>
      </c>
      <c r="C710" s="53" t="s">
        <v>1495</v>
      </c>
      <c r="D710" s="52" t="s">
        <v>411</v>
      </c>
    </row>
    <row r="711" spans="2:4">
      <c r="B711" s="50" t="s">
        <v>338</v>
      </c>
      <c r="C711" s="53" t="s">
        <v>1496</v>
      </c>
      <c r="D711" s="52" t="s">
        <v>411</v>
      </c>
    </row>
    <row r="712" spans="2:4">
      <c r="B712" s="50" t="s">
        <v>1497</v>
      </c>
      <c r="C712" s="53" t="s">
        <v>1498</v>
      </c>
      <c r="D712" s="52" t="s">
        <v>417</v>
      </c>
    </row>
    <row r="713" spans="2:4">
      <c r="B713" s="50" t="s">
        <v>1499</v>
      </c>
      <c r="C713" s="53" t="s">
        <v>1500</v>
      </c>
      <c r="D713" s="52" t="s">
        <v>421</v>
      </c>
    </row>
    <row r="714" spans="2:4">
      <c r="B714" s="50" t="s">
        <v>339</v>
      </c>
      <c r="C714" s="53" t="s">
        <v>1501</v>
      </c>
      <c r="D714" s="52" t="s">
        <v>411</v>
      </c>
    </row>
    <row r="715" spans="2:4">
      <c r="B715" s="50" t="s">
        <v>1502</v>
      </c>
      <c r="C715" s="53" t="s">
        <v>1503</v>
      </c>
      <c r="D715" s="52" t="s">
        <v>417</v>
      </c>
    </row>
    <row r="716" spans="2:4">
      <c r="B716" s="50" t="s">
        <v>1504</v>
      </c>
      <c r="C716" s="53" t="s">
        <v>1505</v>
      </c>
      <c r="D716" s="52" t="s">
        <v>421</v>
      </c>
    </row>
    <row r="717" spans="2:4">
      <c r="B717" s="50" t="s">
        <v>340</v>
      </c>
      <c r="C717" s="53" t="s">
        <v>1506</v>
      </c>
      <c r="D717" s="52" t="s">
        <v>411</v>
      </c>
    </row>
    <row r="718" spans="2:4">
      <c r="B718" s="50" t="s">
        <v>1507</v>
      </c>
      <c r="C718" s="53" t="s">
        <v>1508</v>
      </c>
      <c r="D718" s="52" t="s">
        <v>417</v>
      </c>
    </row>
    <row r="719" spans="2:4">
      <c r="B719" s="50" t="s">
        <v>1509</v>
      </c>
      <c r="C719" s="53" t="s">
        <v>1506</v>
      </c>
      <c r="D719" s="52" t="s">
        <v>413</v>
      </c>
    </row>
    <row r="720" spans="2:4">
      <c r="B720" s="50" t="s">
        <v>1510</v>
      </c>
      <c r="C720" s="53" t="s">
        <v>1511</v>
      </c>
      <c r="D720" s="52" t="s">
        <v>421</v>
      </c>
    </row>
    <row r="721" spans="2:4">
      <c r="B721" s="50" t="s">
        <v>341</v>
      </c>
      <c r="C721" s="53" t="s">
        <v>1512</v>
      </c>
      <c r="D721" s="52" t="s">
        <v>411</v>
      </c>
    </row>
    <row r="722" spans="2:4">
      <c r="B722" s="50" t="s">
        <v>1513</v>
      </c>
      <c r="C722" s="53" t="s">
        <v>1514</v>
      </c>
      <c r="D722" s="52" t="s">
        <v>638</v>
      </c>
    </row>
    <row r="723" spans="2:4">
      <c r="B723" s="50" t="s">
        <v>342</v>
      </c>
      <c r="C723" s="53" t="s">
        <v>1515</v>
      </c>
      <c r="D723" s="52" t="s">
        <v>411</v>
      </c>
    </row>
    <row r="724" spans="2:4">
      <c r="B724" s="50" t="s">
        <v>1516</v>
      </c>
      <c r="C724" s="53" t="s">
        <v>1517</v>
      </c>
      <c r="D724" s="52" t="s">
        <v>638</v>
      </c>
    </row>
    <row r="725" spans="2:4">
      <c r="B725" s="50" t="s">
        <v>343</v>
      </c>
      <c r="C725" s="53" t="s">
        <v>1518</v>
      </c>
      <c r="D725" s="52" t="s">
        <v>411</v>
      </c>
    </row>
    <row r="726" spans="2:4">
      <c r="B726" s="50" t="s">
        <v>1519</v>
      </c>
      <c r="C726" s="53" t="s">
        <v>1520</v>
      </c>
      <c r="D726" s="52" t="s">
        <v>638</v>
      </c>
    </row>
    <row r="727" spans="2:4">
      <c r="B727" s="50" t="s">
        <v>344</v>
      </c>
      <c r="C727" s="53" t="s">
        <v>1521</v>
      </c>
      <c r="D727" s="52" t="s">
        <v>411</v>
      </c>
    </row>
    <row r="728" spans="2:4">
      <c r="B728" s="50" t="s">
        <v>1522</v>
      </c>
      <c r="C728" s="53" t="s">
        <v>1523</v>
      </c>
      <c r="D728" s="52" t="s">
        <v>638</v>
      </c>
    </row>
    <row r="729" spans="2:4">
      <c r="B729" s="50" t="s">
        <v>345</v>
      </c>
      <c r="C729" s="53" t="s">
        <v>1524</v>
      </c>
      <c r="D729" s="52" t="s">
        <v>411</v>
      </c>
    </row>
    <row r="730" spans="2:4">
      <c r="B730" s="50" t="s">
        <v>1525</v>
      </c>
      <c r="C730" s="53" t="s">
        <v>1526</v>
      </c>
      <c r="D730" s="52" t="s">
        <v>638</v>
      </c>
    </row>
    <row r="731" spans="2:4">
      <c r="B731" s="50" t="s">
        <v>346</v>
      </c>
      <c r="C731" s="53" t="s">
        <v>1527</v>
      </c>
      <c r="D731" s="52" t="s">
        <v>1528</v>
      </c>
    </row>
    <row r="732" spans="2:4" ht="13.15" thickBot="1">
      <c r="B732" s="71" t="s">
        <v>347</v>
      </c>
      <c r="C732" s="72" t="s">
        <v>1529</v>
      </c>
      <c r="D732" s="73" t="s">
        <v>1528</v>
      </c>
    </row>
    <row r="733" spans="2:4" ht="13.15" thickTop="1"/>
  </sheetData>
  <pageMargins left="0.5" right="0.5" top="0.75" bottom="0.75" header="0.5" footer="0.5"/>
  <pageSetup scale="81" fitToHeight="12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12698-CD26-48F7-B741-35F391A89390}">
  <sheetPr>
    <tabColor theme="4" tint="0.749992370372631"/>
  </sheetPr>
  <dimension ref="A1:H16701"/>
  <sheetViews>
    <sheetView workbookViewId="0">
      <selection activeCell="G1" sqref="G1"/>
    </sheetView>
  </sheetViews>
  <sheetFormatPr defaultRowHeight="14.25"/>
  <cols>
    <col min="8" max="8" width="31.3984375" customWidth="1"/>
  </cols>
  <sheetData>
    <row r="1" spans="1:8">
      <c r="A1" t="s">
        <v>129</v>
      </c>
      <c r="B1" t="s">
        <v>130</v>
      </c>
      <c r="C1" t="s">
        <v>131</v>
      </c>
      <c r="D1">
        <v>2021</v>
      </c>
      <c r="E1">
        <v>2022</v>
      </c>
      <c r="F1">
        <v>2023</v>
      </c>
      <c r="G1">
        <v>2024</v>
      </c>
      <c r="H1" s="41"/>
    </row>
    <row r="2" spans="1:8">
      <c r="A2" t="s">
        <v>1876</v>
      </c>
      <c r="B2" t="s">
        <v>132</v>
      </c>
      <c r="C2" t="s">
        <v>133</v>
      </c>
      <c r="D2">
        <v>-8</v>
      </c>
      <c r="E2">
        <v>-6</v>
      </c>
      <c r="F2">
        <v>-6</v>
      </c>
      <c r="G2">
        <v>-10</v>
      </c>
    </row>
    <row r="3" spans="1:8">
      <c r="A3" t="s">
        <v>1876</v>
      </c>
      <c r="B3" t="s">
        <v>132</v>
      </c>
      <c r="C3" t="s">
        <v>134</v>
      </c>
      <c r="D3">
        <v>13425</v>
      </c>
      <c r="E3">
        <v>12981</v>
      </c>
      <c r="F3">
        <v>13173</v>
      </c>
      <c r="G3">
        <v>13322</v>
      </c>
    </row>
    <row r="4" spans="1:8">
      <c r="A4" t="s">
        <v>1876</v>
      </c>
      <c r="B4" t="s">
        <v>132</v>
      </c>
      <c r="C4" t="s">
        <v>135</v>
      </c>
      <c r="D4">
        <v>13425</v>
      </c>
      <c r="E4">
        <v>12981</v>
      </c>
      <c r="F4">
        <v>13173</v>
      </c>
      <c r="G4">
        <v>13322</v>
      </c>
    </row>
    <row r="5" spans="1:8">
      <c r="A5" t="s">
        <v>1876</v>
      </c>
      <c r="B5" t="s">
        <v>132</v>
      </c>
      <c r="C5" t="s">
        <v>136</v>
      </c>
      <c r="D5">
        <v>13425</v>
      </c>
      <c r="E5">
        <v>12981</v>
      </c>
      <c r="F5">
        <v>13173</v>
      </c>
      <c r="G5">
        <v>13322</v>
      </c>
    </row>
    <row r="6" spans="1:8">
      <c r="A6" t="s">
        <v>1876</v>
      </c>
      <c r="B6" t="s">
        <v>132</v>
      </c>
      <c r="C6" t="s">
        <v>137</v>
      </c>
      <c r="D6">
        <v>1037</v>
      </c>
      <c r="E6">
        <v>1073</v>
      </c>
      <c r="F6">
        <v>1019</v>
      </c>
      <c r="G6">
        <v>1096</v>
      </c>
    </row>
    <row r="7" spans="1:8">
      <c r="A7" t="s">
        <v>1876</v>
      </c>
      <c r="B7" t="s">
        <v>132</v>
      </c>
      <c r="C7" t="s">
        <v>138</v>
      </c>
      <c r="D7">
        <v>1037</v>
      </c>
      <c r="E7">
        <v>1073</v>
      </c>
      <c r="F7">
        <v>1019</v>
      </c>
      <c r="G7">
        <v>1096</v>
      </c>
    </row>
    <row r="8" spans="1:8">
      <c r="A8" t="s">
        <v>1876</v>
      </c>
      <c r="B8" t="s">
        <v>132</v>
      </c>
      <c r="C8" t="s">
        <v>139</v>
      </c>
      <c r="D8">
        <v>1037</v>
      </c>
      <c r="E8">
        <v>1073</v>
      </c>
      <c r="F8">
        <v>1019</v>
      </c>
      <c r="G8">
        <v>1096</v>
      </c>
    </row>
    <row r="9" spans="1:8">
      <c r="A9" t="s">
        <v>1876</v>
      </c>
      <c r="B9" t="s">
        <v>132</v>
      </c>
      <c r="C9" t="s">
        <v>1877</v>
      </c>
      <c r="D9">
        <v>0</v>
      </c>
      <c r="E9">
        <v>0</v>
      </c>
      <c r="F9">
        <v>0</v>
      </c>
      <c r="G9">
        <v>0</v>
      </c>
    </row>
    <row r="10" spans="1:8">
      <c r="A10" t="s">
        <v>1876</v>
      </c>
      <c r="B10" t="s">
        <v>132</v>
      </c>
      <c r="C10" t="s">
        <v>1700</v>
      </c>
      <c r="D10">
        <v>0</v>
      </c>
      <c r="E10">
        <v>0</v>
      </c>
      <c r="F10">
        <v>0</v>
      </c>
      <c r="G10">
        <v>0</v>
      </c>
    </row>
    <row r="11" spans="1:8">
      <c r="A11" t="s">
        <v>1876</v>
      </c>
      <c r="B11" t="s">
        <v>132</v>
      </c>
      <c r="C11" t="s">
        <v>1878</v>
      </c>
      <c r="D11">
        <v>0</v>
      </c>
      <c r="E11">
        <v>0</v>
      </c>
      <c r="F11">
        <v>0</v>
      </c>
      <c r="G11">
        <v>0</v>
      </c>
    </row>
    <row r="12" spans="1:8">
      <c r="A12" t="s">
        <v>1876</v>
      </c>
      <c r="B12" t="s">
        <v>132</v>
      </c>
      <c r="C12" t="s">
        <v>1879</v>
      </c>
      <c r="D12">
        <v>0</v>
      </c>
      <c r="E12">
        <v>0</v>
      </c>
      <c r="F12">
        <v>0</v>
      </c>
      <c r="G12">
        <v>0</v>
      </c>
    </row>
    <row r="13" spans="1:8">
      <c r="A13" t="s">
        <v>1876</v>
      </c>
      <c r="B13" t="s">
        <v>132</v>
      </c>
      <c r="C13" t="s">
        <v>1701</v>
      </c>
      <c r="D13">
        <v>0</v>
      </c>
      <c r="E13">
        <v>0</v>
      </c>
      <c r="F13">
        <v>0</v>
      </c>
      <c r="G13">
        <v>0</v>
      </c>
    </row>
    <row r="14" spans="1:8">
      <c r="A14" t="s">
        <v>1876</v>
      </c>
      <c r="B14" t="s">
        <v>132</v>
      </c>
      <c r="C14" t="s">
        <v>1880</v>
      </c>
      <c r="D14">
        <v>0</v>
      </c>
      <c r="E14">
        <v>0</v>
      </c>
      <c r="F14">
        <v>0</v>
      </c>
      <c r="G14">
        <v>0</v>
      </c>
    </row>
    <row r="15" spans="1:8">
      <c r="A15" t="s">
        <v>1876</v>
      </c>
      <c r="B15" t="s">
        <v>132</v>
      </c>
      <c r="C15" t="s">
        <v>140</v>
      </c>
      <c r="D15">
        <v>0</v>
      </c>
      <c r="E15">
        <v>0</v>
      </c>
      <c r="F15">
        <v>0</v>
      </c>
      <c r="G15">
        <v>0</v>
      </c>
    </row>
    <row r="16" spans="1:8">
      <c r="A16" t="s">
        <v>1876</v>
      </c>
      <c r="B16" t="s">
        <v>132</v>
      </c>
      <c r="C16" t="s">
        <v>1881</v>
      </c>
      <c r="D16">
        <v>0</v>
      </c>
      <c r="E16">
        <v>0</v>
      </c>
      <c r="F16">
        <v>0</v>
      </c>
      <c r="G16">
        <v>0</v>
      </c>
    </row>
    <row r="17" spans="1:7">
      <c r="A17" t="s">
        <v>1876</v>
      </c>
      <c r="B17" t="s">
        <v>132</v>
      </c>
      <c r="C17" t="s">
        <v>1882</v>
      </c>
      <c r="D17">
        <v>0</v>
      </c>
      <c r="E17">
        <v>0</v>
      </c>
      <c r="F17">
        <v>0</v>
      </c>
      <c r="G17">
        <v>0</v>
      </c>
    </row>
    <row r="18" spans="1:7">
      <c r="A18" t="s">
        <v>1876</v>
      </c>
      <c r="B18" t="s">
        <v>132</v>
      </c>
      <c r="C18" t="s">
        <v>1883</v>
      </c>
      <c r="D18">
        <v>0</v>
      </c>
      <c r="E18">
        <v>0</v>
      </c>
      <c r="F18">
        <v>0</v>
      </c>
      <c r="G18">
        <v>0</v>
      </c>
    </row>
    <row r="19" spans="1:7">
      <c r="A19" t="s">
        <v>1876</v>
      </c>
      <c r="B19" t="s">
        <v>132</v>
      </c>
      <c r="C19" t="s">
        <v>1884</v>
      </c>
      <c r="D19">
        <v>0</v>
      </c>
      <c r="E19">
        <v>0</v>
      </c>
      <c r="F19">
        <v>0</v>
      </c>
      <c r="G19">
        <v>0</v>
      </c>
    </row>
    <row r="20" spans="1:7">
      <c r="A20" t="s">
        <v>1876</v>
      </c>
      <c r="B20" t="s">
        <v>132</v>
      </c>
      <c r="C20" t="s">
        <v>1885</v>
      </c>
      <c r="D20">
        <v>0</v>
      </c>
      <c r="E20">
        <v>0</v>
      </c>
      <c r="F20">
        <v>0</v>
      </c>
      <c r="G20">
        <v>0</v>
      </c>
    </row>
    <row r="21" spans="1:7">
      <c r="A21" t="s">
        <v>1876</v>
      </c>
      <c r="B21" t="s">
        <v>132</v>
      </c>
      <c r="C21" t="s">
        <v>1886</v>
      </c>
      <c r="D21">
        <v>0</v>
      </c>
      <c r="E21">
        <v>0</v>
      </c>
      <c r="F21">
        <v>0</v>
      </c>
      <c r="G21">
        <v>0</v>
      </c>
    </row>
    <row r="22" spans="1:7">
      <c r="A22" t="s">
        <v>1876</v>
      </c>
      <c r="B22" t="s">
        <v>132</v>
      </c>
      <c r="C22" t="s">
        <v>141</v>
      </c>
      <c r="D22">
        <v>0</v>
      </c>
      <c r="E22">
        <v>0</v>
      </c>
      <c r="F22">
        <v>0</v>
      </c>
      <c r="G22">
        <v>0</v>
      </c>
    </row>
    <row r="23" spans="1:7">
      <c r="A23" t="s">
        <v>1876</v>
      </c>
      <c r="B23" t="s">
        <v>132</v>
      </c>
      <c r="C23" t="s">
        <v>1887</v>
      </c>
      <c r="D23">
        <v>0</v>
      </c>
      <c r="E23">
        <v>0</v>
      </c>
      <c r="F23">
        <v>0</v>
      </c>
      <c r="G23">
        <v>0</v>
      </c>
    </row>
    <row r="24" spans="1:7">
      <c r="A24" t="s">
        <v>1876</v>
      </c>
      <c r="B24" t="s">
        <v>132</v>
      </c>
      <c r="C24" t="s">
        <v>1888</v>
      </c>
      <c r="D24">
        <v>0</v>
      </c>
      <c r="E24">
        <v>0</v>
      </c>
      <c r="F24">
        <v>0</v>
      </c>
      <c r="G24">
        <v>0</v>
      </c>
    </row>
    <row r="25" spans="1:7">
      <c r="A25" t="s">
        <v>1876</v>
      </c>
      <c r="B25" t="s">
        <v>132</v>
      </c>
      <c r="C25" t="s">
        <v>1889</v>
      </c>
      <c r="D25">
        <v>0</v>
      </c>
      <c r="E25">
        <v>0</v>
      </c>
      <c r="F25">
        <v>0</v>
      </c>
      <c r="G25">
        <v>0</v>
      </c>
    </row>
    <row r="26" spans="1:7">
      <c r="A26" t="s">
        <v>1876</v>
      </c>
      <c r="B26" t="s">
        <v>132</v>
      </c>
      <c r="C26" t="s">
        <v>1890</v>
      </c>
      <c r="D26">
        <v>0</v>
      </c>
      <c r="E26">
        <v>0</v>
      </c>
      <c r="F26">
        <v>0</v>
      </c>
      <c r="G26">
        <v>0</v>
      </c>
    </row>
    <row r="27" spans="1:7">
      <c r="A27" t="s">
        <v>1876</v>
      </c>
      <c r="B27" t="s">
        <v>132</v>
      </c>
      <c r="C27" t="s">
        <v>1891</v>
      </c>
    </row>
    <row r="28" spans="1:7">
      <c r="A28" t="s">
        <v>1876</v>
      </c>
      <c r="B28" t="s">
        <v>132</v>
      </c>
      <c r="C28" t="s">
        <v>1892</v>
      </c>
      <c r="D28">
        <v>0</v>
      </c>
      <c r="E28">
        <v>0</v>
      </c>
      <c r="F28">
        <v>0</v>
      </c>
      <c r="G28">
        <v>0</v>
      </c>
    </row>
    <row r="29" spans="1:7">
      <c r="A29" t="s">
        <v>1876</v>
      </c>
      <c r="B29" t="s">
        <v>132</v>
      </c>
      <c r="C29" t="s">
        <v>142</v>
      </c>
      <c r="D29">
        <v>0</v>
      </c>
      <c r="E29">
        <v>0</v>
      </c>
      <c r="F29">
        <v>0</v>
      </c>
      <c r="G29">
        <v>0</v>
      </c>
    </row>
    <row r="30" spans="1:7">
      <c r="A30" t="s">
        <v>1876</v>
      </c>
      <c r="B30" t="s">
        <v>132</v>
      </c>
      <c r="C30" t="s">
        <v>1893</v>
      </c>
      <c r="D30">
        <v>0</v>
      </c>
      <c r="E30">
        <v>0</v>
      </c>
      <c r="F30">
        <v>0</v>
      </c>
      <c r="G30">
        <v>0</v>
      </c>
    </row>
    <row r="31" spans="1:7">
      <c r="A31" t="s">
        <v>1876</v>
      </c>
      <c r="B31" t="s">
        <v>132</v>
      </c>
      <c r="C31" t="s">
        <v>1894</v>
      </c>
      <c r="D31">
        <v>0</v>
      </c>
      <c r="E31">
        <v>0</v>
      </c>
      <c r="F31">
        <v>0</v>
      </c>
      <c r="G31">
        <v>0</v>
      </c>
    </row>
    <row r="32" spans="1:7">
      <c r="A32" t="s">
        <v>1876</v>
      </c>
      <c r="B32" t="s">
        <v>132</v>
      </c>
      <c r="C32" t="s">
        <v>143</v>
      </c>
      <c r="D32">
        <v>0</v>
      </c>
      <c r="E32">
        <v>0</v>
      </c>
      <c r="F32">
        <v>0</v>
      </c>
      <c r="G32">
        <v>0</v>
      </c>
    </row>
    <row r="33" spans="1:7">
      <c r="A33" t="s">
        <v>1876</v>
      </c>
      <c r="B33" t="s">
        <v>132</v>
      </c>
      <c r="C33" t="s">
        <v>144</v>
      </c>
      <c r="D33">
        <v>0</v>
      </c>
      <c r="E33">
        <v>0</v>
      </c>
      <c r="F33">
        <v>0</v>
      </c>
      <c r="G33">
        <v>0</v>
      </c>
    </row>
    <row r="34" spans="1:7">
      <c r="A34" t="s">
        <v>1876</v>
      </c>
      <c r="B34" t="s">
        <v>132</v>
      </c>
      <c r="C34" t="s">
        <v>1895</v>
      </c>
      <c r="D34">
        <v>62.1</v>
      </c>
      <c r="E34">
        <v>66.599999999999994</v>
      </c>
      <c r="F34">
        <v>63.5</v>
      </c>
      <c r="G34">
        <v>69.8</v>
      </c>
    </row>
    <row r="35" spans="1:7">
      <c r="A35" t="s">
        <v>1876</v>
      </c>
      <c r="B35" t="s">
        <v>132</v>
      </c>
      <c r="C35" t="s">
        <v>145</v>
      </c>
      <c r="D35">
        <v>3153</v>
      </c>
      <c r="E35">
        <v>3873</v>
      </c>
      <c r="F35">
        <v>3431</v>
      </c>
      <c r="G35">
        <v>3308</v>
      </c>
    </row>
    <row r="36" spans="1:7">
      <c r="A36" t="s">
        <v>1876</v>
      </c>
      <c r="B36" t="s">
        <v>132</v>
      </c>
      <c r="C36" t="s">
        <v>146</v>
      </c>
      <c r="D36">
        <v>0</v>
      </c>
      <c r="E36">
        <v>0</v>
      </c>
      <c r="F36">
        <v>0</v>
      </c>
      <c r="G36">
        <v>0</v>
      </c>
    </row>
    <row r="37" spans="1:7">
      <c r="A37" t="s">
        <v>1876</v>
      </c>
      <c r="B37" t="s">
        <v>132</v>
      </c>
      <c r="C37" t="s">
        <v>147</v>
      </c>
      <c r="D37">
        <v>0</v>
      </c>
      <c r="E37">
        <v>0</v>
      </c>
      <c r="F37">
        <v>0</v>
      </c>
      <c r="G37">
        <v>0</v>
      </c>
    </row>
    <row r="38" spans="1:7">
      <c r="A38" t="s">
        <v>1876</v>
      </c>
      <c r="B38" t="s">
        <v>132</v>
      </c>
      <c r="C38" t="s">
        <v>1896</v>
      </c>
      <c r="D38">
        <v>0.1</v>
      </c>
      <c r="E38">
        <v>0.1</v>
      </c>
      <c r="F38">
        <v>0.4</v>
      </c>
      <c r="G38">
        <v>0.4</v>
      </c>
    </row>
    <row r="39" spans="1:7">
      <c r="A39" t="s">
        <v>1876</v>
      </c>
      <c r="B39" t="s">
        <v>132</v>
      </c>
      <c r="C39" t="s">
        <v>1702</v>
      </c>
      <c r="D39">
        <v>45</v>
      </c>
      <c r="E39">
        <v>92</v>
      </c>
      <c r="F39">
        <v>92</v>
      </c>
      <c r="G39">
        <v>132</v>
      </c>
    </row>
    <row r="40" spans="1:7">
      <c r="A40" t="s">
        <v>1876</v>
      </c>
      <c r="B40" t="s">
        <v>132</v>
      </c>
      <c r="C40" t="s">
        <v>1897</v>
      </c>
      <c r="D40">
        <v>1.3</v>
      </c>
      <c r="E40">
        <v>1.7</v>
      </c>
      <c r="F40">
        <v>2.6</v>
      </c>
      <c r="G40">
        <v>3.3</v>
      </c>
    </row>
    <row r="41" spans="1:7">
      <c r="A41" t="s">
        <v>1876</v>
      </c>
      <c r="B41" t="s">
        <v>132</v>
      </c>
      <c r="C41" t="s">
        <v>1898</v>
      </c>
      <c r="D41">
        <v>2</v>
      </c>
      <c r="E41">
        <v>4</v>
      </c>
      <c r="F41">
        <v>10</v>
      </c>
      <c r="G41">
        <v>14</v>
      </c>
    </row>
    <row r="42" spans="1:7">
      <c r="A42" t="s">
        <v>1876</v>
      </c>
      <c r="B42" t="s">
        <v>132</v>
      </c>
      <c r="C42" t="s">
        <v>1899</v>
      </c>
      <c r="D42">
        <v>0</v>
      </c>
      <c r="E42">
        <v>0</v>
      </c>
      <c r="F42">
        <v>0</v>
      </c>
      <c r="G42">
        <v>0</v>
      </c>
    </row>
    <row r="43" spans="1:7">
      <c r="A43" t="s">
        <v>1876</v>
      </c>
      <c r="B43" t="s">
        <v>132</v>
      </c>
      <c r="C43" t="s">
        <v>148</v>
      </c>
      <c r="D43">
        <v>0</v>
      </c>
      <c r="E43">
        <v>0</v>
      </c>
      <c r="F43">
        <v>0</v>
      </c>
      <c r="G43">
        <v>0</v>
      </c>
    </row>
    <row r="44" spans="1:7">
      <c r="A44" t="s">
        <v>1876</v>
      </c>
      <c r="B44" t="s">
        <v>132</v>
      </c>
      <c r="C44" t="s">
        <v>149</v>
      </c>
      <c r="D44">
        <v>0</v>
      </c>
      <c r="E44">
        <v>0</v>
      </c>
      <c r="F44">
        <v>0</v>
      </c>
      <c r="G44">
        <v>0</v>
      </c>
    </row>
    <row r="45" spans="1:7">
      <c r="A45" t="s">
        <v>1876</v>
      </c>
      <c r="B45" t="s">
        <v>132</v>
      </c>
      <c r="C45" t="s">
        <v>150</v>
      </c>
      <c r="D45">
        <v>0</v>
      </c>
      <c r="E45">
        <v>0</v>
      </c>
      <c r="F45">
        <v>0</v>
      </c>
      <c r="G45">
        <v>0</v>
      </c>
    </row>
    <row r="46" spans="1:7">
      <c r="A46" t="s">
        <v>1876</v>
      </c>
      <c r="B46" t="s">
        <v>132</v>
      </c>
      <c r="C46" t="s">
        <v>1900</v>
      </c>
      <c r="D46">
        <v>51.6</v>
      </c>
      <c r="E46">
        <v>50.1</v>
      </c>
      <c r="F46">
        <v>50.3</v>
      </c>
      <c r="G46">
        <v>51.6</v>
      </c>
    </row>
    <row r="47" spans="1:7">
      <c r="A47" t="s">
        <v>1876</v>
      </c>
      <c r="B47" t="s">
        <v>132</v>
      </c>
      <c r="C47" t="s">
        <v>151</v>
      </c>
      <c r="D47">
        <v>7367</v>
      </c>
      <c r="E47">
        <v>7295</v>
      </c>
      <c r="F47">
        <v>7580</v>
      </c>
      <c r="G47">
        <v>7147</v>
      </c>
    </row>
    <row r="48" spans="1:7">
      <c r="A48" t="s">
        <v>1876</v>
      </c>
      <c r="B48" t="s">
        <v>132</v>
      </c>
      <c r="C48" t="s">
        <v>152</v>
      </c>
      <c r="D48">
        <v>11305</v>
      </c>
      <c r="E48">
        <v>11304</v>
      </c>
      <c r="F48">
        <v>10814</v>
      </c>
      <c r="G48">
        <v>11167</v>
      </c>
    </row>
    <row r="49" spans="1:7">
      <c r="A49" t="s">
        <v>1876</v>
      </c>
      <c r="B49" t="s">
        <v>132</v>
      </c>
      <c r="C49" t="s">
        <v>1703</v>
      </c>
      <c r="D49">
        <v>169</v>
      </c>
      <c r="E49">
        <v>168</v>
      </c>
      <c r="F49">
        <v>168</v>
      </c>
      <c r="G49">
        <v>168</v>
      </c>
    </row>
    <row r="50" spans="1:7">
      <c r="A50" t="s">
        <v>1876</v>
      </c>
      <c r="B50" t="s">
        <v>132</v>
      </c>
      <c r="C50" t="s">
        <v>153</v>
      </c>
      <c r="D50">
        <v>22</v>
      </c>
      <c r="E50">
        <v>16</v>
      </c>
      <c r="F50">
        <v>20</v>
      </c>
      <c r="G50">
        <v>19</v>
      </c>
    </row>
    <row r="51" spans="1:7">
      <c r="A51" t="s">
        <v>1876</v>
      </c>
      <c r="B51" t="s">
        <v>132</v>
      </c>
      <c r="C51" t="s">
        <v>154</v>
      </c>
      <c r="D51">
        <v>0</v>
      </c>
      <c r="E51">
        <v>0</v>
      </c>
      <c r="F51">
        <v>0</v>
      </c>
      <c r="G51">
        <v>0</v>
      </c>
    </row>
    <row r="52" spans="1:7">
      <c r="A52" t="s">
        <v>1876</v>
      </c>
      <c r="B52" t="s">
        <v>132</v>
      </c>
      <c r="C52" t="s">
        <v>155</v>
      </c>
      <c r="D52">
        <v>22</v>
      </c>
      <c r="E52">
        <v>16</v>
      </c>
      <c r="F52">
        <v>20</v>
      </c>
      <c r="G52">
        <v>19</v>
      </c>
    </row>
    <row r="53" spans="1:7">
      <c r="A53" t="s">
        <v>1876</v>
      </c>
      <c r="B53" t="s">
        <v>132</v>
      </c>
      <c r="C53" t="s">
        <v>156</v>
      </c>
      <c r="D53">
        <v>0</v>
      </c>
      <c r="E53">
        <v>0</v>
      </c>
      <c r="F53">
        <v>0</v>
      </c>
      <c r="G53">
        <v>0</v>
      </c>
    </row>
    <row r="54" spans="1:7">
      <c r="A54" t="s">
        <v>1876</v>
      </c>
      <c r="B54" t="s">
        <v>132</v>
      </c>
      <c r="C54" t="s">
        <v>157</v>
      </c>
      <c r="D54">
        <v>18694</v>
      </c>
      <c r="E54">
        <v>18615</v>
      </c>
      <c r="F54">
        <v>18414</v>
      </c>
      <c r="G54">
        <v>18333</v>
      </c>
    </row>
    <row r="55" spans="1:7">
      <c r="A55" t="s">
        <v>1876</v>
      </c>
      <c r="B55" t="s">
        <v>132</v>
      </c>
      <c r="C55" t="s">
        <v>158</v>
      </c>
      <c r="D55">
        <v>7389</v>
      </c>
      <c r="E55">
        <v>7311</v>
      </c>
      <c r="F55">
        <v>7600</v>
      </c>
      <c r="G55">
        <v>7166</v>
      </c>
    </row>
    <row r="56" spans="1:7">
      <c r="A56" t="s">
        <v>1876</v>
      </c>
      <c r="B56" t="s">
        <v>132</v>
      </c>
      <c r="C56" t="s">
        <v>159</v>
      </c>
      <c r="D56">
        <v>0</v>
      </c>
      <c r="E56">
        <v>0</v>
      </c>
      <c r="F56">
        <v>0</v>
      </c>
      <c r="G56">
        <v>0</v>
      </c>
    </row>
    <row r="57" spans="1:7">
      <c r="A57" t="s">
        <v>1876</v>
      </c>
      <c r="B57" t="s">
        <v>132</v>
      </c>
      <c r="C57" t="s">
        <v>1901</v>
      </c>
      <c r="D57">
        <v>66.900000000000006</v>
      </c>
      <c r="E57">
        <v>73.7</v>
      </c>
      <c r="F57">
        <v>65.400000000000006</v>
      </c>
      <c r="G57">
        <v>69.8</v>
      </c>
    </row>
    <row r="58" spans="1:7">
      <c r="A58" t="s">
        <v>1876</v>
      </c>
      <c r="B58" t="s">
        <v>132</v>
      </c>
      <c r="C58" t="s">
        <v>1902</v>
      </c>
      <c r="D58">
        <v>34130</v>
      </c>
      <c r="E58">
        <v>45885</v>
      </c>
      <c r="F58">
        <v>45032</v>
      </c>
      <c r="G58">
        <v>45080</v>
      </c>
    </row>
    <row r="59" spans="1:7">
      <c r="A59" t="s">
        <v>1876</v>
      </c>
      <c r="B59" t="s">
        <v>132</v>
      </c>
      <c r="C59" t="s">
        <v>1903</v>
      </c>
      <c r="D59">
        <v>8739</v>
      </c>
      <c r="E59">
        <v>7541</v>
      </c>
      <c r="F59">
        <v>8898</v>
      </c>
      <c r="G59">
        <v>8929</v>
      </c>
    </row>
    <row r="60" spans="1:7">
      <c r="A60" t="s">
        <v>1876</v>
      </c>
      <c r="B60" t="s">
        <v>132</v>
      </c>
      <c r="C60" t="s">
        <v>1904</v>
      </c>
      <c r="D60">
        <v>4919</v>
      </c>
      <c r="E60">
        <v>4633</v>
      </c>
      <c r="F60">
        <v>5260</v>
      </c>
      <c r="G60">
        <v>5276</v>
      </c>
    </row>
    <row r="61" spans="1:7">
      <c r="A61" t="s">
        <v>1876</v>
      </c>
      <c r="B61" t="s">
        <v>132</v>
      </c>
      <c r="C61" t="s">
        <v>1905</v>
      </c>
      <c r="D61">
        <v>15171</v>
      </c>
      <c r="E61">
        <v>15336</v>
      </c>
      <c r="F61">
        <v>14968</v>
      </c>
      <c r="G61">
        <v>14525</v>
      </c>
    </row>
    <row r="62" spans="1:7">
      <c r="A62" t="s">
        <v>1876</v>
      </c>
      <c r="B62" t="s">
        <v>132</v>
      </c>
      <c r="C62" t="s">
        <v>1906</v>
      </c>
      <c r="D62">
        <v>8084</v>
      </c>
      <c r="E62">
        <v>7066</v>
      </c>
      <c r="F62">
        <v>8336</v>
      </c>
      <c r="G62">
        <v>8181</v>
      </c>
    </row>
    <row r="63" spans="1:7">
      <c r="A63" t="s">
        <v>1876</v>
      </c>
      <c r="B63" t="s">
        <v>132</v>
      </c>
      <c r="C63" t="s">
        <v>1907</v>
      </c>
      <c r="D63">
        <v>71044</v>
      </c>
      <c r="E63">
        <v>80462</v>
      </c>
      <c r="F63">
        <v>82494</v>
      </c>
      <c r="G63">
        <v>81992</v>
      </c>
    </row>
    <row r="64" spans="1:7">
      <c r="A64" t="s">
        <v>1876</v>
      </c>
      <c r="B64" t="s">
        <v>132</v>
      </c>
      <c r="C64" t="s">
        <v>160</v>
      </c>
      <c r="D64">
        <v>34130</v>
      </c>
      <c r="E64">
        <v>45885</v>
      </c>
      <c r="F64">
        <v>45032</v>
      </c>
      <c r="G64">
        <v>45080</v>
      </c>
    </row>
    <row r="65" spans="1:7">
      <c r="A65" t="s">
        <v>1876</v>
      </c>
      <c r="B65" t="s">
        <v>132</v>
      </c>
      <c r="C65" t="s">
        <v>161</v>
      </c>
      <c r="D65">
        <v>8739</v>
      </c>
      <c r="E65">
        <v>7541</v>
      </c>
      <c r="F65">
        <v>8898</v>
      </c>
      <c r="G65">
        <v>8929</v>
      </c>
    </row>
    <row r="66" spans="1:7">
      <c r="A66" t="s">
        <v>1876</v>
      </c>
      <c r="B66" t="s">
        <v>132</v>
      </c>
      <c r="C66" t="s">
        <v>162</v>
      </c>
      <c r="D66">
        <v>4919</v>
      </c>
      <c r="E66">
        <v>4633</v>
      </c>
      <c r="F66">
        <v>5260</v>
      </c>
      <c r="G66">
        <v>5276</v>
      </c>
    </row>
    <row r="67" spans="1:7">
      <c r="A67" t="s">
        <v>1876</v>
      </c>
      <c r="B67" t="s">
        <v>132</v>
      </c>
      <c r="C67" t="s">
        <v>163</v>
      </c>
      <c r="D67">
        <v>15171</v>
      </c>
      <c r="E67">
        <v>15336</v>
      </c>
      <c r="F67">
        <v>14968</v>
      </c>
      <c r="G67">
        <v>14525</v>
      </c>
    </row>
    <row r="68" spans="1:7">
      <c r="A68" t="s">
        <v>1876</v>
      </c>
      <c r="B68" t="s">
        <v>132</v>
      </c>
      <c r="C68" t="s">
        <v>164</v>
      </c>
      <c r="D68">
        <v>8084</v>
      </c>
      <c r="E68">
        <v>7066</v>
      </c>
      <c r="F68">
        <v>8336</v>
      </c>
      <c r="G68">
        <v>8181</v>
      </c>
    </row>
    <row r="69" spans="1:7">
      <c r="A69" t="s">
        <v>1876</v>
      </c>
      <c r="B69" t="s">
        <v>132</v>
      </c>
      <c r="C69" t="s">
        <v>165</v>
      </c>
      <c r="D69">
        <v>71044</v>
      </c>
      <c r="E69">
        <v>80462</v>
      </c>
      <c r="F69">
        <v>82494</v>
      </c>
      <c r="G69">
        <v>81992</v>
      </c>
    </row>
    <row r="70" spans="1:7">
      <c r="A70" t="s">
        <v>1876</v>
      </c>
      <c r="B70" t="s">
        <v>132</v>
      </c>
      <c r="C70" t="s">
        <v>166</v>
      </c>
      <c r="D70">
        <v>66125</v>
      </c>
      <c r="E70">
        <v>75828</v>
      </c>
      <c r="F70">
        <v>77234</v>
      </c>
      <c r="G70">
        <v>76716</v>
      </c>
    </row>
    <row r="71" spans="1:7">
      <c r="A71" t="s">
        <v>1876</v>
      </c>
      <c r="B71" t="s">
        <v>132</v>
      </c>
      <c r="C71" t="s">
        <v>167</v>
      </c>
      <c r="D71">
        <v>4919</v>
      </c>
      <c r="E71">
        <v>4633</v>
      </c>
      <c r="F71">
        <v>5260</v>
      </c>
      <c r="G71">
        <v>5276</v>
      </c>
    </row>
    <row r="72" spans="1:7">
      <c r="A72" t="s">
        <v>1876</v>
      </c>
      <c r="B72" t="s">
        <v>132</v>
      </c>
      <c r="C72" t="s">
        <v>1908</v>
      </c>
      <c r="D72">
        <v>34130</v>
      </c>
      <c r="E72">
        <v>45885</v>
      </c>
      <c r="F72">
        <v>45032</v>
      </c>
      <c r="G72">
        <v>45080</v>
      </c>
    </row>
    <row r="73" spans="1:7">
      <c r="A73" t="s">
        <v>1876</v>
      </c>
      <c r="B73" t="s">
        <v>132</v>
      </c>
      <c r="C73" t="s">
        <v>1909</v>
      </c>
      <c r="D73">
        <v>8739</v>
      </c>
      <c r="E73">
        <v>7541</v>
      </c>
      <c r="F73">
        <v>8898</v>
      </c>
      <c r="G73">
        <v>8929</v>
      </c>
    </row>
    <row r="74" spans="1:7">
      <c r="A74" t="s">
        <v>1876</v>
      </c>
      <c r="B74" t="s">
        <v>132</v>
      </c>
      <c r="C74" t="s">
        <v>1910</v>
      </c>
      <c r="D74">
        <v>4919</v>
      </c>
      <c r="E74">
        <v>4633</v>
      </c>
      <c r="F74">
        <v>5260</v>
      </c>
      <c r="G74">
        <v>5276</v>
      </c>
    </row>
    <row r="75" spans="1:7">
      <c r="A75" t="s">
        <v>1876</v>
      </c>
      <c r="B75" t="s">
        <v>132</v>
      </c>
      <c r="C75" t="s">
        <v>1911</v>
      </c>
      <c r="D75">
        <v>15171</v>
      </c>
      <c r="E75">
        <v>15336</v>
      </c>
      <c r="F75">
        <v>14968</v>
      </c>
      <c r="G75">
        <v>14525</v>
      </c>
    </row>
    <row r="76" spans="1:7">
      <c r="A76" t="s">
        <v>1876</v>
      </c>
      <c r="B76" t="s">
        <v>132</v>
      </c>
      <c r="C76" t="s">
        <v>1912</v>
      </c>
      <c r="D76">
        <v>8084</v>
      </c>
      <c r="E76">
        <v>7066</v>
      </c>
      <c r="F76">
        <v>8336</v>
      </c>
      <c r="G76">
        <v>8181</v>
      </c>
    </row>
    <row r="77" spans="1:7">
      <c r="A77" t="s">
        <v>1876</v>
      </c>
      <c r="B77" t="s">
        <v>132</v>
      </c>
      <c r="C77" t="s">
        <v>168</v>
      </c>
      <c r="D77">
        <v>71044</v>
      </c>
      <c r="E77">
        <v>80462</v>
      </c>
      <c r="F77">
        <v>82494</v>
      </c>
      <c r="G77">
        <v>81992</v>
      </c>
    </row>
    <row r="78" spans="1:7">
      <c r="A78" t="s">
        <v>1876</v>
      </c>
      <c r="B78" t="s">
        <v>132</v>
      </c>
      <c r="C78" t="s">
        <v>169</v>
      </c>
      <c r="D78">
        <v>0</v>
      </c>
      <c r="E78">
        <v>0</v>
      </c>
      <c r="F78">
        <v>0</v>
      </c>
      <c r="G78">
        <v>0</v>
      </c>
    </row>
    <row r="79" spans="1:7">
      <c r="A79" t="s">
        <v>1876</v>
      </c>
      <c r="B79" t="s">
        <v>132</v>
      </c>
      <c r="C79" t="s">
        <v>1704</v>
      </c>
      <c r="D79">
        <v>2774</v>
      </c>
      <c r="E79">
        <v>2820</v>
      </c>
      <c r="F79">
        <v>2821</v>
      </c>
      <c r="G79">
        <v>2853</v>
      </c>
    </row>
    <row r="80" spans="1:7">
      <c r="A80" t="s">
        <v>1876</v>
      </c>
      <c r="B80" t="s">
        <v>132</v>
      </c>
      <c r="C80" t="s">
        <v>170</v>
      </c>
      <c r="D80">
        <v>0</v>
      </c>
      <c r="E80">
        <v>0</v>
      </c>
      <c r="F80">
        <v>0</v>
      </c>
      <c r="G80">
        <v>0</v>
      </c>
    </row>
    <row r="81" spans="1:7">
      <c r="A81" t="s">
        <v>1876</v>
      </c>
      <c r="B81" t="s">
        <v>132</v>
      </c>
      <c r="C81" t="s">
        <v>171</v>
      </c>
      <c r="D81">
        <v>0</v>
      </c>
      <c r="E81">
        <v>0</v>
      </c>
      <c r="F81">
        <v>0</v>
      </c>
      <c r="G81">
        <v>0</v>
      </c>
    </row>
    <row r="82" spans="1:7">
      <c r="A82" t="s">
        <v>1876</v>
      </c>
      <c r="B82" t="s">
        <v>132</v>
      </c>
      <c r="C82" t="s">
        <v>172</v>
      </c>
      <c r="D82">
        <v>0</v>
      </c>
      <c r="E82">
        <v>0</v>
      </c>
      <c r="F82">
        <v>0</v>
      </c>
      <c r="G82">
        <v>0</v>
      </c>
    </row>
    <row r="83" spans="1:7">
      <c r="A83" t="s">
        <v>1876</v>
      </c>
      <c r="B83" t="s">
        <v>132</v>
      </c>
      <c r="C83" t="s">
        <v>1913</v>
      </c>
      <c r="D83">
        <v>1.7</v>
      </c>
      <c r="E83">
        <v>2.2999999999999998</v>
      </c>
      <c r="F83">
        <v>3.4</v>
      </c>
      <c r="G83">
        <v>4.3</v>
      </c>
    </row>
    <row r="84" spans="1:7">
      <c r="A84" t="s">
        <v>1876</v>
      </c>
      <c r="B84" t="s">
        <v>132</v>
      </c>
      <c r="C84" t="s">
        <v>1914</v>
      </c>
      <c r="D84">
        <v>0.3</v>
      </c>
      <c r="E84">
        <v>0.4</v>
      </c>
      <c r="F84">
        <v>0.7</v>
      </c>
      <c r="G84">
        <v>0.8</v>
      </c>
    </row>
    <row r="85" spans="1:7">
      <c r="A85" t="s">
        <v>1876</v>
      </c>
      <c r="B85" t="s">
        <v>132</v>
      </c>
      <c r="C85" t="s">
        <v>173</v>
      </c>
      <c r="D85">
        <v>0</v>
      </c>
      <c r="E85">
        <v>0</v>
      </c>
      <c r="F85">
        <v>0</v>
      </c>
      <c r="G85">
        <v>0</v>
      </c>
    </row>
    <row r="86" spans="1:7">
      <c r="A86" t="s">
        <v>1876</v>
      </c>
      <c r="B86" t="s">
        <v>132</v>
      </c>
      <c r="C86" t="s">
        <v>174</v>
      </c>
      <c r="D86">
        <v>0</v>
      </c>
      <c r="E86">
        <v>0</v>
      </c>
      <c r="F86">
        <v>0</v>
      </c>
      <c r="G86">
        <v>0</v>
      </c>
    </row>
    <row r="87" spans="1:7">
      <c r="A87" t="s">
        <v>1876</v>
      </c>
      <c r="B87" t="s">
        <v>132</v>
      </c>
      <c r="C87" t="s">
        <v>175</v>
      </c>
      <c r="D87">
        <v>0</v>
      </c>
      <c r="E87">
        <v>0</v>
      </c>
      <c r="F87">
        <v>0</v>
      </c>
      <c r="G87">
        <v>0</v>
      </c>
    </row>
    <row r="88" spans="1:7">
      <c r="A88" t="s">
        <v>1876</v>
      </c>
      <c r="B88" t="s">
        <v>132</v>
      </c>
      <c r="C88" t="s">
        <v>176</v>
      </c>
      <c r="D88">
        <v>0</v>
      </c>
      <c r="E88">
        <v>0</v>
      </c>
      <c r="F88">
        <v>0</v>
      </c>
      <c r="G88">
        <v>0</v>
      </c>
    </row>
    <row r="89" spans="1:7">
      <c r="A89" t="s">
        <v>1876</v>
      </c>
      <c r="B89" t="s">
        <v>132</v>
      </c>
      <c r="C89" t="s">
        <v>177</v>
      </c>
      <c r="D89">
        <v>0</v>
      </c>
      <c r="E89">
        <v>0</v>
      </c>
      <c r="F89">
        <v>0</v>
      </c>
      <c r="G89">
        <v>0</v>
      </c>
    </row>
    <row r="90" spans="1:7">
      <c r="A90" t="s">
        <v>1876</v>
      </c>
      <c r="B90" t="s">
        <v>132</v>
      </c>
      <c r="C90" t="s">
        <v>178</v>
      </c>
      <c r="D90">
        <v>0</v>
      </c>
      <c r="E90">
        <v>0</v>
      </c>
      <c r="F90">
        <v>0</v>
      </c>
      <c r="G90">
        <v>0</v>
      </c>
    </row>
    <row r="91" spans="1:7">
      <c r="A91" t="s">
        <v>1876</v>
      </c>
      <c r="B91" t="s">
        <v>132</v>
      </c>
      <c r="C91" t="s">
        <v>179</v>
      </c>
      <c r="D91">
        <v>0</v>
      </c>
      <c r="E91">
        <v>0</v>
      </c>
      <c r="F91">
        <v>0</v>
      </c>
      <c r="G91">
        <v>0</v>
      </c>
    </row>
    <row r="92" spans="1:7">
      <c r="A92" t="s">
        <v>1876</v>
      </c>
      <c r="B92" t="s">
        <v>132</v>
      </c>
      <c r="C92" t="s">
        <v>180</v>
      </c>
      <c r="D92">
        <v>0</v>
      </c>
      <c r="E92">
        <v>0</v>
      </c>
      <c r="F92">
        <v>0</v>
      </c>
      <c r="G92">
        <v>0</v>
      </c>
    </row>
    <row r="93" spans="1:7">
      <c r="A93" t="s">
        <v>1876</v>
      </c>
      <c r="B93" t="s">
        <v>132</v>
      </c>
      <c r="C93" t="s">
        <v>181</v>
      </c>
      <c r="D93">
        <v>8730</v>
      </c>
      <c r="E93">
        <v>8789</v>
      </c>
      <c r="F93">
        <v>8881</v>
      </c>
      <c r="G93">
        <v>8884</v>
      </c>
    </row>
    <row r="94" spans="1:7">
      <c r="A94" t="s">
        <v>1876</v>
      </c>
      <c r="B94" t="s">
        <v>132</v>
      </c>
      <c r="C94" t="s">
        <v>182</v>
      </c>
      <c r="D94">
        <v>4527</v>
      </c>
      <c r="E94">
        <v>4694</v>
      </c>
      <c r="F94">
        <v>4678</v>
      </c>
      <c r="G94">
        <v>4682</v>
      </c>
    </row>
    <row r="95" spans="1:7">
      <c r="A95" t="s">
        <v>1876</v>
      </c>
      <c r="B95" t="s">
        <v>132</v>
      </c>
      <c r="C95" t="s">
        <v>183</v>
      </c>
      <c r="D95">
        <v>7110</v>
      </c>
      <c r="E95">
        <v>6996</v>
      </c>
      <c r="F95">
        <v>6997</v>
      </c>
      <c r="G95">
        <v>7065</v>
      </c>
    </row>
    <row r="96" spans="1:7">
      <c r="A96" t="s">
        <v>1876</v>
      </c>
      <c r="B96" t="s">
        <v>132</v>
      </c>
      <c r="C96" t="s">
        <v>184</v>
      </c>
      <c r="D96">
        <v>20367</v>
      </c>
      <c r="E96">
        <v>20479</v>
      </c>
      <c r="F96">
        <v>20556</v>
      </c>
      <c r="G96">
        <v>20631</v>
      </c>
    </row>
    <row r="97" spans="1:7">
      <c r="A97" t="s">
        <v>1876</v>
      </c>
      <c r="B97" t="s">
        <v>132</v>
      </c>
      <c r="C97" t="s">
        <v>185</v>
      </c>
      <c r="D97">
        <v>20367</v>
      </c>
      <c r="E97">
        <v>20479</v>
      </c>
      <c r="F97">
        <v>20556</v>
      </c>
      <c r="G97">
        <v>20631</v>
      </c>
    </row>
    <row r="98" spans="1:7">
      <c r="A98" t="s">
        <v>1876</v>
      </c>
      <c r="B98" t="s">
        <v>132</v>
      </c>
      <c r="C98" t="s">
        <v>1915</v>
      </c>
      <c r="D98">
        <v>3</v>
      </c>
      <c r="E98">
        <v>5</v>
      </c>
      <c r="F98">
        <v>12</v>
      </c>
      <c r="G98">
        <v>17</v>
      </c>
    </row>
    <row r="99" spans="1:7">
      <c r="A99" t="s">
        <v>1876</v>
      </c>
      <c r="B99" t="s">
        <v>132</v>
      </c>
      <c r="C99" t="s">
        <v>1916</v>
      </c>
      <c r="D99">
        <v>0</v>
      </c>
      <c r="E99">
        <v>0</v>
      </c>
      <c r="F99">
        <v>0</v>
      </c>
      <c r="G99">
        <v>0</v>
      </c>
    </row>
    <row r="100" spans="1:7">
      <c r="A100" t="s">
        <v>1876</v>
      </c>
      <c r="B100" t="s">
        <v>132</v>
      </c>
      <c r="C100" t="s">
        <v>1917</v>
      </c>
      <c r="D100">
        <v>3</v>
      </c>
      <c r="E100">
        <v>3</v>
      </c>
      <c r="F100">
        <v>3</v>
      </c>
      <c r="G100">
        <v>3</v>
      </c>
    </row>
    <row r="101" spans="1:7">
      <c r="A101" t="s">
        <v>1876</v>
      </c>
      <c r="B101" t="s">
        <v>132</v>
      </c>
      <c r="C101" t="s">
        <v>1918</v>
      </c>
      <c r="D101">
        <v>82</v>
      </c>
      <c r="E101">
        <v>107</v>
      </c>
      <c r="F101">
        <v>114</v>
      </c>
      <c r="G101">
        <v>113</v>
      </c>
    </row>
    <row r="102" spans="1:7">
      <c r="A102" t="s">
        <v>1876</v>
      </c>
      <c r="B102" t="s">
        <v>132</v>
      </c>
      <c r="C102" t="s">
        <v>1919</v>
      </c>
      <c r="D102">
        <v>1.74</v>
      </c>
      <c r="E102">
        <v>1.91</v>
      </c>
      <c r="F102">
        <v>2</v>
      </c>
      <c r="G102">
        <v>1.95</v>
      </c>
    </row>
    <row r="103" spans="1:7">
      <c r="A103" t="s">
        <v>1876</v>
      </c>
      <c r="B103" t="s">
        <v>132</v>
      </c>
      <c r="C103" t="s">
        <v>1920</v>
      </c>
      <c r="D103">
        <v>104</v>
      </c>
      <c r="E103">
        <v>148</v>
      </c>
      <c r="F103">
        <v>164</v>
      </c>
      <c r="G103">
        <v>161</v>
      </c>
    </row>
    <row r="104" spans="1:7">
      <c r="A104" t="s">
        <v>1876</v>
      </c>
      <c r="B104" t="s">
        <v>132</v>
      </c>
      <c r="C104" t="s">
        <v>1921</v>
      </c>
      <c r="D104">
        <v>53</v>
      </c>
      <c r="E104">
        <v>67</v>
      </c>
      <c r="F104">
        <v>69</v>
      </c>
      <c r="G104">
        <v>70</v>
      </c>
    </row>
    <row r="105" spans="1:7">
      <c r="A105" t="s">
        <v>1876</v>
      </c>
      <c r="B105" t="s">
        <v>132</v>
      </c>
      <c r="C105" t="s">
        <v>1922</v>
      </c>
      <c r="D105">
        <v>19</v>
      </c>
      <c r="E105">
        <v>38</v>
      </c>
      <c r="F105">
        <v>47</v>
      </c>
      <c r="G105">
        <v>45</v>
      </c>
    </row>
    <row r="106" spans="1:7">
      <c r="A106" t="s">
        <v>1876</v>
      </c>
      <c r="B106" t="s">
        <v>132</v>
      </c>
      <c r="C106" t="s">
        <v>1923</v>
      </c>
      <c r="D106">
        <v>2.11</v>
      </c>
      <c r="E106">
        <v>2.2400000000000002</v>
      </c>
      <c r="F106">
        <v>2.2400000000000002</v>
      </c>
      <c r="G106">
        <v>2.25</v>
      </c>
    </row>
    <row r="107" spans="1:7">
      <c r="A107" t="s">
        <v>1876</v>
      </c>
      <c r="B107" t="s">
        <v>132</v>
      </c>
      <c r="C107" t="s">
        <v>1924</v>
      </c>
      <c r="D107">
        <v>2</v>
      </c>
      <c r="E107">
        <v>5</v>
      </c>
      <c r="F107">
        <v>5</v>
      </c>
      <c r="G107">
        <v>2</v>
      </c>
    </row>
    <row r="108" spans="1:7">
      <c r="A108" t="s">
        <v>1876</v>
      </c>
      <c r="B108" t="s">
        <v>132</v>
      </c>
      <c r="C108" t="s">
        <v>1925</v>
      </c>
      <c r="D108">
        <v>39</v>
      </c>
      <c r="E108">
        <v>42</v>
      </c>
      <c r="F108">
        <v>39</v>
      </c>
      <c r="G108">
        <v>40</v>
      </c>
    </row>
    <row r="109" spans="1:7">
      <c r="A109" t="s">
        <v>1876</v>
      </c>
      <c r="B109" t="s">
        <v>132</v>
      </c>
      <c r="C109" t="s">
        <v>1926</v>
      </c>
      <c r="D109">
        <v>12</v>
      </c>
      <c r="E109">
        <v>20</v>
      </c>
      <c r="F109">
        <v>25</v>
      </c>
      <c r="G109">
        <v>28</v>
      </c>
    </row>
    <row r="110" spans="1:7">
      <c r="A110" t="s">
        <v>1876</v>
      </c>
      <c r="B110" t="s">
        <v>132</v>
      </c>
      <c r="C110" t="s">
        <v>1927</v>
      </c>
      <c r="D110">
        <v>2</v>
      </c>
      <c r="E110">
        <v>2</v>
      </c>
      <c r="F110">
        <v>1</v>
      </c>
      <c r="G110">
        <v>1</v>
      </c>
    </row>
    <row r="111" spans="1:7">
      <c r="A111" t="s">
        <v>1876</v>
      </c>
      <c r="B111" t="s">
        <v>132</v>
      </c>
      <c r="C111" t="s">
        <v>1928</v>
      </c>
      <c r="D111">
        <v>48</v>
      </c>
      <c r="E111">
        <v>61</v>
      </c>
      <c r="F111">
        <v>63</v>
      </c>
      <c r="G111">
        <v>64</v>
      </c>
    </row>
    <row r="112" spans="1:7">
      <c r="A112" t="s">
        <v>1876</v>
      </c>
      <c r="B112" t="s">
        <v>132</v>
      </c>
      <c r="C112" t="s">
        <v>1929</v>
      </c>
      <c r="D112">
        <v>3</v>
      </c>
      <c r="E112">
        <v>4</v>
      </c>
      <c r="F112">
        <v>5</v>
      </c>
      <c r="G112">
        <v>5</v>
      </c>
    </row>
    <row r="113" spans="1:7">
      <c r="A113" t="s">
        <v>1876</v>
      </c>
      <c r="B113" t="s">
        <v>132</v>
      </c>
      <c r="C113" t="s">
        <v>186</v>
      </c>
      <c r="D113">
        <v>0</v>
      </c>
      <c r="E113">
        <v>0</v>
      </c>
      <c r="F113">
        <v>0</v>
      </c>
      <c r="G113">
        <v>0</v>
      </c>
    </row>
    <row r="114" spans="1:7">
      <c r="A114" t="s">
        <v>1876</v>
      </c>
      <c r="B114" t="s">
        <v>132</v>
      </c>
      <c r="C114" t="s">
        <v>187</v>
      </c>
      <c r="D114">
        <v>0</v>
      </c>
      <c r="E114">
        <v>0</v>
      </c>
      <c r="F114">
        <v>0</v>
      </c>
      <c r="G114">
        <v>0</v>
      </c>
    </row>
    <row r="115" spans="1:7">
      <c r="A115" t="s">
        <v>1876</v>
      </c>
      <c r="B115" t="s">
        <v>132</v>
      </c>
      <c r="C115" t="s">
        <v>1705</v>
      </c>
      <c r="D115">
        <v>2185</v>
      </c>
      <c r="E115">
        <v>2183</v>
      </c>
      <c r="F115">
        <v>2177</v>
      </c>
      <c r="G115">
        <v>2169</v>
      </c>
    </row>
    <row r="116" spans="1:7">
      <c r="A116" t="s">
        <v>1876</v>
      </c>
      <c r="B116" t="s">
        <v>132</v>
      </c>
      <c r="C116" t="s">
        <v>188</v>
      </c>
      <c r="D116">
        <v>675723</v>
      </c>
      <c r="E116">
        <v>720037</v>
      </c>
      <c r="F116">
        <v>737416</v>
      </c>
      <c r="G116">
        <v>750187</v>
      </c>
    </row>
    <row r="117" spans="1:7">
      <c r="A117" t="s">
        <v>1876</v>
      </c>
      <c r="B117" t="s">
        <v>132</v>
      </c>
      <c r="C117" t="s">
        <v>189</v>
      </c>
      <c r="D117">
        <v>0</v>
      </c>
      <c r="E117">
        <v>0</v>
      </c>
      <c r="F117">
        <v>0</v>
      </c>
      <c r="G117">
        <v>0</v>
      </c>
    </row>
    <row r="118" spans="1:7">
      <c r="A118" t="s">
        <v>1876</v>
      </c>
      <c r="B118" t="s">
        <v>132</v>
      </c>
      <c r="C118" t="s">
        <v>190</v>
      </c>
      <c r="D118">
        <v>0</v>
      </c>
      <c r="E118">
        <v>0</v>
      </c>
      <c r="F118">
        <v>0</v>
      </c>
      <c r="G118">
        <v>0</v>
      </c>
    </row>
    <row r="119" spans="1:7">
      <c r="A119" t="s">
        <v>1876</v>
      </c>
      <c r="B119" t="s">
        <v>132</v>
      </c>
      <c r="C119" t="s">
        <v>191</v>
      </c>
      <c r="D119">
        <v>0</v>
      </c>
      <c r="E119">
        <v>0</v>
      </c>
      <c r="F119">
        <v>0</v>
      </c>
      <c r="G119">
        <v>0</v>
      </c>
    </row>
    <row r="120" spans="1:7">
      <c r="A120" t="s">
        <v>1876</v>
      </c>
      <c r="B120" t="s">
        <v>132</v>
      </c>
      <c r="C120" t="s">
        <v>192</v>
      </c>
      <c r="D120">
        <v>59363</v>
      </c>
      <c r="E120">
        <v>65682.5</v>
      </c>
      <c r="F120">
        <v>68232.7</v>
      </c>
      <c r="G120">
        <v>71567.199999999997</v>
      </c>
    </row>
    <row r="121" spans="1:7">
      <c r="A121" t="s">
        <v>1876</v>
      </c>
      <c r="B121" t="s">
        <v>132</v>
      </c>
      <c r="C121" t="s">
        <v>193</v>
      </c>
      <c r="D121">
        <v>51764</v>
      </c>
      <c r="E121">
        <v>50509.1</v>
      </c>
      <c r="F121">
        <v>54183.8</v>
      </c>
      <c r="G121">
        <v>55945.7</v>
      </c>
    </row>
    <row r="122" spans="1:7">
      <c r="A122" t="s">
        <v>1876</v>
      </c>
      <c r="B122" t="s">
        <v>132</v>
      </c>
      <c r="C122" t="s">
        <v>1930</v>
      </c>
      <c r="D122">
        <v>0</v>
      </c>
      <c r="E122">
        <v>0</v>
      </c>
      <c r="F122">
        <v>0</v>
      </c>
      <c r="G122">
        <v>0</v>
      </c>
    </row>
    <row r="123" spans="1:7">
      <c r="A123" t="s">
        <v>1876</v>
      </c>
      <c r="B123" t="s">
        <v>132</v>
      </c>
      <c r="C123" t="s">
        <v>194</v>
      </c>
      <c r="D123">
        <v>85</v>
      </c>
      <c r="E123">
        <v>85</v>
      </c>
      <c r="F123">
        <v>85</v>
      </c>
      <c r="G123">
        <v>85</v>
      </c>
    </row>
    <row r="124" spans="1:7">
      <c r="A124" t="s">
        <v>1876</v>
      </c>
      <c r="B124" t="s">
        <v>132</v>
      </c>
      <c r="C124" t="s">
        <v>195</v>
      </c>
      <c r="D124">
        <v>0</v>
      </c>
      <c r="E124">
        <v>0</v>
      </c>
      <c r="F124">
        <v>0</v>
      </c>
      <c r="G124">
        <v>0</v>
      </c>
    </row>
    <row r="125" spans="1:7">
      <c r="A125" t="s">
        <v>1876</v>
      </c>
      <c r="B125" t="s">
        <v>132</v>
      </c>
      <c r="C125" t="s">
        <v>1706</v>
      </c>
      <c r="D125">
        <v>0</v>
      </c>
      <c r="E125">
        <v>0</v>
      </c>
      <c r="F125">
        <v>0</v>
      </c>
      <c r="G125">
        <v>0</v>
      </c>
    </row>
    <row r="126" spans="1:7">
      <c r="A126" t="s">
        <v>1876</v>
      </c>
      <c r="B126" t="s">
        <v>132</v>
      </c>
      <c r="C126" t="s">
        <v>196</v>
      </c>
      <c r="D126">
        <v>0</v>
      </c>
      <c r="E126">
        <v>0</v>
      </c>
      <c r="F126">
        <v>0</v>
      </c>
      <c r="G126">
        <v>0</v>
      </c>
    </row>
    <row r="127" spans="1:7">
      <c r="A127" t="s">
        <v>1876</v>
      </c>
      <c r="B127" t="s">
        <v>132</v>
      </c>
      <c r="C127" t="s">
        <v>197</v>
      </c>
      <c r="D127">
        <v>101</v>
      </c>
      <c r="E127">
        <v>101</v>
      </c>
      <c r="F127">
        <v>101</v>
      </c>
      <c r="G127">
        <v>101</v>
      </c>
    </row>
    <row r="128" spans="1:7">
      <c r="A128" t="s">
        <v>1876</v>
      </c>
      <c r="B128" t="s">
        <v>132</v>
      </c>
      <c r="C128" t="s">
        <v>198</v>
      </c>
      <c r="D128">
        <v>186</v>
      </c>
      <c r="E128">
        <v>186</v>
      </c>
      <c r="F128">
        <v>186</v>
      </c>
      <c r="G128">
        <v>186</v>
      </c>
    </row>
    <row r="129" spans="1:7">
      <c r="A129" t="s">
        <v>1876</v>
      </c>
      <c r="B129" t="s">
        <v>132</v>
      </c>
      <c r="C129" t="s">
        <v>199</v>
      </c>
      <c r="D129">
        <v>186</v>
      </c>
      <c r="E129">
        <v>186</v>
      </c>
      <c r="F129">
        <v>186</v>
      </c>
      <c r="G129">
        <v>186</v>
      </c>
    </row>
    <row r="130" spans="1:7">
      <c r="A130" t="s">
        <v>1876</v>
      </c>
      <c r="B130" t="s">
        <v>132</v>
      </c>
      <c r="C130" t="s">
        <v>200</v>
      </c>
      <c r="D130">
        <v>6</v>
      </c>
      <c r="E130">
        <v>11</v>
      </c>
      <c r="F130">
        <v>11</v>
      </c>
      <c r="G130">
        <v>10</v>
      </c>
    </row>
    <row r="131" spans="1:7">
      <c r="A131" t="s">
        <v>1876</v>
      </c>
      <c r="B131" t="s">
        <v>132</v>
      </c>
      <c r="C131" t="s">
        <v>201</v>
      </c>
      <c r="D131">
        <v>816</v>
      </c>
      <c r="E131">
        <v>783</v>
      </c>
      <c r="F131">
        <v>771</v>
      </c>
      <c r="G131">
        <v>799</v>
      </c>
    </row>
    <row r="132" spans="1:7">
      <c r="A132" t="s">
        <v>1876</v>
      </c>
      <c r="B132" t="s">
        <v>132</v>
      </c>
      <c r="C132" t="s">
        <v>202</v>
      </c>
      <c r="D132">
        <v>126</v>
      </c>
      <c r="E132">
        <v>112</v>
      </c>
      <c r="F132">
        <v>102</v>
      </c>
      <c r="G132">
        <v>91</v>
      </c>
    </row>
    <row r="133" spans="1:7">
      <c r="A133" t="s">
        <v>1876</v>
      </c>
      <c r="B133" t="s">
        <v>132</v>
      </c>
      <c r="C133" t="s">
        <v>203</v>
      </c>
      <c r="D133">
        <v>419</v>
      </c>
      <c r="E133">
        <v>404</v>
      </c>
      <c r="F133">
        <v>387</v>
      </c>
      <c r="G133">
        <v>431</v>
      </c>
    </row>
    <row r="134" spans="1:7">
      <c r="A134" t="s">
        <v>1876</v>
      </c>
      <c r="B134" t="s">
        <v>132</v>
      </c>
      <c r="C134" t="s">
        <v>204</v>
      </c>
      <c r="D134">
        <v>1367</v>
      </c>
      <c r="E134">
        <v>1309</v>
      </c>
      <c r="F134">
        <v>1271</v>
      </c>
      <c r="G134">
        <v>1331</v>
      </c>
    </row>
    <row r="135" spans="1:7">
      <c r="A135" t="s">
        <v>1876</v>
      </c>
      <c r="B135" t="s">
        <v>132</v>
      </c>
      <c r="C135" t="s">
        <v>205</v>
      </c>
      <c r="D135">
        <v>1367</v>
      </c>
      <c r="E135">
        <v>1309</v>
      </c>
      <c r="F135">
        <v>1271</v>
      </c>
      <c r="G135">
        <v>1331</v>
      </c>
    </row>
    <row r="136" spans="1:7">
      <c r="A136" t="s">
        <v>1876</v>
      </c>
      <c r="B136" t="s">
        <v>132</v>
      </c>
      <c r="C136" t="s">
        <v>1931</v>
      </c>
      <c r="D136">
        <v>0</v>
      </c>
      <c r="E136">
        <v>0</v>
      </c>
      <c r="F136">
        <v>0</v>
      </c>
      <c r="G136">
        <v>0</v>
      </c>
    </row>
    <row r="137" spans="1:7">
      <c r="A137" t="s">
        <v>1876</v>
      </c>
      <c r="B137" t="s">
        <v>132</v>
      </c>
      <c r="C137" t="s">
        <v>1707</v>
      </c>
      <c r="D137">
        <v>0</v>
      </c>
      <c r="E137">
        <v>0</v>
      </c>
      <c r="F137">
        <v>0</v>
      </c>
      <c r="G137">
        <v>0</v>
      </c>
    </row>
    <row r="138" spans="1:7">
      <c r="A138" t="s">
        <v>1876</v>
      </c>
      <c r="B138" t="s">
        <v>132</v>
      </c>
      <c r="C138" t="s">
        <v>1932</v>
      </c>
      <c r="D138">
        <v>40.6</v>
      </c>
      <c r="E138">
        <v>41.1</v>
      </c>
      <c r="F138">
        <v>42.7</v>
      </c>
      <c r="G138">
        <v>41</v>
      </c>
    </row>
    <row r="139" spans="1:7">
      <c r="A139" t="s">
        <v>1876</v>
      </c>
      <c r="B139" t="s">
        <v>132</v>
      </c>
      <c r="C139" t="s">
        <v>1708</v>
      </c>
      <c r="D139">
        <v>476</v>
      </c>
      <c r="E139">
        <v>476</v>
      </c>
      <c r="F139">
        <v>476</v>
      </c>
      <c r="G139">
        <v>476</v>
      </c>
    </row>
    <row r="140" spans="1:7">
      <c r="A140" t="s">
        <v>1876</v>
      </c>
      <c r="B140" t="s">
        <v>132</v>
      </c>
      <c r="C140" t="s">
        <v>206</v>
      </c>
      <c r="D140">
        <v>577</v>
      </c>
      <c r="E140">
        <v>626</v>
      </c>
      <c r="F140">
        <v>647</v>
      </c>
      <c r="G140">
        <v>687</v>
      </c>
    </row>
    <row r="141" spans="1:7">
      <c r="A141" t="s">
        <v>1876</v>
      </c>
      <c r="B141" t="s">
        <v>132</v>
      </c>
      <c r="C141" t="s">
        <v>207</v>
      </c>
      <c r="D141">
        <v>5185</v>
      </c>
      <c r="E141">
        <v>5221</v>
      </c>
      <c r="F141">
        <v>5404</v>
      </c>
      <c r="G141">
        <v>5164</v>
      </c>
    </row>
    <row r="142" spans="1:7">
      <c r="A142" t="s">
        <v>1876</v>
      </c>
      <c r="B142" t="s">
        <v>132</v>
      </c>
      <c r="C142" t="s">
        <v>208</v>
      </c>
      <c r="D142">
        <v>0</v>
      </c>
      <c r="E142">
        <v>0</v>
      </c>
      <c r="F142">
        <v>0</v>
      </c>
      <c r="G142">
        <v>0</v>
      </c>
    </row>
    <row r="143" spans="1:7">
      <c r="A143" t="s">
        <v>1876</v>
      </c>
      <c r="B143" t="s">
        <v>132</v>
      </c>
      <c r="C143" t="s">
        <v>209</v>
      </c>
      <c r="D143">
        <v>5763</v>
      </c>
      <c r="E143">
        <v>5846</v>
      </c>
      <c r="F143">
        <v>6051</v>
      </c>
      <c r="G143">
        <v>5852</v>
      </c>
    </row>
    <row r="144" spans="1:7">
      <c r="A144" t="s">
        <v>1876</v>
      </c>
      <c r="B144" t="s">
        <v>132</v>
      </c>
      <c r="C144" t="s">
        <v>210</v>
      </c>
      <c r="D144">
        <v>577</v>
      </c>
      <c r="E144">
        <v>626</v>
      </c>
      <c r="F144">
        <v>647</v>
      </c>
      <c r="G144">
        <v>687</v>
      </c>
    </row>
    <row r="145" spans="1:7">
      <c r="A145" t="s">
        <v>1876</v>
      </c>
      <c r="B145" t="s">
        <v>132</v>
      </c>
      <c r="C145" t="s">
        <v>211</v>
      </c>
      <c r="D145">
        <v>0</v>
      </c>
      <c r="E145">
        <v>0</v>
      </c>
      <c r="F145">
        <v>0</v>
      </c>
      <c r="G145">
        <v>0</v>
      </c>
    </row>
    <row r="146" spans="1:7">
      <c r="A146" t="s">
        <v>1876</v>
      </c>
      <c r="B146" t="s">
        <v>132</v>
      </c>
      <c r="C146" t="s">
        <v>212</v>
      </c>
      <c r="D146">
        <v>0</v>
      </c>
      <c r="E146">
        <v>0</v>
      </c>
      <c r="F146">
        <v>0</v>
      </c>
      <c r="G146">
        <v>0</v>
      </c>
    </row>
    <row r="147" spans="1:7">
      <c r="A147" t="s">
        <v>1876</v>
      </c>
      <c r="B147" t="s">
        <v>132</v>
      </c>
      <c r="C147" t="s">
        <v>213</v>
      </c>
      <c r="D147">
        <v>0</v>
      </c>
      <c r="E147">
        <v>0</v>
      </c>
      <c r="F147">
        <v>0</v>
      </c>
      <c r="G147">
        <v>0</v>
      </c>
    </row>
    <row r="148" spans="1:7">
      <c r="A148" t="s">
        <v>1876</v>
      </c>
      <c r="B148" t="s">
        <v>132</v>
      </c>
      <c r="C148" t="s">
        <v>214</v>
      </c>
      <c r="D148">
        <v>0</v>
      </c>
      <c r="E148">
        <v>0</v>
      </c>
      <c r="F148">
        <v>0</v>
      </c>
      <c r="G148">
        <v>0</v>
      </c>
    </row>
    <row r="149" spans="1:7">
      <c r="A149" t="s">
        <v>1876</v>
      </c>
      <c r="B149" t="s">
        <v>132</v>
      </c>
      <c r="C149" t="s">
        <v>215</v>
      </c>
      <c r="D149">
        <v>127133</v>
      </c>
      <c r="E149">
        <v>120183</v>
      </c>
      <c r="F149">
        <v>126656</v>
      </c>
      <c r="G149">
        <v>127596</v>
      </c>
    </row>
    <row r="150" spans="1:7">
      <c r="A150" t="s">
        <v>1876</v>
      </c>
      <c r="B150" t="s">
        <v>132</v>
      </c>
      <c r="C150" t="s">
        <v>216</v>
      </c>
      <c r="D150">
        <v>127133</v>
      </c>
      <c r="E150">
        <v>120183</v>
      </c>
      <c r="F150">
        <v>126656</v>
      </c>
      <c r="G150">
        <v>127596</v>
      </c>
    </row>
    <row r="151" spans="1:7">
      <c r="A151" t="s">
        <v>1876</v>
      </c>
      <c r="B151" t="s">
        <v>132</v>
      </c>
      <c r="C151" t="s">
        <v>217</v>
      </c>
      <c r="D151">
        <v>127133</v>
      </c>
      <c r="E151">
        <v>120183</v>
      </c>
      <c r="F151">
        <v>126656</v>
      </c>
      <c r="G151">
        <v>127596</v>
      </c>
    </row>
    <row r="152" spans="1:7">
      <c r="A152" t="s">
        <v>1876</v>
      </c>
      <c r="B152" t="s">
        <v>132</v>
      </c>
      <c r="C152" t="s">
        <v>218</v>
      </c>
      <c r="D152">
        <v>0</v>
      </c>
      <c r="E152">
        <v>0</v>
      </c>
      <c r="F152">
        <v>0</v>
      </c>
      <c r="G152">
        <v>0</v>
      </c>
    </row>
    <row r="153" spans="1:7">
      <c r="A153" t="s">
        <v>1876</v>
      </c>
      <c r="B153" t="s">
        <v>132</v>
      </c>
      <c r="C153" t="s">
        <v>219</v>
      </c>
      <c r="D153">
        <v>0</v>
      </c>
      <c r="E153">
        <v>0</v>
      </c>
      <c r="F153">
        <v>1</v>
      </c>
      <c r="G153">
        <v>1</v>
      </c>
    </row>
    <row r="154" spans="1:7">
      <c r="A154" t="s">
        <v>1876</v>
      </c>
      <c r="B154" t="s">
        <v>132</v>
      </c>
      <c r="C154" t="s">
        <v>220</v>
      </c>
      <c r="D154">
        <v>0</v>
      </c>
      <c r="E154">
        <v>0</v>
      </c>
      <c r="F154">
        <v>0</v>
      </c>
      <c r="G154">
        <v>0</v>
      </c>
    </row>
    <row r="155" spans="1:7">
      <c r="A155" t="s">
        <v>1876</v>
      </c>
      <c r="B155" t="s">
        <v>132</v>
      </c>
      <c r="C155" t="s">
        <v>221</v>
      </c>
      <c r="D155">
        <v>1</v>
      </c>
      <c r="E155">
        <v>1</v>
      </c>
      <c r="F155">
        <v>2</v>
      </c>
      <c r="G155">
        <v>1</v>
      </c>
    </row>
    <row r="156" spans="1:7">
      <c r="A156" t="s">
        <v>1876</v>
      </c>
      <c r="B156" t="s">
        <v>132</v>
      </c>
      <c r="C156" t="s">
        <v>222</v>
      </c>
      <c r="D156">
        <v>1</v>
      </c>
      <c r="E156">
        <v>1</v>
      </c>
      <c r="F156">
        <v>2</v>
      </c>
      <c r="G156">
        <v>1</v>
      </c>
    </row>
    <row r="157" spans="1:7">
      <c r="A157" t="s">
        <v>1876</v>
      </c>
      <c r="B157" t="s">
        <v>132</v>
      </c>
      <c r="C157" t="s">
        <v>1933</v>
      </c>
      <c r="D157">
        <v>531.70000000000005</v>
      </c>
      <c r="E157">
        <v>521.79999999999995</v>
      </c>
      <c r="F157">
        <v>516.20000000000005</v>
      </c>
      <c r="G157">
        <v>525.70000000000005</v>
      </c>
    </row>
    <row r="158" spans="1:7">
      <c r="A158" t="s">
        <v>1876</v>
      </c>
      <c r="B158" t="s">
        <v>132</v>
      </c>
      <c r="C158" t="s">
        <v>223</v>
      </c>
      <c r="D158">
        <v>0</v>
      </c>
      <c r="E158">
        <v>0</v>
      </c>
      <c r="F158">
        <v>0</v>
      </c>
      <c r="G158">
        <v>0</v>
      </c>
    </row>
    <row r="159" spans="1:7">
      <c r="A159" t="s">
        <v>1876</v>
      </c>
      <c r="B159" t="s">
        <v>132</v>
      </c>
      <c r="C159" t="s">
        <v>224</v>
      </c>
      <c r="D159">
        <v>11578</v>
      </c>
      <c r="E159">
        <v>12018</v>
      </c>
      <c r="F159">
        <v>12459</v>
      </c>
      <c r="G159">
        <v>12145</v>
      </c>
    </row>
    <row r="160" spans="1:7">
      <c r="A160" t="s">
        <v>1876</v>
      </c>
      <c r="B160" t="s">
        <v>132</v>
      </c>
      <c r="C160" t="s">
        <v>225</v>
      </c>
      <c r="D160">
        <v>6004</v>
      </c>
      <c r="E160">
        <v>6418</v>
      </c>
      <c r="F160">
        <v>6563</v>
      </c>
      <c r="G160">
        <v>6401</v>
      </c>
    </row>
    <row r="161" spans="1:7">
      <c r="A161" t="s">
        <v>1876</v>
      </c>
      <c r="B161" t="s">
        <v>132</v>
      </c>
      <c r="C161" t="s">
        <v>226</v>
      </c>
      <c r="D161">
        <v>9430</v>
      </c>
      <c r="E161">
        <v>9567</v>
      </c>
      <c r="F161">
        <v>9815</v>
      </c>
      <c r="G161">
        <v>9659</v>
      </c>
    </row>
    <row r="162" spans="1:7">
      <c r="A162" t="s">
        <v>1876</v>
      </c>
      <c r="B162" t="s">
        <v>132</v>
      </c>
      <c r="C162" t="s">
        <v>227</v>
      </c>
      <c r="D162">
        <v>27012</v>
      </c>
      <c r="E162">
        <v>28003</v>
      </c>
      <c r="F162">
        <v>28837</v>
      </c>
      <c r="G162">
        <v>28205</v>
      </c>
    </row>
    <row r="163" spans="1:7">
      <c r="A163" t="s">
        <v>1876</v>
      </c>
      <c r="B163" t="s">
        <v>132</v>
      </c>
      <c r="C163" t="s">
        <v>228</v>
      </c>
      <c r="D163">
        <v>27012</v>
      </c>
      <c r="E163">
        <v>28003</v>
      </c>
      <c r="F163">
        <v>28837</v>
      </c>
      <c r="G163">
        <v>28205</v>
      </c>
    </row>
    <row r="164" spans="1:7">
      <c r="A164" t="s">
        <v>1876</v>
      </c>
      <c r="B164" t="s">
        <v>132</v>
      </c>
      <c r="C164" t="s">
        <v>229</v>
      </c>
      <c r="D164">
        <v>453</v>
      </c>
      <c r="E164">
        <v>566</v>
      </c>
      <c r="F164">
        <v>426</v>
      </c>
      <c r="G164">
        <v>410</v>
      </c>
    </row>
    <row r="165" spans="1:7">
      <c r="A165" t="s">
        <v>1876</v>
      </c>
      <c r="B165" t="s">
        <v>132</v>
      </c>
      <c r="C165" t="s">
        <v>230</v>
      </c>
      <c r="D165">
        <v>604</v>
      </c>
      <c r="E165">
        <v>578</v>
      </c>
      <c r="F165">
        <v>508</v>
      </c>
      <c r="G165">
        <v>495</v>
      </c>
    </row>
    <row r="166" spans="1:7">
      <c r="A166" t="s">
        <v>1876</v>
      </c>
      <c r="B166" t="s">
        <v>132</v>
      </c>
      <c r="C166" t="s">
        <v>231</v>
      </c>
      <c r="D166">
        <v>1057</v>
      </c>
      <c r="E166">
        <v>1144</v>
      </c>
      <c r="F166">
        <v>934</v>
      </c>
      <c r="G166">
        <v>905</v>
      </c>
    </row>
    <row r="167" spans="1:7">
      <c r="A167" t="s">
        <v>1876</v>
      </c>
      <c r="B167" t="s">
        <v>132</v>
      </c>
      <c r="C167" t="s">
        <v>232</v>
      </c>
      <c r="D167">
        <v>1057</v>
      </c>
      <c r="E167">
        <v>1144</v>
      </c>
      <c r="F167">
        <v>934</v>
      </c>
      <c r="G167">
        <v>905</v>
      </c>
    </row>
    <row r="168" spans="1:7">
      <c r="A168" t="s">
        <v>1876</v>
      </c>
      <c r="B168" t="s">
        <v>132</v>
      </c>
      <c r="C168" t="s">
        <v>233</v>
      </c>
      <c r="D168">
        <v>0</v>
      </c>
      <c r="E168">
        <v>0</v>
      </c>
      <c r="F168">
        <v>0</v>
      </c>
      <c r="G168">
        <v>0</v>
      </c>
    </row>
    <row r="169" spans="1:7">
      <c r="A169" t="s">
        <v>1876</v>
      </c>
      <c r="B169" t="s">
        <v>132</v>
      </c>
      <c r="C169" t="s">
        <v>234</v>
      </c>
      <c r="D169">
        <v>30930</v>
      </c>
      <c r="E169">
        <v>30766</v>
      </c>
      <c r="F169">
        <v>30481</v>
      </c>
      <c r="G169">
        <v>30446</v>
      </c>
    </row>
    <row r="170" spans="1:7">
      <c r="A170" t="s">
        <v>1876</v>
      </c>
      <c r="B170" t="s">
        <v>132</v>
      </c>
      <c r="C170" t="s">
        <v>235</v>
      </c>
      <c r="D170">
        <v>536</v>
      </c>
      <c r="E170">
        <v>1012</v>
      </c>
      <c r="F170">
        <v>524</v>
      </c>
      <c r="G170">
        <v>394</v>
      </c>
    </row>
    <row r="171" spans="1:7">
      <c r="A171" t="s">
        <v>1876</v>
      </c>
      <c r="B171" t="s">
        <v>132</v>
      </c>
      <c r="C171" t="s">
        <v>236</v>
      </c>
      <c r="D171">
        <v>524</v>
      </c>
      <c r="E171">
        <v>550</v>
      </c>
      <c r="F171">
        <v>541</v>
      </c>
      <c r="G171">
        <v>318</v>
      </c>
    </row>
    <row r="172" spans="1:7">
      <c r="A172" t="s">
        <v>1876</v>
      </c>
      <c r="B172" t="s">
        <v>132</v>
      </c>
      <c r="C172" t="s">
        <v>237</v>
      </c>
      <c r="D172">
        <v>31989</v>
      </c>
      <c r="E172">
        <v>32328</v>
      </c>
      <c r="F172">
        <v>31546</v>
      </c>
      <c r="G172">
        <v>31159</v>
      </c>
    </row>
    <row r="173" spans="1:7">
      <c r="A173" t="s">
        <v>1876</v>
      </c>
      <c r="B173" t="s">
        <v>132</v>
      </c>
      <c r="C173" t="s">
        <v>238</v>
      </c>
      <c r="D173">
        <v>31989</v>
      </c>
      <c r="E173">
        <v>32328</v>
      </c>
      <c r="F173">
        <v>31546</v>
      </c>
      <c r="G173">
        <v>31159</v>
      </c>
    </row>
    <row r="174" spans="1:7">
      <c r="A174" t="s">
        <v>1876</v>
      </c>
      <c r="B174" t="s">
        <v>132</v>
      </c>
      <c r="C174" t="s">
        <v>1934</v>
      </c>
      <c r="D174">
        <v>30930</v>
      </c>
      <c r="E174">
        <v>30766</v>
      </c>
      <c r="F174">
        <v>30481</v>
      </c>
      <c r="G174">
        <v>30446</v>
      </c>
    </row>
    <row r="175" spans="1:7">
      <c r="A175" t="s">
        <v>1876</v>
      </c>
      <c r="B175" t="s">
        <v>132</v>
      </c>
      <c r="C175" t="s">
        <v>1935</v>
      </c>
      <c r="D175">
        <v>536</v>
      </c>
      <c r="E175">
        <v>1012</v>
      </c>
      <c r="F175">
        <v>524</v>
      </c>
      <c r="G175">
        <v>394</v>
      </c>
    </row>
    <row r="176" spans="1:7">
      <c r="A176" t="s">
        <v>1876</v>
      </c>
      <c r="B176" t="s">
        <v>132</v>
      </c>
      <c r="C176" t="s">
        <v>1936</v>
      </c>
      <c r="D176">
        <v>524</v>
      </c>
      <c r="E176">
        <v>550</v>
      </c>
      <c r="F176">
        <v>541</v>
      </c>
      <c r="G176">
        <v>318</v>
      </c>
    </row>
    <row r="177" spans="1:7">
      <c r="A177" t="s">
        <v>1876</v>
      </c>
      <c r="B177" t="s">
        <v>132</v>
      </c>
      <c r="C177" t="s">
        <v>239</v>
      </c>
      <c r="D177">
        <v>31989</v>
      </c>
      <c r="E177">
        <v>32328</v>
      </c>
      <c r="F177">
        <v>31546</v>
      </c>
      <c r="G177">
        <v>31159</v>
      </c>
    </row>
    <row r="178" spans="1:7">
      <c r="A178" t="s">
        <v>1876</v>
      </c>
      <c r="B178" t="s">
        <v>132</v>
      </c>
      <c r="C178" t="s">
        <v>240</v>
      </c>
      <c r="D178">
        <v>0</v>
      </c>
      <c r="E178">
        <v>0</v>
      </c>
      <c r="F178">
        <v>0</v>
      </c>
      <c r="G178">
        <v>0</v>
      </c>
    </row>
    <row r="179" spans="1:7">
      <c r="A179" t="s">
        <v>1876</v>
      </c>
      <c r="B179" t="s">
        <v>132</v>
      </c>
      <c r="C179" t="s">
        <v>241</v>
      </c>
      <c r="D179">
        <v>0</v>
      </c>
      <c r="E179">
        <v>0</v>
      </c>
      <c r="F179">
        <v>0</v>
      </c>
      <c r="G179">
        <v>0</v>
      </c>
    </row>
    <row r="180" spans="1:7">
      <c r="A180" t="s">
        <v>1876</v>
      </c>
      <c r="B180" t="s">
        <v>132</v>
      </c>
      <c r="C180" t="s">
        <v>242</v>
      </c>
      <c r="D180">
        <v>486</v>
      </c>
      <c r="E180">
        <v>457</v>
      </c>
      <c r="F180">
        <v>449</v>
      </c>
      <c r="G180">
        <v>466</v>
      </c>
    </row>
    <row r="181" spans="1:7">
      <c r="A181" t="s">
        <v>1876</v>
      </c>
      <c r="B181" t="s">
        <v>132</v>
      </c>
      <c r="C181" t="s">
        <v>243</v>
      </c>
      <c r="D181">
        <v>16493</v>
      </c>
      <c r="E181">
        <v>15776</v>
      </c>
      <c r="F181">
        <v>16342</v>
      </c>
      <c r="G181">
        <v>16840</v>
      </c>
    </row>
    <row r="182" spans="1:7">
      <c r="A182" t="s">
        <v>1876</v>
      </c>
      <c r="B182" t="s">
        <v>132</v>
      </c>
      <c r="C182" t="s">
        <v>244</v>
      </c>
      <c r="D182">
        <v>25518</v>
      </c>
      <c r="E182">
        <v>26849</v>
      </c>
      <c r="F182">
        <v>27535</v>
      </c>
      <c r="G182">
        <v>26781</v>
      </c>
    </row>
    <row r="183" spans="1:7">
      <c r="A183" t="s">
        <v>1876</v>
      </c>
      <c r="B183" t="s">
        <v>132</v>
      </c>
      <c r="C183" t="s">
        <v>1709</v>
      </c>
      <c r="D183">
        <v>1273</v>
      </c>
      <c r="E183">
        <v>1270</v>
      </c>
      <c r="F183">
        <v>1258</v>
      </c>
      <c r="G183">
        <v>1258</v>
      </c>
    </row>
    <row r="184" spans="1:7">
      <c r="A184" t="s">
        <v>1876</v>
      </c>
      <c r="B184" t="s">
        <v>132</v>
      </c>
      <c r="C184" t="s">
        <v>245</v>
      </c>
      <c r="D184">
        <v>331968</v>
      </c>
      <c r="E184">
        <v>374982</v>
      </c>
      <c r="F184">
        <v>383105</v>
      </c>
      <c r="G184">
        <v>395131</v>
      </c>
    </row>
    <row r="185" spans="1:7">
      <c r="A185" t="s">
        <v>1876</v>
      </c>
      <c r="B185" t="s">
        <v>132</v>
      </c>
      <c r="C185" t="s">
        <v>246</v>
      </c>
      <c r="D185">
        <v>21124</v>
      </c>
      <c r="E185">
        <v>19854</v>
      </c>
      <c r="F185">
        <v>20657</v>
      </c>
      <c r="G185">
        <v>21374</v>
      </c>
    </row>
    <row r="186" spans="1:7">
      <c r="A186" t="s">
        <v>1876</v>
      </c>
      <c r="B186" t="s">
        <v>132</v>
      </c>
      <c r="C186" t="s">
        <v>247</v>
      </c>
      <c r="D186">
        <v>395590</v>
      </c>
      <c r="E186">
        <v>437916</v>
      </c>
      <c r="F186">
        <v>448087</v>
      </c>
      <c r="G186">
        <v>460589</v>
      </c>
    </row>
    <row r="187" spans="1:7">
      <c r="A187" t="s">
        <v>1876</v>
      </c>
      <c r="B187" t="s">
        <v>132</v>
      </c>
      <c r="C187" t="s">
        <v>248</v>
      </c>
      <c r="D187">
        <v>538.5</v>
      </c>
      <c r="E187">
        <v>596.9</v>
      </c>
      <c r="F187">
        <v>609.9</v>
      </c>
      <c r="G187">
        <v>625.29999999999995</v>
      </c>
    </row>
    <row r="188" spans="1:7">
      <c r="A188" t="s">
        <v>1876</v>
      </c>
      <c r="B188" t="s">
        <v>132</v>
      </c>
      <c r="C188" t="s">
        <v>249</v>
      </c>
      <c r="D188">
        <v>370071</v>
      </c>
      <c r="E188">
        <v>411068</v>
      </c>
      <c r="F188">
        <v>420553</v>
      </c>
      <c r="G188">
        <v>433811</v>
      </c>
    </row>
    <row r="189" spans="1:7">
      <c r="A189" t="s">
        <v>1876</v>
      </c>
      <c r="B189" t="s">
        <v>132</v>
      </c>
      <c r="C189" t="s">
        <v>250</v>
      </c>
      <c r="D189">
        <v>395590</v>
      </c>
      <c r="E189">
        <v>437916</v>
      </c>
      <c r="F189">
        <v>448087</v>
      </c>
      <c r="G189">
        <v>460589</v>
      </c>
    </row>
    <row r="190" spans="1:7">
      <c r="A190" t="s">
        <v>1876</v>
      </c>
      <c r="B190" t="s">
        <v>132</v>
      </c>
      <c r="C190" t="s">
        <v>1937</v>
      </c>
      <c r="D190">
        <v>3.2</v>
      </c>
      <c r="E190">
        <v>3.9</v>
      </c>
      <c r="F190">
        <v>4.4000000000000004</v>
      </c>
      <c r="G190">
        <v>3.9</v>
      </c>
    </row>
    <row r="191" spans="1:7">
      <c r="A191" t="s">
        <v>1876</v>
      </c>
      <c r="B191" t="s">
        <v>132</v>
      </c>
      <c r="C191" t="s">
        <v>1938</v>
      </c>
      <c r="D191">
        <v>0</v>
      </c>
      <c r="E191">
        <v>0</v>
      </c>
      <c r="F191">
        <v>0</v>
      </c>
      <c r="G191">
        <v>0</v>
      </c>
    </row>
    <row r="192" spans="1:7">
      <c r="A192" t="s">
        <v>1876</v>
      </c>
      <c r="B192" t="s">
        <v>132</v>
      </c>
      <c r="C192" t="s">
        <v>251</v>
      </c>
      <c r="D192">
        <v>0</v>
      </c>
      <c r="E192">
        <v>0</v>
      </c>
      <c r="F192">
        <v>0</v>
      </c>
      <c r="G192">
        <v>0</v>
      </c>
    </row>
    <row r="193" spans="1:7">
      <c r="A193" t="s">
        <v>1876</v>
      </c>
      <c r="B193" t="s">
        <v>132</v>
      </c>
      <c r="C193" t="s">
        <v>252</v>
      </c>
      <c r="D193">
        <v>0</v>
      </c>
      <c r="E193">
        <v>0</v>
      </c>
      <c r="F193">
        <v>0</v>
      </c>
      <c r="G193">
        <v>0</v>
      </c>
    </row>
    <row r="194" spans="1:7">
      <c r="A194" t="s">
        <v>1876</v>
      </c>
      <c r="B194" t="s">
        <v>132</v>
      </c>
      <c r="C194" t="s">
        <v>1710</v>
      </c>
      <c r="D194">
        <v>0</v>
      </c>
      <c r="E194">
        <v>0</v>
      </c>
      <c r="F194">
        <v>0</v>
      </c>
      <c r="G194">
        <v>0</v>
      </c>
    </row>
    <row r="195" spans="1:7">
      <c r="A195" t="s">
        <v>1876</v>
      </c>
      <c r="B195" t="s">
        <v>132</v>
      </c>
      <c r="C195" t="s">
        <v>1939</v>
      </c>
      <c r="D195">
        <v>0</v>
      </c>
      <c r="E195">
        <v>0</v>
      </c>
      <c r="F195">
        <v>0</v>
      </c>
      <c r="G195">
        <v>0</v>
      </c>
    </row>
    <row r="196" spans="1:7">
      <c r="A196" t="s">
        <v>1876</v>
      </c>
      <c r="B196" t="s">
        <v>132</v>
      </c>
      <c r="C196" t="s">
        <v>253</v>
      </c>
      <c r="D196">
        <v>0</v>
      </c>
      <c r="E196">
        <v>0</v>
      </c>
      <c r="F196">
        <v>0</v>
      </c>
      <c r="G196">
        <v>0</v>
      </c>
    </row>
    <row r="197" spans="1:7">
      <c r="A197" t="s">
        <v>1876</v>
      </c>
      <c r="B197" t="s">
        <v>132</v>
      </c>
      <c r="C197" t="s">
        <v>1711</v>
      </c>
      <c r="D197">
        <v>0</v>
      </c>
      <c r="E197">
        <v>0</v>
      </c>
      <c r="F197">
        <v>0</v>
      </c>
      <c r="G197">
        <v>0</v>
      </c>
    </row>
    <row r="198" spans="1:7">
      <c r="A198" t="s">
        <v>1876</v>
      </c>
      <c r="B198" t="s">
        <v>132</v>
      </c>
      <c r="C198" t="s">
        <v>1712</v>
      </c>
      <c r="D198">
        <v>14385</v>
      </c>
      <c r="E198">
        <v>14025</v>
      </c>
      <c r="F198">
        <v>13821</v>
      </c>
      <c r="G198">
        <v>13863</v>
      </c>
    </row>
    <row r="199" spans="1:7">
      <c r="A199" t="s">
        <v>1876</v>
      </c>
      <c r="B199" t="s">
        <v>132</v>
      </c>
      <c r="C199" t="s">
        <v>1713</v>
      </c>
      <c r="D199">
        <v>0</v>
      </c>
      <c r="E199">
        <v>0</v>
      </c>
      <c r="F199">
        <v>0</v>
      </c>
      <c r="G199">
        <v>0</v>
      </c>
    </row>
    <row r="200" spans="1:7">
      <c r="A200" t="s">
        <v>1876</v>
      </c>
      <c r="B200" t="s">
        <v>132</v>
      </c>
      <c r="C200" t="s">
        <v>1940</v>
      </c>
      <c r="D200">
        <v>0</v>
      </c>
      <c r="E200">
        <v>0</v>
      </c>
      <c r="F200">
        <v>0</v>
      </c>
      <c r="G200">
        <v>0</v>
      </c>
    </row>
    <row r="201" spans="1:7">
      <c r="A201" t="s">
        <v>1876</v>
      </c>
      <c r="B201" t="s">
        <v>132</v>
      </c>
      <c r="C201" t="s">
        <v>1941</v>
      </c>
      <c r="D201">
        <v>0</v>
      </c>
      <c r="E201">
        <v>0</v>
      </c>
      <c r="F201">
        <v>0</v>
      </c>
      <c r="G201">
        <v>0</v>
      </c>
    </row>
    <row r="202" spans="1:7">
      <c r="A202" t="s">
        <v>1876</v>
      </c>
      <c r="B202" t="s">
        <v>132</v>
      </c>
      <c r="C202" t="s">
        <v>254</v>
      </c>
      <c r="D202">
        <v>14385</v>
      </c>
      <c r="E202">
        <v>14025</v>
      </c>
      <c r="F202">
        <v>13821</v>
      </c>
      <c r="G202">
        <v>13863</v>
      </c>
    </row>
    <row r="203" spans="1:7">
      <c r="A203" t="s">
        <v>1876</v>
      </c>
      <c r="B203" t="s">
        <v>132</v>
      </c>
      <c r="C203" t="s">
        <v>1942</v>
      </c>
      <c r="D203">
        <v>0</v>
      </c>
      <c r="E203">
        <v>0</v>
      </c>
      <c r="F203">
        <v>0</v>
      </c>
      <c r="G203">
        <v>0</v>
      </c>
    </row>
    <row r="204" spans="1:7">
      <c r="A204" t="s">
        <v>1876</v>
      </c>
      <c r="B204" t="s">
        <v>132</v>
      </c>
      <c r="C204" t="s">
        <v>255</v>
      </c>
      <c r="D204">
        <v>14385</v>
      </c>
      <c r="E204">
        <v>14025</v>
      </c>
      <c r="F204">
        <v>13821</v>
      </c>
      <c r="G204">
        <v>13863</v>
      </c>
    </row>
    <row r="205" spans="1:7">
      <c r="A205" t="s">
        <v>1876</v>
      </c>
      <c r="B205" t="s">
        <v>132</v>
      </c>
      <c r="C205" t="s">
        <v>256</v>
      </c>
      <c r="D205">
        <v>14385</v>
      </c>
      <c r="E205">
        <v>14025</v>
      </c>
      <c r="F205">
        <v>13821</v>
      </c>
      <c r="G205">
        <v>13863</v>
      </c>
    </row>
    <row r="206" spans="1:7">
      <c r="A206" t="s">
        <v>1876</v>
      </c>
      <c r="B206" t="s">
        <v>132</v>
      </c>
      <c r="C206" t="s">
        <v>1714</v>
      </c>
      <c r="D206">
        <v>2</v>
      </c>
      <c r="E206">
        <v>3</v>
      </c>
      <c r="F206">
        <v>3</v>
      </c>
      <c r="G206">
        <v>3</v>
      </c>
    </row>
    <row r="207" spans="1:7">
      <c r="A207" t="s">
        <v>1876</v>
      </c>
      <c r="B207" t="s">
        <v>132</v>
      </c>
      <c r="C207" t="s">
        <v>257</v>
      </c>
      <c r="D207">
        <v>28414</v>
      </c>
      <c r="E207">
        <v>27584</v>
      </c>
      <c r="F207">
        <v>27503</v>
      </c>
      <c r="G207">
        <v>27680</v>
      </c>
    </row>
    <row r="208" spans="1:7">
      <c r="A208" t="s">
        <v>1876</v>
      </c>
      <c r="B208" t="s">
        <v>132</v>
      </c>
      <c r="C208" t="s">
        <v>258</v>
      </c>
      <c r="D208">
        <v>29905</v>
      </c>
      <c r="E208">
        <v>29224</v>
      </c>
      <c r="F208">
        <v>28949</v>
      </c>
      <c r="G208">
        <v>29187</v>
      </c>
    </row>
    <row r="209" spans="1:7">
      <c r="A209" t="s">
        <v>1876</v>
      </c>
      <c r="B209" t="s">
        <v>132</v>
      </c>
      <c r="C209" t="s">
        <v>259</v>
      </c>
      <c r="D209">
        <v>29905</v>
      </c>
      <c r="E209">
        <v>29224</v>
      </c>
      <c r="F209">
        <v>28949</v>
      </c>
      <c r="G209">
        <v>29187</v>
      </c>
    </row>
    <row r="210" spans="1:7">
      <c r="A210" t="s">
        <v>1876</v>
      </c>
      <c r="B210" t="s">
        <v>132</v>
      </c>
      <c r="C210" t="s">
        <v>260</v>
      </c>
      <c r="D210">
        <v>193690</v>
      </c>
      <c r="E210">
        <v>198484</v>
      </c>
      <c r="F210">
        <v>203625</v>
      </c>
      <c r="G210">
        <v>204638</v>
      </c>
    </row>
    <row r="211" spans="1:7">
      <c r="A211" t="s">
        <v>1876</v>
      </c>
      <c r="B211" t="s">
        <v>132</v>
      </c>
      <c r="C211" t="s">
        <v>1943</v>
      </c>
      <c r="D211">
        <v>8.6</v>
      </c>
      <c r="E211">
        <v>8.1</v>
      </c>
      <c r="F211">
        <v>8.6</v>
      </c>
      <c r="G211">
        <v>8.8000000000000007</v>
      </c>
    </row>
    <row r="212" spans="1:7">
      <c r="A212" t="s">
        <v>1876</v>
      </c>
      <c r="B212" t="s">
        <v>132</v>
      </c>
      <c r="C212" t="s">
        <v>261</v>
      </c>
      <c r="D212">
        <v>10091</v>
      </c>
      <c r="E212">
        <v>9336</v>
      </c>
      <c r="F212">
        <v>10194</v>
      </c>
      <c r="G212">
        <v>10122</v>
      </c>
    </row>
    <row r="213" spans="1:7">
      <c r="A213" t="s">
        <v>1876</v>
      </c>
      <c r="B213" t="s">
        <v>132</v>
      </c>
      <c r="C213" t="s">
        <v>262</v>
      </c>
      <c r="D213">
        <v>4919</v>
      </c>
      <c r="E213">
        <v>4633</v>
      </c>
      <c r="F213">
        <v>5260</v>
      </c>
      <c r="G213">
        <v>5276</v>
      </c>
    </row>
    <row r="214" spans="1:7">
      <c r="A214" t="s">
        <v>1876</v>
      </c>
      <c r="B214" t="s">
        <v>132</v>
      </c>
      <c r="C214" t="s">
        <v>1715</v>
      </c>
      <c r="D214">
        <v>743</v>
      </c>
      <c r="E214">
        <v>745</v>
      </c>
      <c r="F214">
        <v>751</v>
      </c>
      <c r="G214">
        <v>743</v>
      </c>
    </row>
    <row r="215" spans="1:7">
      <c r="A215" t="s">
        <v>1876</v>
      </c>
      <c r="B215" t="s">
        <v>132</v>
      </c>
      <c r="C215" t="s">
        <v>263</v>
      </c>
      <c r="D215">
        <v>44236</v>
      </c>
      <c r="E215">
        <v>43582</v>
      </c>
      <c r="F215">
        <v>43114</v>
      </c>
      <c r="G215">
        <v>42615</v>
      </c>
    </row>
    <row r="216" spans="1:7">
      <c r="A216" t="s">
        <v>1876</v>
      </c>
      <c r="B216" t="s">
        <v>132</v>
      </c>
      <c r="C216" t="s">
        <v>264</v>
      </c>
      <c r="D216">
        <v>8504</v>
      </c>
      <c r="E216">
        <v>7471</v>
      </c>
      <c r="F216">
        <v>8723</v>
      </c>
      <c r="G216">
        <v>8613</v>
      </c>
    </row>
    <row r="217" spans="1:7">
      <c r="A217" t="s">
        <v>1876</v>
      </c>
      <c r="B217" t="s">
        <v>132</v>
      </c>
      <c r="C217" t="s">
        <v>265</v>
      </c>
      <c r="D217">
        <v>261439</v>
      </c>
      <c r="E217">
        <v>263506</v>
      </c>
      <c r="F217">
        <v>270916</v>
      </c>
      <c r="G217">
        <v>271264</v>
      </c>
    </row>
    <row r="218" spans="1:7">
      <c r="A218" t="s">
        <v>1876</v>
      </c>
      <c r="B218" t="s">
        <v>132</v>
      </c>
      <c r="C218" t="s">
        <v>266</v>
      </c>
      <c r="D218">
        <v>355.9</v>
      </c>
      <c r="E218">
        <v>359.2</v>
      </c>
      <c r="F218">
        <v>368.8</v>
      </c>
      <c r="G218">
        <v>368.3</v>
      </c>
    </row>
    <row r="219" spans="1:7">
      <c r="A219" t="s">
        <v>1876</v>
      </c>
      <c r="B219" t="s">
        <v>132</v>
      </c>
      <c r="C219" t="s">
        <v>267</v>
      </c>
      <c r="D219">
        <v>256520</v>
      </c>
      <c r="E219">
        <v>258873</v>
      </c>
      <c r="F219">
        <v>265656</v>
      </c>
      <c r="G219">
        <v>265988</v>
      </c>
    </row>
    <row r="220" spans="1:7">
      <c r="A220" t="s">
        <v>1876</v>
      </c>
      <c r="B220" t="s">
        <v>132</v>
      </c>
      <c r="C220" t="s">
        <v>268</v>
      </c>
      <c r="D220">
        <v>0</v>
      </c>
      <c r="E220">
        <v>0</v>
      </c>
      <c r="F220">
        <v>0</v>
      </c>
      <c r="G220">
        <v>0</v>
      </c>
    </row>
    <row r="221" spans="1:7">
      <c r="A221" t="s">
        <v>1876</v>
      </c>
      <c r="B221" t="s">
        <v>132</v>
      </c>
      <c r="C221" t="s">
        <v>269</v>
      </c>
      <c r="D221">
        <v>0</v>
      </c>
      <c r="E221">
        <v>0</v>
      </c>
      <c r="F221">
        <v>0</v>
      </c>
      <c r="G221">
        <v>0</v>
      </c>
    </row>
    <row r="222" spans="1:7">
      <c r="A222" t="s">
        <v>1876</v>
      </c>
      <c r="B222" t="s">
        <v>132</v>
      </c>
      <c r="C222" t="s">
        <v>270</v>
      </c>
      <c r="D222">
        <v>0</v>
      </c>
      <c r="E222">
        <v>0</v>
      </c>
      <c r="F222">
        <v>0</v>
      </c>
      <c r="G222">
        <v>0</v>
      </c>
    </row>
    <row r="223" spans="1:7">
      <c r="A223" t="s">
        <v>1876</v>
      </c>
      <c r="B223" t="s">
        <v>132</v>
      </c>
      <c r="C223" t="s">
        <v>271</v>
      </c>
      <c r="D223">
        <v>0</v>
      </c>
      <c r="E223">
        <v>0</v>
      </c>
      <c r="F223">
        <v>0</v>
      </c>
      <c r="G223">
        <v>0</v>
      </c>
    </row>
    <row r="224" spans="1:7">
      <c r="A224" t="s">
        <v>1876</v>
      </c>
      <c r="B224" t="s">
        <v>132</v>
      </c>
      <c r="C224" t="s">
        <v>272</v>
      </c>
      <c r="D224">
        <v>0</v>
      </c>
      <c r="E224">
        <v>0</v>
      </c>
      <c r="F224">
        <v>0</v>
      </c>
      <c r="G224">
        <v>0</v>
      </c>
    </row>
    <row r="225" spans="1:7">
      <c r="A225" t="s">
        <v>1876</v>
      </c>
      <c r="B225" t="s">
        <v>132</v>
      </c>
      <c r="C225" t="s">
        <v>1944</v>
      </c>
      <c r="D225">
        <v>0.5</v>
      </c>
      <c r="E225">
        <v>0.6</v>
      </c>
      <c r="F225">
        <v>0.8</v>
      </c>
      <c r="G225">
        <v>1.1000000000000001</v>
      </c>
    </row>
    <row r="226" spans="1:7">
      <c r="A226" t="s">
        <v>1876</v>
      </c>
      <c r="B226" t="s">
        <v>132</v>
      </c>
      <c r="C226" t="s">
        <v>1945</v>
      </c>
      <c r="D226">
        <v>1</v>
      </c>
      <c r="E226">
        <v>1</v>
      </c>
      <c r="F226">
        <v>3</v>
      </c>
      <c r="G226">
        <v>3</v>
      </c>
    </row>
    <row r="227" spans="1:7">
      <c r="A227" t="s">
        <v>1876</v>
      </c>
      <c r="B227" t="s">
        <v>132</v>
      </c>
      <c r="C227" t="s">
        <v>273</v>
      </c>
      <c r="D227">
        <v>0</v>
      </c>
      <c r="E227">
        <v>0</v>
      </c>
      <c r="F227">
        <v>0</v>
      </c>
      <c r="G227">
        <v>0</v>
      </c>
    </row>
    <row r="228" spans="1:7">
      <c r="A228" t="s">
        <v>1876</v>
      </c>
      <c r="B228" t="s">
        <v>132</v>
      </c>
      <c r="C228" t="s">
        <v>1946</v>
      </c>
      <c r="D228">
        <v>193690</v>
      </c>
      <c r="E228">
        <v>198484</v>
      </c>
      <c r="F228">
        <v>203625</v>
      </c>
      <c r="G228">
        <v>204638</v>
      </c>
    </row>
    <row r="229" spans="1:7">
      <c r="A229" t="s">
        <v>1876</v>
      </c>
      <c r="B229" t="s">
        <v>132</v>
      </c>
      <c r="C229" t="s">
        <v>1947</v>
      </c>
      <c r="D229">
        <v>10091</v>
      </c>
      <c r="E229">
        <v>9336</v>
      </c>
      <c r="F229">
        <v>10194</v>
      </c>
      <c r="G229">
        <v>10122</v>
      </c>
    </row>
    <row r="230" spans="1:7">
      <c r="A230" t="s">
        <v>1876</v>
      </c>
      <c r="B230" t="s">
        <v>132</v>
      </c>
      <c r="C230" t="s">
        <v>1948</v>
      </c>
      <c r="D230">
        <v>4919</v>
      </c>
      <c r="E230">
        <v>4633</v>
      </c>
      <c r="F230">
        <v>5260</v>
      </c>
      <c r="G230">
        <v>5276</v>
      </c>
    </row>
    <row r="231" spans="1:7">
      <c r="A231" t="s">
        <v>1876</v>
      </c>
      <c r="B231" t="s">
        <v>132</v>
      </c>
      <c r="C231" t="s">
        <v>1949</v>
      </c>
      <c r="D231">
        <v>44236</v>
      </c>
      <c r="E231">
        <v>43582</v>
      </c>
      <c r="F231">
        <v>43114</v>
      </c>
      <c r="G231">
        <v>42615</v>
      </c>
    </row>
    <row r="232" spans="1:7">
      <c r="A232" t="s">
        <v>1876</v>
      </c>
      <c r="B232" t="s">
        <v>132</v>
      </c>
      <c r="C232" t="s">
        <v>1950</v>
      </c>
      <c r="D232">
        <v>8504</v>
      </c>
      <c r="E232">
        <v>7471</v>
      </c>
      <c r="F232">
        <v>8723</v>
      </c>
      <c r="G232">
        <v>8613</v>
      </c>
    </row>
    <row r="233" spans="1:7">
      <c r="A233" t="s">
        <v>1876</v>
      </c>
      <c r="B233" t="s">
        <v>132</v>
      </c>
      <c r="C233" t="s">
        <v>274</v>
      </c>
      <c r="D233">
        <v>261439</v>
      </c>
      <c r="E233">
        <v>263506</v>
      </c>
      <c r="F233">
        <v>270916</v>
      </c>
      <c r="G233">
        <v>271264</v>
      </c>
    </row>
    <row r="234" spans="1:7">
      <c r="A234" t="s">
        <v>1876</v>
      </c>
      <c r="B234" t="s">
        <v>132</v>
      </c>
      <c r="C234" t="s">
        <v>275</v>
      </c>
      <c r="D234">
        <v>0</v>
      </c>
      <c r="E234">
        <v>0</v>
      </c>
      <c r="F234">
        <v>0</v>
      </c>
      <c r="G234">
        <v>0</v>
      </c>
    </row>
    <row r="235" spans="1:7">
      <c r="A235" t="s">
        <v>1876</v>
      </c>
      <c r="B235" t="s">
        <v>132</v>
      </c>
      <c r="C235" t="s">
        <v>276</v>
      </c>
      <c r="D235">
        <v>0</v>
      </c>
      <c r="E235">
        <v>0</v>
      </c>
      <c r="F235">
        <v>0</v>
      </c>
      <c r="G235">
        <v>0</v>
      </c>
    </row>
    <row r="236" spans="1:7">
      <c r="A236" t="s">
        <v>1876</v>
      </c>
      <c r="B236" t="s">
        <v>132</v>
      </c>
      <c r="C236" t="s">
        <v>277</v>
      </c>
      <c r="D236">
        <v>6</v>
      </c>
      <c r="E236">
        <v>11</v>
      </c>
      <c r="F236">
        <v>11</v>
      </c>
      <c r="G236">
        <v>10</v>
      </c>
    </row>
    <row r="237" spans="1:7">
      <c r="A237" t="s">
        <v>1876</v>
      </c>
      <c r="B237" t="s">
        <v>132</v>
      </c>
      <c r="C237" t="s">
        <v>278</v>
      </c>
      <c r="D237">
        <v>816</v>
      </c>
      <c r="E237">
        <v>783</v>
      </c>
      <c r="F237">
        <v>771</v>
      </c>
      <c r="G237">
        <v>799</v>
      </c>
    </row>
    <row r="238" spans="1:7">
      <c r="A238" t="s">
        <v>1876</v>
      </c>
      <c r="B238" t="s">
        <v>132</v>
      </c>
      <c r="C238" t="s">
        <v>279</v>
      </c>
      <c r="D238">
        <v>126</v>
      </c>
      <c r="E238">
        <v>112</v>
      </c>
      <c r="F238">
        <v>102</v>
      </c>
      <c r="G238">
        <v>91</v>
      </c>
    </row>
    <row r="239" spans="1:7">
      <c r="A239" t="s">
        <v>1876</v>
      </c>
      <c r="B239" t="s">
        <v>132</v>
      </c>
      <c r="C239" t="s">
        <v>280</v>
      </c>
      <c r="D239">
        <v>419</v>
      </c>
      <c r="E239">
        <v>404</v>
      </c>
      <c r="F239">
        <v>387</v>
      </c>
      <c r="G239">
        <v>431</v>
      </c>
    </row>
    <row r="240" spans="1:7">
      <c r="A240" t="s">
        <v>1876</v>
      </c>
      <c r="B240" t="s">
        <v>132</v>
      </c>
      <c r="C240" t="s">
        <v>281</v>
      </c>
      <c r="D240">
        <v>1367</v>
      </c>
      <c r="E240">
        <v>1309</v>
      </c>
      <c r="F240">
        <v>1271</v>
      </c>
      <c r="G240">
        <v>1331</v>
      </c>
    </row>
    <row r="241" spans="1:7">
      <c r="A241" t="s">
        <v>1876</v>
      </c>
      <c r="B241" t="s">
        <v>132</v>
      </c>
      <c r="C241" t="s">
        <v>282</v>
      </c>
      <c r="D241">
        <v>1367</v>
      </c>
      <c r="E241">
        <v>1309</v>
      </c>
      <c r="F241">
        <v>1271</v>
      </c>
      <c r="G241">
        <v>1331</v>
      </c>
    </row>
    <row r="242" spans="1:7">
      <c r="A242" t="s">
        <v>1876</v>
      </c>
      <c r="B242" t="s">
        <v>132</v>
      </c>
      <c r="C242" t="s">
        <v>283</v>
      </c>
      <c r="D242">
        <v>0</v>
      </c>
      <c r="E242">
        <v>0</v>
      </c>
      <c r="F242">
        <v>0</v>
      </c>
      <c r="G242">
        <v>0</v>
      </c>
    </row>
    <row r="243" spans="1:7">
      <c r="A243" t="s">
        <v>1876</v>
      </c>
      <c r="B243" t="s">
        <v>132</v>
      </c>
      <c r="C243" t="s">
        <v>284</v>
      </c>
      <c r="D243">
        <v>0</v>
      </c>
      <c r="E243">
        <v>0</v>
      </c>
      <c r="F243">
        <v>0</v>
      </c>
      <c r="G243">
        <v>0</v>
      </c>
    </row>
    <row r="244" spans="1:7">
      <c r="A244" t="s">
        <v>1876</v>
      </c>
      <c r="B244" t="s">
        <v>132</v>
      </c>
      <c r="C244" t="s">
        <v>1716</v>
      </c>
      <c r="D244">
        <v>0</v>
      </c>
      <c r="E244">
        <v>0</v>
      </c>
      <c r="F244">
        <v>0</v>
      </c>
      <c r="G244">
        <v>0</v>
      </c>
    </row>
    <row r="245" spans="1:7">
      <c r="A245" t="s">
        <v>1876</v>
      </c>
      <c r="B245" t="s">
        <v>132</v>
      </c>
      <c r="C245" t="s">
        <v>1717</v>
      </c>
      <c r="D245">
        <v>1507</v>
      </c>
      <c r="E245">
        <v>1582</v>
      </c>
      <c r="F245">
        <v>1589</v>
      </c>
      <c r="G245">
        <v>1666</v>
      </c>
    </row>
    <row r="246" spans="1:7">
      <c r="A246" t="s">
        <v>1876</v>
      </c>
      <c r="B246" t="s">
        <v>132</v>
      </c>
      <c r="C246" t="s">
        <v>1718</v>
      </c>
      <c r="D246">
        <v>5636</v>
      </c>
      <c r="E246">
        <v>5696</v>
      </c>
      <c r="F246">
        <v>5784</v>
      </c>
      <c r="G246">
        <v>5612</v>
      </c>
    </row>
    <row r="247" spans="1:7">
      <c r="A247" t="s">
        <v>1876</v>
      </c>
      <c r="B247" t="s">
        <v>132</v>
      </c>
      <c r="C247" t="s">
        <v>1719</v>
      </c>
      <c r="D247">
        <v>542</v>
      </c>
      <c r="E247">
        <v>543</v>
      </c>
      <c r="F247">
        <v>550</v>
      </c>
      <c r="G247">
        <v>550</v>
      </c>
    </row>
    <row r="248" spans="1:7">
      <c r="A248" t="s">
        <v>1876</v>
      </c>
      <c r="B248" t="s">
        <v>132</v>
      </c>
      <c r="C248" t="s">
        <v>1720</v>
      </c>
      <c r="D248">
        <v>71</v>
      </c>
      <c r="E248">
        <v>183</v>
      </c>
      <c r="F248">
        <v>183</v>
      </c>
      <c r="G248">
        <v>176</v>
      </c>
    </row>
    <row r="249" spans="1:7">
      <c r="A249" t="s">
        <v>1876</v>
      </c>
      <c r="B249" t="s">
        <v>132</v>
      </c>
      <c r="C249" t="s">
        <v>1721</v>
      </c>
      <c r="D249">
        <v>2383</v>
      </c>
      <c r="E249">
        <v>2976</v>
      </c>
      <c r="F249">
        <v>2558</v>
      </c>
      <c r="G249">
        <v>2413</v>
      </c>
    </row>
    <row r="250" spans="1:7">
      <c r="A250" t="s">
        <v>1876</v>
      </c>
      <c r="B250" t="s">
        <v>132</v>
      </c>
      <c r="C250" t="s">
        <v>285</v>
      </c>
      <c r="D250">
        <v>9597</v>
      </c>
      <c r="E250">
        <v>10437</v>
      </c>
      <c r="F250">
        <v>10114</v>
      </c>
      <c r="G250">
        <v>9866</v>
      </c>
    </row>
    <row r="251" spans="1:7">
      <c r="A251" t="s">
        <v>1876</v>
      </c>
      <c r="B251" t="s">
        <v>132</v>
      </c>
      <c r="C251" t="s">
        <v>1951</v>
      </c>
      <c r="D251">
        <v>1.4</v>
      </c>
      <c r="E251">
        <v>1.4</v>
      </c>
      <c r="F251">
        <v>1.4</v>
      </c>
      <c r="G251">
        <v>1.3</v>
      </c>
    </row>
    <row r="252" spans="1:7">
      <c r="A252" t="s">
        <v>1876</v>
      </c>
      <c r="B252" t="s">
        <v>132</v>
      </c>
      <c r="C252" t="s">
        <v>286</v>
      </c>
      <c r="D252">
        <v>0</v>
      </c>
      <c r="E252">
        <v>0</v>
      </c>
      <c r="F252">
        <v>0</v>
      </c>
      <c r="G252">
        <v>0</v>
      </c>
    </row>
    <row r="253" spans="1:7">
      <c r="A253" t="s">
        <v>1876</v>
      </c>
      <c r="B253" t="s">
        <v>132</v>
      </c>
      <c r="C253" t="s">
        <v>287</v>
      </c>
      <c r="D253">
        <v>0</v>
      </c>
      <c r="E253">
        <v>0</v>
      </c>
      <c r="F253">
        <v>0</v>
      </c>
      <c r="G253">
        <v>0</v>
      </c>
    </row>
    <row r="254" spans="1:7">
      <c r="A254" t="s">
        <v>1876</v>
      </c>
      <c r="B254" t="s">
        <v>132</v>
      </c>
      <c r="C254" t="s">
        <v>288</v>
      </c>
      <c r="D254">
        <v>0</v>
      </c>
      <c r="E254">
        <v>0</v>
      </c>
      <c r="F254">
        <v>0</v>
      </c>
      <c r="G254">
        <v>0</v>
      </c>
    </row>
    <row r="255" spans="1:7">
      <c r="A255" t="s">
        <v>1876</v>
      </c>
      <c r="B255" t="s">
        <v>132</v>
      </c>
      <c r="C255" t="s">
        <v>289</v>
      </c>
      <c r="D255">
        <v>0</v>
      </c>
      <c r="E255">
        <v>0</v>
      </c>
      <c r="F255">
        <v>0</v>
      </c>
      <c r="G255">
        <v>0</v>
      </c>
    </row>
    <row r="256" spans="1:7">
      <c r="A256" t="s">
        <v>1876</v>
      </c>
      <c r="B256" t="s">
        <v>132</v>
      </c>
      <c r="C256" t="s">
        <v>290</v>
      </c>
      <c r="D256">
        <v>0</v>
      </c>
      <c r="E256">
        <v>0</v>
      </c>
      <c r="F256">
        <v>0</v>
      </c>
      <c r="G256">
        <v>0</v>
      </c>
    </row>
    <row r="257" spans="1:7">
      <c r="A257" t="s">
        <v>1876</v>
      </c>
      <c r="B257" t="s">
        <v>132</v>
      </c>
      <c r="C257" t="s">
        <v>291</v>
      </c>
      <c r="D257">
        <v>0</v>
      </c>
      <c r="E257">
        <v>0</v>
      </c>
      <c r="F257">
        <v>0</v>
      </c>
      <c r="G257">
        <v>0</v>
      </c>
    </row>
    <row r="258" spans="1:7">
      <c r="A258" t="s">
        <v>1876</v>
      </c>
      <c r="B258" t="s">
        <v>132</v>
      </c>
      <c r="C258" t="s">
        <v>292</v>
      </c>
      <c r="D258">
        <v>0</v>
      </c>
      <c r="E258">
        <v>0</v>
      </c>
      <c r="F258">
        <v>0</v>
      </c>
      <c r="G258">
        <v>0</v>
      </c>
    </row>
    <row r="259" spans="1:7">
      <c r="A259" t="s">
        <v>1876</v>
      </c>
      <c r="B259" t="s">
        <v>132</v>
      </c>
      <c r="C259" t="s">
        <v>293</v>
      </c>
      <c r="D259">
        <v>0</v>
      </c>
      <c r="E259">
        <v>0</v>
      </c>
      <c r="F259">
        <v>0</v>
      </c>
      <c r="G259">
        <v>0</v>
      </c>
    </row>
    <row r="260" spans="1:7">
      <c r="A260" t="s">
        <v>1876</v>
      </c>
      <c r="B260" t="s">
        <v>132</v>
      </c>
      <c r="C260" t="s">
        <v>294</v>
      </c>
      <c r="D260">
        <v>0</v>
      </c>
      <c r="E260">
        <v>0</v>
      </c>
      <c r="F260">
        <v>0</v>
      </c>
      <c r="G260">
        <v>0</v>
      </c>
    </row>
    <row r="261" spans="1:7">
      <c r="A261" t="s">
        <v>1876</v>
      </c>
      <c r="B261" t="s">
        <v>132</v>
      </c>
      <c r="C261" t="s">
        <v>295</v>
      </c>
      <c r="D261">
        <v>0</v>
      </c>
      <c r="E261">
        <v>0</v>
      </c>
      <c r="F261">
        <v>0</v>
      </c>
      <c r="G261">
        <v>0</v>
      </c>
    </row>
    <row r="262" spans="1:7">
      <c r="A262" t="s">
        <v>1876</v>
      </c>
      <c r="B262" t="s">
        <v>132</v>
      </c>
      <c r="C262" t="s">
        <v>296</v>
      </c>
      <c r="D262">
        <v>0</v>
      </c>
      <c r="E262">
        <v>0</v>
      </c>
      <c r="F262">
        <v>0</v>
      </c>
      <c r="G262">
        <v>0</v>
      </c>
    </row>
    <row r="263" spans="1:7">
      <c r="A263" t="s">
        <v>1876</v>
      </c>
      <c r="B263" t="s">
        <v>132</v>
      </c>
      <c r="C263" t="s">
        <v>297</v>
      </c>
      <c r="D263">
        <v>13930</v>
      </c>
      <c r="E263">
        <v>14031</v>
      </c>
      <c r="F263">
        <v>13827</v>
      </c>
      <c r="G263">
        <v>13872</v>
      </c>
    </row>
    <row r="264" spans="1:7">
      <c r="A264" t="s">
        <v>1876</v>
      </c>
      <c r="B264" t="s">
        <v>132</v>
      </c>
      <c r="C264" t="s">
        <v>1952</v>
      </c>
      <c r="D264">
        <v>0</v>
      </c>
      <c r="E264">
        <v>0</v>
      </c>
      <c r="F264">
        <v>0</v>
      </c>
      <c r="G264">
        <v>0</v>
      </c>
    </row>
    <row r="265" spans="1:7">
      <c r="A265" t="s">
        <v>1876</v>
      </c>
      <c r="B265" t="s">
        <v>132</v>
      </c>
      <c r="C265" t="s">
        <v>298</v>
      </c>
      <c r="D265">
        <v>0</v>
      </c>
      <c r="E265">
        <v>0</v>
      </c>
      <c r="F265">
        <v>0</v>
      </c>
      <c r="G265">
        <v>0</v>
      </c>
    </row>
    <row r="266" spans="1:7">
      <c r="A266" t="s">
        <v>1876</v>
      </c>
      <c r="B266" t="s">
        <v>132</v>
      </c>
      <c r="C266" t="s">
        <v>299</v>
      </c>
      <c r="D266">
        <v>14</v>
      </c>
      <c r="E266">
        <v>18</v>
      </c>
      <c r="F266">
        <v>20</v>
      </c>
      <c r="G266">
        <v>21</v>
      </c>
    </row>
    <row r="267" spans="1:7">
      <c r="A267" t="s">
        <v>1876</v>
      </c>
      <c r="B267" t="s">
        <v>132</v>
      </c>
      <c r="C267" t="s">
        <v>300</v>
      </c>
      <c r="D267">
        <v>0</v>
      </c>
      <c r="E267">
        <v>0</v>
      </c>
      <c r="F267">
        <v>0</v>
      </c>
      <c r="G267">
        <v>27</v>
      </c>
    </row>
    <row r="268" spans="1:7">
      <c r="A268" t="s">
        <v>1876</v>
      </c>
      <c r="B268" t="s">
        <v>132</v>
      </c>
      <c r="C268" t="s">
        <v>1722</v>
      </c>
      <c r="D268">
        <v>1</v>
      </c>
      <c r="E268">
        <v>1</v>
      </c>
      <c r="F268">
        <v>8</v>
      </c>
      <c r="G268">
        <v>8</v>
      </c>
    </row>
    <row r="269" spans="1:7">
      <c r="A269" t="s">
        <v>1876</v>
      </c>
      <c r="B269" t="s">
        <v>132</v>
      </c>
      <c r="C269" t="s">
        <v>301</v>
      </c>
      <c r="D269">
        <v>0</v>
      </c>
      <c r="E269">
        <v>1</v>
      </c>
      <c r="F269">
        <v>1</v>
      </c>
      <c r="G269">
        <v>1</v>
      </c>
    </row>
    <row r="270" spans="1:7">
      <c r="A270" t="s">
        <v>1876</v>
      </c>
      <c r="B270" t="s">
        <v>132</v>
      </c>
      <c r="C270" t="s">
        <v>302</v>
      </c>
      <c r="D270">
        <v>30</v>
      </c>
      <c r="E270">
        <v>38</v>
      </c>
      <c r="F270">
        <v>46</v>
      </c>
      <c r="G270">
        <v>51</v>
      </c>
    </row>
    <row r="271" spans="1:7">
      <c r="A271" t="s">
        <v>1876</v>
      </c>
      <c r="B271" t="s">
        <v>132</v>
      </c>
      <c r="C271" t="s">
        <v>303</v>
      </c>
      <c r="D271">
        <v>45</v>
      </c>
      <c r="E271">
        <v>57</v>
      </c>
      <c r="F271">
        <v>66</v>
      </c>
      <c r="G271">
        <v>100</v>
      </c>
    </row>
    <row r="272" spans="1:7">
      <c r="A272" t="s">
        <v>1876</v>
      </c>
      <c r="B272" t="s">
        <v>132</v>
      </c>
      <c r="C272" t="s">
        <v>304</v>
      </c>
      <c r="D272">
        <v>45</v>
      </c>
      <c r="E272">
        <v>57</v>
      </c>
      <c r="F272">
        <v>66</v>
      </c>
      <c r="G272">
        <v>73</v>
      </c>
    </row>
    <row r="273" spans="1:7">
      <c r="A273" t="s">
        <v>1876</v>
      </c>
      <c r="B273" t="s">
        <v>132</v>
      </c>
      <c r="C273" t="s">
        <v>1953</v>
      </c>
      <c r="D273">
        <v>0</v>
      </c>
      <c r="E273">
        <v>0</v>
      </c>
      <c r="F273">
        <v>0.2</v>
      </c>
      <c r="G273">
        <v>11.5</v>
      </c>
    </row>
    <row r="274" spans="1:7">
      <c r="A274" t="s">
        <v>1876</v>
      </c>
      <c r="B274" t="s">
        <v>132</v>
      </c>
      <c r="C274" t="s">
        <v>305</v>
      </c>
      <c r="D274">
        <v>194176</v>
      </c>
      <c r="E274">
        <v>198941</v>
      </c>
      <c r="F274">
        <v>204074</v>
      </c>
      <c r="G274">
        <v>205104</v>
      </c>
    </row>
    <row r="275" spans="1:7">
      <c r="A275" t="s">
        <v>1876</v>
      </c>
      <c r="B275" t="s">
        <v>132</v>
      </c>
      <c r="C275" t="s">
        <v>306</v>
      </c>
      <c r="D275">
        <v>264.3</v>
      </c>
      <c r="E275">
        <v>271.2</v>
      </c>
      <c r="F275">
        <v>277.8</v>
      </c>
      <c r="G275">
        <v>278.5</v>
      </c>
    </row>
    <row r="276" spans="1:7">
      <c r="A276" t="s">
        <v>1876</v>
      </c>
      <c r="B276" t="s">
        <v>132</v>
      </c>
      <c r="C276" t="s">
        <v>307</v>
      </c>
      <c r="D276">
        <v>55766</v>
      </c>
      <c r="E276">
        <v>54796</v>
      </c>
      <c r="F276">
        <v>57045</v>
      </c>
      <c r="G276">
        <v>56804</v>
      </c>
    </row>
    <row r="277" spans="1:7">
      <c r="A277" t="s">
        <v>1876</v>
      </c>
      <c r="B277" t="s">
        <v>132</v>
      </c>
      <c r="C277" t="s">
        <v>308</v>
      </c>
      <c r="D277">
        <v>75.900000000000006</v>
      </c>
      <c r="E277">
        <v>74.7</v>
      </c>
      <c r="F277">
        <v>77.599999999999994</v>
      </c>
      <c r="G277">
        <v>77.099999999999994</v>
      </c>
    </row>
    <row r="278" spans="1:7">
      <c r="A278" t="s">
        <v>1876</v>
      </c>
      <c r="B278" t="s">
        <v>132</v>
      </c>
      <c r="C278" t="s">
        <v>309</v>
      </c>
      <c r="D278">
        <v>47379</v>
      </c>
      <c r="E278">
        <v>48482</v>
      </c>
      <c r="F278">
        <v>49392</v>
      </c>
      <c r="G278">
        <v>48835</v>
      </c>
    </row>
    <row r="279" spans="1:7">
      <c r="A279" t="s">
        <v>1876</v>
      </c>
      <c r="B279" t="s">
        <v>132</v>
      </c>
      <c r="C279" t="s">
        <v>310</v>
      </c>
      <c r="D279">
        <v>386827</v>
      </c>
      <c r="E279">
        <v>429876</v>
      </c>
      <c r="F279">
        <v>437662</v>
      </c>
      <c r="G279">
        <v>449024</v>
      </c>
    </row>
    <row r="280" spans="1:7">
      <c r="A280" t="s">
        <v>1876</v>
      </c>
      <c r="B280" t="s">
        <v>132</v>
      </c>
      <c r="C280" t="s">
        <v>311</v>
      </c>
      <c r="D280">
        <v>526.6</v>
      </c>
      <c r="E280">
        <v>585.9</v>
      </c>
      <c r="F280">
        <v>595.70000000000005</v>
      </c>
      <c r="G280">
        <v>609.6</v>
      </c>
    </row>
    <row r="281" spans="1:7">
      <c r="A281" t="s">
        <v>1876</v>
      </c>
      <c r="B281" t="s">
        <v>132</v>
      </c>
      <c r="C281" t="s">
        <v>312</v>
      </c>
      <c r="D281">
        <v>48550</v>
      </c>
      <c r="E281">
        <v>46863</v>
      </c>
      <c r="F281">
        <v>48750</v>
      </c>
      <c r="G281">
        <v>49123</v>
      </c>
    </row>
    <row r="282" spans="1:7">
      <c r="A282" t="s">
        <v>1876</v>
      </c>
      <c r="B282" t="s">
        <v>132</v>
      </c>
      <c r="C282" t="s">
        <v>313</v>
      </c>
      <c r="D282">
        <v>66.099999999999994</v>
      </c>
      <c r="E282">
        <v>63.9</v>
      </c>
      <c r="F282">
        <v>66.400000000000006</v>
      </c>
      <c r="G282">
        <v>66.7</v>
      </c>
    </row>
    <row r="283" spans="1:7">
      <c r="A283" t="s">
        <v>1876</v>
      </c>
      <c r="B283" t="s">
        <v>132</v>
      </c>
      <c r="C283" t="s">
        <v>314</v>
      </c>
      <c r="D283">
        <v>685320</v>
      </c>
      <c r="E283">
        <v>730475</v>
      </c>
      <c r="F283">
        <v>747530</v>
      </c>
      <c r="G283">
        <v>760053</v>
      </c>
    </row>
    <row r="284" spans="1:7">
      <c r="A284" t="s">
        <v>1876</v>
      </c>
      <c r="B284" t="s">
        <v>132</v>
      </c>
      <c r="C284" t="s">
        <v>315</v>
      </c>
      <c r="D284">
        <v>13.24</v>
      </c>
      <c r="E284">
        <v>14.46</v>
      </c>
      <c r="F284">
        <v>13.8</v>
      </c>
      <c r="G284">
        <v>13.59</v>
      </c>
    </row>
    <row r="285" spans="1:7">
      <c r="A285" t="s">
        <v>1876</v>
      </c>
      <c r="B285" t="s">
        <v>132</v>
      </c>
      <c r="C285" t="s">
        <v>316</v>
      </c>
      <c r="D285">
        <v>932.9</v>
      </c>
      <c r="E285">
        <v>995.7</v>
      </c>
      <c r="F285">
        <v>1017.5</v>
      </c>
      <c r="G285">
        <v>1031.9000000000001</v>
      </c>
    </row>
    <row r="286" spans="1:7">
      <c r="A286" t="s">
        <v>1876</v>
      </c>
      <c r="B286" t="s">
        <v>132</v>
      </c>
      <c r="C286" t="s">
        <v>317</v>
      </c>
      <c r="D286">
        <v>685319</v>
      </c>
      <c r="E286">
        <v>730476</v>
      </c>
      <c r="F286">
        <v>747531</v>
      </c>
      <c r="G286">
        <v>760055</v>
      </c>
    </row>
    <row r="287" spans="1:7">
      <c r="A287" t="s">
        <v>1876</v>
      </c>
      <c r="B287" t="s">
        <v>132</v>
      </c>
      <c r="C287" t="s">
        <v>318</v>
      </c>
      <c r="D287">
        <v>194176</v>
      </c>
      <c r="E287">
        <v>198941</v>
      </c>
      <c r="F287">
        <v>204074</v>
      </c>
      <c r="G287">
        <v>205104</v>
      </c>
    </row>
    <row r="288" spans="1:7">
      <c r="A288" t="s">
        <v>1876</v>
      </c>
      <c r="B288" t="s">
        <v>132</v>
      </c>
      <c r="C288" t="s">
        <v>319</v>
      </c>
      <c r="D288">
        <v>44188</v>
      </c>
      <c r="E288">
        <v>42778</v>
      </c>
      <c r="F288">
        <v>44587</v>
      </c>
      <c r="G288">
        <v>44659</v>
      </c>
    </row>
    <row r="289" spans="1:7">
      <c r="A289" t="s">
        <v>1876</v>
      </c>
      <c r="B289" t="s">
        <v>132</v>
      </c>
      <c r="C289" t="s">
        <v>320</v>
      </c>
      <c r="D289">
        <v>380823</v>
      </c>
      <c r="E289">
        <v>423458</v>
      </c>
      <c r="F289">
        <v>431100</v>
      </c>
      <c r="G289">
        <v>442623</v>
      </c>
    </row>
    <row r="290" spans="1:7">
      <c r="A290" t="s">
        <v>1876</v>
      </c>
      <c r="B290" t="s">
        <v>132</v>
      </c>
      <c r="C290" t="s">
        <v>321</v>
      </c>
      <c r="D290">
        <v>39121</v>
      </c>
      <c r="E290">
        <v>37296</v>
      </c>
      <c r="F290">
        <v>38935</v>
      </c>
      <c r="G290">
        <v>39464</v>
      </c>
    </row>
    <row r="291" spans="1:7">
      <c r="A291" t="s">
        <v>1876</v>
      </c>
      <c r="B291" t="s">
        <v>132</v>
      </c>
      <c r="C291" t="s">
        <v>1954</v>
      </c>
      <c r="D291">
        <v>658308</v>
      </c>
      <c r="E291">
        <v>702473</v>
      </c>
      <c r="F291">
        <v>718695</v>
      </c>
      <c r="G291">
        <v>731851</v>
      </c>
    </row>
    <row r="292" spans="1:7">
      <c r="A292" t="s">
        <v>1876</v>
      </c>
      <c r="B292" t="s">
        <v>132</v>
      </c>
      <c r="C292" t="s">
        <v>323</v>
      </c>
      <c r="D292">
        <v>735</v>
      </c>
      <c r="E292">
        <v>734</v>
      </c>
      <c r="F292">
        <v>735</v>
      </c>
      <c r="G292">
        <v>737</v>
      </c>
    </row>
    <row r="293" spans="1:7">
      <c r="A293" t="s">
        <v>1876</v>
      </c>
      <c r="B293" t="s">
        <v>132</v>
      </c>
      <c r="C293" t="s">
        <v>324</v>
      </c>
      <c r="D293">
        <v>463</v>
      </c>
      <c r="E293">
        <v>0</v>
      </c>
      <c r="F293">
        <v>0</v>
      </c>
      <c r="G293">
        <v>0</v>
      </c>
    </row>
    <row r="294" spans="1:7">
      <c r="A294" t="s">
        <v>1876</v>
      </c>
      <c r="B294" t="s">
        <v>132</v>
      </c>
      <c r="C294" t="s">
        <v>325</v>
      </c>
      <c r="D294">
        <v>0</v>
      </c>
      <c r="E294">
        <v>0</v>
      </c>
      <c r="F294">
        <v>0</v>
      </c>
      <c r="G294">
        <v>0</v>
      </c>
    </row>
    <row r="295" spans="1:7">
      <c r="A295" t="s">
        <v>1876</v>
      </c>
      <c r="B295" t="s">
        <v>132</v>
      </c>
      <c r="C295" t="s">
        <v>326</v>
      </c>
      <c r="D295">
        <v>433</v>
      </c>
      <c r="E295">
        <v>433</v>
      </c>
      <c r="F295">
        <v>433</v>
      </c>
      <c r="G295">
        <v>433</v>
      </c>
    </row>
    <row r="296" spans="1:7">
      <c r="A296" t="s">
        <v>1876</v>
      </c>
      <c r="B296" t="s">
        <v>132</v>
      </c>
      <c r="C296" t="s">
        <v>327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1876</v>
      </c>
      <c r="B297" t="s">
        <v>132</v>
      </c>
      <c r="C297" t="s">
        <v>1723</v>
      </c>
      <c r="D297">
        <v>0</v>
      </c>
      <c r="E297">
        <v>0</v>
      </c>
      <c r="F297">
        <v>0</v>
      </c>
      <c r="G297">
        <v>0</v>
      </c>
    </row>
    <row r="298" spans="1:7">
      <c r="A298" t="s">
        <v>1876</v>
      </c>
      <c r="B298" t="s">
        <v>132</v>
      </c>
      <c r="C298" t="s">
        <v>328</v>
      </c>
      <c r="D298">
        <v>70</v>
      </c>
      <c r="E298">
        <v>95</v>
      </c>
      <c r="F298">
        <v>95</v>
      </c>
      <c r="G298">
        <v>95</v>
      </c>
    </row>
    <row r="299" spans="1:7">
      <c r="A299" t="s">
        <v>1876</v>
      </c>
      <c r="B299" t="s">
        <v>132</v>
      </c>
      <c r="C299" t="s">
        <v>329</v>
      </c>
      <c r="D299">
        <v>2251</v>
      </c>
      <c r="E299">
        <v>2836</v>
      </c>
      <c r="F299">
        <v>2411</v>
      </c>
      <c r="G299">
        <v>2260</v>
      </c>
    </row>
    <row r="300" spans="1:7">
      <c r="A300" t="s">
        <v>1876</v>
      </c>
      <c r="B300" t="s">
        <v>132</v>
      </c>
      <c r="C300" t="s">
        <v>330</v>
      </c>
      <c r="D300">
        <v>2754</v>
      </c>
      <c r="E300">
        <v>3364</v>
      </c>
      <c r="F300">
        <v>2939</v>
      </c>
      <c r="G300">
        <v>2788</v>
      </c>
    </row>
    <row r="301" spans="1:7">
      <c r="A301" t="s">
        <v>1876</v>
      </c>
      <c r="B301" t="s">
        <v>132</v>
      </c>
      <c r="C301" t="s">
        <v>331</v>
      </c>
      <c r="D301">
        <v>397</v>
      </c>
      <c r="E301">
        <v>420</v>
      </c>
      <c r="F301">
        <v>404</v>
      </c>
      <c r="G301">
        <v>439</v>
      </c>
    </row>
    <row r="302" spans="1:7">
      <c r="A302" t="s">
        <v>1876</v>
      </c>
      <c r="B302" t="s">
        <v>132</v>
      </c>
      <c r="C302" t="s">
        <v>332</v>
      </c>
      <c r="D302">
        <v>0</v>
      </c>
      <c r="E302">
        <v>0</v>
      </c>
      <c r="F302">
        <v>0</v>
      </c>
      <c r="G302">
        <v>0</v>
      </c>
    </row>
    <row r="303" spans="1:7">
      <c r="A303" t="s">
        <v>1876</v>
      </c>
      <c r="B303" t="s">
        <v>132</v>
      </c>
      <c r="C303" t="s">
        <v>1724</v>
      </c>
      <c r="D303">
        <v>7</v>
      </c>
      <c r="E303">
        <v>7</v>
      </c>
      <c r="F303">
        <v>7</v>
      </c>
      <c r="G303">
        <v>7</v>
      </c>
    </row>
    <row r="304" spans="1:7">
      <c r="A304" t="s">
        <v>1876</v>
      </c>
      <c r="B304" t="s">
        <v>132</v>
      </c>
      <c r="C304" t="s">
        <v>333</v>
      </c>
      <c r="D304">
        <v>1</v>
      </c>
      <c r="E304">
        <v>88</v>
      </c>
      <c r="F304">
        <v>88</v>
      </c>
      <c r="G304">
        <v>81</v>
      </c>
    </row>
    <row r="305" spans="1:7">
      <c r="A305" t="s">
        <v>1876</v>
      </c>
      <c r="B305" t="s">
        <v>132</v>
      </c>
      <c r="C305" t="s">
        <v>334</v>
      </c>
      <c r="D305">
        <v>398</v>
      </c>
      <c r="E305">
        <v>509</v>
      </c>
      <c r="F305">
        <v>492</v>
      </c>
      <c r="G305">
        <v>520</v>
      </c>
    </row>
    <row r="306" spans="1:7">
      <c r="A306" t="s">
        <v>1876</v>
      </c>
      <c r="B306" t="s">
        <v>132</v>
      </c>
      <c r="C306" t="s">
        <v>335</v>
      </c>
      <c r="D306">
        <v>830</v>
      </c>
      <c r="E306">
        <v>854</v>
      </c>
      <c r="F306">
        <v>837</v>
      </c>
      <c r="G306">
        <v>872</v>
      </c>
    </row>
    <row r="307" spans="1:7">
      <c r="A307" t="s">
        <v>1876</v>
      </c>
      <c r="B307" t="s">
        <v>132</v>
      </c>
      <c r="C307" t="s">
        <v>336</v>
      </c>
      <c r="D307">
        <v>0</v>
      </c>
      <c r="E307">
        <v>0</v>
      </c>
      <c r="F307">
        <v>0</v>
      </c>
      <c r="G307">
        <v>0</v>
      </c>
    </row>
    <row r="308" spans="1:7">
      <c r="A308" t="s">
        <v>1876</v>
      </c>
      <c r="B308" t="s">
        <v>132</v>
      </c>
      <c r="C308" t="s">
        <v>337</v>
      </c>
      <c r="D308">
        <v>71</v>
      </c>
      <c r="E308">
        <v>183</v>
      </c>
      <c r="F308">
        <v>182</v>
      </c>
      <c r="G308">
        <v>176</v>
      </c>
    </row>
    <row r="309" spans="1:7">
      <c r="A309" t="s">
        <v>1876</v>
      </c>
      <c r="B309" t="s">
        <v>132</v>
      </c>
      <c r="C309" t="s">
        <v>338</v>
      </c>
      <c r="D309">
        <v>3153</v>
      </c>
      <c r="E309">
        <v>3873</v>
      </c>
      <c r="F309">
        <v>3431</v>
      </c>
      <c r="G309">
        <v>3308</v>
      </c>
    </row>
    <row r="310" spans="1:7">
      <c r="A310" t="s">
        <v>1876</v>
      </c>
      <c r="B310" t="s">
        <v>132</v>
      </c>
      <c r="C310" t="s">
        <v>339</v>
      </c>
      <c r="D310">
        <v>3153</v>
      </c>
      <c r="E310">
        <v>3873</v>
      </c>
      <c r="F310">
        <v>3431</v>
      </c>
      <c r="G310">
        <v>3308</v>
      </c>
    </row>
    <row r="311" spans="1:7">
      <c r="A311" t="s">
        <v>1876</v>
      </c>
      <c r="B311" t="s">
        <v>132</v>
      </c>
      <c r="C311" t="s">
        <v>340</v>
      </c>
      <c r="D311">
        <v>0</v>
      </c>
      <c r="E311">
        <v>0</v>
      </c>
      <c r="F311">
        <v>0</v>
      </c>
      <c r="G311">
        <v>0</v>
      </c>
    </row>
    <row r="312" spans="1:7">
      <c r="A312" t="s">
        <v>1876</v>
      </c>
      <c r="B312" t="s">
        <v>132</v>
      </c>
      <c r="C312" t="s">
        <v>1955</v>
      </c>
      <c r="D312">
        <v>25.4</v>
      </c>
      <c r="E312">
        <v>27</v>
      </c>
      <c r="F312">
        <v>21.6</v>
      </c>
      <c r="G312">
        <v>23.8</v>
      </c>
    </row>
    <row r="313" spans="1:7">
      <c r="A313" t="s">
        <v>1876</v>
      </c>
      <c r="B313" t="s">
        <v>132</v>
      </c>
      <c r="C313" t="s">
        <v>341</v>
      </c>
      <c r="D313">
        <v>0</v>
      </c>
      <c r="E313">
        <v>0</v>
      </c>
      <c r="F313">
        <v>0</v>
      </c>
      <c r="G313">
        <v>0</v>
      </c>
    </row>
    <row r="314" spans="1:7">
      <c r="A314" t="s">
        <v>1876</v>
      </c>
      <c r="B314" t="s">
        <v>132</v>
      </c>
      <c r="C314" t="s">
        <v>342</v>
      </c>
      <c r="D314">
        <v>451</v>
      </c>
      <c r="E314">
        <v>475</v>
      </c>
      <c r="F314">
        <v>380</v>
      </c>
      <c r="G314">
        <v>421</v>
      </c>
    </row>
    <row r="315" spans="1:7">
      <c r="A315" t="s">
        <v>1876</v>
      </c>
      <c r="B315" t="s">
        <v>132</v>
      </c>
      <c r="C315" t="s">
        <v>1725</v>
      </c>
      <c r="D315">
        <v>59</v>
      </c>
      <c r="E315">
        <v>59</v>
      </c>
      <c r="F315">
        <v>59</v>
      </c>
      <c r="G315">
        <v>59</v>
      </c>
    </row>
    <row r="316" spans="1:7">
      <c r="A316" t="s">
        <v>1876</v>
      </c>
      <c r="B316" t="s">
        <v>132</v>
      </c>
      <c r="C316" t="s">
        <v>343</v>
      </c>
      <c r="D316">
        <v>0</v>
      </c>
      <c r="E316">
        <v>0</v>
      </c>
      <c r="F316">
        <v>0</v>
      </c>
      <c r="G316">
        <v>0</v>
      </c>
    </row>
    <row r="317" spans="1:7">
      <c r="A317" t="s">
        <v>1876</v>
      </c>
      <c r="B317" t="s">
        <v>132</v>
      </c>
      <c r="C317" t="s">
        <v>344</v>
      </c>
      <c r="D317">
        <v>451</v>
      </c>
      <c r="E317">
        <v>475</v>
      </c>
      <c r="F317">
        <v>380</v>
      </c>
      <c r="G317">
        <v>421</v>
      </c>
    </row>
    <row r="318" spans="1:7">
      <c r="A318" t="s">
        <v>1876</v>
      </c>
      <c r="B318" t="s">
        <v>132</v>
      </c>
      <c r="C318" t="s">
        <v>345</v>
      </c>
      <c r="D318">
        <v>0</v>
      </c>
      <c r="E318">
        <v>0</v>
      </c>
      <c r="F318">
        <v>0</v>
      </c>
      <c r="G318">
        <v>0</v>
      </c>
    </row>
    <row r="319" spans="1:7">
      <c r="A319" t="s">
        <v>1876</v>
      </c>
      <c r="B319" t="s">
        <v>132</v>
      </c>
      <c r="C319" t="s">
        <v>1956</v>
      </c>
      <c r="D319">
        <v>0</v>
      </c>
      <c r="E319">
        <v>0</v>
      </c>
      <c r="F319">
        <v>0</v>
      </c>
      <c r="G319">
        <v>0</v>
      </c>
    </row>
    <row r="320" spans="1:7">
      <c r="A320" t="s">
        <v>1876</v>
      </c>
      <c r="B320" t="s">
        <v>132</v>
      </c>
      <c r="C320" t="s">
        <v>1957</v>
      </c>
      <c r="D320">
        <v>398</v>
      </c>
      <c r="E320">
        <v>509</v>
      </c>
      <c r="F320">
        <v>492</v>
      </c>
      <c r="G320">
        <v>520</v>
      </c>
    </row>
    <row r="321" spans="1:7">
      <c r="A321" t="s">
        <v>1876</v>
      </c>
      <c r="B321" t="s">
        <v>132</v>
      </c>
      <c r="C321" t="s">
        <v>346</v>
      </c>
      <c r="D321">
        <v>30</v>
      </c>
      <c r="E321">
        <v>13</v>
      </c>
      <c r="F321">
        <v>19</v>
      </c>
      <c r="G321">
        <v>0</v>
      </c>
    </row>
    <row r="322" spans="1:7">
      <c r="A322" t="s">
        <v>1876</v>
      </c>
      <c r="B322" t="s">
        <v>132</v>
      </c>
      <c r="C322" t="s">
        <v>347</v>
      </c>
      <c r="D322">
        <v>10976</v>
      </c>
      <c r="E322">
        <v>10035</v>
      </c>
      <c r="F322">
        <v>10902</v>
      </c>
      <c r="G322">
        <v>11164</v>
      </c>
    </row>
    <row r="323" spans="1:7">
      <c r="A323" t="s">
        <v>1876</v>
      </c>
      <c r="B323" t="s">
        <v>348</v>
      </c>
      <c r="C323" t="s">
        <v>133</v>
      </c>
      <c r="D323">
        <v>-6</v>
      </c>
      <c r="E323">
        <v>-5</v>
      </c>
      <c r="F323">
        <v>-5</v>
      </c>
      <c r="G323">
        <v>-8</v>
      </c>
    </row>
    <row r="324" spans="1:7">
      <c r="A324" t="s">
        <v>1876</v>
      </c>
      <c r="B324" t="s">
        <v>348</v>
      </c>
      <c r="C324" t="s">
        <v>134</v>
      </c>
      <c r="D324">
        <v>13875</v>
      </c>
      <c r="E324">
        <v>14177</v>
      </c>
      <c r="F324">
        <v>14315</v>
      </c>
      <c r="G324">
        <v>13543</v>
      </c>
    </row>
    <row r="325" spans="1:7">
      <c r="A325" t="s">
        <v>1876</v>
      </c>
      <c r="B325" t="s">
        <v>348</v>
      </c>
      <c r="C325" t="s">
        <v>135</v>
      </c>
      <c r="D325">
        <v>13875</v>
      </c>
      <c r="E325">
        <v>14177</v>
      </c>
      <c r="F325">
        <v>14315</v>
      </c>
      <c r="G325">
        <v>13543</v>
      </c>
    </row>
    <row r="326" spans="1:7">
      <c r="A326" t="s">
        <v>1876</v>
      </c>
      <c r="B326" t="s">
        <v>348</v>
      </c>
      <c r="C326" t="s">
        <v>136</v>
      </c>
      <c r="D326">
        <v>13875</v>
      </c>
      <c r="E326">
        <v>14177</v>
      </c>
      <c r="F326">
        <v>14315</v>
      </c>
      <c r="G326">
        <v>13543</v>
      </c>
    </row>
    <row r="327" spans="1:7">
      <c r="A327" t="s">
        <v>1876</v>
      </c>
      <c r="B327" t="s">
        <v>348</v>
      </c>
      <c r="C327" t="s">
        <v>137</v>
      </c>
      <c r="D327">
        <v>369</v>
      </c>
      <c r="E327">
        <v>382</v>
      </c>
      <c r="F327">
        <v>362</v>
      </c>
      <c r="G327">
        <v>390</v>
      </c>
    </row>
    <row r="328" spans="1:7">
      <c r="A328" t="s">
        <v>1876</v>
      </c>
      <c r="B328" t="s">
        <v>348</v>
      </c>
      <c r="C328" t="s">
        <v>138</v>
      </c>
      <c r="D328">
        <v>369</v>
      </c>
      <c r="E328">
        <v>382</v>
      </c>
      <c r="F328">
        <v>362</v>
      </c>
      <c r="G328">
        <v>390</v>
      </c>
    </row>
    <row r="329" spans="1:7">
      <c r="A329" t="s">
        <v>1876</v>
      </c>
      <c r="B329" t="s">
        <v>348</v>
      </c>
      <c r="C329" t="s">
        <v>139</v>
      </c>
      <c r="D329">
        <v>369</v>
      </c>
      <c r="E329">
        <v>382</v>
      </c>
      <c r="F329">
        <v>362</v>
      </c>
      <c r="G329">
        <v>390</v>
      </c>
    </row>
    <row r="330" spans="1:7">
      <c r="A330" t="s">
        <v>1876</v>
      </c>
      <c r="B330" t="s">
        <v>348</v>
      </c>
      <c r="C330" t="s">
        <v>1877</v>
      </c>
      <c r="D330">
        <v>0</v>
      </c>
      <c r="E330">
        <v>0</v>
      </c>
      <c r="F330">
        <v>0</v>
      </c>
      <c r="G330">
        <v>0</v>
      </c>
    </row>
    <row r="331" spans="1:7">
      <c r="A331" t="s">
        <v>1876</v>
      </c>
      <c r="B331" t="s">
        <v>348</v>
      </c>
      <c r="C331" t="s">
        <v>1700</v>
      </c>
      <c r="D331">
        <v>0</v>
      </c>
      <c r="E331">
        <v>0</v>
      </c>
      <c r="F331">
        <v>0</v>
      </c>
      <c r="G331">
        <v>0</v>
      </c>
    </row>
    <row r="332" spans="1:7">
      <c r="A332" t="s">
        <v>1876</v>
      </c>
      <c r="B332" t="s">
        <v>348</v>
      </c>
      <c r="C332" t="s">
        <v>1878</v>
      </c>
      <c r="D332">
        <v>0</v>
      </c>
      <c r="E332">
        <v>0</v>
      </c>
      <c r="F332">
        <v>0</v>
      </c>
      <c r="G332">
        <v>0</v>
      </c>
    </row>
    <row r="333" spans="1:7">
      <c r="A333" t="s">
        <v>1876</v>
      </c>
      <c r="B333" t="s">
        <v>348</v>
      </c>
      <c r="C333" t="s">
        <v>1879</v>
      </c>
      <c r="D333">
        <v>0</v>
      </c>
      <c r="E333">
        <v>0</v>
      </c>
      <c r="F333">
        <v>0</v>
      </c>
      <c r="G333">
        <v>0</v>
      </c>
    </row>
    <row r="334" spans="1:7">
      <c r="A334" t="s">
        <v>1876</v>
      </c>
      <c r="B334" t="s">
        <v>348</v>
      </c>
      <c r="C334" t="s">
        <v>1701</v>
      </c>
      <c r="D334">
        <v>0</v>
      </c>
      <c r="E334">
        <v>0</v>
      </c>
      <c r="F334">
        <v>0</v>
      </c>
      <c r="G334">
        <v>0</v>
      </c>
    </row>
    <row r="335" spans="1:7">
      <c r="A335" t="s">
        <v>1876</v>
      </c>
      <c r="B335" t="s">
        <v>348</v>
      </c>
      <c r="C335" t="s">
        <v>1880</v>
      </c>
      <c r="D335">
        <v>1411</v>
      </c>
      <c r="E335">
        <v>1231</v>
      </c>
      <c r="F335">
        <v>1472</v>
      </c>
      <c r="G335">
        <v>1450</v>
      </c>
    </row>
    <row r="336" spans="1:7">
      <c r="A336" t="s">
        <v>1876</v>
      </c>
      <c r="B336" t="s">
        <v>348</v>
      </c>
      <c r="C336" t="s">
        <v>140</v>
      </c>
      <c r="D336">
        <v>3316</v>
      </c>
      <c r="E336">
        <v>2976</v>
      </c>
      <c r="F336">
        <v>3970</v>
      </c>
      <c r="G336">
        <v>4133</v>
      </c>
    </row>
    <row r="337" spans="1:7">
      <c r="A337" t="s">
        <v>1876</v>
      </c>
      <c r="B337" t="s">
        <v>348</v>
      </c>
      <c r="C337" t="s">
        <v>1881</v>
      </c>
      <c r="D337">
        <v>1905</v>
      </c>
      <c r="E337">
        <v>1745</v>
      </c>
      <c r="F337">
        <v>2498</v>
      </c>
      <c r="G337">
        <v>2683</v>
      </c>
    </row>
    <row r="338" spans="1:7">
      <c r="A338" t="s">
        <v>1876</v>
      </c>
      <c r="B338" t="s">
        <v>348</v>
      </c>
      <c r="C338" t="s">
        <v>1882</v>
      </c>
      <c r="D338">
        <v>0</v>
      </c>
      <c r="E338">
        <v>0</v>
      </c>
      <c r="F338">
        <v>0</v>
      </c>
      <c r="G338">
        <v>0</v>
      </c>
    </row>
    <row r="339" spans="1:7">
      <c r="A339" t="s">
        <v>1876</v>
      </c>
      <c r="B339" t="s">
        <v>348</v>
      </c>
      <c r="C339" t="s">
        <v>1883</v>
      </c>
      <c r="D339">
        <v>0</v>
      </c>
      <c r="E339">
        <v>0</v>
      </c>
      <c r="F339">
        <v>0</v>
      </c>
      <c r="G339">
        <v>0</v>
      </c>
    </row>
    <row r="340" spans="1:7">
      <c r="A340" t="s">
        <v>1876</v>
      </c>
      <c r="B340" t="s">
        <v>348</v>
      </c>
      <c r="C340" t="s">
        <v>1884</v>
      </c>
      <c r="D340">
        <v>0</v>
      </c>
      <c r="E340">
        <v>0</v>
      </c>
      <c r="F340">
        <v>0</v>
      </c>
      <c r="G340">
        <v>0</v>
      </c>
    </row>
    <row r="341" spans="1:7">
      <c r="A341" t="s">
        <v>1876</v>
      </c>
      <c r="B341" t="s">
        <v>348</v>
      </c>
      <c r="C341" t="s">
        <v>1885</v>
      </c>
      <c r="D341">
        <v>0</v>
      </c>
      <c r="E341">
        <v>0</v>
      </c>
      <c r="F341">
        <v>0</v>
      </c>
      <c r="G341">
        <v>0</v>
      </c>
    </row>
    <row r="342" spans="1:7">
      <c r="A342" t="s">
        <v>1876</v>
      </c>
      <c r="B342" t="s">
        <v>348</v>
      </c>
      <c r="C342" t="s">
        <v>1886</v>
      </c>
      <c r="D342">
        <v>0</v>
      </c>
      <c r="E342">
        <v>0</v>
      </c>
      <c r="F342">
        <v>0</v>
      </c>
      <c r="G342">
        <v>0</v>
      </c>
    </row>
    <row r="343" spans="1:7">
      <c r="A343" t="s">
        <v>1876</v>
      </c>
      <c r="B343" t="s">
        <v>348</v>
      </c>
      <c r="C343" t="s">
        <v>141</v>
      </c>
      <c r="D343">
        <v>22</v>
      </c>
      <c r="E343">
        <v>22</v>
      </c>
      <c r="F343">
        <v>29</v>
      </c>
      <c r="G343">
        <v>26</v>
      </c>
    </row>
    <row r="344" spans="1:7">
      <c r="A344" t="s">
        <v>1876</v>
      </c>
      <c r="B344" t="s">
        <v>348</v>
      </c>
      <c r="C344" t="s">
        <v>1887</v>
      </c>
      <c r="D344">
        <v>0</v>
      </c>
      <c r="E344">
        <v>0</v>
      </c>
      <c r="F344">
        <v>0</v>
      </c>
      <c r="G344">
        <v>0</v>
      </c>
    </row>
    <row r="345" spans="1:7">
      <c r="A345" t="s">
        <v>1876</v>
      </c>
      <c r="B345" t="s">
        <v>348</v>
      </c>
      <c r="C345" t="s">
        <v>1888</v>
      </c>
      <c r="D345">
        <v>0</v>
      </c>
      <c r="E345">
        <v>0</v>
      </c>
      <c r="F345">
        <v>0</v>
      </c>
      <c r="G345">
        <v>0</v>
      </c>
    </row>
    <row r="346" spans="1:7">
      <c r="A346" t="s">
        <v>1876</v>
      </c>
      <c r="B346" t="s">
        <v>348</v>
      </c>
      <c r="C346" t="s">
        <v>1889</v>
      </c>
      <c r="D346">
        <v>1411</v>
      </c>
      <c r="E346">
        <v>1231</v>
      </c>
      <c r="F346">
        <v>1472</v>
      </c>
      <c r="G346">
        <v>1450</v>
      </c>
    </row>
    <row r="347" spans="1:7">
      <c r="A347" t="s">
        <v>1876</v>
      </c>
      <c r="B347" t="s">
        <v>348</v>
      </c>
      <c r="C347" t="s">
        <v>1890</v>
      </c>
      <c r="D347">
        <v>0</v>
      </c>
      <c r="E347">
        <v>0</v>
      </c>
      <c r="F347">
        <v>0</v>
      </c>
      <c r="G347">
        <v>0</v>
      </c>
    </row>
    <row r="348" spans="1:7">
      <c r="A348" t="s">
        <v>1876</v>
      </c>
      <c r="B348" t="s">
        <v>348</v>
      </c>
      <c r="C348" t="s">
        <v>1891</v>
      </c>
    </row>
    <row r="349" spans="1:7">
      <c r="A349" t="s">
        <v>1876</v>
      </c>
      <c r="B349" t="s">
        <v>348</v>
      </c>
      <c r="C349" t="s">
        <v>1892</v>
      </c>
      <c r="D349">
        <v>1905</v>
      </c>
      <c r="E349">
        <v>1745</v>
      </c>
      <c r="F349">
        <v>2498</v>
      </c>
      <c r="G349">
        <v>2683</v>
      </c>
    </row>
    <row r="350" spans="1:7">
      <c r="A350" t="s">
        <v>1876</v>
      </c>
      <c r="B350" t="s">
        <v>348</v>
      </c>
      <c r="C350" t="s">
        <v>142</v>
      </c>
      <c r="D350">
        <v>3316</v>
      </c>
      <c r="E350">
        <v>2976</v>
      </c>
      <c r="F350">
        <v>3970</v>
      </c>
      <c r="G350">
        <v>4133</v>
      </c>
    </row>
    <row r="351" spans="1:7">
      <c r="A351" t="s">
        <v>1876</v>
      </c>
      <c r="B351" t="s">
        <v>348</v>
      </c>
      <c r="C351" t="s">
        <v>1893</v>
      </c>
      <c r="D351">
        <v>3316</v>
      </c>
      <c r="E351">
        <v>2976</v>
      </c>
      <c r="F351">
        <v>3970</v>
      </c>
      <c r="G351">
        <v>4133</v>
      </c>
    </row>
    <row r="352" spans="1:7">
      <c r="A352" t="s">
        <v>1876</v>
      </c>
      <c r="B352" t="s">
        <v>348</v>
      </c>
      <c r="C352" t="s">
        <v>1894</v>
      </c>
      <c r="D352">
        <v>1905</v>
      </c>
      <c r="E352">
        <v>1745</v>
      </c>
      <c r="F352">
        <v>2498</v>
      </c>
      <c r="G352">
        <v>2683</v>
      </c>
    </row>
    <row r="353" spans="1:7">
      <c r="A353" t="s">
        <v>1876</v>
      </c>
      <c r="B353" t="s">
        <v>348</v>
      </c>
      <c r="C353" t="s">
        <v>143</v>
      </c>
      <c r="D353">
        <v>22</v>
      </c>
      <c r="E353">
        <v>22</v>
      </c>
      <c r="F353">
        <v>29</v>
      </c>
      <c r="G353">
        <v>26</v>
      </c>
    </row>
    <row r="354" spans="1:7">
      <c r="A354" t="s">
        <v>1876</v>
      </c>
      <c r="B354" t="s">
        <v>348</v>
      </c>
      <c r="C354" t="s">
        <v>144</v>
      </c>
      <c r="D354">
        <v>28786</v>
      </c>
      <c r="E354">
        <v>30648</v>
      </c>
      <c r="F354">
        <v>30582</v>
      </c>
      <c r="G354">
        <v>33095</v>
      </c>
    </row>
    <row r="355" spans="1:7">
      <c r="A355" t="s">
        <v>1876</v>
      </c>
      <c r="B355" t="s">
        <v>348</v>
      </c>
      <c r="C355" t="s">
        <v>1895</v>
      </c>
      <c r="D355">
        <v>72.8</v>
      </c>
      <c r="E355">
        <v>68.3</v>
      </c>
      <c r="F355">
        <v>67.7</v>
      </c>
      <c r="G355">
        <v>72.2</v>
      </c>
    </row>
    <row r="356" spans="1:7">
      <c r="A356" t="s">
        <v>1876</v>
      </c>
      <c r="B356" t="s">
        <v>348</v>
      </c>
      <c r="C356" t="s">
        <v>145</v>
      </c>
      <c r="D356">
        <v>198543</v>
      </c>
      <c r="E356">
        <v>201913</v>
      </c>
      <c r="F356">
        <v>196969</v>
      </c>
      <c r="G356">
        <v>202371</v>
      </c>
    </row>
    <row r="357" spans="1:7">
      <c r="A357" t="s">
        <v>1876</v>
      </c>
      <c r="B357" t="s">
        <v>348</v>
      </c>
      <c r="C357" t="s">
        <v>146</v>
      </c>
      <c r="D357">
        <v>0</v>
      </c>
      <c r="E357">
        <v>0</v>
      </c>
      <c r="F357">
        <v>0</v>
      </c>
      <c r="G357">
        <v>0</v>
      </c>
    </row>
    <row r="358" spans="1:7">
      <c r="A358" t="s">
        <v>1876</v>
      </c>
      <c r="B358" t="s">
        <v>348</v>
      </c>
      <c r="C358" t="s">
        <v>147</v>
      </c>
      <c r="D358">
        <v>0</v>
      </c>
      <c r="E358">
        <v>0</v>
      </c>
      <c r="F358">
        <v>0</v>
      </c>
      <c r="G358">
        <v>0</v>
      </c>
    </row>
    <row r="359" spans="1:7">
      <c r="A359" t="s">
        <v>1876</v>
      </c>
      <c r="B359" t="s">
        <v>348</v>
      </c>
      <c r="C359" t="s">
        <v>1896</v>
      </c>
      <c r="D359">
        <v>1.9</v>
      </c>
      <c r="E359">
        <v>3.2</v>
      </c>
      <c r="F359">
        <v>5.8</v>
      </c>
      <c r="G359">
        <v>0</v>
      </c>
    </row>
    <row r="360" spans="1:7">
      <c r="A360" t="s">
        <v>1876</v>
      </c>
      <c r="B360" t="s">
        <v>348</v>
      </c>
      <c r="C360" t="s">
        <v>1702</v>
      </c>
      <c r="D360">
        <v>1</v>
      </c>
      <c r="E360">
        <v>1</v>
      </c>
      <c r="F360">
        <v>1</v>
      </c>
      <c r="G360">
        <v>1</v>
      </c>
    </row>
    <row r="361" spans="1:7">
      <c r="A361" t="s">
        <v>1876</v>
      </c>
      <c r="B361" t="s">
        <v>348</v>
      </c>
      <c r="C361" t="s">
        <v>1897</v>
      </c>
      <c r="D361">
        <v>4.5</v>
      </c>
      <c r="E361">
        <v>7.3</v>
      </c>
      <c r="F361">
        <v>12.4</v>
      </c>
      <c r="G361">
        <v>16.899999999999999</v>
      </c>
    </row>
    <row r="362" spans="1:7">
      <c r="A362" t="s">
        <v>1876</v>
      </c>
      <c r="B362" t="s">
        <v>348</v>
      </c>
      <c r="C362" t="s">
        <v>1898</v>
      </c>
      <c r="D362">
        <v>7</v>
      </c>
      <c r="E362">
        <v>12</v>
      </c>
      <c r="F362">
        <v>36</v>
      </c>
      <c r="G362">
        <v>53</v>
      </c>
    </row>
    <row r="363" spans="1:7">
      <c r="A363" t="s">
        <v>1876</v>
      </c>
      <c r="B363" t="s">
        <v>348</v>
      </c>
      <c r="C363" t="s">
        <v>1899</v>
      </c>
      <c r="D363">
        <v>1905</v>
      </c>
      <c r="E363">
        <v>1745</v>
      </c>
      <c r="F363">
        <v>2498</v>
      </c>
      <c r="G363">
        <v>2683</v>
      </c>
    </row>
    <row r="364" spans="1:7">
      <c r="A364" t="s">
        <v>1876</v>
      </c>
      <c r="B364" t="s">
        <v>348</v>
      </c>
      <c r="C364" t="s">
        <v>148</v>
      </c>
      <c r="D364">
        <v>0</v>
      </c>
      <c r="E364">
        <v>0</v>
      </c>
      <c r="F364">
        <v>0</v>
      </c>
      <c r="G364">
        <v>0</v>
      </c>
    </row>
    <row r="365" spans="1:7">
      <c r="A365" t="s">
        <v>1876</v>
      </c>
      <c r="B365" t="s">
        <v>348</v>
      </c>
      <c r="C365" t="s">
        <v>149</v>
      </c>
      <c r="D365">
        <v>0</v>
      </c>
      <c r="E365">
        <v>0</v>
      </c>
      <c r="F365">
        <v>0</v>
      </c>
      <c r="G365">
        <v>0</v>
      </c>
    </row>
    <row r="366" spans="1:7">
      <c r="A366" t="s">
        <v>1876</v>
      </c>
      <c r="B366" t="s">
        <v>348</v>
      </c>
      <c r="C366" t="s">
        <v>150</v>
      </c>
      <c r="D366">
        <v>0</v>
      </c>
      <c r="E366">
        <v>0</v>
      </c>
      <c r="F366">
        <v>0</v>
      </c>
      <c r="G366">
        <v>0</v>
      </c>
    </row>
    <row r="367" spans="1:7">
      <c r="A367" t="s">
        <v>1876</v>
      </c>
      <c r="B367" t="s">
        <v>348</v>
      </c>
      <c r="C367" t="s">
        <v>1900</v>
      </c>
      <c r="D367">
        <v>67.2</v>
      </c>
      <c r="E367">
        <v>66.3</v>
      </c>
      <c r="F367">
        <v>47.9</v>
      </c>
      <c r="G367">
        <v>51.5</v>
      </c>
    </row>
    <row r="368" spans="1:7">
      <c r="A368" t="s">
        <v>1876</v>
      </c>
      <c r="B368" t="s">
        <v>348</v>
      </c>
      <c r="C368" t="s">
        <v>151</v>
      </c>
      <c r="D368">
        <v>0</v>
      </c>
      <c r="E368">
        <v>0</v>
      </c>
      <c r="F368">
        <v>0</v>
      </c>
      <c r="G368">
        <v>0</v>
      </c>
    </row>
    <row r="369" spans="1:7">
      <c r="A369" t="s">
        <v>1876</v>
      </c>
      <c r="B369" t="s">
        <v>348</v>
      </c>
      <c r="C369" t="s">
        <v>152</v>
      </c>
      <c r="D369">
        <v>270310</v>
      </c>
      <c r="E369">
        <v>264511</v>
      </c>
      <c r="F369">
        <v>199545</v>
      </c>
      <c r="G369">
        <v>215132</v>
      </c>
    </row>
    <row r="370" spans="1:7">
      <c r="A370" t="s">
        <v>1876</v>
      </c>
      <c r="B370" t="s">
        <v>348</v>
      </c>
      <c r="C370" t="s">
        <v>1703</v>
      </c>
      <c r="D370">
        <v>4728</v>
      </c>
      <c r="E370">
        <v>4728</v>
      </c>
      <c r="F370">
        <v>4728</v>
      </c>
      <c r="G370">
        <v>4728</v>
      </c>
    </row>
    <row r="371" spans="1:7">
      <c r="A371" t="s">
        <v>1876</v>
      </c>
      <c r="B371" t="s">
        <v>348</v>
      </c>
      <c r="C371" t="s">
        <v>153</v>
      </c>
      <c r="D371">
        <v>39482</v>
      </c>
      <c r="E371">
        <v>33143</v>
      </c>
      <c r="F371">
        <v>25382</v>
      </c>
      <c r="G371">
        <v>24122</v>
      </c>
    </row>
    <row r="372" spans="1:7">
      <c r="A372" t="s">
        <v>1876</v>
      </c>
      <c r="B372" t="s">
        <v>348</v>
      </c>
      <c r="C372" t="s">
        <v>154</v>
      </c>
      <c r="D372">
        <v>21663</v>
      </c>
      <c r="E372">
        <v>16715</v>
      </c>
      <c r="F372">
        <v>14399</v>
      </c>
      <c r="G372">
        <v>13431</v>
      </c>
    </row>
    <row r="373" spans="1:7">
      <c r="A373" t="s">
        <v>1876</v>
      </c>
      <c r="B373" t="s">
        <v>348</v>
      </c>
      <c r="C373" t="s">
        <v>155</v>
      </c>
      <c r="D373">
        <v>17819</v>
      </c>
      <c r="E373">
        <v>16428</v>
      </c>
      <c r="F373">
        <v>10983</v>
      </c>
      <c r="G373">
        <v>10691</v>
      </c>
    </row>
    <row r="374" spans="1:7">
      <c r="A374" t="s">
        <v>1876</v>
      </c>
      <c r="B374" t="s">
        <v>348</v>
      </c>
      <c r="C374" t="s">
        <v>156</v>
      </c>
      <c r="D374">
        <v>0</v>
      </c>
      <c r="E374">
        <v>0</v>
      </c>
      <c r="F374">
        <v>0</v>
      </c>
      <c r="G374">
        <v>0</v>
      </c>
    </row>
    <row r="375" spans="1:7">
      <c r="A375" t="s">
        <v>1876</v>
      </c>
      <c r="B375" t="s">
        <v>348</v>
      </c>
      <c r="C375" t="s">
        <v>157</v>
      </c>
      <c r="D375">
        <v>309791</v>
      </c>
      <c r="E375">
        <v>297654</v>
      </c>
      <c r="F375">
        <v>224926</v>
      </c>
      <c r="G375">
        <v>239254</v>
      </c>
    </row>
    <row r="376" spans="1:7">
      <c r="A376" t="s">
        <v>1876</v>
      </c>
      <c r="B376" t="s">
        <v>348</v>
      </c>
      <c r="C376" t="s">
        <v>158</v>
      </c>
      <c r="D376">
        <v>39482</v>
      </c>
      <c r="E376">
        <v>33143</v>
      </c>
      <c r="F376">
        <v>25382</v>
      </c>
      <c r="G376">
        <v>24122</v>
      </c>
    </row>
    <row r="377" spans="1:7">
      <c r="A377" t="s">
        <v>1876</v>
      </c>
      <c r="B377" t="s">
        <v>348</v>
      </c>
      <c r="C377" t="s">
        <v>159</v>
      </c>
      <c r="D377">
        <v>0</v>
      </c>
      <c r="E377">
        <v>0</v>
      </c>
      <c r="F377">
        <v>0</v>
      </c>
      <c r="G377">
        <v>0</v>
      </c>
    </row>
    <row r="378" spans="1:7">
      <c r="A378" t="s">
        <v>1876</v>
      </c>
      <c r="B378" t="s">
        <v>348</v>
      </c>
      <c r="C378" t="s">
        <v>1901</v>
      </c>
      <c r="D378">
        <v>58.2</v>
      </c>
      <c r="E378">
        <v>64.8</v>
      </c>
      <c r="F378">
        <v>63.7</v>
      </c>
      <c r="G378">
        <v>60.2</v>
      </c>
    </row>
    <row r="379" spans="1:7">
      <c r="A379" t="s">
        <v>1876</v>
      </c>
      <c r="B379" t="s">
        <v>348</v>
      </c>
      <c r="C379" t="s">
        <v>1902</v>
      </c>
      <c r="D379">
        <v>136834</v>
      </c>
      <c r="E379">
        <v>132907</v>
      </c>
      <c r="F379">
        <v>129315</v>
      </c>
      <c r="G379">
        <v>128632</v>
      </c>
    </row>
    <row r="380" spans="1:7">
      <c r="A380" t="s">
        <v>1876</v>
      </c>
      <c r="B380" t="s">
        <v>348</v>
      </c>
      <c r="C380" t="s">
        <v>1903</v>
      </c>
      <c r="D380">
        <v>4703</v>
      </c>
      <c r="E380">
        <v>4829</v>
      </c>
      <c r="F380">
        <v>4314</v>
      </c>
      <c r="G380">
        <v>4487</v>
      </c>
    </row>
    <row r="381" spans="1:7">
      <c r="A381" t="s">
        <v>1876</v>
      </c>
      <c r="B381" t="s">
        <v>348</v>
      </c>
      <c r="C381" t="s">
        <v>1904</v>
      </c>
      <c r="D381">
        <v>211</v>
      </c>
      <c r="E381">
        <v>420</v>
      </c>
      <c r="F381">
        <v>173</v>
      </c>
      <c r="G381">
        <v>111</v>
      </c>
    </row>
    <row r="382" spans="1:7">
      <c r="A382" t="s">
        <v>1876</v>
      </c>
      <c r="B382" t="s">
        <v>348</v>
      </c>
      <c r="C382" t="s">
        <v>1905</v>
      </c>
      <c r="D382">
        <v>21427</v>
      </c>
      <c r="E382">
        <v>21661</v>
      </c>
      <c r="F382">
        <v>21141</v>
      </c>
      <c r="G382">
        <v>20516</v>
      </c>
    </row>
    <row r="383" spans="1:7">
      <c r="A383" t="s">
        <v>1876</v>
      </c>
      <c r="B383" t="s">
        <v>348</v>
      </c>
      <c r="C383" t="s">
        <v>1906</v>
      </c>
      <c r="D383">
        <v>144</v>
      </c>
      <c r="E383">
        <v>150</v>
      </c>
      <c r="F383">
        <v>134</v>
      </c>
      <c r="G383">
        <v>136</v>
      </c>
    </row>
    <row r="384" spans="1:7">
      <c r="A384" t="s">
        <v>1876</v>
      </c>
      <c r="B384" t="s">
        <v>348</v>
      </c>
      <c r="C384" t="s">
        <v>1907</v>
      </c>
      <c r="D384">
        <v>163319</v>
      </c>
      <c r="E384">
        <v>159966</v>
      </c>
      <c r="F384">
        <v>155077</v>
      </c>
      <c r="G384">
        <v>153882</v>
      </c>
    </row>
    <row r="385" spans="1:7">
      <c r="A385" t="s">
        <v>1876</v>
      </c>
      <c r="B385" t="s">
        <v>348</v>
      </c>
      <c r="C385" t="s">
        <v>160</v>
      </c>
      <c r="D385">
        <v>134929</v>
      </c>
      <c r="E385">
        <v>131162</v>
      </c>
      <c r="F385">
        <v>126817</v>
      </c>
      <c r="G385">
        <v>125948</v>
      </c>
    </row>
    <row r="386" spans="1:7">
      <c r="A386" t="s">
        <v>1876</v>
      </c>
      <c r="B386" t="s">
        <v>348</v>
      </c>
      <c r="C386" t="s">
        <v>161</v>
      </c>
      <c r="D386">
        <v>4703</v>
      </c>
      <c r="E386">
        <v>4829</v>
      </c>
      <c r="F386">
        <v>4314</v>
      </c>
      <c r="G386">
        <v>4487</v>
      </c>
    </row>
    <row r="387" spans="1:7">
      <c r="A387" t="s">
        <v>1876</v>
      </c>
      <c r="B387" t="s">
        <v>348</v>
      </c>
      <c r="C387" t="s">
        <v>162</v>
      </c>
      <c r="D387">
        <v>211</v>
      </c>
      <c r="E387">
        <v>420</v>
      </c>
      <c r="F387">
        <v>173</v>
      </c>
      <c r="G387">
        <v>111</v>
      </c>
    </row>
    <row r="388" spans="1:7">
      <c r="A388" t="s">
        <v>1876</v>
      </c>
      <c r="B388" t="s">
        <v>348</v>
      </c>
      <c r="C388" t="s">
        <v>163</v>
      </c>
      <c r="D388">
        <v>21427</v>
      </c>
      <c r="E388">
        <v>21661</v>
      </c>
      <c r="F388">
        <v>21141</v>
      </c>
      <c r="G388">
        <v>20516</v>
      </c>
    </row>
    <row r="389" spans="1:7">
      <c r="A389" t="s">
        <v>1876</v>
      </c>
      <c r="B389" t="s">
        <v>348</v>
      </c>
      <c r="C389" t="s">
        <v>164</v>
      </c>
      <c r="D389">
        <v>144</v>
      </c>
      <c r="E389">
        <v>150</v>
      </c>
      <c r="F389">
        <v>134</v>
      </c>
      <c r="G389">
        <v>136</v>
      </c>
    </row>
    <row r="390" spans="1:7">
      <c r="A390" t="s">
        <v>1876</v>
      </c>
      <c r="B390" t="s">
        <v>348</v>
      </c>
      <c r="C390" t="s">
        <v>165</v>
      </c>
      <c r="D390">
        <v>161414</v>
      </c>
      <c r="E390">
        <v>158221</v>
      </c>
      <c r="F390">
        <v>152579</v>
      </c>
      <c r="G390">
        <v>151198</v>
      </c>
    </row>
    <row r="391" spans="1:7">
      <c r="A391" t="s">
        <v>1876</v>
      </c>
      <c r="B391" t="s">
        <v>348</v>
      </c>
      <c r="C391" t="s">
        <v>166</v>
      </c>
      <c r="D391">
        <v>161203</v>
      </c>
      <c r="E391">
        <v>157802</v>
      </c>
      <c r="F391">
        <v>152406</v>
      </c>
      <c r="G391">
        <v>151087</v>
      </c>
    </row>
    <row r="392" spans="1:7">
      <c r="A392" t="s">
        <v>1876</v>
      </c>
      <c r="B392" t="s">
        <v>348</v>
      </c>
      <c r="C392" t="s">
        <v>167</v>
      </c>
      <c r="D392">
        <v>211</v>
      </c>
      <c r="E392">
        <v>420</v>
      </c>
      <c r="F392">
        <v>173</v>
      </c>
      <c r="G392">
        <v>111</v>
      </c>
    </row>
    <row r="393" spans="1:7">
      <c r="A393" t="s">
        <v>1876</v>
      </c>
      <c r="B393" t="s">
        <v>348</v>
      </c>
      <c r="C393" t="s">
        <v>1908</v>
      </c>
      <c r="D393">
        <v>133518</v>
      </c>
      <c r="E393">
        <v>129931</v>
      </c>
      <c r="F393">
        <v>125345</v>
      </c>
      <c r="G393">
        <v>124498</v>
      </c>
    </row>
    <row r="394" spans="1:7">
      <c r="A394" t="s">
        <v>1876</v>
      </c>
      <c r="B394" t="s">
        <v>348</v>
      </c>
      <c r="C394" t="s">
        <v>1909</v>
      </c>
      <c r="D394">
        <v>4703</v>
      </c>
      <c r="E394">
        <v>4829</v>
      </c>
      <c r="F394">
        <v>4314</v>
      </c>
      <c r="G394">
        <v>4487</v>
      </c>
    </row>
    <row r="395" spans="1:7">
      <c r="A395" t="s">
        <v>1876</v>
      </c>
      <c r="B395" t="s">
        <v>348</v>
      </c>
      <c r="C395" t="s">
        <v>1910</v>
      </c>
      <c r="D395">
        <v>211</v>
      </c>
      <c r="E395">
        <v>420</v>
      </c>
      <c r="F395">
        <v>173</v>
      </c>
      <c r="G395">
        <v>111</v>
      </c>
    </row>
    <row r="396" spans="1:7">
      <c r="A396" t="s">
        <v>1876</v>
      </c>
      <c r="B396" t="s">
        <v>348</v>
      </c>
      <c r="C396" t="s">
        <v>1911</v>
      </c>
      <c r="D396">
        <v>21427</v>
      </c>
      <c r="E396">
        <v>21661</v>
      </c>
      <c r="F396">
        <v>21141</v>
      </c>
      <c r="G396">
        <v>20516</v>
      </c>
    </row>
    <row r="397" spans="1:7">
      <c r="A397" t="s">
        <v>1876</v>
      </c>
      <c r="B397" t="s">
        <v>348</v>
      </c>
      <c r="C397" t="s">
        <v>1912</v>
      </c>
      <c r="D397">
        <v>144</v>
      </c>
      <c r="E397">
        <v>150</v>
      </c>
      <c r="F397">
        <v>134</v>
      </c>
      <c r="G397">
        <v>136</v>
      </c>
    </row>
    <row r="398" spans="1:7">
      <c r="A398" t="s">
        <v>1876</v>
      </c>
      <c r="B398" t="s">
        <v>348</v>
      </c>
      <c r="C398" t="s">
        <v>168</v>
      </c>
      <c r="D398">
        <v>160003</v>
      </c>
      <c r="E398">
        <v>156990</v>
      </c>
      <c r="F398">
        <v>151108</v>
      </c>
      <c r="G398">
        <v>149748</v>
      </c>
    </row>
    <row r="399" spans="1:7">
      <c r="A399" t="s">
        <v>1876</v>
      </c>
      <c r="B399" t="s">
        <v>348</v>
      </c>
      <c r="C399" t="s">
        <v>169</v>
      </c>
      <c r="D399">
        <v>0</v>
      </c>
      <c r="E399">
        <v>0</v>
      </c>
      <c r="F399">
        <v>0</v>
      </c>
      <c r="G399">
        <v>0</v>
      </c>
    </row>
    <row r="400" spans="1:7">
      <c r="A400" t="s">
        <v>1876</v>
      </c>
      <c r="B400" t="s">
        <v>348</v>
      </c>
      <c r="C400" t="s">
        <v>1704</v>
      </c>
      <c r="D400">
        <v>28911</v>
      </c>
      <c r="E400">
        <v>28910</v>
      </c>
      <c r="F400">
        <v>31097</v>
      </c>
      <c r="G400">
        <v>30996</v>
      </c>
    </row>
    <row r="401" spans="1:7">
      <c r="A401" t="s">
        <v>1876</v>
      </c>
      <c r="B401" t="s">
        <v>348</v>
      </c>
      <c r="C401" t="s">
        <v>170</v>
      </c>
      <c r="D401">
        <v>0</v>
      </c>
      <c r="E401">
        <v>0</v>
      </c>
      <c r="F401">
        <v>0</v>
      </c>
      <c r="G401">
        <v>0</v>
      </c>
    </row>
    <row r="402" spans="1:7">
      <c r="A402" t="s">
        <v>1876</v>
      </c>
      <c r="B402" t="s">
        <v>348</v>
      </c>
      <c r="C402" t="s">
        <v>171</v>
      </c>
      <c r="D402">
        <v>-424798</v>
      </c>
      <c r="E402">
        <v>-433266</v>
      </c>
      <c r="F402">
        <v>-404839</v>
      </c>
      <c r="G402">
        <v>-405758</v>
      </c>
    </row>
    <row r="403" spans="1:7">
      <c r="A403" t="s">
        <v>1876</v>
      </c>
      <c r="B403" t="s">
        <v>348</v>
      </c>
      <c r="C403" t="s">
        <v>172</v>
      </c>
      <c r="D403">
        <v>0</v>
      </c>
      <c r="E403">
        <v>0</v>
      </c>
      <c r="F403">
        <v>0</v>
      </c>
      <c r="G403">
        <v>0</v>
      </c>
    </row>
    <row r="404" spans="1:7">
      <c r="A404" t="s">
        <v>1876</v>
      </c>
      <c r="B404" t="s">
        <v>348</v>
      </c>
      <c r="C404" t="s">
        <v>1913</v>
      </c>
      <c r="D404">
        <v>7.8</v>
      </c>
      <c r="E404">
        <v>11.4</v>
      </c>
      <c r="F404">
        <v>17.600000000000001</v>
      </c>
      <c r="G404">
        <v>23.5</v>
      </c>
    </row>
    <row r="405" spans="1:7">
      <c r="A405" t="s">
        <v>1876</v>
      </c>
      <c r="B405" t="s">
        <v>348</v>
      </c>
      <c r="C405" t="s">
        <v>1914</v>
      </c>
      <c r="D405">
        <v>0.2</v>
      </c>
      <c r="E405">
        <v>0.3</v>
      </c>
      <c r="F405">
        <v>0.4</v>
      </c>
      <c r="G405">
        <v>0.5</v>
      </c>
    </row>
    <row r="406" spans="1:7">
      <c r="A406" t="s">
        <v>1876</v>
      </c>
      <c r="B406" t="s">
        <v>348</v>
      </c>
      <c r="C406" t="s">
        <v>173</v>
      </c>
      <c r="D406">
        <v>24777</v>
      </c>
      <c r="E406">
        <v>26629</v>
      </c>
      <c r="F406">
        <v>25872</v>
      </c>
      <c r="G406">
        <v>28388</v>
      </c>
    </row>
    <row r="407" spans="1:7">
      <c r="A407" t="s">
        <v>1876</v>
      </c>
      <c r="B407" t="s">
        <v>348</v>
      </c>
      <c r="C407" t="s">
        <v>174</v>
      </c>
      <c r="D407">
        <v>381</v>
      </c>
      <c r="E407">
        <v>691</v>
      </c>
      <c r="F407">
        <v>392</v>
      </c>
      <c r="G407">
        <v>336</v>
      </c>
    </row>
    <row r="408" spans="1:7">
      <c r="A408" t="s">
        <v>1876</v>
      </c>
      <c r="B408" t="s">
        <v>348</v>
      </c>
      <c r="C408" t="s">
        <v>175</v>
      </c>
      <c r="D408">
        <v>290</v>
      </c>
      <c r="E408">
        <v>329</v>
      </c>
      <c r="F408">
        <v>319</v>
      </c>
      <c r="G408">
        <v>211</v>
      </c>
    </row>
    <row r="409" spans="1:7">
      <c r="A409" t="s">
        <v>1876</v>
      </c>
      <c r="B409" t="s">
        <v>348</v>
      </c>
      <c r="C409" t="s">
        <v>176</v>
      </c>
      <c r="D409">
        <v>0</v>
      </c>
      <c r="E409">
        <v>0</v>
      </c>
      <c r="F409">
        <v>0</v>
      </c>
      <c r="G409">
        <v>0</v>
      </c>
    </row>
    <row r="410" spans="1:7">
      <c r="A410" t="s">
        <v>1876</v>
      </c>
      <c r="B410" t="s">
        <v>348</v>
      </c>
      <c r="C410" t="s">
        <v>177</v>
      </c>
      <c r="D410">
        <v>25448</v>
      </c>
      <c r="E410">
        <v>27649</v>
      </c>
      <c r="F410">
        <v>26583</v>
      </c>
      <c r="G410">
        <v>28936</v>
      </c>
    </row>
    <row r="411" spans="1:7">
      <c r="A411" t="s">
        <v>1876</v>
      </c>
      <c r="B411" t="s">
        <v>348</v>
      </c>
      <c r="C411" t="s">
        <v>178</v>
      </c>
      <c r="D411">
        <v>0</v>
      </c>
      <c r="E411">
        <v>0</v>
      </c>
      <c r="F411">
        <v>0</v>
      </c>
      <c r="G411">
        <v>0</v>
      </c>
    </row>
    <row r="412" spans="1:7">
      <c r="A412" t="s">
        <v>1876</v>
      </c>
      <c r="B412" t="s">
        <v>348</v>
      </c>
      <c r="C412" t="s">
        <v>179</v>
      </c>
      <c r="D412">
        <v>0</v>
      </c>
      <c r="E412">
        <v>0</v>
      </c>
      <c r="F412">
        <v>0</v>
      </c>
      <c r="G412">
        <v>0</v>
      </c>
    </row>
    <row r="413" spans="1:7">
      <c r="A413" t="s">
        <v>1876</v>
      </c>
      <c r="B413" t="s">
        <v>348</v>
      </c>
      <c r="C413" t="s">
        <v>180</v>
      </c>
      <c r="D413">
        <v>0</v>
      </c>
      <c r="E413">
        <v>0</v>
      </c>
      <c r="F413">
        <v>0</v>
      </c>
      <c r="G413">
        <v>0</v>
      </c>
    </row>
    <row r="414" spans="1:7">
      <c r="A414" t="s">
        <v>1876</v>
      </c>
      <c r="B414" t="s">
        <v>348</v>
      </c>
      <c r="C414" t="s">
        <v>181</v>
      </c>
      <c r="D414">
        <v>74533</v>
      </c>
      <c r="E414">
        <v>76398</v>
      </c>
      <c r="F414">
        <v>75792</v>
      </c>
      <c r="G414">
        <v>78004</v>
      </c>
    </row>
    <row r="415" spans="1:7">
      <c r="A415" t="s">
        <v>1876</v>
      </c>
      <c r="B415" t="s">
        <v>348</v>
      </c>
      <c r="C415" t="s">
        <v>182</v>
      </c>
      <c r="D415">
        <v>109715</v>
      </c>
      <c r="E415">
        <v>108204</v>
      </c>
      <c r="F415">
        <v>106650</v>
      </c>
      <c r="G415">
        <v>108373</v>
      </c>
    </row>
    <row r="416" spans="1:7">
      <c r="A416" t="s">
        <v>1876</v>
      </c>
      <c r="B416" t="s">
        <v>348</v>
      </c>
      <c r="C416" t="s">
        <v>183</v>
      </c>
      <c r="D416">
        <v>107769</v>
      </c>
      <c r="E416">
        <v>112335</v>
      </c>
      <c r="F416">
        <v>107170</v>
      </c>
      <c r="G416">
        <v>112252</v>
      </c>
    </row>
    <row r="417" spans="1:7">
      <c r="A417" t="s">
        <v>1876</v>
      </c>
      <c r="B417" t="s">
        <v>348</v>
      </c>
      <c r="C417" t="s">
        <v>184</v>
      </c>
      <c r="D417">
        <v>292017</v>
      </c>
      <c r="E417">
        <v>296938</v>
      </c>
      <c r="F417">
        <v>289612</v>
      </c>
      <c r="G417">
        <v>298628</v>
      </c>
    </row>
    <row r="418" spans="1:7">
      <c r="A418" t="s">
        <v>1876</v>
      </c>
      <c r="B418" t="s">
        <v>348</v>
      </c>
      <c r="C418" t="s">
        <v>185</v>
      </c>
      <c r="D418">
        <v>292017</v>
      </c>
      <c r="E418">
        <v>296938</v>
      </c>
      <c r="F418">
        <v>289612</v>
      </c>
      <c r="G418">
        <v>298628</v>
      </c>
    </row>
    <row r="419" spans="1:7">
      <c r="A419" t="s">
        <v>1876</v>
      </c>
      <c r="B419" t="s">
        <v>348</v>
      </c>
      <c r="C419" t="s">
        <v>1915</v>
      </c>
      <c r="D419">
        <v>12</v>
      </c>
      <c r="E419">
        <v>20</v>
      </c>
      <c r="F419">
        <v>50</v>
      </c>
      <c r="G419">
        <v>70</v>
      </c>
    </row>
    <row r="420" spans="1:7">
      <c r="A420" t="s">
        <v>1876</v>
      </c>
      <c r="B420" t="s">
        <v>348</v>
      </c>
      <c r="C420" t="s">
        <v>1916</v>
      </c>
      <c r="D420">
        <v>0</v>
      </c>
      <c r="E420">
        <v>0</v>
      </c>
      <c r="F420">
        <v>0</v>
      </c>
      <c r="G420">
        <v>0</v>
      </c>
    </row>
    <row r="421" spans="1:7">
      <c r="A421" t="s">
        <v>1876</v>
      </c>
      <c r="B421" t="s">
        <v>348</v>
      </c>
      <c r="C421" t="s">
        <v>1917</v>
      </c>
      <c r="D421">
        <v>40</v>
      </c>
      <c r="E421">
        <v>40</v>
      </c>
      <c r="F421">
        <v>40</v>
      </c>
      <c r="G421">
        <v>21</v>
      </c>
    </row>
    <row r="422" spans="1:7">
      <c r="A422" t="s">
        <v>1876</v>
      </c>
      <c r="B422" t="s">
        <v>348</v>
      </c>
      <c r="C422" t="s">
        <v>1918</v>
      </c>
      <c r="D422">
        <v>612</v>
      </c>
      <c r="E422">
        <v>755</v>
      </c>
      <c r="F422">
        <v>844</v>
      </c>
      <c r="G422">
        <v>1114</v>
      </c>
    </row>
    <row r="423" spans="1:7">
      <c r="A423" t="s">
        <v>1876</v>
      </c>
      <c r="B423" t="s">
        <v>348</v>
      </c>
      <c r="C423" t="s">
        <v>1919</v>
      </c>
      <c r="D423">
        <v>2.64</v>
      </c>
      <c r="E423">
        <v>2.74</v>
      </c>
      <c r="F423">
        <v>2.5499999999999998</v>
      </c>
      <c r="G423">
        <v>2.84</v>
      </c>
    </row>
    <row r="424" spans="1:7">
      <c r="A424" t="s">
        <v>1876</v>
      </c>
      <c r="B424" t="s">
        <v>348</v>
      </c>
      <c r="C424" t="s">
        <v>1920</v>
      </c>
      <c r="D424">
        <v>783</v>
      </c>
      <c r="E424">
        <v>1047</v>
      </c>
      <c r="F424">
        <v>1268</v>
      </c>
      <c r="G424">
        <v>1890</v>
      </c>
    </row>
    <row r="425" spans="1:7">
      <c r="A425" t="s">
        <v>1876</v>
      </c>
      <c r="B425" t="s">
        <v>348</v>
      </c>
      <c r="C425" t="s">
        <v>1921</v>
      </c>
      <c r="D425">
        <v>262</v>
      </c>
      <c r="E425">
        <v>339</v>
      </c>
      <c r="F425">
        <v>444</v>
      </c>
      <c r="G425">
        <v>586</v>
      </c>
    </row>
    <row r="426" spans="1:7">
      <c r="A426" t="s">
        <v>1876</v>
      </c>
      <c r="B426" t="s">
        <v>348</v>
      </c>
      <c r="C426" t="s">
        <v>1922</v>
      </c>
      <c r="D426">
        <v>131</v>
      </c>
      <c r="E426">
        <v>252</v>
      </c>
      <c r="F426">
        <v>384</v>
      </c>
      <c r="G426">
        <v>755</v>
      </c>
    </row>
    <row r="427" spans="1:7">
      <c r="A427" t="s">
        <v>1876</v>
      </c>
      <c r="B427" t="s">
        <v>348</v>
      </c>
      <c r="C427" t="s">
        <v>1923</v>
      </c>
      <c r="D427">
        <v>3.74</v>
      </c>
      <c r="E427">
        <v>3.76</v>
      </c>
      <c r="F427">
        <v>3.25</v>
      </c>
      <c r="G427">
        <v>3.61</v>
      </c>
    </row>
    <row r="428" spans="1:7">
      <c r="A428" t="s">
        <v>1876</v>
      </c>
      <c r="B428" t="s">
        <v>348</v>
      </c>
      <c r="C428" t="s">
        <v>1924</v>
      </c>
      <c r="D428">
        <v>34</v>
      </c>
      <c r="E428">
        <v>6</v>
      </c>
      <c r="F428">
        <v>6</v>
      </c>
      <c r="G428">
        <v>6</v>
      </c>
    </row>
    <row r="429" spans="1:7">
      <c r="A429" t="s">
        <v>1876</v>
      </c>
      <c r="B429" t="s">
        <v>348</v>
      </c>
      <c r="C429" t="s">
        <v>1925</v>
      </c>
      <c r="D429">
        <v>100</v>
      </c>
      <c r="E429">
        <v>98</v>
      </c>
      <c r="F429">
        <v>100</v>
      </c>
      <c r="G429">
        <v>106</v>
      </c>
    </row>
    <row r="430" spans="1:7">
      <c r="A430" t="s">
        <v>1876</v>
      </c>
      <c r="B430" t="s">
        <v>348</v>
      </c>
      <c r="C430" t="s">
        <v>1926</v>
      </c>
      <c r="D430">
        <v>128</v>
      </c>
      <c r="E430">
        <v>235</v>
      </c>
      <c r="F430">
        <v>338</v>
      </c>
      <c r="G430">
        <v>474</v>
      </c>
    </row>
    <row r="431" spans="1:7">
      <c r="A431" t="s">
        <v>1876</v>
      </c>
      <c r="B431" t="s">
        <v>348</v>
      </c>
      <c r="C431" t="s">
        <v>1927</v>
      </c>
      <c r="D431">
        <v>22</v>
      </c>
      <c r="E431">
        <v>22</v>
      </c>
      <c r="F431">
        <v>21</v>
      </c>
      <c r="G431">
        <v>22</v>
      </c>
    </row>
    <row r="432" spans="1:7">
      <c r="A432" t="s">
        <v>1876</v>
      </c>
      <c r="B432" t="s">
        <v>348</v>
      </c>
      <c r="C432" t="s">
        <v>1928</v>
      </c>
      <c r="D432">
        <v>181</v>
      </c>
      <c r="E432">
        <v>256</v>
      </c>
      <c r="F432">
        <v>361</v>
      </c>
      <c r="G432">
        <v>490</v>
      </c>
    </row>
    <row r="433" spans="1:7">
      <c r="A433" t="s">
        <v>1876</v>
      </c>
      <c r="B433" t="s">
        <v>348</v>
      </c>
      <c r="C433" t="s">
        <v>1929</v>
      </c>
      <c r="D433">
        <v>59</v>
      </c>
      <c r="E433">
        <v>61</v>
      </c>
      <c r="F433">
        <v>62</v>
      </c>
      <c r="G433">
        <v>74</v>
      </c>
    </row>
    <row r="434" spans="1:7">
      <c r="A434" t="s">
        <v>1876</v>
      </c>
      <c r="B434" t="s">
        <v>348</v>
      </c>
      <c r="C434" t="s">
        <v>186</v>
      </c>
      <c r="D434">
        <v>0</v>
      </c>
      <c r="E434">
        <v>0</v>
      </c>
      <c r="F434">
        <v>0</v>
      </c>
      <c r="G434">
        <v>0</v>
      </c>
    </row>
    <row r="435" spans="1:7">
      <c r="A435" t="s">
        <v>1876</v>
      </c>
      <c r="B435" t="s">
        <v>348</v>
      </c>
      <c r="C435" t="s">
        <v>187</v>
      </c>
      <c r="D435">
        <v>0</v>
      </c>
      <c r="E435">
        <v>0</v>
      </c>
      <c r="F435">
        <v>0</v>
      </c>
      <c r="G435">
        <v>0</v>
      </c>
    </row>
    <row r="436" spans="1:7">
      <c r="A436" t="s">
        <v>1876</v>
      </c>
      <c r="B436" t="s">
        <v>348</v>
      </c>
      <c r="C436" t="s">
        <v>1705</v>
      </c>
      <c r="D436">
        <v>19125</v>
      </c>
      <c r="E436">
        <v>19125</v>
      </c>
      <c r="F436">
        <v>21134</v>
      </c>
      <c r="G436">
        <v>20974</v>
      </c>
    </row>
    <row r="437" spans="1:7">
      <c r="A437" t="s">
        <v>1876</v>
      </c>
      <c r="B437" t="s">
        <v>348</v>
      </c>
      <c r="C437" t="s">
        <v>188</v>
      </c>
      <c r="D437">
        <v>1632847</v>
      </c>
      <c r="E437">
        <v>1663840</v>
      </c>
      <c r="F437">
        <v>1564638</v>
      </c>
      <c r="G437">
        <v>1611917</v>
      </c>
    </row>
    <row r="438" spans="1:7">
      <c r="A438" t="s">
        <v>1876</v>
      </c>
      <c r="B438" t="s">
        <v>348</v>
      </c>
      <c r="C438" t="s">
        <v>189</v>
      </c>
      <c r="D438">
        <v>0</v>
      </c>
      <c r="E438">
        <v>0</v>
      </c>
      <c r="F438">
        <v>0</v>
      </c>
      <c r="G438">
        <v>0</v>
      </c>
    </row>
    <row r="439" spans="1:7">
      <c r="A439" t="s">
        <v>1876</v>
      </c>
      <c r="B439" t="s">
        <v>348</v>
      </c>
      <c r="C439" t="s">
        <v>190</v>
      </c>
      <c r="D439">
        <v>0</v>
      </c>
      <c r="E439">
        <v>0</v>
      </c>
      <c r="F439">
        <v>0</v>
      </c>
      <c r="G439">
        <v>0</v>
      </c>
    </row>
    <row r="440" spans="1:7">
      <c r="A440" t="s">
        <v>1876</v>
      </c>
      <c r="B440" t="s">
        <v>348</v>
      </c>
      <c r="C440" t="s">
        <v>191</v>
      </c>
      <c r="D440">
        <v>0</v>
      </c>
      <c r="E440">
        <v>0</v>
      </c>
      <c r="F440">
        <v>0</v>
      </c>
      <c r="G440">
        <v>0</v>
      </c>
    </row>
    <row r="441" spans="1:7">
      <c r="A441" t="s">
        <v>1876</v>
      </c>
      <c r="B441" t="s">
        <v>348</v>
      </c>
      <c r="C441" t="s">
        <v>192</v>
      </c>
      <c r="D441">
        <v>260325</v>
      </c>
      <c r="E441">
        <v>286873.3</v>
      </c>
      <c r="F441">
        <v>309543.8</v>
      </c>
      <c r="G441">
        <v>325345.09999999998</v>
      </c>
    </row>
    <row r="442" spans="1:7">
      <c r="A442" t="s">
        <v>1876</v>
      </c>
      <c r="B442" t="s">
        <v>348</v>
      </c>
      <c r="C442" t="s">
        <v>193</v>
      </c>
      <c r="D442">
        <v>233951.1</v>
      </c>
      <c r="E442">
        <v>239846.6</v>
      </c>
      <c r="F442">
        <v>248313.7</v>
      </c>
      <c r="G442">
        <v>255629.4</v>
      </c>
    </row>
    <row r="443" spans="1:7">
      <c r="A443" t="s">
        <v>1876</v>
      </c>
      <c r="B443" t="s">
        <v>348</v>
      </c>
      <c r="C443" t="s">
        <v>1930</v>
      </c>
      <c r="D443">
        <v>0</v>
      </c>
      <c r="E443">
        <v>0</v>
      </c>
      <c r="F443">
        <v>0</v>
      </c>
      <c r="G443">
        <v>0</v>
      </c>
    </row>
    <row r="444" spans="1:7">
      <c r="A444" t="s">
        <v>1876</v>
      </c>
      <c r="B444" t="s">
        <v>348</v>
      </c>
      <c r="C444" t="s">
        <v>194</v>
      </c>
      <c r="D444">
        <v>0</v>
      </c>
      <c r="E444">
        <v>0</v>
      </c>
      <c r="F444">
        <v>0</v>
      </c>
      <c r="G444">
        <v>0</v>
      </c>
    </row>
    <row r="445" spans="1:7">
      <c r="A445" t="s">
        <v>1876</v>
      </c>
      <c r="B445" t="s">
        <v>348</v>
      </c>
      <c r="C445" t="s">
        <v>195</v>
      </c>
      <c r="D445">
        <v>0</v>
      </c>
      <c r="E445">
        <v>0</v>
      </c>
      <c r="F445">
        <v>0</v>
      </c>
      <c r="G445">
        <v>0</v>
      </c>
    </row>
    <row r="446" spans="1:7">
      <c r="A446" t="s">
        <v>1876</v>
      </c>
      <c r="B446" t="s">
        <v>348</v>
      </c>
      <c r="C446" t="s">
        <v>1706</v>
      </c>
      <c r="D446">
        <v>0</v>
      </c>
      <c r="E446">
        <v>0</v>
      </c>
      <c r="F446">
        <v>0</v>
      </c>
      <c r="G446">
        <v>0</v>
      </c>
    </row>
    <row r="447" spans="1:7">
      <c r="A447" t="s">
        <v>1876</v>
      </c>
      <c r="B447" t="s">
        <v>348</v>
      </c>
      <c r="C447" t="s">
        <v>196</v>
      </c>
      <c r="D447">
        <v>42</v>
      </c>
      <c r="E447">
        <v>42</v>
      </c>
      <c r="F447">
        <v>42</v>
      </c>
      <c r="G447">
        <v>42</v>
      </c>
    </row>
    <row r="448" spans="1:7">
      <c r="A448" t="s">
        <v>1876</v>
      </c>
      <c r="B448" t="s">
        <v>348</v>
      </c>
      <c r="C448" t="s">
        <v>197</v>
      </c>
      <c r="D448">
        <v>99</v>
      </c>
      <c r="E448">
        <v>99</v>
      </c>
      <c r="F448">
        <v>99</v>
      </c>
      <c r="G448">
        <v>99</v>
      </c>
    </row>
    <row r="449" spans="1:7">
      <c r="A449" t="s">
        <v>1876</v>
      </c>
      <c r="B449" t="s">
        <v>348</v>
      </c>
      <c r="C449" t="s">
        <v>198</v>
      </c>
      <c r="D449">
        <v>141</v>
      </c>
      <c r="E449">
        <v>141</v>
      </c>
      <c r="F449">
        <v>141</v>
      </c>
      <c r="G449">
        <v>141</v>
      </c>
    </row>
    <row r="450" spans="1:7">
      <c r="A450" t="s">
        <v>1876</v>
      </c>
      <c r="B450" t="s">
        <v>348</v>
      </c>
      <c r="C450" t="s">
        <v>199</v>
      </c>
      <c r="D450">
        <v>141</v>
      </c>
      <c r="E450">
        <v>141</v>
      </c>
      <c r="F450">
        <v>141</v>
      </c>
      <c r="G450">
        <v>141</v>
      </c>
    </row>
    <row r="451" spans="1:7">
      <c r="A451" t="s">
        <v>1876</v>
      </c>
      <c r="B451" t="s">
        <v>348</v>
      </c>
      <c r="C451" t="s">
        <v>200</v>
      </c>
      <c r="D451">
        <v>152</v>
      </c>
      <c r="E451">
        <v>184</v>
      </c>
      <c r="F451">
        <v>188</v>
      </c>
      <c r="G451">
        <v>206</v>
      </c>
    </row>
    <row r="452" spans="1:7">
      <c r="A452" t="s">
        <v>1876</v>
      </c>
      <c r="B452" t="s">
        <v>348</v>
      </c>
      <c r="C452" t="s">
        <v>201</v>
      </c>
      <c r="D452">
        <v>2749</v>
      </c>
      <c r="E452">
        <v>2345</v>
      </c>
      <c r="F452">
        <v>2128</v>
      </c>
      <c r="G452">
        <v>1942</v>
      </c>
    </row>
    <row r="453" spans="1:7">
      <c r="A453" t="s">
        <v>1876</v>
      </c>
      <c r="B453" t="s">
        <v>348</v>
      </c>
      <c r="C453" t="s">
        <v>202</v>
      </c>
      <c r="D453">
        <v>2795</v>
      </c>
      <c r="E453">
        <v>2880</v>
      </c>
      <c r="F453">
        <v>2532</v>
      </c>
      <c r="G453">
        <v>2697</v>
      </c>
    </row>
    <row r="454" spans="1:7">
      <c r="A454" t="s">
        <v>1876</v>
      </c>
      <c r="B454" t="s">
        <v>348</v>
      </c>
      <c r="C454" t="s">
        <v>203</v>
      </c>
      <c r="D454">
        <v>4511</v>
      </c>
      <c r="E454">
        <v>4596</v>
      </c>
      <c r="F454">
        <v>4142</v>
      </c>
      <c r="G454">
        <v>3603</v>
      </c>
    </row>
    <row r="455" spans="1:7">
      <c r="A455" t="s">
        <v>1876</v>
      </c>
      <c r="B455" t="s">
        <v>348</v>
      </c>
      <c r="C455" t="s">
        <v>204</v>
      </c>
      <c r="D455">
        <v>10206</v>
      </c>
      <c r="E455">
        <v>10005</v>
      </c>
      <c r="F455">
        <v>8989</v>
      </c>
      <c r="G455">
        <v>8448</v>
      </c>
    </row>
    <row r="456" spans="1:7">
      <c r="A456" t="s">
        <v>1876</v>
      </c>
      <c r="B456" t="s">
        <v>348</v>
      </c>
      <c r="C456" t="s">
        <v>205</v>
      </c>
      <c r="D456">
        <v>10206</v>
      </c>
      <c r="E456">
        <v>10005</v>
      </c>
      <c r="F456">
        <v>8989</v>
      </c>
      <c r="G456">
        <v>8448</v>
      </c>
    </row>
    <row r="457" spans="1:7">
      <c r="A457" t="s">
        <v>1876</v>
      </c>
      <c r="B457" t="s">
        <v>348</v>
      </c>
      <c r="C457" t="s">
        <v>1931</v>
      </c>
      <c r="D457">
        <v>0</v>
      </c>
      <c r="E457">
        <v>0</v>
      </c>
      <c r="F457">
        <v>0</v>
      </c>
      <c r="G457">
        <v>0</v>
      </c>
    </row>
    <row r="458" spans="1:7">
      <c r="A458" t="s">
        <v>1876</v>
      </c>
      <c r="B458" t="s">
        <v>348</v>
      </c>
      <c r="C458" t="s">
        <v>1707</v>
      </c>
      <c r="D458">
        <v>0</v>
      </c>
      <c r="E458">
        <v>0</v>
      </c>
      <c r="F458">
        <v>0</v>
      </c>
      <c r="G458">
        <v>0</v>
      </c>
    </row>
    <row r="459" spans="1:7">
      <c r="A459" t="s">
        <v>1876</v>
      </c>
      <c r="B459" t="s">
        <v>348</v>
      </c>
      <c r="C459" t="s">
        <v>1932</v>
      </c>
      <c r="D459">
        <v>40</v>
      </c>
      <c r="E459">
        <v>35.299999999999997</v>
      </c>
      <c r="F459">
        <v>29.2</v>
      </c>
      <c r="G459">
        <v>28.9</v>
      </c>
    </row>
    <row r="460" spans="1:7">
      <c r="A460" t="s">
        <v>1876</v>
      </c>
      <c r="B460" t="s">
        <v>348</v>
      </c>
      <c r="C460" t="s">
        <v>1708</v>
      </c>
      <c r="D460">
        <v>3292</v>
      </c>
      <c r="E460">
        <v>3292</v>
      </c>
      <c r="F460">
        <v>3292</v>
      </c>
      <c r="G460">
        <v>3291</v>
      </c>
    </row>
    <row r="461" spans="1:7">
      <c r="A461" t="s">
        <v>1876</v>
      </c>
      <c r="B461" t="s">
        <v>348</v>
      </c>
      <c r="C461" t="s">
        <v>206</v>
      </c>
      <c r="D461">
        <v>0</v>
      </c>
      <c r="E461">
        <v>0</v>
      </c>
      <c r="F461">
        <v>0</v>
      </c>
      <c r="G461">
        <v>0</v>
      </c>
    </row>
    <row r="462" spans="1:7">
      <c r="A462" t="s">
        <v>1876</v>
      </c>
      <c r="B462" t="s">
        <v>348</v>
      </c>
      <c r="C462" t="s">
        <v>207</v>
      </c>
      <c r="D462">
        <v>39309</v>
      </c>
      <c r="E462">
        <v>34762</v>
      </c>
      <c r="F462">
        <v>28762</v>
      </c>
      <c r="G462">
        <v>28515</v>
      </c>
    </row>
    <row r="463" spans="1:7">
      <c r="A463" t="s">
        <v>1876</v>
      </c>
      <c r="B463" t="s">
        <v>348</v>
      </c>
      <c r="C463" t="s">
        <v>208</v>
      </c>
      <c r="D463">
        <v>0</v>
      </c>
      <c r="E463">
        <v>0</v>
      </c>
      <c r="F463">
        <v>0</v>
      </c>
      <c r="G463">
        <v>0</v>
      </c>
    </row>
    <row r="464" spans="1:7">
      <c r="A464" t="s">
        <v>1876</v>
      </c>
      <c r="B464" t="s">
        <v>348</v>
      </c>
      <c r="C464" t="s">
        <v>209</v>
      </c>
      <c r="D464">
        <v>39309</v>
      </c>
      <c r="E464">
        <v>34762</v>
      </c>
      <c r="F464">
        <v>28762</v>
      </c>
      <c r="G464">
        <v>28515</v>
      </c>
    </row>
    <row r="465" spans="1:7">
      <c r="A465" t="s">
        <v>1876</v>
      </c>
      <c r="B465" t="s">
        <v>348</v>
      </c>
      <c r="C465" t="s">
        <v>210</v>
      </c>
      <c r="D465">
        <v>0</v>
      </c>
      <c r="E465">
        <v>0</v>
      </c>
      <c r="F465">
        <v>0</v>
      </c>
      <c r="G465">
        <v>0</v>
      </c>
    </row>
    <row r="466" spans="1:7">
      <c r="A466" t="s">
        <v>1876</v>
      </c>
      <c r="B466" t="s">
        <v>348</v>
      </c>
      <c r="C466" t="s">
        <v>211</v>
      </c>
      <c r="D466">
        <v>0</v>
      </c>
      <c r="E466">
        <v>0</v>
      </c>
      <c r="F466">
        <v>0</v>
      </c>
      <c r="G466">
        <v>0</v>
      </c>
    </row>
    <row r="467" spans="1:7">
      <c r="A467" t="s">
        <v>1876</v>
      </c>
      <c r="B467" t="s">
        <v>348</v>
      </c>
      <c r="C467" t="s">
        <v>212</v>
      </c>
      <c r="D467">
        <v>0</v>
      </c>
      <c r="E467">
        <v>0</v>
      </c>
      <c r="F467">
        <v>0</v>
      </c>
      <c r="G467">
        <v>0</v>
      </c>
    </row>
    <row r="468" spans="1:7">
      <c r="A468" t="s">
        <v>1876</v>
      </c>
      <c r="B468" t="s">
        <v>348</v>
      </c>
      <c r="C468" t="s">
        <v>213</v>
      </c>
      <c r="D468">
        <v>0</v>
      </c>
      <c r="E468">
        <v>0</v>
      </c>
      <c r="F468">
        <v>0</v>
      </c>
      <c r="G468">
        <v>0</v>
      </c>
    </row>
    <row r="469" spans="1:7">
      <c r="A469" t="s">
        <v>1876</v>
      </c>
      <c r="B469" t="s">
        <v>348</v>
      </c>
      <c r="C469" t="s">
        <v>214</v>
      </c>
      <c r="D469">
        <v>0</v>
      </c>
      <c r="E469">
        <v>0</v>
      </c>
      <c r="F469">
        <v>0</v>
      </c>
      <c r="G469">
        <v>0</v>
      </c>
    </row>
    <row r="470" spans="1:7">
      <c r="A470" t="s">
        <v>1876</v>
      </c>
      <c r="B470" t="s">
        <v>348</v>
      </c>
      <c r="C470" t="s">
        <v>215</v>
      </c>
      <c r="D470">
        <v>9715</v>
      </c>
      <c r="E470">
        <v>10051</v>
      </c>
      <c r="F470">
        <v>11966</v>
      </c>
      <c r="G470">
        <v>10921</v>
      </c>
    </row>
    <row r="471" spans="1:7">
      <c r="A471" t="s">
        <v>1876</v>
      </c>
      <c r="B471" t="s">
        <v>348</v>
      </c>
      <c r="C471" t="s">
        <v>216</v>
      </c>
      <c r="D471">
        <v>9715</v>
      </c>
      <c r="E471">
        <v>10051</v>
      </c>
      <c r="F471">
        <v>11966</v>
      </c>
      <c r="G471">
        <v>10921</v>
      </c>
    </row>
    <row r="472" spans="1:7">
      <c r="A472" t="s">
        <v>1876</v>
      </c>
      <c r="B472" t="s">
        <v>348</v>
      </c>
      <c r="C472" t="s">
        <v>217</v>
      </c>
      <c r="D472">
        <v>9715</v>
      </c>
      <c r="E472">
        <v>10051</v>
      </c>
      <c r="F472">
        <v>11966</v>
      </c>
      <c r="G472">
        <v>10921</v>
      </c>
    </row>
    <row r="473" spans="1:7">
      <c r="A473" t="s">
        <v>1876</v>
      </c>
      <c r="B473" t="s">
        <v>348</v>
      </c>
      <c r="C473" t="s">
        <v>218</v>
      </c>
      <c r="D473">
        <v>11</v>
      </c>
      <c r="E473">
        <v>10</v>
      </c>
      <c r="F473">
        <v>17</v>
      </c>
      <c r="G473">
        <v>14</v>
      </c>
    </row>
    <row r="474" spans="1:7">
      <c r="A474" t="s">
        <v>1876</v>
      </c>
      <c r="B474" t="s">
        <v>348</v>
      </c>
      <c r="C474" t="s">
        <v>219</v>
      </c>
      <c r="D474">
        <v>16</v>
      </c>
      <c r="E474">
        <v>12</v>
      </c>
      <c r="F474">
        <v>48</v>
      </c>
      <c r="G474">
        <v>26</v>
      </c>
    </row>
    <row r="475" spans="1:7">
      <c r="A475" t="s">
        <v>1876</v>
      </c>
      <c r="B475" t="s">
        <v>348</v>
      </c>
      <c r="C475" t="s">
        <v>220</v>
      </c>
      <c r="D475">
        <v>11</v>
      </c>
      <c r="E475">
        <v>10</v>
      </c>
      <c r="F475">
        <v>17</v>
      </c>
      <c r="G475">
        <v>14</v>
      </c>
    </row>
    <row r="476" spans="1:7">
      <c r="A476" t="s">
        <v>1876</v>
      </c>
      <c r="B476" t="s">
        <v>348</v>
      </c>
      <c r="C476" t="s">
        <v>221</v>
      </c>
      <c r="D476">
        <v>38</v>
      </c>
      <c r="E476">
        <v>33</v>
      </c>
      <c r="F476">
        <v>82</v>
      </c>
      <c r="G476">
        <v>54</v>
      </c>
    </row>
    <row r="477" spans="1:7">
      <c r="A477" t="s">
        <v>1876</v>
      </c>
      <c r="B477" t="s">
        <v>348</v>
      </c>
      <c r="C477" t="s">
        <v>222</v>
      </c>
      <c r="D477">
        <v>38</v>
      </c>
      <c r="E477">
        <v>33</v>
      </c>
      <c r="F477">
        <v>82</v>
      </c>
      <c r="G477">
        <v>54</v>
      </c>
    </row>
    <row r="478" spans="1:7">
      <c r="A478" t="s">
        <v>1876</v>
      </c>
      <c r="B478" t="s">
        <v>348</v>
      </c>
      <c r="C478" t="s">
        <v>1933</v>
      </c>
      <c r="D478">
        <v>4435.3</v>
      </c>
      <c r="E478">
        <v>4451.7</v>
      </c>
      <c r="F478">
        <v>4459.2</v>
      </c>
      <c r="G478">
        <v>4501.3999999999996</v>
      </c>
    </row>
    <row r="479" spans="1:7">
      <c r="A479" t="s">
        <v>1876</v>
      </c>
      <c r="B479" t="s">
        <v>348</v>
      </c>
      <c r="C479" t="s">
        <v>223</v>
      </c>
      <c r="D479">
        <v>0</v>
      </c>
      <c r="E479">
        <v>0</v>
      </c>
      <c r="F479">
        <v>0</v>
      </c>
      <c r="G479">
        <v>0</v>
      </c>
    </row>
    <row r="480" spans="1:7">
      <c r="A480" t="s">
        <v>1876</v>
      </c>
      <c r="B480" t="s">
        <v>348</v>
      </c>
      <c r="C480" t="s">
        <v>224</v>
      </c>
      <c r="D480">
        <v>121937</v>
      </c>
      <c r="E480">
        <v>124395</v>
      </c>
      <c r="F480">
        <v>124611</v>
      </c>
      <c r="G480">
        <v>125988</v>
      </c>
    </row>
    <row r="481" spans="1:7">
      <c r="A481" t="s">
        <v>1876</v>
      </c>
      <c r="B481" t="s">
        <v>348</v>
      </c>
      <c r="C481" t="s">
        <v>225</v>
      </c>
      <c r="D481">
        <v>179496</v>
      </c>
      <c r="E481">
        <v>176184</v>
      </c>
      <c r="F481">
        <v>175344</v>
      </c>
      <c r="G481">
        <v>175038</v>
      </c>
    </row>
    <row r="482" spans="1:7">
      <c r="A482" t="s">
        <v>1876</v>
      </c>
      <c r="B482" t="s">
        <v>348</v>
      </c>
      <c r="C482" t="s">
        <v>226</v>
      </c>
      <c r="D482">
        <v>176311</v>
      </c>
      <c r="E482">
        <v>182910</v>
      </c>
      <c r="F482">
        <v>176199</v>
      </c>
      <c r="G482">
        <v>181303</v>
      </c>
    </row>
    <row r="483" spans="1:7">
      <c r="A483" t="s">
        <v>1876</v>
      </c>
      <c r="B483" t="s">
        <v>348</v>
      </c>
      <c r="C483" t="s">
        <v>227</v>
      </c>
      <c r="D483">
        <v>477744</v>
      </c>
      <c r="E483">
        <v>483489</v>
      </c>
      <c r="F483">
        <v>476155</v>
      </c>
      <c r="G483">
        <v>482330</v>
      </c>
    </row>
    <row r="484" spans="1:7">
      <c r="A484" t="s">
        <v>1876</v>
      </c>
      <c r="B484" t="s">
        <v>348</v>
      </c>
      <c r="C484" t="s">
        <v>228</v>
      </c>
      <c r="D484">
        <v>477744</v>
      </c>
      <c r="E484">
        <v>483489</v>
      </c>
      <c r="F484">
        <v>476155</v>
      </c>
      <c r="G484">
        <v>482330</v>
      </c>
    </row>
    <row r="485" spans="1:7">
      <c r="A485" t="s">
        <v>1876</v>
      </c>
      <c r="B485" t="s">
        <v>348</v>
      </c>
      <c r="C485" t="s">
        <v>229</v>
      </c>
      <c r="D485">
        <v>2748</v>
      </c>
      <c r="E485">
        <v>2844</v>
      </c>
      <c r="F485">
        <v>2045</v>
      </c>
      <c r="G485">
        <v>2029</v>
      </c>
    </row>
    <row r="486" spans="1:7">
      <c r="A486" t="s">
        <v>1876</v>
      </c>
      <c r="B486" t="s">
        <v>348</v>
      </c>
      <c r="C486" t="s">
        <v>230</v>
      </c>
      <c r="D486">
        <v>1505</v>
      </c>
      <c r="E486">
        <v>1612</v>
      </c>
      <c r="F486">
        <v>1258</v>
      </c>
      <c r="G486">
        <v>1233</v>
      </c>
    </row>
    <row r="487" spans="1:7">
      <c r="A487" t="s">
        <v>1876</v>
      </c>
      <c r="B487" t="s">
        <v>348</v>
      </c>
      <c r="C487" t="s">
        <v>231</v>
      </c>
      <c r="D487">
        <v>4252</v>
      </c>
      <c r="E487">
        <v>4456</v>
      </c>
      <c r="F487">
        <v>3303</v>
      </c>
      <c r="G487">
        <v>3262</v>
      </c>
    </row>
    <row r="488" spans="1:7">
      <c r="A488" t="s">
        <v>1876</v>
      </c>
      <c r="B488" t="s">
        <v>348</v>
      </c>
      <c r="C488" t="s">
        <v>232</v>
      </c>
      <c r="D488">
        <v>4252</v>
      </c>
      <c r="E488">
        <v>4456</v>
      </c>
      <c r="F488">
        <v>3303</v>
      </c>
      <c r="G488">
        <v>3262</v>
      </c>
    </row>
    <row r="489" spans="1:7">
      <c r="A489" t="s">
        <v>1876</v>
      </c>
      <c r="B489" t="s">
        <v>348</v>
      </c>
      <c r="C489" t="s">
        <v>233</v>
      </c>
      <c r="D489">
        <v>0</v>
      </c>
      <c r="E489">
        <v>0</v>
      </c>
      <c r="F489">
        <v>0</v>
      </c>
      <c r="G489">
        <v>0</v>
      </c>
    </row>
    <row r="490" spans="1:7">
      <c r="A490" t="s">
        <v>1876</v>
      </c>
      <c r="B490" t="s">
        <v>348</v>
      </c>
      <c r="C490" t="s">
        <v>234</v>
      </c>
      <c r="D490">
        <v>375011</v>
      </c>
      <c r="E490">
        <v>370672</v>
      </c>
      <c r="F490">
        <v>368590</v>
      </c>
      <c r="G490">
        <v>386370</v>
      </c>
    </row>
    <row r="491" spans="1:7">
      <c r="A491" t="s">
        <v>1876</v>
      </c>
      <c r="B491" t="s">
        <v>348</v>
      </c>
      <c r="C491" t="s">
        <v>235</v>
      </c>
      <c r="D491">
        <v>5769</v>
      </c>
      <c r="E491">
        <v>9623</v>
      </c>
      <c r="F491">
        <v>5581</v>
      </c>
      <c r="G491">
        <v>4576</v>
      </c>
    </row>
    <row r="492" spans="1:7">
      <c r="A492" t="s">
        <v>1876</v>
      </c>
      <c r="B492" t="s">
        <v>348</v>
      </c>
      <c r="C492" t="s">
        <v>236</v>
      </c>
      <c r="D492">
        <v>4391</v>
      </c>
      <c r="E492">
        <v>4586</v>
      </c>
      <c r="F492">
        <v>4546</v>
      </c>
      <c r="G492">
        <v>2877</v>
      </c>
    </row>
    <row r="493" spans="1:7">
      <c r="A493" t="s">
        <v>1876</v>
      </c>
      <c r="B493" t="s">
        <v>348</v>
      </c>
      <c r="C493" t="s">
        <v>237</v>
      </c>
      <c r="D493">
        <v>385172</v>
      </c>
      <c r="E493">
        <v>384882</v>
      </c>
      <c r="F493">
        <v>378717</v>
      </c>
      <c r="G493">
        <v>393822</v>
      </c>
    </row>
    <row r="494" spans="1:7">
      <c r="A494" t="s">
        <v>1876</v>
      </c>
      <c r="B494" t="s">
        <v>348</v>
      </c>
      <c r="C494" t="s">
        <v>238</v>
      </c>
      <c r="D494">
        <v>385172</v>
      </c>
      <c r="E494">
        <v>384882</v>
      </c>
      <c r="F494">
        <v>378717</v>
      </c>
      <c r="G494">
        <v>393822</v>
      </c>
    </row>
    <row r="495" spans="1:7">
      <c r="A495" t="s">
        <v>1876</v>
      </c>
      <c r="B495" t="s">
        <v>348</v>
      </c>
      <c r="C495" t="s">
        <v>1934</v>
      </c>
      <c r="D495">
        <v>350234</v>
      </c>
      <c r="E495">
        <v>344044</v>
      </c>
      <c r="F495">
        <v>342718</v>
      </c>
      <c r="G495">
        <v>357982</v>
      </c>
    </row>
    <row r="496" spans="1:7">
      <c r="A496" t="s">
        <v>1876</v>
      </c>
      <c r="B496" t="s">
        <v>348</v>
      </c>
      <c r="C496" t="s">
        <v>1935</v>
      </c>
      <c r="D496">
        <v>5388</v>
      </c>
      <c r="E496">
        <v>8932</v>
      </c>
      <c r="F496">
        <v>5189</v>
      </c>
      <c r="G496">
        <v>4240</v>
      </c>
    </row>
    <row r="497" spans="1:7">
      <c r="A497" t="s">
        <v>1876</v>
      </c>
      <c r="B497" t="s">
        <v>348</v>
      </c>
      <c r="C497" t="s">
        <v>1936</v>
      </c>
      <c r="D497">
        <v>4101</v>
      </c>
      <c r="E497">
        <v>4257</v>
      </c>
      <c r="F497">
        <v>4227</v>
      </c>
      <c r="G497">
        <v>2665</v>
      </c>
    </row>
    <row r="498" spans="1:7">
      <c r="A498" t="s">
        <v>1876</v>
      </c>
      <c r="B498" t="s">
        <v>348</v>
      </c>
      <c r="C498" t="s">
        <v>239</v>
      </c>
      <c r="D498">
        <v>359723</v>
      </c>
      <c r="E498">
        <v>357232</v>
      </c>
      <c r="F498">
        <v>352134</v>
      </c>
      <c r="G498">
        <v>364887</v>
      </c>
    </row>
    <row r="499" spans="1:7">
      <c r="A499" t="s">
        <v>1876</v>
      </c>
      <c r="B499" t="s">
        <v>348</v>
      </c>
      <c r="C499" t="s">
        <v>240</v>
      </c>
      <c r="D499">
        <v>2543</v>
      </c>
      <c r="E499">
        <v>2626</v>
      </c>
      <c r="F499">
        <v>2524</v>
      </c>
      <c r="G499">
        <v>2471</v>
      </c>
    </row>
    <row r="500" spans="1:7">
      <c r="A500" t="s">
        <v>1876</v>
      </c>
      <c r="B500" t="s">
        <v>348</v>
      </c>
      <c r="C500" t="s">
        <v>241</v>
      </c>
      <c r="D500">
        <v>0</v>
      </c>
      <c r="E500">
        <v>0</v>
      </c>
      <c r="F500">
        <v>0</v>
      </c>
      <c r="G500">
        <v>0</v>
      </c>
    </row>
    <row r="501" spans="1:7">
      <c r="A501" t="s">
        <v>1876</v>
      </c>
      <c r="B501" t="s">
        <v>348</v>
      </c>
      <c r="C501" t="s">
        <v>242</v>
      </c>
      <c r="D501">
        <v>25856</v>
      </c>
      <c r="E501">
        <v>30722</v>
      </c>
      <c r="F501">
        <v>26638</v>
      </c>
      <c r="G501">
        <v>26268</v>
      </c>
    </row>
    <row r="502" spans="1:7">
      <c r="A502" t="s">
        <v>1876</v>
      </c>
      <c r="B502" t="s">
        <v>348</v>
      </c>
      <c r="C502" t="s">
        <v>243</v>
      </c>
      <c r="D502">
        <v>26504</v>
      </c>
      <c r="E502">
        <v>26547</v>
      </c>
      <c r="F502">
        <v>24733</v>
      </c>
      <c r="G502">
        <v>26136</v>
      </c>
    </row>
    <row r="503" spans="1:7">
      <c r="A503" t="s">
        <v>1876</v>
      </c>
      <c r="B503" t="s">
        <v>348</v>
      </c>
      <c r="C503" t="s">
        <v>244</v>
      </c>
      <c r="D503">
        <v>402384</v>
      </c>
      <c r="E503">
        <v>468405</v>
      </c>
      <c r="F503">
        <v>461199</v>
      </c>
      <c r="G503">
        <v>473624</v>
      </c>
    </row>
    <row r="504" spans="1:7">
      <c r="A504" t="s">
        <v>1876</v>
      </c>
      <c r="B504" t="s">
        <v>348</v>
      </c>
      <c r="C504" t="s">
        <v>1709</v>
      </c>
      <c r="D504">
        <v>14351</v>
      </c>
      <c r="E504">
        <v>14351</v>
      </c>
      <c r="F504">
        <v>16363</v>
      </c>
      <c r="G504">
        <v>16200</v>
      </c>
    </row>
    <row r="505" spans="1:7">
      <c r="A505" t="s">
        <v>1876</v>
      </c>
      <c r="B505" t="s">
        <v>348</v>
      </c>
      <c r="C505" t="s">
        <v>245</v>
      </c>
      <c r="D505">
        <v>251925</v>
      </c>
      <c r="E505">
        <v>230295</v>
      </c>
      <c r="F505">
        <v>233655</v>
      </c>
      <c r="G505">
        <v>241299</v>
      </c>
    </row>
    <row r="506" spans="1:7">
      <c r="A506" t="s">
        <v>1876</v>
      </c>
      <c r="B506" t="s">
        <v>348</v>
      </c>
      <c r="C506" t="s">
        <v>246</v>
      </c>
      <c r="D506">
        <v>33220</v>
      </c>
      <c r="E506">
        <v>31330</v>
      </c>
      <c r="F506">
        <v>28200</v>
      </c>
      <c r="G506">
        <v>30381</v>
      </c>
    </row>
    <row r="507" spans="1:7">
      <c r="A507" t="s">
        <v>1876</v>
      </c>
      <c r="B507" t="s">
        <v>348</v>
      </c>
      <c r="C507" t="s">
        <v>247</v>
      </c>
      <c r="D507">
        <v>739891</v>
      </c>
      <c r="E507">
        <v>787300</v>
      </c>
      <c r="F507">
        <v>774427</v>
      </c>
      <c r="G507">
        <v>797709</v>
      </c>
    </row>
    <row r="508" spans="1:7">
      <c r="A508" t="s">
        <v>1876</v>
      </c>
      <c r="B508" t="s">
        <v>348</v>
      </c>
      <c r="C508" t="s">
        <v>248</v>
      </c>
      <c r="D508">
        <v>146.5</v>
      </c>
      <c r="E508">
        <v>155.1</v>
      </c>
      <c r="F508">
        <v>151.30000000000001</v>
      </c>
      <c r="G508">
        <v>154.5</v>
      </c>
    </row>
    <row r="509" spans="1:7">
      <c r="A509" t="s">
        <v>1876</v>
      </c>
      <c r="B509" t="s">
        <v>348</v>
      </c>
      <c r="C509" t="s">
        <v>249</v>
      </c>
      <c r="D509">
        <v>337506</v>
      </c>
      <c r="E509">
        <v>318894</v>
      </c>
      <c r="F509">
        <v>313227</v>
      </c>
      <c r="G509">
        <v>324084</v>
      </c>
    </row>
    <row r="510" spans="1:7">
      <c r="A510" t="s">
        <v>1876</v>
      </c>
      <c r="B510" t="s">
        <v>348</v>
      </c>
      <c r="C510" t="s">
        <v>250</v>
      </c>
      <c r="D510">
        <v>739891</v>
      </c>
      <c r="E510">
        <v>787300</v>
      </c>
      <c r="F510">
        <v>774427</v>
      </c>
      <c r="G510">
        <v>797709</v>
      </c>
    </row>
    <row r="511" spans="1:7">
      <c r="A511" t="s">
        <v>1876</v>
      </c>
      <c r="B511" t="s">
        <v>348</v>
      </c>
      <c r="C511" t="s">
        <v>1937</v>
      </c>
      <c r="D511">
        <v>5.5</v>
      </c>
      <c r="E511">
        <v>8.9</v>
      </c>
      <c r="F511">
        <v>5.9</v>
      </c>
      <c r="G511">
        <v>5.6</v>
      </c>
    </row>
    <row r="512" spans="1:7">
      <c r="A512" t="s">
        <v>1876</v>
      </c>
      <c r="B512" t="s">
        <v>348</v>
      </c>
      <c r="C512" t="s">
        <v>1938</v>
      </c>
      <c r="D512">
        <v>96.4</v>
      </c>
      <c r="E512">
        <v>88.6</v>
      </c>
      <c r="F512">
        <v>95.4</v>
      </c>
      <c r="G512">
        <v>92.9</v>
      </c>
    </row>
    <row r="513" spans="1:7">
      <c r="A513" t="s">
        <v>1876</v>
      </c>
      <c r="B513" t="s">
        <v>348</v>
      </c>
      <c r="C513" t="s">
        <v>251</v>
      </c>
      <c r="D513">
        <v>480115</v>
      </c>
      <c r="E513">
        <v>442093</v>
      </c>
      <c r="F513">
        <v>476392</v>
      </c>
      <c r="G513">
        <v>464580</v>
      </c>
    </row>
    <row r="514" spans="1:7">
      <c r="A514" t="s">
        <v>1876</v>
      </c>
      <c r="B514" t="s">
        <v>348</v>
      </c>
      <c r="C514" t="s">
        <v>252</v>
      </c>
      <c r="D514">
        <v>480115</v>
      </c>
      <c r="E514">
        <v>442093</v>
      </c>
      <c r="F514">
        <v>476392</v>
      </c>
      <c r="G514">
        <v>464580</v>
      </c>
    </row>
    <row r="515" spans="1:7">
      <c r="A515" t="s">
        <v>1876</v>
      </c>
      <c r="B515" t="s">
        <v>348</v>
      </c>
      <c r="C515" t="s">
        <v>1710</v>
      </c>
      <c r="D515">
        <v>5453</v>
      </c>
      <c r="E515">
        <v>5453</v>
      </c>
      <c r="F515">
        <v>5453</v>
      </c>
      <c r="G515">
        <v>5453</v>
      </c>
    </row>
    <row r="516" spans="1:7">
      <c r="A516" t="s">
        <v>1876</v>
      </c>
      <c r="B516" t="s">
        <v>348</v>
      </c>
      <c r="C516" t="s">
        <v>1939</v>
      </c>
      <c r="D516">
        <v>10.8</v>
      </c>
      <c r="E516">
        <v>16.5</v>
      </c>
      <c r="F516">
        <v>22.3</v>
      </c>
      <c r="G516">
        <v>19.899999999999999</v>
      </c>
    </row>
    <row r="517" spans="1:7">
      <c r="A517" t="s">
        <v>1876</v>
      </c>
      <c r="B517" t="s">
        <v>348</v>
      </c>
      <c r="C517" t="s">
        <v>253</v>
      </c>
      <c r="D517">
        <v>0</v>
      </c>
      <c r="E517">
        <v>0</v>
      </c>
      <c r="F517">
        <v>0</v>
      </c>
      <c r="G517">
        <v>0</v>
      </c>
    </row>
    <row r="518" spans="1:7">
      <c r="A518" t="s">
        <v>1876</v>
      </c>
      <c r="B518" t="s">
        <v>348</v>
      </c>
      <c r="C518" t="s">
        <v>1711</v>
      </c>
      <c r="D518">
        <v>4</v>
      </c>
      <c r="E518">
        <v>4</v>
      </c>
      <c r="F518">
        <v>0</v>
      </c>
      <c r="G518">
        <v>4</v>
      </c>
    </row>
    <row r="519" spans="1:7">
      <c r="A519" t="s">
        <v>1876</v>
      </c>
      <c r="B519" t="s">
        <v>348</v>
      </c>
      <c r="C519" t="s">
        <v>1712</v>
      </c>
      <c r="D519">
        <v>16360</v>
      </c>
      <c r="E519">
        <v>16724</v>
      </c>
      <c r="F519">
        <v>15691</v>
      </c>
      <c r="G519">
        <v>15762</v>
      </c>
    </row>
    <row r="520" spans="1:7">
      <c r="A520" t="s">
        <v>1876</v>
      </c>
      <c r="B520" t="s">
        <v>348</v>
      </c>
      <c r="C520" t="s">
        <v>1713</v>
      </c>
      <c r="D520">
        <v>1905</v>
      </c>
      <c r="E520">
        <v>1745</v>
      </c>
      <c r="F520">
        <v>2498</v>
      </c>
      <c r="G520">
        <v>2683</v>
      </c>
    </row>
    <row r="521" spans="1:7">
      <c r="A521" t="s">
        <v>1876</v>
      </c>
      <c r="B521" t="s">
        <v>348</v>
      </c>
      <c r="C521" t="s">
        <v>1940</v>
      </c>
      <c r="D521">
        <v>0</v>
      </c>
      <c r="E521">
        <v>0</v>
      </c>
      <c r="F521">
        <v>0</v>
      </c>
      <c r="G521">
        <v>0</v>
      </c>
    </row>
    <row r="522" spans="1:7">
      <c r="A522" t="s">
        <v>1876</v>
      </c>
      <c r="B522" t="s">
        <v>348</v>
      </c>
      <c r="C522" t="s">
        <v>1941</v>
      </c>
      <c r="D522">
        <v>0</v>
      </c>
      <c r="E522">
        <v>0</v>
      </c>
      <c r="F522">
        <v>0</v>
      </c>
      <c r="G522">
        <v>0</v>
      </c>
    </row>
    <row r="523" spans="1:7">
      <c r="A523" t="s">
        <v>1876</v>
      </c>
      <c r="B523" t="s">
        <v>348</v>
      </c>
      <c r="C523" t="s">
        <v>254</v>
      </c>
      <c r="D523">
        <v>16360</v>
      </c>
      <c r="E523">
        <v>16724</v>
      </c>
      <c r="F523">
        <v>15691</v>
      </c>
      <c r="G523">
        <v>15762</v>
      </c>
    </row>
    <row r="524" spans="1:7">
      <c r="A524" t="s">
        <v>1876</v>
      </c>
      <c r="B524" t="s">
        <v>348</v>
      </c>
      <c r="C524" t="s">
        <v>1942</v>
      </c>
      <c r="D524">
        <v>0</v>
      </c>
      <c r="E524">
        <v>0</v>
      </c>
      <c r="F524">
        <v>0</v>
      </c>
      <c r="G524">
        <v>0</v>
      </c>
    </row>
    <row r="525" spans="1:7">
      <c r="A525" t="s">
        <v>1876</v>
      </c>
      <c r="B525" t="s">
        <v>348</v>
      </c>
      <c r="C525" t="s">
        <v>255</v>
      </c>
      <c r="D525">
        <v>18265</v>
      </c>
      <c r="E525">
        <v>18469</v>
      </c>
      <c r="F525">
        <v>18189</v>
      </c>
      <c r="G525">
        <v>18445</v>
      </c>
    </row>
    <row r="526" spans="1:7">
      <c r="A526" t="s">
        <v>1876</v>
      </c>
      <c r="B526" t="s">
        <v>348</v>
      </c>
      <c r="C526" t="s">
        <v>256</v>
      </c>
      <c r="D526">
        <v>18265</v>
      </c>
      <c r="E526">
        <v>18469</v>
      </c>
      <c r="F526">
        <v>18189</v>
      </c>
      <c r="G526">
        <v>18445</v>
      </c>
    </row>
    <row r="527" spans="1:7">
      <c r="A527" t="s">
        <v>1876</v>
      </c>
      <c r="B527" t="s">
        <v>348</v>
      </c>
      <c r="C527" t="s">
        <v>1714</v>
      </c>
      <c r="D527">
        <v>0</v>
      </c>
      <c r="E527">
        <v>0</v>
      </c>
      <c r="F527">
        <v>0</v>
      </c>
      <c r="G527">
        <v>0</v>
      </c>
    </row>
    <row r="528" spans="1:7">
      <c r="A528" t="s">
        <v>1876</v>
      </c>
      <c r="B528" t="s">
        <v>348</v>
      </c>
      <c r="C528" t="s">
        <v>257</v>
      </c>
      <c r="D528">
        <v>31755</v>
      </c>
      <c r="E528">
        <v>32526</v>
      </c>
      <c r="F528">
        <v>31312</v>
      </c>
      <c r="G528">
        <v>30564</v>
      </c>
    </row>
    <row r="529" spans="1:7">
      <c r="A529" t="s">
        <v>1876</v>
      </c>
      <c r="B529" t="s">
        <v>348</v>
      </c>
      <c r="C529" t="s">
        <v>258</v>
      </c>
      <c r="D529">
        <v>36799</v>
      </c>
      <c r="E529">
        <v>37517</v>
      </c>
      <c r="F529">
        <v>36251</v>
      </c>
      <c r="G529">
        <v>35694</v>
      </c>
    </row>
    <row r="530" spans="1:7">
      <c r="A530" t="s">
        <v>1876</v>
      </c>
      <c r="B530" t="s">
        <v>348</v>
      </c>
      <c r="C530" t="s">
        <v>259</v>
      </c>
      <c r="D530">
        <v>36799</v>
      </c>
      <c r="E530">
        <v>37517</v>
      </c>
      <c r="F530">
        <v>36251</v>
      </c>
      <c r="G530">
        <v>35694</v>
      </c>
    </row>
    <row r="531" spans="1:7">
      <c r="A531" t="s">
        <v>1876</v>
      </c>
      <c r="B531" t="s">
        <v>348</v>
      </c>
      <c r="C531" t="s">
        <v>260</v>
      </c>
      <c r="D531">
        <v>529678</v>
      </c>
      <c r="E531">
        <v>522009</v>
      </c>
      <c r="F531">
        <v>516592</v>
      </c>
      <c r="G531">
        <v>533012</v>
      </c>
    </row>
    <row r="532" spans="1:7">
      <c r="A532" t="s">
        <v>1876</v>
      </c>
      <c r="B532" t="s">
        <v>348</v>
      </c>
      <c r="C532" t="s">
        <v>1943</v>
      </c>
      <c r="D532">
        <v>0.2</v>
      </c>
      <c r="E532">
        <v>0.2</v>
      </c>
      <c r="F532">
        <v>0.1</v>
      </c>
      <c r="G532">
        <v>0.3</v>
      </c>
    </row>
    <row r="533" spans="1:7">
      <c r="A533" t="s">
        <v>1876</v>
      </c>
      <c r="B533" t="s">
        <v>348</v>
      </c>
      <c r="C533" t="s">
        <v>261</v>
      </c>
      <c r="D533">
        <v>13258</v>
      </c>
      <c r="E533">
        <v>16834</v>
      </c>
      <c r="F533">
        <v>12061</v>
      </c>
      <c r="G533">
        <v>11043</v>
      </c>
    </row>
    <row r="534" spans="1:7">
      <c r="A534" t="s">
        <v>1876</v>
      </c>
      <c r="B534" t="s">
        <v>348</v>
      </c>
      <c r="C534" t="s">
        <v>262</v>
      </c>
      <c r="D534">
        <v>211</v>
      </c>
      <c r="E534">
        <v>420</v>
      </c>
      <c r="F534">
        <v>173</v>
      </c>
      <c r="G534">
        <v>111</v>
      </c>
    </row>
    <row r="535" spans="1:7">
      <c r="A535" t="s">
        <v>1876</v>
      </c>
      <c r="B535" t="s">
        <v>348</v>
      </c>
      <c r="C535" t="s">
        <v>1715</v>
      </c>
      <c r="D535">
        <v>43</v>
      </c>
      <c r="E535">
        <v>43</v>
      </c>
      <c r="F535">
        <v>43</v>
      </c>
      <c r="G535">
        <v>43</v>
      </c>
    </row>
    <row r="536" spans="1:7">
      <c r="A536" t="s">
        <v>1876</v>
      </c>
      <c r="B536" t="s">
        <v>348</v>
      </c>
      <c r="C536" t="s">
        <v>263</v>
      </c>
      <c r="D536">
        <v>64116</v>
      </c>
      <c r="E536">
        <v>65492</v>
      </c>
      <c r="F536">
        <v>62718</v>
      </c>
      <c r="G536">
        <v>60104</v>
      </c>
    </row>
    <row r="537" spans="1:7">
      <c r="A537" t="s">
        <v>1876</v>
      </c>
      <c r="B537" t="s">
        <v>348</v>
      </c>
      <c r="C537" t="s">
        <v>264</v>
      </c>
      <c r="D537">
        <v>4666</v>
      </c>
      <c r="E537">
        <v>4756</v>
      </c>
      <c r="F537">
        <v>4293</v>
      </c>
      <c r="G537">
        <v>3753</v>
      </c>
    </row>
    <row r="538" spans="1:7">
      <c r="A538" t="s">
        <v>1876</v>
      </c>
      <c r="B538" t="s">
        <v>348</v>
      </c>
      <c r="C538" t="s">
        <v>265</v>
      </c>
      <c r="D538">
        <v>611929</v>
      </c>
      <c r="E538">
        <v>609512</v>
      </c>
      <c r="F538">
        <v>595838</v>
      </c>
      <c r="G538">
        <v>608022</v>
      </c>
    </row>
    <row r="539" spans="1:7">
      <c r="A539" t="s">
        <v>1876</v>
      </c>
      <c r="B539" t="s">
        <v>348</v>
      </c>
      <c r="C539" t="s">
        <v>266</v>
      </c>
      <c r="D539">
        <v>121.2</v>
      </c>
      <c r="E539">
        <v>120.1</v>
      </c>
      <c r="F539">
        <v>116.4</v>
      </c>
      <c r="G539">
        <v>117.8</v>
      </c>
    </row>
    <row r="540" spans="1:7">
      <c r="A540" t="s">
        <v>1876</v>
      </c>
      <c r="B540" t="s">
        <v>348</v>
      </c>
      <c r="C540" t="s">
        <v>267</v>
      </c>
      <c r="D540">
        <v>611718</v>
      </c>
      <c r="E540">
        <v>609092</v>
      </c>
      <c r="F540">
        <v>595665</v>
      </c>
      <c r="G540">
        <v>607912</v>
      </c>
    </row>
    <row r="541" spans="1:7">
      <c r="A541" t="s">
        <v>1876</v>
      </c>
      <c r="B541" t="s">
        <v>348</v>
      </c>
      <c r="C541" t="s">
        <v>268</v>
      </c>
      <c r="D541">
        <v>0</v>
      </c>
      <c r="E541">
        <v>0</v>
      </c>
      <c r="F541">
        <v>0</v>
      </c>
      <c r="G541">
        <v>0</v>
      </c>
    </row>
    <row r="542" spans="1:7">
      <c r="A542" t="s">
        <v>1876</v>
      </c>
      <c r="B542" t="s">
        <v>348</v>
      </c>
      <c r="C542" t="s">
        <v>269</v>
      </c>
      <c r="D542">
        <v>0</v>
      </c>
      <c r="E542">
        <v>0</v>
      </c>
      <c r="F542">
        <v>0</v>
      </c>
      <c r="G542">
        <v>0</v>
      </c>
    </row>
    <row r="543" spans="1:7">
      <c r="A543" t="s">
        <v>1876</v>
      </c>
      <c r="B543" t="s">
        <v>348</v>
      </c>
      <c r="C543" t="s">
        <v>270</v>
      </c>
      <c r="D543">
        <v>0</v>
      </c>
      <c r="E543">
        <v>0</v>
      </c>
      <c r="F543">
        <v>0</v>
      </c>
      <c r="G543">
        <v>0</v>
      </c>
    </row>
    <row r="544" spans="1:7">
      <c r="A544" t="s">
        <v>1876</v>
      </c>
      <c r="B544" t="s">
        <v>348</v>
      </c>
      <c r="C544" t="s">
        <v>271</v>
      </c>
      <c r="D544">
        <v>0</v>
      </c>
      <c r="E544">
        <v>0</v>
      </c>
      <c r="F544">
        <v>0</v>
      </c>
      <c r="G544">
        <v>0</v>
      </c>
    </row>
    <row r="545" spans="1:7">
      <c r="A545" t="s">
        <v>1876</v>
      </c>
      <c r="B545" t="s">
        <v>348</v>
      </c>
      <c r="C545" t="s">
        <v>272</v>
      </c>
      <c r="D545">
        <v>0</v>
      </c>
      <c r="E545">
        <v>0</v>
      </c>
      <c r="F545">
        <v>0</v>
      </c>
      <c r="G545">
        <v>0</v>
      </c>
    </row>
    <row r="546" spans="1:7">
      <c r="A546" t="s">
        <v>1876</v>
      </c>
      <c r="B546" t="s">
        <v>348</v>
      </c>
      <c r="C546" t="s">
        <v>1944</v>
      </c>
      <c r="D546">
        <v>3.2</v>
      </c>
      <c r="E546">
        <v>4.0999999999999996</v>
      </c>
      <c r="F546">
        <v>5.0999999999999996</v>
      </c>
      <c r="G546">
        <v>6.6</v>
      </c>
    </row>
    <row r="547" spans="1:7">
      <c r="A547" t="s">
        <v>1876</v>
      </c>
      <c r="B547" t="s">
        <v>348</v>
      </c>
      <c r="C547" t="s">
        <v>1945</v>
      </c>
      <c r="D547">
        <v>5</v>
      </c>
      <c r="E547">
        <v>8</v>
      </c>
      <c r="F547">
        <v>14</v>
      </c>
      <c r="G547">
        <v>17</v>
      </c>
    </row>
    <row r="548" spans="1:7">
      <c r="A548" t="s">
        <v>1876</v>
      </c>
      <c r="B548" t="s">
        <v>348</v>
      </c>
      <c r="C548" t="s">
        <v>273</v>
      </c>
      <c r="D548">
        <v>0</v>
      </c>
      <c r="E548">
        <v>0</v>
      </c>
      <c r="F548">
        <v>0</v>
      </c>
      <c r="G548">
        <v>0</v>
      </c>
    </row>
    <row r="549" spans="1:7">
      <c r="A549" t="s">
        <v>1876</v>
      </c>
      <c r="B549" t="s">
        <v>348</v>
      </c>
      <c r="C549" t="s">
        <v>1946</v>
      </c>
      <c r="D549">
        <v>501585</v>
      </c>
      <c r="E549">
        <v>492405</v>
      </c>
      <c r="F549">
        <v>486750</v>
      </c>
      <c r="G549">
        <v>500490</v>
      </c>
    </row>
    <row r="550" spans="1:7">
      <c r="A550" t="s">
        <v>1876</v>
      </c>
      <c r="B550" t="s">
        <v>348</v>
      </c>
      <c r="C550" t="s">
        <v>1947</v>
      </c>
      <c r="D550">
        <v>12877</v>
      </c>
      <c r="E550">
        <v>16143</v>
      </c>
      <c r="F550">
        <v>11669</v>
      </c>
      <c r="G550">
        <v>10707</v>
      </c>
    </row>
    <row r="551" spans="1:7">
      <c r="A551" t="s">
        <v>1876</v>
      </c>
      <c r="B551" t="s">
        <v>348</v>
      </c>
      <c r="C551" t="s">
        <v>1948</v>
      </c>
      <c r="D551">
        <v>211</v>
      </c>
      <c r="E551">
        <v>420</v>
      </c>
      <c r="F551">
        <v>173</v>
      </c>
      <c r="G551">
        <v>111</v>
      </c>
    </row>
    <row r="552" spans="1:7">
      <c r="A552" t="s">
        <v>1876</v>
      </c>
      <c r="B552" t="s">
        <v>348</v>
      </c>
      <c r="C552" t="s">
        <v>1949</v>
      </c>
      <c r="D552">
        <v>63826</v>
      </c>
      <c r="E552">
        <v>65163</v>
      </c>
      <c r="F552">
        <v>62399</v>
      </c>
      <c r="G552">
        <v>59892</v>
      </c>
    </row>
    <row r="553" spans="1:7">
      <c r="A553" t="s">
        <v>1876</v>
      </c>
      <c r="B553" t="s">
        <v>348</v>
      </c>
      <c r="C553" t="s">
        <v>1950</v>
      </c>
      <c r="D553">
        <v>4666</v>
      </c>
      <c r="E553">
        <v>4756</v>
      </c>
      <c r="F553">
        <v>4293</v>
      </c>
      <c r="G553">
        <v>3753</v>
      </c>
    </row>
    <row r="554" spans="1:7">
      <c r="A554" t="s">
        <v>1876</v>
      </c>
      <c r="B554" t="s">
        <v>348</v>
      </c>
      <c r="C554" t="s">
        <v>274</v>
      </c>
      <c r="D554">
        <v>583165</v>
      </c>
      <c r="E554">
        <v>578886</v>
      </c>
      <c r="F554">
        <v>565285</v>
      </c>
      <c r="G554">
        <v>574954</v>
      </c>
    </row>
    <row r="555" spans="1:7">
      <c r="A555" t="s">
        <v>1876</v>
      </c>
      <c r="B555" t="s">
        <v>348</v>
      </c>
      <c r="C555" t="s">
        <v>275</v>
      </c>
      <c r="D555">
        <v>0</v>
      </c>
      <c r="E555">
        <v>0</v>
      </c>
      <c r="F555">
        <v>0</v>
      </c>
      <c r="G555">
        <v>0</v>
      </c>
    </row>
    <row r="556" spans="1:7">
      <c r="A556" t="s">
        <v>1876</v>
      </c>
      <c r="B556" t="s">
        <v>348</v>
      </c>
      <c r="C556" t="s">
        <v>276</v>
      </c>
      <c r="D556">
        <v>0</v>
      </c>
      <c r="E556">
        <v>0</v>
      </c>
      <c r="F556">
        <v>0</v>
      </c>
      <c r="G556">
        <v>0</v>
      </c>
    </row>
    <row r="557" spans="1:7">
      <c r="A557" t="s">
        <v>1876</v>
      </c>
      <c r="B557" t="s">
        <v>348</v>
      </c>
      <c r="C557" t="s">
        <v>277</v>
      </c>
      <c r="D557">
        <v>152</v>
      </c>
      <c r="E557">
        <v>184</v>
      </c>
      <c r="F557">
        <v>188</v>
      </c>
      <c r="G557">
        <v>206</v>
      </c>
    </row>
    <row r="558" spans="1:7">
      <c r="A558" t="s">
        <v>1876</v>
      </c>
      <c r="B558" t="s">
        <v>348</v>
      </c>
      <c r="C558" t="s">
        <v>278</v>
      </c>
      <c r="D558">
        <v>2749</v>
      </c>
      <c r="E558">
        <v>2345</v>
      </c>
      <c r="F558">
        <v>2128</v>
      </c>
      <c r="G558">
        <v>1942</v>
      </c>
    </row>
    <row r="559" spans="1:7">
      <c r="A559" t="s">
        <v>1876</v>
      </c>
      <c r="B559" t="s">
        <v>348</v>
      </c>
      <c r="C559" t="s">
        <v>279</v>
      </c>
      <c r="D559">
        <v>2795</v>
      </c>
      <c r="E559">
        <v>2880</v>
      </c>
      <c r="F559">
        <v>2532</v>
      </c>
      <c r="G559">
        <v>2697</v>
      </c>
    </row>
    <row r="560" spans="1:7">
      <c r="A560" t="s">
        <v>1876</v>
      </c>
      <c r="B560" t="s">
        <v>348</v>
      </c>
      <c r="C560" t="s">
        <v>280</v>
      </c>
      <c r="D560">
        <v>4511</v>
      </c>
      <c r="E560">
        <v>4596</v>
      </c>
      <c r="F560">
        <v>4142</v>
      </c>
      <c r="G560">
        <v>3603</v>
      </c>
    </row>
    <row r="561" spans="1:7">
      <c r="A561" t="s">
        <v>1876</v>
      </c>
      <c r="B561" t="s">
        <v>348</v>
      </c>
      <c r="C561" t="s">
        <v>281</v>
      </c>
      <c r="D561">
        <v>10206</v>
      </c>
      <c r="E561">
        <v>10005</v>
      </c>
      <c r="F561">
        <v>8989</v>
      </c>
      <c r="G561">
        <v>8448</v>
      </c>
    </row>
    <row r="562" spans="1:7">
      <c r="A562" t="s">
        <v>1876</v>
      </c>
      <c r="B562" t="s">
        <v>348</v>
      </c>
      <c r="C562" t="s">
        <v>282</v>
      </c>
      <c r="D562">
        <v>10206</v>
      </c>
      <c r="E562">
        <v>10005</v>
      </c>
      <c r="F562">
        <v>8989</v>
      </c>
      <c r="G562">
        <v>8448</v>
      </c>
    </row>
    <row r="563" spans="1:7">
      <c r="A563" t="s">
        <v>1876</v>
      </c>
      <c r="B563" t="s">
        <v>348</v>
      </c>
      <c r="C563" t="s">
        <v>283</v>
      </c>
      <c r="D563">
        <v>0</v>
      </c>
      <c r="E563">
        <v>0</v>
      </c>
      <c r="F563">
        <v>0</v>
      </c>
      <c r="G563">
        <v>0</v>
      </c>
    </row>
    <row r="564" spans="1:7">
      <c r="A564" t="s">
        <v>1876</v>
      </c>
      <c r="B564" t="s">
        <v>348</v>
      </c>
      <c r="C564" t="s">
        <v>284</v>
      </c>
      <c r="D564">
        <v>0</v>
      </c>
      <c r="E564">
        <v>0</v>
      </c>
      <c r="F564">
        <v>0</v>
      </c>
      <c r="G564">
        <v>0</v>
      </c>
    </row>
    <row r="565" spans="1:7">
      <c r="A565" t="s">
        <v>1876</v>
      </c>
      <c r="B565" t="s">
        <v>348</v>
      </c>
      <c r="C565" t="s">
        <v>1716</v>
      </c>
      <c r="D565">
        <v>28093</v>
      </c>
      <c r="E565">
        <v>29604</v>
      </c>
      <c r="F565">
        <v>29842</v>
      </c>
      <c r="G565">
        <v>32521</v>
      </c>
    </row>
    <row r="566" spans="1:7">
      <c r="A566" t="s">
        <v>1876</v>
      </c>
      <c r="B566" t="s">
        <v>348</v>
      </c>
      <c r="C566" t="s">
        <v>1717</v>
      </c>
      <c r="D566">
        <v>1133</v>
      </c>
      <c r="E566">
        <v>1452</v>
      </c>
      <c r="F566">
        <v>1146</v>
      </c>
      <c r="G566">
        <v>1099</v>
      </c>
    </row>
    <row r="567" spans="1:7">
      <c r="A567" t="s">
        <v>1876</v>
      </c>
      <c r="B567" t="s">
        <v>348</v>
      </c>
      <c r="C567" t="s">
        <v>1718</v>
      </c>
      <c r="D567">
        <v>41540</v>
      </c>
      <c r="E567">
        <v>38263</v>
      </c>
      <c r="F567">
        <v>33297</v>
      </c>
      <c r="G567">
        <v>33269</v>
      </c>
    </row>
    <row r="568" spans="1:7">
      <c r="A568" t="s">
        <v>1876</v>
      </c>
      <c r="B568" t="s">
        <v>348</v>
      </c>
      <c r="C568" t="s">
        <v>1719</v>
      </c>
      <c r="D568">
        <v>4332</v>
      </c>
      <c r="E568">
        <v>4331</v>
      </c>
      <c r="F568">
        <v>4510</v>
      </c>
      <c r="G568">
        <v>4568</v>
      </c>
    </row>
    <row r="569" spans="1:7">
      <c r="A569" t="s">
        <v>1876</v>
      </c>
      <c r="B569" t="s">
        <v>348</v>
      </c>
      <c r="C569" t="s">
        <v>1720</v>
      </c>
      <c r="D569">
        <v>165193</v>
      </c>
      <c r="E569">
        <v>165884</v>
      </c>
      <c r="F569">
        <v>161712</v>
      </c>
      <c r="G569">
        <v>164704</v>
      </c>
    </row>
    <row r="570" spans="1:7">
      <c r="A570" t="s">
        <v>1876</v>
      </c>
      <c r="B570" t="s">
        <v>348</v>
      </c>
      <c r="C570" t="s">
        <v>1721</v>
      </c>
      <c r="D570">
        <v>3856</v>
      </c>
      <c r="E570">
        <v>4811</v>
      </c>
      <c r="F570">
        <v>4119</v>
      </c>
      <c r="G570">
        <v>3880</v>
      </c>
    </row>
    <row r="571" spans="1:7">
      <c r="A571" t="s">
        <v>1876</v>
      </c>
      <c r="B571" t="s">
        <v>348</v>
      </c>
      <c r="C571" t="s">
        <v>285</v>
      </c>
      <c r="D571">
        <v>239815</v>
      </c>
      <c r="E571">
        <v>240015</v>
      </c>
      <c r="F571">
        <v>230116</v>
      </c>
      <c r="G571">
        <v>235474</v>
      </c>
    </row>
    <row r="572" spans="1:7">
      <c r="A572" t="s">
        <v>1876</v>
      </c>
      <c r="B572" t="s">
        <v>348</v>
      </c>
      <c r="C572" t="s">
        <v>1951</v>
      </c>
      <c r="D572">
        <v>12.4</v>
      </c>
      <c r="E572">
        <v>12.5</v>
      </c>
      <c r="F572">
        <v>12.3</v>
      </c>
      <c r="G572">
        <v>12.4</v>
      </c>
    </row>
    <row r="573" spans="1:7">
      <c r="A573" t="s">
        <v>1876</v>
      </c>
      <c r="B573" t="s">
        <v>348</v>
      </c>
      <c r="C573" t="s">
        <v>286</v>
      </c>
      <c r="D573">
        <v>4850</v>
      </c>
      <c r="E573">
        <v>4969</v>
      </c>
      <c r="F573">
        <v>4125</v>
      </c>
      <c r="G573">
        <v>4465</v>
      </c>
    </row>
    <row r="574" spans="1:7">
      <c r="A574" t="s">
        <v>1876</v>
      </c>
      <c r="B574" t="s">
        <v>348</v>
      </c>
      <c r="C574" t="s">
        <v>287</v>
      </c>
      <c r="D574">
        <v>25</v>
      </c>
      <c r="E574">
        <v>26</v>
      </c>
      <c r="F574">
        <v>22</v>
      </c>
      <c r="G574">
        <v>23</v>
      </c>
    </row>
    <row r="575" spans="1:7">
      <c r="A575" t="s">
        <v>1876</v>
      </c>
      <c r="B575" t="s">
        <v>348</v>
      </c>
      <c r="C575" t="s">
        <v>288</v>
      </c>
      <c r="D575">
        <v>0</v>
      </c>
      <c r="E575">
        <v>0</v>
      </c>
      <c r="F575">
        <v>0</v>
      </c>
      <c r="G575">
        <v>0</v>
      </c>
    </row>
    <row r="576" spans="1:7">
      <c r="A576" t="s">
        <v>1876</v>
      </c>
      <c r="B576" t="s">
        <v>348</v>
      </c>
      <c r="C576" t="s">
        <v>289</v>
      </c>
      <c r="D576">
        <v>3748</v>
      </c>
      <c r="E576">
        <v>3840</v>
      </c>
      <c r="F576">
        <v>3188</v>
      </c>
      <c r="G576">
        <v>3451</v>
      </c>
    </row>
    <row r="577" spans="1:7">
      <c r="A577" t="s">
        <v>1876</v>
      </c>
      <c r="B577" t="s">
        <v>348</v>
      </c>
      <c r="C577" t="s">
        <v>290</v>
      </c>
      <c r="D577">
        <v>8623</v>
      </c>
      <c r="E577">
        <v>8836</v>
      </c>
      <c r="F577">
        <v>7335</v>
      </c>
      <c r="G577">
        <v>7939</v>
      </c>
    </row>
    <row r="578" spans="1:7">
      <c r="A578" t="s">
        <v>1876</v>
      </c>
      <c r="B578" t="s">
        <v>348</v>
      </c>
      <c r="C578" t="s">
        <v>291</v>
      </c>
      <c r="D578">
        <v>8623</v>
      </c>
      <c r="E578">
        <v>8836</v>
      </c>
      <c r="F578">
        <v>7335</v>
      </c>
      <c r="G578">
        <v>7939</v>
      </c>
    </row>
    <row r="579" spans="1:7">
      <c r="A579" t="s">
        <v>1876</v>
      </c>
      <c r="B579" t="s">
        <v>348</v>
      </c>
      <c r="C579" t="s">
        <v>292</v>
      </c>
      <c r="D579">
        <v>0</v>
      </c>
      <c r="E579">
        <v>0</v>
      </c>
      <c r="F579">
        <v>0</v>
      </c>
      <c r="G579">
        <v>0</v>
      </c>
    </row>
    <row r="580" spans="1:7">
      <c r="A580" t="s">
        <v>1876</v>
      </c>
      <c r="B580" t="s">
        <v>348</v>
      </c>
      <c r="C580" t="s">
        <v>293</v>
      </c>
      <c r="D580">
        <v>0</v>
      </c>
      <c r="E580">
        <v>0</v>
      </c>
      <c r="F580">
        <v>0</v>
      </c>
      <c r="G580">
        <v>0</v>
      </c>
    </row>
    <row r="581" spans="1:7">
      <c r="A581" t="s">
        <v>1876</v>
      </c>
      <c r="B581" t="s">
        <v>348</v>
      </c>
      <c r="C581" t="s">
        <v>294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1876</v>
      </c>
      <c r="B582" t="s">
        <v>348</v>
      </c>
      <c r="C582" t="s">
        <v>295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1876</v>
      </c>
      <c r="B583" t="s">
        <v>348</v>
      </c>
      <c r="C583" t="s">
        <v>296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1876</v>
      </c>
      <c r="B584" t="s">
        <v>348</v>
      </c>
      <c r="C584" t="s">
        <v>297</v>
      </c>
      <c r="D584">
        <v>11504</v>
      </c>
      <c r="E584">
        <v>12025</v>
      </c>
      <c r="F584">
        <v>11176</v>
      </c>
      <c r="G584">
        <v>11486</v>
      </c>
    </row>
    <row r="585" spans="1:7">
      <c r="A585" t="s">
        <v>1876</v>
      </c>
      <c r="B585" t="s">
        <v>348</v>
      </c>
      <c r="C585" t="s">
        <v>1952</v>
      </c>
      <c r="D585">
        <v>0</v>
      </c>
      <c r="E585">
        <v>0</v>
      </c>
      <c r="F585">
        <v>0</v>
      </c>
      <c r="G585">
        <v>0</v>
      </c>
    </row>
    <row r="586" spans="1:7">
      <c r="A586" t="s">
        <v>1876</v>
      </c>
      <c r="B586" t="s">
        <v>348</v>
      </c>
      <c r="C586" t="s">
        <v>298</v>
      </c>
      <c r="D586">
        <v>1714</v>
      </c>
      <c r="E586">
        <v>1808</v>
      </c>
      <c r="F586">
        <v>1809</v>
      </c>
      <c r="G586">
        <v>1582</v>
      </c>
    </row>
    <row r="587" spans="1:7">
      <c r="A587" t="s">
        <v>1876</v>
      </c>
      <c r="B587" t="s">
        <v>348</v>
      </c>
      <c r="C587" t="s">
        <v>299</v>
      </c>
      <c r="D587">
        <v>46</v>
      </c>
      <c r="E587">
        <v>54</v>
      </c>
      <c r="F587">
        <v>48</v>
      </c>
      <c r="G587">
        <v>57</v>
      </c>
    </row>
    <row r="588" spans="1:7">
      <c r="A588" t="s">
        <v>1876</v>
      </c>
      <c r="B588" t="s">
        <v>348</v>
      </c>
      <c r="C588" t="s">
        <v>300</v>
      </c>
      <c r="D588">
        <v>1686</v>
      </c>
      <c r="E588">
        <v>3052</v>
      </c>
      <c r="F588">
        <v>4097</v>
      </c>
      <c r="G588">
        <v>4283</v>
      </c>
    </row>
    <row r="589" spans="1:7">
      <c r="A589" t="s">
        <v>1876</v>
      </c>
      <c r="B589" t="s">
        <v>348</v>
      </c>
      <c r="C589" t="s">
        <v>1722</v>
      </c>
      <c r="D589">
        <v>421</v>
      </c>
      <c r="E589">
        <v>421</v>
      </c>
      <c r="F589">
        <v>601</v>
      </c>
      <c r="G589">
        <v>664</v>
      </c>
    </row>
    <row r="590" spans="1:7">
      <c r="A590" t="s">
        <v>1876</v>
      </c>
      <c r="B590" t="s">
        <v>348</v>
      </c>
      <c r="C590" t="s">
        <v>301</v>
      </c>
      <c r="D590">
        <v>4</v>
      </c>
      <c r="E590">
        <v>4</v>
      </c>
      <c r="F590">
        <v>9</v>
      </c>
      <c r="G590">
        <v>11</v>
      </c>
    </row>
    <row r="591" spans="1:7">
      <c r="A591" t="s">
        <v>1876</v>
      </c>
      <c r="B591" t="s">
        <v>348</v>
      </c>
      <c r="C591" t="s">
        <v>302</v>
      </c>
      <c r="D591">
        <v>87</v>
      </c>
      <c r="E591">
        <v>89</v>
      </c>
      <c r="F591">
        <v>90</v>
      </c>
      <c r="G591">
        <v>97</v>
      </c>
    </row>
    <row r="592" spans="1:7">
      <c r="A592" t="s">
        <v>1876</v>
      </c>
      <c r="B592" t="s">
        <v>348</v>
      </c>
      <c r="C592" t="s">
        <v>303</v>
      </c>
      <c r="D592">
        <v>1822</v>
      </c>
      <c r="E592">
        <v>3199</v>
      </c>
      <c r="F592">
        <v>4244</v>
      </c>
      <c r="G592">
        <v>4447</v>
      </c>
    </row>
    <row r="593" spans="1:7">
      <c r="A593" t="s">
        <v>1876</v>
      </c>
      <c r="B593" t="s">
        <v>348</v>
      </c>
      <c r="C593" t="s">
        <v>304</v>
      </c>
      <c r="D593">
        <v>136</v>
      </c>
      <c r="E593">
        <v>147</v>
      </c>
      <c r="F593">
        <v>147</v>
      </c>
      <c r="G593">
        <v>165</v>
      </c>
    </row>
    <row r="594" spans="1:7">
      <c r="A594" t="s">
        <v>1876</v>
      </c>
      <c r="B594" t="s">
        <v>348</v>
      </c>
      <c r="C594" t="s">
        <v>1953</v>
      </c>
      <c r="D594">
        <v>20.399999999999999</v>
      </c>
      <c r="E594">
        <v>24.3</v>
      </c>
      <c r="F594">
        <v>23.6</v>
      </c>
      <c r="G594">
        <v>22.1</v>
      </c>
    </row>
    <row r="595" spans="1:7">
      <c r="A595" t="s">
        <v>1876</v>
      </c>
      <c r="B595" t="s">
        <v>348</v>
      </c>
      <c r="C595" t="s">
        <v>305</v>
      </c>
      <c r="D595">
        <v>555534</v>
      </c>
      <c r="E595">
        <v>552731</v>
      </c>
      <c r="F595">
        <v>543231</v>
      </c>
      <c r="G595">
        <v>559279</v>
      </c>
    </row>
    <row r="596" spans="1:7">
      <c r="A596" t="s">
        <v>1876</v>
      </c>
      <c r="B596" t="s">
        <v>348</v>
      </c>
      <c r="C596" t="s">
        <v>306</v>
      </c>
      <c r="D596">
        <v>110</v>
      </c>
      <c r="E596">
        <v>108.9</v>
      </c>
      <c r="F596">
        <v>106.1</v>
      </c>
      <c r="G596">
        <v>108.3</v>
      </c>
    </row>
    <row r="597" spans="1:7">
      <c r="A597" t="s">
        <v>1876</v>
      </c>
      <c r="B597" t="s">
        <v>348</v>
      </c>
      <c r="C597" t="s">
        <v>307</v>
      </c>
      <c r="D597">
        <v>236984</v>
      </c>
      <c r="E597">
        <v>244935</v>
      </c>
      <c r="F597">
        <v>237952</v>
      </c>
      <c r="G597">
        <v>241935</v>
      </c>
    </row>
    <row r="598" spans="1:7">
      <c r="A598" t="s">
        <v>1876</v>
      </c>
      <c r="B598" t="s">
        <v>348</v>
      </c>
      <c r="C598" t="s">
        <v>308</v>
      </c>
      <c r="D598">
        <v>46.9</v>
      </c>
      <c r="E598">
        <v>48.2</v>
      </c>
      <c r="F598">
        <v>46.5</v>
      </c>
      <c r="G598">
        <v>46.9</v>
      </c>
    </row>
    <row r="599" spans="1:7">
      <c r="A599" t="s">
        <v>1876</v>
      </c>
      <c r="B599" t="s">
        <v>348</v>
      </c>
      <c r="C599" t="s">
        <v>309</v>
      </c>
      <c r="D599">
        <v>1194559</v>
      </c>
      <c r="E599">
        <v>1213692</v>
      </c>
      <c r="F599">
        <v>1170606</v>
      </c>
      <c r="G599">
        <v>1186716</v>
      </c>
    </row>
    <row r="600" spans="1:7">
      <c r="A600" t="s">
        <v>1876</v>
      </c>
      <c r="B600" t="s">
        <v>348</v>
      </c>
      <c r="C600" t="s">
        <v>310</v>
      </c>
      <c r="D600">
        <v>809638</v>
      </c>
      <c r="E600">
        <v>778873</v>
      </c>
      <c r="F600">
        <v>765141</v>
      </c>
      <c r="G600">
        <v>773428</v>
      </c>
    </row>
    <row r="601" spans="1:7">
      <c r="A601" t="s">
        <v>1876</v>
      </c>
      <c r="B601" t="s">
        <v>348</v>
      </c>
      <c r="C601" t="s">
        <v>311</v>
      </c>
      <c r="D601">
        <v>160.30000000000001</v>
      </c>
      <c r="E601">
        <v>153.4</v>
      </c>
      <c r="F601">
        <v>149.5</v>
      </c>
      <c r="G601">
        <v>149.80000000000001</v>
      </c>
    </row>
    <row r="602" spans="1:7">
      <c r="A602" t="s">
        <v>1876</v>
      </c>
      <c r="B602" t="s">
        <v>348</v>
      </c>
      <c r="C602" t="s">
        <v>312</v>
      </c>
      <c r="D602">
        <v>325822</v>
      </c>
      <c r="E602">
        <v>336143</v>
      </c>
      <c r="F602">
        <v>319982</v>
      </c>
      <c r="G602">
        <v>331569</v>
      </c>
    </row>
    <row r="603" spans="1:7">
      <c r="A603" t="s">
        <v>1876</v>
      </c>
      <c r="B603" t="s">
        <v>348</v>
      </c>
      <c r="C603" t="s">
        <v>313</v>
      </c>
      <c r="D603">
        <v>64.5</v>
      </c>
      <c r="E603">
        <v>66.2</v>
      </c>
      <c r="F603">
        <v>62.5</v>
      </c>
      <c r="G603">
        <v>64.2</v>
      </c>
    </row>
    <row r="604" spans="1:7">
      <c r="A604" t="s">
        <v>1876</v>
      </c>
      <c r="B604" t="s">
        <v>348</v>
      </c>
      <c r="C604" t="s">
        <v>314</v>
      </c>
      <c r="D604">
        <v>1927979</v>
      </c>
      <c r="E604">
        <v>1912683</v>
      </c>
      <c r="F604">
        <v>1866307</v>
      </c>
      <c r="G604">
        <v>1906213</v>
      </c>
    </row>
    <row r="605" spans="1:7">
      <c r="A605" t="s">
        <v>1876</v>
      </c>
      <c r="B605" t="s">
        <v>348</v>
      </c>
      <c r="C605" t="s">
        <v>315</v>
      </c>
      <c r="D605">
        <v>8.24</v>
      </c>
      <c r="E605">
        <v>7.97</v>
      </c>
      <c r="F605">
        <v>7.52</v>
      </c>
      <c r="G605">
        <v>7.46</v>
      </c>
    </row>
    <row r="606" spans="1:7">
      <c r="A606" t="s">
        <v>1876</v>
      </c>
      <c r="B606" t="s">
        <v>348</v>
      </c>
      <c r="C606" t="s">
        <v>316</v>
      </c>
      <c r="D606">
        <v>381.8</v>
      </c>
      <c r="E606">
        <v>376.7</v>
      </c>
      <c r="F606">
        <v>364.7</v>
      </c>
      <c r="G606">
        <v>369.2</v>
      </c>
    </row>
    <row r="607" spans="1:7">
      <c r="A607" t="s">
        <v>1876</v>
      </c>
      <c r="B607" t="s">
        <v>348</v>
      </c>
      <c r="C607" t="s">
        <v>317</v>
      </c>
      <c r="D607">
        <v>1927978</v>
      </c>
      <c r="E607">
        <v>1912682</v>
      </c>
      <c r="F607">
        <v>1866306</v>
      </c>
      <c r="G607">
        <v>1906212</v>
      </c>
    </row>
    <row r="608" spans="1:7">
      <c r="A608" t="s">
        <v>1876</v>
      </c>
      <c r="B608" t="s">
        <v>348</v>
      </c>
      <c r="C608" t="s">
        <v>318</v>
      </c>
      <c r="D608">
        <v>555534</v>
      </c>
      <c r="E608">
        <v>552731</v>
      </c>
      <c r="F608">
        <v>543231</v>
      </c>
      <c r="G608">
        <v>559279</v>
      </c>
    </row>
    <row r="609" spans="1:7">
      <c r="A609" t="s">
        <v>1876</v>
      </c>
      <c r="B609" t="s">
        <v>348</v>
      </c>
      <c r="C609" t="s">
        <v>319</v>
      </c>
      <c r="D609">
        <v>115047</v>
      </c>
      <c r="E609">
        <v>120539</v>
      </c>
      <c r="F609">
        <v>113341</v>
      </c>
      <c r="G609">
        <v>115947</v>
      </c>
    </row>
    <row r="610" spans="1:7">
      <c r="A610" t="s">
        <v>1876</v>
      </c>
      <c r="B610" t="s">
        <v>348</v>
      </c>
      <c r="C610" t="s">
        <v>320</v>
      </c>
      <c r="D610">
        <v>630142</v>
      </c>
      <c r="E610">
        <v>602689</v>
      </c>
      <c r="F610">
        <v>589797</v>
      </c>
      <c r="G610">
        <v>598390</v>
      </c>
    </row>
    <row r="611" spans="1:7">
      <c r="A611" t="s">
        <v>1876</v>
      </c>
      <c r="B611" t="s">
        <v>348</v>
      </c>
      <c r="C611" t="s">
        <v>321</v>
      </c>
      <c r="D611">
        <v>149510</v>
      </c>
      <c r="E611">
        <v>153233</v>
      </c>
      <c r="F611">
        <v>143782</v>
      </c>
      <c r="G611">
        <v>150266</v>
      </c>
    </row>
    <row r="612" spans="1:7">
      <c r="A612" t="s">
        <v>1876</v>
      </c>
      <c r="B612" t="s">
        <v>348</v>
      </c>
      <c r="C612" t="s">
        <v>1954</v>
      </c>
      <c r="D612">
        <v>1450233</v>
      </c>
      <c r="E612">
        <v>1429193</v>
      </c>
      <c r="F612">
        <v>1390151</v>
      </c>
      <c r="G612">
        <v>1423882</v>
      </c>
    </row>
    <row r="613" spans="1:7">
      <c r="A613" t="s">
        <v>1876</v>
      </c>
      <c r="B613" t="s">
        <v>348</v>
      </c>
      <c r="C613" t="s">
        <v>323</v>
      </c>
      <c r="D613">
        <v>5050</v>
      </c>
      <c r="E613">
        <v>5077</v>
      </c>
      <c r="F613">
        <v>5118</v>
      </c>
      <c r="G613">
        <v>5163</v>
      </c>
    </row>
    <row r="614" spans="1:7">
      <c r="A614" t="s">
        <v>1876</v>
      </c>
      <c r="B614" t="s">
        <v>348</v>
      </c>
      <c r="C614" t="s">
        <v>324</v>
      </c>
      <c r="D614">
        <v>382</v>
      </c>
      <c r="E614">
        <v>0</v>
      </c>
      <c r="F614">
        <v>0</v>
      </c>
      <c r="G614">
        <v>0</v>
      </c>
    </row>
    <row r="615" spans="1:7">
      <c r="A615" t="s">
        <v>1876</v>
      </c>
      <c r="B615" t="s">
        <v>348</v>
      </c>
      <c r="C615" t="s">
        <v>325</v>
      </c>
      <c r="D615">
        <v>0</v>
      </c>
      <c r="E615">
        <v>0</v>
      </c>
      <c r="F615">
        <v>0</v>
      </c>
      <c r="G615">
        <v>0</v>
      </c>
    </row>
    <row r="616" spans="1:7">
      <c r="A616" t="s">
        <v>1876</v>
      </c>
      <c r="B616" t="s">
        <v>348</v>
      </c>
      <c r="C616" t="s">
        <v>326</v>
      </c>
      <c r="D616">
        <v>706</v>
      </c>
      <c r="E616">
        <v>706</v>
      </c>
      <c r="F616">
        <v>706</v>
      </c>
      <c r="G616">
        <v>706</v>
      </c>
    </row>
    <row r="617" spans="1:7">
      <c r="A617" t="s">
        <v>1876</v>
      </c>
      <c r="B617" t="s">
        <v>348</v>
      </c>
      <c r="C617" t="s">
        <v>327</v>
      </c>
      <c r="D617">
        <v>0</v>
      </c>
      <c r="E617">
        <v>0</v>
      </c>
      <c r="F617">
        <v>0</v>
      </c>
      <c r="G617">
        <v>0</v>
      </c>
    </row>
    <row r="618" spans="1:7">
      <c r="A618" t="s">
        <v>1876</v>
      </c>
      <c r="B618" t="s">
        <v>348</v>
      </c>
      <c r="C618" t="s">
        <v>1723</v>
      </c>
      <c r="D618">
        <v>613</v>
      </c>
      <c r="E618">
        <v>611</v>
      </c>
      <c r="F618">
        <v>610</v>
      </c>
      <c r="G618">
        <v>608</v>
      </c>
    </row>
    <row r="619" spans="1:7">
      <c r="A619" t="s">
        <v>1876</v>
      </c>
      <c r="B619" t="s">
        <v>348</v>
      </c>
      <c r="C619" t="s">
        <v>328</v>
      </c>
      <c r="D619">
        <v>163573</v>
      </c>
      <c r="E619">
        <v>164869</v>
      </c>
      <c r="F619">
        <v>160698</v>
      </c>
      <c r="G619">
        <v>163839</v>
      </c>
    </row>
    <row r="620" spans="1:7">
      <c r="A620" t="s">
        <v>1876</v>
      </c>
      <c r="B620" t="s">
        <v>348</v>
      </c>
      <c r="C620" t="s">
        <v>329</v>
      </c>
      <c r="D620">
        <v>3670</v>
      </c>
      <c r="E620">
        <v>4623</v>
      </c>
      <c r="F620">
        <v>3930</v>
      </c>
      <c r="G620">
        <v>3684</v>
      </c>
    </row>
    <row r="621" spans="1:7">
      <c r="A621" t="s">
        <v>1876</v>
      </c>
      <c r="B621" t="s">
        <v>348</v>
      </c>
      <c r="C621" t="s">
        <v>330</v>
      </c>
      <c r="D621">
        <v>167949</v>
      </c>
      <c r="E621">
        <v>170199</v>
      </c>
      <c r="F621">
        <v>165335</v>
      </c>
      <c r="G621">
        <v>168229</v>
      </c>
    </row>
    <row r="622" spans="1:7">
      <c r="A622" t="s">
        <v>1876</v>
      </c>
      <c r="B622" t="s">
        <v>348</v>
      </c>
      <c r="C622" t="s">
        <v>331</v>
      </c>
      <c r="D622">
        <v>0</v>
      </c>
      <c r="E622">
        <v>0</v>
      </c>
      <c r="F622">
        <v>0</v>
      </c>
      <c r="G622">
        <v>0</v>
      </c>
    </row>
    <row r="623" spans="1:7">
      <c r="A623" t="s">
        <v>1876</v>
      </c>
      <c r="B623" t="s">
        <v>348</v>
      </c>
      <c r="C623" t="s">
        <v>332</v>
      </c>
      <c r="D623">
        <v>545</v>
      </c>
      <c r="E623">
        <v>449</v>
      </c>
      <c r="F623">
        <v>437</v>
      </c>
      <c r="G623">
        <v>472</v>
      </c>
    </row>
    <row r="624" spans="1:7">
      <c r="A624" t="s">
        <v>1876</v>
      </c>
      <c r="B624" t="s">
        <v>348</v>
      </c>
      <c r="C624" t="s">
        <v>1724</v>
      </c>
      <c r="D624">
        <v>6</v>
      </c>
      <c r="E624">
        <v>6</v>
      </c>
      <c r="F624">
        <v>6</v>
      </c>
      <c r="G624">
        <v>6</v>
      </c>
    </row>
    <row r="625" spans="1:7">
      <c r="A625" t="s">
        <v>1876</v>
      </c>
      <c r="B625" t="s">
        <v>348</v>
      </c>
      <c r="C625" t="s">
        <v>333</v>
      </c>
      <c r="D625">
        <v>1262</v>
      </c>
      <c r="E625">
        <v>618</v>
      </c>
      <c r="F625">
        <v>614</v>
      </c>
      <c r="G625">
        <v>575</v>
      </c>
    </row>
    <row r="626" spans="1:7">
      <c r="A626" t="s">
        <v>1876</v>
      </c>
      <c r="B626" t="s">
        <v>348</v>
      </c>
      <c r="C626" t="s">
        <v>334</v>
      </c>
      <c r="D626">
        <v>1808</v>
      </c>
      <c r="E626">
        <v>1066</v>
      </c>
      <c r="F626">
        <v>1052</v>
      </c>
      <c r="G626">
        <v>1047</v>
      </c>
    </row>
    <row r="627" spans="1:7">
      <c r="A627" t="s">
        <v>1876</v>
      </c>
      <c r="B627" t="s">
        <v>348</v>
      </c>
      <c r="C627" t="s">
        <v>335</v>
      </c>
      <c r="D627">
        <v>706</v>
      </c>
      <c r="E627">
        <v>706</v>
      </c>
      <c r="F627">
        <v>706</v>
      </c>
      <c r="G627">
        <v>706</v>
      </c>
    </row>
    <row r="628" spans="1:7">
      <c r="A628" t="s">
        <v>1876</v>
      </c>
      <c r="B628" t="s">
        <v>348</v>
      </c>
      <c r="C628" t="s">
        <v>336</v>
      </c>
      <c r="D628">
        <v>545</v>
      </c>
      <c r="E628">
        <v>449</v>
      </c>
      <c r="F628">
        <v>437</v>
      </c>
      <c r="G628">
        <v>472</v>
      </c>
    </row>
    <row r="629" spans="1:7">
      <c r="A629" t="s">
        <v>1876</v>
      </c>
      <c r="B629" t="s">
        <v>348</v>
      </c>
      <c r="C629" t="s">
        <v>337</v>
      </c>
      <c r="D629">
        <v>164836</v>
      </c>
      <c r="E629">
        <v>165487</v>
      </c>
      <c r="F629">
        <v>161313</v>
      </c>
      <c r="G629">
        <v>164414</v>
      </c>
    </row>
    <row r="630" spans="1:7">
      <c r="A630" t="s">
        <v>1876</v>
      </c>
      <c r="B630" t="s">
        <v>348</v>
      </c>
      <c r="C630" t="s">
        <v>338</v>
      </c>
      <c r="D630">
        <v>169757</v>
      </c>
      <c r="E630">
        <v>171265</v>
      </c>
      <c r="F630">
        <v>166387</v>
      </c>
      <c r="G630">
        <v>169276</v>
      </c>
    </row>
    <row r="631" spans="1:7">
      <c r="A631" t="s">
        <v>1876</v>
      </c>
      <c r="B631" t="s">
        <v>348</v>
      </c>
      <c r="C631" t="s">
        <v>339</v>
      </c>
      <c r="D631">
        <v>169212</v>
      </c>
      <c r="E631">
        <v>170816</v>
      </c>
      <c r="F631">
        <v>165949</v>
      </c>
      <c r="G631">
        <v>168804</v>
      </c>
    </row>
    <row r="632" spans="1:7">
      <c r="A632" t="s">
        <v>1876</v>
      </c>
      <c r="B632" t="s">
        <v>348</v>
      </c>
      <c r="C632" t="s">
        <v>340</v>
      </c>
      <c r="D632">
        <v>224</v>
      </c>
      <c r="E632">
        <v>270</v>
      </c>
      <c r="F632">
        <v>187</v>
      </c>
      <c r="G632">
        <v>230</v>
      </c>
    </row>
    <row r="633" spans="1:7">
      <c r="A633" t="s">
        <v>1876</v>
      </c>
      <c r="B633" t="s">
        <v>348</v>
      </c>
      <c r="C633" t="s">
        <v>1955</v>
      </c>
      <c r="D633">
        <v>0</v>
      </c>
      <c r="E633">
        <v>0</v>
      </c>
      <c r="F633">
        <v>0</v>
      </c>
      <c r="G633">
        <v>0</v>
      </c>
    </row>
    <row r="634" spans="1:7">
      <c r="A634" t="s">
        <v>1876</v>
      </c>
      <c r="B634" t="s">
        <v>348</v>
      </c>
      <c r="C634" t="s">
        <v>341</v>
      </c>
      <c r="D634">
        <v>0</v>
      </c>
      <c r="E634">
        <v>0</v>
      </c>
      <c r="F634">
        <v>0</v>
      </c>
      <c r="G634">
        <v>0</v>
      </c>
    </row>
    <row r="635" spans="1:7">
      <c r="A635" t="s">
        <v>1876</v>
      </c>
      <c r="B635" t="s">
        <v>348</v>
      </c>
      <c r="C635" t="s">
        <v>342</v>
      </c>
      <c r="D635">
        <v>0</v>
      </c>
      <c r="E635">
        <v>0</v>
      </c>
      <c r="F635">
        <v>0</v>
      </c>
      <c r="G635">
        <v>0</v>
      </c>
    </row>
    <row r="636" spans="1:7">
      <c r="A636" t="s">
        <v>1876</v>
      </c>
      <c r="B636" t="s">
        <v>348</v>
      </c>
      <c r="C636" t="s">
        <v>1725</v>
      </c>
      <c r="D636">
        <v>0</v>
      </c>
      <c r="E636">
        <v>0</v>
      </c>
      <c r="F636">
        <v>0</v>
      </c>
      <c r="G636">
        <v>0</v>
      </c>
    </row>
    <row r="637" spans="1:7">
      <c r="A637" t="s">
        <v>1876</v>
      </c>
      <c r="B637" t="s">
        <v>348</v>
      </c>
      <c r="C637" t="s">
        <v>343</v>
      </c>
      <c r="D637">
        <v>0</v>
      </c>
      <c r="E637">
        <v>0</v>
      </c>
      <c r="F637">
        <v>0</v>
      </c>
      <c r="G637">
        <v>0</v>
      </c>
    </row>
    <row r="638" spans="1:7">
      <c r="A638" t="s">
        <v>1876</v>
      </c>
      <c r="B638" t="s">
        <v>348</v>
      </c>
      <c r="C638" t="s">
        <v>344</v>
      </c>
      <c r="D638">
        <v>0</v>
      </c>
      <c r="E638">
        <v>0</v>
      </c>
      <c r="F638">
        <v>0</v>
      </c>
      <c r="G638">
        <v>0</v>
      </c>
    </row>
    <row r="639" spans="1:7">
      <c r="A639" t="s">
        <v>1876</v>
      </c>
      <c r="B639" t="s">
        <v>348</v>
      </c>
      <c r="C639" t="s">
        <v>345</v>
      </c>
      <c r="D639">
        <v>0</v>
      </c>
      <c r="E639">
        <v>0</v>
      </c>
      <c r="F639">
        <v>0</v>
      </c>
      <c r="G639">
        <v>0</v>
      </c>
    </row>
    <row r="640" spans="1:7">
      <c r="A640" t="s">
        <v>1876</v>
      </c>
      <c r="B640" t="s">
        <v>348</v>
      </c>
      <c r="C640" t="s">
        <v>1956</v>
      </c>
      <c r="D640">
        <v>545</v>
      </c>
      <c r="E640">
        <v>449</v>
      </c>
      <c r="F640">
        <v>437</v>
      </c>
      <c r="G640">
        <v>472</v>
      </c>
    </row>
    <row r="641" spans="1:7">
      <c r="A641" t="s">
        <v>1876</v>
      </c>
      <c r="B641" t="s">
        <v>348</v>
      </c>
      <c r="C641" t="s">
        <v>1957</v>
      </c>
      <c r="D641">
        <v>1808</v>
      </c>
      <c r="E641">
        <v>1066</v>
      </c>
      <c r="F641">
        <v>1052</v>
      </c>
      <c r="G641">
        <v>1047</v>
      </c>
    </row>
    <row r="642" spans="1:7">
      <c r="A642" t="s">
        <v>1876</v>
      </c>
      <c r="B642" t="s">
        <v>348</v>
      </c>
      <c r="C642" t="s">
        <v>346</v>
      </c>
      <c r="D642">
        <v>1889</v>
      </c>
      <c r="E642">
        <v>2042</v>
      </c>
      <c r="F642">
        <v>2061</v>
      </c>
      <c r="G642">
        <v>2259</v>
      </c>
    </row>
    <row r="643" spans="1:7">
      <c r="A643" t="s">
        <v>1876</v>
      </c>
      <c r="B643" t="s">
        <v>348</v>
      </c>
      <c r="C643" t="s">
        <v>347</v>
      </c>
      <c r="D643">
        <v>2396</v>
      </c>
      <c r="E643">
        <v>2612</v>
      </c>
      <c r="F643">
        <v>2144</v>
      </c>
      <c r="G643">
        <v>2267</v>
      </c>
    </row>
    <row r="644" spans="1:7">
      <c r="A644" t="s">
        <v>1876</v>
      </c>
      <c r="B644" t="s">
        <v>349</v>
      </c>
      <c r="C644" t="s">
        <v>133</v>
      </c>
      <c r="D644">
        <v>-4</v>
      </c>
      <c r="E644">
        <v>-3</v>
      </c>
      <c r="F644">
        <v>-3</v>
      </c>
      <c r="G644">
        <v>-5</v>
      </c>
    </row>
    <row r="645" spans="1:7">
      <c r="A645" t="s">
        <v>1876</v>
      </c>
      <c r="B645" t="s">
        <v>349</v>
      </c>
      <c r="C645" t="s">
        <v>134</v>
      </c>
      <c r="D645">
        <v>14408</v>
      </c>
      <c r="E645">
        <v>13642</v>
      </c>
      <c r="F645">
        <v>13273</v>
      </c>
      <c r="G645">
        <v>11981</v>
      </c>
    </row>
    <row r="646" spans="1:7">
      <c r="A646" t="s">
        <v>1876</v>
      </c>
      <c r="B646" t="s">
        <v>349</v>
      </c>
      <c r="C646" t="s">
        <v>135</v>
      </c>
      <c r="D646">
        <v>14408</v>
      </c>
      <c r="E646">
        <v>13642</v>
      </c>
      <c r="F646">
        <v>13273</v>
      </c>
      <c r="G646">
        <v>11981</v>
      </c>
    </row>
    <row r="647" spans="1:7">
      <c r="A647" t="s">
        <v>1876</v>
      </c>
      <c r="B647" t="s">
        <v>349</v>
      </c>
      <c r="C647" t="s">
        <v>136</v>
      </c>
      <c r="D647">
        <v>14408</v>
      </c>
      <c r="E647">
        <v>13642</v>
      </c>
      <c r="F647">
        <v>13273</v>
      </c>
      <c r="G647">
        <v>11981</v>
      </c>
    </row>
    <row r="648" spans="1:7">
      <c r="A648" t="s">
        <v>1876</v>
      </c>
      <c r="B648" t="s">
        <v>349</v>
      </c>
      <c r="C648" t="s">
        <v>137</v>
      </c>
      <c r="D648">
        <v>245</v>
      </c>
      <c r="E648">
        <v>254</v>
      </c>
      <c r="F648">
        <v>241</v>
      </c>
      <c r="G648">
        <v>259</v>
      </c>
    </row>
    <row r="649" spans="1:7">
      <c r="A649" t="s">
        <v>1876</v>
      </c>
      <c r="B649" t="s">
        <v>349</v>
      </c>
      <c r="C649" t="s">
        <v>138</v>
      </c>
      <c r="D649">
        <v>245</v>
      </c>
      <c r="E649">
        <v>254</v>
      </c>
      <c r="F649">
        <v>241</v>
      </c>
      <c r="G649">
        <v>259</v>
      </c>
    </row>
    <row r="650" spans="1:7">
      <c r="A650" t="s">
        <v>1876</v>
      </c>
      <c r="B650" t="s">
        <v>349</v>
      </c>
      <c r="C650" t="s">
        <v>139</v>
      </c>
      <c r="D650">
        <v>245</v>
      </c>
      <c r="E650">
        <v>254</v>
      </c>
      <c r="F650">
        <v>241</v>
      </c>
      <c r="G650">
        <v>259</v>
      </c>
    </row>
    <row r="651" spans="1:7">
      <c r="A651" t="s">
        <v>1876</v>
      </c>
      <c r="B651" t="s">
        <v>349</v>
      </c>
      <c r="C651" t="s">
        <v>1877</v>
      </c>
      <c r="D651">
        <v>0</v>
      </c>
      <c r="E651">
        <v>0</v>
      </c>
      <c r="F651">
        <v>0</v>
      </c>
      <c r="G651">
        <v>0</v>
      </c>
    </row>
    <row r="652" spans="1:7">
      <c r="A652" t="s">
        <v>1876</v>
      </c>
      <c r="B652" t="s">
        <v>349</v>
      </c>
      <c r="C652" t="s">
        <v>1700</v>
      </c>
      <c r="D652">
        <v>0</v>
      </c>
      <c r="E652">
        <v>0</v>
      </c>
      <c r="F652">
        <v>0</v>
      </c>
      <c r="G652">
        <v>0</v>
      </c>
    </row>
    <row r="653" spans="1:7">
      <c r="A653" t="s">
        <v>1876</v>
      </c>
      <c r="B653" t="s">
        <v>349</v>
      </c>
      <c r="C653" t="s">
        <v>1878</v>
      </c>
      <c r="D653">
        <v>0</v>
      </c>
      <c r="E653">
        <v>0</v>
      </c>
      <c r="F653">
        <v>0</v>
      </c>
      <c r="G653">
        <v>0</v>
      </c>
    </row>
    <row r="654" spans="1:7">
      <c r="A654" t="s">
        <v>1876</v>
      </c>
      <c r="B654" t="s">
        <v>349</v>
      </c>
      <c r="C654" t="s">
        <v>1879</v>
      </c>
      <c r="D654">
        <v>0</v>
      </c>
      <c r="E654">
        <v>0</v>
      </c>
      <c r="F654">
        <v>0</v>
      </c>
      <c r="G654">
        <v>0</v>
      </c>
    </row>
    <row r="655" spans="1:7">
      <c r="A655" t="s">
        <v>1876</v>
      </c>
      <c r="B655" t="s">
        <v>349</v>
      </c>
      <c r="C655" t="s">
        <v>1701</v>
      </c>
      <c r="D655">
        <v>0</v>
      </c>
      <c r="E655">
        <v>0</v>
      </c>
      <c r="F655">
        <v>0</v>
      </c>
      <c r="G655">
        <v>0</v>
      </c>
    </row>
    <row r="656" spans="1:7">
      <c r="A656" t="s">
        <v>1876</v>
      </c>
      <c r="B656" t="s">
        <v>349</v>
      </c>
      <c r="C656" t="s">
        <v>1880</v>
      </c>
      <c r="D656">
        <v>995</v>
      </c>
      <c r="E656">
        <v>901</v>
      </c>
      <c r="F656">
        <v>1093</v>
      </c>
      <c r="G656">
        <v>1062</v>
      </c>
    </row>
    <row r="657" spans="1:7">
      <c r="A657" t="s">
        <v>1876</v>
      </c>
      <c r="B657" t="s">
        <v>349</v>
      </c>
      <c r="C657" t="s">
        <v>140</v>
      </c>
      <c r="D657">
        <v>2339</v>
      </c>
      <c r="E657">
        <v>2177</v>
      </c>
      <c r="F657">
        <v>2948</v>
      </c>
      <c r="G657">
        <v>3026</v>
      </c>
    </row>
    <row r="658" spans="1:7">
      <c r="A658" t="s">
        <v>1876</v>
      </c>
      <c r="B658" t="s">
        <v>349</v>
      </c>
      <c r="C658" t="s">
        <v>1881</v>
      </c>
      <c r="D658">
        <v>1344</v>
      </c>
      <c r="E658">
        <v>1276</v>
      </c>
      <c r="F658">
        <v>1855</v>
      </c>
      <c r="G658">
        <v>1965</v>
      </c>
    </row>
    <row r="659" spans="1:7">
      <c r="A659" t="s">
        <v>1876</v>
      </c>
      <c r="B659" t="s">
        <v>349</v>
      </c>
      <c r="C659" t="s">
        <v>1882</v>
      </c>
      <c r="D659">
        <v>0</v>
      </c>
      <c r="E659">
        <v>0</v>
      </c>
      <c r="F659">
        <v>0</v>
      </c>
      <c r="G659">
        <v>0</v>
      </c>
    </row>
    <row r="660" spans="1:7">
      <c r="A660" t="s">
        <v>1876</v>
      </c>
      <c r="B660" t="s">
        <v>349</v>
      </c>
      <c r="C660" t="s">
        <v>1883</v>
      </c>
      <c r="D660">
        <v>0</v>
      </c>
      <c r="E660">
        <v>0</v>
      </c>
      <c r="F660">
        <v>0</v>
      </c>
      <c r="G660">
        <v>0</v>
      </c>
    </row>
    <row r="661" spans="1:7">
      <c r="A661" t="s">
        <v>1876</v>
      </c>
      <c r="B661" t="s">
        <v>349</v>
      </c>
      <c r="C661" t="s">
        <v>1884</v>
      </c>
      <c r="D661">
        <v>0</v>
      </c>
      <c r="E661">
        <v>0</v>
      </c>
      <c r="F661">
        <v>0</v>
      </c>
      <c r="G661">
        <v>0</v>
      </c>
    </row>
    <row r="662" spans="1:7">
      <c r="A662" t="s">
        <v>1876</v>
      </c>
      <c r="B662" t="s">
        <v>349</v>
      </c>
      <c r="C662" t="s">
        <v>1885</v>
      </c>
      <c r="D662">
        <v>0</v>
      </c>
      <c r="E662">
        <v>0</v>
      </c>
      <c r="F662">
        <v>0</v>
      </c>
      <c r="G662">
        <v>0</v>
      </c>
    </row>
    <row r="663" spans="1:7">
      <c r="A663" t="s">
        <v>1876</v>
      </c>
      <c r="B663" t="s">
        <v>349</v>
      </c>
      <c r="C663" t="s">
        <v>1886</v>
      </c>
      <c r="D663">
        <v>0</v>
      </c>
      <c r="E663">
        <v>0</v>
      </c>
      <c r="F663">
        <v>0</v>
      </c>
      <c r="G663">
        <v>0</v>
      </c>
    </row>
    <row r="664" spans="1:7">
      <c r="A664" t="s">
        <v>1876</v>
      </c>
      <c r="B664" t="s">
        <v>349</v>
      </c>
      <c r="C664" t="s">
        <v>141</v>
      </c>
      <c r="D664">
        <v>83</v>
      </c>
      <c r="E664">
        <v>84</v>
      </c>
      <c r="F664">
        <v>108</v>
      </c>
      <c r="G664">
        <v>89</v>
      </c>
    </row>
    <row r="665" spans="1:7">
      <c r="A665" t="s">
        <v>1876</v>
      </c>
      <c r="B665" t="s">
        <v>349</v>
      </c>
      <c r="C665" t="s">
        <v>1887</v>
      </c>
      <c r="D665">
        <v>0</v>
      </c>
      <c r="E665">
        <v>0</v>
      </c>
      <c r="F665">
        <v>0</v>
      </c>
      <c r="G665">
        <v>0</v>
      </c>
    </row>
    <row r="666" spans="1:7">
      <c r="A666" t="s">
        <v>1876</v>
      </c>
      <c r="B666" t="s">
        <v>349</v>
      </c>
      <c r="C666" t="s">
        <v>1888</v>
      </c>
      <c r="D666">
        <v>0</v>
      </c>
      <c r="E666">
        <v>0</v>
      </c>
      <c r="F666">
        <v>0</v>
      </c>
      <c r="G666">
        <v>0</v>
      </c>
    </row>
    <row r="667" spans="1:7">
      <c r="A667" t="s">
        <v>1876</v>
      </c>
      <c r="B667" t="s">
        <v>349</v>
      </c>
      <c r="C667" t="s">
        <v>1889</v>
      </c>
      <c r="D667">
        <v>995</v>
      </c>
      <c r="E667">
        <v>901</v>
      </c>
      <c r="F667">
        <v>1093</v>
      </c>
      <c r="G667">
        <v>1062</v>
      </c>
    </row>
    <row r="668" spans="1:7">
      <c r="A668" t="s">
        <v>1876</v>
      </c>
      <c r="B668" t="s">
        <v>349</v>
      </c>
      <c r="C668" t="s">
        <v>1890</v>
      </c>
      <c r="D668">
        <v>0</v>
      </c>
      <c r="E668">
        <v>0</v>
      </c>
      <c r="F668">
        <v>0</v>
      </c>
      <c r="G668">
        <v>0</v>
      </c>
    </row>
    <row r="669" spans="1:7">
      <c r="A669" t="s">
        <v>1876</v>
      </c>
      <c r="B669" t="s">
        <v>349</v>
      </c>
      <c r="C669" t="s">
        <v>1891</v>
      </c>
    </row>
    <row r="670" spans="1:7">
      <c r="A670" t="s">
        <v>1876</v>
      </c>
      <c r="B670" t="s">
        <v>349</v>
      </c>
      <c r="C670" t="s">
        <v>1892</v>
      </c>
      <c r="D670">
        <v>1344</v>
      </c>
      <c r="E670">
        <v>1276</v>
      </c>
      <c r="F670">
        <v>1855</v>
      </c>
      <c r="G670">
        <v>1965</v>
      </c>
    </row>
    <row r="671" spans="1:7">
      <c r="A671" t="s">
        <v>1876</v>
      </c>
      <c r="B671" t="s">
        <v>349</v>
      </c>
      <c r="C671" t="s">
        <v>142</v>
      </c>
      <c r="D671">
        <v>2339</v>
      </c>
      <c r="E671">
        <v>2177</v>
      </c>
      <c r="F671">
        <v>2948</v>
      </c>
      <c r="G671">
        <v>3026</v>
      </c>
    </row>
    <row r="672" spans="1:7">
      <c r="A672" t="s">
        <v>1876</v>
      </c>
      <c r="B672" t="s">
        <v>349</v>
      </c>
      <c r="C672" t="s">
        <v>1893</v>
      </c>
      <c r="D672">
        <v>2339</v>
      </c>
      <c r="E672">
        <v>2177</v>
      </c>
      <c r="F672">
        <v>2948</v>
      </c>
      <c r="G672">
        <v>3026</v>
      </c>
    </row>
    <row r="673" spans="1:7">
      <c r="A673" t="s">
        <v>1876</v>
      </c>
      <c r="B673" t="s">
        <v>349</v>
      </c>
      <c r="C673" t="s">
        <v>1894</v>
      </c>
      <c r="D673">
        <v>1344</v>
      </c>
      <c r="E673">
        <v>1276</v>
      </c>
      <c r="F673">
        <v>1855</v>
      </c>
      <c r="G673">
        <v>1965</v>
      </c>
    </row>
    <row r="674" spans="1:7">
      <c r="A674" t="s">
        <v>1876</v>
      </c>
      <c r="B674" t="s">
        <v>349</v>
      </c>
      <c r="C674" t="s">
        <v>143</v>
      </c>
      <c r="D674">
        <v>83</v>
      </c>
      <c r="E674">
        <v>84</v>
      </c>
      <c r="F674">
        <v>108</v>
      </c>
      <c r="G674">
        <v>89</v>
      </c>
    </row>
    <row r="675" spans="1:7">
      <c r="A675" t="s">
        <v>1876</v>
      </c>
      <c r="B675" t="s">
        <v>349</v>
      </c>
      <c r="C675" t="s">
        <v>144</v>
      </c>
      <c r="D675">
        <v>14450</v>
      </c>
      <c r="E675">
        <v>15174</v>
      </c>
      <c r="F675">
        <v>15941</v>
      </c>
      <c r="G675">
        <v>16621</v>
      </c>
    </row>
    <row r="676" spans="1:7">
      <c r="A676" t="s">
        <v>1876</v>
      </c>
      <c r="B676" t="s">
        <v>349</v>
      </c>
      <c r="C676" t="s">
        <v>1895</v>
      </c>
      <c r="D676">
        <v>54</v>
      </c>
      <c r="E676">
        <v>53.1</v>
      </c>
      <c r="F676">
        <v>47.4</v>
      </c>
      <c r="G676">
        <v>53.2</v>
      </c>
    </row>
    <row r="677" spans="1:7">
      <c r="A677" t="s">
        <v>1876</v>
      </c>
      <c r="B677" t="s">
        <v>349</v>
      </c>
      <c r="C677" t="s">
        <v>145</v>
      </c>
      <c r="D677">
        <v>72939</v>
      </c>
      <c r="E677">
        <v>79216</v>
      </c>
      <c r="F677">
        <v>75713</v>
      </c>
      <c r="G677">
        <v>78846</v>
      </c>
    </row>
    <row r="678" spans="1:7">
      <c r="A678" t="s">
        <v>1876</v>
      </c>
      <c r="B678" t="s">
        <v>349</v>
      </c>
      <c r="C678" t="s">
        <v>146</v>
      </c>
      <c r="D678">
        <v>0</v>
      </c>
      <c r="E678">
        <v>0</v>
      </c>
      <c r="F678">
        <v>0</v>
      </c>
      <c r="G678">
        <v>0</v>
      </c>
    </row>
    <row r="679" spans="1:7">
      <c r="A679" t="s">
        <v>1876</v>
      </c>
      <c r="B679" t="s">
        <v>349</v>
      </c>
      <c r="C679" t="s">
        <v>147</v>
      </c>
      <c r="D679">
        <v>0</v>
      </c>
      <c r="E679">
        <v>0</v>
      </c>
      <c r="F679">
        <v>0</v>
      </c>
      <c r="G679">
        <v>0</v>
      </c>
    </row>
    <row r="680" spans="1:7">
      <c r="A680" t="s">
        <v>1876</v>
      </c>
      <c r="B680" t="s">
        <v>349</v>
      </c>
      <c r="C680" t="s">
        <v>1896</v>
      </c>
      <c r="D680">
        <v>0.6</v>
      </c>
      <c r="E680">
        <v>0.4</v>
      </c>
      <c r="F680">
        <v>0.5</v>
      </c>
      <c r="G680">
        <v>0.2</v>
      </c>
    </row>
    <row r="681" spans="1:7">
      <c r="A681" t="s">
        <v>1876</v>
      </c>
      <c r="B681" t="s">
        <v>349</v>
      </c>
      <c r="C681" t="s">
        <v>1702</v>
      </c>
      <c r="D681">
        <v>12</v>
      </c>
      <c r="E681">
        <v>22</v>
      </c>
      <c r="F681">
        <v>22</v>
      </c>
      <c r="G681">
        <v>28</v>
      </c>
    </row>
    <row r="682" spans="1:7">
      <c r="A682" t="s">
        <v>1876</v>
      </c>
      <c r="B682" t="s">
        <v>349</v>
      </c>
      <c r="C682" t="s">
        <v>1897</v>
      </c>
      <c r="D682">
        <v>2.2999999999999998</v>
      </c>
      <c r="E682">
        <v>4.3</v>
      </c>
      <c r="F682">
        <v>6.8</v>
      </c>
      <c r="G682">
        <v>9.1999999999999993</v>
      </c>
    </row>
    <row r="683" spans="1:7">
      <c r="A683" t="s">
        <v>1876</v>
      </c>
      <c r="B683" t="s">
        <v>349</v>
      </c>
      <c r="C683" t="s">
        <v>1898</v>
      </c>
      <c r="D683">
        <v>3</v>
      </c>
      <c r="E683">
        <v>6</v>
      </c>
      <c r="F683">
        <v>17</v>
      </c>
      <c r="G683">
        <v>26</v>
      </c>
    </row>
    <row r="684" spans="1:7">
      <c r="A684" t="s">
        <v>1876</v>
      </c>
      <c r="B684" t="s">
        <v>349</v>
      </c>
      <c r="C684" t="s">
        <v>1899</v>
      </c>
      <c r="D684">
        <v>1344</v>
      </c>
      <c r="E684">
        <v>1276</v>
      </c>
      <c r="F684">
        <v>1855</v>
      </c>
      <c r="G684">
        <v>1965</v>
      </c>
    </row>
    <row r="685" spans="1:7">
      <c r="A685" t="s">
        <v>1876</v>
      </c>
      <c r="B685" t="s">
        <v>349</v>
      </c>
      <c r="C685" t="s">
        <v>148</v>
      </c>
      <c r="D685">
        <v>0</v>
      </c>
      <c r="E685">
        <v>0</v>
      </c>
      <c r="F685">
        <v>0</v>
      </c>
      <c r="G685">
        <v>0</v>
      </c>
    </row>
    <row r="686" spans="1:7">
      <c r="A686" t="s">
        <v>1876</v>
      </c>
      <c r="B686" t="s">
        <v>349</v>
      </c>
      <c r="C686" t="s">
        <v>149</v>
      </c>
      <c r="D686">
        <v>0</v>
      </c>
      <c r="E686">
        <v>0</v>
      </c>
      <c r="F686">
        <v>0</v>
      </c>
      <c r="G686">
        <v>0</v>
      </c>
    </row>
    <row r="687" spans="1:7">
      <c r="A687" t="s">
        <v>1876</v>
      </c>
      <c r="B687" t="s">
        <v>349</v>
      </c>
      <c r="C687" t="s">
        <v>150</v>
      </c>
      <c r="D687">
        <v>0</v>
      </c>
      <c r="E687">
        <v>0</v>
      </c>
      <c r="F687">
        <v>0</v>
      </c>
      <c r="G687">
        <v>0</v>
      </c>
    </row>
    <row r="688" spans="1:7">
      <c r="A688" t="s">
        <v>1876</v>
      </c>
      <c r="B688" t="s">
        <v>349</v>
      </c>
      <c r="C688" t="s">
        <v>1900</v>
      </c>
      <c r="D688">
        <v>47.7</v>
      </c>
      <c r="E688">
        <v>45.6</v>
      </c>
      <c r="F688">
        <v>40.700000000000003</v>
      </c>
      <c r="G688">
        <v>37.700000000000003</v>
      </c>
    </row>
    <row r="689" spans="1:7">
      <c r="A689" t="s">
        <v>1876</v>
      </c>
      <c r="B689" t="s">
        <v>349</v>
      </c>
      <c r="C689" t="s">
        <v>151</v>
      </c>
      <c r="D689">
        <v>0</v>
      </c>
      <c r="E689">
        <v>0</v>
      </c>
      <c r="F689">
        <v>0</v>
      </c>
      <c r="G689">
        <v>0</v>
      </c>
    </row>
    <row r="690" spans="1:7">
      <c r="A690" t="s">
        <v>1876</v>
      </c>
      <c r="B690" t="s">
        <v>349</v>
      </c>
      <c r="C690" t="s">
        <v>152</v>
      </c>
      <c r="D690">
        <v>212676</v>
      </c>
      <c r="E690">
        <v>208530</v>
      </c>
      <c r="F690">
        <v>177105</v>
      </c>
      <c r="G690">
        <v>165267</v>
      </c>
    </row>
    <row r="691" spans="1:7">
      <c r="A691" t="s">
        <v>1876</v>
      </c>
      <c r="B691" t="s">
        <v>349</v>
      </c>
      <c r="C691" t="s">
        <v>1703</v>
      </c>
      <c r="D691">
        <v>5128</v>
      </c>
      <c r="E691">
        <v>5109</v>
      </c>
      <c r="F691">
        <v>4734</v>
      </c>
      <c r="G691">
        <v>4730</v>
      </c>
    </row>
    <row r="692" spans="1:7">
      <c r="A692" t="s">
        <v>1876</v>
      </c>
      <c r="B692" t="s">
        <v>349</v>
      </c>
      <c r="C692" t="s">
        <v>153</v>
      </c>
      <c r="D692">
        <v>3447</v>
      </c>
      <c r="E692">
        <v>3194</v>
      </c>
      <c r="F692">
        <v>3156</v>
      </c>
      <c r="G692">
        <v>2682</v>
      </c>
    </row>
    <row r="693" spans="1:7">
      <c r="A693" t="s">
        <v>1876</v>
      </c>
      <c r="B693" t="s">
        <v>349</v>
      </c>
      <c r="C693" t="s">
        <v>154</v>
      </c>
      <c r="D693">
        <v>0</v>
      </c>
      <c r="E693">
        <v>0</v>
      </c>
      <c r="F693">
        <v>0</v>
      </c>
      <c r="G693">
        <v>0</v>
      </c>
    </row>
    <row r="694" spans="1:7">
      <c r="A694" t="s">
        <v>1876</v>
      </c>
      <c r="B694" t="s">
        <v>349</v>
      </c>
      <c r="C694" t="s">
        <v>155</v>
      </c>
      <c r="D694">
        <v>3447</v>
      </c>
      <c r="E694">
        <v>3194</v>
      </c>
      <c r="F694">
        <v>3156</v>
      </c>
      <c r="G694">
        <v>2682</v>
      </c>
    </row>
    <row r="695" spans="1:7">
      <c r="A695" t="s">
        <v>1876</v>
      </c>
      <c r="B695" t="s">
        <v>349</v>
      </c>
      <c r="C695" t="s">
        <v>156</v>
      </c>
      <c r="D695">
        <v>0</v>
      </c>
      <c r="E695">
        <v>0</v>
      </c>
      <c r="F695">
        <v>0</v>
      </c>
      <c r="G695">
        <v>0</v>
      </c>
    </row>
    <row r="696" spans="1:7">
      <c r="A696" t="s">
        <v>1876</v>
      </c>
      <c r="B696" t="s">
        <v>349</v>
      </c>
      <c r="C696" t="s">
        <v>157</v>
      </c>
      <c r="D696">
        <v>216123</v>
      </c>
      <c r="E696">
        <v>211724</v>
      </c>
      <c r="F696">
        <v>180262</v>
      </c>
      <c r="G696">
        <v>167949</v>
      </c>
    </row>
    <row r="697" spans="1:7">
      <c r="A697" t="s">
        <v>1876</v>
      </c>
      <c r="B697" t="s">
        <v>349</v>
      </c>
      <c r="C697" t="s">
        <v>158</v>
      </c>
      <c r="D697">
        <v>3447</v>
      </c>
      <c r="E697">
        <v>3194</v>
      </c>
      <c r="F697">
        <v>3156</v>
      </c>
      <c r="G697">
        <v>2682</v>
      </c>
    </row>
    <row r="698" spans="1:7">
      <c r="A698" t="s">
        <v>1876</v>
      </c>
      <c r="B698" t="s">
        <v>349</v>
      </c>
      <c r="C698" t="s">
        <v>159</v>
      </c>
      <c r="D698">
        <v>0</v>
      </c>
      <c r="E698">
        <v>0</v>
      </c>
      <c r="F698">
        <v>0</v>
      </c>
      <c r="G698">
        <v>0</v>
      </c>
    </row>
    <row r="699" spans="1:7">
      <c r="A699" t="s">
        <v>1876</v>
      </c>
      <c r="B699" t="s">
        <v>349</v>
      </c>
      <c r="C699" t="s">
        <v>1901</v>
      </c>
      <c r="D699">
        <v>49.5</v>
      </c>
      <c r="E699">
        <v>62.3</v>
      </c>
      <c r="F699">
        <v>63.5</v>
      </c>
      <c r="G699">
        <v>58.2</v>
      </c>
    </row>
    <row r="700" spans="1:7">
      <c r="A700" t="s">
        <v>1876</v>
      </c>
      <c r="B700" t="s">
        <v>349</v>
      </c>
      <c r="C700" t="s">
        <v>1902</v>
      </c>
      <c r="D700">
        <v>96516</v>
      </c>
      <c r="E700">
        <v>97219</v>
      </c>
      <c r="F700">
        <v>96042</v>
      </c>
      <c r="G700">
        <v>94178</v>
      </c>
    </row>
    <row r="701" spans="1:7">
      <c r="A701" t="s">
        <v>1876</v>
      </c>
      <c r="B701" t="s">
        <v>349</v>
      </c>
      <c r="C701" t="s">
        <v>1903</v>
      </c>
      <c r="D701">
        <v>3109</v>
      </c>
      <c r="E701">
        <v>3167</v>
      </c>
      <c r="F701">
        <v>2808</v>
      </c>
      <c r="G701">
        <v>2675</v>
      </c>
    </row>
    <row r="702" spans="1:7">
      <c r="A702" t="s">
        <v>1876</v>
      </c>
      <c r="B702" t="s">
        <v>349</v>
      </c>
      <c r="C702" t="s">
        <v>1904</v>
      </c>
      <c r="D702">
        <v>549</v>
      </c>
      <c r="E702">
        <v>663</v>
      </c>
      <c r="F702">
        <v>464</v>
      </c>
      <c r="G702">
        <v>542</v>
      </c>
    </row>
    <row r="703" spans="1:7">
      <c r="A703" t="s">
        <v>1876</v>
      </c>
      <c r="B703" t="s">
        <v>349</v>
      </c>
      <c r="C703" t="s">
        <v>1905</v>
      </c>
      <c r="D703">
        <v>19661</v>
      </c>
      <c r="E703">
        <v>19875</v>
      </c>
      <c r="F703">
        <v>19398</v>
      </c>
      <c r="G703">
        <v>18824</v>
      </c>
    </row>
    <row r="704" spans="1:7">
      <c r="A704" t="s">
        <v>1876</v>
      </c>
      <c r="B704" t="s">
        <v>349</v>
      </c>
      <c r="C704" t="s">
        <v>1906</v>
      </c>
      <c r="D704">
        <v>39</v>
      </c>
      <c r="E704">
        <v>40</v>
      </c>
      <c r="F704">
        <v>36</v>
      </c>
      <c r="G704">
        <v>33</v>
      </c>
    </row>
    <row r="705" spans="1:7">
      <c r="A705" t="s">
        <v>1876</v>
      </c>
      <c r="B705" t="s">
        <v>349</v>
      </c>
      <c r="C705" t="s">
        <v>1907</v>
      </c>
      <c r="D705">
        <v>119874</v>
      </c>
      <c r="E705">
        <v>120963</v>
      </c>
      <c r="F705">
        <v>118748</v>
      </c>
      <c r="G705">
        <v>116253</v>
      </c>
    </row>
    <row r="706" spans="1:7">
      <c r="A706" t="s">
        <v>1876</v>
      </c>
      <c r="B706" t="s">
        <v>349</v>
      </c>
      <c r="C706" t="s">
        <v>160</v>
      </c>
      <c r="D706">
        <v>95172</v>
      </c>
      <c r="E706">
        <v>95943</v>
      </c>
      <c r="F706">
        <v>94187</v>
      </c>
      <c r="G706">
        <v>92214</v>
      </c>
    </row>
    <row r="707" spans="1:7">
      <c r="A707" t="s">
        <v>1876</v>
      </c>
      <c r="B707" t="s">
        <v>349</v>
      </c>
      <c r="C707" t="s">
        <v>161</v>
      </c>
      <c r="D707">
        <v>3109</v>
      </c>
      <c r="E707">
        <v>3167</v>
      </c>
      <c r="F707">
        <v>2808</v>
      </c>
      <c r="G707">
        <v>2675</v>
      </c>
    </row>
    <row r="708" spans="1:7">
      <c r="A708" t="s">
        <v>1876</v>
      </c>
      <c r="B708" t="s">
        <v>349</v>
      </c>
      <c r="C708" t="s">
        <v>162</v>
      </c>
      <c r="D708">
        <v>549</v>
      </c>
      <c r="E708">
        <v>663</v>
      </c>
      <c r="F708">
        <v>464</v>
      </c>
      <c r="G708">
        <v>542</v>
      </c>
    </row>
    <row r="709" spans="1:7">
      <c r="A709" t="s">
        <v>1876</v>
      </c>
      <c r="B709" t="s">
        <v>349</v>
      </c>
      <c r="C709" t="s">
        <v>163</v>
      </c>
      <c r="D709">
        <v>19661</v>
      </c>
      <c r="E709">
        <v>19875</v>
      </c>
      <c r="F709">
        <v>19398</v>
      </c>
      <c r="G709">
        <v>18824</v>
      </c>
    </row>
    <row r="710" spans="1:7">
      <c r="A710" t="s">
        <v>1876</v>
      </c>
      <c r="B710" t="s">
        <v>349</v>
      </c>
      <c r="C710" t="s">
        <v>164</v>
      </c>
      <c r="D710">
        <v>39</v>
      </c>
      <c r="E710">
        <v>40</v>
      </c>
      <c r="F710">
        <v>36</v>
      </c>
      <c r="G710">
        <v>33</v>
      </c>
    </row>
    <row r="711" spans="1:7">
      <c r="A711" t="s">
        <v>1876</v>
      </c>
      <c r="B711" t="s">
        <v>349</v>
      </c>
      <c r="C711" t="s">
        <v>165</v>
      </c>
      <c r="D711">
        <v>118530</v>
      </c>
      <c r="E711">
        <v>119687</v>
      </c>
      <c r="F711">
        <v>116893</v>
      </c>
      <c r="G711">
        <v>114288</v>
      </c>
    </row>
    <row r="712" spans="1:7">
      <c r="A712" t="s">
        <v>1876</v>
      </c>
      <c r="B712" t="s">
        <v>349</v>
      </c>
      <c r="C712" t="s">
        <v>166</v>
      </c>
      <c r="D712">
        <v>117981</v>
      </c>
      <c r="E712">
        <v>119025</v>
      </c>
      <c r="F712">
        <v>116429</v>
      </c>
      <c r="G712">
        <v>113746</v>
      </c>
    </row>
    <row r="713" spans="1:7">
      <c r="A713" t="s">
        <v>1876</v>
      </c>
      <c r="B713" t="s">
        <v>349</v>
      </c>
      <c r="C713" t="s">
        <v>167</v>
      </c>
      <c r="D713">
        <v>549</v>
      </c>
      <c r="E713">
        <v>663</v>
      </c>
      <c r="F713">
        <v>464</v>
      </c>
      <c r="G713">
        <v>542</v>
      </c>
    </row>
    <row r="714" spans="1:7">
      <c r="A714" t="s">
        <v>1876</v>
      </c>
      <c r="B714" t="s">
        <v>349</v>
      </c>
      <c r="C714" t="s">
        <v>1908</v>
      </c>
      <c r="D714">
        <v>94177</v>
      </c>
      <c r="E714">
        <v>95042</v>
      </c>
      <c r="F714">
        <v>93094</v>
      </c>
      <c r="G714">
        <v>91152</v>
      </c>
    </row>
    <row r="715" spans="1:7">
      <c r="A715" t="s">
        <v>1876</v>
      </c>
      <c r="B715" t="s">
        <v>349</v>
      </c>
      <c r="C715" t="s">
        <v>1909</v>
      </c>
      <c r="D715">
        <v>3109</v>
      </c>
      <c r="E715">
        <v>3167</v>
      </c>
      <c r="F715">
        <v>2808</v>
      </c>
      <c r="G715">
        <v>2675</v>
      </c>
    </row>
    <row r="716" spans="1:7">
      <c r="A716" t="s">
        <v>1876</v>
      </c>
      <c r="B716" t="s">
        <v>349</v>
      </c>
      <c r="C716" t="s">
        <v>1910</v>
      </c>
      <c r="D716">
        <v>549</v>
      </c>
      <c r="E716">
        <v>663</v>
      </c>
      <c r="F716">
        <v>464</v>
      </c>
      <c r="G716">
        <v>542</v>
      </c>
    </row>
    <row r="717" spans="1:7">
      <c r="A717" t="s">
        <v>1876</v>
      </c>
      <c r="B717" t="s">
        <v>349</v>
      </c>
      <c r="C717" t="s">
        <v>1911</v>
      </c>
      <c r="D717">
        <v>19661</v>
      </c>
      <c r="E717">
        <v>19875</v>
      </c>
      <c r="F717">
        <v>19398</v>
      </c>
      <c r="G717">
        <v>18824</v>
      </c>
    </row>
    <row r="718" spans="1:7">
      <c r="A718" t="s">
        <v>1876</v>
      </c>
      <c r="B718" t="s">
        <v>349</v>
      </c>
      <c r="C718" t="s">
        <v>1912</v>
      </c>
      <c r="D718">
        <v>39</v>
      </c>
      <c r="E718">
        <v>40</v>
      </c>
      <c r="F718">
        <v>36</v>
      </c>
      <c r="G718">
        <v>33</v>
      </c>
    </row>
    <row r="719" spans="1:7">
      <c r="A719" t="s">
        <v>1876</v>
      </c>
      <c r="B719" t="s">
        <v>349</v>
      </c>
      <c r="C719" t="s">
        <v>168</v>
      </c>
      <c r="D719">
        <v>117535</v>
      </c>
      <c r="E719">
        <v>118787</v>
      </c>
      <c r="F719">
        <v>115800</v>
      </c>
      <c r="G719">
        <v>113227</v>
      </c>
    </row>
    <row r="720" spans="1:7">
      <c r="A720" t="s">
        <v>1876</v>
      </c>
      <c r="B720" t="s">
        <v>349</v>
      </c>
      <c r="C720" t="s">
        <v>169</v>
      </c>
      <c r="D720">
        <v>0</v>
      </c>
      <c r="E720">
        <v>0</v>
      </c>
      <c r="F720">
        <v>0</v>
      </c>
      <c r="G720">
        <v>0</v>
      </c>
    </row>
    <row r="721" spans="1:7">
      <c r="A721" t="s">
        <v>1876</v>
      </c>
      <c r="B721" t="s">
        <v>349</v>
      </c>
      <c r="C721" t="s">
        <v>1704</v>
      </c>
      <c r="D721">
        <v>14832</v>
      </c>
      <c r="E721">
        <v>14954</v>
      </c>
      <c r="F721">
        <v>15062</v>
      </c>
      <c r="G721">
        <v>15907</v>
      </c>
    </row>
    <row r="722" spans="1:7">
      <c r="A722" t="s">
        <v>1876</v>
      </c>
      <c r="B722" t="s">
        <v>349</v>
      </c>
      <c r="C722" t="s">
        <v>170</v>
      </c>
      <c r="D722">
        <v>0</v>
      </c>
      <c r="E722">
        <v>0</v>
      </c>
      <c r="F722">
        <v>0</v>
      </c>
      <c r="G722">
        <v>0</v>
      </c>
    </row>
    <row r="723" spans="1:7">
      <c r="A723" t="s">
        <v>1876</v>
      </c>
      <c r="B723" t="s">
        <v>349</v>
      </c>
      <c r="C723" t="s">
        <v>171</v>
      </c>
      <c r="D723">
        <v>-78820</v>
      </c>
      <c r="E723">
        <v>-120078</v>
      </c>
      <c r="F723">
        <v>-101166</v>
      </c>
      <c r="G723">
        <v>-73924</v>
      </c>
    </row>
    <row r="724" spans="1:7">
      <c r="A724" t="s">
        <v>1876</v>
      </c>
      <c r="B724" t="s">
        <v>349</v>
      </c>
      <c r="C724" t="s">
        <v>172</v>
      </c>
      <c r="D724">
        <v>0</v>
      </c>
      <c r="E724">
        <v>0</v>
      </c>
      <c r="F724">
        <v>0</v>
      </c>
      <c r="G724">
        <v>0</v>
      </c>
    </row>
    <row r="725" spans="1:7">
      <c r="A725" t="s">
        <v>1876</v>
      </c>
      <c r="B725" t="s">
        <v>349</v>
      </c>
      <c r="C725" t="s">
        <v>1913</v>
      </c>
      <c r="D725">
        <v>4.0999999999999996</v>
      </c>
      <c r="E725">
        <v>6.6</v>
      </c>
      <c r="F725">
        <v>9.6</v>
      </c>
      <c r="G725">
        <v>12.8</v>
      </c>
    </row>
    <row r="726" spans="1:7">
      <c r="A726" t="s">
        <v>1876</v>
      </c>
      <c r="B726" t="s">
        <v>349</v>
      </c>
      <c r="C726" t="s">
        <v>1914</v>
      </c>
      <c r="D726">
        <v>0.2</v>
      </c>
      <c r="E726">
        <v>0.3</v>
      </c>
      <c r="F726">
        <v>0.4</v>
      </c>
      <c r="G726">
        <v>0.5</v>
      </c>
    </row>
    <row r="727" spans="1:7">
      <c r="A727" t="s">
        <v>1876</v>
      </c>
      <c r="B727" t="s">
        <v>349</v>
      </c>
      <c r="C727" t="s">
        <v>173</v>
      </c>
      <c r="D727">
        <v>11596</v>
      </c>
      <c r="E727">
        <v>12388</v>
      </c>
      <c r="F727">
        <v>12407</v>
      </c>
      <c r="G727">
        <v>13135</v>
      </c>
    </row>
    <row r="728" spans="1:7">
      <c r="A728" t="s">
        <v>1876</v>
      </c>
      <c r="B728" t="s">
        <v>349</v>
      </c>
      <c r="C728" t="s">
        <v>174</v>
      </c>
      <c r="D728">
        <v>185</v>
      </c>
      <c r="E728">
        <v>234</v>
      </c>
      <c r="F728">
        <v>207</v>
      </c>
      <c r="G728">
        <v>200</v>
      </c>
    </row>
    <row r="729" spans="1:7">
      <c r="A729" t="s">
        <v>1876</v>
      </c>
      <c r="B729" t="s">
        <v>349</v>
      </c>
      <c r="C729" t="s">
        <v>175</v>
      </c>
      <c r="D729">
        <v>247</v>
      </c>
      <c r="E729">
        <v>291</v>
      </c>
      <c r="F729">
        <v>271</v>
      </c>
      <c r="G729">
        <v>171</v>
      </c>
    </row>
    <row r="730" spans="1:7">
      <c r="A730" t="s">
        <v>1876</v>
      </c>
      <c r="B730" t="s">
        <v>349</v>
      </c>
      <c r="C730" t="s">
        <v>176</v>
      </c>
      <c r="D730">
        <v>0</v>
      </c>
      <c r="E730">
        <v>0</v>
      </c>
      <c r="F730">
        <v>0</v>
      </c>
      <c r="G730">
        <v>0</v>
      </c>
    </row>
    <row r="731" spans="1:7">
      <c r="A731" t="s">
        <v>1876</v>
      </c>
      <c r="B731" t="s">
        <v>349</v>
      </c>
      <c r="C731" t="s">
        <v>177</v>
      </c>
      <c r="D731">
        <v>12028</v>
      </c>
      <c r="E731">
        <v>12913</v>
      </c>
      <c r="F731">
        <v>12885</v>
      </c>
      <c r="G731">
        <v>13506</v>
      </c>
    </row>
    <row r="732" spans="1:7">
      <c r="A732" t="s">
        <v>1876</v>
      </c>
      <c r="B732" t="s">
        <v>349</v>
      </c>
      <c r="C732" t="s">
        <v>178</v>
      </c>
      <c r="D732">
        <v>0</v>
      </c>
      <c r="E732">
        <v>0</v>
      </c>
      <c r="F732">
        <v>0</v>
      </c>
      <c r="G732">
        <v>0</v>
      </c>
    </row>
    <row r="733" spans="1:7">
      <c r="A733" t="s">
        <v>1876</v>
      </c>
      <c r="B733" t="s">
        <v>349</v>
      </c>
      <c r="C733" t="s">
        <v>179</v>
      </c>
      <c r="D733">
        <v>0</v>
      </c>
      <c r="E733">
        <v>0</v>
      </c>
      <c r="F733">
        <v>0</v>
      </c>
      <c r="G733">
        <v>0</v>
      </c>
    </row>
    <row r="734" spans="1:7">
      <c r="A734" t="s">
        <v>1876</v>
      </c>
      <c r="B734" t="s">
        <v>349</v>
      </c>
      <c r="C734" t="s">
        <v>180</v>
      </c>
      <c r="D734">
        <v>1</v>
      </c>
      <c r="E734">
        <v>1</v>
      </c>
      <c r="F734">
        <v>1</v>
      </c>
      <c r="G734">
        <v>1</v>
      </c>
    </row>
    <row r="735" spans="1:7">
      <c r="A735" t="s">
        <v>1876</v>
      </c>
      <c r="B735" t="s">
        <v>349</v>
      </c>
      <c r="C735" t="s">
        <v>181</v>
      </c>
      <c r="D735">
        <v>39296</v>
      </c>
      <c r="E735">
        <v>40216</v>
      </c>
      <c r="F735">
        <v>39900</v>
      </c>
      <c r="G735">
        <v>40224</v>
      </c>
    </row>
    <row r="736" spans="1:7">
      <c r="A736" t="s">
        <v>1876</v>
      </c>
      <c r="B736" t="s">
        <v>349</v>
      </c>
      <c r="C736" t="s">
        <v>182</v>
      </c>
      <c r="D736">
        <v>62194</v>
      </c>
      <c r="E736">
        <v>61280</v>
      </c>
      <c r="F736">
        <v>63398</v>
      </c>
      <c r="G736">
        <v>66622</v>
      </c>
    </row>
    <row r="737" spans="1:7">
      <c r="A737" t="s">
        <v>1876</v>
      </c>
      <c r="B737" t="s">
        <v>349</v>
      </c>
      <c r="C737" t="s">
        <v>183</v>
      </c>
      <c r="D737">
        <v>64548</v>
      </c>
      <c r="E737">
        <v>65683</v>
      </c>
      <c r="F737">
        <v>62692</v>
      </c>
      <c r="G737">
        <v>63397</v>
      </c>
    </row>
    <row r="738" spans="1:7">
      <c r="A738" t="s">
        <v>1876</v>
      </c>
      <c r="B738" t="s">
        <v>349</v>
      </c>
      <c r="C738" t="s">
        <v>184</v>
      </c>
      <c r="D738">
        <v>166039</v>
      </c>
      <c r="E738">
        <v>167180</v>
      </c>
      <c r="F738">
        <v>165991</v>
      </c>
      <c r="G738">
        <v>170245</v>
      </c>
    </row>
    <row r="739" spans="1:7">
      <c r="A739" t="s">
        <v>1876</v>
      </c>
      <c r="B739" t="s">
        <v>349</v>
      </c>
      <c r="C739" t="s">
        <v>185</v>
      </c>
      <c r="D739">
        <v>166039</v>
      </c>
      <c r="E739">
        <v>167180</v>
      </c>
      <c r="F739">
        <v>165991</v>
      </c>
      <c r="G739">
        <v>170245</v>
      </c>
    </row>
    <row r="740" spans="1:7">
      <c r="A740" t="s">
        <v>1876</v>
      </c>
      <c r="B740" t="s">
        <v>349</v>
      </c>
      <c r="C740" t="s">
        <v>1915</v>
      </c>
      <c r="D740">
        <v>5</v>
      </c>
      <c r="E740">
        <v>9</v>
      </c>
      <c r="F740">
        <v>24</v>
      </c>
      <c r="G740">
        <v>35</v>
      </c>
    </row>
    <row r="741" spans="1:7">
      <c r="A741" t="s">
        <v>1876</v>
      </c>
      <c r="B741" t="s">
        <v>349</v>
      </c>
      <c r="C741" t="s">
        <v>1916</v>
      </c>
      <c r="D741">
        <v>0</v>
      </c>
      <c r="E741">
        <v>0</v>
      </c>
      <c r="F741">
        <v>0</v>
      </c>
      <c r="G741">
        <v>0</v>
      </c>
    </row>
    <row r="742" spans="1:7">
      <c r="A742" t="s">
        <v>1876</v>
      </c>
      <c r="B742" t="s">
        <v>349</v>
      </c>
      <c r="C742" t="s">
        <v>1917</v>
      </c>
      <c r="D742">
        <v>3</v>
      </c>
      <c r="E742">
        <v>3</v>
      </c>
      <c r="F742">
        <v>3</v>
      </c>
      <c r="G742">
        <v>3</v>
      </c>
    </row>
    <row r="743" spans="1:7">
      <c r="A743" t="s">
        <v>1876</v>
      </c>
      <c r="B743" t="s">
        <v>349</v>
      </c>
      <c r="C743" t="s">
        <v>1918</v>
      </c>
      <c r="D743">
        <v>413</v>
      </c>
      <c r="E743">
        <v>583</v>
      </c>
      <c r="F743">
        <v>791</v>
      </c>
      <c r="G743">
        <v>834</v>
      </c>
    </row>
    <row r="744" spans="1:7">
      <c r="A744" t="s">
        <v>1876</v>
      </c>
      <c r="B744" t="s">
        <v>349</v>
      </c>
      <c r="C744" t="s">
        <v>1919</v>
      </c>
      <c r="D744">
        <v>2.97</v>
      </c>
      <c r="E744">
        <v>2.67</v>
      </c>
      <c r="F744">
        <v>2.4900000000000002</v>
      </c>
      <c r="G744">
        <v>2.5099999999999998</v>
      </c>
    </row>
    <row r="745" spans="1:7">
      <c r="A745" t="s">
        <v>1876</v>
      </c>
      <c r="B745" t="s">
        <v>349</v>
      </c>
      <c r="C745" t="s">
        <v>1920</v>
      </c>
      <c r="D745">
        <v>482</v>
      </c>
      <c r="E745">
        <v>668</v>
      </c>
      <c r="F745">
        <v>920</v>
      </c>
      <c r="G745">
        <v>1026</v>
      </c>
    </row>
    <row r="746" spans="1:7">
      <c r="A746" t="s">
        <v>1876</v>
      </c>
      <c r="B746" t="s">
        <v>349</v>
      </c>
      <c r="C746" t="s">
        <v>1921</v>
      </c>
      <c r="D746">
        <v>153</v>
      </c>
      <c r="E746">
        <v>239</v>
      </c>
      <c r="F746">
        <v>357</v>
      </c>
      <c r="G746">
        <v>380</v>
      </c>
    </row>
    <row r="747" spans="1:7">
      <c r="A747" t="s">
        <v>1876</v>
      </c>
      <c r="B747" t="s">
        <v>349</v>
      </c>
      <c r="C747" t="s">
        <v>1922</v>
      </c>
      <c r="D747">
        <v>66</v>
      </c>
      <c r="E747">
        <v>82</v>
      </c>
      <c r="F747">
        <v>126</v>
      </c>
      <c r="G747">
        <v>189</v>
      </c>
    </row>
    <row r="748" spans="1:7">
      <c r="A748" t="s">
        <v>1876</v>
      </c>
      <c r="B748" t="s">
        <v>349</v>
      </c>
      <c r="C748" t="s">
        <v>1923</v>
      </c>
      <c r="D748">
        <v>5.5</v>
      </c>
      <c r="E748">
        <v>4.32</v>
      </c>
      <c r="F748">
        <v>3.32</v>
      </c>
      <c r="G748">
        <v>3.63</v>
      </c>
    </row>
    <row r="749" spans="1:7">
      <c r="A749" t="s">
        <v>1876</v>
      </c>
      <c r="B749" t="s">
        <v>349</v>
      </c>
      <c r="C749" t="s">
        <v>1924</v>
      </c>
      <c r="D749">
        <v>24</v>
      </c>
      <c r="E749">
        <v>2</v>
      </c>
      <c r="F749">
        <v>5</v>
      </c>
      <c r="G749">
        <v>5</v>
      </c>
    </row>
    <row r="750" spans="1:7">
      <c r="A750" t="s">
        <v>1876</v>
      </c>
      <c r="B750" t="s">
        <v>349</v>
      </c>
      <c r="C750" t="s">
        <v>1925</v>
      </c>
      <c r="D750">
        <v>43</v>
      </c>
      <c r="E750">
        <v>56</v>
      </c>
      <c r="F750">
        <v>81</v>
      </c>
      <c r="G750">
        <v>84</v>
      </c>
    </row>
    <row r="751" spans="1:7">
      <c r="A751" t="s">
        <v>1876</v>
      </c>
      <c r="B751" t="s">
        <v>349</v>
      </c>
      <c r="C751" t="s">
        <v>1926</v>
      </c>
      <c r="D751">
        <v>86</v>
      </c>
      <c r="E751">
        <v>181</v>
      </c>
      <c r="F751">
        <v>271</v>
      </c>
      <c r="G751">
        <v>291</v>
      </c>
    </row>
    <row r="752" spans="1:7">
      <c r="A752" t="s">
        <v>1876</v>
      </c>
      <c r="B752" t="s">
        <v>349</v>
      </c>
      <c r="C752" t="s">
        <v>1927</v>
      </c>
      <c r="D752">
        <v>17</v>
      </c>
      <c r="E752">
        <v>11</v>
      </c>
      <c r="F752">
        <v>11</v>
      </c>
      <c r="G752">
        <v>11</v>
      </c>
    </row>
    <row r="753" spans="1:7">
      <c r="A753" t="s">
        <v>1876</v>
      </c>
      <c r="B753" t="s">
        <v>349</v>
      </c>
      <c r="C753" t="s">
        <v>1928</v>
      </c>
      <c r="D753">
        <v>131</v>
      </c>
      <c r="E753">
        <v>217</v>
      </c>
      <c r="F753">
        <v>332</v>
      </c>
      <c r="G753">
        <v>354</v>
      </c>
    </row>
    <row r="754" spans="1:7">
      <c r="A754" t="s">
        <v>1876</v>
      </c>
      <c r="B754" t="s">
        <v>349</v>
      </c>
      <c r="C754" t="s">
        <v>1929</v>
      </c>
      <c r="D754">
        <v>5</v>
      </c>
      <c r="E754">
        <v>11</v>
      </c>
      <c r="F754">
        <v>14</v>
      </c>
      <c r="G754">
        <v>15</v>
      </c>
    </row>
    <row r="755" spans="1:7">
      <c r="A755" t="s">
        <v>1876</v>
      </c>
      <c r="B755" t="s">
        <v>349</v>
      </c>
      <c r="C755" t="s">
        <v>186</v>
      </c>
      <c r="D755">
        <v>0</v>
      </c>
      <c r="E755">
        <v>0</v>
      </c>
      <c r="F755">
        <v>0</v>
      </c>
      <c r="G755">
        <v>0</v>
      </c>
    </row>
    <row r="756" spans="1:7">
      <c r="A756" t="s">
        <v>1876</v>
      </c>
      <c r="B756" t="s">
        <v>349</v>
      </c>
      <c r="C756" t="s">
        <v>187</v>
      </c>
      <c r="D756">
        <v>0</v>
      </c>
      <c r="E756">
        <v>0</v>
      </c>
      <c r="F756">
        <v>0</v>
      </c>
      <c r="G756">
        <v>0</v>
      </c>
    </row>
    <row r="757" spans="1:7">
      <c r="A757" t="s">
        <v>1876</v>
      </c>
      <c r="B757" t="s">
        <v>349</v>
      </c>
      <c r="C757" t="s">
        <v>1705</v>
      </c>
      <c r="D757">
        <v>11256</v>
      </c>
      <c r="E757">
        <v>11258</v>
      </c>
      <c r="F757">
        <v>10875</v>
      </c>
      <c r="G757">
        <v>10753</v>
      </c>
    </row>
    <row r="758" spans="1:7">
      <c r="A758" t="s">
        <v>1876</v>
      </c>
      <c r="B758" t="s">
        <v>349</v>
      </c>
      <c r="C758" t="s">
        <v>188</v>
      </c>
      <c r="D758">
        <v>904764</v>
      </c>
      <c r="E758">
        <v>937522</v>
      </c>
      <c r="F758">
        <v>907135</v>
      </c>
      <c r="G758">
        <v>879174</v>
      </c>
    </row>
    <row r="759" spans="1:7">
      <c r="A759" t="s">
        <v>1876</v>
      </c>
      <c r="B759" t="s">
        <v>349</v>
      </c>
      <c r="C759" t="s">
        <v>189</v>
      </c>
      <c r="D759">
        <v>0</v>
      </c>
      <c r="E759">
        <v>0</v>
      </c>
      <c r="F759">
        <v>0</v>
      </c>
      <c r="G759">
        <v>0</v>
      </c>
    </row>
    <row r="760" spans="1:7">
      <c r="A760" t="s">
        <v>1876</v>
      </c>
      <c r="B760" t="s">
        <v>349</v>
      </c>
      <c r="C760" t="s">
        <v>190</v>
      </c>
      <c r="D760">
        <v>0</v>
      </c>
      <c r="E760">
        <v>0</v>
      </c>
      <c r="F760">
        <v>0</v>
      </c>
      <c r="G760">
        <v>0</v>
      </c>
    </row>
    <row r="761" spans="1:7">
      <c r="A761" t="s">
        <v>1876</v>
      </c>
      <c r="B761" t="s">
        <v>349</v>
      </c>
      <c r="C761" t="s">
        <v>191</v>
      </c>
      <c r="D761">
        <v>0</v>
      </c>
      <c r="E761">
        <v>0</v>
      </c>
      <c r="F761">
        <v>0</v>
      </c>
      <c r="G761">
        <v>0</v>
      </c>
    </row>
    <row r="762" spans="1:7">
      <c r="A762" t="s">
        <v>1876</v>
      </c>
      <c r="B762" t="s">
        <v>349</v>
      </c>
      <c r="C762" t="s">
        <v>192</v>
      </c>
      <c r="D762">
        <v>154261.79999999999</v>
      </c>
      <c r="E762">
        <v>167863.5</v>
      </c>
      <c r="F762">
        <v>178114.8</v>
      </c>
      <c r="G762">
        <v>188339.6</v>
      </c>
    </row>
    <row r="763" spans="1:7">
      <c r="A763" t="s">
        <v>1876</v>
      </c>
      <c r="B763" t="s">
        <v>349</v>
      </c>
      <c r="C763" t="s">
        <v>193</v>
      </c>
      <c r="D763">
        <v>137634.79999999999</v>
      </c>
      <c r="E763">
        <v>138672</v>
      </c>
      <c r="F763">
        <v>141968</v>
      </c>
      <c r="G763">
        <v>147389.9</v>
      </c>
    </row>
    <row r="764" spans="1:7">
      <c r="A764" t="s">
        <v>1876</v>
      </c>
      <c r="B764" t="s">
        <v>349</v>
      </c>
      <c r="C764" t="s">
        <v>1930</v>
      </c>
      <c r="D764">
        <v>0</v>
      </c>
      <c r="E764">
        <v>0</v>
      </c>
      <c r="F764">
        <v>0</v>
      </c>
      <c r="G764">
        <v>0</v>
      </c>
    </row>
    <row r="765" spans="1:7">
      <c r="A765" t="s">
        <v>1876</v>
      </c>
      <c r="B765" t="s">
        <v>349</v>
      </c>
      <c r="C765" t="s">
        <v>194</v>
      </c>
      <c r="D765">
        <v>0</v>
      </c>
      <c r="E765">
        <v>0</v>
      </c>
      <c r="F765">
        <v>0</v>
      </c>
      <c r="G765">
        <v>0</v>
      </c>
    </row>
    <row r="766" spans="1:7">
      <c r="A766" t="s">
        <v>1876</v>
      </c>
      <c r="B766" t="s">
        <v>349</v>
      </c>
      <c r="C766" t="s">
        <v>195</v>
      </c>
      <c r="D766">
        <v>0</v>
      </c>
      <c r="E766">
        <v>0</v>
      </c>
      <c r="F766">
        <v>0</v>
      </c>
      <c r="G766">
        <v>0</v>
      </c>
    </row>
    <row r="767" spans="1:7">
      <c r="A767" t="s">
        <v>1876</v>
      </c>
      <c r="B767" t="s">
        <v>349</v>
      </c>
      <c r="C767" t="s">
        <v>1706</v>
      </c>
      <c r="D767">
        <v>0</v>
      </c>
      <c r="E767">
        <v>0</v>
      </c>
      <c r="F767">
        <v>0</v>
      </c>
      <c r="G767">
        <v>0</v>
      </c>
    </row>
    <row r="768" spans="1:7">
      <c r="A768" t="s">
        <v>1876</v>
      </c>
      <c r="B768" t="s">
        <v>349</v>
      </c>
      <c r="C768" t="s">
        <v>196</v>
      </c>
      <c r="D768">
        <v>12</v>
      </c>
      <c r="E768">
        <v>12</v>
      </c>
      <c r="F768">
        <v>12</v>
      </c>
      <c r="G768">
        <v>12</v>
      </c>
    </row>
    <row r="769" spans="1:7">
      <c r="A769" t="s">
        <v>1876</v>
      </c>
      <c r="B769" t="s">
        <v>349</v>
      </c>
      <c r="C769" t="s">
        <v>197</v>
      </c>
      <c r="D769">
        <v>797</v>
      </c>
      <c r="E769">
        <v>797</v>
      </c>
      <c r="F769">
        <v>797</v>
      </c>
      <c r="G769">
        <v>797</v>
      </c>
    </row>
    <row r="770" spans="1:7">
      <c r="A770" t="s">
        <v>1876</v>
      </c>
      <c r="B770" t="s">
        <v>349</v>
      </c>
      <c r="C770" t="s">
        <v>198</v>
      </c>
      <c r="D770">
        <v>808</v>
      </c>
      <c r="E770">
        <v>808</v>
      </c>
      <c r="F770">
        <v>808</v>
      </c>
      <c r="G770">
        <v>808</v>
      </c>
    </row>
    <row r="771" spans="1:7">
      <c r="A771" t="s">
        <v>1876</v>
      </c>
      <c r="B771" t="s">
        <v>349</v>
      </c>
      <c r="C771" t="s">
        <v>199</v>
      </c>
      <c r="D771">
        <v>808</v>
      </c>
      <c r="E771">
        <v>808</v>
      </c>
      <c r="F771">
        <v>808</v>
      </c>
      <c r="G771">
        <v>808</v>
      </c>
    </row>
    <row r="772" spans="1:7">
      <c r="A772" t="s">
        <v>1876</v>
      </c>
      <c r="B772" t="s">
        <v>349</v>
      </c>
      <c r="C772" t="s">
        <v>200</v>
      </c>
      <c r="D772">
        <v>32</v>
      </c>
      <c r="E772">
        <v>16</v>
      </c>
      <c r="F772">
        <v>15</v>
      </c>
      <c r="G772">
        <v>16</v>
      </c>
    </row>
    <row r="773" spans="1:7">
      <c r="A773" t="s">
        <v>1876</v>
      </c>
      <c r="B773" t="s">
        <v>349</v>
      </c>
      <c r="C773" t="s">
        <v>201</v>
      </c>
      <c r="D773">
        <v>1711</v>
      </c>
      <c r="E773">
        <v>1161</v>
      </c>
      <c r="F773">
        <v>1234</v>
      </c>
      <c r="G773">
        <v>1179</v>
      </c>
    </row>
    <row r="774" spans="1:7">
      <c r="A774" t="s">
        <v>1876</v>
      </c>
      <c r="B774" t="s">
        <v>349</v>
      </c>
      <c r="C774" t="s">
        <v>202</v>
      </c>
      <c r="D774">
        <v>2361</v>
      </c>
      <c r="E774">
        <v>2061</v>
      </c>
      <c r="F774">
        <v>2134</v>
      </c>
      <c r="G774">
        <v>1999</v>
      </c>
    </row>
    <row r="775" spans="1:7">
      <c r="A775" t="s">
        <v>1876</v>
      </c>
      <c r="B775" t="s">
        <v>349</v>
      </c>
      <c r="C775" t="s">
        <v>203</v>
      </c>
      <c r="D775">
        <v>3983</v>
      </c>
      <c r="E775">
        <v>4448</v>
      </c>
      <c r="F775">
        <v>4128</v>
      </c>
      <c r="G775">
        <v>4353</v>
      </c>
    </row>
    <row r="776" spans="1:7">
      <c r="A776" t="s">
        <v>1876</v>
      </c>
      <c r="B776" t="s">
        <v>349</v>
      </c>
      <c r="C776" t="s">
        <v>204</v>
      </c>
      <c r="D776">
        <v>8086</v>
      </c>
      <c r="E776">
        <v>7686</v>
      </c>
      <c r="F776">
        <v>7511</v>
      </c>
      <c r="G776">
        <v>7546</v>
      </c>
    </row>
    <row r="777" spans="1:7">
      <c r="A777" t="s">
        <v>1876</v>
      </c>
      <c r="B777" t="s">
        <v>349</v>
      </c>
      <c r="C777" t="s">
        <v>205</v>
      </c>
      <c r="D777">
        <v>8086</v>
      </c>
      <c r="E777">
        <v>7686</v>
      </c>
      <c r="F777">
        <v>7511</v>
      </c>
      <c r="G777">
        <v>7546</v>
      </c>
    </row>
    <row r="778" spans="1:7">
      <c r="A778" t="s">
        <v>1876</v>
      </c>
      <c r="B778" t="s">
        <v>349</v>
      </c>
      <c r="C778" t="s">
        <v>1931</v>
      </c>
      <c r="D778">
        <v>32.200000000000003</v>
      </c>
      <c r="E778">
        <v>26.1</v>
      </c>
      <c r="F778">
        <v>38.6</v>
      </c>
      <c r="G778">
        <v>29.6</v>
      </c>
    </row>
    <row r="779" spans="1:7">
      <c r="A779" t="s">
        <v>1876</v>
      </c>
      <c r="B779" t="s">
        <v>349</v>
      </c>
      <c r="C779" t="s">
        <v>1707</v>
      </c>
      <c r="D779">
        <v>30</v>
      </c>
      <c r="E779">
        <v>30</v>
      </c>
      <c r="F779">
        <v>30</v>
      </c>
      <c r="G779">
        <v>30</v>
      </c>
    </row>
    <row r="780" spans="1:7">
      <c r="A780" t="s">
        <v>1876</v>
      </c>
      <c r="B780" t="s">
        <v>349</v>
      </c>
      <c r="C780" t="s">
        <v>1932</v>
      </c>
      <c r="D780">
        <v>36.299999999999997</v>
      </c>
      <c r="E780">
        <v>31.3</v>
      </c>
      <c r="F780">
        <v>29.1</v>
      </c>
      <c r="G780">
        <v>28.2</v>
      </c>
    </row>
    <row r="781" spans="1:7">
      <c r="A781" t="s">
        <v>1876</v>
      </c>
      <c r="B781" t="s">
        <v>349</v>
      </c>
      <c r="C781" t="s">
        <v>1708</v>
      </c>
      <c r="D781">
        <v>1266</v>
      </c>
      <c r="E781">
        <v>1265</v>
      </c>
      <c r="F781">
        <v>1265</v>
      </c>
      <c r="G781">
        <v>1265</v>
      </c>
    </row>
    <row r="782" spans="1:7">
      <c r="A782" t="s">
        <v>1876</v>
      </c>
      <c r="B782" t="s">
        <v>349</v>
      </c>
      <c r="C782" t="s">
        <v>206</v>
      </c>
      <c r="D782">
        <v>0</v>
      </c>
      <c r="E782">
        <v>0</v>
      </c>
      <c r="F782">
        <v>0</v>
      </c>
      <c r="G782">
        <v>0</v>
      </c>
    </row>
    <row r="783" spans="1:7">
      <c r="A783" t="s">
        <v>1876</v>
      </c>
      <c r="B783" t="s">
        <v>349</v>
      </c>
      <c r="C783" t="s">
        <v>207</v>
      </c>
      <c r="D783">
        <v>13746</v>
      </c>
      <c r="E783">
        <v>11835</v>
      </c>
      <c r="F783">
        <v>11017</v>
      </c>
      <c r="G783">
        <v>10695</v>
      </c>
    </row>
    <row r="784" spans="1:7">
      <c r="A784" t="s">
        <v>1876</v>
      </c>
      <c r="B784" t="s">
        <v>349</v>
      </c>
      <c r="C784" t="s">
        <v>208</v>
      </c>
      <c r="D784">
        <v>0</v>
      </c>
      <c r="E784">
        <v>0</v>
      </c>
      <c r="F784">
        <v>0</v>
      </c>
      <c r="G784">
        <v>0</v>
      </c>
    </row>
    <row r="785" spans="1:7">
      <c r="A785" t="s">
        <v>1876</v>
      </c>
      <c r="B785" t="s">
        <v>349</v>
      </c>
      <c r="C785" t="s">
        <v>209</v>
      </c>
      <c r="D785">
        <v>13746</v>
      </c>
      <c r="E785">
        <v>11835</v>
      </c>
      <c r="F785">
        <v>11017</v>
      </c>
      <c r="G785">
        <v>10695</v>
      </c>
    </row>
    <row r="786" spans="1:7">
      <c r="A786" t="s">
        <v>1876</v>
      </c>
      <c r="B786" t="s">
        <v>349</v>
      </c>
      <c r="C786" t="s">
        <v>210</v>
      </c>
      <c r="D786">
        <v>0</v>
      </c>
      <c r="E786">
        <v>0</v>
      </c>
      <c r="F786">
        <v>0</v>
      </c>
      <c r="G786">
        <v>0</v>
      </c>
    </row>
    <row r="787" spans="1:7">
      <c r="A787" t="s">
        <v>1876</v>
      </c>
      <c r="B787" t="s">
        <v>349</v>
      </c>
      <c r="C787" t="s">
        <v>211</v>
      </c>
      <c r="D787">
        <v>0</v>
      </c>
      <c r="E787">
        <v>0</v>
      </c>
      <c r="F787">
        <v>0</v>
      </c>
      <c r="G787">
        <v>0</v>
      </c>
    </row>
    <row r="788" spans="1:7">
      <c r="A788" t="s">
        <v>1876</v>
      </c>
      <c r="B788" t="s">
        <v>349</v>
      </c>
      <c r="C788" t="s">
        <v>212</v>
      </c>
      <c r="D788">
        <v>0</v>
      </c>
      <c r="E788">
        <v>0</v>
      </c>
      <c r="F788">
        <v>0</v>
      </c>
      <c r="G788">
        <v>0</v>
      </c>
    </row>
    <row r="789" spans="1:7">
      <c r="A789" t="s">
        <v>1876</v>
      </c>
      <c r="B789" t="s">
        <v>349</v>
      </c>
      <c r="C789" t="s">
        <v>213</v>
      </c>
      <c r="D789">
        <v>0</v>
      </c>
      <c r="E789">
        <v>0</v>
      </c>
      <c r="F789">
        <v>0</v>
      </c>
      <c r="G789">
        <v>0</v>
      </c>
    </row>
    <row r="790" spans="1:7">
      <c r="A790" t="s">
        <v>1876</v>
      </c>
      <c r="B790" t="s">
        <v>349</v>
      </c>
      <c r="C790" t="s">
        <v>214</v>
      </c>
      <c r="D790">
        <v>0</v>
      </c>
      <c r="E790">
        <v>0</v>
      </c>
      <c r="F790">
        <v>0</v>
      </c>
      <c r="G790">
        <v>0</v>
      </c>
    </row>
    <row r="791" spans="1:7">
      <c r="A791" t="s">
        <v>1876</v>
      </c>
      <c r="B791" t="s">
        <v>349</v>
      </c>
      <c r="C791" t="s">
        <v>215</v>
      </c>
      <c r="D791">
        <v>5475</v>
      </c>
      <c r="E791">
        <v>6193</v>
      </c>
      <c r="F791">
        <v>6735</v>
      </c>
      <c r="G791">
        <v>6740</v>
      </c>
    </row>
    <row r="792" spans="1:7">
      <c r="A792" t="s">
        <v>1876</v>
      </c>
      <c r="B792" t="s">
        <v>349</v>
      </c>
      <c r="C792" t="s">
        <v>216</v>
      </c>
      <c r="D792">
        <v>5475</v>
      </c>
      <c r="E792">
        <v>6193</v>
      </c>
      <c r="F792">
        <v>6735</v>
      </c>
      <c r="G792">
        <v>6740</v>
      </c>
    </row>
    <row r="793" spans="1:7">
      <c r="A793" t="s">
        <v>1876</v>
      </c>
      <c r="B793" t="s">
        <v>349</v>
      </c>
      <c r="C793" t="s">
        <v>217</v>
      </c>
      <c r="D793">
        <v>5475</v>
      </c>
      <c r="E793">
        <v>6193</v>
      </c>
      <c r="F793">
        <v>6735</v>
      </c>
      <c r="G793">
        <v>6740</v>
      </c>
    </row>
    <row r="794" spans="1:7">
      <c r="A794" t="s">
        <v>1876</v>
      </c>
      <c r="B794" t="s">
        <v>349</v>
      </c>
      <c r="C794" t="s">
        <v>218</v>
      </c>
      <c r="D794">
        <v>9</v>
      </c>
      <c r="E794">
        <v>8</v>
      </c>
      <c r="F794">
        <v>14</v>
      </c>
      <c r="G794">
        <v>10</v>
      </c>
    </row>
    <row r="795" spans="1:7">
      <c r="A795" t="s">
        <v>1876</v>
      </c>
      <c r="B795" t="s">
        <v>349</v>
      </c>
      <c r="C795" t="s">
        <v>219</v>
      </c>
      <c r="D795">
        <v>11</v>
      </c>
      <c r="E795">
        <v>8</v>
      </c>
      <c r="F795">
        <v>33</v>
      </c>
      <c r="G795">
        <v>18</v>
      </c>
    </row>
    <row r="796" spans="1:7">
      <c r="A796" t="s">
        <v>1876</v>
      </c>
      <c r="B796" t="s">
        <v>349</v>
      </c>
      <c r="C796" t="s">
        <v>220</v>
      </c>
      <c r="D796">
        <v>5</v>
      </c>
      <c r="E796">
        <v>4</v>
      </c>
      <c r="F796">
        <v>7</v>
      </c>
      <c r="G796">
        <v>5</v>
      </c>
    </row>
    <row r="797" spans="1:7">
      <c r="A797" t="s">
        <v>1876</v>
      </c>
      <c r="B797" t="s">
        <v>349</v>
      </c>
      <c r="C797" t="s">
        <v>221</v>
      </c>
      <c r="D797">
        <v>25</v>
      </c>
      <c r="E797">
        <v>21</v>
      </c>
      <c r="F797">
        <v>54</v>
      </c>
      <c r="G797">
        <v>33</v>
      </c>
    </row>
    <row r="798" spans="1:7">
      <c r="A798" t="s">
        <v>1876</v>
      </c>
      <c r="B798" t="s">
        <v>349</v>
      </c>
      <c r="C798" t="s">
        <v>222</v>
      </c>
      <c r="D798">
        <v>25</v>
      </c>
      <c r="E798">
        <v>21</v>
      </c>
      <c r="F798">
        <v>54</v>
      </c>
      <c r="G798">
        <v>33</v>
      </c>
    </row>
    <row r="799" spans="1:7">
      <c r="A799" t="s">
        <v>1876</v>
      </c>
      <c r="B799" t="s">
        <v>349</v>
      </c>
      <c r="C799" t="s">
        <v>1933</v>
      </c>
      <c r="D799">
        <v>2513.9</v>
      </c>
      <c r="E799">
        <v>2492.9</v>
      </c>
      <c r="F799">
        <v>2497.3000000000002</v>
      </c>
      <c r="G799">
        <v>2524</v>
      </c>
    </row>
    <row r="800" spans="1:7">
      <c r="A800" t="s">
        <v>1876</v>
      </c>
      <c r="B800" t="s">
        <v>349</v>
      </c>
      <c r="C800" t="s">
        <v>223</v>
      </c>
      <c r="D800">
        <v>1</v>
      </c>
      <c r="E800">
        <v>1</v>
      </c>
      <c r="F800">
        <v>2</v>
      </c>
      <c r="G800">
        <v>1</v>
      </c>
    </row>
    <row r="801" spans="1:7">
      <c r="A801" t="s">
        <v>1876</v>
      </c>
      <c r="B801" t="s">
        <v>349</v>
      </c>
      <c r="C801" t="s">
        <v>224</v>
      </c>
      <c r="D801">
        <v>66087</v>
      </c>
      <c r="E801">
        <v>67547</v>
      </c>
      <c r="F801">
        <v>66851</v>
      </c>
      <c r="G801">
        <v>67081</v>
      </c>
    </row>
    <row r="802" spans="1:7">
      <c r="A802" t="s">
        <v>1876</v>
      </c>
      <c r="B802" t="s">
        <v>349</v>
      </c>
      <c r="C802" t="s">
        <v>225</v>
      </c>
      <c r="D802">
        <v>104597</v>
      </c>
      <c r="E802">
        <v>102927</v>
      </c>
      <c r="F802">
        <v>106222</v>
      </c>
      <c r="G802">
        <v>111105</v>
      </c>
    </row>
    <row r="803" spans="1:7">
      <c r="A803" t="s">
        <v>1876</v>
      </c>
      <c r="B803" t="s">
        <v>349</v>
      </c>
      <c r="C803" t="s">
        <v>226</v>
      </c>
      <c r="D803">
        <v>108557</v>
      </c>
      <c r="E803">
        <v>110322</v>
      </c>
      <c r="F803">
        <v>105038</v>
      </c>
      <c r="G803">
        <v>105726</v>
      </c>
    </row>
    <row r="804" spans="1:7">
      <c r="A804" t="s">
        <v>1876</v>
      </c>
      <c r="B804" t="s">
        <v>349</v>
      </c>
      <c r="C804" t="s">
        <v>227</v>
      </c>
      <c r="D804">
        <v>279242</v>
      </c>
      <c r="E804">
        <v>280798</v>
      </c>
      <c r="F804">
        <v>278113</v>
      </c>
      <c r="G804">
        <v>283914</v>
      </c>
    </row>
    <row r="805" spans="1:7">
      <c r="A805" t="s">
        <v>1876</v>
      </c>
      <c r="B805" t="s">
        <v>349</v>
      </c>
      <c r="C805" t="s">
        <v>228</v>
      </c>
      <c r="D805">
        <v>279242</v>
      </c>
      <c r="E805">
        <v>280798</v>
      </c>
      <c r="F805">
        <v>278113</v>
      </c>
      <c r="G805">
        <v>283914</v>
      </c>
    </row>
    <row r="806" spans="1:7">
      <c r="A806" t="s">
        <v>1876</v>
      </c>
      <c r="B806" t="s">
        <v>349</v>
      </c>
      <c r="C806" t="s">
        <v>229</v>
      </c>
      <c r="D806">
        <v>1572</v>
      </c>
      <c r="E806">
        <v>1664</v>
      </c>
      <c r="F806">
        <v>1211</v>
      </c>
      <c r="G806">
        <v>1175</v>
      </c>
    </row>
    <row r="807" spans="1:7">
      <c r="A807" t="s">
        <v>1876</v>
      </c>
      <c r="B807" t="s">
        <v>349</v>
      </c>
      <c r="C807" t="s">
        <v>230</v>
      </c>
      <c r="D807">
        <v>1029</v>
      </c>
      <c r="E807">
        <v>1024</v>
      </c>
      <c r="F807">
        <v>810</v>
      </c>
      <c r="G807">
        <v>743</v>
      </c>
    </row>
    <row r="808" spans="1:7">
      <c r="A808" t="s">
        <v>1876</v>
      </c>
      <c r="B808" t="s">
        <v>349</v>
      </c>
      <c r="C808" t="s">
        <v>231</v>
      </c>
      <c r="D808">
        <v>2601</v>
      </c>
      <c r="E808">
        <v>2689</v>
      </c>
      <c r="F808">
        <v>2021</v>
      </c>
      <c r="G808">
        <v>1917</v>
      </c>
    </row>
    <row r="809" spans="1:7">
      <c r="A809" t="s">
        <v>1876</v>
      </c>
      <c r="B809" t="s">
        <v>349</v>
      </c>
      <c r="C809" t="s">
        <v>232</v>
      </c>
      <c r="D809">
        <v>2601</v>
      </c>
      <c r="E809">
        <v>2689</v>
      </c>
      <c r="F809">
        <v>2021</v>
      </c>
      <c r="G809">
        <v>1917</v>
      </c>
    </row>
    <row r="810" spans="1:7">
      <c r="A810" t="s">
        <v>1876</v>
      </c>
      <c r="B810" t="s">
        <v>349</v>
      </c>
      <c r="C810" t="s">
        <v>233</v>
      </c>
      <c r="D810">
        <v>0</v>
      </c>
      <c r="E810">
        <v>0</v>
      </c>
      <c r="F810">
        <v>0</v>
      </c>
      <c r="G810">
        <v>0</v>
      </c>
    </row>
    <row r="811" spans="1:7">
      <c r="A811" t="s">
        <v>1876</v>
      </c>
      <c r="B811" t="s">
        <v>349</v>
      </c>
      <c r="C811" t="s">
        <v>234</v>
      </c>
      <c r="D811">
        <v>175515</v>
      </c>
      <c r="E811">
        <v>172440</v>
      </c>
      <c r="F811">
        <v>176750</v>
      </c>
      <c r="G811">
        <v>178777</v>
      </c>
    </row>
    <row r="812" spans="1:7">
      <c r="A812" t="s">
        <v>1876</v>
      </c>
      <c r="B812" t="s">
        <v>349</v>
      </c>
      <c r="C812" t="s">
        <v>235</v>
      </c>
      <c r="D812">
        <v>2793</v>
      </c>
      <c r="E812">
        <v>3264</v>
      </c>
      <c r="F812">
        <v>2943</v>
      </c>
      <c r="G812">
        <v>2723</v>
      </c>
    </row>
    <row r="813" spans="1:7">
      <c r="A813" t="s">
        <v>1876</v>
      </c>
      <c r="B813" t="s">
        <v>349</v>
      </c>
      <c r="C813" t="s">
        <v>236</v>
      </c>
      <c r="D813">
        <v>3742</v>
      </c>
      <c r="E813">
        <v>4049</v>
      </c>
      <c r="F813">
        <v>3867</v>
      </c>
      <c r="G813">
        <v>2324</v>
      </c>
    </row>
    <row r="814" spans="1:7">
      <c r="A814" t="s">
        <v>1876</v>
      </c>
      <c r="B814" t="s">
        <v>349</v>
      </c>
      <c r="C814" t="s">
        <v>237</v>
      </c>
      <c r="D814">
        <v>182051</v>
      </c>
      <c r="E814">
        <v>179753</v>
      </c>
      <c r="F814">
        <v>183560</v>
      </c>
      <c r="G814">
        <v>183824</v>
      </c>
    </row>
    <row r="815" spans="1:7">
      <c r="A815" t="s">
        <v>1876</v>
      </c>
      <c r="B815" t="s">
        <v>349</v>
      </c>
      <c r="C815" t="s">
        <v>238</v>
      </c>
      <c r="D815">
        <v>182051</v>
      </c>
      <c r="E815">
        <v>179753</v>
      </c>
      <c r="F815">
        <v>183560</v>
      </c>
      <c r="G815">
        <v>183824</v>
      </c>
    </row>
    <row r="816" spans="1:7">
      <c r="A816" t="s">
        <v>1876</v>
      </c>
      <c r="B816" t="s">
        <v>349</v>
      </c>
      <c r="C816" t="s">
        <v>1934</v>
      </c>
      <c r="D816">
        <v>163919</v>
      </c>
      <c r="E816">
        <v>160052</v>
      </c>
      <c r="F816">
        <v>164343</v>
      </c>
      <c r="G816">
        <v>165641</v>
      </c>
    </row>
    <row r="817" spans="1:7">
      <c r="A817" t="s">
        <v>1876</v>
      </c>
      <c r="B817" t="s">
        <v>349</v>
      </c>
      <c r="C817" t="s">
        <v>1935</v>
      </c>
      <c r="D817">
        <v>2609</v>
      </c>
      <c r="E817">
        <v>3030</v>
      </c>
      <c r="F817">
        <v>2736</v>
      </c>
      <c r="G817">
        <v>2523</v>
      </c>
    </row>
    <row r="818" spans="1:7">
      <c r="A818" t="s">
        <v>1876</v>
      </c>
      <c r="B818" t="s">
        <v>349</v>
      </c>
      <c r="C818" t="s">
        <v>1936</v>
      </c>
      <c r="D818">
        <v>3495</v>
      </c>
      <c r="E818">
        <v>3758</v>
      </c>
      <c r="F818">
        <v>3595</v>
      </c>
      <c r="G818">
        <v>2153</v>
      </c>
    </row>
    <row r="819" spans="1:7">
      <c r="A819" t="s">
        <v>1876</v>
      </c>
      <c r="B819" t="s">
        <v>349</v>
      </c>
      <c r="C819" t="s">
        <v>239</v>
      </c>
      <c r="D819">
        <v>170023</v>
      </c>
      <c r="E819">
        <v>166840</v>
      </c>
      <c r="F819">
        <v>170675</v>
      </c>
      <c r="G819">
        <v>170318</v>
      </c>
    </row>
    <row r="820" spans="1:7">
      <c r="A820" t="s">
        <v>1876</v>
      </c>
      <c r="B820" t="s">
        <v>349</v>
      </c>
      <c r="C820" t="s">
        <v>240</v>
      </c>
      <c r="D820">
        <v>1257</v>
      </c>
      <c r="E820">
        <v>2176</v>
      </c>
      <c r="F820">
        <v>2091</v>
      </c>
      <c r="G820">
        <v>2047</v>
      </c>
    </row>
    <row r="821" spans="1:7">
      <c r="A821" t="s">
        <v>1876</v>
      </c>
      <c r="B821" t="s">
        <v>349</v>
      </c>
      <c r="C821" t="s">
        <v>241</v>
      </c>
      <c r="D821">
        <v>0</v>
      </c>
      <c r="E821">
        <v>0</v>
      </c>
      <c r="F821">
        <v>0</v>
      </c>
      <c r="G821">
        <v>0</v>
      </c>
    </row>
    <row r="822" spans="1:7">
      <c r="A822" t="s">
        <v>1876</v>
      </c>
      <c r="B822" t="s">
        <v>349</v>
      </c>
      <c r="C822" t="s">
        <v>242</v>
      </c>
      <c r="D822">
        <v>5319</v>
      </c>
      <c r="E822">
        <v>5821</v>
      </c>
      <c r="F822">
        <v>6541</v>
      </c>
      <c r="G822">
        <v>6816</v>
      </c>
    </row>
    <row r="823" spans="1:7">
      <c r="A823" t="s">
        <v>1876</v>
      </c>
      <c r="B823" t="s">
        <v>349</v>
      </c>
      <c r="C823" t="s">
        <v>243</v>
      </c>
      <c r="D823">
        <v>57877</v>
      </c>
      <c r="E823">
        <v>56539</v>
      </c>
      <c r="F823">
        <v>54161</v>
      </c>
      <c r="G823">
        <v>53545</v>
      </c>
    </row>
    <row r="824" spans="1:7">
      <c r="A824" t="s">
        <v>1876</v>
      </c>
      <c r="B824" t="s">
        <v>349</v>
      </c>
      <c r="C824" t="s">
        <v>244</v>
      </c>
      <c r="D824">
        <v>153547</v>
      </c>
      <c r="E824">
        <v>194364</v>
      </c>
      <c r="F824">
        <v>197224</v>
      </c>
      <c r="G824">
        <v>189204</v>
      </c>
    </row>
    <row r="825" spans="1:7">
      <c r="A825" t="s">
        <v>1876</v>
      </c>
      <c r="B825" t="s">
        <v>349</v>
      </c>
      <c r="C825" t="s">
        <v>1709</v>
      </c>
      <c r="D825">
        <v>6119</v>
      </c>
      <c r="E825">
        <v>6140</v>
      </c>
      <c r="F825">
        <v>6132</v>
      </c>
      <c r="G825">
        <v>6014</v>
      </c>
    </row>
    <row r="826" spans="1:7">
      <c r="A826" t="s">
        <v>1876</v>
      </c>
      <c r="B826" t="s">
        <v>349</v>
      </c>
      <c r="C826" t="s">
        <v>245</v>
      </c>
      <c r="D826">
        <v>109477</v>
      </c>
      <c r="E826">
        <v>109516</v>
      </c>
      <c r="F826">
        <v>111903</v>
      </c>
      <c r="G826">
        <v>111218</v>
      </c>
    </row>
    <row r="827" spans="1:7">
      <c r="A827" t="s">
        <v>1876</v>
      </c>
      <c r="B827" t="s">
        <v>349</v>
      </c>
      <c r="C827" t="s">
        <v>246</v>
      </c>
      <c r="D827">
        <v>34325</v>
      </c>
      <c r="E827">
        <v>31858</v>
      </c>
      <c r="F827">
        <v>29346</v>
      </c>
      <c r="G827">
        <v>28129</v>
      </c>
    </row>
    <row r="828" spans="1:7">
      <c r="A828" t="s">
        <v>1876</v>
      </c>
      <c r="B828" t="s">
        <v>349</v>
      </c>
      <c r="C828" t="s">
        <v>247</v>
      </c>
      <c r="D828">
        <v>360545</v>
      </c>
      <c r="E828">
        <v>398099</v>
      </c>
      <c r="F828">
        <v>399176</v>
      </c>
      <c r="G828">
        <v>388911</v>
      </c>
    </row>
    <row r="829" spans="1:7">
      <c r="A829" t="s">
        <v>1876</v>
      </c>
      <c r="B829" t="s">
        <v>349</v>
      </c>
      <c r="C829" t="s">
        <v>248</v>
      </c>
      <c r="D829">
        <v>119.1</v>
      </c>
      <c r="E829">
        <v>130.6</v>
      </c>
      <c r="F829">
        <v>130</v>
      </c>
      <c r="G829">
        <v>125.6</v>
      </c>
    </row>
    <row r="830" spans="1:7">
      <c r="A830" t="s">
        <v>1876</v>
      </c>
      <c r="B830" t="s">
        <v>349</v>
      </c>
      <c r="C830" t="s">
        <v>249</v>
      </c>
      <c r="D830">
        <v>206998</v>
      </c>
      <c r="E830">
        <v>203734</v>
      </c>
      <c r="F830">
        <v>201952</v>
      </c>
      <c r="G830">
        <v>199707</v>
      </c>
    </row>
    <row r="831" spans="1:7">
      <c r="A831" t="s">
        <v>1876</v>
      </c>
      <c r="B831" t="s">
        <v>349</v>
      </c>
      <c r="C831" t="s">
        <v>250</v>
      </c>
      <c r="D831">
        <v>360545</v>
      </c>
      <c r="E831">
        <v>398099</v>
      </c>
      <c r="F831">
        <v>399176</v>
      </c>
      <c r="G831">
        <v>388911</v>
      </c>
    </row>
    <row r="832" spans="1:7">
      <c r="A832" t="s">
        <v>1876</v>
      </c>
      <c r="B832" t="s">
        <v>349</v>
      </c>
      <c r="C832" t="s">
        <v>1937</v>
      </c>
      <c r="D832">
        <v>4.5</v>
      </c>
      <c r="E832">
        <v>7.2</v>
      </c>
      <c r="F832">
        <v>7.7</v>
      </c>
      <c r="G832">
        <v>9.8000000000000007</v>
      </c>
    </row>
    <row r="833" spans="1:7">
      <c r="A833" t="s">
        <v>1876</v>
      </c>
      <c r="B833" t="s">
        <v>349</v>
      </c>
      <c r="C833" t="s">
        <v>1938</v>
      </c>
      <c r="D833">
        <v>85.1</v>
      </c>
      <c r="E833">
        <v>89.7</v>
      </c>
      <c r="F833">
        <v>93.7</v>
      </c>
      <c r="G833">
        <v>92.3</v>
      </c>
    </row>
    <row r="834" spans="1:7">
      <c r="A834" t="s">
        <v>1876</v>
      </c>
      <c r="B834" t="s">
        <v>349</v>
      </c>
      <c r="C834" t="s">
        <v>251</v>
      </c>
      <c r="D834">
        <v>141372</v>
      </c>
      <c r="E834">
        <v>149654</v>
      </c>
      <c r="F834">
        <v>156492</v>
      </c>
      <c r="G834">
        <v>154168</v>
      </c>
    </row>
    <row r="835" spans="1:7">
      <c r="A835" t="s">
        <v>1876</v>
      </c>
      <c r="B835" t="s">
        <v>349</v>
      </c>
      <c r="C835" t="s">
        <v>252</v>
      </c>
      <c r="D835">
        <v>141372</v>
      </c>
      <c r="E835">
        <v>149654</v>
      </c>
      <c r="F835">
        <v>156492</v>
      </c>
      <c r="G835">
        <v>154168</v>
      </c>
    </row>
    <row r="836" spans="1:7">
      <c r="A836" t="s">
        <v>1876</v>
      </c>
      <c r="B836" t="s">
        <v>349</v>
      </c>
      <c r="C836" t="s">
        <v>1710</v>
      </c>
      <c r="D836">
        <v>1818</v>
      </c>
      <c r="E836">
        <v>1822</v>
      </c>
      <c r="F836">
        <v>1825</v>
      </c>
      <c r="G836">
        <v>1821</v>
      </c>
    </row>
    <row r="837" spans="1:7">
      <c r="A837" t="s">
        <v>1876</v>
      </c>
      <c r="B837" t="s">
        <v>349</v>
      </c>
      <c r="C837" t="s">
        <v>1939</v>
      </c>
      <c r="D837">
        <v>3.7</v>
      </c>
      <c r="E837">
        <v>4.3</v>
      </c>
      <c r="F837">
        <v>3.1</v>
      </c>
      <c r="G837">
        <v>5.0999999999999996</v>
      </c>
    </row>
    <row r="838" spans="1:7">
      <c r="A838" t="s">
        <v>1876</v>
      </c>
      <c r="B838" t="s">
        <v>349</v>
      </c>
      <c r="C838" t="s">
        <v>253</v>
      </c>
      <c r="D838">
        <v>0</v>
      </c>
      <c r="E838">
        <v>0</v>
      </c>
      <c r="F838">
        <v>0</v>
      </c>
      <c r="G838">
        <v>0</v>
      </c>
    </row>
    <row r="839" spans="1:7">
      <c r="A839" t="s">
        <v>1876</v>
      </c>
      <c r="B839" t="s">
        <v>349</v>
      </c>
      <c r="C839" t="s">
        <v>1711</v>
      </c>
      <c r="D839">
        <v>0</v>
      </c>
      <c r="E839">
        <v>0</v>
      </c>
      <c r="F839">
        <v>0</v>
      </c>
      <c r="G839">
        <v>0</v>
      </c>
    </row>
    <row r="840" spans="1:7">
      <c r="A840" t="s">
        <v>1876</v>
      </c>
      <c r="B840" t="s">
        <v>349</v>
      </c>
      <c r="C840" t="s">
        <v>1712</v>
      </c>
      <c r="D840">
        <v>8370</v>
      </c>
      <c r="E840">
        <v>10355</v>
      </c>
      <c r="F840">
        <v>10060</v>
      </c>
      <c r="G840">
        <v>9714</v>
      </c>
    </row>
    <row r="841" spans="1:7">
      <c r="A841" t="s">
        <v>1876</v>
      </c>
      <c r="B841" t="s">
        <v>349</v>
      </c>
      <c r="C841" t="s">
        <v>1713</v>
      </c>
      <c r="D841">
        <v>1344</v>
      </c>
      <c r="E841">
        <v>1276</v>
      </c>
      <c r="F841">
        <v>1855</v>
      </c>
      <c r="G841">
        <v>1965</v>
      </c>
    </row>
    <row r="842" spans="1:7">
      <c r="A842" t="s">
        <v>1876</v>
      </c>
      <c r="B842" t="s">
        <v>349</v>
      </c>
      <c r="C842" t="s">
        <v>1940</v>
      </c>
      <c r="D842">
        <v>0</v>
      </c>
      <c r="E842">
        <v>0</v>
      </c>
      <c r="F842">
        <v>0</v>
      </c>
      <c r="G842">
        <v>0</v>
      </c>
    </row>
    <row r="843" spans="1:7">
      <c r="A843" t="s">
        <v>1876</v>
      </c>
      <c r="B843" t="s">
        <v>349</v>
      </c>
      <c r="C843" t="s">
        <v>1941</v>
      </c>
      <c r="D843">
        <v>0</v>
      </c>
      <c r="E843">
        <v>0</v>
      </c>
      <c r="F843">
        <v>0</v>
      </c>
      <c r="G843">
        <v>0</v>
      </c>
    </row>
    <row r="844" spans="1:7">
      <c r="A844" t="s">
        <v>1876</v>
      </c>
      <c r="B844" t="s">
        <v>349</v>
      </c>
      <c r="C844" t="s">
        <v>254</v>
      </c>
      <c r="D844">
        <v>8370</v>
      </c>
      <c r="E844">
        <v>10355</v>
      </c>
      <c r="F844">
        <v>10060</v>
      </c>
      <c r="G844">
        <v>9714</v>
      </c>
    </row>
    <row r="845" spans="1:7">
      <c r="A845" t="s">
        <v>1876</v>
      </c>
      <c r="B845" t="s">
        <v>349</v>
      </c>
      <c r="C845" t="s">
        <v>1942</v>
      </c>
      <c r="D845">
        <v>0</v>
      </c>
      <c r="E845">
        <v>0</v>
      </c>
      <c r="F845">
        <v>0</v>
      </c>
      <c r="G845">
        <v>0</v>
      </c>
    </row>
    <row r="846" spans="1:7">
      <c r="A846" t="s">
        <v>1876</v>
      </c>
      <c r="B846" t="s">
        <v>349</v>
      </c>
      <c r="C846" t="s">
        <v>255</v>
      </c>
      <c r="D846">
        <v>9713</v>
      </c>
      <c r="E846">
        <v>11631</v>
      </c>
      <c r="F846">
        <v>11915</v>
      </c>
      <c r="G846">
        <v>11678</v>
      </c>
    </row>
    <row r="847" spans="1:7">
      <c r="A847" t="s">
        <v>1876</v>
      </c>
      <c r="B847" t="s">
        <v>349</v>
      </c>
      <c r="C847" t="s">
        <v>256</v>
      </c>
      <c r="D847">
        <v>9713</v>
      </c>
      <c r="E847">
        <v>11631</v>
      </c>
      <c r="F847">
        <v>11915</v>
      </c>
      <c r="G847">
        <v>11678</v>
      </c>
    </row>
    <row r="848" spans="1:7">
      <c r="A848" t="s">
        <v>1876</v>
      </c>
      <c r="B848" t="s">
        <v>349</v>
      </c>
      <c r="C848" t="s">
        <v>1714</v>
      </c>
      <c r="D848">
        <v>0</v>
      </c>
      <c r="E848">
        <v>0</v>
      </c>
      <c r="F848">
        <v>0</v>
      </c>
      <c r="G848">
        <v>0</v>
      </c>
    </row>
    <row r="849" spans="1:7">
      <c r="A849" t="s">
        <v>1876</v>
      </c>
      <c r="B849" t="s">
        <v>349</v>
      </c>
      <c r="C849" t="s">
        <v>257</v>
      </c>
      <c r="D849">
        <v>25145</v>
      </c>
      <c r="E849">
        <v>26262</v>
      </c>
      <c r="F849">
        <v>25503</v>
      </c>
      <c r="G849">
        <v>23033</v>
      </c>
    </row>
    <row r="850" spans="1:7">
      <c r="A850" t="s">
        <v>1876</v>
      </c>
      <c r="B850" t="s">
        <v>349</v>
      </c>
      <c r="C850" t="s">
        <v>258</v>
      </c>
      <c r="D850">
        <v>28320</v>
      </c>
      <c r="E850">
        <v>29470</v>
      </c>
      <c r="F850">
        <v>28831</v>
      </c>
      <c r="G850">
        <v>26447</v>
      </c>
    </row>
    <row r="851" spans="1:7">
      <c r="A851" t="s">
        <v>1876</v>
      </c>
      <c r="B851" t="s">
        <v>349</v>
      </c>
      <c r="C851" t="s">
        <v>259</v>
      </c>
      <c r="D851">
        <v>28320</v>
      </c>
      <c r="E851">
        <v>29470</v>
      </c>
      <c r="F851">
        <v>28831</v>
      </c>
      <c r="G851">
        <v>26447</v>
      </c>
    </row>
    <row r="852" spans="1:7">
      <c r="A852" t="s">
        <v>1876</v>
      </c>
      <c r="B852" t="s">
        <v>349</v>
      </c>
      <c r="C852" t="s">
        <v>260</v>
      </c>
      <c r="D852">
        <v>279356</v>
      </c>
      <c r="E852">
        <v>277786</v>
      </c>
      <c r="F852">
        <v>280995</v>
      </c>
      <c r="G852">
        <v>281145</v>
      </c>
    </row>
    <row r="853" spans="1:7">
      <c r="A853" t="s">
        <v>1876</v>
      </c>
      <c r="B853" t="s">
        <v>349</v>
      </c>
      <c r="C853" t="s">
        <v>1943</v>
      </c>
      <c r="D853">
        <v>0.2</v>
      </c>
      <c r="E853">
        <v>0</v>
      </c>
      <c r="F853">
        <v>0</v>
      </c>
      <c r="G853">
        <v>0</v>
      </c>
    </row>
    <row r="854" spans="1:7">
      <c r="A854" t="s">
        <v>1876</v>
      </c>
      <c r="B854" t="s">
        <v>349</v>
      </c>
      <c r="C854" t="s">
        <v>261</v>
      </c>
      <c r="D854">
        <v>7622</v>
      </c>
      <c r="E854">
        <v>7600</v>
      </c>
      <c r="F854">
        <v>6998</v>
      </c>
      <c r="G854">
        <v>6587</v>
      </c>
    </row>
    <row r="855" spans="1:7">
      <c r="A855" t="s">
        <v>1876</v>
      </c>
      <c r="B855" t="s">
        <v>349</v>
      </c>
      <c r="C855" t="s">
        <v>262</v>
      </c>
      <c r="D855">
        <v>549</v>
      </c>
      <c r="E855">
        <v>663</v>
      </c>
      <c r="F855">
        <v>464</v>
      </c>
      <c r="G855">
        <v>542</v>
      </c>
    </row>
    <row r="856" spans="1:7">
      <c r="A856" t="s">
        <v>1876</v>
      </c>
      <c r="B856" t="s">
        <v>349</v>
      </c>
      <c r="C856" t="s">
        <v>1715</v>
      </c>
      <c r="D856">
        <v>9</v>
      </c>
      <c r="E856">
        <v>9</v>
      </c>
      <c r="F856">
        <v>9</v>
      </c>
      <c r="G856">
        <v>9</v>
      </c>
    </row>
    <row r="857" spans="1:7">
      <c r="A857" t="s">
        <v>1876</v>
      </c>
      <c r="B857" t="s">
        <v>349</v>
      </c>
      <c r="C857" t="s">
        <v>263</v>
      </c>
      <c r="D857">
        <v>50909</v>
      </c>
      <c r="E857">
        <v>52247</v>
      </c>
      <c r="F857">
        <v>50902</v>
      </c>
      <c r="G857">
        <v>46181</v>
      </c>
    </row>
    <row r="858" spans="1:7">
      <c r="A858" t="s">
        <v>1876</v>
      </c>
      <c r="B858" t="s">
        <v>349</v>
      </c>
      <c r="C858" t="s">
        <v>264</v>
      </c>
      <c r="D858">
        <v>4027</v>
      </c>
      <c r="E858">
        <v>4493</v>
      </c>
      <c r="F858">
        <v>4171</v>
      </c>
      <c r="G858">
        <v>4391</v>
      </c>
    </row>
    <row r="859" spans="1:7">
      <c r="A859" t="s">
        <v>1876</v>
      </c>
      <c r="B859" t="s">
        <v>349</v>
      </c>
      <c r="C859" t="s">
        <v>265</v>
      </c>
      <c r="D859">
        <v>342462</v>
      </c>
      <c r="E859">
        <v>342789</v>
      </c>
      <c r="F859">
        <v>343530</v>
      </c>
      <c r="G859">
        <v>338846</v>
      </c>
    </row>
    <row r="860" spans="1:7">
      <c r="A860" t="s">
        <v>1876</v>
      </c>
      <c r="B860" t="s">
        <v>349</v>
      </c>
      <c r="C860" t="s">
        <v>266</v>
      </c>
      <c r="D860">
        <v>113.1</v>
      </c>
      <c r="E860">
        <v>112.5</v>
      </c>
      <c r="F860">
        <v>111.9</v>
      </c>
      <c r="G860">
        <v>109.4</v>
      </c>
    </row>
    <row r="861" spans="1:7">
      <c r="A861" t="s">
        <v>1876</v>
      </c>
      <c r="B861" t="s">
        <v>349</v>
      </c>
      <c r="C861" t="s">
        <v>267</v>
      </c>
      <c r="D861">
        <v>341914</v>
      </c>
      <c r="E861">
        <v>342126</v>
      </c>
      <c r="F861">
        <v>343066</v>
      </c>
      <c r="G861">
        <v>338304</v>
      </c>
    </row>
    <row r="862" spans="1:7">
      <c r="A862" t="s">
        <v>1876</v>
      </c>
      <c r="B862" t="s">
        <v>349</v>
      </c>
      <c r="C862" t="s">
        <v>268</v>
      </c>
      <c r="D862">
        <v>0</v>
      </c>
      <c r="E862">
        <v>0</v>
      </c>
      <c r="F862">
        <v>0</v>
      </c>
      <c r="G862">
        <v>0</v>
      </c>
    </row>
    <row r="863" spans="1:7">
      <c r="A863" t="s">
        <v>1876</v>
      </c>
      <c r="B863" t="s">
        <v>349</v>
      </c>
      <c r="C863" t="s">
        <v>269</v>
      </c>
      <c r="D863">
        <v>0</v>
      </c>
      <c r="E863">
        <v>0</v>
      </c>
      <c r="F863">
        <v>0</v>
      </c>
      <c r="G863">
        <v>0</v>
      </c>
    </row>
    <row r="864" spans="1:7">
      <c r="A864" t="s">
        <v>1876</v>
      </c>
      <c r="B864" t="s">
        <v>349</v>
      </c>
      <c r="C864" t="s">
        <v>270</v>
      </c>
      <c r="D864">
        <v>1327</v>
      </c>
      <c r="E864">
        <v>1232</v>
      </c>
      <c r="F864">
        <v>1327</v>
      </c>
      <c r="G864">
        <v>578</v>
      </c>
    </row>
    <row r="865" spans="1:7">
      <c r="A865" t="s">
        <v>1876</v>
      </c>
      <c r="B865" t="s">
        <v>349</v>
      </c>
      <c r="C865" t="s">
        <v>271</v>
      </c>
      <c r="D865">
        <v>1327</v>
      </c>
      <c r="E865">
        <v>1232</v>
      </c>
      <c r="F865">
        <v>1327</v>
      </c>
      <c r="G865">
        <v>578</v>
      </c>
    </row>
    <row r="866" spans="1:7">
      <c r="A866" t="s">
        <v>1876</v>
      </c>
      <c r="B866" t="s">
        <v>349</v>
      </c>
      <c r="C866" t="s">
        <v>272</v>
      </c>
      <c r="D866">
        <v>1327</v>
      </c>
      <c r="E866">
        <v>1232</v>
      </c>
      <c r="F866">
        <v>1327</v>
      </c>
      <c r="G866">
        <v>578</v>
      </c>
    </row>
    <row r="867" spans="1:7">
      <c r="A867" t="s">
        <v>1876</v>
      </c>
      <c r="B867" t="s">
        <v>349</v>
      </c>
      <c r="C867" t="s">
        <v>1944</v>
      </c>
      <c r="D867">
        <v>1.8</v>
      </c>
      <c r="E867">
        <v>2.2999999999999998</v>
      </c>
      <c r="F867">
        <v>2.8</v>
      </c>
      <c r="G867">
        <v>3.7</v>
      </c>
    </row>
    <row r="868" spans="1:7">
      <c r="A868" t="s">
        <v>1876</v>
      </c>
      <c r="B868" t="s">
        <v>349</v>
      </c>
      <c r="C868" t="s">
        <v>1945</v>
      </c>
      <c r="D868">
        <v>2</v>
      </c>
      <c r="E868">
        <v>4</v>
      </c>
      <c r="F868">
        <v>7</v>
      </c>
      <c r="G868">
        <v>9</v>
      </c>
    </row>
    <row r="869" spans="1:7">
      <c r="A869" t="s">
        <v>1876</v>
      </c>
      <c r="B869" t="s">
        <v>349</v>
      </c>
      <c r="C869" t="s">
        <v>273</v>
      </c>
      <c r="D869">
        <v>0</v>
      </c>
      <c r="E869">
        <v>0</v>
      </c>
      <c r="F869">
        <v>0</v>
      </c>
      <c r="G869">
        <v>0</v>
      </c>
    </row>
    <row r="870" spans="1:7">
      <c r="A870" t="s">
        <v>1876</v>
      </c>
      <c r="B870" t="s">
        <v>349</v>
      </c>
      <c r="C870" t="s">
        <v>1946</v>
      </c>
      <c r="D870">
        <v>265420</v>
      </c>
      <c r="E870">
        <v>263221</v>
      </c>
      <c r="F870">
        <v>265640</v>
      </c>
      <c r="G870">
        <v>264983</v>
      </c>
    </row>
    <row r="871" spans="1:7">
      <c r="A871" t="s">
        <v>1876</v>
      </c>
      <c r="B871" t="s">
        <v>349</v>
      </c>
      <c r="C871" t="s">
        <v>1947</v>
      </c>
      <c r="D871">
        <v>7438</v>
      </c>
      <c r="E871">
        <v>7366</v>
      </c>
      <c r="F871">
        <v>6792</v>
      </c>
      <c r="G871">
        <v>6387</v>
      </c>
    </row>
    <row r="872" spans="1:7">
      <c r="A872" t="s">
        <v>1876</v>
      </c>
      <c r="B872" t="s">
        <v>349</v>
      </c>
      <c r="C872" t="s">
        <v>1948</v>
      </c>
      <c r="D872">
        <v>549</v>
      </c>
      <c r="E872">
        <v>663</v>
      </c>
      <c r="F872">
        <v>464</v>
      </c>
      <c r="G872">
        <v>542</v>
      </c>
    </row>
    <row r="873" spans="1:7">
      <c r="A873" t="s">
        <v>1876</v>
      </c>
      <c r="B873" t="s">
        <v>349</v>
      </c>
      <c r="C873" t="s">
        <v>1949</v>
      </c>
      <c r="D873">
        <v>50662</v>
      </c>
      <c r="E873">
        <v>51956</v>
      </c>
      <c r="F873">
        <v>50631</v>
      </c>
      <c r="G873">
        <v>46010</v>
      </c>
    </row>
    <row r="874" spans="1:7">
      <c r="A874" t="s">
        <v>1876</v>
      </c>
      <c r="B874" t="s">
        <v>349</v>
      </c>
      <c r="C874" t="s">
        <v>1950</v>
      </c>
      <c r="D874">
        <v>4027</v>
      </c>
      <c r="E874">
        <v>4493</v>
      </c>
      <c r="F874">
        <v>4171</v>
      </c>
      <c r="G874">
        <v>4391</v>
      </c>
    </row>
    <row r="875" spans="1:7">
      <c r="A875" t="s">
        <v>1876</v>
      </c>
      <c r="B875" t="s">
        <v>349</v>
      </c>
      <c r="C875" t="s">
        <v>274</v>
      </c>
      <c r="D875">
        <v>328095</v>
      </c>
      <c r="E875">
        <v>327699</v>
      </c>
      <c r="F875">
        <v>327697</v>
      </c>
      <c r="G875">
        <v>322313</v>
      </c>
    </row>
    <row r="876" spans="1:7">
      <c r="A876" t="s">
        <v>1876</v>
      </c>
      <c r="B876" t="s">
        <v>349</v>
      </c>
      <c r="C876" t="s">
        <v>275</v>
      </c>
      <c r="D876">
        <v>0</v>
      </c>
      <c r="E876">
        <v>0</v>
      </c>
      <c r="F876">
        <v>0</v>
      </c>
      <c r="G876">
        <v>0</v>
      </c>
    </row>
    <row r="877" spans="1:7">
      <c r="A877" t="s">
        <v>1876</v>
      </c>
      <c r="B877" t="s">
        <v>349</v>
      </c>
      <c r="C877" t="s">
        <v>276</v>
      </c>
      <c r="D877">
        <v>0</v>
      </c>
      <c r="E877">
        <v>0</v>
      </c>
      <c r="F877">
        <v>0</v>
      </c>
      <c r="G877">
        <v>0</v>
      </c>
    </row>
    <row r="878" spans="1:7">
      <c r="A878" t="s">
        <v>1876</v>
      </c>
      <c r="B878" t="s">
        <v>349</v>
      </c>
      <c r="C878" t="s">
        <v>277</v>
      </c>
      <c r="D878">
        <v>32</v>
      </c>
      <c r="E878">
        <v>16</v>
      </c>
      <c r="F878">
        <v>15</v>
      </c>
      <c r="G878">
        <v>16</v>
      </c>
    </row>
    <row r="879" spans="1:7">
      <c r="A879" t="s">
        <v>1876</v>
      </c>
      <c r="B879" t="s">
        <v>349</v>
      </c>
      <c r="C879" t="s">
        <v>278</v>
      </c>
      <c r="D879">
        <v>1711</v>
      </c>
      <c r="E879">
        <v>1161</v>
      </c>
      <c r="F879">
        <v>1234</v>
      </c>
      <c r="G879">
        <v>1179</v>
      </c>
    </row>
    <row r="880" spans="1:7">
      <c r="A880" t="s">
        <v>1876</v>
      </c>
      <c r="B880" t="s">
        <v>349</v>
      </c>
      <c r="C880" t="s">
        <v>279</v>
      </c>
      <c r="D880">
        <v>2361</v>
      </c>
      <c r="E880">
        <v>2061</v>
      </c>
      <c r="F880">
        <v>2134</v>
      </c>
      <c r="G880">
        <v>1999</v>
      </c>
    </row>
    <row r="881" spans="1:7">
      <c r="A881" t="s">
        <v>1876</v>
      </c>
      <c r="B881" t="s">
        <v>349</v>
      </c>
      <c r="C881" t="s">
        <v>280</v>
      </c>
      <c r="D881">
        <v>3983</v>
      </c>
      <c r="E881">
        <v>4448</v>
      </c>
      <c r="F881">
        <v>4128</v>
      </c>
      <c r="G881">
        <v>4353</v>
      </c>
    </row>
    <row r="882" spans="1:7">
      <c r="A882" t="s">
        <v>1876</v>
      </c>
      <c r="B882" t="s">
        <v>349</v>
      </c>
      <c r="C882" t="s">
        <v>281</v>
      </c>
      <c r="D882">
        <v>8086</v>
      </c>
      <c r="E882">
        <v>7686</v>
      </c>
      <c r="F882">
        <v>7511</v>
      </c>
      <c r="G882">
        <v>7546</v>
      </c>
    </row>
    <row r="883" spans="1:7">
      <c r="A883" t="s">
        <v>1876</v>
      </c>
      <c r="B883" t="s">
        <v>349</v>
      </c>
      <c r="C883" t="s">
        <v>282</v>
      </c>
      <c r="D883">
        <v>8086</v>
      </c>
      <c r="E883">
        <v>7686</v>
      </c>
      <c r="F883">
        <v>7511</v>
      </c>
      <c r="G883">
        <v>7546</v>
      </c>
    </row>
    <row r="884" spans="1:7">
      <c r="A884" t="s">
        <v>1876</v>
      </c>
      <c r="B884" t="s">
        <v>349</v>
      </c>
      <c r="C884" t="s">
        <v>283</v>
      </c>
      <c r="D884">
        <v>0</v>
      </c>
      <c r="E884">
        <v>0</v>
      </c>
      <c r="F884">
        <v>0</v>
      </c>
      <c r="G884">
        <v>0</v>
      </c>
    </row>
    <row r="885" spans="1:7">
      <c r="A885" t="s">
        <v>1876</v>
      </c>
      <c r="B885" t="s">
        <v>349</v>
      </c>
      <c r="C885" t="s">
        <v>284</v>
      </c>
      <c r="D885">
        <v>0</v>
      </c>
      <c r="E885">
        <v>0</v>
      </c>
      <c r="F885">
        <v>0</v>
      </c>
      <c r="G885">
        <v>0</v>
      </c>
    </row>
    <row r="886" spans="1:7">
      <c r="A886" t="s">
        <v>1876</v>
      </c>
      <c r="B886" t="s">
        <v>349</v>
      </c>
      <c r="C886" t="s">
        <v>1716</v>
      </c>
      <c r="D886">
        <v>13935</v>
      </c>
      <c r="E886">
        <v>14565</v>
      </c>
      <c r="F886">
        <v>15355</v>
      </c>
      <c r="G886">
        <v>16162</v>
      </c>
    </row>
    <row r="887" spans="1:7">
      <c r="A887" t="s">
        <v>1876</v>
      </c>
      <c r="B887" t="s">
        <v>349</v>
      </c>
      <c r="C887" t="s">
        <v>1717</v>
      </c>
      <c r="D887">
        <v>1653</v>
      </c>
      <c r="E887">
        <v>1726</v>
      </c>
      <c r="F887">
        <v>1943</v>
      </c>
      <c r="G887">
        <v>2019</v>
      </c>
    </row>
    <row r="888" spans="1:7">
      <c r="A888" t="s">
        <v>1876</v>
      </c>
      <c r="B888" t="s">
        <v>349</v>
      </c>
      <c r="C888" t="s">
        <v>1718</v>
      </c>
      <c r="D888">
        <v>15957</v>
      </c>
      <c r="E888">
        <v>14845</v>
      </c>
      <c r="F888">
        <v>13985</v>
      </c>
      <c r="G888">
        <v>18901</v>
      </c>
    </row>
    <row r="889" spans="1:7">
      <c r="A889" t="s">
        <v>1876</v>
      </c>
      <c r="B889" t="s">
        <v>349</v>
      </c>
      <c r="C889" t="s">
        <v>1719</v>
      </c>
      <c r="D889">
        <v>1717</v>
      </c>
      <c r="E889">
        <v>1822</v>
      </c>
      <c r="F889">
        <v>2310</v>
      </c>
      <c r="G889">
        <v>3275</v>
      </c>
    </row>
    <row r="890" spans="1:7">
      <c r="A890" t="s">
        <v>1876</v>
      </c>
      <c r="B890" t="s">
        <v>349</v>
      </c>
      <c r="C890" t="s">
        <v>1720</v>
      </c>
      <c r="D890">
        <v>50988</v>
      </c>
      <c r="E890">
        <v>55189</v>
      </c>
      <c r="F890">
        <v>52349</v>
      </c>
      <c r="G890">
        <v>55208</v>
      </c>
    </row>
    <row r="891" spans="1:7">
      <c r="A891" t="s">
        <v>1876</v>
      </c>
      <c r="B891" t="s">
        <v>349</v>
      </c>
      <c r="C891" t="s">
        <v>1721</v>
      </c>
      <c r="D891">
        <v>7179</v>
      </c>
      <c r="E891">
        <v>8899</v>
      </c>
      <c r="F891">
        <v>8046</v>
      </c>
      <c r="G891">
        <v>7816</v>
      </c>
    </row>
    <row r="892" spans="1:7">
      <c r="A892" t="s">
        <v>1876</v>
      </c>
      <c r="B892" t="s">
        <v>349</v>
      </c>
      <c r="C892" t="s">
        <v>285</v>
      </c>
      <c r="D892">
        <v>89713</v>
      </c>
      <c r="E892">
        <v>95224</v>
      </c>
      <c r="F892">
        <v>91678</v>
      </c>
      <c r="G892">
        <v>100106</v>
      </c>
    </row>
    <row r="893" spans="1:7">
      <c r="A893" t="s">
        <v>1876</v>
      </c>
      <c r="B893" t="s">
        <v>349</v>
      </c>
      <c r="C893" t="s">
        <v>1951</v>
      </c>
      <c r="D893">
        <v>8.5</v>
      </c>
      <c r="E893">
        <v>9</v>
      </c>
      <c r="F893">
        <v>8.6999999999999993</v>
      </c>
      <c r="G893">
        <v>9.4</v>
      </c>
    </row>
    <row r="894" spans="1:7">
      <c r="A894" t="s">
        <v>1876</v>
      </c>
      <c r="B894" t="s">
        <v>349</v>
      </c>
      <c r="C894" t="s">
        <v>286</v>
      </c>
      <c r="D894">
        <v>0</v>
      </c>
      <c r="E894">
        <v>0</v>
      </c>
      <c r="F894">
        <v>0</v>
      </c>
      <c r="G894">
        <v>0</v>
      </c>
    </row>
    <row r="895" spans="1:7">
      <c r="A895" t="s">
        <v>1876</v>
      </c>
      <c r="B895" t="s">
        <v>349</v>
      </c>
      <c r="C895" t="s">
        <v>287</v>
      </c>
      <c r="D895">
        <v>0</v>
      </c>
      <c r="E895">
        <v>0</v>
      </c>
      <c r="F895">
        <v>0</v>
      </c>
      <c r="G895">
        <v>0</v>
      </c>
    </row>
    <row r="896" spans="1:7">
      <c r="A896" t="s">
        <v>1876</v>
      </c>
      <c r="B896" t="s">
        <v>349</v>
      </c>
      <c r="C896" t="s">
        <v>288</v>
      </c>
      <c r="D896">
        <v>0</v>
      </c>
      <c r="E896">
        <v>0</v>
      </c>
      <c r="F896">
        <v>0</v>
      </c>
      <c r="G896">
        <v>0</v>
      </c>
    </row>
    <row r="897" spans="1:7">
      <c r="A897" t="s">
        <v>1876</v>
      </c>
      <c r="B897" t="s">
        <v>349</v>
      </c>
      <c r="C897" t="s">
        <v>289</v>
      </c>
      <c r="D897">
        <v>0</v>
      </c>
      <c r="E897">
        <v>0</v>
      </c>
      <c r="F897">
        <v>0</v>
      </c>
      <c r="G897">
        <v>0</v>
      </c>
    </row>
    <row r="898" spans="1:7">
      <c r="A898" t="s">
        <v>1876</v>
      </c>
      <c r="B898" t="s">
        <v>349</v>
      </c>
      <c r="C898" t="s">
        <v>290</v>
      </c>
      <c r="D898">
        <v>0</v>
      </c>
      <c r="E898">
        <v>0</v>
      </c>
      <c r="F898">
        <v>0</v>
      </c>
      <c r="G898">
        <v>0</v>
      </c>
    </row>
    <row r="899" spans="1:7">
      <c r="A899" t="s">
        <v>1876</v>
      </c>
      <c r="B899" t="s">
        <v>349</v>
      </c>
      <c r="C899" t="s">
        <v>291</v>
      </c>
      <c r="D899">
        <v>0</v>
      </c>
      <c r="E899">
        <v>0</v>
      </c>
      <c r="F899">
        <v>0</v>
      </c>
      <c r="G899">
        <v>0</v>
      </c>
    </row>
    <row r="900" spans="1:7">
      <c r="A900" t="s">
        <v>1876</v>
      </c>
      <c r="B900" t="s">
        <v>349</v>
      </c>
      <c r="C900" t="s">
        <v>292</v>
      </c>
      <c r="D900">
        <v>0</v>
      </c>
      <c r="E900">
        <v>0</v>
      </c>
      <c r="F900">
        <v>0</v>
      </c>
      <c r="G900">
        <v>0</v>
      </c>
    </row>
    <row r="901" spans="1:7">
      <c r="A901" t="s">
        <v>1876</v>
      </c>
      <c r="B901" t="s">
        <v>349</v>
      </c>
      <c r="C901" t="s">
        <v>293</v>
      </c>
      <c r="D901">
        <v>0</v>
      </c>
      <c r="E901">
        <v>0</v>
      </c>
      <c r="F901">
        <v>0</v>
      </c>
      <c r="G901">
        <v>0</v>
      </c>
    </row>
    <row r="902" spans="1:7">
      <c r="A902" t="s">
        <v>1876</v>
      </c>
      <c r="B902" t="s">
        <v>349</v>
      </c>
      <c r="C902" t="s">
        <v>294</v>
      </c>
      <c r="D902">
        <v>0</v>
      </c>
      <c r="E902">
        <v>0</v>
      </c>
      <c r="F902">
        <v>0</v>
      </c>
      <c r="G902">
        <v>0</v>
      </c>
    </row>
    <row r="903" spans="1:7">
      <c r="A903" t="s">
        <v>1876</v>
      </c>
      <c r="B903" t="s">
        <v>349</v>
      </c>
      <c r="C903" t="s">
        <v>295</v>
      </c>
      <c r="D903">
        <v>0</v>
      </c>
      <c r="E903">
        <v>0</v>
      </c>
      <c r="F903">
        <v>0</v>
      </c>
      <c r="G903">
        <v>0</v>
      </c>
    </row>
    <row r="904" spans="1:7">
      <c r="A904" t="s">
        <v>1876</v>
      </c>
      <c r="B904" t="s">
        <v>349</v>
      </c>
      <c r="C904" t="s">
        <v>296</v>
      </c>
      <c r="D904">
        <v>0</v>
      </c>
      <c r="E904">
        <v>0</v>
      </c>
      <c r="F904">
        <v>0</v>
      </c>
      <c r="G904">
        <v>0</v>
      </c>
    </row>
    <row r="905" spans="1:7">
      <c r="A905" t="s">
        <v>1876</v>
      </c>
      <c r="B905" t="s">
        <v>349</v>
      </c>
      <c r="C905" t="s">
        <v>297</v>
      </c>
      <c r="D905">
        <v>6504</v>
      </c>
      <c r="E905">
        <v>7713</v>
      </c>
      <c r="F905">
        <v>7561</v>
      </c>
      <c r="G905">
        <v>7265</v>
      </c>
    </row>
    <row r="906" spans="1:7">
      <c r="A906" t="s">
        <v>1876</v>
      </c>
      <c r="B906" t="s">
        <v>349</v>
      </c>
      <c r="C906" t="s">
        <v>1952</v>
      </c>
      <c r="D906">
        <v>0</v>
      </c>
      <c r="E906">
        <v>0</v>
      </c>
      <c r="F906">
        <v>0</v>
      </c>
      <c r="G906">
        <v>0</v>
      </c>
    </row>
    <row r="907" spans="1:7">
      <c r="A907" t="s">
        <v>1876</v>
      </c>
      <c r="B907" t="s">
        <v>349</v>
      </c>
      <c r="C907" t="s">
        <v>298</v>
      </c>
      <c r="D907">
        <v>248</v>
      </c>
      <c r="E907">
        <v>277</v>
      </c>
      <c r="F907">
        <v>277</v>
      </c>
      <c r="G907">
        <v>242</v>
      </c>
    </row>
    <row r="908" spans="1:7">
      <c r="A908" t="s">
        <v>1876</v>
      </c>
      <c r="B908" t="s">
        <v>349</v>
      </c>
      <c r="C908" t="s">
        <v>299</v>
      </c>
      <c r="D908">
        <v>277</v>
      </c>
      <c r="E908">
        <v>317</v>
      </c>
      <c r="F908">
        <v>568</v>
      </c>
      <c r="G908">
        <v>643</v>
      </c>
    </row>
    <row r="909" spans="1:7">
      <c r="A909" t="s">
        <v>1876</v>
      </c>
      <c r="B909" t="s">
        <v>349</v>
      </c>
      <c r="C909" t="s">
        <v>300</v>
      </c>
      <c r="D909">
        <v>1502</v>
      </c>
      <c r="E909">
        <v>2435</v>
      </c>
      <c r="F909">
        <v>2646</v>
      </c>
      <c r="G909">
        <v>7875</v>
      </c>
    </row>
    <row r="910" spans="1:7">
      <c r="A910" t="s">
        <v>1876</v>
      </c>
      <c r="B910" t="s">
        <v>349</v>
      </c>
      <c r="C910" t="s">
        <v>1722</v>
      </c>
      <c r="D910">
        <v>224</v>
      </c>
      <c r="E910">
        <v>330</v>
      </c>
      <c r="F910">
        <v>821</v>
      </c>
      <c r="G910">
        <v>1785</v>
      </c>
    </row>
    <row r="911" spans="1:7">
      <c r="A911" t="s">
        <v>1876</v>
      </c>
      <c r="B911" t="s">
        <v>349</v>
      </c>
      <c r="C911" t="s">
        <v>301</v>
      </c>
      <c r="D911">
        <v>102</v>
      </c>
      <c r="E911">
        <v>126</v>
      </c>
      <c r="F911">
        <v>148</v>
      </c>
      <c r="G911">
        <v>288</v>
      </c>
    </row>
    <row r="912" spans="1:7">
      <c r="A912" t="s">
        <v>1876</v>
      </c>
      <c r="B912" t="s">
        <v>349</v>
      </c>
      <c r="C912" t="s">
        <v>302</v>
      </c>
      <c r="D912">
        <v>338</v>
      </c>
      <c r="E912">
        <v>488</v>
      </c>
      <c r="F912">
        <v>776</v>
      </c>
      <c r="G912">
        <v>951</v>
      </c>
    </row>
    <row r="913" spans="1:7">
      <c r="A913" t="s">
        <v>1876</v>
      </c>
      <c r="B913" t="s">
        <v>349</v>
      </c>
      <c r="C913" t="s">
        <v>303</v>
      </c>
      <c r="D913">
        <v>2220</v>
      </c>
      <c r="E913">
        <v>3365</v>
      </c>
      <c r="F913">
        <v>4139</v>
      </c>
      <c r="G913">
        <v>9757</v>
      </c>
    </row>
    <row r="914" spans="1:7">
      <c r="A914" t="s">
        <v>1876</v>
      </c>
      <c r="B914" t="s">
        <v>349</v>
      </c>
      <c r="C914" t="s">
        <v>304</v>
      </c>
      <c r="D914">
        <v>718</v>
      </c>
      <c r="E914">
        <v>930</v>
      </c>
      <c r="F914">
        <v>1493</v>
      </c>
      <c r="G914">
        <v>1882</v>
      </c>
    </row>
    <row r="915" spans="1:7">
      <c r="A915" t="s">
        <v>1876</v>
      </c>
      <c r="B915" t="s">
        <v>349</v>
      </c>
      <c r="C915" t="s">
        <v>1953</v>
      </c>
      <c r="D915">
        <v>24.1</v>
      </c>
      <c r="E915">
        <v>25.7</v>
      </c>
      <c r="F915">
        <v>20.3</v>
      </c>
      <c r="G915">
        <v>22.8</v>
      </c>
    </row>
    <row r="916" spans="1:7">
      <c r="A916" t="s">
        <v>1876</v>
      </c>
      <c r="B916" t="s">
        <v>349</v>
      </c>
      <c r="C916" t="s">
        <v>305</v>
      </c>
      <c r="D916">
        <v>284677</v>
      </c>
      <c r="E916">
        <v>283609</v>
      </c>
      <c r="F916">
        <v>287538</v>
      </c>
      <c r="G916">
        <v>287963</v>
      </c>
    </row>
    <row r="917" spans="1:7">
      <c r="A917" t="s">
        <v>1876</v>
      </c>
      <c r="B917" t="s">
        <v>349</v>
      </c>
      <c r="C917" t="s">
        <v>306</v>
      </c>
      <c r="D917">
        <v>94</v>
      </c>
      <c r="E917">
        <v>93.1</v>
      </c>
      <c r="F917">
        <v>93.7</v>
      </c>
      <c r="G917">
        <v>93</v>
      </c>
    </row>
    <row r="918" spans="1:7">
      <c r="A918" t="s">
        <v>1876</v>
      </c>
      <c r="B918" t="s">
        <v>349</v>
      </c>
      <c r="C918" t="s">
        <v>307</v>
      </c>
      <c r="D918">
        <v>172350</v>
      </c>
      <c r="E918">
        <v>173393</v>
      </c>
      <c r="F918">
        <v>169647</v>
      </c>
      <c r="G918">
        <v>169256</v>
      </c>
    </row>
    <row r="919" spans="1:7">
      <c r="A919" t="s">
        <v>1876</v>
      </c>
      <c r="B919" t="s">
        <v>349</v>
      </c>
      <c r="C919" t="s">
        <v>308</v>
      </c>
      <c r="D919">
        <v>56.9</v>
      </c>
      <c r="E919">
        <v>56.9</v>
      </c>
      <c r="F919">
        <v>55.3</v>
      </c>
      <c r="G919">
        <v>54.7</v>
      </c>
    </row>
    <row r="920" spans="1:7">
      <c r="A920" t="s">
        <v>1876</v>
      </c>
      <c r="B920" t="s">
        <v>349</v>
      </c>
      <c r="C920" t="s">
        <v>309</v>
      </c>
      <c r="D920">
        <v>524101</v>
      </c>
      <c r="E920">
        <v>568056</v>
      </c>
      <c r="F920">
        <v>545270</v>
      </c>
      <c r="G920">
        <v>528082</v>
      </c>
    </row>
    <row r="921" spans="1:7">
      <c r="A921" t="s">
        <v>1876</v>
      </c>
      <c r="B921" t="s">
        <v>349</v>
      </c>
      <c r="C921" t="s">
        <v>310</v>
      </c>
      <c r="D921">
        <v>381366</v>
      </c>
      <c r="E921">
        <v>384063</v>
      </c>
      <c r="F921">
        <v>387659</v>
      </c>
      <c r="G921">
        <v>392845</v>
      </c>
    </row>
    <row r="922" spans="1:7">
      <c r="A922" t="s">
        <v>1876</v>
      </c>
      <c r="B922" t="s">
        <v>349</v>
      </c>
      <c r="C922" t="s">
        <v>311</v>
      </c>
      <c r="D922">
        <v>126</v>
      </c>
      <c r="E922">
        <v>126</v>
      </c>
      <c r="F922">
        <v>126.3</v>
      </c>
      <c r="G922">
        <v>126.9</v>
      </c>
    </row>
    <row r="923" spans="1:7">
      <c r="A923" t="s">
        <v>1876</v>
      </c>
      <c r="B923" t="s">
        <v>349</v>
      </c>
      <c r="C923" t="s">
        <v>312</v>
      </c>
      <c r="D923">
        <v>218636</v>
      </c>
      <c r="E923">
        <v>221256</v>
      </c>
      <c r="F923">
        <v>209295</v>
      </c>
      <c r="G923">
        <v>209460</v>
      </c>
    </row>
    <row r="924" spans="1:7">
      <c r="A924" t="s">
        <v>1876</v>
      </c>
      <c r="B924" t="s">
        <v>349</v>
      </c>
      <c r="C924" t="s">
        <v>313</v>
      </c>
      <c r="D924">
        <v>72.2</v>
      </c>
      <c r="E924">
        <v>72.599999999999994</v>
      </c>
      <c r="F924">
        <v>68.2</v>
      </c>
      <c r="G924">
        <v>67.7</v>
      </c>
    </row>
    <row r="925" spans="1:7">
      <c r="A925" t="s">
        <v>1876</v>
      </c>
      <c r="B925" t="s">
        <v>349</v>
      </c>
      <c r="C925" t="s">
        <v>314</v>
      </c>
      <c r="D925">
        <v>1057029</v>
      </c>
      <c r="E925">
        <v>1062321</v>
      </c>
      <c r="F925">
        <v>1054139</v>
      </c>
      <c r="G925">
        <v>1059524</v>
      </c>
    </row>
    <row r="926" spans="1:7">
      <c r="A926" t="s">
        <v>1876</v>
      </c>
      <c r="B926" t="s">
        <v>349</v>
      </c>
      <c r="C926" t="s">
        <v>315</v>
      </c>
      <c r="D926">
        <v>7.68</v>
      </c>
      <c r="E926">
        <v>7.66</v>
      </c>
      <c r="F926">
        <v>7.43</v>
      </c>
      <c r="G926">
        <v>7.19</v>
      </c>
    </row>
    <row r="927" spans="1:7">
      <c r="A927" t="s">
        <v>1876</v>
      </c>
      <c r="B927" t="s">
        <v>349</v>
      </c>
      <c r="C927" t="s">
        <v>316</v>
      </c>
      <c r="D927">
        <v>349.2</v>
      </c>
      <c r="E927">
        <v>348.6</v>
      </c>
      <c r="F927">
        <v>343.4</v>
      </c>
      <c r="G927">
        <v>342.2</v>
      </c>
    </row>
    <row r="928" spans="1:7">
      <c r="A928" t="s">
        <v>1876</v>
      </c>
      <c r="B928" t="s">
        <v>349</v>
      </c>
      <c r="C928" t="s">
        <v>317</v>
      </c>
      <c r="D928">
        <v>1057029</v>
      </c>
      <c r="E928">
        <v>1062321</v>
      </c>
      <c r="F928">
        <v>1054139</v>
      </c>
      <c r="G928">
        <v>1059523</v>
      </c>
    </row>
    <row r="929" spans="1:7">
      <c r="A929" t="s">
        <v>1876</v>
      </c>
      <c r="B929" t="s">
        <v>349</v>
      </c>
      <c r="C929" t="s">
        <v>318</v>
      </c>
      <c r="D929">
        <v>284675</v>
      </c>
      <c r="E929">
        <v>283608</v>
      </c>
      <c r="F929">
        <v>287537</v>
      </c>
      <c r="G929">
        <v>287962</v>
      </c>
    </row>
    <row r="930" spans="1:7">
      <c r="A930" t="s">
        <v>1876</v>
      </c>
      <c r="B930" t="s">
        <v>349</v>
      </c>
      <c r="C930" t="s">
        <v>319</v>
      </c>
      <c r="D930">
        <v>106263</v>
      </c>
      <c r="E930">
        <v>105846</v>
      </c>
      <c r="F930">
        <v>102796</v>
      </c>
      <c r="G930">
        <v>102174</v>
      </c>
    </row>
    <row r="931" spans="1:7">
      <c r="A931" t="s">
        <v>1876</v>
      </c>
      <c r="B931" t="s">
        <v>349</v>
      </c>
      <c r="C931" t="s">
        <v>320</v>
      </c>
      <c r="D931">
        <v>276769</v>
      </c>
      <c r="E931">
        <v>281136</v>
      </c>
      <c r="F931">
        <v>281437</v>
      </c>
      <c r="G931">
        <v>281740</v>
      </c>
    </row>
    <row r="932" spans="1:7">
      <c r="A932" t="s">
        <v>1876</v>
      </c>
      <c r="B932" t="s">
        <v>349</v>
      </c>
      <c r="C932" t="s">
        <v>321</v>
      </c>
      <c r="D932">
        <v>110079</v>
      </c>
      <c r="E932">
        <v>110934</v>
      </c>
      <c r="F932">
        <v>104256</v>
      </c>
      <c r="G932">
        <v>103733</v>
      </c>
    </row>
    <row r="933" spans="1:7">
      <c r="A933" t="s">
        <v>1876</v>
      </c>
      <c r="B933" t="s">
        <v>349</v>
      </c>
      <c r="C933" t="s">
        <v>1954</v>
      </c>
      <c r="D933">
        <v>777786</v>
      </c>
      <c r="E933">
        <v>781524</v>
      </c>
      <c r="F933">
        <v>776026</v>
      </c>
      <c r="G933">
        <v>775610</v>
      </c>
    </row>
    <row r="934" spans="1:7">
      <c r="A934" t="s">
        <v>1876</v>
      </c>
      <c r="B934" t="s">
        <v>349</v>
      </c>
      <c r="C934" t="s">
        <v>323</v>
      </c>
      <c r="D934">
        <v>3027</v>
      </c>
      <c r="E934">
        <v>3047</v>
      </c>
      <c r="F934">
        <v>3070</v>
      </c>
      <c r="G934">
        <v>3096</v>
      </c>
    </row>
    <row r="935" spans="1:7">
      <c r="A935" t="s">
        <v>1876</v>
      </c>
      <c r="B935" t="s">
        <v>349</v>
      </c>
      <c r="C935" t="s">
        <v>324</v>
      </c>
      <c r="D935">
        <v>216</v>
      </c>
      <c r="E935">
        <v>0</v>
      </c>
      <c r="F935">
        <v>0</v>
      </c>
      <c r="G935">
        <v>0</v>
      </c>
    </row>
    <row r="936" spans="1:7">
      <c r="A936" t="s">
        <v>1876</v>
      </c>
      <c r="B936" t="s">
        <v>349</v>
      </c>
      <c r="C936" t="s">
        <v>325</v>
      </c>
      <c r="D936">
        <v>0</v>
      </c>
      <c r="E936">
        <v>0</v>
      </c>
      <c r="F936">
        <v>0</v>
      </c>
      <c r="G936">
        <v>0</v>
      </c>
    </row>
    <row r="937" spans="1:7">
      <c r="A937" t="s">
        <v>1876</v>
      </c>
      <c r="B937" t="s">
        <v>349</v>
      </c>
      <c r="C937" t="s">
        <v>326</v>
      </c>
      <c r="D937">
        <v>1163</v>
      </c>
      <c r="E937">
        <v>1163</v>
      </c>
      <c r="F937">
        <v>1163</v>
      </c>
      <c r="G937">
        <v>1163</v>
      </c>
    </row>
    <row r="938" spans="1:7">
      <c r="A938" t="s">
        <v>1876</v>
      </c>
      <c r="B938" t="s">
        <v>349</v>
      </c>
      <c r="C938" t="s">
        <v>327</v>
      </c>
      <c r="D938">
        <v>0</v>
      </c>
      <c r="E938">
        <v>0</v>
      </c>
      <c r="F938">
        <v>0</v>
      </c>
      <c r="G938">
        <v>0</v>
      </c>
    </row>
    <row r="939" spans="1:7">
      <c r="A939" t="s">
        <v>1876</v>
      </c>
      <c r="B939" t="s">
        <v>349</v>
      </c>
      <c r="C939" t="s">
        <v>1723</v>
      </c>
      <c r="D939">
        <v>217</v>
      </c>
      <c r="E939">
        <v>217</v>
      </c>
      <c r="F939">
        <v>217</v>
      </c>
      <c r="G939">
        <v>217</v>
      </c>
    </row>
    <row r="940" spans="1:7">
      <c r="A940" t="s">
        <v>1876</v>
      </c>
      <c r="B940" t="s">
        <v>349</v>
      </c>
      <c r="C940" t="s">
        <v>328</v>
      </c>
      <c r="D940">
        <v>49589</v>
      </c>
      <c r="E940">
        <v>54172</v>
      </c>
      <c r="F940">
        <v>51137</v>
      </c>
      <c r="G940">
        <v>53940</v>
      </c>
    </row>
    <row r="941" spans="1:7">
      <c r="A941" t="s">
        <v>1876</v>
      </c>
      <c r="B941" t="s">
        <v>349</v>
      </c>
      <c r="C941" t="s">
        <v>329</v>
      </c>
      <c r="D941">
        <v>6044</v>
      </c>
      <c r="E941">
        <v>7615</v>
      </c>
      <c r="F941">
        <v>6473</v>
      </c>
      <c r="G941">
        <v>6068</v>
      </c>
    </row>
    <row r="942" spans="1:7">
      <c r="A942" t="s">
        <v>1876</v>
      </c>
      <c r="B942" t="s">
        <v>349</v>
      </c>
      <c r="C942" t="s">
        <v>330</v>
      </c>
      <c r="D942">
        <v>56796</v>
      </c>
      <c r="E942">
        <v>62950</v>
      </c>
      <c r="F942">
        <v>58774</v>
      </c>
      <c r="G942">
        <v>61172</v>
      </c>
    </row>
    <row r="943" spans="1:7">
      <c r="A943" t="s">
        <v>1876</v>
      </c>
      <c r="B943" t="s">
        <v>349</v>
      </c>
      <c r="C943" t="s">
        <v>331</v>
      </c>
      <c r="D943">
        <v>27</v>
      </c>
      <c r="E943">
        <v>11</v>
      </c>
      <c r="F943">
        <v>4</v>
      </c>
      <c r="G943">
        <v>12</v>
      </c>
    </row>
    <row r="944" spans="1:7">
      <c r="A944" t="s">
        <v>1876</v>
      </c>
      <c r="B944" t="s">
        <v>349</v>
      </c>
      <c r="C944" t="s">
        <v>332</v>
      </c>
      <c r="D944">
        <v>709</v>
      </c>
      <c r="E944">
        <v>576</v>
      </c>
      <c r="F944">
        <v>322</v>
      </c>
      <c r="G944">
        <v>331</v>
      </c>
    </row>
    <row r="945" spans="1:7">
      <c r="A945" t="s">
        <v>1876</v>
      </c>
      <c r="B945" t="s">
        <v>349</v>
      </c>
      <c r="C945" t="s">
        <v>1724</v>
      </c>
      <c r="D945">
        <v>10</v>
      </c>
      <c r="E945">
        <v>10</v>
      </c>
      <c r="F945">
        <v>7</v>
      </c>
      <c r="G945">
        <v>9</v>
      </c>
    </row>
    <row r="946" spans="1:7">
      <c r="A946" t="s">
        <v>1876</v>
      </c>
      <c r="B946" t="s">
        <v>349</v>
      </c>
      <c r="C946" t="s">
        <v>333</v>
      </c>
      <c r="D946">
        <v>956</v>
      </c>
      <c r="E946">
        <v>505</v>
      </c>
      <c r="F946">
        <v>672</v>
      </c>
      <c r="G946">
        <v>709</v>
      </c>
    </row>
    <row r="947" spans="1:7">
      <c r="A947" t="s">
        <v>1876</v>
      </c>
      <c r="B947" t="s">
        <v>349</v>
      </c>
      <c r="C947" t="s">
        <v>334</v>
      </c>
      <c r="D947">
        <v>1693</v>
      </c>
      <c r="E947">
        <v>1092</v>
      </c>
      <c r="F947">
        <v>998</v>
      </c>
      <c r="G947">
        <v>1052</v>
      </c>
    </row>
    <row r="948" spans="1:7">
      <c r="A948" t="s">
        <v>1876</v>
      </c>
      <c r="B948" t="s">
        <v>349</v>
      </c>
      <c r="C948" t="s">
        <v>335</v>
      </c>
      <c r="D948">
        <v>1191</v>
      </c>
      <c r="E948">
        <v>1174</v>
      </c>
      <c r="F948">
        <v>1168</v>
      </c>
      <c r="G948">
        <v>1176</v>
      </c>
    </row>
    <row r="949" spans="1:7">
      <c r="A949" t="s">
        <v>1876</v>
      </c>
      <c r="B949" t="s">
        <v>349</v>
      </c>
      <c r="C949" t="s">
        <v>336</v>
      </c>
      <c r="D949">
        <v>709</v>
      </c>
      <c r="E949">
        <v>576</v>
      </c>
      <c r="F949">
        <v>322</v>
      </c>
      <c r="G949">
        <v>331</v>
      </c>
    </row>
    <row r="950" spans="1:7">
      <c r="A950" t="s">
        <v>1876</v>
      </c>
      <c r="B950" t="s">
        <v>349</v>
      </c>
      <c r="C950" t="s">
        <v>337</v>
      </c>
      <c r="D950">
        <v>50545</v>
      </c>
      <c r="E950">
        <v>54677</v>
      </c>
      <c r="F950">
        <v>51809</v>
      </c>
      <c r="G950">
        <v>54649</v>
      </c>
    </row>
    <row r="951" spans="1:7">
      <c r="A951" t="s">
        <v>1876</v>
      </c>
      <c r="B951" t="s">
        <v>349</v>
      </c>
      <c r="C951" t="s">
        <v>338</v>
      </c>
      <c r="D951">
        <v>58489</v>
      </c>
      <c r="E951">
        <v>64042</v>
      </c>
      <c r="F951">
        <v>59772</v>
      </c>
      <c r="G951">
        <v>62225</v>
      </c>
    </row>
    <row r="952" spans="1:7">
      <c r="A952" t="s">
        <v>1876</v>
      </c>
      <c r="B952" t="s">
        <v>349</v>
      </c>
      <c r="C952" t="s">
        <v>339</v>
      </c>
      <c r="D952">
        <v>57780</v>
      </c>
      <c r="E952">
        <v>63466</v>
      </c>
      <c r="F952">
        <v>59450</v>
      </c>
      <c r="G952">
        <v>61893</v>
      </c>
    </row>
    <row r="953" spans="1:7">
      <c r="A953" t="s">
        <v>1876</v>
      </c>
      <c r="B953" t="s">
        <v>349</v>
      </c>
      <c r="C953" t="s">
        <v>340</v>
      </c>
      <c r="D953">
        <v>148</v>
      </c>
      <c r="E953">
        <v>193</v>
      </c>
      <c r="F953">
        <v>134</v>
      </c>
      <c r="G953">
        <v>165</v>
      </c>
    </row>
    <row r="954" spans="1:7">
      <c r="A954" t="s">
        <v>1876</v>
      </c>
      <c r="B954" t="s">
        <v>349</v>
      </c>
      <c r="C954" t="s">
        <v>1955</v>
      </c>
      <c r="D954">
        <v>0</v>
      </c>
      <c r="E954">
        <v>0</v>
      </c>
      <c r="F954">
        <v>0</v>
      </c>
      <c r="G954">
        <v>0</v>
      </c>
    </row>
    <row r="955" spans="1:7">
      <c r="A955" t="s">
        <v>1876</v>
      </c>
      <c r="B955" t="s">
        <v>349</v>
      </c>
      <c r="C955" t="s">
        <v>341</v>
      </c>
      <c r="D955">
        <v>0</v>
      </c>
      <c r="E955">
        <v>0</v>
      </c>
      <c r="F955">
        <v>0</v>
      </c>
      <c r="G955">
        <v>0</v>
      </c>
    </row>
    <row r="956" spans="1:7">
      <c r="A956" t="s">
        <v>1876</v>
      </c>
      <c r="B956" t="s">
        <v>349</v>
      </c>
      <c r="C956" t="s">
        <v>342</v>
      </c>
      <c r="D956">
        <v>0</v>
      </c>
      <c r="E956">
        <v>0</v>
      </c>
      <c r="F956">
        <v>0</v>
      </c>
      <c r="G956">
        <v>0</v>
      </c>
    </row>
    <row r="957" spans="1:7">
      <c r="A957" t="s">
        <v>1876</v>
      </c>
      <c r="B957" t="s">
        <v>349</v>
      </c>
      <c r="C957" t="s">
        <v>1725</v>
      </c>
      <c r="D957">
        <v>0</v>
      </c>
      <c r="E957">
        <v>0</v>
      </c>
      <c r="F957">
        <v>0</v>
      </c>
      <c r="G957">
        <v>0</v>
      </c>
    </row>
    <row r="958" spans="1:7">
      <c r="A958" t="s">
        <v>1876</v>
      </c>
      <c r="B958" t="s">
        <v>349</v>
      </c>
      <c r="C958" t="s">
        <v>343</v>
      </c>
      <c r="D958">
        <v>0</v>
      </c>
      <c r="E958">
        <v>0</v>
      </c>
      <c r="F958">
        <v>0</v>
      </c>
      <c r="G958">
        <v>0</v>
      </c>
    </row>
    <row r="959" spans="1:7">
      <c r="A959" t="s">
        <v>1876</v>
      </c>
      <c r="B959" t="s">
        <v>349</v>
      </c>
      <c r="C959" t="s">
        <v>344</v>
      </c>
      <c r="D959">
        <v>0</v>
      </c>
      <c r="E959">
        <v>0</v>
      </c>
      <c r="F959">
        <v>0</v>
      </c>
      <c r="G959">
        <v>0</v>
      </c>
    </row>
    <row r="960" spans="1:7">
      <c r="A960" t="s">
        <v>1876</v>
      </c>
      <c r="B960" t="s">
        <v>349</v>
      </c>
      <c r="C960" t="s">
        <v>345</v>
      </c>
      <c r="D960">
        <v>0</v>
      </c>
      <c r="E960">
        <v>0</v>
      </c>
      <c r="F960">
        <v>0</v>
      </c>
      <c r="G960">
        <v>0</v>
      </c>
    </row>
    <row r="961" spans="1:7">
      <c r="A961" t="s">
        <v>1876</v>
      </c>
      <c r="B961" t="s">
        <v>349</v>
      </c>
      <c r="C961" t="s">
        <v>1956</v>
      </c>
      <c r="D961">
        <v>709</v>
      </c>
      <c r="E961">
        <v>576</v>
      </c>
      <c r="F961">
        <v>322</v>
      </c>
      <c r="G961">
        <v>331</v>
      </c>
    </row>
    <row r="962" spans="1:7">
      <c r="A962" t="s">
        <v>1876</v>
      </c>
      <c r="B962" t="s">
        <v>349</v>
      </c>
      <c r="C962" t="s">
        <v>1957</v>
      </c>
      <c r="D962">
        <v>1693</v>
      </c>
      <c r="E962">
        <v>1092</v>
      </c>
      <c r="F962">
        <v>998</v>
      </c>
      <c r="G962">
        <v>1052</v>
      </c>
    </row>
    <row r="963" spans="1:7">
      <c r="A963" t="s">
        <v>1876</v>
      </c>
      <c r="B963" t="s">
        <v>349</v>
      </c>
      <c r="C963" t="s">
        <v>346</v>
      </c>
      <c r="D963">
        <v>1784</v>
      </c>
      <c r="E963">
        <v>1937</v>
      </c>
      <c r="F963">
        <v>1936</v>
      </c>
      <c r="G963">
        <v>2007</v>
      </c>
    </row>
    <row r="964" spans="1:7">
      <c r="A964" t="s">
        <v>1876</v>
      </c>
      <c r="B964" t="s">
        <v>349</v>
      </c>
      <c r="C964" t="s">
        <v>347</v>
      </c>
      <c r="D964">
        <v>3254</v>
      </c>
      <c r="E964">
        <v>3508</v>
      </c>
      <c r="F964">
        <v>2867</v>
      </c>
      <c r="G964">
        <v>2785</v>
      </c>
    </row>
    <row r="965" spans="1:7">
      <c r="A965" t="s">
        <v>1876</v>
      </c>
      <c r="B965" t="s">
        <v>350</v>
      </c>
      <c r="C965" t="s">
        <v>133</v>
      </c>
      <c r="D965">
        <v>0</v>
      </c>
      <c r="E965">
        <v>0</v>
      </c>
      <c r="F965">
        <v>0</v>
      </c>
      <c r="G965">
        <v>0</v>
      </c>
    </row>
    <row r="966" spans="1:7">
      <c r="A966" t="s">
        <v>1876</v>
      </c>
      <c r="B966" t="s">
        <v>350</v>
      </c>
      <c r="C966" t="s">
        <v>134</v>
      </c>
      <c r="D966">
        <v>20278</v>
      </c>
      <c r="E966">
        <v>20080</v>
      </c>
      <c r="F966">
        <v>19520</v>
      </c>
      <c r="G966">
        <v>19273</v>
      </c>
    </row>
    <row r="967" spans="1:7">
      <c r="A967" t="s">
        <v>1876</v>
      </c>
      <c r="B967" t="s">
        <v>350</v>
      </c>
      <c r="C967" t="s">
        <v>135</v>
      </c>
      <c r="D967">
        <v>20278</v>
      </c>
      <c r="E967">
        <v>20080</v>
      </c>
      <c r="F967">
        <v>19520</v>
      </c>
      <c r="G967">
        <v>19273</v>
      </c>
    </row>
    <row r="968" spans="1:7">
      <c r="A968" t="s">
        <v>1876</v>
      </c>
      <c r="B968" t="s">
        <v>350</v>
      </c>
      <c r="C968" t="s">
        <v>136</v>
      </c>
      <c r="D968">
        <v>20278</v>
      </c>
      <c r="E968">
        <v>20080</v>
      </c>
      <c r="F968">
        <v>19520</v>
      </c>
      <c r="G968">
        <v>19273</v>
      </c>
    </row>
    <row r="969" spans="1:7">
      <c r="A969" t="s">
        <v>1876</v>
      </c>
      <c r="B969" t="s">
        <v>350</v>
      </c>
      <c r="C969" t="s">
        <v>137</v>
      </c>
      <c r="D969">
        <v>847</v>
      </c>
      <c r="E969">
        <v>876</v>
      </c>
      <c r="F969">
        <v>832</v>
      </c>
      <c r="G969">
        <v>895</v>
      </c>
    </row>
    <row r="970" spans="1:7">
      <c r="A970" t="s">
        <v>1876</v>
      </c>
      <c r="B970" t="s">
        <v>350</v>
      </c>
      <c r="C970" t="s">
        <v>138</v>
      </c>
      <c r="D970">
        <v>847</v>
      </c>
      <c r="E970">
        <v>876</v>
      </c>
      <c r="F970">
        <v>832</v>
      </c>
      <c r="G970">
        <v>895</v>
      </c>
    </row>
    <row r="971" spans="1:7">
      <c r="A971" t="s">
        <v>1876</v>
      </c>
      <c r="B971" t="s">
        <v>350</v>
      </c>
      <c r="C971" t="s">
        <v>139</v>
      </c>
      <c r="D971">
        <v>847</v>
      </c>
      <c r="E971">
        <v>876</v>
      </c>
      <c r="F971">
        <v>832</v>
      </c>
      <c r="G971">
        <v>895</v>
      </c>
    </row>
    <row r="972" spans="1:7">
      <c r="A972" t="s">
        <v>1876</v>
      </c>
      <c r="B972" t="s">
        <v>350</v>
      </c>
      <c r="C972" t="s">
        <v>1877</v>
      </c>
      <c r="D972">
        <v>0</v>
      </c>
      <c r="E972">
        <v>0</v>
      </c>
      <c r="F972">
        <v>0</v>
      </c>
      <c r="G972">
        <v>0</v>
      </c>
    </row>
    <row r="973" spans="1:7">
      <c r="A973" t="s">
        <v>1876</v>
      </c>
      <c r="B973" t="s">
        <v>350</v>
      </c>
      <c r="C973" t="s">
        <v>1700</v>
      </c>
      <c r="D973">
        <v>0</v>
      </c>
      <c r="E973">
        <v>0</v>
      </c>
      <c r="F973">
        <v>0</v>
      </c>
      <c r="G973">
        <v>0</v>
      </c>
    </row>
    <row r="974" spans="1:7">
      <c r="A974" t="s">
        <v>1876</v>
      </c>
      <c r="B974" t="s">
        <v>350</v>
      </c>
      <c r="C974" t="s">
        <v>1878</v>
      </c>
      <c r="D974">
        <v>0</v>
      </c>
      <c r="E974">
        <v>0</v>
      </c>
      <c r="F974">
        <v>0</v>
      </c>
      <c r="G974">
        <v>0</v>
      </c>
    </row>
    <row r="975" spans="1:7">
      <c r="A975" t="s">
        <v>1876</v>
      </c>
      <c r="B975" t="s">
        <v>350</v>
      </c>
      <c r="C975" t="s">
        <v>1879</v>
      </c>
      <c r="D975">
        <v>0</v>
      </c>
      <c r="E975">
        <v>0</v>
      </c>
      <c r="F975">
        <v>0</v>
      </c>
      <c r="G975">
        <v>0</v>
      </c>
    </row>
    <row r="976" spans="1:7">
      <c r="A976" t="s">
        <v>1876</v>
      </c>
      <c r="B976" t="s">
        <v>350</v>
      </c>
      <c r="C976" t="s">
        <v>1701</v>
      </c>
      <c r="D976">
        <v>0</v>
      </c>
      <c r="E976">
        <v>0</v>
      </c>
      <c r="F976">
        <v>0</v>
      </c>
      <c r="G976">
        <v>0</v>
      </c>
    </row>
    <row r="977" spans="1:7">
      <c r="A977" t="s">
        <v>1876</v>
      </c>
      <c r="B977" t="s">
        <v>350</v>
      </c>
      <c r="C977" t="s">
        <v>1880</v>
      </c>
      <c r="D977">
        <v>218</v>
      </c>
      <c r="E977">
        <v>188</v>
      </c>
      <c r="F977">
        <v>170</v>
      </c>
      <c r="G977">
        <v>170</v>
      </c>
    </row>
    <row r="978" spans="1:7">
      <c r="A978" t="s">
        <v>1876</v>
      </c>
      <c r="B978" t="s">
        <v>350</v>
      </c>
      <c r="C978" t="s">
        <v>140</v>
      </c>
      <c r="D978">
        <v>513</v>
      </c>
      <c r="E978">
        <v>455</v>
      </c>
      <c r="F978">
        <v>458</v>
      </c>
      <c r="G978">
        <v>484</v>
      </c>
    </row>
    <row r="979" spans="1:7">
      <c r="A979" t="s">
        <v>1876</v>
      </c>
      <c r="B979" t="s">
        <v>350</v>
      </c>
      <c r="C979" t="s">
        <v>1881</v>
      </c>
      <c r="D979">
        <v>295</v>
      </c>
      <c r="E979">
        <v>267</v>
      </c>
      <c r="F979">
        <v>288</v>
      </c>
      <c r="G979">
        <v>314</v>
      </c>
    </row>
    <row r="980" spans="1:7">
      <c r="A980" t="s">
        <v>1876</v>
      </c>
      <c r="B980" t="s">
        <v>350</v>
      </c>
      <c r="C980" t="s">
        <v>1882</v>
      </c>
      <c r="D980">
        <v>0</v>
      </c>
      <c r="E980">
        <v>0</v>
      </c>
      <c r="F980">
        <v>0</v>
      </c>
      <c r="G980">
        <v>0</v>
      </c>
    </row>
    <row r="981" spans="1:7">
      <c r="A981" t="s">
        <v>1876</v>
      </c>
      <c r="B981" t="s">
        <v>350</v>
      </c>
      <c r="C981" t="s">
        <v>1883</v>
      </c>
      <c r="D981">
        <v>0</v>
      </c>
      <c r="E981">
        <v>0</v>
      </c>
      <c r="F981">
        <v>0</v>
      </c>
      <c r="G981">
        <v>0</v>
      </c>
    </row>
    <row r="982" spans="1:7">
      <c r="A982" t="s">
        <v>1876</v>
      </c>
      <c r="B982" t="s">
        <v>350</v>
      </c>
      <c r="C982" t="s">
        <v>1884</v>
      </c>
      <c r="D982">
        <v>0</v>
      </c>
      <c r="E982">
        <v>0</v>
      </c>
      <c r="F982">
        <v>0</v>
      </c>
      <c r="G982">
        <v>0</v>
      </c>
    </row>
    <row r="983" spans="1:7">
      <c r="A983" t="s">
        <v>1876</v>
      </c>
      <c r="B983" t="s">
        <v>350</v>
      </c>
      <c r="C983" t="s">
        <v>1885</v>
      </c>
      <c r="D983">
        <v>0</v>
      </c>
      <c r="E983">
        <v>0</v>
      </c>
      <c r="F983">
        <v>0</v>
      </c>
      <c r="G983">
        <v>0</v>
      </c>
    </row>
    <row r="984" spans="1:7">
      <c r="A984" t="s">
        <v>1876</v>
      </c>
      <c r="B984" t="s">
        <v>350</v>
      </c>
      <c r="C984" t="s">
        <v>1886</v>
      </c>
      <c r="D984">
        <v>0</v>
      </c>
      <c r="E984">
        <v>0</v>
      </c>
      <c r="F984">
        <v>0</v>
      </c>
      <c r="G984">
        <v>0</v>
      </c>
    </row>
    <row r="985" spans="1:7">
      <c r="A985" t="s">
        <v>1876</v>
      </c>
      <c r="B985" t="s">
        <v>350</v>
      </c>
      <c r="C985" t="s">
        <v>141</v>
      </c>
      <c r="D985">
        <v>0</v>
      </c>
      <c r="E985">
        <v>0</v>
      </c>
      <c r="F985">
        <v>0</v>
      </c>
      <c r="G985">
        <v>0</v>
      </c>
    </row>
    <row r="986" spans="1:7">
      <c r="A986" t="s">
        <v>1876</v>
      </c>
      <c r="B986" t="s">
        <v>350</v>
      </c>
      <c r="C986" t="s">
        <v>1887</v>
      </c>
      <c r="D986">
        <v>0</v>
      </c>
      <c r="E986">
        <v>0</v>
      </c>
      <c r="F986">
        <v>0</v>
      </c>
      <c r="G986">
        <v>0</v>
      </c>
    </row>
    <row r="987" spans="1:7">
      <c r="A987" t="s">
        <v>1876</v>
      </c>
      <c r="B987" t="s">
        <v>350</v>
      </c>
      <c r="C987" t="s">
        <v>1888</v>
      </c>
      <c r="D987">
        <v>0</v>
      </c>
      <c r="E987">
        <v>0</v>
      </c>
      <c r="F987">
        <v>0</v>
      </c>
      <c r="G987">
        <v>0</v>
      </c>
    </row>
    <row r="988" spans="1:7">
      <c r="A988" t="s">
        <v>1876</v>
      </c>
      <c r="B988" t="s">
        <v>350</v>
      </c>
      <c r="C988" t="s">
        <v>1889</v>
      </c>
      <c r="D988">
        <v>218</v>
      </c>
      <c r="E988">
        <v>188</v>
      </c>
      <c r="F988">
        <v>170</v>
      </c>
      <c r="G988">
        <v>170</v>
      </c>
    </row>
    <row r="989" spans="1:7">
      <c r="A989" t="s">
        <v>1876</v>
      </c>
      <c r="B989" t="s">
        <v>350</v>
      </c>
      <c r="C989" t="s">
        <v>1890</v>
      </c>
      <c r="D989">
        <v>0</v>
      </c>
      <c r="E989">
        <v>0</v>
      </c>
      <c r="F989">
        <v>0</v>
      </c>
      <c r="G989">
        <v>0</v>
      </c>
    </row>
    <row r="990" spans="1:7">
      <c r="A990" t="s">
        <v>1876</v>
      </c>
      <c r="B990" t="s">
        <v>350</v>
      </c>
      <c r="C990" t="s">
        <v>1891</v>
      </c>
    </row>
    <row r="991" spans="1:7">
      <c r="A991" t="s">
        <v>1876</v>
      </c>
      <c r="B991" t="s">
        <v>350</v>
      </c>
      <c r="C991" t="s">
        <v>1892</v>
      </c>
      <c r="D991">
        <v>295</v>
      </c>
      <c r="E991">
        <v>267</v>
      </c>
      <c r="F991">
        <v>288</v>
      </c>
      <c r="G991">
        <v>314</v>
      </c>
    </row>
    <row r="992" spans="1:7">
      <c r="A992" t="s">
        <v>1876</v>
      </c>
      <c r="B992" t="s">
        <v>350</v>
      </c>
      <c r="C992" t="s">
        <v>142</v>
      </c>
      <c r="D992">
        <v>513</v>
      </c>
      <c r="E992">
        <v>455</v>
      </c>
      <c r="F992">
        <v>458</v>
      </c>
      <c r="G992">
        <v>484</v>
      </c>
    </row>
    <row r="993" spans="1:7">
      <c r="A993" t="s">
        <v>1876</v>
      </c>
      <c r="B993" t="s">
        <v>350</v>
      </c>
      <c r="C993" t="s">
        <v>1893</v>
      </c>
      <c r="D993">
        <v>513</v>
      </c>
      <c r="E993">
        <v>455</v>
      </c>
      <c r="F993">
        <v>458</v>
      </c>
      <c r="G993">
        <v>484</v>
      </c>
    </row>
    <row r="994" spans="1:7">
      <c r="A994" t="s">
        <v>1876</v>
      </c>
      <c r="B994" t="s">
        <v>350</v>
      </c>
      <c r="C994" t="s">
        <v>1894</v>
      </c>
      <c r="D994">
        <v>295</v>
      </c>
      <c r="E994">
        <v>267</v>
      </c>
      <c r="F994">
        <v>288</v>
      </c>
      <c r="G994">
        <v>314</v>
      </c>
    </row>
    <row r="995" spans="1:7">
      <c r="A995" t="s">
        <v>1876</v>
      </c>
      <c r="B995" t="s">
        <v>350</v>
      </c>
      <c r="C995" t="s">
        <v>143</v>
      </c>
      <c r="D995">
        <v>0</v>
      </c>
      <c r="E995">
        <v>0</v>
      </c>
      <c r="F995">
        <v>0</v>
      </c>
      <c r="G995">
        <v>0</v>
      </c>
    </row>
    <row r="996" spans="1:7">
      <c r="A996" t="s">
        <v>1876</v>
      </c>
      <c r="B996" t="s">
        <v>350</v>
      </c>
      <c r="C996" t="s">
        <v>144</v>
      </c>
      <c r="D996">
        <v>26429</v>
      </c>
      <c r="E996">
        <v>26427</v>
      </c>
      <c r="F996">
        <v>26863</v>
      </c>
      <c r="G996">
        <v>26842</v>
      </c>
    </row>
    <row r="997" spans="1:7">
      <c r="A997" t="s">
        <v>1876</v>
      </c>
      <c r="B997" t="s">
        <v>350</v>
      </c>
      <c r="C997" t="s">
        <v>1895</v>
      </c>
      <c r="D997">
        <v>86</v>
      </c>
      <c r="E997">
        <v>83.6</v>
      </c>
      <c r="F997">
        <v>79</v>
      </c>
      <c r="G997">
        <v>75.400000000000006</v>
      </c>
    </row>
    <row r="998" spans="1:7">
      <c r="A998" t="s">
        <v>1876</v>
      </c>
      <c r="B998" t="s">
        <v>350</v>
      </c>
      <c r="C998" t="s">
        <v>145</v>
      </c>
      <c r="D998">
        <v>35287</v>
      </c>
      <c r="E998">
        <v>36855</v>
      </c>
      <c r="F998">
        <v>37076</v>
      </c>
      <c r="G998">
        <v>36521</v>
      </c>
    </row>
    <row r="999" spans="1:7">
      <c r="A999" t="s">
        <v>1876</v>
      </c>
      <c r="B999" t="s">
        <v>350</v>
      </c>
      <c r="C999" t="s">
        <v>146</v>
      </c>
      <c r="D999">
        <v>0</v>
      </c>
      <c r="E999">
        <v>0</v>
      </c>
      <c r="F999">
        <v>0</v>
      </c>
      <c r="G999">
        <v>0</v>
      </c>
    </row>
    <row r="1000" spans="1:7">
      <c r="A1000" t="s">
        <v>1876</v>
      </c>
      <c r="B1000" t="s">
        <v>350</v>
      </c>
      <c r="C1000" t="s">
        <v>147</v>
      </c>
      <c r="D1000">
        <v>0</v>
      </c>
      <c r="E1000">
        <v>0</v>
      </c>
      <c r="F1000">
        <v>0</v>
      </c>
      <c r="G1000">
        <v>0</v>
      </c>
    </row>
    <row r="1001" spans="1:7">
      <c r="A1001" t="s">
        <v>1876</v>
      </c>
      <c r="B1001" t="s">
        <v>350</v>
      </c>
      <c r="C1001" t="s">
        <v>1896</v>
      </c>
      <c r="D1001">
        <v>6.6</v>
      </c>
      <c r="E1001">
        <v>6.6</v>
      </c>
      <c r="F1001">
        <v>5.5</v>
      </c>
      <c r="G1001">
        <v>12</v>
      </c>
    </row>
    <row r="1002" spans="1:7">
      <c r="A1002" t="s">
        <v>1876</v>
      </c>
      <c r="B1002" t="s">
        <v>350</v>
      </c>
      <c r="C1002" t="s">
        <v>1702</v>
      </c>
      <c r="D1002">
        <v>97</v>
      </c>
      <c r="E1002">
        <v>97</v>
      </c>
      <c r="F1002">
        <v>931</v>
      </c>
      <c r="G1002">
        <v>2121</v>
      </c>
    </row>
    <row r="1003" spans="1:7">
      <c r="A1003" t="s">
        <v>1876</v>
      </c>
      <c r="B1003" t="s">
        <v>350</v>
      </c>
      <c r="C1003" t="s">
        <v>1897</v>
      </c>
      <c r="D1003">
        <v>39.299999999999997</v>
      </c>
      <c r="E1003">
        <v>55.2</v>
      </c>
      <c r="F1003">
        <v>86</v>
      </c>
      <c r="G1003">
        <v>107.4</v>
      </c>
    </row>
    <row r="1004" spans="1:7">
      <c r="A1004" t="s">
        <v>1876</v>
      </c>
      <c r="B1004" t="s">
        <v>350</v>
      </c>
      <c r="C1004" t="s">
        <v>1898</v>
      </c>
      <c r="D1004">
        <v>67</v>
      </c>
      <c r="E1004">
        <v>103</v>
      </c>
      <c r="F1004">
        <v>280</v>
      </c>
      <c r="G1004">
        <v>367</v>
      </c>
    </row>
    <row r="1005" spans="1:7">
      <c r="A1005" t="s">
        <v>1876</v>
      </c>
      <c r="B1005" t="s">
        <v>350</v>
      </c>
      <c r="C1005" t="s">
        <v>1899</v>
      </c>
      <c r="D1005">
        <v>295</v>
      </c>
      <c r="E1005">
        <v>267</v>
      </c>
      <c r="F1005">
        <v>288</v>
      </c>
      <c r="G1005">
        <v>314</v>
      </c>
    </row>
    <row r="1006" spans="1:7">
      <c r="A1006" t="s">
        <v>1876</v>
      </c>
      <c r="B1006" t="s">
        <v>350</v>
      </c>
      <c r="C1006" t="s">
        <v>148</v>
      </c>
      <c r="D1006">
        <v>0</v>
      </c>
      <c r="E1006">
        <v>0</v>
      </c>
      <c r="F1006">
        <v>0</v>
      </c>
      <c r="G1006">
        <v>0</v>
      </c>
    </row>
    <row r="1007" spans="1:7">
      <c r="A1007" t="s">
        <v>1876</v>
      </c>
      <c r="B1007" t="s">
        <v>350</v>
      </c>
      <c r="C1007" t="s">
        <v>149</v>
      </c>
      <c r="D1007">
        <v>0</v>
      </c>
      <c r="E1007">
        <v>0</v>
      </c>
      <c r="F1007">
        <v>0</v>
      </c>
      <c r="G1007">
        <v>0</v>
      </c>
    </row>
    <row r="1008" spans="1:7">
      <c r="A1008" t="s">
        <v>1876</v>
      </c>
      <c r="B1008" t="s">
        <v>350</v>
      </c>
      <c r="C1008" t="s">
        <v>150</v>
      </c>
      <c r="D1008">
        <v>0</v>
      </c>
      <c r="E1008">
        <v>0</v>
      </c>
      <c r="F1008">
        <v>0</v>
      </c>
      <c r="G1008">
        <v>0</v>
      </c>
    </row>
    <row r="1009" spans="1:7">
      <c r="A1009" t="s">
        <v>1876</v>
      </c>
      <c r="B1009" t="s">
        <v>350</v>
      </c>
      <c r="C1009" t="s">
        <v>1900</v>
      </c>
      <c r="D1009">
        <v>57</v>
      </c>
      <c r="E1009">
        <v>52.9</v>
      </c>
      <c r="F1009">
        <v>48.9</v>
      </c>
      <c r="G1009">
        <v>41.9</v>
      </c>
    </row>
    <row r="1010" spans="1:7">
      <c r="A1010" t="s">
        <v>1876</v>
      </c>
      <c r="B1010" t="s">
        <v>350</v>
      </c>
      <c r="C1010" t="s">
        <v>151</v>
      </c>
      <c r="D1010">
        <v>0</v>
      </c>
      <c r="E1010">
        <v>0</v>
      </c>
      <c r="F1010">
        <v>0</v>
      </c>
      <c r="G1010">
        <v>0</v>
      </c>
    </row>
    <row r="1011" spans="1:7">
      <c r="A1011" t="s">
        <v>1876</v>
      </c>
      <c r="B1011" t="s">
        <v>350</v>
      </c>
      <c r="C1011" t="s">
        <v>152</v>
      </c>
      <c r="D1011">
        <v>153948</v>
      </c>
      <c r="E1011">
        <v>148020</v>
      </c>
      <c r="F1011">
        <v>132429</v>
      </c>
      <c r="G1011">
        <v>108425</v>
      </c>
    </row>
    <row r="1012" spans="1:7">
      <c r="A1012" t="s">
        <v>1876</v>
      </c>
      <c r="B1012" t="s">
        <v>350</v>
      </c>
      <c r="C1012" t="s">
        <v>1703</v>
      </c>
      <c r="D1012">
        <v>2943</v>
      </c>
      <c r="E1012">
        <v>2943</v>
      </c>
      <c r="F1012">
        <v>2939</v>
      </c>
      <c r="G1012">
        <v>2936</v>
      </c>
    </row>
    <row r="1013" spans="1:7">
      <c r="A1013" t="s">
        <v>1876</v>
      </c>
      <c r="B1013" t="s">
        <v>350</v>
      </c>
      <c r="C1013" t="s">
        <v>153</v>
      </c>
      <c r="D1013">
        <v>6351</v>
      </c>
      <c r="E1013">
        <v>5987</v>
      </c>
      <c r="F1013">
        <v>5456</v>
      </c>
      <c r="G1013">
        <v>3701</v>
      </c>
    </row>
    <row r="1014" spans="1:7">
      <c r="A1014" t="s">
        <v>1876</v>
      </c>
      <c r="B1014" t="s">
        <v>350</v>
      </c>
      <c r="C1014" t="s">
        <v>154</v>
      </c>
      <c r="D1014">
        <v>0</v>
      </c>
      <c r="E1014">
        <v>0</v>
      </c>
      <c r="F1014">
        <v>0</v>
      </c>
      <c r="G1014">
        <v>0</v>
      </c>
    </row>
    <row r="1015" spans="1:7">
      <c r="A1015" t="s">
        <v>1876</v>
      </c>
      <c r="B1015" t="s">
        <v>350</v>
      </c>
      <c r="C1015" t="s">
        <v>155</v>
      </c>
      <c r="D1015">
        <v>6351</v>
      </c>
      <c r="E1015">
        <v>5987</v>
      </c>
      <c r="F1015">
        <v>5456</v>
      </c>
      <c r="G1015">
        <v>3701</v>
      </c>
    </row>
    <row r="1016" spans="1:7">
      <c r="A1016" t="s">
        <v>1876</v>
      </c>
      <c r="B1016" t="s">
        <v>350</v>
      </c>
      <c r="C1016" t="s">
        <v>156</v>
      </c>
      <c r="D1016">
        <v>0</v>
      </c>
      <c r="E1016">
        <v>0</v>
      </c>
      <c r="F1016">
        <v>0</v>
      </c>
      <c r="G1016">
        <v>0</v>
      </c>
    </row>
    <row r="1017" spans="1:7">
      <c r="A1017" t="s">
        <v>1876</v>
      </c>
      <c r="B1017" t="s">
        <v>350</v>
      </c>
      <c r="C1017" t="s">
        <v>157</v>
      </c>
      <c r="D1017">
        <v>160299</v>
      </c>
      <c r="E1017">
        <v>154007</v>
      </c>
      <c r="F1017">
        <v>137885</v>
      </c>
      <c r="G1017">
        <v>112126</v>
      </c>
    </row>
    <row r="1018" spans="1:7">
      <c r="A1018" t="s">
        <v>1876</v>
      </c>
      <c r="B1018" t="s">
        <v>350</v>
      </c>
      <c r="C1018" t="s">
        <v>158</v>
      </c>
      <c r="D1018">
        <v>6351</v>
      </c>
      <c r="E1018">
        <v>5987</v>
      </c>
      <c r="F1018">
        <v>5456</v>
      </c>
      <c r="G1018">
        <v>3701</v>
      </c>
    </row>
    <row r="1019" spans="1:7">
      <c r="A1019" t="s">
        <v>1876</v>
      </c>
      <c r="B1019" t="s">
        <v>350</v>
      </c>
      <c r="C1019" t="s">
        <v>159</v>
      </c>
      <c r="D1019">
        <v>0</v>
      </c>
      <c r="E1019">
        <v>0</v>
      </c>
      <c r="F1019">
        <v>0</v>
      </c>
      <c r="G1019">
        <v>0</v>
      </c>
    </row>
    <row r="1020" spans="1:7">
      <c r="A1020" t="s">
        <v>1876</v>
      </c>
      <c r="B1020" t="s">
        <v>350</v>
      </c>
      <c r="C1020" t="s">
        <v>1901</v>
      </c>
      <c r="D1020">
        <v>50.5</v>
      </c>
      <c r="E1020">
        <v>46</v>
      </c>
      <c r="F1020">
        <v>53.4</v>
      </c>
      <c r="G1020">
        <v>55.4</v>
      </c>
    </row>
    <row r="1021" spans="1:7">
      <c r="A1021" t="s">
        <v>1876</v>
      </c>
      <c r="B1021" t="s">
        <v>350</v>
      </c>
      <c r="C1021" t="s">
        <v>1902</v>
      </c>
      <c r="D1021">
        <v>135945</v>
      </c>
      <c r="E1021">
        <v>120648</v>
      </c>
      <c r="F1021">
        <v>121569</v>
      </c>
      <c r="G1021">
        <v>128388</v>
      </c>
    </row>
    <row r="1022" spans="1:7">
      <c r="A1022" t="s">
        <v>1876</v>
      </c>
      <c r="B1022" t="s">
        <v>350</v>
      </c>
      <c r="C1022" t="s">
        <v>1903</v>
      </c>
      <c r="D1022">
        <v>5364</v>
      </c>
      <c r="E1022">
        <v>5988</v>
      </c>
      <c r="F1022">
        <v>6581</v>
      </c>
      <c r="G1022">
        <v>5982</v>
      </c>
    </row>
    <row r="1023" spans="1:7">
      <c r="A1023" t="s">
        <v>1876</v>
      </c>
      <c r="B1023" t="s">
        <v>350</v>
      </c>
      <c r="C1023" t="s">
        <v>1904</v>
      </c>
      <c r="D1023">
        <v>493</v>
      </c>
      <c r="E1023">
        <v>359</v>
      </c>
      <c r="F1023">
        <v>359</v>
      </c>
      <c r="G1023">
        <v>347</v>
      </c>
    </row>
    <row r="1024" spans="1:7">
      <c r="A1024" t="s">
        <v>1876</v>
      </c>
      <c r="B1024" t="s">
        <v>350</v>
      </c>
      <c r="C1024" t="s">
        <v>1905</v>
      </c>
      <c r="D1024">
        <v>29160</v>
      </c>
      <c r="E1024">
        <v>29477</v>
      </c>
      <c r="F1024">
        <v>28770</v>
      </c>
      <c r="G1024">
        <v>27919</v>
      </c>
    </row>
    <row r="1025" spans="1:7">
      <c r="A1025" t="s">
        <v>1876</v>
      </c>
      <c r="B1025" t="s">
        <v>350</v>
      </c>
      <c r="C1025" t="s">
        <v>1906</v>
      </c>
      <c r="D1025">
        <v>10</v>
      </c>
      <c r="E1025">
        <v>11</v>
      </c>
      <c r="F1025">
        <v>12</v>
      </c>
      <c r="G1025">
        <v>11</v>
      </c>
    </row>
    <row r="1026" spans="1:7">
      <c r="A1026" t="s">
        <v>1876</v>
      </c>
      <c r="B1026" t="s">
        <v>350</v>
      </c>
      <c r="C1026" t="s">
        <v>1907</v>
      </c>
      <c r="D1026">
        <v>170972</v>
      </c>
      <c r="E1026">
        <v>156484</v>
      </c>
      <c r="F1026">
        <v>157291</v>
      </c>
      <c r="G1026">
        <v>162648</v>
      </c>
    </row>
    <row r="1027" spans="1:7">
      <c r="A1027" t="s">
        <v>1876</v>
      </c>
      <c r="B1027" t="s">
        <v>350</v>
      </c>
      <c r="C1027" t="s">
        <v>160</v>
      </c>
      <c r="D1027">
        <v>135650</v>
      </c>
      <c r="E1027">
        <v>120381</v>
      </c>
      <c r="F1027">
        <v>121280</v>
      </c>
      <c r="G1027">
        <v>128073</v>
      </c>
    </row>
    <row r="1028" spans="1:7">
      <c r="A1028" t="s">
        <v>1876</v>
      </c>
      <c r="B1028" t="s">
        <v>350</v>
      </c>
      <c r="C1028" t="s">
        <v>161</v>
      </c>
      <c r="D1028">
        <v>5364</v>
      </c>
      <c r="E1028">
        <v>5988</v>
      </c>
      <c r="F1028">
        <v>6581</v>
      </c>
      <c r="G1028">
        <v>5982</v>
      </c>
    </row>
    <row r="1029" spans="1:7">
      <c r="A1029" t="s">
        <v>1876</v>
      </c>
      <c r="B1029" t="s">
        <v>350</v>
      </c>
      <c r="C1029" t="s">
        <v>162</v>
      </c>
      <c r="D1029">
        <v>493</v>
      </c>
      <c r="E1029">
        <v>359</v>
      </c>
      <c r="F1029">
        <v>359</v>
      </c>
      <c r="G1029">
        <v>347</v>
      </c>
    </row>
    <row r="1030" spans="1:7">
      <c r="A1030" t="s">
        <v>1876</v>
      </c>
      <c r="B1030" t="s">
        <v>350</v>
      </c>
      <c r="C1030" t="s">
        <v>163</v>
      </c>
      <c r="D1030">
        <v>29160</v>
      </c>
      <c r="E1030">
        <v>29477</v>
      </c>
      <c r="F1030">
        <v>28770</v>
      </c>
      <c r="G1030">
        <v>27919</v>
      </c>
    </row>
    <row r="1031" spans="1:7">
      <c r="A1031" t="s">
        <v>1876</v>
      </c>
      <c r="B1031" t="s">
        <v>350</v>
      </c>
      <c r="C1031" t="s">
        <v>164</v>
      </c>
      <c r="D1031">
        <v>10</v>
      </c>
      <c r="E1031">
        <v>11</v>
      </c>
      <c r="F1031">
        <v>12</v>
      </c>
      <c r="G1031">
        <v>11</v>
      </c>
    </row>
    <row r="1032" spans="1:7">
      <c r="A1032" t="s">
        <v>1876</v>
      </c>
      <c r="B1032" t="s">
        <v>350</v>
      </c>
      <c r="C1032" t="s">
        <v>165</v>
      </c>
      <c r="D1032">
        <v>170677</v>
      </c>
      <c r="E1032">
        <v>156217</v>
      </c>
      <c r="F1032">
        <v>157002</v>
      </c>
      <c r="G1032">
        <v>162333</v>
      </c>
    </row>
    <row r="1033" spans="1:7">
      <c r="A1033" t="s">
        <v>1876</v>
      </c>
      <c r="B1033" t="s">
        <v>350</v>
      </c>
      <c r="C1033" t="s">
        <v>166</v>
      </c>
      <c r="D1033">
        <v>170184</v>
      </c>
      <c r="E1033">
        <v>155858</v>
      </c>
      <c r="F1033">
        <v>156644</v>
      </c>
      <c r="G1033">
        <v>161986</v>
      </c>
    </row>
    <row r="1034" spans="1:7">
      <c r="A1034" t="s">
        <v>1876</v>
      </c>
      <c r="B1034" t="s">
        <v>350</v>
      </c>
      <c r="C1034" t="s">
        <v>167</v>
      </c>
      <c r="D1034">
        <v>493</v>
      </c>
      <c r="E1034">
        <v>359</v>
      </c>
      <c r="F1034">
        <v>359</v>
      </c>
      <c r="G1034">
        <v>347</v>
      </c>
    </row>
    <row r="1035" spans="1:7">
      <c r="A1035" t="s">
        <v>1876</v>
      </c>
      <c r="B1035" t="s">
        <v>350</v>
      </c>
      <c r="C1035" t="s">
        <v>1908</v>
      </c>
      <c r="D1035">
        <v>135432</v>
      </c>
      <c r="E1035">
        <v>120193</v>
      </c>
      <c r="F1035">
        <v>121110</v>
      </c>
      <c r="G1035">
        <v>127904</v>
      </c>
    </row>
    <row r="1036" spans="1:7">
      <c r="A1036" t="s">
        <v>1876</v>
      </c>
      <c r="B1036" t="s">
        <v>350</v>
      </c>
      <c r="C1036" t="s">
        <v>1909</v>
      </c>
      <c r="D1036">
        <v>5364</v>
      </c>
      <c r="E1036">
        <v>5988</v>
      </c>
      <c r="F1036">
        <v>6581</v>
      </c>
      <c r="G1036">
        <v>5982</v>
      </c>
    </row>
    <row r="1037" spans="1:7">
      <c r="A1037" t="s">
        <v>1876</v>
      </c>
      <c r="B1037" t="s">
        <v>350</v>
      </c>
      <c r="C1037" t="s">
        <v>1910</v>
      </c>
      <c r="D1037">
        <v>493</v>
      </c>
      <c r="E1037">
        <v>359</v>
      </c>
      <c r="F1037">
        <v>359</v>
      </c>
      <c r="G1037">
        <v>347</v>
      </c>
    </row>
    <row r="1038" spans="1:7">
      <c r="A1038" t="s">
        <v>1876</v>
      </c>
      <c r="B1038" t="s">
        <v>350</v>
      </c>
      <c r="C1038" t="s">
        <v>1911</v>
      </c>
      <c r="D1038">
        <v>29160</v>
      </c>
      <c r="E1038">
        <v>29477</v>
      </c>
      <c r="F1038">
        <v>28770</v>
      </c>
      <c r="G1038">
        <v>27919</v>
      </c>
    </row>
    <row r="1039" spans="1:7">
      <c r="A1039" t="s">
        <v>1876</v>
      </c>
      <c r="B1039" t="s">
        <v>350</v>
      </c>
      <c r="C1039" t="s">
        <v>1912</v>
      </c>
      <c r="D1039">
        <v>10</v>
      </c>
      <c r="E1039">
        <v>11</v>
      </c>
      <c r="F1039">
        <v>12</v>
      </c>
      <c r="G1039">
        <v>11</v>
      </c>
    </row>
    <row r="1040" spans="1:7">
      <c r="A1040" t="s">
        <v>1876</v>
      </c>
      <c r="B1040" t="s">
        <v>350</v>
      </c>
      <c r="C1040" t="s">
        <v>168</v>
      </c>
      <c r="D1040">
        <v>170459</v>
      </c>
      <c r="E1040">
        <v>156029</v>
      </c>
      <c r="F1040">
        <v>156832</v>
      </c>
      <c r="G1040">
        <v>162163</v>
      </c>
    </row>
    <row r="1041" spans="1:7">
      <c r="A1041" t="s">
        <v>1876</v>
      </c>
      <c r="B1041" t="s">
        <v>350</v>
      </c>
      <c r="C1041" t="s">
        <v>169</v>
      </c>
      <c r="D1041">
        <v>12</v>
      </c>
      <c r="E1041">
        <v>13</v>
      </c>
      <c r="F1041">
        <v>13</v>
      </c>
      <c r="G1041">
        <v>8</v>
      </c>
    </row>
    <row r="1042" spans="1:7">
      <c r="A1042" t="s">
        <v>1876</v>
      </c>
      <c r="B1042" t="s">
        <v>350</v>
      </c>
      <c r="C1042" t="s">
        <v>1704</v>
      </c>
      <c r="D1042">
        <v>27596</v>
      </c>
      <c r="E1042">
        <v>28202</v>
      </c>
      <c r="F1042">
        <v>29885</v>
      </c>
      <c r="G1042">
        <v>32877</v>
      </c>
    </row>
    <row r="1043" spans="1:7">
      <c r="A1043" t="s">
        <v>1876</v>
      </c>
      <c r="B1043" t="s">
        <v>350</v>
      </c>
      <c r="C1043" t="s">
        <v>170</v>
      </c>
      <c r="D1043">
        <v>0</v>
      </c>
      <c r="E1043">
        <v>0</v>
      </c>
      <c r="F1043">
        <v>0</v>
      </c>
      <c r="G1043">
        <v>0</v>
      </c>
    </row>
    <row r="1044" spans="1:7">
      <c r="A1044" t="s">
        <v>1876</v>
      </c>
      <c r="B1044" t="s">
        <v>350</v>
      </c>
      <c r="C1044" t="s">
        <v>171</v>
      </c>
      <c r="D1044">
        <v>-198610</v>
      </c>
      <c r="E1044">
        <v>-139821</v>
      </c>
      <c r="F1044">
        <v>-186087</v>
      </c>
      <c r="G1044">
        <v>-168763</v>
      </c>
    </row>
    <row r="1045" spans="1:7">
      <c r="A1045" t="s">
        <v>1876</v>
      </c>
      <c r="B1045" t="s">
        <v>350</v>
      </c>
      <c r="C1045" t="s">
        <v>172</v>
      </c>
      <c r="D1045">
        <v>-12</v>
      </c>
      <c r="E1045">
        <v>-13</v>
      </c>
      <c r="F1045">
        <v>-13</v>
      </c>
      <c r="G1045">
        <v>-8</v>
      </c>
    </row>
    <row r="1046" spans="1:7">
      <c r="A1046" t="s">
        <v>1876</v>
      </c>
      <c r="B1046" t="s">
        <v>350</v>
      </c>
      <c r="C1046" t="s">
        <v>1913</v>
      </c>
      <c r="D1046">
        <v>54.4</v>
      </c>
      <c r="E1046">
        <v>74.099999999999994</v>
      </c>
      <c r="F1046">
        <v>108.5</v>
      </c>
      <c r="G1046">
        <v>135.69999999999999</v>
      </c>
    </row>
    <row r="1047" spans="1:7">
      <c r="A1047" t="s">
        <v>1876</v>
      </c>
      <c r="B1047" t="s">
        <v>350</v>
      </c>
      <c r="C1047" t="s">
        <v>1914</v>
      </c>
      <c r="D1047">
        <v>0.9</v>
      </c>
      <c r="E1047">
        <v>1.2</v>
      </c>
      <c r="F1047">
        <v>1.8</v>
      </c>
      <c r="G1047">
        <v>2.2000000000000002</v>
      </c>
    </row>
    <row r="1048" spans="1:7">
      <c r="A1048" t="s">
        <v>1876</v>
      </c>
      <c r="B1048" t="s">
        <v>350</v>
      </c>
      <c r="C1048" t="s">
        <v>173</v>
      </c>
      <c r="D1048">
        <v>24566</v>
      </c>
      <c r="E1048">
        <v>24519</v>
      </c>
      <c r="F1048">
        <v>24943</v>
      </c>
      <c r="G1048">
        <v>25420</v>
      </c>
    </row>
    <row r="1049" spans="1:7">
      <c r="A1049" t="s">
        <v>1876</v>
      </c>
      <c r="B1049" t="s">
        <v>350</v>
      </c>
      <c r="C1049" t="s">
        <v>174</v>
      </c>
      <c r="D1049">
        <v>696</v>
      </c>
      <c r="E1049">
        <v>732</v>
      </c>
      <c r="F1049">
        <v>731</v>
      </c>
      <c r="G1049">
        <v>595</v>
      </c>
    </row>
    <row r="1050" spans="1:7">
      <c r="A1050" t="s">
        <v>1876</v>
      </c>
      <c r="B1050" t="s">
        <v>350</v>
      </c>
      <c r="C1050" t="s">
        <v>175</v>
      </c>
      <c r="D1050">
        <v>653</v>
      </c>
      <c r="E1050">
        <v>720</v>
      </c>
      <c r="F1050">
        <v>731</v>
      </c>
      <c r="G1050">
        <v>343</v>
      </c>
    </row>
    <row r="1051" spans="1:7">
      <c r="A1051" t="s">
        <v>1876</v>
      </c>
      <c r="B1051" t="s">
        <v>350</v>
      </c>
      <c r="C1051" t="s">
        <v>176</v>
      </c>
      <c r="D1051">
        <v>0</v>
      </c>
      <c r="E1051">
        <v>0</v>
      </c>
      <c r="F1051">
        <v>0</v>
      </c>
      <c r="G1051">
        <v>0</v>
      </c>
    </row>
    <row r="1052" spans="1:7">
      <c r="A1052" t="s">
        <v>1876</v>
      </c>
      <c r="B1052" t="s">
        <v>350</v>
      </c>
      <c r="C1052" t="s">
        <v>177</v>
      </c>
      <c r="D1052">
        <v>25916</v>
      </c>
      <c r="E1052">
        <v>25972</v>
      </c>
      <c r="F1052">
        <v>26405</v>
      </c>
      <c r="G1052">
        <v>26358</v>
      </c>
    </row>
    <row r="1053" spans="1:7">
      <c r="A1053" t="s">
        <v>1876</v>
      </c>
      <c r="B1053" t="s">
        <v>350</v>
      </c>
      <c r="C1053" t="s">
        <v>178</v>
      </c>
      <c r="D1053">
        <v>0</v>
      </c>
      <c r="E1053">
        <v>0</v>
      </c>
      <c r="F1053">
        <v>0</v>
      </c>
      <c r="G1053">
        <v>0</v>
      </c>
    </row>
    <row r="1054" spans="1:7">
      <c r="A1054" t="s">
        <v>1876</v>
      </c>
      <c r="B1054" t="s">
        <v>350</v>
      </c>
      <c r="C1054" t="s">
        <v>179</v>
      </c>
      <c r="D1054">
        <v>0</v>
      </c>
      <c r="E1054">
        <v>0</v>
      </c>
      <c r="F1054">
        <v>0</v>
      </c>
      <c r="G1054">
        <v>0</v>
      </c>
    </row>
    <row r="1055" spans="1:7">
      <c r="A1055" t="s">
        <v>1876</v>
      </c>
      <c r="B1055" t="s">
        <v>350</v>
      </c>
      <c r="C1055" t="s">
        <v>180</v>
      </c>
      <c r="D1055">
        <v>36</v>
      </c>
      <c r="E1055">
        <v>35</v>
      </c>
      <c r="F1055">
        <v>34</v>
      </c>
      <c r="G1055">
        <v>35</v>
      </c>
    </row>
    <row r="1056" spans="1:7">
      <c r="A1056" t="s">
        <v>1876</v>
      </c>
      <c r="B1056" t="s">
        <v>350</v>
      </c>
      <c r="C1056" t="s">
        <v>181</v>
      </c>
      <c r="D1056">
        <v>102326</v>
      </c>
      <c r="E1056">
        <v>107502</v>
      </c>
      <c r="F1056">
        <v>111298</v>
      </c>
      <c r="G1056">
        <v>123174</v>
      </c>
    </row>
    <row r="1057" spans="1:7">
      <c r="A1057" t="s">
        <v>1876</v>
      </c>
      <c r="B1057" t="s">
        <v>350</v>
      </c>
      <c r="C1057" t="s">
        <v>182</v>
      </c>
      <c r="D1057">
        <v>48072</v>
      </c>
      <c r="E1057">
        <v>48831</v>
      </c>
      <c r="F1057">
        <v>48780</v>
      </c>
      <c r="G1057">
        <v>48784</v>
      </c>
    </row>
    <row r="1058" spans="1:7">
      <c r="A1058" t="s">
        <v>1876</v>
      </c>
      <c r="B1058" t="s">
        <v>350</v>
      </c>
      <c r="C1058" t="s">
        <v>183</v>
      </c>
      <c r="D1058">
        <v>126689</v>
      </c>
      <c r="E1058">
        <v>130910</v>
      </c>
      <c r="F1058">
        <v>133042</v>
      </c>
      <c r="G1058">
        <v>137964</v>
      </c>
    </row>
    <row r="1059" spans="1:7">
      <c r="A1059" t="s">
        <v>1876</v>
      </c>
      <c r="B1059" t="s">
        <v>350</v>
      </c>
      <c r="C1059" t="s">
        <v>184</v>
      </c>
      <c r="D1059">
        <v>277123</v>
      </c>
      <c r="E1059">
        <v>287279</v>
      </c>
      <c r="F1059">
        <v>293155</v>
      </c>
      <c r="G1059">
        <v>309957</v>
      </c>
    </row>
    <row r="1060" spans="1:7">
      <c r="A1060" t="s">
        <v>1876</v>
      </c>
      <c r="B1060" t="s">
        <v>350</v>
      </c>
      <c r="C1060" t="s">
        <v>185</v>
      </c>
      <c r="D1060">
        <v>277123</v>
      </c>
      <c r="E1060">
        <v>287279</v>
      </c>
      <c r="F1060">
        <v>293155</v>
      </c>
      <c r="G1060">
        <v>309957</v>
      </c>
    </row>
    <row r="1061" spans="1:7">
      <c r="A1061" t="s">
        <v>1876</v>
      </c>
      <c r="B1061" t="s">
        <v>350</v>
      </c>
      <c r="C1061" t="s">
        <v>1915</v>
      </c>
      <c r="D1061">
        <v>93</v>
      </c>
      <c r="E1061">
        <v>136</v>
      </c>
      <c r="F1061">
        <v>338</v>
      </c>
      <c r="G1061">
        <v>431</v>
      </c>
    </row>
    <row r="1062" spans="1:7">
      <c r="A1062" t="s">
        <v>1876</v>
      </c>
      <c r="B1062" t="s">
        <v>350</v>
      </c>
      <c r="C1062" t="s">
        <v>1916</v>
      </c>
      <c r="D1062">
        <v>0</v>
      </c>
      <c r="E1062">
        <v>0</v>
      </c>
      <c r="F1062">
        <v>0</v>
      </c>
      <c r="G1062">
        <v>0</v>
      </c>
    </row>
    <row r="1063" spans="1:7">
      <c r="A1063" t="s">
        <v>1876</v>
      </c>
      <c r="B1063" t="s">
        <v>350</v>
      </c>
      <c r="C1063" t="s">
        <v>1917</v>
      </c>
      <c r="D1063">
        <v>10</v>
      </c>
      <c r="E1063">
        <v>9</v>
      </c>
      <c r="F1063">
        <v>11</v>
      </c>
      <c r="G1063">
        <v>11</v>
      </c>
    </row>
    <row r="1064" spans="1:7">
      <c r="A1064" t="s">
        <v>1876</v>
      </c>
      <c r="B1064" t="s">
        <v>350</v>
      </c>
      <c r="C1064" t="s">
        <v>1918</v>
      </c>
      <c r="D1064">
        <v>2151</v>
      </c>
      <c r="E1064">
        <v>2598</v>
      </c>
      <c r="F1064">
        <v>2986</v>
      </c>
      <c r="G1064">
        <v>3432</v>
      </c>
    </row>
    <row r="1065" spans="1:7">
      <c r="A1065" t="s">
        <v>1876</v>
      </c>
      <c r="B1065" t="s">
        <v>350</v>
      </c>
      <c r="C1065" t="s">
        <v>1919</v>
      </c>
      <c r="D1065">
        <v>2.67</v>
      </c>
      <c r="E1065">
        <v>2.75</v>
      </c>
      <c r="F1065">
        <v>2.66</v>
      </c>
      <c r="G1065">
        <v>2.67</v>
      </c>
    </row>
    <row r="1066" spans="1:7">
      <c r="A1066" t="s">
        <v>1876</v>
      </c>
      <c r="B1066" t="s">
        <v>350</v>
      </c>
      <c r="C1066" t="s">
        <v>1920</v>
      </c>
      <c r="D1066">
        <v>2612</v>
      </c>
      <c r="E1066">
        <v>3239</v>
      </c>
      <c r="F1066">
        <v>4072</v>
      </c>
      <c r="G1066">
        <v>4641</v>
      </c>
    </row>
    <row r="1067" spans="1:7">
      <c r="A1067" t="s">
        <v>1876</v>
      </c>
      <c r="B1067" t="s">
        <v>350</v>
      </c>
      <c r="C1067" t="s">
        <v>1921</v>
      </c>
      <c r="D1067">
        <v>884</v>
      </c>
      <c r="E1067">
        <v>1040</v>
      </c>
      <c r="F1067">
        <v>1281</v>
      </c>
      <c r="G1067">
        <v>1468</v>
      </c>
    </row>
    <row r="1068" spans="1:7">
      <c r="A1068" t="s">
        <v>1876</v>
      </c>
      <c r="B1068" t="s">
        <v>350</v>
      </c>
      <c r="C1068" t="s">
        <v>1922</v>
      </c>
      <c r="D1068">
        <v>451</v>
      </c>
      <c r="E1068">
        <v>632</v>
      </c>
      <c r="F1068">
        <v>1075</v>
      </c>
      <c r="G1068">
        <v>1198</v>
      </c>
    </row>
    <row r="1069" spans="1:7">
      <c r="A1069" t="s">
        <v>1876</v>
      </c>
      <c r="B1069" t="s">
        <v>350</v>
      </c>
      <c r="C1069" t="s">
        <v>1923</v>
      </c>
      <c r="D1069">
        <v>4.9000000000000004</v>
      </c>
      <c r="E1069">
        <v>6.02</v>
      </c>
      <c r="F1069">
        <v>6.29</v>
      </c>
      <c r="G1069">
        <v>6.11</v>
      </c>
    </row>
    <row r="1070" spans="1:7">
      <c r="A1070" t="s">
        <v>1876</v>
      </c>
      <c r="B1070" t="s">
        <v>350</v>
      </c>
      <c r="C1070" t="s">
        <v>1924</v>
      </c>
      <c r="D1070">
        <v>47</v>
      </c>
      <c r="E1070">
        <v>3</v>
      </c>
      <c r="F1070">
        <v>6</v>
      </c>
      <c r="G1070">
        <v>3</v>
      </c>
    </row>
    <row r="1071" spans="1:7">
      <c r="A1071" t="s">
        <v>1876</v>
      </c>
      <c r="B1071" t="s">
        <v>350</v>
      </c>
      <c r="C1071" t="s">
        <v>1925</v>
      </c>
      <c r="D1071">
        <v>137</v>
      </c>
      <c r="E1071">
        <v>153</v>
      </c>
      <c r="F1071">
        <v>175</v>
      </c>
      <c r="G1071">
        <v>175</v>
      </c>
    </row>
    <row r="1072" spans="1:7">
      <c r="A1072" t="s">
        <v>1876</v>
      </c>
      <c r="B1072" t="s">
        <v>350</v>
      </c>
      <c r="C1072" t="s">
        <v>1926</v>
      </c>
      <c r="D1072">
        <v>700</v>
      </c>
      <c r="E1072">
        <v>884</v>
      </c>
      <c r="F1072">
        <v>1100</v>
      </c>
      <c r="G1072">
        <v>1290</v>
      </c>
    </row>
    <row r="1073" spans="1:7">
      <c r="A1073" t="s">
        <v>1876</v>
      </c>
      <c r="B1073" t="s">
        <v>350</v>
      </c>
      <c r="C1073" t="s">
        <v>1927</v>
      </c>
      <c r="D1073">
        <v>45</v>
      </c>
      <c r="E1073">
        <v>51</v>
      </c>
      <c r="F1073">
        <v>22</v>
      </c>
      <c r="G1073">
        <v>20</v>
      </c>
    </row>
    <row r="1074" spans="1:7">
      <c r="A1074" t="s">
        <v>1876</v>
      </c>
      <c r="B1074" t="s">
        <v>350</v>
      </c>
      <c r="C1074" t="s">
        <v>1928</v>
      </c>
      <c r="D1074">
        <v>809</v>
      </c>
      <c r="E1074">
        <v>960</v>
      </c>
      <c r="F1074">
        <v>1209</v>
      </c>
      <c r="G1074">
        <v>1381</v>
      </c>
    </row>
    <row r="1075" spans="1:7">
      <c r="A1075" t="s">
        <v>1876</v>
      </c>
      <c r="B1075" t="s">
        <v>350</v>
      </c>
      <c r="C1075" t="s">
        <v>1929</v>
      </c>
      <c r="D1075">
        <v>30</v>
      </c>
      <c r="E1075">
        <v>29</v>
      </c>
      <c r="F1075">
        <v>50</v>
      </c>
      <c r="G1075">
        <v>67</v>
      </c>
    </row>
    <row r="1076" spans="1:7">
      <c r="A1076" t="s">
        <v>1876</v>
      </c>
      <c r="B1076" t="s">
        <v>350</v>
      </c>
      <c r="C1076" t="s">
        <v>186</v>
      </c>
      <c r="D1076">
        <v>0</v>
      </c>
      <c r="E1076">
        <v>0</v>
      </c>
      <c r="F1076">
        <v>0</v>
      </c>
      <c r="G1076">
        <v>0</v>
      </c>
    </row>
    <row r="1077" spans="1:7">
      <c r="A1077" t="s">
        <v>1876</v>
      </c>
      <c r="B1077" t="s">
        <v>350</v>
      </c>
      <c r="C1077" t="s">
        <v>187</v>
      </c>
      <c r="D1077">
        <v>0</v>
      </c>
      <c r="E1077">
        <v>0</v>
      </c>
      <c r="F1077">
        <v>0</v>
      </c>
      <c r="G1077">
        <v>0</v>
      </c>
    </row>
    <row r="1078" spans="1:7">
      <c r="A1078" t="s">
        <v>1876</v>
      </c>
      <c r="B1078" t="s">
        <v>350</v>
      </c>
      <c r="C1078" t="s">
        <v>1705</v>
      </c>
      <c r="D1078">
        <v>17197</v>
      </c>
      <c r="E1078">
        <v>17588</v>
      </c>
      <c r="F1078">
        <v>17549</v>
      </c>
      <c r="G1078">
        <v>17568</v>
      </c>
    </row>
    <row r="1079" spans="1:7">
      <c r="A1079" t="s">
        <v>1876</v>
      </c>
      <c r="B1079" t="s">
        <v>350</v>
      </c>
      <c r="C1079" t="s">
        <v>188</v>
      </c>
      <c r="D1079">
        <v>1253196</v>
      </c>
      <c r="E1079">
        <v>1217566</v>
      </c>
      <c r="F1079">
        <v>1278786</v>
      </c>
      <c r="G1079">
        <v>1276171</v>
      </c>
    </row>
    <row r="1080" spans="1:7">
      <c r="A1080" t="s">
        <v>1876</v>
      </c>
      <c r="B1080" t="s">
        <v>350</v>
      </c>
      <c r="C1080" t="s">
        <v>189</v>
      </c>
      <c r="D1080">
        <v>0</v>
      </c>
      <c r="E1080">
        <v>0</v>
      </c>
      <c r="F1080">
        <v>0</v>
      </c>
      <c r="G1080">
        <v>0</v>
      </c>
    </row>
    <row r="1081" spans="1:7">
      <c r="A1081" t="s">
        <v>1876</v>
      </c>
      <c r="B1081" t="s">
        <v>350</v>
      </c>
      <c r="C1081" t="s">
        <v>190</v>
      </c>
      <c r="D1081">
        <v>0</v>
      </c>
      <c r="E1081">
        <v>0</v>
      </c>
      <c r="F1081">
        <v>0</v>
      </c>
      <c r="G1081">
        <v>0</v>
      </c>
    </row>
    <row r="1082" spans="1:7">
      <c r="A1082" t="s">
        <v>1876</v>
      </c>
      <c r="B1082" t="s">
        <v>350</v>
      </c>
      <c r="C1082" t="s">
        <v>191</v>
      </c>
      <c r="D1082">
        <v>0</v>
      </c>
      <c r="E1082">
        <v>0</v>
      </c>
      <c r="F1082">
        <v>0</v>
      </c>
      <c r="G1082">
        <v>0</v>
      </c>
    </row>
    <row r="1083" spans="1:7">
      <c r="A1083" t="s">
        <v>1876</v>
      </c>
      <c r="B1083" t="s">
        <v>350</v>
      </c>
      <c r="C1083" t="s">
        <v>192</v>
      </c>
      <c r="D1083">
        <v>438136</v>
      </c>
      <c r="E1083">
        <v>488722.2</v>
      </c>
      <c r="F1083">
        <v>530105</v>
      </c>
      <c r="G1083">
        <v>570088.6</v>
      </c>
    </row>
    <row r="1084" spans="1:7">
      <c r="A1084" t="s">
        <v>1876</v>
      </c>
      <c r="B1084" t="s">
        <v>350</v>
      </c>
      <c r="C1084" t="s">
        <v>193</v>
      </c>
      <c r="D1084">
        <v>396457.5</v>
      </c>
      <c r="E1084">
        <v>413798.8</v>
      </c>
      <c r="F1084">
        <v>427644</v>
      </c>
      <c r="G1084">
        <v>446968.2</v>
      </c>
    </row>
    <row r="1085" spans="1:7">
      <c r="A1085" t="s">
        <v>1876</v>
      </c>
      <c r="B1085" t="s">
        <v>350</v>
      </c>
      <c r="C1085" t="s">
        <v>1930</v>
      </c>
      <c r="D1085">
        <v>0</v>
      </c>
      <c r="E1085">
        <v>0</v>
      </c>
      <c r="F1085">
        <v>0</v>
      </c>
      <c r="G1085">
        <v>0</v>
      </c>
    </row>
    <row r="1086" spans="1:7">
      <c r="A1086" t="s">
        <v>1876</v>
      </c>
      <c r="B1086" t="s">
        <v>350</v>
      </c>
      <c r="C1086" t="s">
        <v>194</v>
      </c>
      <c r="D1086">
        <v>48</v>
      </c>
      <c r="E1086">
        <v>48</v>
      </c>
      <c r="F1086">
        <v>48</v>
      </c>
      <c r="G1086">
        <v>48</v>
      </c>
    </row>
    <row r="1087" spans="1:7">
      <c r="A1087" t="s">
        <v>1876</v>
      </c>
      <c r="B1087" t="s">
        <v>350</v>
      </c>
      <c r="C1087" t="s">
        <v>195</v>
      </c>
      <c r="D1087">
        <v>0</v>
      </c>
      <c r="E1087">
        <v>0</v>
      </c>
      <c r="F1087">
        <v>0</v>
      </c>
      <c r="G1087">
        <v>0</v>
      </c>
    </row>
    <row r="1088" spans="1:7">
      <c r="A1088" t="s">
        <v>1876</v>
      </c>
      <c r="B1088" t="s">
        <v>350</v>
      </c>
      <c r="C1088" t="s">
        <v>1706</v>
      </c>
      <c r="D1088">
        <v>0</v>
      </c>
      <c r="E1088">
        <v>0</v>
      </c>
      <c r="F1088">
        <v>0</v>
      </c>
      <c r="G1088">
        <v>0</v>
      </c>
    </row>
    <row r="1089" spans="1:7">
      <c r="A1089" t="s">
        <v>1876</v>
      </c>
      <c r="B1089" t="s">
        <v>350</v>
      </c>
      <c r="C1089" t="s">
        <v>196</v>
      </c>
      <c r="D1089">
        <v>247</v>
      </c>
      <c r="E1089">
        <v>247</v>
      </c>
      <c r="F1089">
        <v>247</v>
      </c>
      <c r="G1089">
        <v>247</v>
      </c>
    </row>
    <row r="1090" spans="1:7">
      <c r="A1090" t="s">
        <v>1876</v>
      </c>
      <c r="B1090" t="s">
        <v>350</v>
      </c>
      <c r="C1090" t="s">
        <v>197</v>
      </c>
      <c r="D1090">
        <v>50</v>
      </c>
      <c r="E1090">
        <v>50</v>
      </c>
      <c r="F1090">
        <v>50</v>
      </c>
      <c r="G1090">
        <v>50</v>
      </c>
    </row>
    <row r="1091" spans="1:7">
      <c r="A1091" t="s">
        <v>1876</v>
      </c>
      <c r="B1091" t="s">
        <v>350</v>
      </c>
      <c r="C1091" t="s">
        <v>198</v>
      </c>
      <c r="D1091">
        <v>345</v>
      </c>
      <c r="E1091">
        <v>345</v>
      </c>
      <c r="F1091">
        <v>345</v>
      </c>
      <c r="G1091">
        <v>345</v>
      </c>
    </row>
    <row r="1092" spans="1:7">
      <c r="A1092" t="s">
        <v>1876</v>
      </c>
      <c r="B1092" t="s">
        <v>350</v>
      </c>
      <c r="C1092" t="s">
        <v>199</v>
      </c>
      <c r="D1092">
        <v>345</v>
      </c>
      <c r="E1092">
        <v>345</v>
      </c>
      <c r="F1092">
        <v>345</v>
      </c>
      <c r="G1092">
        <v>345</v>
      </c>
    </row>
    <row r="1093" spans="1:7">
      <c r="A1093" t="s">
        <v>1876</v>
      </c>
      <c r="B1093" t="s">
        <v>350</v>
      </c>
      <c r="C1093" t="s">
        <v>200</v>
      </c>
      <c r="D1093">
        <v>557</v>
      </c>
      <c r="E1093">
        <v>316</v>
      </c>
      <c r="F1093">
        <v>273</v>
      </c>
      <c r="G1093">
        <v>190</v>
      </c>
    </row>
    <row r="1094" spans="1:7">
      <c r="A1094" t="s">
        <v>1876</v>
      </c>
      <c r="B1094" t="s">
        <v>350</v>
      </c>
      <c r="C1094" t="s">
        <v>201</v>
      </c>
      <c r="D1094">
        <v>3614</v>
      </c>
      <c r="E1094">
        <v>3286</v>
      </c>
      <c r="F1094">
        <v>3641</v>
      </c>
      <c r="G1094">
        <v>3613</v>
      </c>
    </row>
    <row r="1095" spans="1:7">
      <c r="A1095" t="s">
        <v>1876</v>
      </c>
      <c r="B1095" t="s">
        <v>350</v>
      </c>
      <c r="C1095" t="s">
        <v>202</v>
      </c>
      <c r="D1095">
        <v>1258</v>
      </c>
      <c r="E1095">
        <v>2550</v>
      </c>
      <c r="F1095">
        <v>1216</v>
      </c>
      <c r="G1095">
        <v>1413</v>
      </c>
    </row>
    <row r="1096" spans="1:7">
      <c r="A1096" t="s">
        <v>1876</v>
      </c>
      <c r="B1096" t="s">
        <v>350</v>
      </c>
      <c r="C1096" t="s">
        <v>203</v>
      </c>
      <c r="D1096">
        <v>5101</v>
      </c>
      <c r="E1096">
        <v>4780</v>
      </c>
      <c r="F1096">
        <v>5081</v>
      </c>
      <c r="G1096">
        <v>4590</v>
      </c>
    </row>
    <row r="1097" spans="1:7">
      <c r="A1097" t="s">
        <v>1876</v>
      </c>
      <c r="B1097" t="s">
        <v>350</v>
      </c>
      <c r="C1097" t="s">
        <v>204</v>
      </c>
      <c r="D1097">
        <v>10531</v>
      </c>
      <c r="E1097">
        <v>10932</v>
      </c>
      <c r="F1097">
        <v>10210</v>
      </c>
      <c r="G1097">
        <v>9807</v>
      </c>
    </row>
    <row r="1098" spans="1:7">
      <c r="A1098" t="s">
        <v>1876</v>
      </c>
      <c r="B1098" t="s">
        <v>350</v>
      </c>
      <c r="C1098" t="s">
        <v>205</v>
      </c>
      <c r="D1098">
        <v>10531</v>
      </c>
      <c r="E1098">
        <v>10932</v>
      </c>
      <c r="F1098">
        <v>10210</v>
      </c>
      <c r="G1098">
        <v>9807</v>
      </c>
    </row>
    <row r="1099" spans="1:7">
      <c r="A1099" t="s">
        <v>1876</v>
      </c>
      <c r="B1099" t="s">
        <v>350</v>
      </c>
      <c r="C1099" t="s">
        <v>1931</v>
      </c>
      <c r="D1099">
        <v>13.1</v>
      </c>
      <c r="E1099">
        <v>10</v>
      </c>
      <c r="F1099">
        <v>13</v>
      </c>
      <c r="G1099">
        <v>6.8</v>
      </c>
    </row>
    <row r="1100" spans="1:7">
      <c r="A1100" t="s">
        <v>1876</v>
      </c>
      <c r="B1100" t="s">
        <v>350</v>
      </c>
      <c r="C1100" t="s">
        <v>1707</v>
      </c>
      <c r="D1100">
        <v>216</v>
      </c>
      <c r="E1100">
        <v>216</v>
      </c>
      <c r="F1100">
        <v>216</v>
      </c>
      <c r="G1100">
        <v>216</v>
      </c>
    </row>
    <row r="1101" spans="1:7">
      <c r="A1101" t="s">
        <v>1876</v>
      </c>
      <c r="B1101" t="s">
        <v>350</v>
      </c>
      <c r="C1101" t="s">
        <v>1932</v>
      </c>
      <c r="D1101">
        <v>25.1</v>
      </c>
      <c r="E1101">
        <v>22.2</v>
      </c>
      <c r="F1101">
        <v>24.9</v>
      </c>
      <c r="G1101">
        <v>22.2</v>
      </c>
    </row>
    <row r="1102" spans="1:7">
      <c r="A1102" t="s">
        <v>1876</v>
      </c>
      <c r="B1102" t="s">
        <v>350</v>
      </c>
      <c r="C1102" t="s">
        <v>1708</v>
      </c>
      <c r="D1102">
        <v>2721</v>
      </c>
      <c r="E1102">
        <v>2720</v>
      </c>
      <c r="F1102">
        <v>2722</v>
      </c>
      <c r="G1102">
        <v>2721</v>
      </c>
    </row>
    <row r="1103" spans="1:7">
      <c r="A1103" t="s">
        <v>1876</v>
      </c>
      <c r="B1103" t="s">
        <v>350</v>
      </c>
      <c r="C1103" t="s">
        <v>206</v>
      </c>
      <c r="D1103">
        <v>0</v>
      </c>
      <c r="E1103">
        <v>0</v>
      </c>
      <c r="F1103">
        <v>0</v>
      </c>
      <c r="G1103">
        <v>0</v>
      </c>
    </row>
    <row r="1104" spans="1:7">
      <c r="A1104" t="s">
        <v>1876</v>
      </c>
      <c r="B1104" t="s">
        <v>350</v>
      </c>
      <c r="C1104" t="s">
        <v>207</v>
      </c>
      <c r="D1104">
        <v>20379</v>
      </c>
      <c r="E1104">
        <v>18075</v>
      </c>
      <c r="F1104">
        <v>20258</v>
      </c>
      <c r="G1104">
        <v>18131</v>
      </c>
    </row>
    <row r="1105" spans="1:7">
      <c r="A1105" t="s">
        <v>1876</v>
      </c>
      <c r="B1105" t="s">
        <v>350</v>
      </c>
      <c r="C1105" t="s">
        <v>208</v>
      </c>
      <c r="D1105">
        <v>0</v>
      </c>
      <c r="E1105">
        <v>0</v>
      </c>
      <c r="F1105">
        <v>0</v>
      </c>
      <c r="G1105">
        <v>0</v>
      </c>
    </row>
    <row r="1106" spans="1:7">
      <c r="A1106" t="s">
        <v>1876</v>
      </c>
      <c r="B1106" t="s">
        <v>350</v>
      </c>
      <c r="C1106" t="s">
        <v>209</v>
      </c>
      <c r="D1106">
        <v>20379</v>
      </c>
      <c r="E1106">
        <v>18075</v>
      </c>
      <c r="F1106">
        <v>20258</v>
      </c>
      <c r="G1106">
        <v>18131</v>
      </c>
    </row>
    <row r="1107" spans="1:7">
      <c r="A1107" t="s">
        <v>1876</v>
      </c>
      <c r="B1107" t="s">
        <v>350</v>
      </c>
      <c r="C1107" t="s">
        <v>210</v>
      </c>
      <c r="D1107">
        <v>0</v>
      </c>
      <c r="E1107">
        <v>0</v>
      </c>
      <c r="F1107">
        <v>0</v>
      </c>
      <c r="G1107">
        <v>0</v>
      </c>
    </row>
    <row r="1108" spans="1:7">
      <c r="A1108" t="s">
        <v>1876</v>
      </c>
      <c r="B1108" t="s">
        <v>350</v>
      </c>
      <c r="C1108" t="s">
        <v>211</v>
      </c>
      <c r="D1108">
        <v>0</v>
      </c>
      <c r="E1108">
        <v>0</v>
      </c>
      <c r="F1108">
        <v>0</v>
      </c>
      <c r="G1108">
        <v>0</v>
      </c>
    </row>
    <row r="1109" spans="1:7">
      <c r="A1109" t="s">
        <v>1876</v>
      </c>
      <c r="B1109" t="s">
        <v>350</v>
      </c>
      <c r="C1109" t="s">
        <v>212</v>
      </c>
      <c r="D1109">
        <v>0</v>
      </c>
      <c r="E1109">
        <v>0</v>
      </c>
      <c r="F1109">
        <v>0</v>
      </c>
      <c r="G1109">
        <v>0</v>
      </c>
    </row>
    <row r="1110" spans="1:7">
      <c r="A1110" t="s">
        <v>1876</v>
      </c>
      <c r="B1110" t="s">
        <v>350</v>
      </c>
      <c r="C1110" t="s">
        <v>213</v>
      </c>
      <c r="D1110">
        <v>0</v>
      </c>
      <c r="E1110">
        <v>0</v>
      </c>
      <c r="F1110">
        <v>0</v>
      </c>
      <c r="G1110">
        <v>0</v>
      </c>
    </row>
    <row r="1111" spans="1:7">
      <c r="A1111" t="s">
        <v>1876</v>
      </c>
      <c r="B1111" t="s">
        <v>350</v>
      </c>
      <c r="C1111" t="s">
        <v>214</v>
      </c>
      <c r="D1111">
        <v>0</v>
      </c>
      <c r="E1111">
        <v>0</v>
      </c>
      <c r="F1111">
        <v>0</v>
      </c>
      <c r="G1111">
        <v>0</v>
      </c>
    </row>
    <row r="1112" spans="1:7">
      <c r="A1112" t="s">
        <v>1876</v>
      </c>
      <c r="B1112" t="s">
        <v>350</v>
      </c>
      <c r="C1112" t="s">
        <v>215</v>
      </c>
      <c r="D1112">
        <v>73214</v>
      </c>
      <c r="E1112">
        <v>75326</v>
      </c>
      <c r="F1112">
        <v>79621</v>
      </c>
      <c r="G1112">
        <v>81407</v>
      </c>
    </row>
    <row r="1113" spans="1:7">
      <c r="A1113" t="s">
        <v>1876</v>
      </c>
      <c r="B1113" t="s">
        <v>350</v>
      </c>
      <c r="C1113" t="s">
        <v>216</v>
      </c>
      <c r="D1113">
        <v>73214</v>
      </c>
      <c r="E1113">
        <v>75326</v>
      </c>
      <c r="F1113">
        <v>79621</v>
      </c>
      <c r="G1113">
        <v>81407</v>
      </c>
    </row>
    <row r="1114" spans="1:7">
      <c r="A1114" t="s">
        <v>1876</v>
      </c>
      <c r="B1114" t="s">
        <v>350</v>
      </c>
      <c r="C1114" t="s">
        <v>217</v>
      </c>
      <c r="D1114">
        <v>73214</v>
      </c>
      <c r="E1114">
        <v>75326</v>
      </c>
      <c r="F1114">
        <v>79621</v>
      </c>
      <c r="G1114">
        <v>81407</v>
      </c>
    </row>
    <row r="1115" spans="1:7">
      <c r="A1115" t="s">
        <v>1876</v>
      </c>
      <c r="B1115" t="s">
        <v>350</v>
      </c>
      <c r="C1115" t="s">
        <v>218</v>
      </c>
      <c r="D1115">
        <v>1</v>
      </c>
      <c r="E1115">
        <v>1</v>
      </c>
      <c r="F1115">
        <v>1</v>
      </c>
      <c r="G1115">
        <v>1</v>
      </c>
    </row>
    <row r="1116" spans="1:7">
      <c r="A1116" t="s">
        <v>1876</v>
      </c>
      <c r="B1116" t="s">
        <v>350</v>
      </c>
      <c r="C1116" t="s">
        <v>219</v>
      </c>
      <c r="D1116">
        <v>0</v>
      </c>
      <c r="E1116">
        <v>0</v>
      </c>
      <c r="F1116">
        <v>1</v>
      </c>
      <c r="G1116">
        <v>1</v>
      </c>
    </row>
    <row r="1117" spans="1:7">
      <c r="A1117" t="s">
        <v>1876</v>
      </c>
      <c r="B1117" t="s">
        <v>350</v>
      </c>
      <c r="C1117" t="s">
        <v>220</v>
      </c>
      <c r="D1117">
        <v>1</v>
      </c>
      <c r="E1117">
        <v>1</v>
      </c>
      <c r="F1117">
        <v>1</v>
      </c>
      <c r="G1117">
        <v>1</v>
      </c>
    </row>
    <row r="1118" spans="1:7">
      <c r="A1118" t="s">
        <v>1876</v>
      </c>
      <c r="B1118" t="s">
        <v>350</v>
      </c>
      <c r="C1118" t="s">
        <v>221</v>
      </c>
      <c r="D1118">
        <v>2</v>
      </c>
      <c r="E1118">
        <v>1</v>
      </c>
      <c r="F1118">
        <v>3</v>
      </c>
      <c r="G1118">
        <v>2</v>
      </c>
    </row>
    <row r="1119" spans="1:7">
      <c r="A1119" t="s">
        <v>1876</v>
      </c>
      <c r="B1119" t="s">
        <v>350</v>
      </c>
      <c r="C1119" t="s">
        <v>222</v>
      </c>
      <c r="D1119">
        <v>2</v>
      </c>
      <c r="E1119">
        <v>1</v>
      </c>
      <c r="F1119">
        <v>3</v>
      </c>
      <c r="G1119">
        <v>2</v>
      </c>
    </row>
    <row r="1120" spans="1:7">
      <c r="A1120" t="s">
        <v>1876</v>
      </c>
      <c r="B1120" t="s">
        <v>350</v>
      </c>
      <c r="C1120" t="s">
        <v>1933</v>
      </c>
      <c r="D1120">
        <v>5940.8</v>
      </c>
      <c r="E1120">
        <v>6025.1</v>
      </c>
      <c r="F1120">
        <v>6020.4</v>
      </c>
      <c r="G1120">
        <v>6073.8</v>
      </c>
    </row>
    <row r="1121" spans="1:7">
      <c r="A1121" t="s">
        <v>1876</v>
      </c>
      <c r="B1121" t="s">
        <v>350</v>
      </c>
      <c r="C1121" t="s">
        <v>223</v>
      </c>
      <c r="D1121">
        <v>56</v>
      </c>
      <c r="E1121">
        <v>55</v>
      </c>
      <c r="F1121">
        <v>53</v>
      </c>
      <c r="G1121">
        <v>53</v>
      </c>
    </row>
    <row r="1122" spans="1:7">
      <c r="A1122" t="s">
        <v>1876</v>
      </c>
      <c r="B1122" t="s">
        <v>350</v>
      </c>
      <c r="C1122" t="s">
        <v>224</v>
      </c>
      <c r="D1122">
        <v>158669</v>
      </c>
      <c r="E1122">
        <v>170034</v>
      </c>
      <c r="F1122">
        <v>170896</v>
      </c>
      <c r="G1122">
        <v>184937</v>
      </c>
    </row>
    <row r="1123" spans="1:7">
      <c r="A1123" t="s">
        <v>1876</v>
      </c>
      <c r="B1123" t="s">
        <v>350</v>
      </c>
      <c r="C1123" t="s">
        <v>225</v>
      </c>
      <c r="D1123">
        <v>74541</v>
      </c>
      <c r="E1123">
        <v>77235</v>
      </c>
      <c r="F1123">
        <v>74901</v>
      </c>
      <c r="G1123">
        <v>73246</v>
      </c>
    </row>
    <row r="1124" spans="1:7">
      <c r="A1124" t="s">
        <v>1876</v>
      </c>
      <c r="B1124" t="s">
        <v>350</v>
      </c>
      <c r="C1124" t="s">
        <v>226</v>
      </c>
      <c r="D1124">
        <v>196446</v>
      </c>
      <c r="E1124">
        <v>207059</v>
      </c>
      <c r="F1124">
        <v>204283</v>
      </c>
      <c r="G1124">
        <v>207144</v>
      </c>
    </row>
    <row r="1125" spans="1:7">
      <c r="A1125" t="s">
        <v>1876</v>
      </c>
      <c r="B1125" t="s">
        <v>350</v>
      </c>
      <c r="C1125" t="s">
        <v>227</v>
      </c>
      <c r="D1125">
        <v>429713</v>
      </c>
      <c r="E1125">
        <v>454383</v>
      </c>
      <c r="F1125">
        <v>450132</v>
      </c>
      <c r="G1125">
        <v>465380</v>
      </c>
    </row>
    <row r="1126" spans="1:7">
      <c r="A1126" t="s">
        <v>1876</v>
      </c>
      <c r="B1126" t="s">
        <v>350</v>
      </c>
      <c r="C1126" t="s">
        <v>228</v>
      </c>
      <c r="D1126">
        <v>429713</v>
      </c>
      <c r="E1126">
        <v>454383</v>
      </c>
      <c r="F1126">
        <v>450132</v>
      </c>
      <c r="G1126">
        <v>465380</v>
      </c>
    </row>
    <row r="1127" spans="1:7">
      <c r="A1127" t="s">
        <v>1876</v>
      </c>
      <c r="B1127" t="s">
        <v>350</v>
      </c>
      <c r="C1127" t="s">
        <v>229</v>
      </c>
      <c r="D1127">
        <v>2570</v>
      </c>
      <c r="E1127">
        <v>2567</v>
      </c>
      <c r="F1127">
        <v>1895</v>
      </c>
      <c r="G1127">
        <v>1914</v>
      </c>
    </row>
    <row r="1128" spans="1:7">
      <c r="A1128" t="s">
        <v>1876</v>
      </c>
      <c r="B1128" t="s">
        <v>350</v>
      </c>
      <c r="C1128" t="s">
        <v>230</v>
      </c>
      <c r="D1128">
        <v>1615</v>
      </c>
      <c r="E1128">
        <v>1702</v>
      </c>
      <c r="F1128">
        <v>1264</v>
      </c>
      <c r="G1128">
        <v>1188</v>
      </c>
    </row>
    <row r="1129" spans="1:7">
      <c r="A1129" t="s">
        <v>1876</v>
      </c>
      <c r="B1129" t="s">
        <v>350</v>
      </c>
      <c r="C1129" t="s">
        <v>231</v>
      </c>
      <c r="D1129">
        <v>4185</v>
      </c>
      <c r="E1129">
        <v>4269</v>
      </c>
      <c r="F1129">
        <v>3159</v>
      </c>
      <c r="G1129">
        <v>3102</v>
      </c>
    </row>
    <row r="1130" spans="1:7">
      <c r="A1130" t="s">
        <v>1876</v>
      </c>
      <c r="B1130" t="s">
        <v>350</v>
      </c>
      <c r="C1130" t="s">
        <v>232</v>
      </c>
      <c r="D1130">
        <v>4185</v>
      </c>
      <c r="E1130">
        <v>4269</v>
      </c>
      <c r="F1130">
        <v>3159</v>
      </c>
      <c r="G1130">
        <v>3102</v>
      </c>
    </row>
    <row r="1131" spans="1:7">
      <c r="A1131" t="s">
        <v>1876</v>
      </c>
      <c r="B1131" t="s">
        <v>350</v>
      </c>
      <c r="C1131" t="s">
        <v>233</v>
      </c>
      <c r="D1131">
        <v>0</v>
      </c>
      <c r="E1131">
        <v>0</v>
      </c>
      <c r="F1131">
        <v>0</v>
      </c>
      <c r="G1131">
        <v>0</v>
      </c>
    </row>
    <row r="1132" spans="1:7">
      <c r="A1132" t="s">
        <v>1876</v>
      </c>
      <c r="B1132" t="s">
        <v>350</v>
      </c>
      <c r="C1132" t="s">
        <v>234</v>
      </c>
      <c r="D1132">
        <v>334037</v>
      </c>
      <c r="E1132">
        <v>332200</v>
      </c>
      <c r="F1132">
        <v>338094</v>
      </c>
      <c r="G1132">
        <v>345974</v>
      </c>
    </row>
    <row r="1133" spans="1:7">
      <c r="A1133" t="s">
        <v>1876</v>
      </c>
      <c r="B1133" t="s">
        <v>350</v>
      </c>
      <c r="C1133" t="s">
        <v>235</v>
      </c>
      <c r="D1133">
        <v>9469</v>
      </c>
      <c r="E1133">
        <v>9924</v>
      </c>
      <c r="F1133">
        <v>9905</v>
      </c>
      <c r="G1133">
        <v>8104</v>
      </c>
    </row>
    <row r="1134" spans="1:7">
      <c r="A1134" t="s">
        <v>1876</v>
      </c>
      <c r="B1134" t="s">
        <v>350</v>
      </c>
      <c r="C1134" t="s">
        <v>236</v>
      </c>
      <c r="D1134">
        <v>8883</v>
      </c>
      <c r="E1134">
        <v>9752</v>
      </c>
      <c r="F1134">
        <v>9914</v>
      </c>
      <c r="G1134">
        <v>4662</v>
      </c>
    </row>
    <row r="1135" spans="1:7">
      <c r="A1135" t="s">
        <v>1876</v>
      </c>
      <c r="B1135" t="s">
        <v>350</v>
      </c>
      <c r="C1135" t="s">
        <v>237</v>
      </c>
      <c r="D1135">
        <v>352389</v>
      </c>
      <c r="E1135">
        <v>351877</v>
      </c>
      <c r="F1135">
        <v>357913</v>
      </c>
      <c r="G1135">
        <v>358740</v>
      </c>
    </row>
    <row r="1136" spans="1:7">
      <c r="A1136" t="s">
        <v>1876</v>
      </c>
      <c r="B1136" t="s">
        <v>350</v>
      </c>
      <c r="C1136" t="s">
        <v>238</v>
      </c>
      <c r="D1136">
        <v>352389</v>
      </c>
      <c r="E1136">
        <v>351877</v>
      </c>
      <c r="F1136">
        <v>357913</v>
      </c>
      <c r="G1136">
        <v>358740</v>
      </c>
    </row>
    <row r="1137" spans="1:7">
      <c r="A1137" t="s">
        <v>1876</v>
      </c>
      <c r="B1137" t="s">
        <v>350</v>
      </c>
      <c r="C1137" t="s">
        <v>1934</v>
      </c>
      <c r="D1137">
        <v>309471</v>
      </c>
      <c r="E1137">
        <v>307681</v>
      </c>
      <c r="F1137">
        <v>313152</v>
      </c>
      <c r="G1137">
        <v>320554</v>
      </c>
    </row>
    <row r="1138" spans="1:7">
      <c r="A1138" t="s">
        <v>1876</v>
      </c>
      <c r="B1138" t="s">
        <v>350</v>
      </c>
      <c r="C1138" t="s">
        <v>1935</v>
      </c>
      <c r="D1138">
        <v>8772</v>
      </c>
      <c r="E1138">
        <v>9191</v>
      </c>
      <c r="F1138">
        <v>9174</v>
      </c>
      <c r="G1138">
        <v>7509</v>
      </c>
    </row>
    <row r="1139" spans="1:7">
      <c r="A1139" t="s">
        <v>1876</v>
      </c>
      <c r="B1139" t="s">
        <v>350</v>
      </c>
      <c r="C1139" t="s">
        <v>1936</v>
      </c>
      <c r="D1139">
        <v>8229</v>
      </c>
      <c r="E1139">
        <v>9033</v>
      </c>
      <c r="F1139">
        <v>9183</v>
      </c>
      <c r="G1139">
        <v>4319</v>
      </c>
    </row>
    <row r="1140" spans="1:7">
      <c r="A1140" t="s">
        <v>1876</v>
      </c>
      <c r="B1140" t="s">
        <v>350</v>
      </c>
      <c r="C1140" t="s">
        <v>239</v>
      </c>
      <c r="D1140">
        <v>326472</v>
      </c>
      <c r="E1140">
        <v>325905</v>
      </c>
      <c r="F1140">
        <v>331509</v>
      </c>
      <c r="G1140">
        <v>332382</v>
      </c>
    </row>
    <row r="1141" spans="1:7">
      <c r="A1141" t="s">
        <v>1876</v>
      </c>
      <c r="B1141" t="s">
        <v>350</v>
      </c>
      <c r="C1141" t="s">
        <v>240</v>
      </c>
      <c r="D1141">
        <v>589</v>
      </c>
      <c r="E1141">
        <v>379</v>
      </c>
      <c r="F1141">
        <v>364</v>
      </c>
      <c r="G1141">
        <v>357</v>
      </c>
    </row>
    <row r="1142" spans="1:7">
      <c r="A1142" t="s">
        <v>1876</v>
      </c>
      <c r="B1142" t="s">
        <v>350</v>
      </c>
      <c r="C1142" t="s">
        <v>241</v>
      </c>
      <c r="D1142">
        <v>0</v>
      </c>
      <c r="E1142">
        <v>0</v>
      </c>
      <c r="F1142">
        <v>0</v>
      </c>
      <c r="G1142">
        <v>0</v>
      </c>
    </row>
    <row r="1143" spans="1:7">
      <c r="A1143" t="s">
        <v>1876</v>
      </c>
      <c r="B1143" t="s">
        <v>350</v>
      </c>
      <c r="C1143" t="s">
        <v>242</v>
      </c>
      <c r="D1143">
        <v>19303</v>
      </c>
      <c r="E1143">
        <v>18633</v>
      </c>
      <c r="F1143">
        <v>19449</v>
      </c>
      <c r="G1143">
        <v>18943</v>
      </c>
    </row>
    <row r="1144" spans="1:7">
      <c r="A1144" t="s">
        <v>1876</v>
      </c>
      <c r="B1144" t="s">
        <v>350</v>
      </c>
      <c r="C1144" t="s">
        <v>243</v>
      </c>
      <c r="D1144">
        <v>34431</v>
      </c>
      <c r="E1144">
        <v>36789</v>
      </c>
      <c r="F1144">
        <v>37725</v>
      </c>
      <c r="G1144">
        <v>37695</v>
      </c>
    </row>
    <row r="1145" spans="1:7">
      <c r="A1145" t="s">
        <v>1876</v>
      </c>
      <c r="B1145" t="s">
        <v>350</v>
      </c>
      <c r="C1145" t="s">
        <v>244</v>
      </c>
      <c r="D1145">
        <v>369372</v>
      </c>
      <c r="E1145">
        <v>348955</v>
      </c>
      <c r="F1145">
        <v>412233</v>
      </c>
      <c r="G1145">
        <v>430370</v>
      </c>
    </row>
    <row r="1146" spans="1:7">
      <c r="A1146" t="s">
        <v>1876</v>
      </c>
      <c r="B1146" t="s">
        <v>350</v>
      </c>
      <c r="C1146" t="s">
        <v>1709</v>
      </c>
      <c r="D1146">
        <v>14167</v>
      </c>
      <c r="E1146">
        <v>14376</v>
      </c>
      <c r="F1146">
        <v>14341</v>
      </c>
      <c r="G1146">
        <v>14546</v>
      </c>
    </row>
    <row r="1147" spans="1:7">
      <c r="A1147" t="s">
        <v>1876</v>
      </c>
      <c r="B1147" t="s">
        <v>350</v>
      </c>
      <c r="C1147" t="s">
        <v>245</v>
      </c>
      <c r="D1147">
        <v>20648</v>
      </c>
      <c r="E1147">
        <v>20133</v>
      </c>
      <c r="F1147">
        <v>21406</v>
      </c>
      <c r="G1147">
        <v>23748</v>
      </c>
    </row>
    <row r="1148" spans="1:7">
      <c r="A1148" t="s">
        <v>1876</v>
      </c>
      <c r="B1148" t="s">
        <v>350</v>
      </c>
      <c r="C1148" t="s">
        <v>246</v>
      </c>
      <c r="D1148">
        <v>41207</v>
      </c>
      <c r="E1148">
        <v>43528</v>
      </c>
      <c r="F1148">
        <v>46348</v>
      </c>
      <c r="G1148">
        <v>42457</v>
      </c>
    </row>
    <row r="1149" spans="1:7">
      <c r="A1149" t="s">
        <v>1876</v>
      </c>
      <c r="B1149" t="s">
        <v>350</v>
      </c>
      <c r="C1149" t="s">
        <v>247</v>
      </c>
      <c r="D1149">
        <v>484962</v>
      </c>
      <c r="E1149">
        <v>468038</v>
      </c>
      <c r="F1149">
        <v>537161</v>
      </c>
      <c r="G1149">
        <v>553214</v>
      </c>
    </row>
    <row r="1150" spans="1:7">
      <c r="A1150" t="s">
        <v>1876</v>
      </c>
      <c r="B1150" t="s">
        <v>350</v>
      </c>
      <c r="C1150" t="s">
        <v>248</v>
      </c>
      <c r="D1150">
        <v>66.7</v>
      </c>
      <c r="E1150">
        <v>63.5</v>
      </c>
      <c r="F1150">
        <v>72.099999999999994</v>
      </c>
      <c r="G1150">
        <v>73.2</v>
      </c>
    </row>
    <row r="1151" spans="1:7">
      <c r="A1151" t="s">
        <v>1876</v>
      </c>
      <c r="B1151" t="s">
        <v>350</v>
      </c>
      <c r="C1151" t="s">
        <v>249</v>
      </c>
      <c r="D1151">
        <v>115590</v>
      </c>
      <c r="E1151">
        <v>119082</v>
      </c>
      <c r="F1151">
        <v>124928</v>
      </c>
      <c r="G1151">
        <v>122844</v>
      </c>
    </row>
    <row r="1152" spans="1:7">
      <c r="A1152" t="s">
        <v>1876</v>
      </c>
      <c r="B1152" t="s">
        <v>350</v>
      </c>
      <c r="C1152" t="s">
        <v>250</v>
      </c>
      <c r="D1152">
        <v>484962</v>
      </c>
      <c r="E1152">
        <v>468038</v>
      </c>
      <c r="F1152">
        <v>537161</v>
      </c>
      <c r="G1152">
        <v>553151</v>
      </c>
    </row>
    <row r="1153" spans="1:7">
      <c r="A1153" t="s">
        <v>1876</v>
      </c>
      <c r="B1153" t="s">
        <v>350</v>
      </c>
      <c r="C1153" t="s">
        <v>1937</v>
      </c>
      <c r="D1153">
        <v>6.9</v>
      </c>
      <c r="E1153">
        <v>7.6</v>
      </c>
      <c r="F1153">
        <v>8.8000000000000007</v>
      </c>
      <c r="G1153">
        <v>7.4</v>
      </c>
    </row>
    <row r="1154" spans="1:7">
      <c r="A1154" t="s">
        <v>1876</v>
      </c>
      <c r="B1154" t="s">
        <v>350</v>
      </c>
      <c r="C1154" t="s">
        <v>1938</v>
      </c>
      <c r="D1154">
        <v>91.7</v>
      </c>
      <c r="E1154">
        <v>92.6</v>
      </c>
      <c r="F1154">
        <v>91.4</v>
      </c>
      <c r="G1154">
        <v>93.7</v>
      </c>
    </row>
    <row r="1155" spans="1:7">
      <c r="A1155" t="s">
        <v>1876</v>
      </c>
      <c r="B1155" t="s">
        <v>350</v>
      </c>
      <c r="C1155" t="s">
        <v>251</v>
      </c>
      <c r="D1155">
        <v>329868</v>
      </c>
      <c r="E1155">
        <v>333738</v>
      </c>
      <c r="F1155">
        <v>329474</v>
      </c>
      <c r="G1155">
        <v>338229</v>
      </c>
    </row>
    <row r="1156" spans="1:7">
      <c r="A1156" t="s">
        <v>1876</v>
      </c>
      <c r="B1156" t="s">
        <v>350</v>
      </c>
      <c r="C1156" t="s">
        <v>252</v>
      </c>
      <c r="D1156">
        <v>329868</v>
      </c>
      <c r="E1156">
        <v>333738</v>
      </c>
      <c r="F1156">
        <v>329474</v>
      </c>
      <c r="G1156">
        <v>338229</v>
      </c>
    </row>
    <row r="1157" spans="1:7">
      <c r="A1157" t="s">
        <v>1876</v>
      </c>
      <c r="B1157" t="s">
        <v>350</v>
      </c>
      <c r="C1157" t="s">
        <v>1710</v>
      </c>
      <c r="D1157">
        <v>3937</v>
      </c>
      <c r="E1157">
        <v>3937</v>
      </c>
      <c r="F1157">
        <v>3937</v>
      </c>
      <c r="G1157">
        <v>3937</v>
      </c>
    </row>
    <row r="1158" spans="1:7">
      <c r="A1158" t="s">
        <v>1876</v>
      </c>
      <c r="B1158" t="s">
        <v>350</v>
      </c>
      <c r="C1158" t="s">
        <v>1939</v>
      </c>
      <c r="D1158">
        <v>15.9</v>
      </c>
      <c r="E1158">
        <v>17.2</v>
      </c>
      <c r="F1158">
        <v>20.399999999999999</v>
      </c>
      <c r="G1158">
        <v>21.7</v>
      </c>
    </row>
    <row r="1159" spans="1:7">
      <c r="A1159" t="s">
        <v>1876</v>
      </c>
      <c r="B1159" t="s">
        <v>350</v>
      </c>
      <c r="C1159" t="s">
        <v>253</v>
      </c>
      <c r="D1159">
        <v>0</v>
      </c>
      <c r="E1159">
        <v>0</v>
      </c>
      <c r="F1159">
        <v>0</v>
      </c>
      <c r="G1159">
        <v>0</v>
      </c>
    </row>
    <row r="1160" spans="1:7">
      <c r="A1160" t="s">
        <v>1876</v>
      </c>
      <c r="B1160" t="s">
        <v>350</v>
      </c>
      <c r="C1160" t="s">
        <v>1711</v>
      </c>
      <c r="D1160">
        <v>0</v>
      </c>
      <c r="E1160">
        <v>0</v>
      </c>
      <c r="F1160">
        <v>0</v>
      </c>
      <c r="G1160">
        <v>0</v>
      </c>
    </row>
    <row r="1161" spans="1:7">
      <c r="A1161" t="s">
        <v>1876</v>
      </c>
      <c r="B1161" t="s">
        <v>350</v>
      </c>
      <c r="C1161" t="s">
        <v>1712</v>
      </c>
      <c r="D1161">
        <v>1947</v>
      </c>
      <c r="E1161">
        <v>2104</v>
      </c>
      <c r="F1161">
        <v>2053</v>
      </c>
      <c r="G1161">
        <v>1864</v>
      </c>
    </row>
    <row r="1162" spans="1:7">
      <c r="A1162" t="s">
        <v>1876</v>
      </c>
      <c r="B1162" t="s">
        <v>350</v>
      </c>
      <c r="C1162" t="s">
        <v>1713</v>
      </c>
      <c r="D1162">
        <v>295</v>
      </c>
      <c r="E1162">
        <v>267</v>
      </c>
      <c r="F1162">
        <v>288</v>
      </c>
      <c r="G1162">
        <v>314</v>
      </c>
    </row>
    <row r="1163" spans="1:7">
      <c r="A1163" t="s">
        <v>1876</v>
      </c>
      <c r="B1163" t="s">
        <v>350</v>
      </c>
      <c r="C1163" t="s">
        <v>1940</v>
      </c>
      <c r="D1163">
        <v>0</v>
      </c>
      <c r="E1163">
        <v>0</v>
      </c>
      <c r="F1163">
        <v>0</v>
      </c>
      <c r="G1163">
        <v>0</v>
      </c>
    </row>
    <row r="1164" spans="1:7">
      <c r="A1164" t="s">
        <v>1876</v>
      </c>
      <c r="B1164" t="s">
        <v>350</v>
      </c>
      <c r="C1164" t="s">
        <v>1941</v>
      </c>
      <c r="D1164">
        <v>0</v>
      </c>
      <c r="E1164">
        <v>0</v>
      </c>
      <c r="F1164">
        <v>0</v>
      </c>
      <c r="G1164">
        <v>0</v>
      </c>
    </row>
    <row r="1165" spans="1:7">
      <c r="A1165" t="s">
        <v>1876</v>
      </c>
      <c r="B1165" t="s">
        <v>350</v>
      </c>
      <c r="C1165" t="s">
        <v>254</v>
      </c>
      <c r="D1165">
        <v>1947</v>
      </c>
      <c r="E1165">
        <v>2104</v>
      </c>
      <c r="F1165">
        <v>2053</v>
      </c>
      <c r="G1165">
        <v>1864</v>
      </c>
    </row>
    <row r="1166" spans="1:7">
      <c r="A1166" t="s">
        <v>1876</v>
      </c>
      <c r="B1166" t="s">
        <v>350</v>
      </c>
      <c r="C1166" t="s">
        <v>1942</v>
      </c>
      <c r="D1166">
        <v>0</v>
      </c>
      <c r="E1166">
        <v>0</v>
      </c>
      <c r="F1166">
        <v>0</v>
      </c>
      <c r="G1166">
        <v>0</v>
      </c>
    </row>
    <row r="1167" spans="1:7">
      <c r="A1167" t="s">
        <v>1876</v>
      </c>
      <c r="B1167" t="s">
        <v>350</v>
      </c>
      <c r="C1167" t="s">
        <v>255</v>
      </c>
      <c r="D1167">
        <v>2241</v>
      </c>
      <c r="E1167">
        <v>2370</v>
      </c>
      <c r="F1167">
        <v>2342</v>
      </c>
      <c r="G1167">
        <v>2178</v>
      </c>
    </row>
    <row r="1168" spans="1:7">
      <c r="A1168" t="s">
        <v>1876</v>
      </c>
      <c r="B1168" t="s">
        <v>350</v>
      </c>
      <c r="C1168" t="s">
        <v>256</v>
      </c>
      <c r="D1168">
        <v>2241</v>
      </c>
      <c r="E1168">
        <v>2370</v>
      </c>
      <c r="F1168">
        <v>2342</v>
      </c>
      <c r="G1168">
        <v>2178</v>
      </c>
    </row>
    <row r="1169" spans="1:7">
      <c r="A1169" t="s">
        <v>1876</v>
      </c>
      <c r="B1169" t="s">
        <v>350</v>
      </c>
      <c r="C1169" t="s">
        <v>1714</v>
      </c>
      <c r="D1169">
        <v>0</v>
      </c>
      <c r="E1169">
        <v>0</v>
      </c>
      <c r="F1169">
        <v>0</v>
      </c>
      <c r="G1169">
        <v>0</v>
      </c>
    </row>
    <row r="1170" spans="1:7">
      <c r="A1170" t="s">
        <v>1876</v>
      </c>
      <c r="B1170" t="s">
        <v>350</v>
      </c>
      <c r="C1170" t="s">
        <v>257</v>
      </c>
      <c r="D1170">
        <v>23841</v>
      </c>
      <c r="E1170">
        <v>23886</v>
      </c>
      <c r="F1170">
        <v>22839</v>
      </c>
      <c r="G1170">
        <v>22325</v>
      </c>
    </row>
    <row r="1171" spans="1:7">
      <c r="A1171" t="s">
        <v>1876</v>
      </c>
      <c r="B1171" t="s">
        <v>350</v>
      </c>
      <c r="C1171" t="s">
        <v>258</v>
      </c>
      <c r="D1171">
        <v>27553</v>
      </c>
      <c r="E1171">
        <v>27597</v>
      </c>
      <c r="F1171">
        <v>25856</v>
      </c>
      <c r="G1171">
        <v>25450</v>
      </c>
    </row>
    <row r="1172" spans="1:7">
      <c r="A1172" t="s">
        <v>1876</v>
      </c>
      <c r="B1172" t="s">
        <v>350</v>
      </c>
      <c r="C1172" t="s">
        <v>259</v>
      </c>
      <c r="D1172">
        <v>27553</v>
      </c>
      <c r="E1172">
        <v>27597</v>
      </c>
      <c r="F1172">
        <v>25856</v>
      </c>
      <c r="G1172">
        <v>25450</v>
      </c>
    </row>
    <row r="1173" spans="1:7">
      <c r="A1173" t="s">
        <v>1876</v>
      </c>
      <c r="B1173" t="s">
        <v>350</v>
      </c>
      <c r="C1173" t="s">
        <v>260</v>
      </c>
      <c r="D1173">
        <v>547169</v>
      </c>
      <c r="E1173">
        <v>531934</v>
      </c>
      <c r="F1173">
        <v>542283</v>
      </c>
      <c r="G1173">
        <v>558767</v>
      </c>
    </row>
    <row r="1174" spans="1:7">
      <c r="A1174" t="s">
        <v>1876</v>
      </c>
      <c r="B1174" t="s">
        <v>350</v>
      </c>
      <c r="C1174" t="s">
        <v>1943</v>
      </c>
      <c r="D1174">
        <v>5.7</v>
      </c>
      <c r="E1174">
        <v>4.5999999999999996</v>
      </c>
      <c r="F1174">
        <v>4</v>
      </c>
      <c r="G1174">
        <v>11.3</v>
      </c>
    </row>
    <row r="1175" spans="1:7">
      <c r="A1175" t="s">
        <v>1876</v>
      </c>
      <c r="B1175" t="s">
        <v>350</v>
      </c>
      <c r="C1175" t="s">
        <v>261</v>
      </c>
      <c r="D1175">
        <v>18448</v>
      </c>
      <c r="E1175">
        <v>19198</v>
      </c>
      <c r="F1175">
        <v>20127</v>
      </c>
      <c r="G1175">
        <v>17701</v>
      </c>
    </row>
    <row r="1176" spans="1:7">
      <c r="A1176" t="s">
        <v>1876</v>
      </c>
      <c r="B1176" t="s">
        <v>350</v>
      </c>
      <c r="C1176" t="s">
        <v>262</v>
      </c>
      <c r="D1176">
        <v>493</v>
      </c>
      <c r="E1176">
        <v>359</v>
      </c>
      <c r="F1176">
        <v>359</v>
      </c>
      <c r="G1176">
        <v>347</v>
      </c>
    </row>
    <row r="1177" spans="1:7">
      <c r="A1177" t="s">
        <v>1876</v>
      </c>
      <c r="B1177" t="s">
        <v>350</v>
      </c>
      <c r="C1177" t="s">
        <v>1715</v>
      </c>
      <c r="D1177">
        <v>88</v>
      </c>
      <c r="E1177">
        <v>269</v>
      </c>
      <c r="F1177">
        <v>269</v>
      </c>
      <c r="G1177">
        <v>86</v>
      </c>
    </row>
    <row r="1178" spans="1:7">
      <c r="A1178" t="s">
        <v>1876</v>
      </c>
      <c r="B1178" t="s">
        <v>350</v>
      </c>
      <c r="C1178" t="s">
        <v>263</v>
      </c>
      <c r="D1178">
        <v>63141</v>
      </c>
      <c r="E1178">
        <v>65666</v>
      </c>
      <c r="F1178">
        <v>62739</v>
      </c>
      <c r="G1178">
        <v>56319</v>
      </c>
    </row>
    <row r="1179" spans="1:7">
      <c r="A1179" t="s">
        <v>1876</v>
      </c>
      <c r="B1179" t="s">
        <v>350</v>
      </c>
      <c r="C1179" t="s">
        <v>264</v>
      </c>
      <c r="D1179">
        <v>5112</v>
      </c>
      <c r="E1179">
        <v>4791</v>
      </c>
      <c r="F1179">
        <v>5095</v>
      </c>
      <c r="G1179">
        <v>4602</v>
      </c>
    </row>
    <row r="1180" spans="1:7">
      <c r="A1180" t="s">
        <v>1876</v>
      </c>
      <c r="B1180" t="s">
        <v>350</v>
      </c>
      <c r="C1180" t="s">
        <v>265</v>
      </c>
      <c r="D1180">
        <v>634363</v>
      </c>
      <c r="E1180">
        <v>621948</v>
      </c>
      <c r="F1180">
        <v>630603</v>
      </c>
      <c r="G1180">
        <v>637737</v>
      </c>
    </row>
    <row r="1181" spans="1:7">
      <c r="A1181" t="s">
        <v>1876</v>
      </c>
      <c r="B1181" t="s">
        <v>350</v>
      </c>
      <c r="C1181" t="s">
        <v>266</v>
      </c>
      <c r="D1181">
        <v>87.2</v>
      </c>
      <c r="E1181">
        <v>84.4</v>
      </c>
      <c r="F1181">
        <v>84.6</v>
      </c>
      <c r="G1181">
        <v>84.4</v>
      </c>
    </row>
    <row r="1182" spans="1:7">
      <c r="A1182" t="s">
        <v>1876</v>
      </c>
      <c r="B1182" t="s">
        <v>350</v>
      </c>
      <c r="C1182" t="s">
        <v>267</v>
      </c>
      <c r="D1182">
        <v>633870</v>
      </c>
      <c r="E1182">
        <v>621589</v>
      </c>
      <c r="F1182">
        <v>630244</v>
      </c>
      <c r="G1182">
        <v>637389</v>
      </c>
    </row>
    <row r="1183" spans="1:7">
      <c r="A1183" t="s">
        <v>1876</v>
      </c>
      <c r="B1183" t="s">
        <v>350</v>
      </c>
      <c r="C1183" t="s">
        <v>268</v>
      </c>
      <c r="D1183">
        <v>0</v>
      </c>
      <c r="E1183">
        <v>0</v>
      </c>
      <c r="F1183">
        <v>0</v>
      </c>
      <c r="G1183">
        <v>0</v>
      </c>
    </row>
    <row r="1184" spans="1:7">
      <c r="A1184" t="s">
        <v>1876</v>
      </c>
      <c r="B1184" t="s">
        <v>350</v>
      </c>
      <c r="C1184" t="s">
        <v>269</v>
      </c>
      <c r="D1184">
        <v>0</v>
      </c>
      <c r="E1184">
        <v>0</v>
      </c>
      <c r="F1184">
        <v>0</v>
      </c>
      <c r="G1184">
        <v>0</v>
      </c>
    </row>
    <row r="1185" spans="1:7">
      <c r="A1185" t="s">
        <v>1876</v>
      </c>
      <c r="B1185" t="s">
        <v>350</v>
      </c>
      <c r="C1185" t="s">
        <v>270</v>
      </c>
      <c r="D1185">
        <v>0</v>
      </c>
      <c r="E1185">
        <v>0</v>
      </c>
      <c r="F1185">
        <v>0</v>
      </c>
      <c r="G1185">
        <v>0</v>
      </c>
    </row>
    <row r="1186" spans="1:7">
      <c r="A1186" t="s">
        <v>1876</v>
      </c>
      <c r="B1186" t="s">
        <v>350</v>
      </c>
      <c r="C1186" t="s">
        <v>271</v>
      </c>
      <c r="D1186">
        <v>0</v>
      </c>
      <c r="E1186">
        <v>0</v>
      </c>
      <c r="F1186">
        <v>0</v>
      </c>
      <c r="G1186">
        <v>0</v>
      </c>
    </row>
    <row r="1187" spans="1:7">
      <c r="A1187" t="s">
        <v>1876</v>
      </c>
      <c r="B1187" t="s">
        <v>350</v>
      </c>
      <c r="C1187" t="s">
        <v>272</v>
      </c>
      <c r="D1187">
        <v>0</v>
      </c>
      <c r="E1187">
        <v>0</v>
      </c>
      <c r="F1187">
        <v>0</v>
      </c>
      <c r="G1187">
        <v>0</v>
      </c>
    </row>
    <row r="1188" spans="1:7">
      <c r="A1188" t="s">
        <v>1876</v>
      </c>
      <c r="B1188" t="s">
        <v>350</v>
      </c>
      <c r="C1188" t="s">
        <v>1944</v>
      </c>
      <c r="D1188">
        <v>15.1</v>
      </c>
      <c r="E1188">
        <v>18.899999999999999</v>
      </c>
      <c r="F1188">
        <v>22.5</v>
      </c>
      <c r="G1188">
        <v>28.2</v>
      </c>
    </row>
    <row r="1189" spans="1:7">
      <c r="A1189" t="s">
        <v>1876</v>
      </c>
      <c r="B1189" t="s">
        <v>350</v>
      </c>
      <c r="C1189" t="s">
        <v>1945</v>
      </c>
      <c r="D1189">
        <v>26</v>
      </c>
      <c r="E1189">
        <v>34</v>
      </c>
      <c r="F1189">
        <v>58</v>
      </c>
      <c r="G1189">
        <v>64</v>
      </c>
    </row>
    <row r="1190" spans="1:7">
      <c r="A1190" t="s">
        <v>1876</v>
      </c>
      <c r="B1190" t="s">
        <v>350</v>
      </c>
      <c r="C1190" t="s">
        <v>273</v>
      </c>
      <c r="D1190">
        <v>0</v>
      </c>
      <c r="E1190">
        <v>0</v>
      </c>
      <c r="F1190">
        <v>0</v>
      </c>
      <c r="G1190">
        <v>0</v>
      </c>
    </row>
    <row r="1191" spans="1:7">
      <c r="A1191" t="s">
        <v>1876</v>
      </c>
      <c r="B1191" t="s">
        <v>350</v>
      </c>
      <c r="C1191" t="s">
        <v>1946</v>
      </c>
      <c r="D1191">
        <v>522090</v>
      </c>
      <c r="E1191">
        <v>506959</v>
      </c>
      <c r="F1191">
        <v>516882</v>
      </c>
      <c r="G1191">
        <v>532863</v>
      </c>
    </row>
    <row r="1192" spans="1:7">
      <c r="A1192" t="s">
        <v>1876</v>
      </c>
      <c r="B1192" t="s">
        <v>350</v>
      </c>
      <c r="C1192" t="s">
        <v>1947</v>
      </c>
      <c r="D1192">
        <v>17751</v>
      </c>
      <c r="E1192">
        <v>18466</v>
      </c>
      <c r="F1192">
        <v>19396</v>
      </c>
      <c r="G1192">
        <v>17105</v>
      </c>
    </row>
    <row r="1193" spans="1:7">
      <c r="A1193" t="s">
        <v>1876</v>
      </c>
      <c r="B1193" t="s">
        <v>350</v>
      </c>
      <c r="C1193" t="s">
        <v>1948</v>
      </c>
      <c r="D1193">
        <v>493</v>
      </c>
      <c r="E1193">
        <v>359</v>
      </c>
      <c r="F1193">
        <v>359</v>
      </c>
      <c r="G1193">
        <v>347</v>
      </c>
    </row>
    <row r="1194" spans="1:7">
      <c r="A1194" t="s">
        <v>1876</v>
      </c>
      <c r="B1194" t="s">
        <v>350</v>
      </c>
      <c r="C1194" t="s">
        <v>1949</v>
      </c>
      <c r="D1194">
        <v>62488</v>
      </c>
      <c r="E1194">
        <v>64946</v>
      </c>
      <c r="F1194">
        <v>62007</v>
      </c>
      <c r="G1194">
        <v>55976</v>
      </c>
    </row>
    <row r="1195" spans="1:7">
      <c r="A1195" t="s">
        <v>1876</v>
      </c>
      <c r="B1195" t="s">
        <v>350</v>
      </c>
      <c r="C1195" t="s">
        <v>1950</v>
      </c>
      <c r="D1195">
        <v>5112</v>
      </c>
      <c r="E1195">
        <v>4791</v>
      </c>
      <c r="F1195">
        <v>5095</v>
      </c>
      <c r="G1195">
        <v>4602</v>
      </c>
    </row>
    <row r="1196" spans="1:7">
      <c r="A1196" t="s">
        <v>1876</v>
      </c>
      <c r="B1196" t="s">
        <v>350</v>
      </c>
      <c r="C1196" t="s">
        <v>274</v>
      </c>
      <c r="D1196">
        <v>607934</v>
      </c>
      <c r="E1196">
        <v>595521</v>
      </c>
      <c r="F1196">
        <v>603739</v>
      </c>
      <c r="G1196">
        <v>610895</v>
      </c>
    </row>
    <row r="1197" spans="1:7">
      <c r="A1197" t="s">
        <v>1876</v>
      </c>
      <c r="B1197" t="s">
        <v>350</v>
      </c>
      <c r="C1197" t="s">
        <v>275</v>
      </c>
      <c r="D1197">
        <v>0</v>
      </c>
      <c r="E1197">
        <v>0</v>
      </c>
      <c r="F1197">
        <v>0</v>
      </c>
      <c r="G1197">
        <v>0</v>
      </c>
    </row>
    <row r="1198" spans="1:7">
      <c r="A1198" t="s">
        <v>1876</v>
      </c>
      <c r="B1198" t="s">
        <v>350</v>
      </c>
      <c r="C1198" t="s">
        <v>276</v>
      </c>
      <c r="D1198">
        <v>0</v>
      </c>
      <c r="E1198">
        <v>0</v>
      </c>
      <c r="F1198">
        <v>0</v>
      </c>
      <c r="G1198">
        <v>0</v>
      </c>
    </row>
    <row r="1199" spans="1:7">
      <c r="A1199" t="s">
        <v>1876</v>
      </c>
      <c r="B1199" t="s">
        <v>350</v>
      </c>
      <c r="C1199" t="s">
        <v>277</v>
      </c>
      <c r="D1199">
        <v>557</v>
      </c>
      <c r="E1199">
        <v>316</v>
      </c>
      <c r="F1199">
        <v>273</v>
      </c>
      <c r="G1199">
        <v>190</v>
      </c>
    </row>
    <row r="1200" spans="1:7">
      <c r="A1200" t="s">
        <v>1876</v>
      </c>
      <c r="B1200" t="s">
        <v>350</v>
      </c>
      <c r="C1200" t="s">
        <v>278</v>
      </c>
      <c r="D1200">
        <v>3614</v>
      </c>
      <c r="E1200">
        <v>3286</v>
      </c>
      <c r="F1200">
        <v>3641</v>
      </c>
      <c r="G1200">
        <v>3613</v>
      </c>
    </row>
    <row r="1201" spans="1:7">
      <c r="A1201" t="s">
        <v>1876</v>
      </c>
      <c r="B1201" t="s">
        <v>350</v>
      </c>
      <c r="C1201" t="s">
        <v>279</v>
      </c>
      <c r="D1201">
        <v>1258</v>
      </c>
      <c r="E1201">
        <v>2550</v>
      </c>
      <c r="F1201">
        <v>1216</v>
      </c>
      <c r="G1201">
        <v>1413</v>
      </c>
    </row>
    <row r="1202" spans="1:7">
      <c r="A1202" t="s">
        <v>1876</v>
      </c>
      <c r="B1202" t="s">
        <v>350</v>
      </c>
      <c r="C1202" t="s">
        <v>280</v>
      </c>
      <c r="D1202">
        <v>5101</v>
      </c>
      <c r="E1202">
        <v>4780</v>
      </c>
      <c r="F1202">
        <v>5081</v>
      </c>
      <c r="G1202">
        <v>4590</v>
      </c>
    </row>
    <row r="1203" spans="1:7">
      <c r="A1203" t="s">
        <v>1876</v>
      </c>
      <c r="B1203" t="s">
        <v>350</v>
      </c>
      <c r="C1203" t="s">
        <v>281</v>
      </c>
      <c r="D1203">
        <v>10531</v>
      </c>
      <c r="E1203">
        <v>10932</v>
      </c>
      <c r="F1203">
        <v>10210</v>
      </c>
      <c r="G1203">
        <v>9807</v>
      </c>
    </row>
    <row r="1204" spans="1:7">
      <c r="A1204" t="s">
        <v>1876</v>
      </c>
      <c r="B1204" t="s">
        <v>350</v>
      </c>
      <c r="C1204" t="s">
        <v>282</v>
      </c>
      <c r="D1204">
        <v>10531</v>
      </c>
      <c r="E1204">
        <v>10932</v>
      </c>
      <c r="F1204">
        <v>10210</v>
      </c>
      <c r="G1204">
        <v>9807</v>
      </c>
    </row>
    <row r="1205" spans="1:7">
      <c r="A1205" t="s">
        <v>1876</v>
      </c>
      <c r="B1205" t="s">
        <v>350</v>
      </c>
      <c r="C1205" t="s">
        <v>283</v>
      </c>
      <c r="D1205">
        <v>0</v>
      </c>
      <c r="E1205">
        <v>0</v>
      </c>
      <c r="F1205">
        <v>0</v>
      </c>
      <c r="G1205">
        <v>0</v>
      </c>
    </row>
    <row r="1206" spans="1:7">
      <c r="A1206" t="s">
        <v>1876</v>
      </c>
      <c r="B1206" t="s">
        <v>350</v>
      </c>
      <c r="C1206" t="s">
        <v>284</v>
      </c>
      <c r="D1206">
        <v>0</v>
      </c>
      <c r="E1206">
        <v>0</v>
      </c>
      <c r="F1206">
        <v>0</v>
      </c>
      <c r="G1206">
        <v>0</v>
      </c>
    </row>
    <row r="1207" spans="1:7">
      <c r="A1207" t="s">
        <v>1876</v>
      </c>
      <c r="B1207" t="s">
        <v>350</v>
      </c>
      <c r="C1207" t="s">
        <v>1716</v>
      </c>
      <c r="D1207">
        <v>25079</v>
      </c>
      <c r="E1207">
        <v>24974</v>
      </c>
      <c r="F1207">
        <v>25401</v>
      </c>
      <c r="G1207">
        <v>25904</v>
      </c>
    </row>
    <row r="1208" spans="1:7">
      <c r="A1208" t="s">
        <v>1876</v>
      </c>
      <c r="B1208" t="s">
        <v>350</v>
      </c>
      <c r="C1208" t="s">
        <v>1717</v>
      </c>
      <c r="D1208">
        <v>4713</v>
      </c>
      <c r="E1208">
        <v>4471</v>
      </c>
      <c r="F1208">
        <v>5322</v>
      </c>
      <c r="G1208">
        <v>5489</v>
      </c>
    </row>
    <row r="1209" spans="1:7">
      <c r="A1209" t="s">
        <v>1876</v>
      </c>
      <c r="B1209" t="s">
        <v>350</v>
      </c>
      <c r="C1209" t="s">
        <v>1718</v>
      </c>
      <c r="D1209">
        <v>51776</v>
      </c>
      <c r="E1209">
        <v>50423</v>
      </c>
      <c r="F1209">
        <v>54893</v>
      </c>
      <c r="G1209">
        <v>66788</v>
      </c>
    </row>
    <row r="1210" spans="1:7">
      <c r="A1210" t="s">
        <v>1876</v>
      </c>
      <c r="B1210" t="s">
        <v>350</v>
      </c>
      <c r="C1210" t="s">
        <v>1719</v>
      </c>
      <c r="D1210">
        <v>6149</v>
      </c>
      <c r="E1210">
        <v>6364</v>
      </c>
      <c r="F1210">
        <v>7252</v>
      </c>
      <c r="G1210">
        <v>9034</v>
      </c>
    </row>
    <row r="1211" spans="1:7">
      <c r="A1211" t="s">
        <v>1876</v>
      </c>
      <c r="B1211" t="s">
        <v>350</v>
      </c>
      <c r="C1211" t="s">
        <v>1720</v>
      </c>
      <c r="D1211">
        <v>2260</v>
      </c>
      <c r="E1211">
        <v>3061</v>
      </c>
      <c r="F1211">
        <v>3124</v>
      </c>
      <c r="G1211">
        <v>2742</v>
      </c>
    </row>
    <row r="1212" spans="1:7">
      <c r="A1212" t="s">
        <v>1876</v>
      </c>
      <c r="B1212" t="s">
        <v>350</v>
      </c>
      <c r="C1212" t="s">
        <v>1721</v>
      </c>
      <c r="D1212">
        <v>15358</v>
      </c>
      <c r="E1212">
        <v>18746</v>
      </c>
      <c r="F1212">
        <v>20112</v>
      </c>
      <c r="G1212">
        <v>21536</v>
      </c>
    </row>
    <row r="1213" spans="1:7">
      <c r="A1213" t="s">
        <v>1876</v>
      </c>
      <c r="B1213" t="s">
        <v>350</v>
      </c>
      <c r="C1213" t="s">
        <v>285</v>
      </c>
      <c r="D1213">
        <v>99186</v>
      </c>
      <c r="E1213">
        <v>101676</v>
      </c>
      <c r="F1213">
        <v>108851</v>
      </c>
      <c r="G1213">
        <v>122459</v>
      </c>
    </row>
    <row r="1214" spans="1:7">
      <c r="A1214" t="s">
        <v>1876</v>
      </c>
      <c r="B1214" t="s">
        <v>350</v>
      </c>
      <c r="C1214" t="s">
        <v>1951</v>
      </c>
      <c r="D1214">
        <v>6.7</v>
      </c>
      <c r="E1214">
        <v>6.7</v>
      </c>
      <c r="F1214">
        <v>7.1</v>
      </c>
      <c r="G1214">
        <v>7.8</v>
      </c>
    </row>
    <row r="1215" spans="1:7">
      <c r="A1215" t="s">
        <v>1876</v>
      </c>
      <c r="B1215" t="s">
        <v>350</v>
      </c>
      <c r="C1215" t="s">
        <v>286</v>
      </c>
      <c r="D1215">
        <v>0</v>
      </c>
      <c r="E1215">
        <v>0</v>
      </c>
      <c r="F1215">
        <v>0</v>
      </c>
      <c r="G1215">
        <v>0</v>
      </c>
    </row>
    <row r="1216" spans="1:7">
      <c r="A1216" t="s">
        <v>1876</v>
      </c>
      <c r="B1216" t="s">
        <v>350</v>
      </c>
      <c r="C1216" t="s">
        <v>287</v>
      </c>
      <c r="D1216">
        <v>0</v>
      </c>
      <c r="E1216">
        <v>0</v>
      </c>
      <c r="F1216">
        <v>0</v>
      </c>
      <c r="G1216">
        <v>0</v>
      </c>
    </row>
    <row r="1217" spans="1:7">
      <c r="A1217" t="s">
        <v>1876</v>
      </c>
      <c r="B1217" t="s">
        <v>350</v>
      </c>
      <c r="C1217" t="s">
        <v>288</v>
      </c>
      <c r="D1217">
        <v>0</v>
      </c>
      <c r="E1217">
        <v>0</v>
      </c>
      <c r="F1217">
        <v>0</v>
      </c>
      <c r="G1217">
        <v>0</v>
      </c>
    </row>
    <row r="1218" spans="1:7">
      <c r="A1218" t="s">
        <v>1876</v>
      </c>
      <c r="B1218" t="s">
        <v>350</v>
      </c>
      <c r="C1218" t="s">
        <v>289</v>
      </c>
      <c r="D1218">
        <v>0</v>
      </c>
      <c r="E1218">
        <v>0</v>
      </c>
      <c r="F1218">
        <v>0</v>
      </c>
      <c r="G1218">
        <v>0</v>
      </c>
    </row>
    <row r="1219" spans="1:7">
      <c r="A1219" t="s">
        <v>1876</v>
      </c>
      <c r="B1219" t="s">
        <v>350</v>
      </c>
      <c r="C1219" t="s">
        <v>290</v>
      </c>
      <c r="D1219">
        <v>0</v>
      </c>
      <c r="E1219">
        <v>0</v>
      </c>
      <c r="F1219">
        <v>0</v>
      </c>
      <c r="G1219">
        <v>0</v>
      </c>
    </row>
    <row r="1220" spans="1:7">
      <c r="A1220" t="s">
        <v>1876</v>
      </c>
      <c r="B1220" t="s">
        <v>350</v>
      </c>
      <c r="C1220" t="s">
        <v>291</v>
      </c>
      <c r="D1220">
        <v>0</v>
      </c>
      <c r="E1220">
        <v>0</v>
      </c>
      <c r="F1220">
        <v>0</v>
      </c>
      <c r="G1220">
        <v>0</v>
      </c>
    </row>
    <row r="1221" spans="1:7">
      <c r="A1221" t="s">
        <v>1876</v>
      </c>
      <c r="B1221" t="s">
        <v>350</v>
      </c>
      <c r="C1221" t="s">
        <v>292</v>
      </c>
      <c r="D1221">
        <v>0</v>
      </c>
      <c r="E1221">
        <v>0</v>
      </c>
      <c r="F1221">
        <v>0</v>
      </c>
      <c r="G1221">
        <v>5</v>
      </c>
    </row>
    <row r="1222" spans="1:7">
      <c r="A1222" t="s">
        <v>1876</v>
      </c>
      <c r="B1222" t="s">
        <v>350</v>
      </c>
      <c r="C1222" t="s">
        <v>293</v>
      </c>
      <c r="D1222">
        <v>0</v>
      </c>
      <c r="E1222">
        <v>0</v>
      </c>
      <c r="F1222">
        <v>0</v>
      </c>
      <c r="G1222">
        <v>51</v>
      </c>
    </row>
    <row r="1223" spans="1:7">
      <c r="A1223" t="s">
        <v>1876</v>
      </c>
      <c r="B1223" t="s">
        <v>350</v>
      </c>
      <c r="C1223" t="s">
        <v>294</v>
      </c>
      <c r="D1223">
        <v>0</v>
      </c>
      <c r="E1223">
        <v>0</v>
      </c>
      <c r="F1223">
        <v>0</v>
      </c>
      <c r="G1223">
        <v>3</v>
      </c>
    </row>
    <row r="1224" spans="1:7">
      <c r="A1224" t="s">
        <v>1876</v>
      </c>
      <c r="B1224" t="s">
        <v>350</v>
      </c>
      <c r="C1224" t="s">
        <v>295</v>
      </c>
      <c r="D1224">
        <v>0</v>
      </c>
      <c r="E1224">
        <v>0</v>
      </c>
      <c r="F1224">
        <v>0</v>
      </c>
      <c r="G1224">
        <v>5</v>
      </c>
    </row>
    <row r="1225" spans="1:7">
      <c r="A1225" t="s">
        <v>1876</v>
      </c>
      <c r="B1225" t="s">
        <v>350</v>
      </c>
      <c r="C1225" t="s">
        <v>296</v>
      </c>
      <c r="D1225">
        <v>0</v>
      </c>
      <c r="E1225">
        <v>0</v>
      </c>
      <c r="F1225">
        <v>0</v>
      </c>
      <c r="G1225">
        <v>64</v>
      </c>
    </row>
    <row r="1226" spans="1:7">
      <c r="A1226" t="s">
        <v>1876</v>
      </c>
      <c r="B1226" t="s">
        <v>350</v>
      </c>
      <c r="C1226" t="s">
        <v>297</v>
      </c>
      <c r="D1226">
        <v>0</v>
      </c>
      <c r="E1226">
        <v>0</v>
      </c>
      <c r="F1226">
        <v>0</v>
      </c>
      <c r="G1226">
        <v>0</v>
      </c>
    </row>
    <row r="1227" spans="1:7">
      <c r="A1227" t="s">
        <v>1876</v>
      </c>
      <c r="B1227" t="s">
        <v>350</v>
      </c>
      <c r="C1227" t="s">
        <v>1952</v>
      </c>
      <c r="D1227">
        <v>26.8</v>
      </c>
      <c r="E1227">
        <v>26.9</v>
      </c>
      <c r="F1227">
        <v>29.9</v>
      </c>
      <c r="G1227">
        <v>31.9</v>
      </c>
    </row>
    <row r="1228" spans="1:7">
      <c r="A1228" t="s">
        <v>1876</v>
      </c>
      <c r="B1228" t="s">
        <v>350</v>
      </c>
      <c r="C1228" t="s">
        <v>298</v>
      </c>
      <c r="D1228">
        <v>1254</v>
      </c>
      <c r="E1228">
        <v>1604</v>
      </c>
      <c r="F1228">
        <v>1605</v>
      </c>
      <c r="G1228">
        <v>1404</v>
      </c>
    </row>
    <row r="1229" spans="1:7">
      <c r="A1229" t="s">
        <v>1876</v>
      </c>
      <c r="B1229" t="s">
        <v>350</v>
      </c>
      <c r="C1229" t="s">
        <v>299</v>
      </c>
      <c r="D1229">
        <v>3252</v>
      </c>
      <c r="E1229">
        <v>2973</v>
      </c>
      <c r="F1229">
        <v>3826</v>
      </c>
      <c r="G1229">
        <v>4129</v>
      </c>
    </row>
    <row r="1230" spans="1:7">
      <c r="A1230" t="s">
        <v>1876</v>
      </c>
      <c r="B1230" t="s">
        <v>350</v>
      </c>
      <c r="C1230" t="s">
        <v>300</v>
      </c>
      <c r="D1230">
        <v>22833</v>
      </c>
      <c r="E1230">
        <v>23976</v>
      </c>
      <c r="F1230">
        <v>25198</v>
      </c>
      <c r="G1230">
        <v>36751</v>
      </c>
    </row>
    <row r="1231" spans="1:7">
      <c r="A1231" t="s">
        <v>1876</v>
      </c>
      <c r="B1231" t="s">
        <v>350</v>
      </c>
      <c r="C1231" t="s">
        <v>1722</v>
      </c>
      <c r="D1231">
        <v>2783</v>
      </c>
      <c r="E1231">
        <v>2999</v>
      </c>
      <c r="F1231">
        <v>3647</v>
      </c>
      <c r="G1231">
        <v>5051</v>
      </c>
    </row>
    <row r="1232" spans="1:7">
      <c r="A1232" t="s">
        <v>1876</v>
      </c>
      <c r="B1232" t="s">
        <v>350</v>
      </c>
      <c r="C1232" t="s">
        <v>301</v>
      </c>
      <c r="D1232">
        <v>47</v>
      </c>
      <c r="E1232">
        <v>111</v>
      </c>
      <c r="F1232">
        <v>162</v>
      </c>
      <c r="G1232">
        <v>169</v>
      </c>
    </row>
    <row r="1233" spans="1:7">
      <c r="A1233" t="s">
        <v>1876</v>
      </c>
      <c r="B1233" t="s">
        <v>350</v>
      </c>
      <c r="C1233" t="s">
        <v>302</v>
      </c>
      <c r="D1233">
        <v>11582</v>
      </c>
      <c r="E1233">
        <v>14003</v>
      </c>
      <c r="F1233">
        <v>16072</v>
      </c>
      <c r="G1233">
        <v>17745</v>
      </c>
    </row>
    <row r="1234" spans="1:7">
      <c r="A1234" t="s">
        <v>1876</v>
      </c>
      <c r="B1234" t="s">
        <v>350</v>
      </c>
      <c r="C1234" t="s">
        <v>303</v>
      </c>
      <c r="D1234">
        <v>37714</v>
      </c>
      <c r="E1234">
        <v>41063</v>
      </c>
      <c r="F1234">
        <v>45257</v>
      </c>
      <c r="G1234">
        <v>58794</v>
      </c>
    </row>
    <row r="1235" spans="1:7">
      <c r="A1235" t="s">
        <v>1876</v>
      </c>
      <c r="B1235" t="s">
        <v>350</v>
      </c>
      <c r="C1235" t="s">
        <v>304</v>
      </c>
      <c r="D1235">
        <v>14881</v>
      </c>
      <c r="E1235">
        <v>17087</v>
      </c>
      <c r="F1235">
        <v>20059</v>
      </c>
      <c r="G1235">
        <v>22043</v>
      </c>
    </row>
    <row r="1236" spans="1:7">
      <c r="A1236" t="s">
        <v>1876</v>
      </c>
      <c r="B1236" t="s">
        <v>350</v>
      </c>
      <c r="C1236" t="s">
        <v>1953</v>
      </c>
      <c r="D1236">
        <v>28.7</v>
      </c>
      <c r="E1236">
        <v>28.2</v>
      </c>
      <c r="F1236">
        <v>27.2</v>
      </c>
      <c r="G1236">
        <v>28.7</v>
      </c>
    </row>
    <row r="1237" spans="1:7">
      <c r="A1237" t="s">
        <v>1876</v>
      </c>
      <c r="B1237" t="s">
        <v>350</v>
      </c>
      <c r="C1237" t="s">
        <v>305</v>
      </c>
      <c r="D1237">
        <v>566564</v>
      </c>
      <c r="E1237">
        <v>550656</v>
      </c>
      <c r="F1237">
        <v>561819</v>
      </c>
      <c r="G1237">
        <v>577799</v>
      </c>
    </row>
    <row r="1238" spans="1:7">
      <c r="A1238" t="s">
        <v>1876</v>
      </c>
      <c r="B1238" t="s">
        <v>350</v>
      </c>
      <c r="C1238" t="s">
        <v>306</v>
      </c>
      <c r="D1238">
        <v>77.900000000000006</v>
      </c>
      <c r="E1238">
        <v>74.7</v>
      </c>
      <c r="F1238">
        <v>75.400000000000006</v>
      </c>
      <c r="G1238">
        <v>76.5</v>
      </c>
    </row>
    <row r="1239" spans="1:7">
      <c r="A1239" t="s">
        <v>1876</v>
      </c>
      <c r="B1239" t="s">
        <v>350</v>
      </c>
      <c r="C1239" t="s">
        <v>307</v>
      </c>
      <c r="D1239">
        <v>317891</v>
      </c>
      <c r="E1239">
        <v>337261</v>
      </c>
      <c r="F1239">
        <v>344637</v>
      </c>
      <c r="G1239">
        <v>368396</v>
      </c>
    </row>
    <row r="1240" spans="1:7">
      <c r="A1240" t="s">
        <v>1876</v>
      </c>
      <c r="B1240" t="s">
        <v>350</v>
      </c>
      <c r="C1240" t="s">
        <v>308</v>
      </c>
      <c r="D1240">
        <v>43.7</v>
      </c>
      <c r="E1240">
        <v>45.8</v>
      </c>
      <c r="F1240">
        <v>46.2</v>
      </c>
      <c r="G1240">
        <v>48.8</v>
      </c>
    </row>
    <row r="1241" spans="1:7">
      <c r="A1241" t="s">
        <v>1876</v>
      </c>
      <c r="B1241" t="s">
        <v>350</v>
      </c>
      <c r="C1241" t="s">
        <v>309</v>
      </c>
      <c r="D1241">
        <v>905446</v>
      </c>
      <c r="E1241">
        <v>881483</v>
      </c>
      <c r="F1241">
        <v>929375</v>
      </c>
      <c r="G1241">
        <v>944101</v>
      </c>
    </row>
    <row r="1242" spans="1:7">
      <c r="A1242" t="s">
        <v>1876</v>
      </c>
      <c r="B1242" t="s">
        <v>350</v>
      </c>
      <c r="C1242" t="s">
        <v>310</v>
      </c>
      <c r="D1242">
        <v>214361</v>
      </c>
      <c r="E1242">
        <v>220193</v>
      </c>
      <c r="F1242">
        <v>215674</v>
      </c>
      <c r="G1242">
        <v>208196</v>
      </c>
    </row>
    <row r="1243" spans="1:7">
      <c r="A1243" t="s">
        <v>1876</v>
      </c>
      <c r="B1243" t="s">
        <v>350</v>
      </c>
      <c r="C1243" t="s">
        <v>311</v>
      </c>
      <c r="D1243">
        <v>29.5</v>
      </c>
      <c r="E1243">
        <v>29.9</v>
      </c>
      <c r="F1243">
        <v>28.9</v>
      </c>
      <c r="G1243">
        <v>27.6</v>
      </c>
    </row>
    <row r="1244" spans="1:7">
      <c r="A1244" t="s">
        <v>1876</v>
      </c>
      <c r="B1244" t="s">
        <v>350</v>
      </c>
      <c r="C1244" t="s">
        <v>312</v>
      </c>
      <c r="D1244">
        <v>384812</v>
      </c>
      <c r="E1244">
        <v>405034</v>
      </c>
      <c r="F1244">
        <v>408879</v>
      </c>
      <c r="G1244">
        <v>413698</v>
      </c>
    </row>
    <row r="1245" spans="1:7">
      <c r="A1245" t="s">
        <v>1876</v>
      </c>
      <c r="B1245" t="s">
        <v>350</v>
      </c>
      <c r="C1245" t="s">
        <v>313</v>
      </c>
      <c r="D1245">
        <v>52.9</v>
      </c>
      <c r="E1245">
        <v>55</v>
      </c>
      <c r="F1245">
        <v>54.9</v>
      </c>
      <c r="G1245">
        <v>54.7</v>
      </c>
    </row>
    <row r="1246" spans="1:7">
      <c r="A1246" t="s">
        <v>1876</v>
      </c>
      <c r="B1246" t="s">
        <v>350</v>
      </c>
      <c r="C1246" t="s">
        <v>314</v>
      </c>
      <c r="D1246">
        <v>1483627</v>
      </c>
      <c r="E1246">
        <v>1513145</v>
      </c>
      <c r="F1246">
        <v>1531010</v>
      </c>
      <c r="G1246">
        <v>1568088</v>
      </c>
    </row>
    <row r="1247" spans="1:7">
      <c r="A1247" t="s">
        <v>1876</v>
      </c>
      <c r="B1247" t="s">
        <v>350</v>
      </c>
      <c r="C1247" t="s">
        <v>315</v>
      </c>
      <c r="D1247">
        <v>3.74</v>
      </c>
      <c r="E1247">
        <v>3.66</v>
      </c>
      <c r="F1247">
        <v>3.58</v>
      </c>
      <c r="G1247">
        <v>3.51</v>
      </c>
    </row>
    <row r="1248" spans="1:7">
      <c r="A1248" t="s">
        <v>1876</v>
      </c>
      <c r="B1248" t="s">
        <v>350</v>
      </c>
      <c r="C1248" t="s">
        <v>316</v>
      </c>
      <c r="D1248">
        <v>204</v>
      </c>
      <c r="E1248">
        <v>205.3</v>
      </c>
      <c r="F1248">
        <v>205.4</v>
      </c>
      <c r="G1248">
        <v>207.5</v>
      </c>
    </row>
    <row r="1249" spans="1:7">
      <c r="A1249" t="s">
        <v>1876</v>
      </c>
      <c r="B1249" t="s">
        <v>350</v>
      </c>
      <c r="C1249" t="s">
        <v>317</v>
      </c>
      <c r="D1249">
        <v>1483628</v>
      </c>
      <c r="E1249">
        <v>1513145</v>
      </c>
      <c r="F1249">
        <v>1531010</v>
      </c>
      <c r="G1249">
        <v>1568088</v>
      </c>
    </row>
    <row r="1250" spans="1:7">
      <c r="A1250" t="s">
        <v>1876</v>
      </c>
      <c r="B1250" t="s">
        <v>350</v>
      </c>
      <c r="C1250" t="s">
        <v>318</v>
      </c>
      <c r="D1250">
        <v>566509</v>
      </c>
      <c r="E1250">
        <v>550601</v>
      </c>
      <c r="F1250">
        <v>561766</v>
      </c>
      <c r="G1250">
        <v>577746</v>
      </c>
    </row>
    <row r="1251" spans="1:7">
      <c r="A1251" t="s">
        <v>1876</v>
      </c>
      <c r="B1251" t="s">
        <v>350</v>
      </c>
      <c r="C1251" t="s">
        <v>319</v>
      </c>
      <c r="D1251">
        <v>159222</v>
      </c>
      <c r="E1251">
        <v>167227</v>
      </c>
      <c r="F1251">
        <v>173741</v>
      </c>
      <c r="G1251">
        <v>183459</v>
      </c>
    </row>
    <row r="1252" spans="1:7">
      <c r="A1252" t="s">
        <v>1876</v>
      </c>
      <c r="B1252" t="s">
        <v>350</v>
      </c>
      <c r="C1252" t="s">
        <v>320</v>
      </c>
      <c r="D1252">
        <v>139819</v>
      </c>
      <c r="E1252">
        <v>142958</v>
      </c>
      <c r="F1252">
        <v>140774</v>
      </c>
      <c r="G1252">
        <v>134949</v>
      </c>
    </row>
    <row r="1253" spans="1:7">
      <c r="A1253" t="s">
        <v>1876</v>
      </c>
      <c r="B1253" t="s">
        <v>350</v>
      </c>
      <c r="C1253" t="s">
        <v>321</v>
      </c>
      <c r="D1253">
        <v>188365</v>
      </c>
      <c r="E1253">
        <v>197976</v>
      </c>
      <c r="F1253">
        <v>204597</v>
      </c>
      <c r="G1253">
        <v>206554</v>
      </c>
    </row>
    <row r="1254" spans="1:7">
      <c r="A1254" t="s">
        <v>1876</v>
      </c>
      <c r="B1254" t="s">
        <v>350</v>
      </c>
      <c r="C1254" t="s">
        <v>1954</v>
      </c>
      <c r="D1254">
        <v>1053915</v>
      </c>
      <c r="E1254">
        <v>1058762</v>
      </c>
      <c r="F1254">
        <v>1080878</v>
      </c>
      <c r="G1254">
        <v>1102708</v>
      </c>
    </row>
    <row r="1255" spans="1:7">
      <c r="A1255" t="s">
        <v>1876</v>
      </c>
      <c r="B1255" t="s">
        <v>350</v>
      </c>
      <c r="C1255" t="s">
        <v>323</v>
      </c>
      <c r="D1255">
        <v>7274</v>
      </c>
      <c r="E1255">
        <v>7370</v>
      </c>
      <c r="F1255">
        <v>7452</v>
      </c>
      <c r="G1255">
        <v>7556</v>
      </c>
    </row>
    <row r="1256" spans="1:7">
      <c r="A1256" t="s">
        <v>1876</v>
      </c>
      <c r="B1256" t="s">
        <v>350</v>
      </c>
      <c r="C1256" t="s">
        <v>324</v>
      </c>
      <c r="D1256">
        <v>0</v>
      </c>
      <c r="E1256">
        <v>0</v>
      </c>
      <c r="F1256">
        <v>0</v>
      </c>
      <c r="G1256">
        <v>0</v>
      </c>
    </row>
    <row r="1257" spans="1:7">
      <c r="A1257" t="s">
        <v>1876</v>
      </c>
      <c r="B1257" t="s">
        <v>350</v>
      </c>
      <c r="C1257" t="s">
        <v>325</v>
      </c>
      <c r="D1257">
        <v>0</v>
      </c>
      <c r="E1257">
        <v>0</v>
      </c>
      <c r="F1257">
        <v>0</v>
      </c>
      <c r="G1257">
        <v>0</v>
      </c>
    </row>
    <row r="1258" spans="1:7">
      <c r="A1258" t="s">
        <v>1876</v>
      </c>
      <c r="B1258" t="s">
        <v>350</v>
      </c>
      <c r="C1258" t="s">
        <v>326</v>
      </c>
      <c r="D1258">
        <v>717</v>
      </c>
      <c r="E1258">
        <v>717</v>
      </c>
      <c r="F1258">
        <v>717</v>
      </c>
      <c r="G1258">
        <v>717</v>
      </c>
    </row>
    <row r="1259" spans="1:7">
      <c r="A1259" t="s">
        <v>1876</v>
      </c>
      <c r="B1259" t="s">
        <v>350</v>
      </c>
      <c r="C1259" t="s">
        <v>327</v>
      </c>
      <c r="D1259">
        <v>2885</v>
      </c>
      <c r="E1259">
        <v>2824</v>
      </c>
      <c r="F1259">
        <v>3311</v>
      </c>
      <c r="G1259">
        <v>3040</v>
      </c>
    </row>
    <row r="1260" spans="1:7">
      <c r="A1260" t="s">
        <v>1876</v>
      </c>
      <c r="B1260" t="s">
        <v>350</v>
      </c>
      <c r="C1260" t="s">
        <v>1723</v>
      </c>
      <c r="D1260">
        <v>25</v>
      </c>
      <c r="E1260">
        <v>25</v>
      </c>
      <c r="F1260">
        <v>25</v>
      </c>
      <c r="G1260">
        <v>25</v>
      </c>
    </row>
    <row r="1261" spans="1:7">
      <c r="A1261" t="s">
        <v>1876</v>
      </c>
      <c r="B1261" t="s">
        <v>350</v>
      </c>
      <c r="C1261" t="s">
        <v>328</v>
      </c>
      <c r="D1261">
        <v>1285</v>
      </c>
      <c r="E1261">
        <v>1973</v>
      </c>
      <c r="F1261">
        <v>1973</v>
      </c>
      <c r="G1261">
        <v>1973</v>
      </c>
    </row>
    <row r="1262" spans="1:7">
      <c r="A1262" t="s">
        <v>1876</v>
      </c>
      <c r="B1262" t="s">
        <v>350</v>
      </c>
      <c r="C1262" t="s">
        <v>329</v>
      </c>
      <c r="D1262">
        <v>3725</v>
      </c>
      <c r="E1262">
        <v>4693</v>
      </c>
      <c r="F1262">
        <v>3990</v>
      </c>
      <c r="G1262">
        <v>3740</v>
      </c>
    </row>
    <row r="1263" spans="1:7">
      <c r="A1263" t="s">
        <v>1876</v>
      </c>
      <c r="B1263" t="s">
        <v>350</v>
      </c>
      <c r="C1263" t="s">
        <v>330</v>
      </c>
      <c r="D1263">
        <v>8613</v>
      </c>
      <c r="E1263">
        <v>10207</v>
      </c>
      <c r="F1263">
        <v>9991</v>
      </c>
      <c r="G1263">
        <v>9470</v>
      </c>
    </row>
    <row r="1264" spans="1:7">
      <c r="A1264" t="s">
        <v>1876</v>
      </c>
      <c r="B1264" t="s">
        <v>350</v>
      </c>
      <c r="C1264" t="s">
        <v>331</v>
      </c>
      <c r="D1264">
        <v>0</v>
      </c>
      <c r="E1264">
        <v>0</v>
      </c>
      <c r="F1264">
        <v>0</v>
      </c>
      <c r="G1264">
        <v>0</v>
      </c>
    </row>
    <row r="1265" spans="1:7">
      <c r="A1265" t="s">
        <v>1876</v>
      </c>
      <c r="B1265" t="s">
        <v>350</v>
      </c>
      <c r="C1265" t="s">
        <v>332</v>
      </c>
      <c r="D1265">
        <v>218</v>
      </c>
      <c r="E1265">
        <v>211</v>
      </c>
      <c r="F1265">
        <v>211</v>
      </c>
      <c r="G1265">
        <v>199</v>
      </c>
    </row>
    <row r="1266" spans="1:7">
      <c r="A1266" t="s">
        <v>1876</v>
      </c>
      <c r="B1266" t="s">
        <v>350</v>
      </c>
      <c r="C1266" t="s">
        <v>1724</v>
      </c>
      <c r="D1266">
        <v>3</v>
      </c>
      <c r="E1266">
        <v>3</v>
      </c>
      <c r="F1266">
        <v>3</v>
      </c>
      <c r="G1266">
        <v>3</v>
      </c>
    </row>
    <row r="1267" spans="1:7">
      <c r="A1267" t="s">
        <v>1876</v>
      </c>
      <c r="B1267" t="s">
        <v>350</v>
      </c>
      <c r="C1267" t="s">
        <v>333</v>
      </c>
      <c r="D1267">
        <v>27</v>
      </c>
      <c r="E1267">
        <v>11</v>
      </c>
      <c r="F1267">
        <v>11</v>
      </c>
      <c r="G1267">
        <v>11</v>
      </c>
    </row>
    <row r="1268" spans="1:7">
      <c r="A1268" t="s">
        <v>1876</v>
      </c>
      <c r="B1268" t="s">
        <v>350</v>
      </c>
      <c r="C1268" t="s">
        <v>334</v>
      </c>
      <c r="D1268">
        <v>245</v>
      </c>
      <c r="E1268">
        <v>221</v>
      </c>
      <c r="F1268">
        <v>221</v>
      </c>
      <c r="G1268">
        <v>210</v>
      </c>
    </row>
    <row r="1269" spans="1:7">
      <c r="A1269" t="s">
        <v>1876</v>
      </c>
      <c r="B1269" t="s">
        <v>350</v>
      </c>
      <c r="C1269" t="s">
        <v>335</v>
      </c>
      <c r="D1269">
        <v>717</v>
      </c>
      <c r="E1269">
        <v>717</v>
      </c>
      <c r="F1269">
        <v>717</v>
      </c>
      <c r="G1269">
        <v>717</v>
      </c>
    </row>
    <row r="1270" spans="1:7">
      <c r="A1270" t="s">
        <v>1876</v>
      </c>
      <c r="B1270" t="s">
        <v>350</v>
      </c>
      <c r="C1270" t="s">
        <v>336</v>
      </c>
      <c r="D1270">
        <v>3103</v>
      </c>
      <c r="E1270">
        <v>3034</v>
      </c>
      <c r="F1270">
        <v>3522</v>
      </c>
      <c r="G1270">
        <v>3239</v>
      </c>
    </row>
    <row r="1271" spans="1:7">
      <c r="A1271" t="s">
        <v>1876</v>
      </c>
      <c r="B1271" t="s">
        <v>350</v>
      </c>
      <c r="C1271" t="s">
        <v>337</v>
      </c>
      <c r="D1271">
        <v>1312</v>
      </c>
      <c r="E1271">
        <v>1983</v>
      </c>
      <c r="F1271">
        <v>1983</v>
      </c>
      <c r="G1271">
        <v>1983</v>
      </c>
    </row>
    <row r="1272" spans="1:7">
      <c r="A1272" t="s">
        <v>1876</v>
      </c>
      <c r="B1272" t="s">
        <v>350</v>
      </c>
      <c r="C1272" t="s">
        <v>338</v>
      </c>
      <c r="D1272">
        <v>8858</v>
      </c>
      <c r="E1272">
        <v>10428</v>
      </c>
      <c r="F1272">
        <v>10213</v>
      </c>
      <c r="G1272">
        <v>9679</v>
      </c>
    </row>
    <row r="1273" spans="1:7">
      <c r="A1273" t="s">
        <v>1876</v>
      </c>
      <c r="B1273" t="s">
        <v>350</v>
      </c>
      <c r="C1273" t="s">
        <v>339</v>
      </c>
      <c r="D1273">
        <v>5755</v>
      </c>
      <c r="E1273">
        <v>7394</v>
      </c>
      <c r="F1273">
        <v>6690</v>
      </c>
      <c r="G1273">
        <v>6441</v>
      </c>
    </row>
    <row r="1274" spans="1:7">
      <c r="A1274" t="s">
        <v>1876</v>
      </c>
      <c r="B1274" t="s">
        <v>350</v>
      </c>
      <c r="C1274" t="s">
        <v>340</v>
      </c>
      <c r="D1274">
        <v>104</v>
      </c>
      <c r="E1274">
        <v>121</v>
      </c>
      <c r="F1274">
        <v>84</v>
      </c>
      <c r="G1274">
        <v>103</v>
      </c>
    </row>
    <row r="1275" spans="1:7">
      <c r="A1275" t="s">
        <v>1876</v>
      </c>
      <c r="B1275" t="s">
        <v>350</v>
      </c>
      <c r="C1275" t="s">
        <v>1955</v>
      </c>
      <c r="D1275">
        <v>29.6</v>
      </c>
      <c r="E1275">
        <v>28.9</v>
      </c>
      <c r="F1275">
        <v>26</v>
      </c>
      <c r="G1275">
        <v>26.7</v>
      </c>
    </row>
    <row r="1276" spans="1:7">
      <c r="A1276" t="s">
        <v>1876</v>
      </c>
      <c r="B1276" t="s">
        <v>350</v>
      </c>
      <c r="C1276" t="s">
        <v>341</v>
      </c>
      <c r="D1276">
        <v>0</v>
      </c>
      <c r="E1276">
        <v>0</v>
      </c>
      <c r="F1276">
        <v>0</v>
      </c>
      <c r="G1276">
        <v>0</v>
      </c>
    </row>
    <row r="1277" spans="1:7">
      <c r="A1277" t="s">
        <v>1876</v>
      </c>
      <c r="B1277" t="s">
        <v>350</v>
      </c>
      <c r="C1277" t="s">
        <v>342</v>
      </c>
      <c r="D1277">
        <v>5460</v>
      </c>
      <c r="E1277">
        <v>5338</v>
      </c>
      <c r="F1277">
        <v>5914</v>
      </c>
      <c r="G1277">
        <v>8668</v>
      </c>
    </row>
    <row r="1278" spans="1:7">
      <c r="A1278" t="s">
        <v>1876</v>
      </c>
      <c r="B1278" t="s">
        <v>350</v>
      </c>
      <c r="C1278" t="s">
        <v>1725</v>
      </c>
      <c r="D1278">
        <v>617</v>
      </c>
      <c r="E1278">
        <v>617</v>
      </c>
      <c r="F1278">
        <v>856</v>
      </c>
      <c r="G1278">
        <v>1235</v>
      </c>
    </row>
    <row r="1279" spans="1:7">
      <c r="A1279" t="s">
        <v>1876</v>
      </c>
      <c r="B1279" t="s">
        <v>350</v>
      </c>
      <c r="C1279" t="s">
        <v>343</v>
      </c>
      <c r="D1279">
        <v>0</v>
      </c>
      <c r="E1279">
        <v>0</v>
      </c>
      <c r="F1279">
        <v>0</v>
      </c>
      <c r="G1279">
        <v>0</v>
      </c>
    </row>
    <row r="1280" spans="1:7">
      <c r="A1280" t="s">
        <v>1876</v>
      </c>
      <c r="B1280" t="s">
        <v>350</v>
      </c>
      <c r="C1280" t="s">
        <v>344</v>
      </c>
      <c r="D1280">
        <v>5460</v>
      </c>
      <c r="E1280">
        <v>5338</v>
      </c>
      <c r="F1280">
        <v>5914</v>
      </c>
      <c r="G1280">
        <v>8668</v>
      </c>
    </row>
    <row r="1281" spans="1:7">
      <c r="A1281" t="s">
        <v>1876</v>
      </c>
      <c r="B1281" t="s">
        <v>350</v>
      </c>
      <c r="C1281" t="s">
        <v>345</v>
      </c>
      <c r="D1281">
        <v>0</v>
      </c>
      <c r="E1281">
        <v>0</v>
      </c>
      <c r="F1281">
        <v>0</v>
      </c>
      <c r="G1281">
        <v>0</v>
      </c>
    </row>
    <row r="1282" spans="1:7">
      <c r="A1282" t="s">
        <v>1876</v>
      </c>
      <c r="B1282" t="s">
        <v>350</v>
      </c>
      <c r="C1282" t="s">
        <v>1956</v>
      </c>
      <c r="D1282">
        <v>218</v>
      </c>
      <c r="E1282">
        <v>211</v>
      </c>
      <c r="F1282">
        <v>211</v>
      </c>
      <c r="G1282">
        <v>199</v>
      </c>
    </row>
    <row r="1283" spans="1:7">
      <c r="A1283" t="s">
        <v>1876</v>
      </c>
      <c r="B1283" t="s">
        <v>350</v>
      </c>
      <c r="C1283" t="s">
        <v>1957</v>
      </c>
      <c r="D1283">
        <v>245</v>
      </c>
      <c r="E1283">
        <v>221</v>
      </c>
      <c r="F1283">
        <v>221</v>
      </c>
      <c r="G1283">
        <v>210</v>
      </c>
    </row>
    <row r="1284" spans="1:7">
      <c r="A1284" t="s">
        <v>1876</v>
      </c>
      <c r="B1284" t="s">
        <v>350</v>
      </c>
      <c r="C1284" t="s">
        <v>346</v>
      </c>
      <c r="D1284">
        <v>3152</v>
      </c>
      <c r="E1284">
        <v>3187</v>
      </c>
      <c r="F1284">
        <v>3175</v>
      </c>
      <c r="G1284">
        <v>3493</v>
      </c>
    </row>
    <row r="1285" spans="1:7">
      <c r="A1285" t="s">
        <v>1876</v>
      </c>
      <c r="B1285" t="s">
        <v>350</v>
      </c>
      <c r="C1285" t="s">
        <v>347</v>
      </c>
      <c r="D1285">
        <v>1723</v>
      </c>
      <c r="E1285">
        <v>2061</v>
      </c>
      <c r="F1285">
        <v>2062</v>
      </c>
      <c r="G1285">
        <v>1910</v>
      </c>
    </row>
    <row r="1286" spans="1:7">
      <c r="A1286" t="s">
        <v>1876</v>
      </c>
      <c r="B1286" t="s">
        <v>351</v>
      </c>
      <c r="C1286" t="s">
        <v>133</v>
      </c>
      <c r="D1286">
        <v>-81</v>
      </c>
      <c r="E1286">
        <v>-64</v>
      </c>
      <c r="F1286">
        <v>-61</v>
      </c>
      <c r="G1286">
        <v>-93</v>
      </c>
    </row>
    <row r="1287" spans="1:7">
      <c r="A1287" t="s">
        <v>1876</v>
      </c>
      <c r="B1287" t="s">
        <v>351</v>
      </c>
      <c r="C1287" t="s">
        <v>134</v>
      </c>
      <c r="D1287">
        <v>60568</v>
      </c>
      <c r="E1287">
        <v>59384</v>
      </c>
      <c r="F1287">
        <v>53875</v>
      </c>
      <c r="G1287">
        <v>56777</v>
      </c>
    </row>
    <row r="1288" spans="1:7">
      <c r="A1288" t="s">
        <v>1876</v>
      </c>
      <c r="B1288" t="s">
        <v>351</v>
      </c>
      <c r="C1288" t="s">
        <v>135</v>
      </c>
      <c r="D1288">
        <v>60568</v>
      </c>
      <c r="E1288">
        <v>59384</v>
      </c>
      <c r="F1288">
        <v>53875</v>
      </c>
      <c r="G1288">
        <v>56777</v>
      </c>
    </row>
    <row r="1289" spans="1:7">
      <c r="A1289" t="s">
        <v>1876</v>
      </c>
      <c r="B1289" t="s">
        <v>351</v>
      </c>
      <c r="C1289" t="s">
        <v>136</v>
      </c>
      <c r="D1289">
        <v>60568</v>
      </c>
      <c r="E1289">
        <v>59384</v>
      </c>
      <c r="F1289">
        <v>53875</v>
      </c>
      <c r="G1289">
        <v>56777</v>
      </c>
    </row>
    <row r="1290" spans="1:7">
      <c r="A1290" t="s">
        <v>1876</v>
      </c>
      <c r="B1290" t="s">
        <v>351</v>
      </c>
      <c r="C1290" t="s">
        <v>137</v>
      </c>
      <c r="D1290">
        <v>1970</v>
      </c>
      <c r="E1290">
        <v>2040</v>
      </c>
      <c r="F1290">
        <v>1936</v>
      </c>
      <c r="G1290">
        <v>2082</v>
      </c>
    </row>
    <row r="1291" spans="1:7">
      <c r="A1291" t="s">
        <v>1876</v>
      </c>
      <c r="B1291" t="s">
        <v>351</v>
      </c>
      <c r="C1291" t="s">
        <v>138</v>
      </c>
      <c r="D1291">
        <v>1970</v>
      </c>
      <c r="E1291">
        <v>2040</v>
      </c>
      <c r="F1291">
        <v>1936</v>
      </c>
      <c r="G1291">
        <v>2082</v>
      </c>
    </row>
    <row r="1292" spans="1:7">
      <c r="A1292" t="s">
        <v>1876</v>
      </c>
      <c r="B1292" t="s">
        <v>351</v>
      </c>
      <c r="C1292" t="s">
        <v>139</v>
      </c>
      <c r="D1292">
        <v>1970</v>
      </c>
      <c r="E1292">
        <v>2040</v>
      </c>
      <c r="F1292">
        <v>1936</v>
      </c>
      <c r="G1292">
        <v>2082</v>
      </c>
    </row>
    <row r="1293" spans="1:7">
      <c r="A1293" t="s">
        <v>1876</v>
      </c>
      <c r="B1293" t="s">
        <v>351</v>
      </c>
      <c r="C1293" t="s">
        <v>1877</v>
      </c>
      <c r="D1293">
        <v>20976</v>
      </c>
      <c r="E1293">
        <v>24063</v>
      </c>
      <c r="F1293">
        <v>21929</v>
      </c>
      <c r="G1293">
        <v>19706</v>
      </c>
    </row>
    <row r="1294" spans="1:7">
      <c r="A1294" t="s">
        <v>1876</v>
      </c>
      <c r="B1294" t="s">
        <v>351</v>
      </c>
      <c r="C1294" t="s">
        <v>1700</v>
      </c>
      <c r="D1294">
        <v>156458</v>
      </c>
      <c r="E1294">
        <v>217266</v>
      </c>
      <c r="F1294">
        <v>343302</v>
      </c>
      <c r="G1294">
        <v>426607</v>
      </c>
    </row>
    <row r="1295" spans="1:7">
      <c r="A1295" t="s">
        <v>1876</v>
      </c>
      <c r="B1295" t="s">
        <v>351</v>
      </c>
      <c r="C1295" t="s">
        <v>1878</v>
      </c>
      <c r="D1295">
        <v>135482</v>
      </c>
      <c r="E1295">
        <v>193203</v>
      </c>
      <c r="F1295">
        <v>321374</v>
      </c>
      <c r="G1295">
        <v>406899</v>
      </c>
    </row>
    <row r="1296" spans="1:7">
      <c r="A1296" t="s">
        <v>1876</v>
      </c>
      <c r="B1296" t="s">
        <v>351</v>
      </c>
      <c r="C1296" t="s">
        <v>1879</v>
      </c>
      <c r="D1296">
        <v>20976</v>
      </c>
      <c r="E1296">
        <v>24063</v>
      </c>
      <c r="F1296">
        <v>21929</v>
      </c>
      <c r="G1296">
        <v>19706</v>
      </c>
    </row>
    <row r="1297" spans="1:7">
      <c r="A1297" t="s">
        <v>1876</v>
      </c>
      <c r="B1297" t="s">
        <v>351</v>
      </c>
      <c r="C1297" t="s">
        <v>1701</v>
      </c>
      <c r="D1297">
        <v>156458</v>
      </c>
      <c r="E1297">
        <v>217266</v>
      </c>
      <c r="F1297">
        <v>343302</v>
      </c>
      <c r="G1297">
        <v>426607</v>
      </c>
    </row>
    <row r="1298" spans="1:7">
      <c r="A1298" t="s">
        <v>1876</v>
      </c>
      <c r="B1298" t="s">
        <v>351</v>
      </c>
      <c r="C1298" t="s">
        <v>1880</v>
      </c>
      <c r="D1298">
        <v>15751</v>
      </c>
      <c r="E1298">
        <v>14867</v>
      </c>
      <c r="F1298">
        <v>12721</v>
      </c>
      <c r="G1298">
        <v>10894</v>
      </c>
    </row>
    <row r="1299" spans="1:7">
      <c r="A1299" t="s">
        <v>1876</v>
      </c>
      <c r="B1299" t="s">
        <v>351</v>
      </c>
      <c r="C1299" t="s">
        <v>140</v>
      </c>
      <c r="D1299">
        <v>37012</v>
      </c>
      <c r="E1299">
        <v>35933</v>
      </c>
      <c r="F1299">
        <v>34309</v>
      </c>
      <c r="G1299">
        <v>31054</v>
      </c>
    </row>
    <row r="1300" spans="1:7">
      <c r="A1300" t="s">
        <v>1876</v>
      </c>
      <c r="B1300" t="s">
        <v>351</v>
      </c>
      <c r="C1300" t="s">
        <v>1881</v>
      </c>
      <c r="D1300">
        <v>21261</v>
      </c>
      <c r="E1300">
        <v>21065</v>
      </c>
      <c r="F1300">
        <v>21588</v>
      </c>
      <c r="G1300">
        <v>20160</v>
      </c>
    </row>
    <row r="1301" spans="1:7">
      <c r="A1301" t="s">
        <v>1876</v>
      </c>
      <c r="B1301" t="s">
        <v>351</v>
      </c>
      <c r="C1301" t="s">
        <v>1882</v>
      </c>
      <c r="D1301">
        <v>0</v>
      </c>
      <c r="E1301">
        <v>0</v>
      </c>
      <c r="F1301">
        <v>0</v>
      </c>
      <c r="G1301">
        <v>0</v>
      </c>
    </row>
    <row r="1302" spans="1:7">
      <c r="A1302" t="s">
        <v>1876</v>
      </c>
      <c r="B1302" t="s">
        <v>351</v>
      </c>
      <c r="C1302" t="s">
        <v>1883</v>
      </c>
      <c r="D1302">
        <v>0</v>
      </c>
      <c r="E1302">
        <v>0</v>
      </c>
      <c r="F1302">
        <v>0</v>
      </c>
      <c r="G1302">
        <v>0</v>
      </c>
    </row>
    <row r="1303" spans="1:7">
      <c r="A1303" t="s">
        <v>1876</v>
      </c>
      <c r="B1303" t="s">
        <v>351</v>
      </c>
      <c r="C1303" t="s">
        <v>1884</v>
      </c>
      <c r="D1303">
        <v>0</v>
      </c>
      <c r="E1303">
        <v>0</v>
      </c>
      <c r="F1303">
        <v>0</v>
      </c>
      <c r="G1303">
        <v>0</v>
      </c>
    </row>
    <row r="1304" spans="1:7">
      <c r="A1304" t="s">
        <v>1876</v>
      </c>
      <c r="B1304" t="s">
        <v>351</v>
      </c>
      <c r="C1304" t="s">
        <v>1885</v>
      </c>
      <c r="D1304">
        <v>0</v>
      </c>
      <c r="E1304">
        <v>0</v>
      </c>
      <c r="F1304">
        <v>0</v>
      </c>
      <c r="G1304">
        <v>0</v>
      </c>
    </row>
    <row r="1305" spans="1:7">
      <c r="A1305" t="s">
        <v>1876</v>
      </c>
      <c r="B1305" t="s">
        <v>351</v>
      </c>
      <c r="C1305" t="s">
        <v>1886</v>
      </c>
      <c r="D1305">
        <v>0</v>
      </c>
      <c r="E1305">
        <v>0</v>
      </c>
      <c r="F1305">
        <v>0</v>
      </c>
      <c r="G1305">
        <v>0</v>
      </c>
    </row>
    <row r="1306" spans="1:7">
      <c r="A1306" t="s">
        <v>1876</v>
      </c>
      <c r="B1306" t="s">
        <v>351</v>
      </c>
      <c r="C1306" t="s">
        <v>141</v>
      </c>
      <c r="D1306">
        <v>73</v>
      </c>
      <c r="E1306">
        <v>94</v>
      </c>
      <c r="F1306">
        <v>84</v>
      </c>
      <c r="G1306">
        <v>76</v>
      </c>
    </row>
    <row r="1307" spans="1:7">
      <c r="A1307" t="s">
        <v>1876</v>
      </c>
      <c r="B1307" t="s">
        <v>351</v>
      </c>
      <c r="C1307" t="s">
        <v>1887</v>
      </c>
      <c r="D1307">
        <v>0</v>
      </c>
      <c r="E1307">
        <v>0</v>
      </c>
      <c r="F1307">
        <v>0</v>
      </c>
      <c r="G1307">
        <v>0</v>
      </c>
    </row>
    <row r="1308" spans="1:7">
      <c r="A1308" t="s">
        <v>1876</v>
      </c>
      <c r="B1308" t="s">
        <v>351</v>
      </c>
      <c r="C1308" t="s">
        <v>1888</v>
      </c>
      <c r="D1308">
        <v>0</v>
      </c>
      <c r="E1308">
        <v>0</v>
      </c>
      <c r="F1308">
        <v>0</v>
      </c>
      <c r="G1308">
        <v>0</v>
      </c>
    </row>
    <row r="1309" spans="1:7">
      <c r="A1309" t="s">
        <v>1876</v>
      </c>
      <c r="B1309" t="s">
        <v>351</v>
      </c>
      <c r="C1309" t="s">
        <v>1889</v>
      </c>
      <c r="D1309">
        <v>15751</v>
      </c>
      <c r="E1309">
        <v>14867</v>
      </c>
      <c r="F1309">
        <v>12721</v>
      </c>
      <c r="G1309">
        <v>10894</v>
      </c>
    </row>
    <row r="1310" spans="1:7">
      <c r="A1310" t="s">
        <v>1876</v>
      </c>
      <c r="B1310" t="s">
        <v>351</v>
      </c>
      <c r="C1310" t="s">
        <v>1890</v>
      </c>
      <c r="D1310">
        <v>0</v>
      </c>
      <c r="E1310">
        <v>0</v>
      </c>
      <c r="F1310">
        <v>0</v>
      </c>
      <c r="G1310">
        <v>0</v>
      </c>
    </row>
    <row r="1311" spans="1:7">
      <c r="A1311" t="s">
        <v>1876</v>
      </c>
      <c r="B1311" t="s">
        <v>351</v>
      </c>
      <c r="C1311" t="s">
        <v>1891</v>
      </c>
    </row>
    <row r="1312" spans="1:7">
      <c r="A1312" t="s">
        <v>1876</v>
      </c>
      <c r="B1312" t="s">
        <v>351</v>
      </c>
      <c r="C1312" t="s">
        <v>1892</v>
      </c>
      <c r="D1312">
        <v>21261</v>
      </c>
      <c r="E1312">
        <v>21065</v>
      </c>
      <c r="F1312">
        <v>21588</v>
      </c>
      <c r="G1312">
        <v>20160</v>
      </c>
    </row>
    <row r="1313" spans="1:7">
      <c r="A1313" t="s">
        <v>1876</v>
      </c>
      <c r="B1313" t="s">
        <v>351</v>
      </c>
      <c r="C1313" t="s">
        <v>142</v>
      </c>
      <c r="D1313">
        <v>37012</v>
      </c>
      <c r="E1313">
        <v>35933</v>
      </c>
      <c r="F1313">
        <v>34309</v>
      </c>
      <c r="G1313">
        <v>31054</v>
      </c>
    </row>
    <row r="1314" spans="1:7">
      <c r="A1314" t="s">
        <v>1876</v>
      </c>
      <c r="B1314" t="s">
        <v>351</v>
      </c>
      <c r="C1314" t="s">
        <v>1893</v>
      </c>
      <c r="D1314">
        <v>37012</v>
      </c>
      <c r="E1314">
        <v>35933</v>
      </c>
      <c r="F1314">
        <v>34309</v>
      </c>
      <c r="G1314">
        <v>31054</v>
      </c>
    </row>
    <row r="1315" spans="1:7">
      <c r="A1315" t="s">
        <v>1876</v>
      </c>
      <c r="B1315" t="s">
        <v>351</v>
      </c>
      <c r="C1315" t="s">
        <v>1894</v>
      </c>
      <c r="D1315">
        <v>21261</v>
      </c>
      <c r="E1315">
        <v>21065</v>
      </c>
      <c r="F1315">
        <v>21588</v>
      </c>
      <c r="G1315">
        <v>20160</v>
      </c>
    </row>
    <row r="1316" spans="1:7">
      <c r="A1316" t="s">
        <v>1876</v>
      </c>
      <c r="B1316" t="s">
        <v>351</v>
      </c>
      <c r="C1316" t="s">
        <v>143</v>
      </c>
      <c r="D1316">
        <v>5119</v>
      </c>
      <c r="E1316">
        <v>4410</v>
      </c>
      <c r="F1316">
        <v>3397</v>
      </c>
      <c r="G1316">
        <v>5145</v>
      </c>
    </row>
    <row r="1317" spans="1:7">
      <c r="A1317" t="s">
        <v>1876</v>
      </c>
      <c r="B1317" t="s">
        <v>351</v>
      </c>
      <c r="C1317" t="s">
        <v>144</v>
      </c>
      <c r="D1317">
        <v>317256</v>
      </c>
      <c r="E1317">
        <v>375528</v>
      </c>
      <c r="F1317">
        <v>498024</v>
      </c>
      <c r="G1317">
        <v>578883</v>
      </c>
    </row>
    <row r="1318" spans="1:7">
      <c r="A1318" t="s">
        <v>1876</v>
      </c>
      <c r="B1318" t="s">
        <v>351</v>
      </c>
      <c r="C1318" t="s">
        <v>1895</v>
      </c>
      <c r="D1318">
        <v>57.1</v>
      </c>
      <c r="E1318">
        <v>56.5</v>
      </c>
      <c r="F1318">
        <v>53.5</v>
      </c>
      <c r="G1318">
        <v>52.5</v>
      </c>
    </row>
    <row r="1319" spans="1:7">
      <c r="A1319" t="s">
        <v>1876</v>
      </c>
      <c r="B1319" t="s">
        <v>351</v>
      </c>
      <c r="C1319" t="s">
        <v>145</v>
      </c>
      <c r="D1319">
        <v>462829</v>
      </c>
      <c r="E1319">
        <v>499915</v>
      </c>
      <c r="F1319">
        <v>614870</v>
      </c>
      <c r="G1319">
        <v>690083</v>
      </c>
    </row>
    <row r="1320" spans="1:7">
      <c r="A1320" t="s">
        <v>1876</v>
      </c>
      <c r="B1320" t="s">
        <v>351</v>
      </c>
      <c r="C1320" t="s">
        <v>146</v>
      </c>
      <c r="D1320">
        <v>0</v>
      </c>
      <c r="E1320">
        <v>0</v>
      </c>
      <c r="F1320">
        <v>0</v>
      </c>
      <c r="G1320">
        <v>0</v>
      </c>
    </row>
    <row r="1321" spans="1:7">
      <c r="A1321" t="s">
        <v>1876</v>
      </c>
      <c r="B1321" t="s">
        <v>351</v>
      </c>
      <c r="C1321" t="s">
        <v>147</v>
      </c>
      <c r="D1321">
        <v>0</v>
      </c>
      <c r="E1321">
        <v>0</v>
      </c>
      <c r="F1321">
        <v>0</v>
      </c>
      <c r="G1321">
        <v>0</v>
      </c>
    </row>
    <row r="1322" spans="1:7">
      <c r="A1322" t="s">
        <v>1876</v>
      </c>
      <c r="B1322" t="s">
        <v>351</v>
      </c>
      <c r="C1322" t="s">
        <v>1896</v>
      </c>
      <c r="D1322">
        <v>8</v>
      </c>
      <c r="E1322">
        <v>8.8000000000000007</v>
      </c>
      <c r="F1322">
        <v>9.1999999999999993</v>
      </c>
      <c r="G1322">
        <v>10.3</v>
      </c>
    </row>
    <row r="1323" spans="1:7">
      <c r="A1323" t="s">
        <v>1876</v>
      </c>
      <c r="B1323" t="s">
        <v>351</v>
      </c>
      <c r="C1323" t="s">
        <v>1702</v>
      </c>
      <c r="D1323">
        <v>2328</v>
      </c>
      <c r="E1323">
        <v>4864</v>
      </c>
      <c r="F1323">
        <v>7985</v>
      </c>
      <c r="G1323">
        <v>11717</v>
      </c>
    </row>
    <row r="1324" spans="1:7">
      <c r="A1324" t="s">
        <v>1876</v>
      </c>
      <c r="B1324" t="s">
        <v>351</v>
      </c>
      <c r="C1324" t="s">
        <v>1897</v>
      </c>
      <c r="D1324">
        <v>544.29999999999995</v>
      </c>
      <c r="E1324">
        <v>758.3</v>
      </c>
      <c r="F1324">
        <v>1202.8</v>
      </c>
      <c r="G1324">
        <v>1482</v>
      </c>
    </row>
    <row r="1325" spans="1:7">
      <c r="A1325" t="s">
        <v>1876</v>
      </c>
      <c r="B1325" t="s">
        <v>351</v>
      </c>
      <c r="C1325" t="s">
        <v>1898</v>
      </c>
      <c r="D1325">
        <v>902</v>
      </c>
      <c r="E1325">
        <v>1273</v>
      </c>
      <c r="F1325">
        <v>3578</v>
      </c>
      <c r="G1325">
        <v>4791</v>
      </c>
    </row>
    <row r="1326" spans="1:7">
      <c r="A1326" t="s">
        <v>1876</v>
      </c>
      <c r="B1326" t="s">
        <v>351</v>
      </c>
      <c r="C1326" t="s">
        <v>1899</v>
      </c>
      <c r="D1326">
        <v>156743</v>
      </c>
      <c r="E1326">
        <v>214268</v>
      </c>
      <c r="F1326">
        <v>342962</v>
      </c>
      <c r="G1326">
        <v>427060</v>
      </c>
    </row>
    <row r="1327" spans="1:7">
      <c r="A1327" t="s">
        <v>1876</v>
      </c>
      <c r="B1327" t="s">
        <v>351</v>
      </c>
      <c r="C1327" t="s">
        <v>148</v>
      </c>
      <c r="D1327">
        <v>0</v>
      </c>
      <c r="E1327">
        <v>0</v>
      </c>
      <c r="F1327">
        <v>0</v>
      </c>
      <c r="G1327">
        <v>0</v>
      </c>
    </row>
    <row r="1328" spans="1:7">
      <c r="A1328" t="s">
        <v>1876</v>
      </c>
      <c r="B1328" t="s">
        <v>351</v>
      </c>
      <c r="C1328" t="s">
        <v>149</v>
      </c>
      <c r="D1328">
        <v>0</v>
      </c>
      <c r="E1328">
        <v>0</v>
      </c>
      <c r="F1328">
        <v>0</v>
      </c>
      <c r="G1328">
        <v>0</v>
      </c>
    </row>
    <row r="1329" spans="1:7">
      <c r="A1329" t="s">
        <v>1876</v>
      </c>
      <c r="B1329" t="s">
        <v>351</v>
      </c>
      <c r="C1329" t="s">
        <v>150</v>
      </c>
      <c r="D1329">
        <v>0</v>
      </c>
      <c r="E1329">
        <v>0</v>
      </c>
      <c r="F1329">
        <v>0</v>
      </c>
      <c r="G1329">
        <v>0</v>
      </c>
    </row>
    <row r="1330" spans="1:7">
      <c r="A1330" t="s">
        <v>1876</v>
      </c>
      <c r="B1330" t="s">
        <v>351</v>
      </c>
      <c r="C1330" t="s">
        <v>1900</v>
      </c>
      <c r="D1330">
        <v>61</v>
      </c>
      <c r="E1330">
        <v>57</v>
      </c>
      <c r="F1330">
        <v>49</v>
      </c>
      <c r="G1330">
        <v>52.5</v>
      </c>
    </row>
    <row r="1331" spans="1:7">
      <c r="A1331" t="s">
        <v>1876</v>
      </c>
      <c r="B1331" t="s">
        <v>351</v>
      </c>
      <c r="C1331" t="s">
        <v>151</v>
      </c>
      <c r="D1331">
        <v>0</v>
      </c>
      <c r="E1331">
        <v>0</v>
      </c>
      <c r="F1331">
        <v>0</v>
      </c>
      <c r="G1331">
        <v>0</v>
      </c>
    </row>
    <row r="1332" spans="1:7">
      <c r="A1332" t="s">
        <v>1876</v>
      </c>
      <c r="B1332" t="s">
        <v>351</v>
      </c>
      <c r="C1332" t="s">
        <v>152</v>
      </c>
      <c r="D1332">
        <v>0</v>
      </c>
      <c r="E1332">
        <v>0</v>
      </c>
      <c r="F1332">
        <v>0</v>
      </c>
      <c r="G1332">
        <v>0</v>
      </c>
    </row>
    <row r="1333" spans="1:7">
      <c r="A1333" t="s">
        <v>1876</v>
      </c>
      <c r="B1333" t="s">
        <v>351</v>
      </c>
      <c r="C1333" t="s">
        <v>1703</v>
      </c>
      <c r="D1333">
        <v>57</v>
      </c>
      <c r="E1333">
        <v>57</v>
      </c>
      <c r="F1333">
        <v>57</v>
      </c>
      <c r="G1333">
        <v>57</v>
      </c>
    </row>
    <row r="1334" spans="1:7">
      <c r="A1334" t="s">
        <v>1876</v>
      </c>
      <c r="B1334" t="s">
        <v>351</v>
      </c>
      <c r="C1334" t="s">
        <v>153</v>
      </c>
      <c r="D1334">
        <v>28244</v>
      </c>
      <c r="E1334">
        <v>30049</v>
      </c>
      <c r="F1334">
        <v>28746</v>
      </c>
      <c r="G1334">
        <v>29082</v>
      </c>
    </row>
    <row r="1335" spans="1:7">
      <c r="A1335" t="s">
        <v>1876</v>
      </c>
      <c r="B1335" t="s">
        <v>351</v>
      </c>
      <c r="C1335" t="s">
        <v>154</v>
      </c>
      <c r="D1335">
        <v>0</v>
      </c>
      <c r="E1335">
        <v>0</v>
      </c>
      <c r="F1335">
        <v>0</v>
      </c>
      <c r="G1335">
        <v>0</v>
      </c>
    </row>
    <row r="1336" spans="1:7">
      <c r="A1336" t="s">
        <v>1876</v>
      </c>
      <c r="B1336" t="s">
        <v>351</v>
      </c>
      <c r="C1336" t="s">
        <v>155</v>
      </c>
      <c r="D1336">
        <v>28244</v>
      </c>
      <c r="E1336">
        <v>30049</v>
      </c>
      <c r="F1336">
        <v>28746</v>
      </c>
      <c r="G1336">
        <v>29082</v>
      </c>
    </row>
    <row r="1337" spans="1:7">
      <c r="A1337" t="s">
        <v>1876</v>
      </c>
      <c r="B1337" t="s">
        <v>351</v>
      </c>
      <c r="C1337" t="s">
        <v>156</v>
      </c>
      <c r="D1337">
        <v>0</v>
      </c>
      <c r="E1337">
        <v>0</v>
      </c>
      <c r="F1337">
        <v>0</v>
      </c>
      <c r="G1337">
        <v>0</v>
      </c>
    </row>
    <row r="1338" spans="1:7">
      <c r="A1338" t="s">
        <v>1876</v>
      </c>
      <c r="B1338" t="s">
        <v>351</v>
      </c>
      <c r="C1338" t="s">
        <v>157</v>
      </c>
      <c r="D1338">
        <v>28244</v>
      </c>
      <c r="E1338">
        <v>30049</v>
      </c>
      <c r="F1338">
        <v>28746</v>
      </c>
      <c r="G1338">
        <v>29082</v>
      </c>
    </row>
    <row r="1339" spans="1:7">
      <c r="A1339" t="s">
        <v>1876</v>
      </c>
      <c r="B1339" t="s">
        <v>351</v>
      </c>
      <c r="C1339" t="s">
        <v>158</v>
      </c>
      <c r="D1339">
        <v>28244</v>
      </c>
      <c r="E1339">
        <v>30049</v>
      </c>
      <c r="F1339">
        <v>28746</v>
      </c>
      <c r="G1339">
        <v>29082</v>
      </c>
    </row>
    <row r="1340" spans="1:7">
      <c r="A1340" t="s">
        <v>1876</v>
      </c>
      <c r="B1340" t="s">
        <v>351</v>
      </c>
      <c r="C1340" t="s">
        <v>159</v>
      </c>
      <c r="D1340">
        <v>0</v>
      </c>
      <c r="E1340">
        <v>0</v>
      </c>
      <c r="F1340">
        <v>0</v>
      </c>
      <c r="G1340">
        <v>0</v>
      </c>
    </row>
    <row r="1341" spans="1:7">
      <c r="A1341" t="s">
        <v>1876</v>
      </c>
      <c r="B1341" t="s">
        <v>351</v>
      </c>
      <c r="C1341" t="s">
        <v>1901</v>
      </c>
      <c r="D1341">
        <v>45.9</v>
      </c>
      <c r="E1341">
        <v>45.7</v>
      </c>
      <c r="F1341">
        <v>45.5</v>
      </c>
      <c r="G1341">
        <v>41.9</v>
      </c>
    </row>
    <row r="1342" spans="1:7">
      <c r="A1342" t="s">
        <v>1876</v>
      </c>
      <c r="B1342" t="s">
        <v>351</v>
      </c>
      <c r="C1342" t="s">
        <v>1902</v>
      </c>
      <c r="D1342">
        <v>626083</v>
      </c>
      <c r="E1342">
        <v>683308</v>
      </c>
      <c r="F1342">
        <v>799544</v>
      </c>
      <c r="G1342">
        <v>858324</v>
      </c>
    </row>
    <row r="1343" spans="1:7">
      <c r="A1343" t="s">
        <v>1876</v>
      </c>
      <c r="B1343" t="s">
        <v>351</v>
      </c>
      <c r="C1343" t="s">
        <v>1903</v>
      </c>
      <c r="D1343">
        <v>22084</v>
      </c>
      <c r="E1343">
        <v>20501</v>
      </c>
      <c r="F1343">
        <v>25973</v>
      </c>
      <c r="G1343">
        <v>22357</v>
      </c>
    </row>
    <row r="1344" spans="1:7">
      <c r="A1344" t="s">
        <v>1876</v>
      </c>
      <c r="B1344" t="s">
        <v>351</v>
      </c>
      <c r="C1344" t="s">
        <v>1904</v>
      </c>
      <c r="D1344">
        <v>391</v>
      </c>
      <c r="E1344">
        <v>337</v>
      </c>
      <c r="F1344">
        <v>325</v>
      </c>
      <c r="G1344">
        <v>332</v>
      </c>
    </row>
    <row r="1345" spans="1:7">
      <c r="A1345" t="s">
        <v>1876</v>
      </c>
      <c r="B1345" t="s">
        <v>351</v>
      </c>
      <c r="C1345" t="s">
        <v>1905</v>
      </c>
      <c r="D1345">
        <v>73704</v>
      </c>
      <c r="E1345">
        <v>74506</v>
      </c>
      <c r="F1345">
        <v>72719</v>
      </c>
      <c r="G1345">
        <v>70568</v>
      </c>
    </row>
    <row r="1346" spans="1:7">
      <c r="A1346" t="s">
        <v>1876</v>
      </c>
      <c r="B1346" t="s">
        <v>351</v>
      </c>
      <c r="C1346" t="s">
        <v>1906</v>
      </c>
      <c r="D1346">
        <v>539</v>
      </c>
      <c r="E1346">
        <v>507</v>
      </c>
      <c r="F1346">
        <v>642</v>
      </c>
      <c r="G1346">
        <v>541</v>
      </c>
    </row>
    <row r="1347" spans="1:7">
      <c r="A1347" t="s">
        <v>1876</v>
      </c>
      <c r="B1347" t="s">
        <v>351</v>
      </c>
      <c r="C1347" t="s">
        <v>1907</v>
      </c>
      <c r="D1347">
        <v>722801</v>
      </c>
      <c r="E1347">
        <v>779160</v>
      </c>
      <c r="F1347">
        <v>899203</v>
      </c>
      <c r="G1347">
        <v>952121</v>
      </c>
    </row>
    <row r="1348" spans="1:7">
      <c r="A1348" t="s">
        <v>1876</v>
      </c>
      <c r="B1348" t="s">
        <v>351</v>
      </c>
      <c r="C1348" t="s">
        <v>160</v>
      </c>
      <c r="D1348">
        <v>469340</v>
      </c>
      <c r="E1348">
        <v>469040</v>
      </c>
      <c r="F1348">
        <v>456582</v>
      </c>
      <c r="G1348">
        <v>431264</v>
      </c>
    </row>
    <row r="1349" spans="1:7">
      <c r="A1349" t="s">
        <v>1876</v>
      </c>
      <c r="B1349" t="s">
        <v>351</v>
      </c>
      <c r="C1349" t="s">
        <v>161</v>
      </c>
      <c r="D1349">
        <v>22084</v>
      </c>
      <c r="E1349">
        <v>20501</v>
      </c>
      <c r="F1349">
        <v>25973</v>
      </c>
      <c r="G1349">
        <v>22357</v>
      </c>
    </row>
    <row r="1350" spans="1:7">
      <c r="A1350" t="s">
        <v>1876</v>
      </c>
      <c r="B1350" t="s">
        <v>351</v>
      </c>
      <c r="C1350" t="s">
        <v>162</v>
      </c>
      <c r="D1350">
        <v>391</v>
      </c>
      <c r="E1350">
        <v>337</v>
      </c>
      <c r="F1350">
        <v>325</v>
      </c>
      <c r="G1350">
        <v>332</v>
      </c>
    </row>
    <row r="1351" spans="1:7">
      <c r="A1351" t="s">
        <v>1876</v>
      </c>
      <c r="B1351" t="s">
        <v>351</v>
      </c>
      <c r="C1351" t="s">
        <v>163</v>
      </c>
      <c r="D1351">
        <v>73704</v>
      </c>
      <c r="E1351">
        <v>74506</v>
      </c>
      <c r="F1351">
        <v>72719</v>
      </c>
      <c r="G1351">
        <v>70568</v>
      </c>
    </row>
    <row r="1352" spans="1:7">
      <c r="A1352" t="s">
        <v>1876</v>
      </c>
      <c r="B1352" t="s">
        <v>351</v>
      </c>
      <c r="C1352" t="s">
        <v>164</v>
      </c>
      <c r="D1352">
        <v>539</v>
      </c>
      <c r="E1352">
        <v>507</v>
      </c>
      <c r="F1352">
        <v>642</v>
      </c>
      <c r="G1352">
        <v>541</v>
      </c>
    </row>
    <row r="1353" spans="1:7">
      <c r="A1353" t="s">
        <v>1876</v>
      </c>
      <c r="B1353" t="s">
        <v>351</v>
      </c>
      <c r="C1353" t="s">
        <v>165</v>
      </c>
      <c r="D1353">
        <v>566058</v>
      </c>
      <c r="E1353">
        <v>564892</v>
      </c>
      <c r="F1353">
        <v>556242</v>
      </c>
      <c r="G1353">
        <v>525062</v>
      </c>
    </row>
    <row r="1354" spans="1:7">
      <c r="A1354" t="s">
        <v>1876</v>
      </c>
      <c r="B1354" t="s">
        <v>351</v>
      </c>
      <c r="C1354" t="s">
        <v>166</v>
      </c>
      <c r="D1354">
        <v>565667</v>
      </c>
      <c r="E1354">
        <v>564555</v>
      </c>
      <c r="F1354">
        <v>555917</v>
      </c>
      <c r="G1354">
        <v>524730</v>
      </c>
    </row>
    <row r="1355" spans="1:7">
      <c r="A1355" t="s">
        <v>1876</v>
      </c>
      <c r="B1355" t="s">
        <v>351</v>
      </c>
      <c r="C1355" t="s">
        <v>167</v>
      </c>
      <c r="D1355">
        <v>391</v>
      </c>
      <c r="E1355">
        <v>337</v>
      </c>
      <c r="F1355">
        <v>325</v>
      </c>
      <c r="G1355">
        <v>332</v>
      </c>
    </row>
    <row r="1356" spans="1:7">
      <c r="A1356" t="s">
        <v>1876</v>
      </c>
      <c r="B1356" t="s">
        <v>351</v>
      </c>
      <c r="C1356" t="s">
        <v>1908</v>
      </c>
      <c r="D1356">
        <v>432613</v>
      </c>
      <c r="E1356">
        <v>430110</v>
      </c>
      <c r="F1356">
        <v>421932</v>
      </c>
      <c r="G1356">
        <v>400664</v>
      </c>
    </row>
    <row r="1357" spans="1:7">
      <c r="A1357" t="s">
        <v>1876</v>
      </c>
      <c r="B1357" t="s">
        <v>351</v>
      </c>
      <c r="C1357" t="s">
        <v>1909</v>
      </c>
      <c r="D1357">
        <v>22084</v>
      </c>
      <c r="E1357">
        <v>20501</v>
      </c>
      <c r="F1357">
        <v>25973</v>
      </c>
      <c r="G1357">
        <v>22357</v>
      </c>
    </row>
    <row r="1358" spans="1:7">
      <c r="A1358" t="s">
        <v>1876</v>
      </c>
      <c r="B1358" t="s">
        <v>351</v>
      </c>
      <c r="C1358" t="s">
        <v>1910</v>
      </c>
      <c r="D1358">
        <v>391</v>
      </c>
      <c r="E1358">
        <v>337</v>
      </c>
      <c r="F1358">
        <v>325</v>
      </c>
      <c r="G1358">
        <v>332</v>
      </c>
    </row>
    <row r="1359" spans="1:7">
      <c r="A1359" t="s">
        <v>1876</v>
      </c>
      <c r="B1359" t="s">
        <v>351</v>
      </c>
      <c r="C1359" t="s">
        <v>1911</v>
      </c>
      <c r="D1359">
        <v>73704</v>
      </c>
      <c r="E1359">
        <v>74506</v>
      </c>
      <c r="F1359">
        <v>72719</v>
      </c>
      <c r="G1359">
        <v>70568</v>
      </c>
    </row>
    <row r="1360" spans="1:7">
      <c r="A1360" t="s">
        <v>1876</v>
      </c>
      <c r="B1360" t="s">
        <v>351</v>
      </c>
      <c r="C1360" t="s">
        <v>1912</v>
      </c>
      <c r="D1360">
        <v>539</v>
      </c>
      <c r="E1360">
        <v>507</v>
      </c>
      <c r="F1360">
        <v>642</v>
      </c>
      <c r="G1360">
        <v>541</v>
      </c>
    </row>
    <row r="1361" spans="1:7">
      <c r="A1361" t="s">
        <v>1876</v>
      </c>
      <c r="B1361" t="s">
        <v>351</v>
      </c>
      <c r="C1361" t="s">
        <v>168</v>
      </c>
      <c r="D1361">
        <v>529332</v>
      </c>
      <c r="E1361">
        <v>525962</v>
      </c>
      <c r="F1361">
        <v>521592</v>
      </c>
      <c r="G1361">
        <v>494462</v>
      </c>
    </row>
    <row r="1362" spans="1:7">
      <c r="A1362" t="s">
        <v>1876</v>
      </c>
      <c r="B1362" t="s">
        <v>351</v>
      </c>
      <c r="C1362" t="s">
        <v>169</v>
      </c>
      <c r="D1362">
        <v>4210</v>
      </c>
      <c r="E1362">
        <v>4883</v>
      </c>
      <c r="F1362">
        <v>4087</v>
      </c>
      <c r="G1362">
        <v>5097</v>
      </c>
    </row>
    <row r="1363" spans="1:7">
      <c r="A1363" t="s">
        <v>1876</v>
      </c>
      <c r="B1363" t="s">
        <v>351</v>
      </c>
      <c r="C1363" t="s">
        <v>1704</v>
      </c>
      <c r="D1363">
        <v>81184</v>
      </c>
      <c r="E1363">
        <v>85981</v>
      </c>
      <c r="F1363">
        <v>90375</v>
      </c>
      <c r="G1363">
        <v>96773</v>
      </c>
    </row>
    <row r="1364" spans="1:7">
      <c r="A1364" t="s">
        <v>1876</v>
      </c>
      <c r="B1364" t="s">
        <v>351</v>
      </c>
      <c r="C1364" t="s">
        <v>170</v>
      </c>
      <c r="D1364">
        <v>16710</v>
      </c>
      <c r="E1364">
        <v>15813</v>
      </c>
      <c r="F1364">
        <v>19360</v>
      </c>
      <c r="G1364">
        <v>20570</v>
      </c>
    </row>
    <row r="1365" spans="1:7">
      <c r="A1365" t="s">
        <v>1876</v>
      </c>
      <c r="B1365" t="s">
        <v>351</v>
      </c>
      <c r="C1365" t="s">
        <v>171</v>
      </c>
      <c r="D1365">
        <v>623973</v>
      </c>
      <c r="E1365">
        <v>600661</v>
      </c>
      <c r="F1365">
        <v>371680</v>
      </c>
      <c r="G1365">
        <v>453259</v>
      </c>
    </row>
    <row r="1366" spans="1:7">
      <c r="A1366" t="s">
        <v>1876</v>
      </c>
      <c r="B1366" t="s">
        <v>351</v>
      </c>
      <c r="C1366" t="s">
        <v>172</v>
      </c>
      <c r="D1366">
        <v>12500</v>
      </c>
      <c r="E1366">
        <v>10930</v>
      </c>
      <c r="F1366">
        <v>15273</v>
      </c>
      <c r="G1366">
        <v>15473</v>
      </c>
    </row>
    <row r="1367" spans="1:7">
      <c r="A1367" t="s">
        <v>1876</v>
      </c>
      <c r="B1367" t="s">
        <v>351</v>
      </c>
      <c r="C1367" t="s">
        <v>1913</v>
      </c>
      <c r="D1367">
        <v>851.4</v>
      </c>
      <c r="E1367">
        <v>1092</v>
      </c>
      <c r="F1367">
        <v>1564.5</v>
      </c>
      <c r="G1367">
        <v>1912.9</v>
      </c>
    </row>
    <row r="1368" spans="1:7">
      <c r="A1368" t="s">
        <v>1876</v>
      </c>
      <c r="B1368" t="s">
        <v>351</v>
      </c>
      <c r="C1368" t="s">
        <v>1914</v>
      </c>
      <c r="D1368">
        <v>2.6</v>
      </c>
      <c r="E1368">
        <v>3.3</v>
      </c>
      <c r="F1368">
        <v>4.5999999999999996</v>
      </c>
      <c r="G1368">
        <v>5.5</v>
      </c>
    </row>
    <row r="1369" spans="1:7">
      <c r="A1369" t="s">
        <v>1876</v>
      </c>
      <c r="B1369" t="s">
        <v>351</v>
      </c>
      <c r="C1369" t="s">
        <v>173</v>
      </c>
      <c r="D1369">
        <v>112489</v>
      </c>
      <c r="E1369">
        <v>111539</v>
      </c>
      <c r="F1369">
        <v>110609</v>
      </c>
      <c r="G1369">
        <v>109398</v>
      </c>
    </row>
    <row r="1370" spans="1:7">
      <c r="A1370" t="s">
        <v>1876</v>
      </c>
      <c r="B1370" t="s">
        <v>351</v>
      </c>
      <c r="C1370" t="s">
        <v>174</v>
      </c>
      <c r="D1370">
        <v>3938</v>
      </c>
      <c r="E1370">
        <v>4060</v>
      </c>
      <c r="F1370">
        <v>4068</v>
      </c>
      <c r="G1370">
        <v>3113</v>
      </c>
    </row>
    <row r="1371" spans="1:7">
      <c r="A1371" t="s">
        <v>1876</v>
      </c>
      <c r="B1371" t="s">
        <v>351</v>
      </c>
      <c r="C1371" t="s">
        <v>175</v>
      </c>
      <c r="D1371">
        <v>2239</v>
      </c>
      <c r="E1371">
        <v>2320</v>
      </c>
      <c r="F1371">
        <v>2339</v>
      </c>
      <c r="G1371">
        <v>3566</v>
      </c>
    </row>
    <row r="1372" spans="1:7">
      <c r="A1372" t="s">
        <v>1876</v>
      </c>
      <c r="B1372" t="s">
        <v>351</v>
      </c>
      <c r="C1372" t="s">
        <v>176</v>
      </c>
      <c r="D1372">
        <v>5045</v>
      </c>
      <c r="E1372">
        <v>4316</v>
      </c>
      <c r="F1372">
        <v>3313</v>
      </c>
      <c r="G1372">
        <v>5069</v>
      </c>
    </row>
    <row r="1373" spans="1:7">
      <c r="A1373" t="s">
        <v>1876</v>
      </c>
      <c r="B1373" t="s">
        <v>351</v>
      </c>
      <c r="C1373" t="s">
        <v>177</v>
      </c>
      <c r="D1373">
        <v>118667</v>
      </c>
      <c r="E1373">
        <v>117919</v>
      </c>
      <c r="F1373">
        <v>117016</v>
      </c>
      <c r="G1373">
        <v>116077</v>
      </c>
    </row>
    <row r="1374" spans="1:7">
      <c r="A1374" t="s">
        <v>1876</v>
      </c>
      <c r="B1374" t="s">
        <v>351</v>
      </c>
      <c r="C1374" t="s">
        <v>178</v>
      </c>
      <c r="D1374">
        <v>0</v>
      </c>
      <c r="E1374">
        <v>0</v>
      </c>
      <c r="F1374">
        <v>0</v>
      </c>
      <c r="G1374">
        <v>0</v>
      </c>
    </row>
    <row r="1375" spans="1:7">
      <c r="A1375" t="s">
        <v>1876</v>
      </c>
      <c r="B1375" t="s">
        <v>351</v>
      </c>
      <c r="C1375" t="s">
        <v>179</v>
      </c>
      <c r="D1375">
        <v>0</v>
      </c>
      <c r="E1375">
        <v>0</v>
      </c>
      <c r="F1375">
        <v>0</v>
      </c>
      <c r="G1375">
        <v>0</v>
      </c>
    </row>
    <row r="1376" spans="1:7">
      <c r="A1376" t="s">
        <v>1876</v>
      </c>
      <c r="B1376" t="s">
        <v>351</v>
      </c>
      <c r="C1376" t="s">
        <v>180</v>
      </c>
      <c r="D1376">
        <v>2118</v>
      </c>
      <c r="E1376">
        <v>2338</v>
      </c>
      <c r="F1376">
        <v>2475</v>
      </c>
      <c r="G1376">
        <v>2440</v>
      </c>
    </row>
    <row r="1377" spans="1:7">
      <c r="A1377" t="s">
        <v>1876</v>
      </c>
      <c r="B1377" t="s">
        <v>351</v>
      </c>
      <c r="C1377" t="s">
        <v>181</v>
      </c>
      <c r="D1377">
        <v>371095</v>
      </c>
      <c r="E1377">
        <v>389450</v>
      </c>
      <c r="F1377">
        <v>385336</v>
      </c>
      <c r="G1377">
        <v>392809</v>
      </c>
    </row>
    <row r="1378" spans="1:7">
      <c r="A1378" t="s">
        <v>1876</v>
      </c>
      <c r="B1378" t="s">
        <v>351</v>
      </c>
      <c r="C1378" t="s">
        <v>182</v>
      </c>
      <c r="D1378">
        <v>162354</v>
      </c>
      <c r="E1378">
        <v>162071</v>
      </c>
      <c r="F1378">
        <v>146711</v>
      </c>
      <c r="G1378">
        <v>150216</v>
      </c>
    </row>
    <row r="1379" spans="1:7">
      <c r="A1379" t="s">
        <v>1876</v>
      </c>
      <c r="B1379" t="s">
        <v>351</v>
      </c>
      <c r="C1379" t="s">
        <v>183</v>
      </c>
      <c r="D1379">
        <v>308049</v>
      </c>
      <c r="E1379">
        <v>305518</v>
      </c>
      <c r="F1379">
        <v>282585</v>
      </c>
      <c r="G1379">
        <v>292922</v>
      </c>
    </row>
    <row r="1380" spans="1:7">
      <c r="A1380" t="s">
        <v>1876</v>
      </c>
      <c r="B1380" t="s">
        <v>351</v>
      </c>
      <c r="C1380" t="s">
        <v>184</v>
      </c>
      <c r="D1380">
        <v>843617</v>
      </c>
      <c r="E1380">
        <v>859377</v>
      </c>
      <c r="F1380">
        <v>817107</v>
      </c>
      <c r="G1380">
        <v>838387</v>
      </c>
    </row>
    <row r="1381" spans="1:7">
      <c r="A1381" t="s">
        <v>1876</v>
      </c>
      <c r="B1381" t="s">
        <v>351</v>
      </c>
      <c r="C1381" t="s">
        <v>185</v>
      </c>
      <c r="D1381">
        <v>843617</v>
      </c>
      <c r="E1381">
        <v>859377</v>
      </c>
      <c r="F1381">
        <v>817107</v>
      </c>
      <c r="G1381">
        <v>838387</v>
      </c>
    </row>
    <row r="1382" spans="1:7">
      <c r="A1382" t="s">
        <v>1876</v>
      </c>
      <c r="B1382" t="s">
        <v>351</v>
      </c>
      <c r="C1382" t="s">
        <v>1915</v>
      </c>
      <c r="D1382">
        <v>1404</v>
      </c>
      <c r="E1382">
        <v>1846</v>
      </c>
      <c r="F1382">
        <v>4467</v>
      </c>
      <c r="G1382">
        <v>5776</v>
      </c>
    </row>
    <row r="1383" spans="1:7">
      <c r="A1383" t="s">
        <v>1876</v>
      </c>
      <c r="B1383" t="s">
        <v>351</v>
      </c>
      <c r="C1383" t="s">
        <v>1916</v>
      </c>
      <c r="D1383">
        <v>44</v>
      </c>
      <c r="E1383">
        <v>33</v>
      </c>
      <c r="F1383">
        <v>21</v>
      </c>
      <c r="G1383">
        <v>20</v>
      </c>
    </row>
    <row r="1384" spans="1:7">
      <c r="A1384" t="s">
        <v>1876</v>
      </c>
      <c r="B1384" t="s">
        <v>351</v>
      </c>
      <c r="C1384" t="s">
        <v>1917</v>
      </c>
      <c r="D1384">
        <v>912</v>
      </c>
      <c r="E1384">
        <v>871</v>
      </c>
      <c r="F1384">
        <v>853</v>
      </c>
      <c r="G1384">
        <v>842</v>
      </c>
    </row>
    <row r="1385" spans="1:7">
      <c r="A1385" t="s">
        <v>1876</v>
      </c>
      <c r="B1385" t="s">
        <v>351</v>
      </c>
      <c r="C1385" t="s">
        <v>1918</v>
      </c>
      <c r="D1385">
        <v>43613</v>
      </c>
      <c r="E1385">
        <v>47586</v>
      </c>
      <c r="F1385">
        <v>51185</v>
      </c>
      <c r="G1385">
        <v>54792</v>
      </c>
    </row>
    <row r="1386" spans="1:7">
      <c r="A1386" t="s">
        <v>1876</v>
      </c>
      <c r="B1386" t="s">
        <v>351</v>
      </c>
      <c r="C1386" t="s">
        <v>1919</v>
      </c>
      <c r="D1386">
        <v>3.32</v>
      </c>
      <c r="E1386">
        <v>3.39</v>
      </c>
      <c r="F1386">
        <v>3.18</v>
      </c>
      <c r="G1386">
        <v>3.25</v>
      </c>
    </row>
    <row r="1387" spans="1:7">
      <c r="A1387" t="s">
        <v>1876</v>
      </c>
      <c r="B1387" t="s">
        <v>351</v>
      </c>
      <c r="C1387" t="s">
        <v>1920</v>
      </c>
      <c r="D1387">
        <v>52441</v>
      </c>
      <c r="E1387">
        <v>57705</v>
      </c>
      <c r="F1387">
        <v>63817</v>
      </c>
      <c r="G1387">
        <v>70207</v>
      </c>
    </row>
    <row r="1388" spans="1:7">
      <c r="A1388" t="s">
        <v>1876</v>
      </c>
      <c r="B1388" t="s">
        <v>351</v>
      </c>
      <c r="C1388" t="s">
        <v>1921</v>
      </c>
      <c r="D1388">
        <v>14413</v>
      </c>
      <c r="E1388">
        <v>15552</v>
      </c>
      <c r="F1388">
        <v>17957</v>
      </c>
      <c r="G1388">
        <v>19044</v>
      </c>
    </row>
    <row r="1389" spans="1:7">
      <c r="A1389" t="s">
        <v>1876</v>
      </c>
      <c r="B1389" t="s">
        <v>351</v>
      </c>
      <c r="C1389" t="s">
        <v>1922</v>
      </c>
      <c r="D1389">
        <v>7872</v>
      </c>
      <c r="E1389">
        <v>9215</v>
      </c>
      <c r="F1389">
        <v>11758</v>
      </c>
      <c r="G1389">
        <v>14553</v>
      </c>
    </row>
    <row r="1390" spans="1:7">
      <c r="A1390" t="s">
        <v>1876</v>
      </c>
      <c r="B1390" t="s">
        <v>351</v>
      </c>
      <c r="C1390" t="s">
        <v>1923</v>
      </c>
      <c r="D1390">
        <v>4.68</v>
      </c>
      <c r="E1390">
        <v>4.83</v>
      </c>
      <c r="F1390">
        <v>5.13</v>
      </c>
      <c r="G1390">
        <v>5.63</v>
      </c>
    </row>
    <row r="1391" spans="1:7">
      <c r="A1391" t="s">
        <v>1876</v>
      </c>
      <c r="B1391" t="s">
        <v>351</v>
      </c>
      <c r="C1391" t="s">
        <v>1924</v>
      </c>
      <c r="D1391">
        <v>510</v>
      </c>
      <c r="E1391">
        <v>126</v>
      </c>
      <c r="F1391">
        <v>119</v>
      </c>
      <c r="G1391">
        <v>120</v>
      </c>
    </row>
    <row r="1392" spans="1:7">
      <c r="A1392" t="s">
        <v>1876</v>
      </c>
      <c r="B1392" t="s">
        <v>351</v>
      </c>
      <c r="C1392" t="s">
        <v>1925</v>
      </c>
      <c r="D1392">
        <v>1178</v>
      </c>
      <c r="E1392">
        <v>1263</v>
      </c>
      <c r="F1392">
        <v>1225</v>
      </c>
      <c r="G1392">
        <v>1248</v>
      </c>
    </row>
    <row r="1393" spans="1:7">
      <c r="A1393" t="s">
        <v>1876</v>
      </c>
      <c r="B1393" t="s">
        <v>351</v>
      </c>
      <c r="C1393" t="s">
        <v>1926</v>
      </c>
      <c r="D1393">
        <v>12725</v>
      </c>
      <c r="E1393">
        <v>14163</v>
      </c>
      <c r="F1393">
        <v>16613</v>
      </c>
      <c r="G1393">
        <v>17676</v>
      </c>
    </row>
    <row r="1394" spans="1:7">
      <c r="A1394" t="s">
        <v>1876</v>
      </c>
      <c r="B1394" t="s">
        <v>351</v>
      </c>
      <c r="C1394" t="s">
        <v>1927</v>
      </c>
      <c r="D1394">
        <v>298</v>
      </c>
      <c r="E1394">
        <v>316</v>
      </c>
      <c r="F1394">
        <v>173</v>
      </c>
      <c r="G1394">
        <v>144</v>
      </c>
    </row>
    <row r="1395" spans="1:7">
      <c r="A1395" t="s">
        <v>1876</v>
      </c>
      <c r="B1395" t="s">
        <v>351</v>
      </c>
      <c r="C1395" t="s">
        <v>1928</v>
      </c>
      <c r="D1395">
        <v>13475</v>
      </c>
      <c r="E1395">
        <v>14565</v>
      </c>
      <c r="F1395">
        <v>16977</v>
      </c>
      <c r="G1395">
        <v>17968</v>
      </c>
    </row>
    <row r="1396" spans="1:7">
      <c r="A1396" t="s">
        <v>1876</v>
      </c>
      <c r="B1396" t="s">
        <v>351</v>
      </c>
      <c r="C1396" t="s">
        <v>1929</v>
      </c>
      <c r="D1396">
        <v>640</v>
      </c>
      <c r="E1396">
        <v>671</v>
      </c>
      <c r="F1396">
        <v>807</v>
      </c>
      <c r="G1396">
        <v>932</v>
      </c>
    </row>
    <row r="1397" spans="1:7">
      <c r="A1397" t="s">
        <v>1876</v>
      </c>
      <c r="B1397" t="s">
        <v>351</v>
      </c>
      <c r="C1397" t="s">
        <v>186</v>
      </c>
      <c r="D1397">
        <v>0</v>
      </c>
      <c r="E1397">
        <v>0</v>
      </c>
      <c r="F1397">
        <v>0</v>
      </c>
      <c r="G1397">
        <v>0</v>
      </c>
    </row>
    <row r="1398" spans="1:7">
      <c r="A1398" t="s">
        <v>1876</v>
      </c>
      <c r="B1398" t="s">
        <v>351</v>
      </c>
      <c r="C1398" t="s">
        <v>187</v>
      </c>
      <c r="D1398">
        <v>0</v>
      </c>
      <c r="E1398">
        <v>0</v>
      </c>
      <c r="F1398">
        <v>0</v>
      </c>
      <c r="G1398">
        <v>0</v>
      </c>
    </row>
    <row r="1399" spans="1:7">
      <c r="A1399" t="s">
        <v>1876</v>
      </c>
      <c r="B1399" t="s">
        <v>351</v>
      </c>
      <c r="C1399" t="s">
        <v>1705</v>
      </c>
      <c r="D1399">
        <v>37711</v>
      </c>
      <c r="E1399">
        <v>37926</v>
      </c>
      <c r="F1399">
        <v>36855</v>
      </c>
      <c r="G1399">
        <v>37041</v>
      </c>
    </row>
    <row r="1400" spans="1:7">
      <c r="A1400" t="s">
        <v>1876</v>
      </c>
      <c r="B1400" t="s">
        <v>351</v>
      </c>
      <c r="C1400" t="s">
        <v>188</v>
      </c>
      <c r="D1400">
        <v>5160920</v>
      </c>
      <c r="E1400">
        <v>5179034</v>
      </c>
      <c r="F1400">
        <v>5175827</v>
      </c>
      <c r="G1400">
        <v>5021314</v>
      </c>
    </row>
    <row r="1401" spans="1:7">
      <c r="A1401" t="s">
        <v>1876</v>
      </c>
      <c r="B1401" t="s">
        <v>351</v>
      </c>
      <c r="C1401" t="s">
        <v>189</v>
      </c>
      <c r="D1401">
        <v>0</v>
      </c>
      <c r="E1401">
        <v>0</v>
      </c>
      <c r="F1401">
        <v>0</v>
      </c>
      <c r="G1401">
        <v>0</v>
      </c>
    </row>
    <row r="1402" spans="1:7">
      <c r="A1402" t="s">
        <v>1876</v>
      </c>
      <c r="B1402" t="s">
        <v>351</v>
      </c>
      <c r="C1402" t="s">
        <v>190</v>
      </c>
      <c r="D1402">
        <v>0</v>
      </c>
      <c r="E1402">
        <v>0</v>
      </c>
      <c r="F1402">
        <v>0</v>
      </c>
      <c r="G1402">
        <v>0</v>
      </c>
    </row>
    <row r="1403" spans="1:7">
      <c r="A1403" t="s">
        <v>1876</v>
      </c>
      <c r="B1403" t="s">
        <v>351</v>
      </c>
      <c r="C1403" t="s">
        <v>191</v>
      </c>
      <c r="D1403">
        <v>0</v>
      </c>
      <c r="E1403">
        <v>0</v>
      </c>
      <c r="F1403">
        <v>0</v>
      </c>
      <c r="G1403">
        <v>0</v>
      </c>
    </row>
    <row r="1404" spans="1:7">
      <c r="A1404" t="s">
        <v>1876</v>
      </c>
      <c r="B1404" t="s">
        <v>351</v>
      </c>
      <c r="C1404" t="s">
        <v>192</v>
      </c>
      <c r="D1404">
        <v>3418256.1</v>
      </c>
      <c r="E1404">
        <v>3618289.7</v>
      </c>
      <c r="F1404">
        <v>3827007.3</v>
      </c>
      <c r="G1404">
        <v>4048108.1</v>
      </c>
    </row>
    <row r="1405" spans="1:7">
      <c r="A1405" t="s">
        <v>1876</v>
      </c>
      <c r="B1405" t="s">
        <v>351</v>
      </c>
      <c r="C1405" t="s">
        <v>193</v>
      </c>
      <c r="D1405">
        <v>3151112.5</v>
      </c>
      <c r="E1405">
        <v>3147211.4</v>
      </c>
      <c r="F1405">
        <v>3204016.4</v>
      </c>
      <c r="G1405">
        <v>3306928.6</v>
      </c>
    </row>
    <row r="1406" spans="1:7">
      <c r="A1406" t="s">
        <v>1876</v>
      </c>
      <c r="B1406" t="s">
        <v>351</v>
      </c>
      <c r="C1406" t="s">
        <v>1930</v>
      </c>
      <c r="D1406">
        <v>68.7</v>
      </c>
      <c r="E1406">
        <v>68</v>
      </c>
      <c r="F1406">
        <v>68.599999999999994</v>
      </c>
      <c r="G1406">
        <v>63.7</v>
      </c>
    </row>
    <row r="1407" spans="1:7">
      <c r="A1407" t="s">
        <v>1876</v>
      </c>
      <c r="B1407" t="s">
        <v>351</v>
      </c>
      <c r="C1407" t="s">
        <v>194</v>
      </c>
      <c r="D1407">
        <v>634</v>
      </c>
      <c r="E1407">
        <v>634</v>
      </c>
      <c r="F1407">
        <v>634</v>
      </c>
      <c r="G1407">
        <v>634</v>
      </c>
    </row>
    <row r="1408" spans="1:7">
      <c r="A1408" t="s">
        <v>1876</v>
      </c>
      <c r="B1408" t="s">
        <v>351</v>
      </c>
      <c r="C1408" t="s">
        <v>195</v>
      </c>
      <c r="D1408">
        <v>37967</v>
      </c>
      <c r="E1408">
        <v>38149</v>
      </c>
      <c r="F1408">
        <v>38439</v>
      </c>
      <c r="G1408">
        <v>35910</v>
      </c>
    </row>
    <row r="1409" spans="1:7">
      <c r="A1409" t="s">
        <v>1876</v>
      </c>
      <c r="B1409" t="s">
        <v>351</v>
      </c>
      <c r="C1409" t="s">
        <v>1706</v>
      </c>
      <c r="D1409">
        <v>1850</v>
      </c>
      <c r="E1409">
        <v>1867</v>
      </c>
      <c r="F1409">
        <v>1885</v>
      </c>
      <c r="G1409">
        <v>1881</v>
      </c>
    </row>
    <row r="1410" spans="1:7">
      <c r="A1410" t="s">
        <v>1876</v>
      </c>
      <c r="B1410" t="s">
        <v>351</v>
      </c>
      <c r="C1410" t="s">
        <v>196</v>
      </c>
      <c r="D1410">
        <v>1217</v>
      </c>
      <c r="E1410">
        <v>1217</v>
      </c>
      <c r="F1410">
        <v>1217</v>
      </c>
      <c r="G1410">
        <v>1217</v>
      </c>
    </row>
    <row r="1411" spans="1:7">
      <c r="A1411" t="s">
        <v>1876</v>
      </c>
      <c r="B1411" t="s">
        <v>351</v>
      </c>
      <c r="C1411" t="s">
        <v>197</v>
      </c>
      <c r="D1411">
        <v>287</v>
      </c>
      <c r="E1411">
        <v>287</v>
      </c>
      <c r="F1411">
        <v>287</v>
      </c>
      <c r="G1411">
        <v>287</v>
      </c>
    </row>
    <row r="1412" spans="1:7">
      <c r="A1412" t="s">
        <v>1876</v>
      </c>
      <c r="B1412" t="s">
        <v>351</v>
      </c>
      <c r="C1412" t="s">
        <v>198</v>
      </c>
      <c r="D1412">
        <v>40106</v>
      </c>
      <c r="E1412">
        <v>40288</v>
      </c>
      <c r="F1412">
        <v>40578</v>
      </c>
      <c r="G1412">
        <v>38048</v>
      </c>
    </row>
    <row r="1413" spans="1:7">
      <c r="A1413" t="s">
        <v>1876</v>
      </c>
      <c r="B1413" t="s">
        <v>351</v>
      </c>
      <c r="C1413" t="s">
        <v>199</v>
      </c>
      <c r="D1413">
        <v>2139</v>
      </c>
      <c r="E1413">
        <v>2139</v>
      </c>
      <c r="F1413">
        <v>2139</v>
      </c>
      <c r="G1413">
        <v>2139</v>
      </c>
    </row>
    <row r="1414" spans="1:7">
      <c r="A1414" t="s">
        <v>1876</v>
      </c>
      <c r="B1414" t="s">
        <v>351</v>
      </c>
      <c r="C1414" t="s">
        <v>200</v>
      </c>
      <c r="D1414">
        <v>503</v>
      </c>
      <c r="E1414">
        <v>704</v>
      </c>
      <c r="F1414">
        <v>691</v>
      </c>
      <c r="G1414">
        <v>767</v>
      </c>
    </row>
    <row r="1415" spans="1:7">
      <c r="A1415" t="s">
        <v>1876</v>
      </c>
      <c r="B1415" t="s">
        <v>351</v>
      </c>
      <c r="C1415" t="s">
        <v>201</v>
      </c>
      <c r="D1415">
        <v>14140</v>
      </c>
      <c r="E1415">
        <v>14091</v>
      </c>
      <c r="F1415">
        <v>14532</v>
      </c>
      <c r="G1415">
        <v>14030</v>
      </c>
    </row>
    <row r="1416" spans="1:7">
      <c r="A1416" t="s">
        <v>1876</v>
      </c>
      <c r="B1416" t="s">
        <v>351</v>
      </c>
      <c r="C1416" t="s">
        <v>202</v>
      </c>
      <c r="D1416">
        <v>21750</v>
      </c>
      <c r="E1416">
        <v>23227</v>
      </c>
      <c r="F1416">
        <v>20611</v>
      </c>
      <c r="G1416">
        <v>22688</v>
      </c>
    </row>
    <row r="1417" spans="1:7">
      <c r="A1417" t="s">
        <v>1876</v>
      </c>
      <c r="B1417" t="s">
        <v>351</v>
      </c>
      <c r="C1417" t="s">
        <v>203</v>
      </c>
      <c r="D1417">
        <v>24246</v>
      </c>
      <c r="E1417">
        <v>21931</v>
      </c>
      <c r="F1417">
        <v>23776</v>
      </c>
      <c r="G1417">
        <v>21881</v>
      </c>
    </row>
    <row r="1418" spans="1:7">
      <c r="A1418" t="s">
        <v>1876</v>
      </c>
      <c r="B1418" t="s">
        <v>351</v>
      </c>
      <c r="C1418" t="s">
        <v>204</v>
      </c>
      <c r="D1418">
        <v>60638</v>
      </c>
      <c r="E1418">
        <v>59954</v>
      </c>
      <c r="F1418">
        <v>59610</v>
      </c>
      <c r="G1418">
        <v>59365</v>
      </c>
    </row>
    <row r="1419" spans="1:7">
      <c r="A1419" t="s">
        <v>1876</v>
      </c>
      <c r="B1419" t="s">
        <v>351</v>
      </c>
      <c r="C1419" t="s">
        <v>205</v>
      </c>
      <c r="D1419">
        <v>60638</v>
      </c>
      <c r="E1419">
        <v>59954</v>
      </c>
      <c r="F1419">
        <v>59610</v>
      </c>
      <c r="G1419">
        <v>59365</v>
      </c>
    </row>
    <row r="1420" spans="1:7">
      <c r="A1420" t="s">
        <v>1876</v>
      </c>
      <c r="B1420" t="s">
        <v>351</v>
      </c>
      <c r="C1420" t="s">
        <v>1931</v>
      </c>
      <c r="D1420">
        <v>5.9</v>
      </c>
      <c r="E1420">
        <v>4.5</v>
      </c>
      <c r="F1420">
        <v>6.3</v>
      </c>
      <c r="G1420">
        <v>3.6</v>
      </c>
    </row>
    <row r="1421" spans="1:7">
      <c r="A1421" t="s">
        <v>1876</v>
      </c>
      <c r="B1421" t="s">
        <v>351</v>
      </c>
      <c r="C1421" t="s">
        <v>1707</v>
      </c>
      <c r="D1421">
        <v>3912</v>
      </c>
      <c r="E1421">
        <v>3912</v>
      </c>
      <c r="F1421">
        <v>3912</v>
      </c>
      <c r="G1421">
        <v>3870</v>
      </c>
    </row>
    <row r="1422" spans="1:7">
      <c r="A1422" t="s">
        <v>1876</v>
      </c>
      <c r="B1422" t="s">
        <v>351</v>
      </c>
      <c r="C1422" t="s">
        <v>1932</v>
      </c>
      <c r="D1422">
        <v>16.399999999999999</v>
      </c>
      <c r="E1422">
        <v>19.600000000000001</v>
      </c>
      <c r="F1422">
        <v>36.1</v>
      </c>
      <c r="G1422">
        <v>32.799999999999997</v>
      </c>
    </row>
    <row r="1423" spans="1:7">
      <c r="A1423" t="s">
        <v>1876</v>
      </c>
      <c r="B1423" t="s">
        <v>351</v>
      </c>
      <c r="C1423" t="s">
        <v>1708</v>
      </c>
      <c r="D1423">
        <v>10268</v>
      </c>
      <c r="E1423">
        <v>10263</v>
      </c>
      <c r="F1423">
        <v>10226</v>
      </c>
      <c r="G1423">
        <v>10214</v>
      </c>
    </row>
    <row r="1424" spans="1:7">
      <c r="A1424" t="s">
        <v>1876</v>
      </c>
      <c r="B1424" t="s">
        <v>351</v>
      </c>
      <c r="C1424" t="s">
        <v>206</v>
      </c>
      <c r="D1424">
        <v>29</v>
      </c>
      <c r="E1424">
        <v>27</v>
      </c>
      <c r="F1424">
        <v>44</v>
      </c>
      <c r="G1424">
        <v>62</v>
      </c>
    </row>
    <row r="1425" spans="1:7">
      <c r="A1425" t="s">
        <v>1876</v>
      </c>
      <c r="B1425" t="s">
        <v>351</v>
      </c>
      <c r="C1425" t="s">
        <v>207</v>
      </c>
      <c r="D1425">
        <v>50051</v>
      </c>
      <c r="E1425">
        <v>60175</v>
      </c>
      <c r="F1425">
        <v>110441</v>
      </c>
      <c r="G1425">
        <v>100435</v>
      </c>
    </row>
    <row r="1426" spans="1:7">
      <c r="A1426" t="s">
        <v>1876</v>
      </c>
      <c r="B1426" t="s">
        <v>351</v>
      </c>
      <c r="C1426" t="s">
        <v>208</v>
      </c>
      <c r="D1426">
        <v>0</v>
      </c>
      <c r="E1426">
        <v>0</v>
      </c>
      <c r="F1426">
        <v>0</v>
      </c>
      <c r="G1426">
        <v>0</v>
      </c>
    </row>
    <row r="1427" spans="1:7">
      <c r="A1427" t="s">
        <v>1876</v>
      </c>
      <c r="B1427" t="s">
        <v>351</v>
      </c>
      <c r="C1427" t="s">
        <v>209</v>
      </c>
      <c r="D1427">
        <v>50080</v>
      </c>
      <c r="E1427">
        <v>60202</v>
      </c>
      <c r="F1427">
        <v>110485</v>
      </c>
      <c r="G1427">
        <v>100497</v>
      </c>
    </row>
    <row r="1428" spans="1:7">
      <c r="A1428" t="s">
        <v>1876</v>
      </c>
      <c r="B1428" t="s">
        <v>351</v>
      </c>
      <c r="C1428" t="s">
        <v>210</v>
      </c>
      <c r="D1428">
        <v>29</v>
      </c>
      <c r="E1428">
        <v>27</v>
      </c>
      <c r="F1428">
        <v>44</v>
      </c>
      <c r="G1428">
        <v>62</v>
      </c>
    </row>
    <row r="1429" spans="1:7">
      <c r="A1429" t="s">
        <v>1876</v>
      </c>
      <c r="B1429" t="s">
        <v>351</v>
      </c>
      <c r="C1429" t="s">
        <v>211</v>
      </c>
      <c r="D1429">
        <v>0</v>
      </c>
      <c r="E1429">
        <v>0</v>
      </c>
      <c r="F1429">
        <v>0</v>
      </c>
      <c r="G1429">
        <v>0</v>
      </c>
    </row>
    <row r="1430" spans="1:7">
      <c r="A1430" t="s">
        <v>1876</v>
      </c>
      <c r="B1430" t="s">
        <v>351</v>
      </c>
      <c r="C1430" t="s">
        <v>212</v>
      </c>
      <c r="D1430">
        <v>0</v>
      </c>
      <c r="E1430">
        <v>0</v>
      </c>
      <c r="F1430">
        <v>0</v>
      </c>
      <c r="G1430">
        <v>0</v>
      </c>
    </row>
    <row r="1431" spans="1:7">
      <c r="A1431" t="s">
        <v>1876</v>
      </c>
      <c r="B1431" t="s">
        <v>351</v>
      </c>
      <c r="C1431" t="s">
        <v>213</v>
      </c>
      <c r="D1431">
        <v>0</v>
      </c>
      <c r="E1431">
        <v>0</v>
      </c>
      <c r="F1431">
        <v>0</v>
      </c>
      <c r="G1431">
        <v>0</v>
      </c>
    </row>
    <row r="1432" spans="1:7">
      <c r="A1432" t="s">
        <v>1876</v>
      </c>
      <c r="B1432" t="s">
        <v>351</v>
      </c>
      <c r="C1432" t="s">
        <v>214</v>
      </c>
      <c r="D1432">
        <v>0</v>
      </c>
      <c r="E1432">
        <v>0</v>
      </c>
      <c r="F1432">
        <v>0</v>
      </c>
      <c r="G1432">
        <v>0</v>
      </c>
    </row>
    <row r="1433" spans="1:7">
      <c r="A1433" t="s">
        <v>1876</v>
      </c>
      <c r="B1433" t="s">
        <v>351</v>
      </c>
      <c r="C1433" t="s">
        <v>215</v>
      </c>
      <c r="D1433">
        <v>400981</v>
      </c>
      <c r="E1433">
        <v>470392</v>
      </c>
      <c r="F1433">
        <v>509696</v>
      </c>
      <c r="G1433">
        <v>530113</v>
      </c>
    </row>
    <row r="1434" spans="1:7">
      <c r="A1434" t="s">
        <v>1876</v>
      </c>
      <c r="B1434" t="s">
        <v>351</v>
      </c>
      <c r="C1434" t="s">
        <v>216</v>
      </c>
      <c r="D1434">
        <v>400981</v>
      </c>
      <c r="E1434">
        <v>470392</v>
      </c>
      <c r="F1434">
        <v>509696</v>
      </c>
      <c r="G1434">
        <v>530113</v>
      </c>
    </row>
    <row r="1435" spans="1:7">
      <c r="A1435" t="s">
        <v>1876</v>
      </c>
      <c r="B1435" t="s">
        <v>351</v>
      </c>
      <c r="C1435" t="s">
        <v>217</v>
      </c>
      <c r="D1435">
        <v>400981</v>
      </c>
      <c r="E1435">
        <v>470392</v>
      </c>
      <c r="F1435">
        <v>509696</v>
      </c>
      <c r="G1435">
        <v>530113</v>
      </c>
    </row>
    <row r="1436" spans="1:7">
      <c r="A1436" t="s">
        <v>1876</v>
      </c>
      <c r="B1436" t="s">
        <v>351</v>
      </c>
      <c r="C1436" t="s">
        <v>218</v>
      </c>
      <c r="D1436">
        <v>55</v>
      </c>
      <c r="E1436">
        <v>46</v>
      </c>
      <c r="F1436">
        <v>108</v>
      </c>
      <c r="G1436">
        <v>72</v>
      </c>
    </row>
    <row r="1437" spans="1:7">
      <c r="A1437" t="s">
        <v>1876</v>
      </c>
      <c r="B1437" t="s">
        <v>351</v>
      </c>
      <c r="C1437" t="s">
        <v>219</v>
      </c>
      <c r="D1437">
        <v>10</v>
      </c>
      <c r="E1437">
        <v>7</v>
      </c>
      <c r="F1437">
        <v>29</v>
      </c>
      <c r="G1437">
        <v>16</v>
      </c>
    </row>
    <row r="1438" spans="1:7">
      <c r="A1438" t="s">
        <v>1876</v>
      </c>
      <c r="B1438" t="s">
        <v>351</v>
      </c>
      <c r="C1438" t="s">
        <v>220</v>
      </c>
      <c r="D1438">
        <v>353</v>
      </c>
      <c r="E1438">
        <v>295</v>
      </c>
      <c r="F1438">
        <v>687</v>
      </c>
      <c r="G1438">
        <v>457</v>
      </c>
    </row>
    <row r="1439" spans="1:7">
      <c r="A1439" t="s">
        <v>1876</v>
      </c>
      <c r="B1439" t="s">
        <v>351</v>
      </c>
      <c r="C1439" t="s">
        <v>221</v>
      </c>
      <c r="D1439">
        <v>418</v>
      </c>
      <c r="E1439">
        <v>348</v>
      </c>
      <c r="F1439">
        <v>824</v>
      </c>
      <c r="G1439">
        <v>545</v>
      </c>
    </row>
    <row r="1440" spans="1:7">
      <c r="A1440" t="s">
        <v>1876</v>
      </c>
      <c r="B1440" t="s">
        <v>351</v>
      </c>
      <c r="C1440" t="s">
        <v>222</v>
      </c>
      <c r="D1440">
        <v>418</v>
      </c>
      <c r="E1440">
        <v>348</v>
      </c>
      <c r="F1440">
        <v>824</v>
      </c>
      <c r="G1440">
        <v>545</v>
      </c>
    </row>
    <row r="1441" spans="1:7">
      <c r="A1441" t="s">
        <v>1876</v>
      </c>
      <c r="B1441" t="s">
        <v>351</v>
      </c>
      <c r="C1441" t="s">
        <v>1933</v>
      </c>
      <c r="D1441">
        <v>32697.8</v>
      </c>
      <c r="E1441">
        <v>33530</v>
      </c>
      <c r="F1441">
        <v>33979.9</v>
      </c>
      <c r="G1441">
        <v>34513.1</v>
      </c>
    </row>
    <row r="1442" spans="1:7">
      <c r="A1442" t="s">
        <v>1876</v>
      </c>
      <c r="B1442" t="s">
        <v>351</v>
      </c>
      <c r="C1442" t="s">
        <v>223</v>
      </c>
      <c r="D1442">
        <v>2383</v>
      </c>
      <c r="E1442">
        <v>2560</v>
      </c>
      <c r="F1442">
        <v>2421</v>
      </c>
      <c r="G1442">
        <v>2365</v>
      </c>
    </row>
    <row r="1443" spans="1:7">
      <c r="A1443" t="s">
        <v>1876</v>
      </c>
      <c r="B1443" t="s">
        <v>351</v>
      </c>
      <c r="C1443" t="s">
        <v>224</v>
      </c>
      <c r="D1443">
        <v>417495</v>
      </c>
      <c r="E1443">
        <v>426457</v>
      </c>
      <c r="F1443">
        <v>376936</v>
      </c>
      <c r="G1443">
        <v>380821</v>
      </c>
    </row>
    <row r="1444" spans="1:7">
      <c r="A1444" t="s">
        <v>1876</v>
      </c>
      <c r="B1444" t="s">
        <v>351</v>
      </c>
      <c r="C1444" t="s">
        <v>225</v>
      </c>
      <c r="D1444">
        <v>182655</v>
      </c>
      <c r="E1444">
        <v>177472</v>
      </c>
      <c r="F1444">
        <v>143513</v>
      </c>
      <c r="G1444">
        <v>145632</v>
      </c>
    </row>
    <row r="1445" spans="1:7">
      <c r="A1445" t="s">
        <v>1876</v>
      </c>
      <c r="B1445" t="s">
        <v>351</v>
      </c>
      <c r="C1445" t="s">
        <v>226</v>
      </c>
      <c r="D1445">
        <v>346567</v>
      </c>
      <c r="E1445">
        <v>334549</v>
      </c>
      <c r="F1445">
        <v>276424</v>
      </c>
      <c r="G1445">
        <v>283983</v>
      </c>
    </row>
    <row r="1446" spans="1:7">
      <c r="A1446" t="s">
        <v>1876</v>
      </c>
      <c r="B1446" t="s">
        <v>351</v>
      </c>
      <c r="C1446" t="s">
        <v>227</v>
      </c>
      <c r="D1446">
        <v>949101</v>
      </c>
      <c r="E1446">
        <v>941038</v>
      </c>
      <c r="F1446">
        <v>799294</v>
      </c>
      <c r="G1446">
        <v>812802</v>
      </c>
    </row>
    <row r="1447" spans="1:7">
      <c r="A1447" t="s">
        <v>1876</v>
      </c>
      <c r="B1447" t="s">
        <v>351</v>
      </c>
      <c r="C1447" t="s">
        <v>228</v>
      </c>
      <c r="D1447">
        <v>949101</v>
      </c>
      <c r="E1447">
        <v>941038</v>
      </c>
      <c r="F1447">
        <v>799294</v>
      </c>
      <c r="G1447">
        <v>812802</v>
      </c>
    </row>
    <row r="1448" spans="1:7">
      <c r="A1448" t="s">
        <v>1876</v>
      </c>
      <c r="B1448" t="s">
        <v>351</v>
      </c>
      <c r="C1448" t="s">
        <v>229</v>
      </c>
      <c r="D1448">
        <v>11416</v>
      </c>
      <c r="E1448">
        <v>11799</v>
      </c>
      <c r="F1448">
        <v>8522</v>
      </c>
      <c r="G1448">
        <v>8052</v>
      </c>
    </row>
    <row r="1449" spans="1:7">
      <c r="A1449" t="s">
        <v>1876</v>
      </c>
      <c r="B1449" t="s">
        <v>351</v>
      </c>
      <c r="C1449" t="s">
        <v>230</v>
      </c>
      <c r="D1449">
        <v>12356</v>
      </c>
      <c r="E1449">
        <v>12220</v>
      </c>
      <c r="F1449">
        <v>8830</v>
      </c>
      <c r="G1449">
        <v>7994</v>
      </c>
    </row>
    <row r="1450" spans="1:7">
      <c r="A1450" t="s">
        <v>1876</v>
      </c>
      <c r="B1450" t="s">
        <v>351</v>
      </c>
      <c r="C1450" t="s">
        <v>231</v>
      </c>
      <c r="D1450">
        <v>23773</v>
      </c>
      <c r="E1450">
        <v>24019</v>
      </c>
      <c r="F1450">
        <v>17351</v>
      </c>
      <c r="G1450">
        <v>16045</v>
      </c>
    </row>
    <row r="1451" spans="1:7">
      <c r="A1451" t="s">
        <v>1876</v>
      </c>
      <c r="B1451" t="s">
        <v>351</v>
      </c>
      <c r="C1451" t="s">
        <v>232</v>
      </c>
      <c r="D1451">
        <v>23773</v>
      </c>
      <c r="E1451">
        <v>24019</v>
      </c>
      <c r="F1451">
        <v>17351</v>
      </c>
      <c r="G1451">
        <v>16045</v>
      </c>
    </row>
    <row r="1452" spans="1:7">
      <c r="A1452" t="s">
        <v>1876</v>
      </c>
      <c r="B1452" t="s">
        <v>351</v>
      </c>
      <c r="C1452" t="s">
        <v>233</v>
      </c>
      <c r="D1452">
        <v>0</v>
      </c>
      <c r="E1452">
        <v>0</v>
      </c>
      <c r="F1452">
        <v>0</v>
      </c>
      <c r="G1452">
        <v>0</v>
      </c>
    </row>
    <row r="1453" spans="1:7">
      <c r="A1453" t="s">
        <v>1876</v>
      </c>
      <c r="B1453" t="s">
        <v>351</v>
      </c>
      <c r="C1453" t="s">
        <v>234</v>
      </c>
      <c r="D1453">
        <v>1529548</v>
      </c>
      <c r="E1453">
        <v>1511186</v>
      </c>
      <c r="F1453">
        <v>1499288</v>
      </c>
      <c r="G1453">
        <v>1488943</v>
      </c>
    </row>
    <row r="1454" spans="1:7">
      <c r="A1454" t="s">
        <v>1876</v>
      </c>
      <c r="B1454" t="s">
        <v>351</v>
      </c>
      <c r="C1454" t="s">
        <v>235</v>
      </c>
      <c r="D1454">
        <v>53550</v>
      </c>
      <c r="E1454">
        <v>55012</v>
      </c>
      <c r="F1454">
        <v>55143</v>
      </c>
      <c r="G1454">
        <v>42369</v>
      </c>
    </row>
    <row r="1455" spans="1:7">
      <c r="A1455" t="s">
        <v>1876</v>
      </c>
      <c r="B1455" t="s">
        <v>351</v>
      </c>
      <c r="C1455" t="s">
        <v>236</v>
      </c>
      <c r="D1455">
        <v>30450</v>
      </c>
      <c r="E1455">
        <v>31430</v>
      </c>
      <c r="F1455">
        <v>31711</v>
      </c>
      <c r="G1455">
        <v>48531</v>
      </c>
    </row>
    <row r="1456" spans="1:7">
      <c r="A1456" t="s">
        <v>1876</v>
      </c>
      <c r="B1456" t="s">
        <v>351</v>
      </c>
      <c r="C1456" t="s">
        <v>237</v>
      </c>
      <c r="D1456">
        <v>1613547</v>
      </c>
      <c r="E1456">
        <v>1597628</v>
      </c>
      <c r="F1456">
        <v>1586142</v>
      </c>
      <c r="G1456">
        <v>1579843</v>
      </c>
    </row>
    <row r="1457" spans="1:7">
      <c r="A1457" t="s">
        <v>1876</v>
      </c>
      <c r="B1457" t="s">
        <v>351</v>
      </c>
      <c r="C1457" t="s">
        <v>238</v>
      </c>
      <c r="D1457">
        <v>1613547</v>
      </c>
      <c r="E1457">
        <v>1597628</v>
      </c>
      <c r="F1457">
        <v>1586142</v>
      </c>
      <c r="G1457">
        <v>1579843</v>
      </c>
    </row>
    <row r="1458" spans="1:7">
      <c r="A1458" t="s">
        <v>1876</v>
      </c>
      <c r="B1458" t="s">
        <v>351</v>
      </c>
      <c r="C1458" t="s">
        <v>1934</v>
      </c>
      <c r="D1458">
        <v>1417058</v>
      </c>
      <c r="E1458">
        <v>1399647</v>
      </c>
      <c r="F1458">
        <v>1388679</v>
      </c>
      <c r="G1458">
        <v>1379545</v>
      </c>
    </row>
    <row r="1459" spans="1:7">
      <c r="A1459" t="s">
        <v>1876</v>
      </c>
      <c r="B1459" t="s">
        <v>351</v>
      </c>
      <c r="C1459" t="s">
        <v>1935</v>
      </c>
      <c r="D1459">
        <v>49611</v>
      </c>
      <c r="E1459">
        <v>50952</v>
      </c>
      <c r="F1459">
        <v>51075</v>
      </c>
      <c r="G1459">
        <v>39256</v>
      </c>
    </row>
    <row r="1460" spans="1:7">
      <c r="A1460" t="s">
        <v>1876</v>
      </c>
      <c r="B1460" t="s">
        <v>351</v>
      </c>
      <c r="C1460" t="s">
        <v>1936</v>
      </c>
      <c r="D1460">
        <v>28211</v>
      </c>
      <c r="E1460">
        <v>29110</v>
      </c>
      <c r="F1460">
        <v>29371</v>
      </c>
      <c r="G1460">
        <v>44965</v>
      </c>
    </row>
    <row r="1461" spans="1:7">
      <c r="A1461" t="s">
        <v>1876</v>
      </c>
      <c r="B1461" t="s">
        <v>351</v>
      </c>
      <c r="C1461" t="s">
        <v>239</v>
      </c>
      <c r="D1461">
        <v>1494880</v>
      </c>
      <c r="E1461">
        <v>1479708</v>
      </c>
      <c r="F1461">
        <v>1469126</v>
      </c>
      <c r="G1461">
        <v>1463766</v>
      </c>
    </row>
    <row r="1462" spans="1:7">
      <c r="A1462" t="s">
        <v>1876</v>
      </c>
      <c r="B1462" t="s">
        <v>351</v>
      </c>
      <c r="C1462" t="s">
        <v>240</v>
      </c>
      <c r="D1462">
        <v>3413</v>
      </c>
      <c r="E1462">
        <v>6427</v>
      </c>
      <c r="F1462">
        <v>6177</v>
      </c>
      <c r="G1462">
        <v>6048</v>
      </c>
    </row>
    <row r="1463" spans="1:7">
      <c r="A1463" t="s">
        <v>1876</v>
      </c>
      <c r="B1463" t="s">
        <v>351</v>
      </c>
      <c r="C1463" t="s">
        <v>241</v>
      </c>
      <c r="D1463">
        <v>0</v>
      </c>
      <c r="E1463">
        <v>0</v>
      </c>
      <c r="F1463">
        <v>0</v>
      </c>
      <c r="G1463">
        <v>0</v>
      </c>
    </row>
    <row r="1464" spans="1:7">
      <c r="A1464" t="s">
        <v>1876</v>
      </c>
      <c r="B1464" t="s">
        <v>351</v>
      </c>
      <c r="C1464" t="s">
        <v>242</v>
      </c>
      <c r="D1464">
        <v>48511</v>
      </c>
      <c r="E1464">
        <v>51047</v>
      </c>
      <c r="F1464">
        <v>56766</v>
      </c>
      <c r="G1464">
        <v>53932</v>
      </c>
    </row>
    <row r="1465" spans="1:7">
      <c r="A1465" t="s">
        <v>1876</v>
      </c>
      <c r="B1465" t="s">
        <v>351</v>
      </c>
      <c r="C1465" t="s">
        <v>243</v>
      </c>
      <c r="D1465">
        <v>248273</v>
      </c>
      <c r="E1465">
        <v>255223</v>
      </c>
      <c r="F1465">
        <v>266196</v>
      </c>
      <c r="G1465">
        <v>296945</v>
      </c>
    </row>
    <row r="1466" spans="1:7">
      <c r="A1466" t="s">
        <v>1876</v>
      </c>
      <c r="B1466" t="s">
        <v>351</v>
      </c>
      <c r="C1466" t="s">
        <v>244</v>
      </c>
      <c r="D1466">
        <v>667481</v>
      </c>
      <c r="E1466">
        <v>668119</v>
      </c>
      <c r="F1466">
        <v>655285</v>
      </c>
      <c r="G1466">
        <v>588335</v>
      </c>
    </row>
    <row r="1467" spans="1:7">
      <c r="A1467" t="s">
        <v>1876</v>
      </c>
      <c r="B1467" t="s">
        <v>351</v>
      </c>
      <c r="C1467" t="s">
        <v>1709</v>
      </c>
      <c r="D1467">
        <v>37040</v>
      </c>
      <c r="E1467">
        <v>37239</v>
      </c>
      <c r="F1467">
        <v>36170</v>
      </c>
      <c r="G1467">
        <v>36329</v>
      </c>
    </row>
    <row r="1468" spans="1:7">
      <c r="A1468" t="s">
        <v>1876</v>
      </c>
      <c r="B1468" t="s">
        <v>351</v>
      </c>
      <c r="C1468" t="s">
        <v>245</v>
      </c>
      <c r="D1468">
        <v>743728</v>
      </c>
      <c r="E1468">
        <v>709332</v>
      </c>
      <c r="F1468">
        <v>699071</v>
      </c>
      <c r="G1468">
        <v>637985</v>
      </c>
    </row>
    <row r="1469" spans="1:7">
      <c r="A1469" t="s">
        <v>1876</v>
      </c>
      <c r="B1469" t="s">
        <v>351</v>
      </c>
      <c r="C1469" t="s">
        <v>246</v>
      </c>
      <c r="D1469">
        <v>464763</v>
      </c>
      <c r="E1469">
        <v>447722</v>
      </c>
      <c r="F1469">
        <v>478874</v>
      </c>
      <c r="G1469">
        <v>435465</v>
      </c>
    </row>
    <row r="1470" spans="1:7">
      <c r="A1470" t="s">
        <v>1876</v>
      </c>
      <c r="B1470" t="s">
        <v>351</v>
      </c>
      <c r="C1470" t="s">
        <v>247</v>
      </c>
      <c r="D1470">
        <v>2172757</v>
      </c>
      <c r="E1470">
        <v>2131439</v>
      </c>
      <c r="F1470">
        <v>2156185</v>
      </c>
      <c r="G1470">
        <v>2012663</v>
      </c>
    </row>
    <row r="1471" spans="1:7">
      <c r="A1471" t="s">
        <v>1876</v>
      </c>
      <c r="B1471" t="s">
        <v>351</v>
      </c>
      <c r="C1471" t="s">
        <v>248</v>
      </c>
      <c r="D1471">
        <v>55.5</v>
      </c>
      <c r="E1471">
        <v>54.5</v>
      </c>
      <c r="F1471">
        <v>55</v>
      </c>
      <c r="G1471">
        <v>51.1</v>
      </c>
    </row>
    <row r="1472" spans="1:7">
      <c r="A1472" t="s">
        <v>1876</v>
      </c>
      <c r="B1472" t="s">
        <v>351</v>
      </c>
      <c r="C1472" t="s">
        <v>249</v>
      </c>
      <c r="D1472">
        <v>1505276</v>
      </c>
      <c r="E1472">
        <v>1463324</v>
      </c>
      <c r="F1472">
        <v>1500907</v>
      </c>
      <c r="G1472">
        <v>1424328</v>
      </c>
    </row>
    <row r="1473" spans="1:7">
      <c r="A1473" t="s">
        <v>1876</v>
      </c>
      <c r="B1473" t="s">
        <v>351</v>
      </c>
      <c r="C1473" t="s">
        <v>250</v>
      </c>
      <c r="D1473">
        <v>2172757</v>
      </c>
      <c r="E1473">
        <v>2131372</v>
      </c>
      <c r="F1473">
        <v>2154560</v>
      </c>
      <c r="G1473">
        <v>2010464</v>
      </c>
    </row>
    <row r="1474" spans="1:7">
      <c r="A1474" t="s">
        <v>1876</v>
      </c>
      <c r="B1474" t="s">
        <v>351</v>
      </c>
      <c r="C1474" t="s">
        <v>1937</v>
      </c>
      <c r="D1474">
        <v>11.6</v>
      </c>
      <c r="E1474">
        <v>10.8</v>
      </c>
      <c r="F1474">
        <v>9.4</v>
      </c>
      <c r="G1474">
        <v>9.3000000000000007</v>
      </c>
    </row>
    <row r="1475" spans="1:7">
      <c r="A1475" t="s">
        <v>1876</v>
      </c>
      <c r="B1475" t="s">
        <v>351</v>
      </c>
      <c r="C1475" t="s">
        <v>1938</v>
      </c>
      <c r="D1475">
        <v>84</v>
      </c>
      <c r="E1475">
        <v>89.7</v>
      </c>
      <c r="F1475">
        <v>90.3</v>
      </c>
      <c r="G1475">
        <v>93.4</v>
      </c>
    </row>
    <row r="1476" spans="1:7">
      <c r="A1476" t="s">
        <v>1876</v>
      </c>
      <c r="B1476" t="s">
        <v>351</v>
      </c>
      <c r="C1476" t="s">
        <v>251</v>
      </c>
      <c r="D1476">
        <v>171842</v>
      </c>
      <c r="E1476">
        <v>183814</v>
      </c>
      <c r="F1476">
        <v>185192</v>
      </c>
      <c r="G1476">
        <v>191930</v>
      </c>
    </row>
    <row r="1477" spans="1:7">
      <c r="A1477" t="s">
        <v>1876</v>
      </c>
      <c r="B1477" t="s">
        <v>351</v>
      </c>
      <c r="C1477" t="s">
        <v>252</v>
      </c>
      <c r="D1477">
        <v>171842</v>
      </c>
      <c r="E1477">
        <v>183814</v>
      </c>
      <c r="F1477">
        <v>185192</v>
      </c>
      <c r="G1477">
        <v>191930</v>
      </c>
    </row>
    <row r="1478" spans="1:7">
      <c r="A1478" t="s">
        <v>1876</v>
      </c>
      <c r="B1478" t="s">
        <v>351</v>
      </c>
      <c r="C1478" t="s">
        <v>1710</v>
      </c>
      <c r="D1478">
        <v>2240</v>
      </c>
      <c r="E1478">
        <v>2240</v>
      </c>
      <c r="F1478">
        <v>2240</v>
      </c>
      <c r="G1478">
        <v>2240</v>
      </c>
    </row>
    <row r="1479" spans="1:7">
      <c r="A1479" t="s">
        <v>1876</v>
      </c>
      <c r="B1479" t="s">
        <v>351</v>
      </c>
      <c r="C1479" t="s">
        <v>1939</v>
      </c>
      <c r="D1479">
        <v>4.0999999999999996</v>
      </c>
      <c r="E1479">
        <v>4</v>
      </c>
      <c r="F1479">
        <v>4.5</v>
      </c>
      <c r="G1479">
        <v>1.6</v>
      </c>
    </row>
    <row r="1480" spans="1:7">
      <c r="A1480" t="s">
        <v>1876</v>
      </c>
      <c r="B1480" t="s">
        <v>351</v>
      </c>
      <c r="C1480" t="s">
        <v>253</v>
      </c>
      <c r="D1480">
        <v>10696</v>
      </c>
      <c r="E1480">
        <v>10696</v>
      </c>
      <c r="F1480">
        <v>10696</v>
      </c>
      <c r="G1480">
        <v>10696</v>
      </c>
    </row>
    <row r="1481" spans="1:7">
      <c r="A1481" t="s">
        <v>1876</v>
      </c>
      <c r="B1481" t="s">
        <v>351</v>
      </c>
      <c r="C1481" t="s">
        <v>1711</v>
      </c>
      <c r="D1481">
        <v>194</v>
      </c>
      <c r="E1481">
        <v>195</v>
      </c>
      <c r="F1481">
        <v>213</v>
      </c>
      <c r="G1481">
        <v>213</v>
      </c>
    </row>
    <row r="1482" spans="1:7">
      <c r="A1482" t="s">
        <v>1876</v>
      </c>
      <c r="B1482" t="s">
        <v>351</v>
      </c>
      <c r="C1482" t="s">
        <v>1712</v>
      </c>
      <c r="D1482">
        <v>157463</v>
      </c>
      <c r="E1482">
        <v>160136</v>
      </c>
      <c r="F1482">
        <v>155284</v>
      </c>
      <c r="G1482">
        <v>143580</v>
      </c>
    </row>
    <row r="1483" spans="1:7">
      <c r="A1483" t="s">
        <v>1876</v>
      </c>
      <c r="B1483" t="s">
        <v>351</v>
      </c>
      <c r="C1483" t="s">
        <v>1713</v>
      </c>
      <c r="D1483">
        <v>156743</v>
      </c>
      <c r="E1483">
        <v>214268</v>
      </c>
      <c r="F1483">
        <v>342962</v>
      </c>
      <c r="G1483">
        <v>427060</v>
      </c>
    </row>
    <row r="1484" spans="1:7">
      <c r="A1484" t="s">
        <v>1876</v>
      </c>
      <c r="B1484" t="s">
        <v>351</v>
      </c>
      <c r="C1484" t="s">
        <v>1940</v>
      </c>
      <c r="D1484">
        <v>0</v>
      </c>
      <c r="E1484">
        <v>0</v>
      </c>
      <c r="F1484">
        <v>0</v>
      </c>
      <c r="G1484">
        <v>0</v>
      </c>
    </row>
    <row r="1485" spans="1:7">
      <c r="A1485" t="s">
        <v>1876</v>
      </c>
      <c r="B1485" t="s">
        <v>351</v>
      </c>
      <c r="C1485" t="s">
        <v>1941</v>
      </c>
      <c r="D1485">
        <v>0</v>
      </c>
      <c r="E1485">
        <v>0</v>
      </c>
      <c r="F1485">
        <v>0</v>
      </c>
      <c r="G1485">
        <v>0</v>
      </c>
    </row>
    <row r="1486" spans="1:7">
      <c r="A1486" t="s">
        <v>1876</v>
      </c>
      <c r="B1486" t="s">
        <v>351</v>
      </c>
      <c r="C1486" t="s">
        <v>254</v>
      </c>
      <c r="D1486">
        <v>157463</v>
      </c>
      <c r="E1486">
        <v>160136</v>
      </c>
      <c r="F1486">
        <v>155284</v>
      </c>
      <c r="G1486">
        <v>143580</v>
      </c>
    </row>
    <row r="1487" spans="1:7">
      <c r="A1487" t="s">
        <v>1876</v>
      </c>
      <c r="B1487" t="s">
        <v>351</v>
      </c>
      <c r="C1487" t="s">
        <v>1942</v>
      </c>
      <c r="D1487">
        <v>0</v>
      </c>
      <c r="E1487">
        <v>0</v>
      </c>
      <c r="F1487">
        <v>0</v>
      </c>
      <c r="G1487">
        <v>0</v>
      </c>
    </row>
    <row r="1488" spans="1:7">
      <c r="A1488" t="s">
        <v>1876</v>
      </c>
      <c r="B1488" t="s">
        <v>351</v>
      </c>
      <c r="C1488" t="s">
        <v>255</v>
      </c>
      <c r="D1488">
        <v>314206</v>
      </c>
      <c r="E1488">
        <v>374404</v>
      </c>
      <c r="F1488">
        <v>498245</v>
      </c>
      <c r="G1488">
        <v>570639</v>
      </c>
    </row>
    <row r="1489" spans="1:7">
      <c r="A1489" t="s">
        <v>1876</v>
      </c>
      <c r="B1489" t="s">
        <v>351</v>
      </c>
      <c r="C1489" t="s">
        <v>256</v>
      </c>
      <c r="D1489">
        <v>314206</v>
      </c>
      <c r="E1489">
        <v>374404</v>
      </c>
      <c r="F1489">
        <v>498245</v>
      </c>
      <c r="G1489">
        <v>570639</v>
      </c>
    </row>
    <row r="1490" spans="1:7">
      <c r="A1490" t="s">
        <v>1876</v>
      </c>
      <c r="B1490" t="s">
        <v>351</v>
      </c>
      <c r="C1490" t="s">
        <v>1714</v>
      </c>
      <c r="D1490">
        <v>125</v>
      </c>
      <c r="E1490">
        <v>94</v>
      </c>
      <c r="F1490">
        <v>94</v>
      </c>
      <c r="G1490">
        <v>91</v>
      </c>
    </row>
    <row r="1491" spans="1:7">
      <c r="A1491" t="s">
        <v>1876</v>
      </c>
      <c r="B1491" t="s">
        <v>351</v>
      </c>
      <c r="C1491" t="s">
        <v>257</v>
      </c>
      <c r="D1491">
        <v>282610</v>
      </c>
      <c r="E1491">
        <v>285344</v>
      </c>
      <c r="F1491">
        <v>270105</v>
      </c>
      <c r="G1491">
        <v>259794</v>
      </c>
    </row>
    <row r="1492" spans="1:7">
      <c r="A1492" t="s">
        <v>1876</v>
      </c>
      <c r="B1492" t="s">
        <v>351</v>
      </c>
      <c r="C1492" t="s">
        <v>258</v>
      </c>
      <c r="D1492">
        <v>453149</v>
      </c>
      <c r="E1492">
        <v>513792</v>
      </c>
      <c r="F1492">
        <v>624319</v>
      </c>
      <c r="G1492">
        <v>697516</v>
      </c>
    </row>
    <row r="1493" spans="1:7">
      <c r="A1493" t="s">
        <v>1876</v>
      </c>
      <c r="B1493" t="s">
        <v>351</v>
      </c>
      <c r="C1493" t="s">
        <v>259</v>
      </c>
      <c r="D1493">
        <v>453149</v>
      </c>
      <c r="E1493">
        <v>513792</v>
      </c>
      <c r="F1493">
        <v>624319</v>
      </c>
      <c r="G1493">
        <v>697516</v>
      </c>
    </row>
    <row r="1494" spans="1:7">
      <c r="A1494" t="s">
        <v>1876</v>
      </c>
      <c r="B1494" t="s">
        <v>351</v>
      </c>
      <c r="C1494" t="s">
        <v>260</v>
      </c>
      <c r="D1494">
        <v>2748099</v>
      </c>
      <c r="E1494">
        <v>2861415</v>
      </c>
      <c r="F1494">
        <v>2970743</v>
      </c>
      <c r="G1494">
        <v>3051806</v>
      </c>
    </row>
    <row r="1495" spans="1:7">
      <c r="A1495" t="s">
        <v>1876</v>
      </c>
      <c r="B1495" t="s">
        <v>351</v>
      </c>
      <c r="C1495" t="s">
        <v>1943</v>
      </c>
      <c r="D1495">
        <v>4.0999999999999996</v>
      </c>
      <c r="E1495">
        <v>4.2</v>
      </c>
      <c r="F1495">
        <v>1</v>
      </c>
      <c r="G1495">
        <v>1.1000000000000001</v>
      </c>
    </row>
    <row r="1496" spans="1:7">
      <c r="A1496" t="s">
        <v>1876</v>
      </c>
      <c r="B1496" t="s">
        <v>351</v>
      </c>
      <c r="C1496" t="s">
        <v>261</v>
      </c>
      <c r="D1496">
        <v>89829</v>
      </c>
      <c r="E1496">
        <v>89651</v>
      </c>
      <c r="F1496">
        <v>95756</v>
      </c>
      <c r="G1496">
        <v>78828</v>
      </c>
    </row>
    <row r="1497" spans="1:7">
      <c r="A1497" t="s">
        <v>1876</v>
      </c>
      <c r="B1497" t="s">
        <v>351</v>
      </c>
      <c r="C1497" t="s">
        <v>262</v>
      </c>
      <c r="D1497">
        <v>391</v>
      </c>
      <c r="E1497">
        <v>337</v>
      </c>
      <c r="F1497">
        <v>325</v>
      </c>
      <c r="G1497">
        <v>332</v>
      </c>
    </row>
    <row r="1498" spans="1:7">
      <c r="A1498" t="s">
        <v>1876</v>
      </c>
      <c r="B1498" t="s">
        <v>351</v>
      </c>
      <c r="C1498" t="s">
        <v>1715</v>
      </c>
      <c r="D1498">
        <v>419</v>
      </c>
      <c r="E1498">
        <v>435</v>
      </c>
      <c r="F1498">
        <v>415</v>
      </c>
      <c r="G1498">
        <v>442</v>
      </c>
    </row>
    <row r="1499" spans="1:7">
      <c r="A1499" t="s">
        <v>1876</v>
      </c>
      <c r="B1499" t="s">
        <v>351</v>
      </c>
      <c r="C1499" t="s">
        <v>263</v>
      </c>
      <c r="D1499">
        <v>408599</v>
      </c>
      <c r="E1499">
        <v>414595</v>
      </c>
      <c r="F1499">
        <v>395219</v>
      </c>
      <c r="G1499">
        <v>401658</v>
      </c>
    </row>
    <row r="1500" spans="1:7">
      <c r="A1500" t="s">
        <v>1876</v>
      </c>
      <c r="B1500" t="s">
        <v>351</v>
      </c>
      <c r="C1500" t="s">
        <v>264</v>
      </c>
      <c r="D1500">
        <v>25138</v>
      </c>
      <c r="E1500">
        <v>22733</v>
      </c>
      <c r="F1500">
        <v>25105</v>
      </c>
      <c r="G1500">
        <v>22879</v>
      </c>
    </row>
    <row r="1501" spans="1:7">
      <c r="A1501" t="s">
        <v>1876</v>
      </c>
      <c r="B1501" t="s">
        <v>351</v>
      </c>
      <c r="C1501" t="s">
        <v>265</v>
      </c>
      <c r="D1501">
        <v>3272055</v>
      </c>
      <c r="E1501">
        <v>3388731</v>
      </c>
      <c r="F1501">
        <v>3487148</v>
      </c>
      <c r="G1501">
        <v>3555504</v>
      </c>
    </row>
    <row r="1502" spans="1:7">
      <c r="A1502" t="s">
        <v>1876</v>
      </c>
      <c r="B1502" t="s">
        <v>351</v>
      </c>
      <c r="C1502" t="s">
        <v>266</v>
      </c>
      <c r="D1502">
        <v>83.6</v>
      </c>
      <c r="E1502">
        <v>86.6</v>
      </c>
      <c r="F1502">
        <v>89</v>
      </c>
      <c r="G1502">
        <v>90.3</v>
      </c>
    </row>
    <row r="1503" spans="1:7">
      <c r="A1503" t="s">
        <v>1876</v>
      </c>
      <c r="B1503" t="s">
        <v>351</v>
      </c>
      <c r="C1503" t="s">
        <v>267</v>
      </c>
      <c r="D1503">
        <v>3271664</v>
      </c>
      <c r="E1503">
        <v>3388394</v>
      </c>
      <c r="F1503">
        <v>3486823</v>
      </c>
      <c r="G1503">
        <v>3555172</v>
      </c>
    </row>
    <row r="1504" spans="1:7">
      <c r="A1504" t="s">
        <v>1876</v>
      </c>
      <c r="B1504" t="s">
        <v>351</v>
      </c>
      <c r="C1504" t="s">
        <v>268</v>
      </c>
      <c r="D1504">
        <v>0</v>
      </c>
      <c r="E1504">
        <v>0</v>
      </c>
      <c r="F1504">
        <v>0</v>
      </c>
      <c r="G1504">
        <v>0</v>
      </c>
    </row>
    <row r="1505" spans="1:7">
      <c r="A1505" t="s">
        <v>1876</v>
      </c>
      <c r="B1505" t="s">
        <v>351</v>
      </c>
      <c r="C1505" t="s">
        <v>269</v>
      </c>
      <c r="D1505">
        <v>0</v>
      </c>
      <c r="E1505">
        <v>0</v>
      </c>
      <c r="F1505">
        <v>0</v>
      </c>
      <c r="G1505">
        <v>0</v>
      </c>
    </row>
    <row r="1506" spans="1:7">
      <c r="A1506" t="s">
        <v>1876</v>
      </c>
      <c r="B1506" t="s">
        <v>351</v>
      </c>
      <c r="C1506" t="s">
        <v>270</v>
      </c>
      <c r="D1506">
        <v>52214</v>
      </c>
      <c r="E1506">
        <v>53597</v>
      </c>
      <c r="F1506">
        <v>52088</v>
      </c>
      <c r="G1506">
        <v>51428</v>
      </c>
    </row>
    <row r="1507" spans="1:7">
      <c r="A1507" t="s">
        <v>1876</v>
      </c>
      <c r="B1507" t="s">
        <v>351</v>
      </c>
      <c r="C1507" t="s">
        <v>271</v>
      </c>
      <c r="D1507">
        <v>52214</v>
      </c>
      <c r="E1507">
        <v>53597</v>
      </c>
      <c r="F1507">
        <v>52088</v>
      </c>
      <c r="G1507">
        <v>51428</v>
      </c>
    </row>
    <row r="1508" spans="1:7">
      <c r="A1508" t="s">
        <v>1876</v>
      </c>
      <c r="B1508" t="s">
        <v>351</v>
      </c>
      <c r="C1508" t="s">
        <v>272</v>
      </c>
      <c r="D1508">
        <v>52214</v>
      </c>
      <c r="E1508">
        <v>53597</v>
      </c>
      <c r="F1508">
        <v>52088</v>
      </c>
      <c r="G1508">
        <v>51428</v>
      </c>
    </row>
    <row r="1509" spans="1:7">
      <c r="A1509" t="s">
        <v>1876</v>
      </c>
      <c r="B1509" t="s">
        <v>351</v>
      </c>
      <c r="C1509" t="s">
        <v>1944</v>
      </c>
      <c r="D1509">
        <v>307.10000000000002</v>
      </c>
      <c r="E1509">
        <v>333.7</v>
      </c>
      <c r="F1509">
        <v>361.7</v>
      </c>
      <c r="G1509">
        <v>430.9</v>
      </c>
    </row>
    <row r="1510" spans="1:7">
      <c r="A1510" t="s">
        <v>1876</v>
      </c>
      <c r="B1510" t="s">
        <v>351</v>
      </c>
      <c r="C1510" t="s">
        <v>1945</v>
      </c>
      <c r="D1510">
        <v>502</v>
      </c>
      <c r="E1510">
        <v>574</v>
      </c>
      <c r="F1510">
        <v>889</v>
      </c>
      <c r="G1510">
        <v>986</v>
      </c>
    </row>
    <row r="1511" spans="1:7">
      <c r="A1511" t="s">
        <v>1876</v>
      </c>
      <c r="B1511" t="s">
        <v>351</v>
      </c>
      <c r="C1511" t="s">
        <v>273</v>
      </c>
      <c r="D1511">
        <v>0</v>
      </c>
      <c r="E1511">
        <v>0</v>
      </c>
      <c r="F1511">
        <v>0</v>
      </c>
      <c r="G1511">
        <v>0</v>
      </c>
    </row>
    <row r="1512" spans="1:7">
      <c r="A1512" t="s">
        <v>1876</v>
      </c>
      <c r="B1512" t="s">
        <v>351</v>
      </c>
      <c r="C1512" t="s">
        <v>1946</v>
      </c>
      <c r="D1512">
        <v>2442140</v>
      </c>
      <c r="E1512">
        <v>2496678</v>
      </c>
      <c r="F1512">
        <v>2482523</v>
      </c>
      <c r="G1512">
        <v>2484749</v>
      </c>
    </row>
    <row r="1513" spans="1:7">
      <c r="A1513" t="s">
        <v>1876</v>
      </c>
      <c r="B1513" t="s">
        <v>351</v>
      </c>
      <c r="C1513" t="s">
        <v>1947</v>
      </c>
      <c r="D1513">
        <v>85891</v>
      </c>
      <c r="E1513">
        <v>85591</v>
      </c>
      <c r="F1513">
        <v>91688</v>
      </c>
      <c r="G1513">
        <v>75715</v>
      </c>
    </row>
    <row r="1514" spans="1:7">
      <c r="A1514" t="s">
        <v>1876</v>
      </c>
      <c r="B1514" t="s">
        <v>351</v>
      </c>
      <c r="C1514" t="s">
        <v>1948</v>
      </c>
      <c r="D1514">
        <v>391</v>
      </c>
      <c r="E1514">
        <v>337</v>
      </c>
      <c r="F1514">
        <v>325</v>
      </c>
      <c r="G1514">
        <v>332</v>
      </c>
    </row>
    <row r="1515" spans="1:7">
      <c r="A1515" t="s">
        <v>1876</v>
      </c>
      <c r="B1515" t="s">
        <v>351</v>
      </c>
      <c r="C1515" t="s">
        <v>1949</v>
      </c>
      <c r="D1515">
        <v>406359</v>
      </c>
      <c r="E1515">
        <v>412275</v>
      </c>
      <c r="F1515">
        <v>392879</v>
      </c>
      <c r="G1515">
        <v>398092</v>
      </c>
    </row>
    <row r="1516" spans="1:7">
      <c r="A1516" t="s">
        <v>1876</v>
      </c>
      <c r="B1516" t="s">
        <v>351</v>
      </c>
      <c r="C1516" t="s">
        <v>1950</v>
      </c>
      <c r="D1516">
        <v>25138</v>
      </c>
      <c r="E1516">
        <v>22733</v>
      </c>
      <c r="F1516">
        <v>25105</v>
      </c>
      <c r="G1516">
        <v>22879</v>
      </c>
    </row>
    <row r="1517" spans="1:7">
      <c r="A1517" t="s">
        <v>1876</v>
      </c>
      <c r="B1517" t="s">
        <v>351</v>
      </c>
      <c r="C1517" t="s">
        <v>274</v>
      </c>
      <c r="D1517">
        <v>2959919</v>
      </c>
      <c r="E1517">
        <v>3017613</v>
      </c>
      <c r="F1517">
        <v>2992521</v>
      </c>
      <c r="G1517">
        <v>2981768</v>
      </c>
    </row>
    <row r="1518" spans="1:7">
      <c r="A1518" t="s">
        <v>1876</v>
      </c>
      <c r="B1518" t="s">
        <v>351</v>
      </c>
      <c r="C1518" t="s">
        <v>275</v>
      </c>
      <c r="D1518">
        <v>0</v>
      </c>
      <c r="E1518">
        <v>0</v>
      </c>
      <c r="F1518">
        <v>0</v>
      </c>
      <c r="G1518">
        <v>0</v>
      </c>
    </row>
    <row r="1519" spans="1:7">
      <c r="A1519" t="s">
        <v>1876</v>
      </c>
      <c r="B1519" t="s">
        <v>351</v>
      </c>
      <c r="C1519" t="s">
        <v>276</v>
      </c>
      <c r="D1519">
        <v>0</v>
      </c>
      <c r="E1519">
        <v>0</v>
      </c>
      <c r="F1519">
        <v>0</v>
      </c>
      <c r="G1519">
        <v>0</v>
      </c>
    </row>
    <row r="1520" spans="1:7">
      <c r="A1520" t="s">
        <v>1876</v>
      </c>
      <c r="B1520" t="s">
        <v>351</v>
      </c>
      <c r="C1520" t="s">
        <v>277</v>
      </c>
      <c r="D1520">
        <v>503</v>
      </c>
      <c r="E1520">
        <v>704</v>
      </c>
      <c r="F1520">
        <v>691</v>
      </c>
      <c r="G1520">
        <v>767</v>
      </c>
    </row>
    <row r="1521" spans="1:7">
      <c r="A1521" t="s">
        <v>1876</v>
      </c>
      <c r="B1521" t="s">
        <v>351</v>
      </c>
      <c r="C1521" t="s">
        <v>278</v>
      </c>
      <c r="D1521">
        <v>14140</v>
      </c>
      <c r="E1521">
        <v>14091</v>
      </c>
      <c r="F1521">
        <v>14532</v>
      </c>
      <c r="G1521">
        <v>14030</v>
      </c>
    </row>
    <row r="1522" spans="1:7">
      <c r="A1522" t="s">
        <v>1876</v>
      </c>
      <c r="B1522" t="s">
        <v>351</v>
      </c>
      <c r="C1522" t="s">
        <v>279</v>
      </c>
      <c r="D1522">
        <v>11054</v>
      </c>
      <c r="E1522">
        <v>12532</v>
      </c>
      <c r="F1522">
        <v>9916</v>
      </c>
      <c r="G1522">
        <v>11992</v>
      </c>
    </row>
    <row r="1523" spans="1:7">
      <c r="A1523" t="s">
        <v>1876</v>
      </c>
      <c r="B1523" t="s">
        <v>351</v>
      </c>
      <c r="C1523" t="s">
        <v>280</v>
      </c>
      <c r="D1523">
        <v>24246</v>
      </c>
      <c r="E1523">
        <v>21931</v>
      </c>
      <c r="F1523">
        <v>23776</v>
      </c>
      <c r="G1523">
        <v>21881</v>
      </c>
    </row>
    <row r="1524" spans="1:7">
      <c r="A1524" t="s">
        <v>1876</v>
      </c>
      <c r="B1524" t="s">
        <v>351</v>
      </c>
      <c r="C1524" t="s">
        <v>281</v>
      </c>
      <c r="D1524">
        <v>49943</v>
      </c>
      <c r="E1524">
        <v>49258</v>
      </c>
      <c r="F1524">
        <v>48914</v>
      </c>
      <c r="G1524">
        <v>48670</v>
      </c>
    </row>
    <row r="1525" spans="1:7">
      <c r="A1525" t="s">
        <v>1876</v>
      </c>
      <c r="B1525" t="s">
        <v>351</v>
      </c>
      <c r="C1525" t="s">
        <v>282</v>
      </c>
      <c r="D1525">
        <v>49943</v>
      </c>
      <c r="E1525">
        <v>49258</v>
      </c>
      <c r="F1525">
        <v>48914</v>
      </c>
      <c r="G1525">
        <v>48670</v>
      </c>
    </row>
    <row r="1526" spans="1:7">
      <c r="A1526" t="s">
        <v>1876</v>
      </c>
      <c r="B1526" t="s">
        <v>351</v>
      </c>
      <c r="C1526" t="s">
        <v>283</v>
      </c>
      <c r="D1526">
        <v>10696</v>
      </c>
      <c r="E1526">
        <v>10696</v>
      </c>
      <c r="F1526">
        <v>10696</v>
      </c>
      <c r="G1526">
        <v>10696</v>
      </c>
    </row>
    <row r="1527" spans="1:7">
      <c r="A1527" t="s">
        <v>1876</v>
      </c>
      <c r="B1527" t="s">
        <v>351</v>
      </c>
      <c r="C1527" t="s">
        <v>284</v>
      </c>
      <c r="D1527">
        <v>10696</v>
      </c>
      <c r="E1527">
        <v>10696</v>
      </c>
      <c r="F1527">
        <v>10696</v>
      </c>
      <c r="G1527">
        <v>10696</v>
      </c>
    </row>
    <row r="1528" spans="1:7">
      <c r="A1528" t="s">
        <v>1876</v>
      </c>
      <c r="B1528" t="s">
        <v>351</v>
      </c>
      <c r="C1528" t="s">
        <v>1716</v>
      </c>
      <c r="D1528">
        <v>305959</v>
      </c>
      <c r="E1528">
        <v>364738</v>
      </c>
      <c r="F1528">
        <v>488219</v>
      </c>
      <c r="G1528">
        <v>567058</v>
      </c>
    </row>
    <row r="1529" spans="1:7">
      <c r="A1529" t="s">
        <v>1876</v>
      </c>
      <c r="B1529" t="s">
        <v>351</v>
      </c>
      <c r="C1529" t="s">
        <v>1717</v>
      </c>
      <c r="D1529">
        <v>33628</v>
      </c>
      <c r="E1529">
        <v>36441</v>
      </c>
      <c r="F1529">
        <v>37709</v>
      </c>
      <c r="G1529">
        <v>38961</v>
      </c>
    </row>
    <row r="1530" spans="1:7">
      <c r="A1530" t="s">
        <v>1876</v>
      </c>
      <c r="B1530" t="s">
        <v>351</v>
      </c>
      <c r="C1530" t="s">
        <v>1718</v>
      </c>
      <c r="D1530">
        <v>316530</v>
      </c>
      <c r="E1530">
        <v>336575</v>
      </c>
      <c r="F1530">
        <v>389162</v>
      </c>
      <c r="G1530">
        <v>402533</v>
      </c>
    </row>
    <row r="1531" spans="1:7">
      <c r="A1531" t="s">
        <v>1876</v>
      </c>
      <c r="B1531" t="s">
        <v>351</v>
      </c>
      <c r="C1531" t="s">
        <v>1719</v>
      </c>
      <c r="D1531">
        <v>34869</v>
      </c>
      <c r="E1531">
        <v>36945</v>
      </c>
      <c r="F1531">
        <v>39289</v>
      </c>
      <c r="G1531">
        <v>41814</v>
      </c>
    </row>
    <row r="1532" spans="1:7">
      <c r="A1532" t="s">
        <v>1876</v>
      </c>
      <c r="B1532" t="s">
        <v>351</v>
      </c>
      <c r="C1532" t="s">
        <v>1720</v>
      </c>
      <c r="D1532">
        <v>73779</v>
      </c>
      <c r="E1532">
        <v>48840</v>
      </c>
      <c r="F1532">
        <v>48175</v>
      </c>
      <c r="G1532">
        <v>52615</v>
      </c>
    </row>
    <row r="1533" spans="1:7">
      <c r="A1533" t="s">
        <v>1876</v>
      </c>
      <c r="B1533" t="s">
        <v>351</v>
      </c>
      <c r="C1533" t="s">
        <v>1721</v>
      </c>
      <c r="D1533">
        <v>79686</v>
      </c>
      <c r="E1533">
        <v>96504</v>
      </c>
      <c r="F1533">
        <v>103639</v>
      </c>
      <c r="G1533">
        <v>112307</v>
      </c>
    </row>
    <row r="1534" spans="1:7">
      <c r="A1534" t="s">
        <v>1876</v>
      </c>
      <c r="B1534" t="s">
        <v>351</v>
      </c>
      <c r="C1534" t="s">
        <v>285</v>
      </c>
      <c r="D1534">
        <v>809581</v>
      </c>
      <c r="E1534">
        <v>883099</v>
      </c>
      <c r="F1534">
        <v>1066904</v>
      </c>
      <c r="G1534">
        <v>1173475</v>
      </c>
    </row>
    <row r="1535" spans="1:7">
      <c r="A1535" t="s">
        <v>1876</v>
      </c>
      <c r="B1535" t="s">
        <v>351</v>
      </c>
      <c r="C1535" t="s">
        <v>1951</v>
      </c>
      <c r="D1535">
        <v>11.9</v>
      </c>
      <c r="E1535">
        <v>12.9</v>
      </c>
      <c r="F1535">
        <v>15.7</v>
      </c>
      <c r="G1535">
        <v>17.100000000000001</v>
      </c>
    </row>
    <row r="1536" spans="1:7">
      <c r="A1536" t="s">
        <v>1876</v>
      </c>
      <c r="B1536" t="s">
        <v>351</v>
      </c>
      <c r="C1536" t="s">
        <v>286</v>
      </c>
      <c r="D1536">
        <v>177597</v>
      </c>
      <c r="E1536">
        <v>181987</v>
      </c>
      <c r="F1536">
        <v>151067</v>
      </c>
      <c r="G1536">
        <v>163526</v>
      </c>
    </row>
    <row r="1537" spans="1:7">
      <c r="A1537" t="s">
        <v>1876</v>
      </c>
      <c r="B1537" t="s">
        <v>351</v>
      </c>
      <c r="C1537" t="s">
        <v>287</v>
      </c>
      <c r="D1537">
        <v>0</v>
      </c>
      <c r="E1537">
        <v>0</v>
      </c>
      <c r="F1537">
        <v>0</v>
      </c>
      <c r="G1537">
        <v>0</v>
      </c>
    </row>
    <row r="1538" spans="1:7">
      <c r="A1538" t="s">
        <v>1876</v>
      </c>
      <c r="B1538" t="s">
        <v>351</v>
      </c>
      <c r="C1538" t="s">
        <v>288</v>
      </c>
      <c r="D1538">
        <v>0</v>
      </c>
      <c r="E1538">
        <v>0</v>
      </c>
      <c r="F1538">
        <v>0</v>
      </c>
      <c r="G1538">
        <v>0</v>
      </c>
    </row>
    <row r="1539" spans="1:7">
      <c r="A1539" t="s">
        <v>1876</v>
      </c>
      <c r="B1539" t="s">
        <v>351</v>
      </c>
      <c r="C1539" t="s">
        <v>289</v>
      </c>
      <c r="D1539">
        <v>85</v>
      </c>
      <c r="E1539">
        <v>87</v>
      </c>
      <c r="F1539">
        <v>72</v>
      </c>
      <c r="G1539">
        <v>78</v>
      </c>
    </row>
    <row r="1540" spans="1:7">
      <c r="A1540" t="s">
        <v>1876</v>
      </c>
      <c r="B1540" t="s">
        <v>351</v>
      </c>
      <c r="C1540" t="s">
        <v>290</v>
      </c>
      <c r="D1540">
        <v>177682</v>
      </c>
      <c r="E1540">
        <v>182074</v>
      </c>
      <c r="F1540">
        <v>151140</v>
      </c>
      <c r="G1540">
        <v>163605</v>
      </c>
    </row>
    <row r="1541" spans="1:7">
      <c r="A1541" t="s">
        <v>1876</v>
      </c>
      <c r="B1541" t="s">
        <v>351</v>
      </c>
      <c r="C1541" t="s">
        <v>291</v>
      </c>
      <c r="D1541">
        <v>177682</v>
      </c>
      <c r="E1541">
        <v>182074</v>
      </c>
      <c r="F1541">
        <v>151140</v>
      </c>
      <c r="G1541">
        <v>163605</v>
      </c>
    </row>
    <row r="1542" spans="1:7">
      <c r="A1542" t="s">
        <v>1876</v>
      </c>
      <c r="B1542" t="s">
        <v>351</v>
      </c>
      <c r="C1542" t="s">
        <v>292</v>
      </c>
      <c r="D1542">
        <v>0</v>
      </c>
      <c r="E1542">
        <v>8</v>
      </c>
      <c r="F1542">
        <v>210</v>
      </c>
      <c r="G1542">
        <v>339</v>
      </c>
    </row>
    <row r="1543" spans="1:7">
      <c r="A1543" t="s">
        <v>1876</v>
      </c>
      <c r="B1543" t="s">
        <v>351</v>
      </c>
      <c r="C1543" t="s">
        <v>293</v>
      </c>
      <c r="D1543">
        <v>0</v>
      </c>
      <c r="E1543">
        <v>22</v>
      </c>
      <c r="F1543">
        <v>516</v>
      </c>
      <c r="G1543">
        <v>672</v>
      </c>
    </row>
    <row r="1544" spans="1:7">
      <c r="A1544" t="s">
        <v>1876</v>
      </c>
      <c r="B1544" t="s">
        <v>351</v>
      </c>
      <c r="C1544" t="s">
        <v>294</v>
      </c>
      <c r="D1544">
        <v>0</v>
      </c>
      <c r="E1544">
        <v>22</v>
      </c>
      <c r="F1544">
        <v>521</v>
      </c>
      <c r="G1544">
        <v>690</v>
      </c>
    </row>
    <row r="1545" spans="1:7">
      <c r="A1545" t="s">
        <v>1876</v>
      </c>
      <c r="B1545" t="s">
        <v>351</v>
      </c>
      <c r="C1545" t="s">
        <v>295</v>
      </c>
      <c r="D1545">
        <v>0</v>
      </c>
      <c r="E1545">
        <v>15</v>
      </c>
      <c r="F1545">
        <v>377</v>
      </c>
      <c r="G1545">
        <v>498</v>
      </c>
    </row>
    <row r="1546" spans="1:7">
      <c r="A1546" t="s">
        <v>1876</v>
      </c>
      <c r="B1546" t="s">
        <v>351</v>
      </c>
      <c r="C1546" t="s">
        <v>296</v>
      </c>
      <c r="D1546">
        <v>0</v>
      </c>
      <c r="E1546">
        <v>67</v>
      </c>
      <c r="F1546">
        <v>1625</v>
      </c>
      <c r="G1546">
        <v>2199</v>
      </c>
    </row>
    <row r="1547" spans="1:7">
      <c r="A1547" t="s">
        <v>1876</v>
      </c>
      <c r="B1547" t="s">
        <v>351</v>
      </c>
      <c r="C1547" t="s">
        <v>297</v>
      </c>
      <c r="D1547">
        <v>143256</v>
      </c>
      <c r="E1547">
        <v>147199</v>
      </c>
      <c r="F1547">
        <v>143063</v>
      </c>
      <c r="G1547">
        <v>131904</v>
      </c>
    </row>
    <row r="1548" spans="1:7">
      <c r="A1548" t="s">
        <v>1876</v>
      </c>
      <c r="B1548" t="s">
        <v>351</v>
      </c>
      <c r="C1548" t="s">
        <v>1952</v>
      </c>
      <c r="D1548">
        <v>20.399999999999999</v>
      </c>
      <c r="E1548">
        <v>23.8</v>
      </c>
      <c r="F1548">
        <v>21.8</v>
      </c>
      <c r="G1548">
        <v>24.6</v>
      </c>
    </row>
    <row r="1549" spans="1:7">
      <c r="A1549" t="s">
        <v>1876</v>
      </c>
      <c r="B1549" t="s">
        <v>351</v>
      </c>
      <c r="C1549" t="s">
        <v>298</v>
      </c>
      <c r="D1549">
        <v>4553</v>
      </c>
      <c r="E1549">
        <v>5028</v>
      </c>
      <c r="F1549">
        <v>5033</v>
      </c>
      <c r="G1549">
        <v>4402</v>
      </c>
    </row>
    <row r="1550" spans="1:7">
      <c r="A1550" t="s">
        <v>1876</v>
      </c>
      <c r="B1550" t="s">
        <v>351</v>
      </c>
      <c r="C1550" t="s">
        <v>299</v>
      </c>
      <c r="D1550">
        <v>16515</v>
      </c>
      <c r="E1550">
        <v>18871</v>
      </c>
      <c r="F1550">
        <v>20432</v>
      </c>
      <c r="G1550">
        <v>22577</v>
      </c>
    </row>
    <row r="1551" spans="1:7">
      <c r="A1551" t="s">
        <v>1876</v>
      </c>
      <c r="B1551" t="s">
        <v>351</v>
      </c>
      <c r="C1551" t="s">
        <v>300</v>
      </c>
      <c r="D1551">
        <v>118023</v>
      </c>
      <c r="E1551">
        <v>130997</v>
      </c>
      <c r="F1551">
        <v>138497</v>
      </c>
      <c r="G1551">
        <v>163591</v>
      </c>
    </row>
    <row r="1552" spans="1:7">
      <c r="A1552" t="s">
        <v>1876</v>
      </c>
      <c r="B1552" t="s">
        <v>351</v>
      </c>
      <c r="C1552" t="s">
        <v>1722</v>
      </c>
      <c r="D1552">
        <v>15446</v>
      </c>
      <c r="E1552">
        <v>17551</v>
      </c>
      <c r="F1552">
        <v>19775</v>
      </c>
      <c r="G1552">
        <v>22283</v>
      </c>
    </row>
    <row r="1553" spans="1:7">
      <c r="A1553" t="s">
        <v>1876</v>
      </c>
      <c r="B1553" t="s">
        <v>351</v>
      </c>
      <c r="C1553" t="s">
        <v>301</v>
      </c>
      <c r="D1553">
        <v>9758</v>
      </c>
      <c r="E1553">
        <v>10489</v>
      </c>
      <c r="F1553">
        <v>11112</v>
      </c>
      <c r="G1553">
        <v>12253</v>
      </c>
    </row>
    <row r="1554" spans="1:7">
      <c r="A1554" t="s">
        <v>1876</v>
      </c>
      <c r="B1554" t="s">
        <v>351</v>
      </c>
      <c r="C1554" t="s">
        <v>302</v>
      </c>
      <c r="D1554">
        <v>60487</v>
      </c>
      <c r="E1554">
        <v>72391</v>
      </c>
      <c r="F1554">
        <v>83097</v>
      </c>
      <c r="G1554">
        <v>93033</v>
      </c>
    </row>
    <row r="1555" spans="1:7">
      <c r="A1555" t="s">
        <v>1876</v>
      </c>
      <c r="B1555" t="s">
        <v>351</v>
      </c>
      <c r="C1555" t="s">
        <v>303</v>
      </c>
      <c r="D1555">
        <v>204783</v>
      </c>
      <c r="E1555">
        <v>232748</v>
      </c>
      <c r="F1555">
        <v>253138</v>
      </c>
      <c r="G1555">
        <v>291454</v>
      </c>
    </row>
    <row r="1556" spans="1:7">
      <c r="A1556" t="s">
        <v>1876</v>
      </c>
      <c r="B1556" t="s">
        <v>351</v>
      </c>
      <c r="C1556" t="s">
        <v>304</v>
      </c>
      <c r="D1556">
        <v>86760</v>
      </c>
      <c r="E1556">
        <v>101751</v>
      </c>
      <c r="F1556">
        <v>114641</v>
      </c>
      <c r="G1556">
        <v>127863</v>
      </c>
    </row>
    <row r="1557" spans="1:7">
      <c r="A1557" t="s">
        <v>1876</v>
      </c>
      <c r="B1557" t="s">
        <v>351</v>
      </c>
      <c r="C1557" t="s">
        <v>1953</v>
      </c>
      <c r="D1557">
        <v>27.7</v>
      </c>
      <c r="E1557">
        <v>27.3</v>
      </c>
      <c r="F1557">
        <v>25.6</v>
      </c>
      <c r="G1557">
        <v>26.3</v>
      </c>
    </row>
    <row r="1558" spans="1:7">
      <c r="A1558" t="s">
        <v>1876</v>
      </c>
      <c r="B1558" t="s">
        <v>351</v>
      </c>
      <c r="C1558" t="s">
        <v>305</v>
      </c>
      <c r="D1558">
        <v>2801111</v>
      </c>
      <c r="E1558">
        <v>2917360</v>
      </c>
      <c r="F1558">
        <v>3032405</v>
      </c>
      <c r="G1558">
        <v>3110544</v>
      </c>
    </row>
    <row r="1559" spans="1:7">
      <c r="A1559" t="s">
        <v>1876</v>
      </c>
      <c r="B1559" t="s">
        <v>351</v>
      </c>
      <c r="C1559" t="s">
        <v>306</v>
      </c>
      <c r="D1559">
        <v>71.5</v>
      </c>
      <c r="E1559">
        <v>74.599999999999994</v>
      </c>
      <c r="F1559">
        <v>77.400000000000006</v>
      </c>
      <c r="G1559">
        <v>79</v>
      </c>
    </row>
    <row r="1560" spans="1:7">
      <c r="A1560" t="s">
        <v>1876</v>
      </c>
      <c r="B1560" t="s">
        <v>351</v>
      </c>
      <c r="C1560" t="s">
        <v>307</v>
      </c>
      <c r="D1560">
        <v>1156382</v>
      </c>
      <c r="E1560">
        <v>1193155</v>
      </c>
      <c r="F1560">
        <v>1157654</v>
      </c>
      <c r="G1560">
        <v>1184912</v>
      </c>
    </row>
    <row r="1561" spans="1:7">
      <c r="A1561" t="s">
        <v>1876</v>
      </c>
      <c r="B1561" t="s">
        <v>351</v>
      </c>
      <c r="C1561" t="s">
        <v>308</v>
      </c>
      <c r="D1561">
        <v>29.5</v>
      </c>
      <c r="E1561">
        <v>30.5</v>
      </c>
      <c r="F1561">
        <v>29.5</v>
      </c>
      <c r="G1561">
        <v>30.1</v>
      </c>
    </row>
    <row r="1562" spans="1:7">
      <c r="A1562" t="s">
        <v>1876</v>
      </c>
      <c r="B1562" t="s">
        <v>351</v>
      </c>
      <c r="C1562" t="s">
        <v>309</v>
      </c>
      <c r="D1562">
        <v>1168744</v>
      </c>
      <c r="E1562">
        <v>1199755</v>
      </c>
      <c r="F1562">
        <v>1244722</v>
      </c>
      <c r="G1562">
        <v>1197930</v>
      </c>
    </row>
    <row r="1563" spans="1:7">
      <c r="A1563" t="s">
        <v>1876</v>
      </c>
      <c r="B1563" t="s">
        <v>351</v>
      </c>
      <c r="C1563" t="s">
        <v>310</v>
      </c>
      <c r="D1563">
        <v>1597119</v>
      </c>
      <c r="E1563">
        <v>1540017</v>
      </c>
      <c r="F1563">
        <v>1458574</v>
      </c>
      <c r="G1563">
        <v>1412933</v>
      </c>
    </row>
    <row r="1564" spans="1:7">
      <c r="A1564" t="s">
        <v>1876</v>
      </c>
      <c r="B1564" t="s">
        <v>351</v>
      </c>
      <c r="C1564" t="s">
        <v>311</v>
      </c>
      <c r="D1564">
        <v>40.799999999999997</v>
      </c>
      <c r="E1564">
        <v>39.4</v>
      </c>
      <c r="F1564">
        <v>37.200000000000003</v>
      </c>
      <c r="G1564">
        <v>35.9</v>
      </c>
    </row>
    <row r="1565" spans="1:7">
      <c r="A1565" t="s">
        <v>1876</v>
      </c>
      <c r="B1565" t="s">
        <v>351</v>
      </c>
      <c r="C1565" t="s">
        <v>312</v>
      </c>
      <c r="D1565">
        <v>1224204</v>
      </c>
      <c r="E1565">
        <v>1207011</v>
      </c>
      <c r="F1565">
        <v>1166251</v>
      </c>
      <c r="G1565">
        <v>1147059</v>
      </c>
    </row>
    <row r="1566" spans="1:7">
      <c r="A1566" t="s">
        <v>1876</v>
      </c>
      <c r="B1566" t="s">
        <v>351</v>
      </c>
      <c r="C1566" t="s">
        <v>313</v>
      </c>
      <c r="D1566">
        <v>31.3</v>
      </c>
      <c r="E1566">
        <v>30.8</v>
      </c>
      <c r="F1566">
        <v>29.8</v>
      </c>
      <c r="G1566">
        <v>29.1</v>
      </c>
    </row>
    <row r="1567" spans="1:7">
      <c r="A1567" t="s">
        <v>1876</v>
      </c>
      <c r="B1567" t="s">
        <v>351</v>
      </c>
      <c r="C1567" t="s">
        <v>314</v>
      </c>
      <c r="D1567">
        <v>6778817</v>
      </c>
      <c r="E1567">
        <v>6857539</v>
      </c>
      <c r="F1567">
        <v>6814876</v>
      </c>
      <c r="G1567">
        <v>6855450</v>
      </c>
    </row>
    <row r="1568" spans="1:7">
      <c r="A1568" t="s">
        <v>1876</v>
      </c>
      <c r="B1568" t="s">
        <v>351</v>
      </c>
      <c r="C1568" t="s">
        <v>315</v>
      </c>
      <c r="D1568">
        <v>2.15</v>
      </c>
      <c r="E1568">
        <v>2.1800000000000002</v>
      </c>
      <c r="F1568">
        <v>2.13</v>
      </c>
      <c r="G1568">
        <v>2.0699999999999998</v>
      </c>
    </row>
    <row r="1569" spans="1:7">
      <c r="A1569" t="s">
        <v>1876</v>
      </c>
      <c r="B1569" t="s">
        <v>351</v>
      </c>
      <c r="C1569" t="s">
        <v>316</v>
      </c>
      <c r="D1569">
        <v>173.1</v>
      </c>
      <c r="E1569">
        <v>175.3</v>
      </c>
      <c r="F1569">
        <v>173.9</v>
      </c>
      <c r="G1569">
        <v>174.2</v>
      </c>
    </row>
    <row r="1570" spans="1:7">
      <c r="A1570" t="s">
        <v>1876</v>
      </c>
      <c r="B1570" t="s">
        <v>351</v>
      </c>
      <c r="C1570" t="s">
        <v>317</v>
      </c>
      <c r="D1570">
        <v>6778816</v>
      </c>
      <c r="E1570">
        <v>6857543</v>
      </c>
      <c r="F1570">
        <v>6814884</v>
      </c>
      <c r="G1570">
        <v>6855448</v>
      </c>
    </row>
    <row r="1571" spans="1:7">
      <c r="A1571" t="s">
        <v>1876</v>
      </c>
      <c r="B1571" t="s">
        <v>351</v>
      </c>
      <c r="C1571" t="s">
        <v>318</v>
      </c>
      <c r="D1571">
        <v>2798728</v>
      </c>
      <c r="E1571">
        <v>2914800</v>
      </c>
      <c r="F1571">
        <v>3029984</v>
      </c>
      <c r="G1571">
        <v>3108178</v>
      </c>
    </row>
    <row r="1572" spans="1:7">
      <c r="A1572" t="s">
        <v>1876</v>
      </c>
      <c r="B1572" t="s">
        <v>351</v>
      </c>
      <c r="C1572" t="s">
        <v>319</v>
      </c>
      <c r="D1572">
        <v>738886</v>
      </c>
      <c r="E1572">
        <v>766697</v>
      </c>
      <c r="F1572">
        <v>780718</v>
      </c>
      <c r="G1572">
        <v>804091</v>
      </c>
    </row>
    <row r="1573" spans="1:7">
      <c r="A1573" t="s">
        <v>1876</v>
      </c>
      <c r="B1573" t="s">
        <v>351</v>
      </c>
      <c r="C1573" t="s">
        <v>320</v>
      </c>
      <c r="D1573">
        <v>1414465</v>
      </c>
      <c r="E1573">
        <v>1362545</v>
      </c>
      <c r="F1573">
        <v>1315061</v>
      </c>
      <c r="G1573">
        <v>1267301</v>
      </c>
    </row>
    <row r="1574" spans="1:7">
      <c r="A1574" t="s">
        <v>1876</v>
      </c>
      <c r="B1574" t="s">
        <v>351</v>
      </c>
      <c r="C1574" t="s">
        <v>321</v>
      </c>
      <c r="D1574">
        <v>877636</v>
      </c>
      <c r="E1574">
        <v>872461</v>
      </c>
      <c r="F1574">
        <v>889826</v>
      </c>
      <c r="G1574">
        <v>863076</v>
      </c>
    </row>
    <row r="1575" spans="1:7">
      <c r="A1575" t="s">
        <v>1876</v>
      </c>
      <c r="B1575" t="s">
        <v>351</v>
      </c>
      <c r="C1575" t="s">
        <v>1954</v>
      </c>
      <c r="D1575">
        <v>5829715</v>
      </c>
      <c r="E1575">
        <v>5916504</v>
      </c>
      <c r="F1575">
        <v>6015590</v>
      </c>
      <c r="G1575">
        <v>6042646</v>
      </c>
    </row>
    <row r="1576" spans="1:7">
      <c r="A1576" t="s">
        <v>1876</v>
      </c>
      <c r="B1576" t="s">
        <v>351</v>
      </c>
      <c r="C1576" t="s">
        <v>323</v>
      </c>
      <c r="D1576">
        <v>39153</v>
      </c>
      <c r="E1576">
        <v>39125</v>
      </c>
      <c r="F1576">
        <v>39182</v>
      </c>
      <c r="G1576">
        <v>39365</v>
      </c>
    </row>
    <row r="1577" spans="1:7">
      <c r="A1577" t="s">
        <v>1876</v>
      </c>
      <c r="B1577" t="s">
        <v>351</v>
      </c>
      <c r="C1577" t="s">
        <v>324</v>
      </c>
      <c r="D1577">
        <v>4757</v>
      </c>
      <c r="E1577">
        <v>0</v>
      </c>
      <c r="F1577">
        <v>0</v>
      </c>
      <c r="G1577">
        <v>0</v>
      </c>
    </row>
    <row r="1578" spans="1:7">
      <c r="A1578" t="s">
        <v>1876</v>
      </c>
      <c r="B1578" t="s">
        <v>351</v>
      </c>
      <c r="C1578" t="s">
        <v>325</v>
      </c>
      <c r="D1578">
        <v>0</v>
      </c>
      <c r="E1578">
        <v>0</v>
      </c>
      <c r="F1578">
        <v>0</v>
      </c>
      <c r="G1578">
        <v>0</v>
      </c>
    </row>
    <row r="1579" spans="1:7">
      <c r="A1579" t="s">
        <v>1876</v>
      </c>
      <c r="B1579" t="s">
        <v>351</v>
      </c>
      <c r="C1579" t="s">
        <v>326</v>
      </c>
      <c r="D1579">
        <v>3640</v>
      </c>
      <c r="E1579">
        <v>3640</v>
      </c>
      <c r="F1579">
        <v>3640</v>
      </c>
      <c r="G1579">
        <v>3640</v>
      </c>
    </row>
    <row r="1580" spans="1:7">
      <c r="A1580" t="s">
        <v>1876</v>
      </c>
      <c r="B1580" t="s">
        <v>351</v>
      </c>
      <c r="C1580" t="s">
        <v>327</v>
      </c>
      <c r="D1580">
        <v>35908</v>
      </c>
      <c r="E1580">
        <v>36698</v>
      </c>
      <c r="F1580">
        <v>34539</v>
      </c>
      <c r="G1580">
        <v>31042</v>
      </c>
    </row>
    <row r="1581" spans="1:7">
      <c r="A1581" t="s">
        <v>1876</v>
      </c>
      <c r="B1581" t="s">
        <v>351</v>
      </c>
      <c r="C1581" t="s">
        <v>1723</v>
      </c>
      <c r="D1581">
        <v>656</v>
      </c>
      <c r="E1581">
        <v>643</v>
      </c>
      <c r="F1581">
        <v>643</v>
      </c>
      <c r="G1581">
        <v>542</v>
      </c>
    </row>
    <row r="1582" spans="1:7">
      <c r="A1582" t="s">
        <v>1876</v>
      </c>
      <c r="B1582" t="s">
        <v>351</v>
      </c>
      <c r="C1582" t="s">
        <v>328</v>
      </c>
      <c r="D1582">
        <v>47710</v>
      </c>
      <c r="E1582">
        <v>24794</v>
      </c>
      <c r="F1582">
        <v>24509</v>
      </c>
      <c r="G1582">
        <v>24952</v>
      </c>
    </row>
    <row r="1583" spans="1:7">
      <c r="A1583" t="s">
        <v>1876</v>
      </c>
      <c r="B1583" t="s">
        <v>351</v>
      </c>
      <c r="C1583" t="s">
        <v>329</v>
      </c>
      <c r="D1583">
        <v>18912</v>
      </c>
      <c r="E1583">
        <v>23826</v>
      </c>
      <c r="F1583">
        <v>20255</v>
      </c>
      <c r="G1583">
        <v>18987</v>
      </c>
    </row>
    <row r="1584" spans="1:7">
      <c r="A1584" t="s">
        <v>1876</v>
      </c>
      <c r="B1584" t="s">
        <v>351</v>
      </c>
      <c r="C1584" t="s">
        <v>330</v>
      </c>
      <c r="D1584">
        <v>106170</v>
      </c>
      <c r="E1584">
        <v>88958</v>
      </c>
      <c r="F1584">
        <v>82943</v>
      </c>
      <c r="G1584">
        <v>78622</v>
      </c>
    </row>
    <row r="1585" spans="1:7">
      <c r="A1585" t="s">
        <v>1876</v>
      </c>
      <c r="B1585" t="s">
        <v>351</v>
      </c>
      <c r="C1585" t="s">
        <v>331</v>
      </c>
      <c r="D1585">
        <v>8850</v>
      </c>
      <c r="E1585">
        <v>9187</v>
      </c>
      <c r="F1585">
        <v>8868</v>
      </c>
      <c r="G1585">
        <v>8915</v>
      </c>
    </row>
    <row r="1586" spans="1:7">
      <c r="A1586" t="s">
        <v>1876</v>
      </c>
      <c r="B1586" t="s">
        <v>351</v>
      </c>
      <c r="C1586" t="s">
        <v>332</v>
      </c>
      <c r="D1586">
        <v>22838</v>
      </c>
      <c r="E1586">
        <v>20648</v>
      </c>
      <c r="F1586">
        <v>19452</v>
      </c>
      <c r="G1586">
        <v>18237</v>
      </c>
    </row>
    <row r="1587" spans="1:7">
      <c r="A1587" t="s">
        <v>1876</v>
      </c>
      <c r="B1587" t="s">
        <v>351</v>
      </c>
      <c r="C1587" t="s">
        <v>1724</v>
      </c>
      <c r="D1587">
        <v>474</v>
      </c>
      <c r="E1587">
        <v>475</v>
      </c>
      <c r="F1587">
        <v>476</v>
      </c>
      <c r="G1587">
        <v>438</v>
      </c>
    </row>
    <row r="1588" spans="1:7">
      <c r="A1588" t="s">
        <v>1876</v>
      </c>
      <c r="B1588" t="s">
        <v>351</v>
      </c>
      <c r="C1588" t="s">
        <v>333</v>
      </c>
      <c r="D1588">
        <v>7715</v>
      </c>
      <c r="E1588">
        <v>5594</v>
      </c>
      <c r="F1588">
        <v>5584</v>
      </c>
      <c r="G1588">
        <v>5426</v>
      </c>
    </row>
    <row r="1589" spans="1:7">
      <c r="A1589" t="s">
        <v>1876</v>
      </c>
      <c r="B1589" t="s">
        <v>351</v>
      </c>
      <c r="C1589" t="s">
        <v>334</v>
      </c>
      <c r="D1589">
        <v>39404</v>
      </c>
      <c r="E1589">
        <v>35429</v>
      </c>
      <c r="F1589">
        <v>33903</v>
      </c>
      <c r="G1589">
        <v>32579</v>
      </c>
    </row>
    <row r="1590" spans="1:7">
      <c r="A1590" t="s">
        <v>1876</v>
      </c>
      <c r="B1590" t="s">
        <v>351</v>
      </c>
      <c r="C1590" t="s">
        <v>335</v>
      </c>
      <c r="D1590">
        <v>12491</v>
      </c>
      <c r="E1590">
        <v>12827</v>
      </c>
      <c r="F1590">
        <v>12508</v>
      </c>
      <c r="G1590">
        <v>12556</v>
      </c>
    </row>
    <row r="1591" spans="1:7">
      <c r="A1591" t="s">
        <v>1876</v>
      </c>
      <c r="B1591" t="s">
        <v>351</v>
      </c>
      <c r="C1591" t="s">
        <v>336</v>
      </c>
      <c r="D1591">
        <v>58746</v>
      </c>
      <c r="E1591">
        <v>57345</v>
      </c>
      <c r="F1591">
        <v>53991</v>
      </c>
      <c r="G1591">
        <v>49279</v>
      </c>
    </row>
    <row r="1592" spans="1:7">
      <c r="A1592" t="s">
        <v>1876</v>
      </c>
      <c r="B1592" t="s">
        <v>351</v>
      </c>
      <c r="C1592" t="s">
        <v>337</v>
      </c>
      <c r="D1592">
        <v>55425</v>
      </c>
      <c r="E1592">
        <v>30388</v>
      </c>
      <c r="F1592">
        <v>30093</v>
      </c>
      <c r="G1592">
        <v>30378</v>
      </c>
    </row>
    <row r="1593" spans="1:7">
      <c r="A1593" t="s">
        <v>1876</v>
      </c>
      <c r="B1593" t="s">
        <v>351</v>
      </c>
      <c r="C1593" t="s">
        <v>338</v>
      </c>
      <c r="D1593">
        <v>145573</v>
      </c>
      <c r="E1593">
        <v>124387</v>
      </c>
      <c r="F1593">
        <v>116846</v>
      </c>
      <c r="G1593">
        <v>111200</v>
      </c>
    </row>
    <row r="1594" spans="1:7">
      <c r="A1594" t="s">
        <v>1876</v>
      </c>
      <c r="B1594" t="s">
        <v>351</v>
      </c>
      <c r="C1594" t="s">
        <v>339</v>
      </c>
      <c r="D1594">
        <v>86827</v>
      </c>
      <c r="E1594">
        <v>67042</v>
      </c>
      <c r="F1594">
        <v>62855</v>
      </c>
      <c r="G1594">
        <v>61921</v>
      </c>
    </row>
    <row r="1595" spans="1:7">
      <c r="A1595" t="s">
        <v>1876</v>
      </c>
      <c r="B1595" t="s">
        <v>351</v>
      </c>
      <c r="C1595" t="s">
        <v>340</v>
      </c>
      <c r="D1595">
        <v>1564</v>
      </c>
      <c r="E1595">
        <v>1546</v>
      </c>
      <c r="F1595">
        <v>1073</v>
      </c>
      <c r="G1595">
        <v>1319</v>
      </c>
    </row>
    <row r="1596" spans="1:7">
      <c r="A1596" t="s">
        <v>1876</v>
      </c>
      <c r="B1596" t="s">
        <v>351</v>
      </c>
      <c r="C1596" t="s">
        <v>1955</v>
      </c>
      <c r="D1596">
        <v>28.2</v>
      </c>
      <c r="E1596">
        <v>27.1</v>
      </c>
      <c r="F1596">
        <v>25.8</v>
      </c>
      <c r="G1596">
        <v>27.8</v>
      </c>
    </row>
    <row r="1597" spans="1:7">
      <c r="A1597" t="s">
        <v>1876</v>
      </c>
      <c r="B1597" t="s">
        <v>351</v>
      </c>
      <c r="C1597" t="s">
        <v>341</v>
      </c>
      <c r="D1597">
        <v>21</v>
      </c>
      <c r="E1597">
        <v>21</v>
      </c>
      <c r="F1597">
        <v>23</v>
      </c>
      <c r="G1597">
        <v>20</v>
      </c>
    </row>
    <row r="1598" spans="1:7">
      <c r="A1598" t="s">
        <v>1876</v>
      </c>
      <c r="B1598" t="s">
        <v>351</v>
      </c>
      <c r="C1598" t="s">
        <v>342</v>
      </c>
      <c r="D1598">
        <v>51742</v>
      </c>
      <c r="E1598">
        <v>49909</v>
      </c>
      <c r="F1598">
        <v>47794</v>
      </c>
      <c r="G1598">
        <v>53318</v>
      </c>
    </row>
    <row r="1599" spans="1:7">
      <c r="A1599" t="s">
        <v>1876</v>
      </c>
      <c r="B1599" t="s">
        <v>351</v>
      </c>
      <c r="C1599" t="s">
        <v>1725</v>
      </c>
      <c r="D1599">
        <v>6176</v>
      </c>
      <c r="E1599">
        <v>6146</v>
      </c>
      <c r="F1599">
        <v>6284</v>
      </c>
      <c r="G1599">
        <v>6457</v>
      </c>
    </row>
    <row r="1600" spans="1:7">
      <c r="A1600" t="s">
        <v>1876</v>
      </c>
      <c r="B1600" t="s">
        <v>351</v>
      </c>
      <c r="C1600" t="s">
        <v>343</v>
      </c>
      <c r="D1600">
        <v>21</v>
      </c>
      <c r="E1600">
        <v>15</v>
      </c>
      <c r="F1600">
        <v>17</v>
      </c>
      <c r="G1600">
        <v>55</v>
      </c>
    </row>
    <row r="1601" spans="1:7">
      <c r="A1601" t="s">
        <v>1876</v>
      </c>
      <c r="B1601" t="s">
        <v>351</v>
      </c>
      <c r="C1601" t="s">
        <v>344</v>
      </c>
      <c r="D1601">
        <v>51784</v>
      </c>
      <c r="E1601">
        <v>49945</v>
      </c>
      <c r="F1601">
        <v>47833</v>
      </c>
      <c r="G1601">
        <v>53392</v>
      </c>
    </row>
    <row r="1602" spans="1:7">
      <c r="A1602" t="s">
        <v>1876</v>
      </c>
      <c r="B1602" t="s">
        <v>351</v>
      </c>
      <c r="C1602" t="s">
        <v>345</v>
      </c>
      <c r="D1602">
        <v>42</v>
      </c>
      <c r="E1602">
        <v>36</v>
      </c>
      <c r="F1602">
        <v>39</v>
      </c>
      <c r="G1602">
        <v>75</v>
      </c>
    </row>
    <row r="1603" spans="1:7">
      <c r="A1603" t="s">
        <v>1876</v>
      </c>
      <c r="B1603" t="s">
        <v>351</v>
      </c>
      <c r="C1603" t="s">
        <v>1956</v>
      </c>
      <c r="D1603">
        <v>22838</v>
      </c>
      <c r="E1603">
        <v>20648</v>
      </c>
      <c r="F1603">
        <v>19452</v>
      </c>
      <c r="G1603">
        <v>18237</v>
      </c>
    </row>
    <row r="1604" spans="1:7">
      <c r="A1604" t="s">
        <v>1876</v>
      </c>
      <c r="B1604" t="s">
        <v>351</v>
      </c>
      <c r="C1604" t="s">
        <v>1957</v>
      </c>
      <c r="D1604">
        <v>39404</v>
      </c>
      <c r="E1604">
        <v>35429</v>
      </c>
      <c r="F1604">
        <v>33903</v>
      </c>
      <c r="G1604">
        <v>32579</v>
      </c>
    </row>
    <row r="1605" spans="1:7">
      <c r="A1605" t="s">
        <v>1876</v>
      </c>
      <c r="B1605" t="s">
        <v>351</v>
      </c>
      <c r="C1605" t="s">
        <v>346</v>
      </c>
      <c r="D1605">
        <v>1146</v>
      </c>
      <c r="E1605">
        <v>1205</v>
      </c>
      <c r="F1605">
        <v>866</v>
      </c>
      <c r="G1605">
        <v>1192</v>
      </c>
    </row>
    <row r="1606" spans="1:7">
      <c r="A1606" t="s">
        <v>1876</v>
      </c>
      <c r="B1606" t="s">
        <v>351</v>
      </c>
      <c r="C1606" t="s">
        <v>347</v>
      </c>
      <c r="D1606">
        <v>2689</v>
      </c>
      <c r="E1606">
        <v>2672</v>
      </c>
      <c r="F1606">
        <v>3085</v>
      </c>
      <c r="G1606">
        <v>2717</v>
      </c>
    </row>
    <row r="1607" spans="1:7">
      <c r="A1607" t="s">
        <v>1876</v>
      </c>
      <c r="B1607" t="s">
        <v>352</v>
      </c>
      <c r="C1607" t="s">
        <v>133</v>
      </c>
      <c r="D1607">
        <v>-5</v>
      </c>
      <c r="E1607">
        <v>-4</v>
      </c>
      <c r="F1607">
        <v>-3</v>
      </c>
      <c r="G1607">
        <v>-6</v>
      </c>
    </row>
    <row r="1608" spans="1:7">
      <c r="A1608" t="s">
        <v>1876</v>
      </c>
      <c r="B1608" t="s">
        <v>352</v>
      </c>
      <c r="C1608" t="s">
        <v>134</v>
      </c>
      <c r="D1608">
        <v>18944</v>
      </c>
      <c r="E1608">
        <v>20597</v>
      </c>
      <c r="F1608">
        <v>19520</v>
      </c>
      <c r="G1608">
        <v>12762</v>
      </c>
    </row>
    <row r="1609" spans="1:7">
      <c r="A1609" t="s">
        <v>1876</v>
      </c>
      <c r="B1609" t="s">
        <v>352</v>
      </c>
      <c r="C1609" t="s">
        <v>135</v>
      </c>
      <c r="D1609">
        <v>18944</v>
      </c>
      <c r="E1609">
        <v>20597</v>
      </c>
      <c r="F1609">
        <v>19520</v>
      </c>
      <c r="G1609">
        <v>12762</v>
      </c>
    </row>
    <row r="1610" spans="1:7">
      <c r="A1610" t="s">
        <v>1876</v>
      </c>
      <c r="B1610" t="s">
        <v>352</v>
      </c>
      <c r="C1610" t="s">
        <v>136</v>
      </c>
      <c r="D1610">
        <v>18944</v>
      </c>
      <c r="E1610">
        <v>20597</v>
      </c>
      <c r="F1610">
        <v>19520</v>
      </c>
      <c r="G1610">
        <v>12762</v>
      </c>
    </row>
    <row r="1611" spans="1:7">
      <c r="A1611" t="s">
        <v>1876</v>
      </c>
      <c r="B1611" t="s">
        <v>352</v>
      </c>
      <c r="C1611" t="s">
        <v>137</v>
      </c>
      <c r="D1611">
        <v>547</v>
      </c>
      <c r="E1611">
        <v>566</v>
      </c>
      <c r="F1611">
        <v>537</v>
      </c>
      <c r="G1611">
        <v>578</v>
      </c>
    </row>
    <row r="1612" spans="1:7">
      <c r="A1612" t="s">
        <v>1876</v>
      </c>
      <c r="B1612" t="s">
        <v>352</v>
      </c>
      <c r="C1612" t="s">
        <v>138</v>
      </c>
      <c r="D1612">
        <v>547</v>
      </c>
      <c r="E1612">
        <v>566</v>
      </c>
      <c r="F1612">
        <v>537</v>
      </c>
      <c r="G1612">
        <v>578</v>
      </c>
    </row>
    <row r="1613" spans="1:7">
      <c r="A1613" t="s">
        <v>1876</v>
      </c>
      <c r="B1613" t="s">
        <v>352</v>
      </c>
      <c r="C1613" t="s">
        <v>139</v>
      </c>
      <c r="D1613">
        <v>547</v>
      </c>
      <c r="E1613">
        <v>566</v>
      </c>
      <c r="F1613">
        <v>537</v>
      </c>
      <c r="G1613">
        <v>578</v>
      </c>
    </row>
    <row r="1614" spans="1:7">
      <c r="A1614" t="s">
        <v>1876</v>
      </c>
      <c r="B1614" t="s">
        <v>352</v>
      </c>
      <c r="C1614" t="s">
        <v>1877</v>
      </c>
      <c r="D1614">
        <v>0</v>
      </c>
      <c r="E1614">
        <v>0</v>
      </c>
      <c r="F1614">
        <v>0</v>
      </c>
      <c r="G1614">
        <v>0</v>
      </c>
    </row>
    <row r="1615" spans="1:7">
      <c r="A1615" t="s">
        <v>1876</v>
      </c>
      <c r="B1615" t="s">
        <v>352</v>
      </c>
      <c r="C1615" t="s">
        <v>1700</v>
      </c>
      <c r="D1615">
        <v>0</v>
      </c>
      <c r="E1615">
        <v>0</v>
      </c>
      <c r="F1615">
        <v>0</v>
      </c>
      <c r="G1615">
        <v>0</v>
      </c>
    </row>
    <row r="1616" spans="1:7">
      <c r="A1616" t="s">
        <v>1876</v>
      </c>
      <c r="B1616" t="s">
        <v>352</v>
      </c>
      <c r="C1616" t="s">
        <v>1878</v>
      </c>
      <c r="D1616">
        <v>0</v>
      </c>
      <c r="E1616">
        <v>0</v>
      </c>
      <c r="F1616">
        <v>0</v>
      </c>
      <c r="G1616">
        <v>0</v>
      </c>
    </row>
    <row r="1617" spans="1:7">
      <c r="A1617" t="s">
        <v>1876</v>
      </c>
      <c r="B1617" t="s">
        <v>352</v>
      </c>
      <c r="C1617" t="s">
        <v>1879</v>
      </c>
      <c r="D1617">
        <v>0</v>
      </c>
      <c r="E1617">
        <v>0</v>
      </c>
      <c r="F1617">
        <v>0</v>
      </c>
      <c r="G1617">
        <v>0</v>
      </c>
    </row>
    <row r="1618" spans="1:7">
      <c r="A1618" t="s">
        <v>1876</v>
      </c>
      <c r="B1618" t="s">
        <v>352</v>
      </c>
      <c r="C1618" t="s">
        <v>1701</v>
      </c>
      <c r="D1618">
        <v>0</v>
      </c>
      <c r="E1618">
        <v>0</v>
      </c>
      <c r="F1618">
        <v>0</v>
      </c>
      <c r="G1618">
        <v>0</v>
      </c>
    </row>
    <row r="1619" spans="1:7">
      <c r="A1619" t="s">
        <v>1876</v>
      </c>
      <c r="B1619" t="s">
        <v>352</v>
      </c>
      <c r="C1619" t="s">
        <v>1880</v>
      </c>
      <c r="D1619">
        <v>364</v>
      </c>
      <c r="E1619">
        <v>222</v>
      </c>
      <c r="F1619">
        <v>231</v>
      </c>
      <c r="G1619">
        <v>77</v>
      </c>
    </row>
    <row r="1620" spans="1:7">
      <c r="A1620" t="s">
        <v>1876</v>
      </c>
      <c r="B1620" t="s">
        <v>352</v>
      </c>
      <c r="C1620" t="s">
        <v>140</v>
      </c>
      <c r="D1620">
        <v>856</v>
      </c>
      <c r="E1620">
        <v>537</v>
      </c>
      <c r="F1620">
        <v>622</v>
      </c>
      <c r="G1620">
        <v>219</v>
      </c>
    </row>
    <row r="1621" spans="1:7">
      <c r="A1621" t="s">
        <v>1876</v>
      </c>
      <c r="B1621" t="s">
        <v>352</v>
      </c>
      <c r="C1621" t="s">
        <v>1881</v>
      </c>
      <c r="D1621">
        <v>492</v>
      </c>
      <c r="E1621">
        <v>315</v>
      </c>
      <c r="F1621">
        <v>392</v>
      </c>
      <c r="G1621">
        <v>142</v>
      </c>
    </row>
    <row r="1622" spans="1:7">
      <c r="A1622" t="s">
        <v>1876</v>
      </c>
      <c r="B1622" t="s">
        <v>352</v>
      </c>
      <c r="C1622" t="s">
        <v>1882</v>
      </c>
      <c r="D1622">
        <v>0</v>
      </c>
      <c r="E1622">
        <v>0</v>
      </c>
      <c r="F1622">
        <v>0</v>
      </c>
      <c r="G1622">
        <v>0</v>
      </c>
    </row>
    <row r="1623" spans="1:7">
      <c r="A1623" t="s">
        <v>1876</v>
      </c>
      <c r="B1623" t="s">
        <v>352</v>
      </c>
      <c r="C1623" t="s">
        <v>1883</v>
      </c>
      <c r="D1623">
        <v>0</v>
      </c>
      <c r="E1623">
        <v>0</v>
      </c>
      <c r="F1623">
        <v>0</v>
      </c>
      <c r="G1623">
        <v>0</v>
      </c>
    </row>
    <row r="1624" spans="1:7">
      <c r="A1624" t="s">
        <v>1876</v>
      </c>
      <c r="B1624" t="s">
        <v>352</v>
      </c>
      <c r="C1624" t="s">
        <v>1884</v>
      </c>
      <c r="D1624">
        <v>0</v>
      </c>
      <c r="E1624">
        <v>0</v>
      </c>
      <c r="F1624">
        <v>0</v>
      </c>
      <c r="G1624">
        <v>0</v>
      </c>
    </row>
    <row r="1625" spans="1:7">
      <c r="A1625" t="s">
        <v>1876</v>
      </c>
      <c r="B1625" t="s">
        <v>352</v>
      </c>
      <c r="C1625" t="s">
        <v>1885</v>
      </c>
      <c r="D1625">
        <v>0</v>
      </c>
      <c r="E1625">
        <v>0</v>
      </c>
      <c r="F1625">
        <v>0</v>
      </c>
      <c r="G1625">
        <v>0</v>
      </c>
    </row>
    <row r="1626" spans="1:7">
      <c r="A1626" t="s">
        <v>1876</v>
      </c>
      <c r="B1626" t="s">
        <v>352</v>
      </c>
      <c r="C1626" t="s">
        <v>1886</v>
      </c>
      <c r="D1626">
        <v>0</v>
      </c>
      <c r="E1626">
        <v>0</v>
      </c>
      <c r="F1626">
        <v>0</v>
      </c>
      <c r="G1626">
        <v>0</v>
      </c>
    </row>
    <row r="1627" spans="1:7">
      <c r="A1627" t="s">
        <v>1876</v>
      </c>
      <c r="B1627" t="s">
        <v>352</v>
      </c>
      <c r="C1627" t="s">
        <v>141</v>
      </c>
      <c r="D1627">
        <v>0</v>
      </c>
      <c r="E1627">
        <v>0</v>
      </c>
      <c r="F1627">
        <v>0</v>
      </c>
      <c r="G1627">
        <v>0</v>
      </c>
    </row>
    <row r="1628" spans="1:7">
      <c r="A1628" t="s">
        <v>1876</v>
      </c>
      <c r="B1628" t="s">
        <v>352</v>
      </c>
      <c r="C1628" t="s">
        <v>1887</v>
      </c>
      <c r="D1628">
        <v>0</v>
      </c>
      <c r="E1628">
        <v>0</v>
      </c>
      <c r="F1628">
        <v>0</v>
      </c>
      <c r="G1628">
        <v>0</v>
      </c>
    </row>
    <row r="1629" spans="1:7">
      <c r="A1629" t="s">
        <v>1876</v>
      </c>
      <c r="B1629" t="s">
        <v>352</v>
      </c>
      <c r="C1629" t="s">
        <v>1888</v>
      </c>
      <c r="D1629">
        <v>0</v>
      </c>
      <c r="E1629">
        <v>0</v>
      </c>
      <c r="F1629">
        <v>0</v>
      </c>
      <c r="G1629">
        <v>0</v>
      </c>
    </row>
    <row r="1630" spans="1:7">
      <c r="A1630" t="s">
        <v>1876</v>
      </c>
      <c r="B1630" t="s">
        <v>352</v>
      </c>
      <c r="C1630" t="s">
        <v>1889</v>
      </c>
      <c r="D1630">
        <v>364</v>
      </c>
      <c r="E1630">
        <v>222</v>
      </c>
      <c r="F1630">
        <v>231</v>
      </c>
      <c r="G1630">
        <v>77</v>
      </c>
    </row>
    <row r="1631" spans="1:7">
      <c r="A1631" t="s">
        <v>1876</v>
      </c>
      <c r="B1631" t="s">
        <v>352</v>
      </c>
      <c r="C1631" t="s">
        <v>1890</v>
      </c>
      <c r="D1631">
        <v>0</v>
      </c>
      <c r="E1631">
        <v>0</v>
      </c>
      <c r="F1631">
        <v>0</v>
      </c>
      <c r="G1631">
        <v>0</v>
      </c>
    </row>
    <row r="1632" spans="1:7">
      <c r="A1632" t="s">
        <v>1876</v>
      </c>
      <c r="B1632" t="s">
        <v>352</v>
      </c>
      <c r="C1632" t="s">
        <v>1891</v>
      </c>
    </row>
    <row r="1633" spans="1:7">
      <c r="A1633" t="s">
        <v>1876</v>
      </c>
      <c r="B1633" t="s">
        <v>352</v>
      </c>
      <c r="C1633" t="s">
        <v>1892</v>
      </c>
      <c r="D1633">
        <v>492</v>
      </c>
      <c r="E1633">
        <v>315</v>
      </c>
      <c r="F1633">
        <v>392</v>
      </c>
      <c r="G1633">
        <v>142</v>
      </c>
    </row>
    <row r="1634" spans="1:7">
      <c r="A1634" t="s">
        <v>1876</v>
      </c>
      <c r="B1634" t="s">
        <v>352</v>
      </c>
      <c r="C1634" t="s">
        <v>142</v>
      </c>
      <c r="D1634">
        <v>856</v>
      </c>
      <c r="E1634">
        <v>537</v>
      </c>
      <c r="F1634">
        <v>622</v>
      </c>
      <c r="G1634">
        <v>219</v>
      </c>
    </row>
    <row r="1635" spans="1:7">
      <c r="A1635" t="s">
        <v>1876</v>
      </c>
      <c r="B1635" t="s">
        <v>352</v>
      </c>
      <c r="C1635" t="s">
        <v>1893</v>
      </c>
      <c r="D1635">
        <v>856</v>
      </c>
      <c r="E1635">
        <v>537</v>
      </c>
      <c r="F1635">
        <v>622</v>
      </c>
      <c r="G1635">
        <v>219</v>
      </c>
    </row>
    <row r="1636" spans="1:7">
      <c r="A1636" t="s">
        <v>1876</v>
      </c>
      <c r="B1636" t="s">
        <v>352</v>
      </c>
      <c r="C1636" t="s">
        <v>1894</v>
      </c>
      <c r="D1636">
        <v>492</v>
      </c>
      <c r="E1636">
        <v>315</v>
      </c>
      <c r="F1636">
        <v>392</v>
      </c>
      <c r="G1636">
        <v>142</v>
      </c>
    </row>
    <row r="1637" spans="1:7">
      <c r="A1637" t="s">
        <v>1876</v>
      </c>
      <c r="B1637" t="s">
        <v>352</v>
      </c>
      <c r="C1637" t="s">
        <v>143</v>
      </c>
      <c r="D1637">
        <v>7440</v>
      </c>
      <c r="E1637">
        <v>7971</v>
      </c>
      <c r="F1637">
        <v>7619</v>
      </c>
      <c r="G1637">
        <v>7816</v>
      </c>
    </row>
    <row r="1638" spans="1:7">
      <c r="A1638" t="s">
        <v>1876</v>
      </c>
      <c r="B1638" t="s">
        <v>352</v>
      </c>
      <c r="C1638" t="s">
        <v>144</v>
      </c>
      <c r="D1638">
        <v>27231</v>
      </c>
      <c r="E1638">
        <v>28142</v>
      </c>
      <c r="F1638">
        <v>26255</v>
      </c>
      <c r="G1638">
        <v>26526</v>
      </c>
    </row>
    <row r="1639" spans="1:7">
      <c r="A1639" t="s">
        <v>1876</v>
      </c>
      <c r="B1639" t="s">
        <v>352</v>
      </c>
      <c r="C1639" t="s">
        <v>1895</v>
      </c>
      <c r="D1639">
        <v>67.5</v>
      </c>
      <c r="E1639">
        <v>64.900000000000006</v>
      </c>
      <c r="F1639">
        <v>53.1</v>
      </c>
      <c r="G1639">
        <v>32.5</v>
      </c>
    </row>
    <row r="1640" spans="1:7">
      <c r="A1640" t="s">
        <v>1876</v>
      </c>
      <c r="B1640" t="s">
        <v>352</v>
      </c>
      <c r="C1640" t="s">
        <v>145</v>
      </c>
      <c r="D1640">
        <v>36334</v>
      </c>
      <c r="E1640">
        <v>38941</v>
      </c>
      <c r="F1640">
        <v>35791</v>
      </c>
      <c r="G1640">
        <v>34951</v>
      </c>
    </row>
    <row r="1641" spans="1:7">
      <c r="A1641" t="s">
        <v>1876</v>
      </c>
      <c r="B1641" t="s">
        <v>352</v>
      </c>
      <c r="C1641" t="s">
        <v>146</v>
      </c>
      <c r="D1641">
        <v>0</v>
      </c>
      <c r="E1641">
        <v>0</v>
      </c>
      <c r="F1641">
        <v>0</v>
      </c>
      <c r="G1641">
        <v>0</v>
      </c>
    </row>
    <row r="1642" spans="1:7">
      <c r="A1642" t="s">
        <v>1876</v>
      </c>
      <c r="B1642" t="s">
        <v>352</v>
      </c>
      <c r="C1642" t="s">
        <v>147</v>
      </c>
      <c r="D1642">
        <v>0</v>
      </c>
      <c r="E1642">
        <v>0</v>
      </c>
      <c r="F1642">
        <v>0</v>
      </c>
      <c r="G1642">
        <v>0</v>
      </c>
    </row>
    <row r="1643" spans="1:7">
      <c r="A1643" t="s">
        <v>1876</v>
      </c>
      <c r="B1643" t="s">
        <v>352</v>
      </c>
      <c r="C1643" t="s">
        <v>1896</v>
      </c>
      <c r="D1643">
        <v>1.3</v>
      </c>
      <c r="E1643">
        <v>1.9</v>
      </c>
      <c r="F1643">
        <v>9.8000000000000007</v>
      </c>
      <c r="G1643">
        <v>12.4</v>
      </c>
    </row>
    <row r="1644" spans="1:7">
      <c r="A1644" t="s">
        <v>1876</v>
      </c>
      <c r="B1644" t="s">
        <v>352</v>
      </c>
      <c r="C1644" t="s">
        <v>1702</v>
      </c>
      <c r="D1644">
        <v>10</v>
      </c>
      <c r="E1644">
        <v>10</v>
      </c>
      <c r="F1644">
        <v>241</v>
      </c>
      <c r="G1644">
        <v>346</v>
      </c>
    </row>
    <row r="1645" spans="1:7">
      <c r="A1645" t="s">
        <v>1876</v>
      </c>
      <c r="B1645" t="s">
        <v>352</v>
      </c>
      <c r="C1645" t="s">
        <v>1897</v>
      </c>
      <c r="D1645">
        <v>35.799999999999997</v>
      </c>
      <c r="E1645">
        <v>50.3</v>
      </c>
      <c r="F1645">
        <v>86.2</v>
      </c>
      <c r="G1645">
        <v>122.7</v>
      </c>
    </row>
    <row r="1646" spans="1:7">
      <c r="A1646" t="s">
        <v>1876</v>
      </c>
      <c r="B1646" t="s">
        <v>352</v>
      </c>
      <c r="C1646" t="s">
        <v>1898</v>
      </c>
      <c r="D1646">
        <v>62</v>
      </c>
      <c r="E1646">
        <v>101</v>
      </c>
      <c r="F1646">
        <v>291</v>
      </c>
      <c r="G1646">
        <v>430</v>
      </c>
    </row>
    <row r="1647" spans="1:7">
      <c r="A1647" t="s">
        <v>1876</v>
      </c>
      <c r="B1647" t="s">
        <v>352</v>
      </c>
      <c r="C1647" t="s">
        <v>1899</v>
      </c>
      <c r="D1647">
        <v>492</v>
      </c>
      <c r="E1647">
        <v>315</v>
      </c>
      <c r="F1647">
        <v>392</v>
      </c>
      <c r="G1647">
        <v>142</v>
      </c>
    </row>
    <row r="1648" spans="1:7">
      <c r="A1648" t="s">
        <v>1876</v>
      </c>
      <c r="B1648" t="s">
        <v>352</v>
      </c>
      <c r="C1648" t="s">
        <v>148</v>
      </c>
      <c r="D1648">
        <v>0</v>
      </c>
      <c r="E1648">
        <v>0</v>
      </c>
      <c r="F1648">
        <v>0</v>
      </c>
      <c r="G1648">
        <v>0</v>
      </c>
    </row>
    <row r="1649" spans="1:7">
      <c r="A1649" t="s">
        <v>1876</v>
      </c>
      <c r="B1649" t="s">
        <v>352</v>
      </c>
      <c r="C1649" t="s">
        <v>149</v>
      </c>
      <c r="D1649">
        <v>0</v>
      </c>
      <c r="E1649">
        <v>0</v>
      </c>
      <c r="F1649">
        <v>0</v>
      </c>
      <c r="G1649">
        <v>0</v>
      </c>
    </row>
    <row r="1650" spans="1:7">
      <c r="A1650" t="s">
        <v>1876</v>
      </c>
      <c r="B1650" t="s">
        <v>352</v>
      </c>
      <c r="C1650" t="s">
        <v>150</v>
      </c>
      <c r="D1650">
        <v>0</v>
      </c>
      <c r="E1650">
        <v>0</v>
      </c>
      <c r="F1650">
        <v>0</v>
      </c>
      <c r="G1650">
        <v>0</v>
      </c>
    </row>
    <row r="1651" spans="1:7">
      <c r="A1651" t="s">
        <v>1876</v>
      </c>
      <c r="B1651" t="s">
        <v>352</v>
      </c>
      <c r="C1651" t="s">
        <v>1900</v>
      </c>
      <c r="D1651">
        <v>65.400000000000006</v>
      </c>
      <c r="E1651">
        <v>60.2</v>
      </c>
      <c r="F1651">
        <v>56.9</v>
      </c>
      <c r="G1651">
        <v>50</v>
      </c>
    </row>
    <row r="1652" spans="1:7">
      <c r="A1652" t="s">
        <v>1876</v>
      </c>
      <c r="B1652" t="s">
        <v>352</v>
      </c>
      <c r="C1652" t="s">
        <v>151</v>
      </c>
      <c r="D1652">
        <v>7</v>
      </c>
      <c r="E1652">
        <v>4</v>
      </c>
      <c r="F1652">
        <v>6</v>
      </c>
      <c r="G1652">
        <v>0</v>
      </c>
    </row>
    <row r="1653" spans="1:7">
      <c r="A1653" t="s">
        <v>1876</v>
      </c>
      <c r="B1653" t="s">
        <v>352</v>
      </c>
      <c r="C1653" t="s">
        <v>152</v>
      </c>
      <c r="D1653">
        <v>248967</v>
      </c>
      <c r="E1653">
        <v>229644</v>
      </c>
      <c r="F1653">
        <v>201868</v>
      </c>
      <c r="G1653">
        <v>177904</v>
      </c>
    </row>
    <row r="1654" spans="1:7">
      <c r="A1654" t="s">
        <v>1876</v>
      </c>
      <c r="B1654" t="s">
        <v>352</v>
      </c>
      <c r="C1654" t="s">
        <v>1703</v>
      </c>
      <c r="D1654">
        <v>4129</v>
      </c>
      <c r="E1654">
        <v>3804</v>
      </c>
      <c r="F1654">
        <v>3804</v>
      </c>
      <c r="G1654">
        <v>3786</v>
      </c>
    </row>
    <row r="1655" spans="1:7">
      <c r="A1655" t="s">
        <v>1876</v>
      </c>
      <c r="B1655" t="s">
        <v>352</v>
      </c>
      <c r="C1655" t="s">
        <v>153</v>
      </c>
      <c r="D1655">
        <v>3467</v>
      </c>
      <c r="E1655">
        <v>3608</v>
      </c>
      <c r="F1655">
        <v>2952</v>
      </c>
      <c r="G1655">
        <v>3064</v>
      </c>
    </row>
    <row r="1656" spans="1:7">
      <c r="A1656" t="s">
        <v>1876</v>
      </c>
      <c r="B1656" t="s">
        <v>352</v>
      </c>
      <c r="C1656" t="s">
        <v>154</v>
      </c>
      <c r="D1656">
        <v>0</v>
      </c>
      <c r="E1656">
        <v>0</v>
      </c>
      <c r="F1656">
        <v>0</v>
      </c>
      <c r="G1656">
        <v>0</v>
      </c>
    </row>
    <row r="1657" spans="1:7">
      <c r="A1657" t="s">
        <v>1876</v>
      </c>
      <c r="B1657" t="s">
        <v>352</v>
      </c>
      <c r="C1657" t="s">
        <v>155</v>
      </c>
      <c r="D1657">
        <v>3467</v>
      </c>
      <c r="E1657">
        <v>3608</v>
      </c>
      <c r="F1657">
        <v>2952</v>
      </c>
      <c r="G1657">
        <v>3064</v>
      </c>
    </row>
    <row r="1658" spans="1:7">
      <c r="A1658" t="s">
        <v>1876</v>
      </c>
      <c r="B1658" t="s">
        <v>352</v>
      </c>
      <c r="C1658" t="s">
        <v>156</v>
      </c>
      <c r="D1658">
        <v>0</v>
      </c>
      <c r="E1658">
        <v>0</v>
      </c>
      <c r="F1658">
        <v>0</v>
      </c>
      <c r="G1658">
        <v>0</v>
      </c>
    </row>
    <row r="1659" spans="1:7">
      <c r="A1659" t="s">
        <v>1876</v>
      </c>
      <c r="B1659" t="s">
        <v>352</v>
      </c>
      <c r="C1659" t="s">
        <v>157</v>
      </c>
      <c r="D1659">
        <v>252442</v>
      </c>
      <c r="E1659">
        <v>233256</v>
      </c>
      <c r="F1659">
        <v>204826</v>
      </c>
      <c r="G1659">
        <v>180969</v>
      </c>
    </row>
    <row r="1660" spans="1:7">
      <c r="A1660" t="s">
        <v>1876</v>
      </c>
      <c r="B1660" t="s">
        <v>352</v>
      </c>
      <c r="C1660" t="s">
        <v>158</v>
      </c>
      <c r="D1660">
        <v>3474</v>
      </c>
      <c r="E1660">
        <v>3611</v>
      </c>
      <c r="F1660">
        <v>2958</v>
      </c>
      <c r="G1660">
        <v>3064</v>
      </c>
    </row>
    <row r="1661" spans="1:7">
      <c r="A1661" t="s">
        <v>1876</v>
      </c>
      <c r="B1661" t="s">
        <v>352</v>
      </c>
      <c r="C1661" t="s">
        <v>159</v>
      </c>
      <c r="D1661">
        <v>0</v>
      </c>
      <c r="E1661">
        <v>0</v>
      </c>
      <c r="F1661">
        <v>0</v>
      </c>
      <c r="G1661">
        <v>0</v>
      </c>
    </row>
    <row r="1662" spans="1:7">
      <c r="A1662" t="s">
        <v>1876</v>
      </c>
      <c r="B1662" t="s">
        <v>352</v>
      </c>
      <c r="C1662" t="s">
        <v>1901</v>
      </c>
      <c r="D1662">
        <v>40</v>
      </c>
      <c r="E1662">
        <v>41.2</v>
      </c>
      <c r="F1662">
        <v>49.5</v>
      </c>
      <c r="G1662">
        <v>49.9</v>
      </c>
    </row>
    <row r="1663" spans="1:7">
      <c r="A1663" t="s">
        <v>1876</v>
      </c>
      <c r="B1663" t="s">
        <v>352</v>
      </c>
      <c r="C1663" t="s">
        <v>1902</v>
      </c>
      <c r="D1663">
        <v>95052</v>
      </c>
      <c r="E1663">
        <v>92466</v>
      </c>
      <c r="F1663">
        <v>90247</v>
      </c>
      <c r="G1663">
        <v>84272</v>
      </c>
    </row>
    <row r="1664" spans="1:7">
      <c r="A1664" t="s">
        <v>1876</v>
      </c>
      <c r="B1664" t="s">
        <v>352</v>
      </c>
      <c r="C1664" t="s">
        <v>1903</v>
      </c>
      <c r="D1664">
        <v>4789</v>
      </c>
      <c r="E1664">
        <v>4862</v>
      </c>
      <c r="F1664">
        <v>5318</v>
      </c>
      <c r="G1664">
        <v>4684</v>
      </c>
    </row>
    <row r="1665" spans="1:7">
      <c r="A1665" t="s">
        <v>1876</v>
      </c>
      <c r="B1665" t="s">
        <v>352</v>
      </c>
      <c r="C1665" t="s">
        <v>1904</v>
      </c>
      <c r="D1665">
        <v>379</v>
      </c>
      <c r="E1665">
        <v>383</v>
      </c>
      <c r="F1665">
        <v>2922</v>
      </c>
      <c r="G1665">
        <v>553</v>
      </c>
    </row>
    <row r="1666" spans="1:7">
      <c r="A1666" t="s">
        <v>1876</v>
      </c>
      <c r="B1666" t="s">
        <v>352</v>
      </c>
      <c r="C1666" t="s">
        <v>1905</v>
      </c>
      <c r="D1666">
        <v>26438</v>
      </c>
      <c r="E1666">
        <v>26726</v>
      </c>
      <c r="F1666">
        <v>26085</v>
      </c>
      <c r="G1666">
        <v>25313</v>
      </c>
    </row>
    <row r="1667" spans="1:7">
      <c r="A1667" t="s">
        <v>1876</v>
      </c>
      <c r="B1667" t="s">
        <v>352</v>
      </c>
      <c r="C1667" t="s">
        <v>1906</v>
      </c>
      <c r="D1667">
        <v>131</v>
      </c>
      <c r="E1667">
        <v>135</v>
      </c>
      <c r="F1667">
        <v>148</v>
      </c>
      <c r="G1667">
        <v>127</v>
      </c>
    </row>
    <row r="1668" spans="1:7">
      <c r="A1668" t="s">
        <v>1876</v>
      </c>
      <c r="B1668" t="s">
        <v>352</v>
      </c>
      <c r="C1668" t="s">
        <v>1907</v>
      </c>
      <c r="D1668">
        <v>126790</v>
      </c>
      <c r="E1668">
        <v>124572</v>
      </c>
      <c r="F1668">
        <v>124720</v>
      </c>
      <c r="G1668">
        <v>114950</v>
      </c>
    </row>
    <row r="1669" spans="1:7">
      <c r="A1669" t="s">
        <v>1876</v>
      </c>
      <c r="B1669" t="s">
        <v>352</v>
      </c>
      <c r="C1669" t="s">
        <v>160</v>
      </c>
      <c r="D1669">
        <v>94560</v>
      </c>
      <c r="E1669">
        <v>92151</v>
      </c>
      <c r="F1669">
        <v>89856</v>
      </c>
      <c r="G1669">
        <v>84129</v>
      </c>
    </row>
    <row r="1670" spans="1:7">
      <c r="A1670" t="s">
        <v>1876</v>
      </c>
      <c r="B1670" t="s">
        <v>352</v>
      </c>
      <c r="C1670" t="s">
        <v>161</v>
      </c>
      <c r="D1670">
        <v>4789</v>
      </c>
      <c r="E1670">
        <v>4862</v>
      </c>
      <c r="F1670">
        <v>5318</v>
      </c>
      <c r="G1670">
        <v>4684</v>
      </c>
    </row>
    <row r="1671" spans="1:7">
      <c r="A1671" t="s">
        <v>1876</v>
      </c>
      <c r="B1671" t="s">
        <v>352</v>
      </c>
      <c r="C1671" t="s">
        <v>162</v>
      </c>
      <c r="D1671">
        <v>379</v>
      </c>
      <c r="E1671">
        <v>383</v>
      </c>
      <c r="F1671">
        <v>2922</v>
      </c>
      <c r="G1671">
        <v>553</v>
      </c>
    </row>
    <row r="1672" spans="1:7">
      <c r="A1672" t="s">
        <v>1876</v>
      </c>
      <c r="B1672" t="s">
        <v>352</v>
      </c>
      <c r="C1672" t="s">
        <v>163</v>
      </c>
      <c r="D1672">
        <v>26438</v>
      </c>
      <c r="E1672">
        <v>26726</v>
      </c>
      <c r="F1672">
        <v>26085</v>
      </c>
      <c r="G1672">
        <v>25313</v>
      </c>
    </row>
    <row r="1673" spans="1:7">
      <c r="A1673" t="s">
        <v>1876</v>
      </c>
      <c r="B1673" t="s">
        <v>352</v>
      </c>
      <c r="C1673" t="s">
        <v>164</v>
      </c>
      <c r="D1673">
        <v>131</v>
      </c>
      <c r="E1673">
        <v>135</v>
      </c>
      <c r="F1673">
        <v>148</v>
      </c>
      <c r="G1673">
        <v>127</v>
      </c>
    </row>
    <row r="1674" spans="1:7">
      <c r="A1674" t="s">
        <v>1876</v>
      </c>
      <c r="B1674" t="s">
        <v>352</v>
      </c>
      <c r="C1674" t="s">
        <v>165</v>
      </c>
      <c r="D1674">
        <v>126298</v>
      </c>
      <c r="E1674">
        <v>124257</v>
      </c>
      <c r="F1674">
        <v>124329</v>
      </c>
      <c r="G1674">
        <v>114807</v>
      </c>
    </row>
    <row r="1675" spans="1:7">
      <c r="A1675" t="s">
        <v>1876</v>
      </c>
      <c r="B1675" t="s">
        <v>352</v>
      </c>
      <c r="C1675" t="s">
        <v>166</v>
      </c>
      <c r="D1675">
        <v>125919</v>
      </c>
      <c r="E1675">
        <v>123874</v>
      </c>
      <c r="F1675">
        <v>121407</v>
      </c>
      <c r="G1675">
        <v>114255</v>
      </c>
    </row>
    <row r="1676" spans="1:7">
      <c r="A1676" t="s">
        <v>1876</v>
      </c>
      <c r="B1676" t="s">
        <v>352</v>
      </c>
      <c r="C1676" t="s">
        <v>167</v>
      </c>
      <c r="D1676">
        <v>379</v>
      </c>
      <c r="E1676">
        <v>383</v>
      </c>
      <c r="F1676">
        <v>2922</v>
      </c>
      <c r="G1676">
        <v>553</v>
      </c>
    </row>
    <row r="1677" spans="1:7">
      <c r="A1677" t="s">
        <v>1876</v>
      </c>
      <c r="B1677" t="s">
        <v>352</v>
      </c>
      <c r="C1677" t="s">
        <v>1908</v>
      </c>
      <c r="D1677">
        <v>94195</v>
      </c>
      <c r="E1677">
        <v>91929</v>
      </c>
      <c r="F1677">
        <v>89625</v>
      </c>
      <c r="G1677">
        <v>84052</v>
      </c>
    </row>
    <row r="1678" spans="1:7">
      <c r="A1678" t="s">
        <v>1876</v>
      </c>
      <c r="B1678" t="s">
        <v>352</v>
      </c>
      <c r="C1678" t="s">
        <v>1909</v>
      </c>
      <c r="D1678">
        <v>4789</v>
      </c>
      <c r="E1678">
        <v>4862</v>
      </c>
      <c r="F1678">
        <v>5318</v>
      </c>
      <c r="G1678">
        <v>4684</v>
      </c>
    </row>
    <row r="1679" spans="1:7">
      <c r="A1679" t="s">
        <v>1876</v>
      </c>
      <c r="B1679" t="s">
        <v>352</v>
      </c>
      <c r="C1679" t="s">
        <v>1910</v>
      </c>
      <c r="D1679">
        <v>379</v>
      </c>
      <c r="E1679">
        <v>383</v>
      </c>
      <c r="F1679">
        <v>2922</v>
      </c>
      <c r="G1679">
        <v>553</v>
      </c>
    </row>
    <row r="1680" spans="1:7">
      <c r="A1680" t="s">
        <v>1876</v>
      </c>
      <c r="B1680" t="s">
        <v>352</v>
      </c>
      <c r="C1680" t="s">
        <v>1911</v>
      </c>
      <c r="D1680">
        <v>26438</v>
      </c>
      <c r="E1680">
        <v>26726</v>
      </c>
      <c r="F1680">
        <v>26085</v>
      </c>
      <c r="G1680">
        <v>25313</v>
      </c>
    </row>
    <row r="1681" spans="1:7">
      <c r="A1681" t="s">
        <v>1876</v>
      </c>
      <c r="B1681" t="s">
        <v>352</v>
      </c>
      <c r="C1681" t="s">
        <v>1912</v>
      </c>
      <c r="D1681">
        <v>131</v>
      </c>
      <c r="E1681">
        <v>135</v>
      </c>
      <c r="F1681">
        <v>148</v>
      </c>
      <c r="G1681">
        <v>127</v>
      </c>
    </row>
    <row r="1682" spans="1:7">
      <c r="A1682" t="s">
        <v>1876</v>
      </c>
      <c r="B1682" t="s">
        <v>352</v>
      </c>
      <c r="C1682" t="s">
        <v>168</v>
      </c>
      <c r="D1682">
        <v>125934</v>
      </c>
      <c r="E1682">
        <v>124035</v>
      </c>
      <c r="F1682">
        <v>124098</v>
      </c>
      <c r="G1682">
        <v>114730</v>
      </c>
    </row>
    <row r="1683" spans="1:7">
      <c r="A1683" t="s">
        <v>1876</v>
      </c>
      <c r="B1683" t="s">
        <v>352</v>
      </c>
      <c r="C1683" t="s">
        <v>169</v>
      </c>
      <c r="D1683">
        <v>0</v>
      </c>
      <c r="E1683">
        <v>0</v>
      </c>
      <c r="F1683">
        <v>0</v>
      </c>
      <c r="G1683">
        <v>0</v>
      </c>
    </row>
    <row r="1684" spans="1:7">
      <c r="A1684" t="s">
        <v>1876</v>
      </c>
      <c r="B1684" t="s">
        <v>352</v>
      </c>
      <c r="C1684" t="s">
        <v>1704</v>
      </c>
      <c r="D1684">
        <v>18296</v>
      </c>
      <c r="E1684">
        <v>18092</v>
      </c>
      <c r="F1684">
        <v>19541</v>
      </c>
      <c r="G1684">
        <v>19817</v>
      </c>
    </row>
    <row r="1685" spans="1:7">
      <c r="A1685" t="s">
        <v>1876</v>
      </c>
      <c r="B1685" t="s">
        <v>352</v>
      </c>
      <c r="C1685" t="s">
        <v>170</v>
      </c>
      <c r="D1685">
        <v>0</v>
      </c>
      <c r="E1685">
        <v>0</v>
      </c>
      <c r="F1685">
        <v>0</v>
      </c>
      <c r="G1685">
        <v>0</v>
      </c>
    </row>
    <row r="1686" spans="1:7">
      <c r="A1686" t="s">
        <v>1876</v>
      </c>
      <c r="B1686" t="s">
        <v>352</v>
      </c>
      <c r="C1686" t="s">
        <v>171</v>
      </c>
      <c r="D1686">
        <v>22305</v>
      </c>
      <c r="E1686">
        <v>16044</v>
      </c>
      <c r="F1686">
        <v>8754</v>
      </c>
      <c r="G1686">
        <v>11749</v>
      </c>
    </row>
    <row r="1687" spans="1:7">
      <c r="A1687" t="s">
        <v>1876</v>
      </c>
      <c r="B1687" t="s">
        <v>352</v>
      </c>
      <c r="C1687" t="s">
        <v>172</v>
      </c>
      <c r="D1687">
        <v>0</v>
      </c>
      <c r="E1687">
        <v>0</v>
      </c>
      <c r="F1687">
        <v>0</v>
      </c>
      <c r="G1687">
        <v>0</v>
      </c>
    </row>
    <row r="1688" spans="1:7">
      <c r="A1688" t="s">
        <v>1876</v>
      </c>
      <c r="B1688" t="s">
        <v>352</v>
      </c>
      <c r="C1688" t="s">
        <v>1913</v>
      </c>
      <c r="D1688">
        <v>51.4</v>
      </c>
      <c r="E1688">
        <v>72.400000000000006</v>
      </c>
      <c r="F1688">
        <v>119.3</v>
      </c>
      <c r="G1688">
        <v>169.6</v>
      </c>
    </row>
    <row r="1689" spans="1:7">
      <c r="A1689" t="s">
        <v>1876</v>
      </c>
      <c r="B1689" t="s">
        <v>352</v>
      </c>
      <c r="C1689" t="s">
        <v>1914</v>
      </c>
      <c r="D1689">
        <v>1</v>
      </c>
      <c r="E1689">
        <v>1.4</v>
      </c>
      <c r="F1689">
        <v>2.4</v>
      </c>
      <c r="G1689">
        <v>3.3</v>
      </c>
    </row>
    <row r="1690" spans="1:7">
      <c r="A1690" t="s">
        <v>1876</v>
      </c>
      <c r="B1690" t="s">
        <v>352</v>
      </c>
      <c r="C1690" t="s">
        <v>173</v>
      </c>
      <c r="D1690">
        <v>17982</v>
      </c>
      <c r="E1690">
        <v>18705</v>
      </c>
      <c r="F1690">
        <v>17101</v>
      </c>
      <c r="G1690">
        <v>17593</v>
      </c>
    </row>
    <row r="1691" spans="1:7">
      <c r="A1691" t="s">
        <v>1876</v>
      </c>
      <c r="B1691" t="s">
        <v>352</v>
      </c>
      <c r="C1691" t="s">
        <v>174</v>
      </c>
      <c r="D1691">
        <v>530</v>
      </c>
      <c r="E1691">
        <v>509</v>
      </c>
      <c r="F1691">
        <v>505</v>
      </c>
      <c r="G1691">
        <v>574</v>
      </c>
    </row>
    <row r="1692" spans="1:7">
      <c r="A1692" t="s">
        <v>1876</v>
      </c>
      <c r="B1692" t="s">
        <v>352</v>
      </c>
      <c r="C1692" t="s">
        <v>175</v>
      </c>
      <c r="D1692">
        <v>422</v>
      </c>
      <c r="E1692">
        <v>420</v>
      </c>
      <c r="F1692">
        <v>408</v>
      </c>
      <c r="G1692">
        <v>324</v>
      </c>
    </row>
    <row r="1693" spans="1:7">
      <c r="A1693" t="s">
        <v>1876</v>
      </c>
      <c r="B1693" t="s">
        <v>352</v>
      </c>
      <c r="C1693" t="s">
        <v>176</v>
      </c>
      <c r="D1693">
        <v>7440</v>
      </c>
      <c r="E1693">
        <v>7971</v>
      </c>
      <c r="F1693">
        <v>7619</v>
      </c>
      <c r="G1693">
        <v>7816</v>
      </c>
    </row>
    <row r="1694" spans="1:7">
      <c r="A1694" t="s">
        <v>1876</v>
      </c>
      <c r="B1694" t="s">
        <v>352</v>
      </c>
      <c r="C1694" t="s">
        <v>177</v>
      </c>
      <c r="D1694">
        <v>18934</v>
      </c>
      <c r="E1694">
        <v>19635</v>
      </c>
      <c r="F1694">
        <v>18015</v>
      </c>
      <c r="G1694">
        <v>18491</v>
      </c>
    </row>
    <row r="1695" spans="1:7">
      <c r="A1695" t="s">
        <v>1876</v>
      </c>
      <c r="B1695" t="s">
        <v>352</v>
      </c>
      <c r="C1695" t="s">
        <v>178</v>
      </c>
      <c r="D1695">
        <v>0</v>
      </c>
      <c r="E1695">
        <v>0</v>
      </c>
      <c r="F1695">
        <v>0</v>
      </c>
      <c r="G1695">
        <v>0</v>
      </c>
    </row>
    <row r="1696" spans="1:7">
      <c r="A1696" t="s">
        <v>1876</v>
      </c>
      <c r="B1696" t="s">
        <v>352</v>
      </c>
      <c r="C1696" t="s">
        <v>179</v>
      </c>
      <c r="D1696">
        <v>0</v>
      </c>
      <c r="E1696">
        <v>0</v>
      </c>
      <c r="F1696">
        <v>0</v>
      </c>
      <c r="G1696">
        <v>0</v>
      </c>
    </row>
    <row r="1697" spans="1:7">
      <c r="A1697" t="s">
        <v>1876</v>
      </c>
      <c r="B1697" t="s">
        <v>352</v>
      </c>
      <c r="C1697" t="s">
        <v>180</v>
      </c>
      <c r="D1697">
        <v>302</v>
      </c>
      <c r="E1697">
        <v>312</v>
      </c>
      <c r="F1697">
        <v>307</v>
      </c>
      <c r="G1697">
        <v>292</v>
      </c>
    </row>
    <row r="1698" spans="1:7">
      <c r="A1698" t="s">
        <v>1876</v>
      </c>
      <c r="B1698" t="s">
        <v>352</v>
      </c>
      <c r="C1698" t="s">
        <v>181</v>
      </c>
      <c r="D1698">
        <v>70234</v>
      </c>
      <c r="E1698">
        <v>71855</v>
      </c>
      <c r="F1698">
        <v>70621</v>
      </c>
      <c r="G1698">
        <v>72238</v>
      </c>
    </row>
    <row r="1699" spans="1:7">
      <c r="A1699" t="s">
        <v>1876</v>
      </c>
      <c r="B1699" t="s">
        <v>352</v>
      </c>
      <c r="C1699" t="s">
        <v>182</v>
      </c>
      <c r="D1699">
        <v>51361</v>
      </c>
      <c r="E1699">
        <v>51243</v>
      </c>
      <c r="F1699">
        <v>50425</v>
      </c>
      <c r="G1699">
        <v>50811</v>
      </c>
    </row>
    <row r="1700" spans="1:7">
      <c r="A1700" t="s">
        <v>1876</v>
      </c>
      <c r="B1700" t="s">
        <v>352</v>
      </c>
      <c r="C1700" t="s">
        <v>183</v>
      </c>
      <c r="D1700">
        <v>70373</v>
      </c>
      <c r="E1700">
        <v>70267</v>
      </c>
      <c r="F1700">
        <v>68238</v>
      </c>
      <c r="G1700">
        <v>70607</v>
      </c>
    </row>
    <row r="1701" spans="1:7">
      <c r="A1701" t="s">
        <v>1876</v>
      </c>
      <c r="B1701" t="s">
        <v>352</v>
      </c>
      <c r="C1701" t="s">
        <v>184</v>
      </c>
      <c r="D1701">
        <v>192270</v>
      </c>
      <c r="E1701">
        <v>193675</v>
      </c>
      <c r="F1701">
        <v>189591</v>
      </c>
      <c r="G1701">
        <v>193948</v>
      </c>
    </row>
    <row r="1702" spans="1:7">
      <c r="A1702" t="s">
        <v>1876</v>
      </c>
      <c r="B1702" t="s">
        <v>352</v>
      </c>
      <c r="C1702" t="s">
        <v>185</v>
      </c>
      <c r="D1702">
        <v>192270</v>
      </c>
      <c r="E1702">
        <v>193675</v>
      </c>
      <c r="F1702">
        <v>189591</v>
      </c>
      <c r="G1702">
        <v>193948</v>
      </c>
    </row>
    <row r="1703" spans="1:7">
      <c r="A1703" t="s">
        <v>1876</v>
      </c>
      <c r="B1703" t="s">
        <v>352</v>
      </c>
      <c r="C1703" t="s">
        <v>1915</v>
      </c>
      <c r="D1703">
        <v>89</v>
      </c>
      <c r="E1703">
        <v>141</v>
      </c>
      <c r="F1703">
        <v>375</v>
      </c>
      <c r="G1703">
        <v>542</v>
      </c>
    </row>
    <row r="1704" spans="1:7">
      <c r="A1704" t="s">
        <v>1876</v>
      </c>
      <c r="B1704" t="s">
        <v>352</v>
      </c>
      <c r="C1704" t="s">
        <v>1916</v>
      </c>
      <c r="D1704">
        <v>0</v>
      </c>
      <c r="E1704">
        <v>0</v>
      </c>
      <c r="F1704">
        <v>0</v>
      </c>
      <c r="G1704">
        <v>0</v>
      </c>
    </row>
    <row r="1705" spans="1:7">
      <c r="A1705" t="s">
        <v>1876</v>
      </c>
      <c r="B1705" t="s">
        <v>352</v>
      </c>
      <c r="C1705" t="s">
        <v>1917</v>
      </c>
      <c r="D1705">
        <v>92</v>
      </c>
      <c r="E1705">
        <v>92</v>
      </c>
      <c r="F1705">
        <v>92</v>
      </c>
      <c r="G1705">
        <v>81</v>
      </c>
    </row>
    <row r="1706" spans="1:7">
      <c r="A1706" t="s">
        <v>1876</v>
      </c>
      <c r="B1706" t="s">
        <v>352</v>
      </c>
      <c r="C1706" t="s">
        <v>1918</v>
      </c>
      <c r="D1706">
        <v>4247</v>
      </c>
      <c r="E1706">
        <v>4887</v>
      </c>
      <c r="F1706">
        <v>5111</v>
      </c>
      <c r="G1706">
        <v>5482</v>
      </c>
    </row>
    <row r="1707" spans="1:7">
      <c r="A1707" t="s">
        <v>1876</v>
      </c>
      <c r="B1707" t="s">
        <v>352</v>
      </c>
      <c r="C1707" t="s">
        <v>1919</v>
      </c>
      <c r="D1707">
        <v>2.91</v>
      </c>
      <c r="E1707">
        <v>2.84</v>
      </c>
      <c r="F1707">
        <v>2.62</v>
      </c>
      <c r="G1707">
        <v>2.57</v>
      </c>
    </row>
    <row r="1708" spans="1:7">
      <c r="A1708" t="s">
        <v>1876</v>
      </c>
      <c r="B1708" t="s">
        <v>352</v>
      </c>
      <c r="C1708" t="s">
        <v>1920</v>
      </c>
      <c r="D1708">
        <v>4996</v>
      </c>
      <c r="E1708">
        <v>5775</v>
      </c>
      <c r="F1708">
        <v>6250</v>
      </c>
      <c r="G1708">
        <v>6785</v>
      </c>
    </row>
    <row r="1709" spans="1:7">
      <c r="A1709" t="s">
        <v>1876</v>
      </c>
      <c r="B1709" t="s">
        <v>352</v>
      </c>
      <c r="C1709" t="s">
        <v>1921</v>
      </c>
      <c r="D1709">
        <v>1638</v>
      </c>
      <c r="E1709">
        <v>1961</v>
      </c>
      <c r="F1709">
        <v>2297</v>
      </c>
      <c r="G1709">
        <v>2542</v>
      </c>
    </row>
    <row r="1710" spans="1:7">
      <c r="A1710" t="s">
        <v>1876</v>
      </c>
      <c r="B1710" t="s">
        <v>352</v>
      </c>
      <c r="C1710" t="s">
        <v>1922</v>
      </c>
      <c r="D1710">
        <v>657</v>
      </c>
      <c r="E1710">
        <v>796</v>
      </c>
      <c r="F1710">
        <v>1047</v>
      </c>
      <c r="G1710">
        <v>1222</v>
      </c>
    </row>
    <row r="1711" spans="1:7">
      <c r="A1711" t="s">
        <v>1876</v>
      </c>
      <c r="B1711" t="s">
        <v>352</v>
      </c>
      <c r="C1711" t="s">
        <v>1923</v>
      </c>
      <c r="D1711">
        <v>3.01</v>
      </c>
      <c r="E1711">
        <v>2.84</v>
      </c>
      <c r="F1711">
        <v>2.74</v>
      </c>
      <c r="G1711">
        <v>2.76</v>
      </c>
    </row>
    <row r="1712" spans="1:7">
      <c r="A1712" t="s">
        <v>1876</v>
      </c>
      <c r="B1712" t="s">
        <v>352</v>
      </c>
      <c r="C1712" t="s">
        <v>1924</v>
      </c>
      <c r="D1712">
        <v>69</v>
      </c>
      <c r="E1712">
        <v>17</v>
      </c>
      <c r="F1712">
        <v>17</v>
      </c>
      <c r="G1712">
        <v>15</v>
      </c>
    </row>
    <row r="1713" spans="1:7">
      <c r="A1713" t="s">
        <v>1876</v>
      </c>
      <c r="B1713" t="s">
        <v>352</v>
      </c>
      <c r="C1713" t="s">
        <v>1925</v>
      </c>
      <c r="D1713">
        <v>221</v>
      </c>
      <c r="E1713">
        <v>240</v>
      </c>
      <c r="F1713">
        <v>235</v>
      </c>
      <c r="G1713">
        <v>236</v>
      </c>
    </row>
    <row r="1714" spans="1:7">
      <c r="A1714" t="s">
        <v>1876</v>
      </c>
      <c r="B1714" t="s">
        <v>352</v>
      </c>
      <c r="C1714" t="s">
        <v>1926</v>
      </c>
      <c r="D1714">
        <v>1348</v>
      </c>
      <c r="E1714">
        <v>1704</v>
      </c>
      <c r="F1714">
        <v>2045</v>
      </c>
      <c r="G1714">
        <v>2291</v>
      </c>
    </row>
    <row r="1715" spans="1:7">
      <c r="A1715" t="s">
        <v>1876</v>
      </c>
      <c r="B1715" t="s">
        <v>352</v>
      </c>
      <c r="C1715" t="s">
        <v>1927</v>
      </c>
      <c r="D1715">
        <v>31</v>
      </c>
      <c r="E1715">
        <v>30</v>
      </c>
      <c r="F1715">
        <v>23</v>
      </c>
      <c r="G1715">
        <v>18</v>
      </c>
    </row>
    <row r="1716" spans="1:7">
      <c r="A1716" t="s">
        <v>1876</v>
      </c>
      <c r="B1716" t="s">
        <v>352</v>
      </c>
      <c r="C1716" t="s">
        <v>1928</v>
      </c>
      <c r="D1716">
        <v>1518</v>
      </c>
      <c r="E1716">
        <v>1835</v>
      </c>
      <c r="F1716">
        <v>2170</v>
      </c>
      <c r="G1716">
        <v>2392</v>
      </c>
    </row>
    <row r="1717" spans="1:7">
      <c r="A1717" t="s">
        <v>1876</v>
      </c>
      <c r="B1717" t="s">
        <v>352</v>
      </c>
      <c r="C1717" t="s">
        <v>1929</v>
      </c>
      <c r="D1717">
        <v>89</v>
      </c>
      <c r="E1717">
        <v>96</v>
      </c>
      <c r="F1717">
        <v>104</v>
      </c>
      <c r="G1717">
        <v>132</v>
      </c>
    </row>
    <row r="1718" spans="1:7">
      <c r="A1718" t="s">
        <v>1876</v>
      </c>
      <c r="B1718" t="s">
        <v>352</v>
      </c>
      <c r="C1718" t="s">
        <v>186</v>
      </c>
      <c r="D1718">
        <v>0</v>
      </c>
      <c r="E1718">
        <v>0</v>
      </c>
      <c r="F1718">
        <v>0</v>
      </c>
      <c r="G1718">
        <v>0</v>
      </c>
    </row>
    <row r="1719" spans="1:7">
      <c r="A1719" t="s">
        <v>1876</v>
      </c>
      <c r="B1719" t="s">
        <v>352</v>
      </c>
      <c r="C1719" t="s">
        <v>187</v>
      </c>
      <c r="D1719">
        <v>0</v>
      </c>
      <c r="E1719">
        <v>0</v>
      </c>
      <c r="F1719">
        <v>0</v>
      </c>
      <c r="G1719">
        <v>0</v>
      </c>
    </row>
    <row r="1720" spans="1:7">
      <c r="A1720" t="s">
        <v>1876</v>
      </c>
      <c r="B1720" t="s">
        <v>352</v>
      </c>
      <c r="C1720" t="s">
        <v>1705</v>
      </c>
      <c r="D1720">
        <v>10925</v>
      </c>
      <c r="E1720">
        <v>10335</v>
      </c>
      <c r="F1720">
        <v>10472</v>
      </c>
      <c r="G1720">
        <v>10460</v>
      </c>
    </row>
    <row r="1721" spans="1:7">
      <c r="A1721" t="s">
        <v>1876</v>
      </c>
      <c r="B1721" t="s">
        <v>352</v>
      </c>
      <c r="C1721" t="s">
        <v>188</v>
      </c>
      <c r="D1721">
        <v>1260367</v>
      </c>
      <c r="E1721">
        <v>1296743</v>
      </c>
      <c r="F1721">
        <v>1246835</v>
      </c>
      <c r="G1721">
        <v>1208599</v>
      </c>
    </row>
    <row r="1722" spans="1:7">
      <c r="A1722" t="s">
        <v>1876</v>
      </c>
      <c r="B1722" t="s">
        <v>352</v>
      </c>
      <c r="C1722" t="s">
        <v>189</v>
      </c>
      <c r="D1722">
        <v>0</v>
      </c>
      <c r="E1722">
        <v>0</v>
      </c>
      <c r="F1722">
        <v>0</v>
      </c>
      <c r="G1722">
        <v>0</v>
      </c>
    </row>
    <row r="1723" spans="1:7">
      <c r="A1723" t="s">
        <v>1876</v>
      </c>
      <c r="B1723" t="s">
        <v>352</v>
      </c>
      <c r="C1723" t="s">
        <v>190</v>
      </c>
      <c r="D1723">
        <v>0</v>
      </c>
      <c r="E1723">
        <v>0</v>
      </c>
      <c r="F1723">
        <v>0</v>
      </c>
      <c r="G1723">
        <v>0</v>
      </c>
    </row>
    <row r="1724" spans="1:7">
      <c r="A1724" t="s">
        <v>1876</v>
      </c>
      <c r="B1724" t="s">
        <v>352</v>
      </c>
      <c r="C1724" t="s">
        <v>191</v>
      </c>
      <c r="D1724">
        <v>0</v>
      </c>
      <c r="E1724">
        <v>0</v>
      </c>
      <c r="F1724">
        <v>0</v>
      </c>
      <c r="G1724">
        <v>0</v>
      </c>
    </row>
    <row r="1725" spans="1:7">
      <c r="A1725" t="s">
        <v>1876</v>
      </c>
      <c r="B1725" t="s">
        <v>352</v>
      </c>
      <c r="C1725" t="s">
        <v>192</v>
      </c>
      <c r="D1725">
        <v>445781.3</v>
      </c>
      <c r="E1725">
        <v>499197.4</v>
      </c>
      <c r="F1725">
        <v>533268.6</v>
      </c>
      <c r="G1725">
        <v>557633</v>
      </c>
    </row>
    <row r="1726" spans="1:7">
      <c r="A1726" t="s">
        <v>1876</v>
      </c>
      <c r="B1726" t="s">
        <v>352</v>
      </c>
      <c r="C1726" t="s">
        <v>193</v>
      </c>
      <c r="D1726">
        <v>406309.2</v>
      </c>
      <c r="E1726">
        <v>422576.1</v>
      </c>
      <c r="F1726">
        <v>440225.2</v>
      </c>
      <c r="G1726">
        <v>448838.5</v>
      </c>
    </row>
    <row r="1727" spans="1:7">
      <c r="A1727" t="s">
        <v>1876</v>
      </c>
      <c r="B1727" t="s">
        <v>352</v>
      </c>
      <c r="C1727" t="s">
        <v>1930</v>
      </c>
      <c r="D1727">
        <v>0</v>
      </c>
      <c r="E1727">
        <v>0</v>
      </c>
      <c r="F1727">
        <v>0</v>
      </c>
      <c r="G1727">
        <v>0</v>
      </c>
    </row>
    <row r="1728" spans="1:7">
      <c r="A1728" t="s">
        <v>1876</v>
      </c>
      <c r="B1728" t="s">
        <v>352</v>
      </c>
      <c r="C1728" t="s">
        <v>194</v>
      </c>
      <c r="D1728">
        <v>221</v>
      </c>
      <c r="E1728">
        <v>221</v>
      </c>
      <c r="F1728">
        <v>221</v>
      </c>
      <c r="G1728">
        <v>221</v>
      </c>
    </row>
    <row r="1729" spans="1:7">
      <c r="A1729" t="s">
        <v>1876</v>
      </c>
      <c r="B1729" t="s">
        <v>352</v>
      </c>
      <c r="C1729" t="s">
        <v>195</v>
      </c>
      <c r="D1729">
        <v>0</v>
      </c>
      <c r="E1729">
        <v>0</v>
      </c>
      <c r="F1729">
        <v>0</v>
      </c>
      <c r="G1729">
        <v>0</v>
      </c>
    </row>
    <row r="1730" spans="1:7">
      <c r="A1730" t="s">
        <v>1876</v>
      </c>
      <c r="B1730" t="s">
        <v>352</v>
      </c>
      <c r="C1730" t="s">
        <v>1706</v>
      </c>
      <c r="D1730">
        <v>0</v>
      </c>
      <c r="E1730">
        <v>0</v>
      </c>
      <c r="F1730">
        <v>0</v>
      </c>
      <c r="G1730">
        <v>0</v>
      </c>
    </row>
    <row r="1731" spans="1:7">
      <c r="A1731" t="s">
        <v>1876</v>
      </c>
      <c r="B1731" t="s">
        <v>352</v>
      </c>
      <c r="C1731" t="s">
        <v>196</v>
      </c>
      <c r="D1731">
        <v>266</v>
      </c>
      <c r="E1731">
        <v>266</v>
      </c>
      <c r="F1731">
        <v>266</v>
      </c>
      <c r="G1731">
        <v>266</v>
      </c>
    </row>
    <row r="1732" spans="1:7">
      <c r="A1732" t="s">
        <v>1876</v>
      </c>
      <c r="B1732" t="s">
        <v>352</v>
      </c>
      <c r="C1732" t="s">
        <v>197</v>
      </c>
      <c r="D1732">
        <v>271</v>
      </c>
      <c r="E1732">
        <v>271</v>
      </c>
      <c r="F1732">
        <v>271</v>
      </c>
      <c r="G1732">
        <v>271</v>
      </c>
    </row>
    <row r="1733" spans="1:7">
      <c r="A1733" t="s">
        <v>1876</v>
      </c>
      <c r="B1733" t="s">
        <v>352</v>
      </c>
      <c r="C1733" t="s">
        <v>198</v>
      </c>
      <c r="D1733">
        <v>759</v>
      </c>
      <c r="E1733">
        <v>759</v>
      </c>
      <c r="F1733">
        <v>759</v>
      </c>
      <c r="G1733">
        <v>759</v>
      </c>
    </row>
    <row r="1734" spans="1:7">
      <c r="A1734" t="s">
        <v>1876</v>
      </c>
      <c r="B1734" t="s">
        <v>352</v>
      </c>
      <c r="C1734" t="s">
        <v>199</v>
      </c>
      <c r="D1734">
        <v>759</v>
      </c>
      <c r="E1734">
        <v>759</v>
      </c>
      <c r="F1734">
        <v>759</v>
      </c>
      <c r="G1734">
        <v>759</v>
      </c>
    </row>
    <row r="1735" spans="1:7">
      <c r="A1735" t="s">
        <v>1876</v>
      </c>
      <c r="B1735" t="s">
        <v>352</v>
      </c>
      <c r="C1735" t="s">
        <v>200</v>
      </c>
      <c r="D1735">
        <v>229</v>
      </c>
      <c r="E1735">
        <v>259</v>
      </c>
      <c r="F1735">
        <v>221</v>
      </c>
      <c r="G1735">
        <v>157</v>
      </c>
    </row>
    <row r="1736" spans="1:7">
      <c r="A1736" t="s">
        <v>1876</v>
      </c>
      <c r="B1736" t="s">
        <v>352</v>
      </c>
      <c r="C1736" t="s">
        <v>201</v>
      </c>
      <c r="D1736">
        <v>3535</v>
      </c>
      <c r="E1736">
        <v>4511</v>
      </c>
      <c r="F1736">
        <v>3810</v>
      </c>
      <c r="G1736">
        <v>3242</v>
      </c>
    </row>
    <row r="1737" spans="1:7">
      <c r="A1737" t="s">
        <v>1876</v>
      </c>
      <c r="B1737" t="s">
        <v>352</v>
      </c>
      <c r="C1737" t="s">
        <v>202</v>
      </c>
      <c r="D1737">
        <v>2316</v>
      </c>
      <c r="E1737">
        <v>2991</v>
      </c>
      <c r="F1737">
        <v>1827</v>
      </c>
      <c r="G1737">
        <v>1431</v>
      </c>
    </row>
    <row r="1738" spans="1:7">
      <c r="A1738" t="s">
        <v>1876</v>
      </c>
      <c r="B1738" t="s">
        <v>352</v>
      </c>
      <c r="C1738" t="s">
        <v>203</v>
      </c>
      <c r="D1738">
        <v>11804</v>
      </c>
      <c r="E1738">
        <v>12025</v>
      </c>
      <c r="F1738">
        <v>11443</v>
      </c>
      <c r="G1738">
        <v>12142</v>
      </c>
    </row>
    <row r="1739" spans="1:7">
      <c r="A1739" t="s">
        <v>1876</v>
      </c>
      <c r="B1739" t="s">
        <v>352</v>
      </c>
      <c r="C1739" t="s">
        <v>204</v>
      </c>
      <c r="D1739">
        <v>17884</v>
      </c>
      <c r="E1739">
        <v>19786</v>
      </c>
      <c r="F1739">
        <v>17301</v>
      </c>
      <c r="G1739">
        <v>16972</v>
      </c>
    </row>
    <row r="1740" spans="1:7">
      <c r="A1740" t="s">
        <v>1876</v>
      </c>
      <c r="B1740" t="s">
        <v>352</v>
      </c>
      <c r="C1740" t="s">
        <v>205</v>
      </c>
      <c r="D1740">
        <v>17884</v>
      </c>
      <c r="E1740">
        <v>19786</v>
      </c>
      <c r="F1740">
        <v>17301</v>
      </c>
      <c r="G1740">
        <v>16972</v>
      </c>
    </row>
    <row r="1741" spans="1:7">
      <c r="A1741" t="s">
        <v>1876</v>
      </c>
      <c r="B1741" t="s">
        <v>352</v>
      </c>
      <c r="C1741" t="s">
        <v>1931</v>
      </c>
      <c r="D1741">
        <v>4.2</v>
      </c>
      <c r="E1741">
        <v>6.9</v>
      </c>
      <c r="F1741">
        <v>4.4000000000000004</v>
      </c>
      <c r="G1741">
        <v>3.4</v>
      </c>
    </row>
    <row r="1742" spans="1:7">
      <c r="A1742" t="s">
        <v>1876</v>
      </c>
      <c r="B1742" t="s">
        <v>352</v>
      </c>
      <c r="C1742" t="s">
        <v>1707</v>
      </c>
      <c r="D1742">
        <v>581</v>
      </c>
      <c r="E1742">
        <v>581</v>
      </c>
      <c r="F1742">
        <v>590</v>
      </c>
      <c r="G1742">
        <v>579</v>
      </c>
    </row>
    <row r="1743" spans="1:7">
      <c r="A1743" t="s">
        <v>1876</v>
      </c>
      <c r="B1743" t="s">
        <v>352</v>
      </c>
      <c r="C1743" t="s">
        <v>1932</v>
      </c>
      <c r="D1743">
        <v>26.4</v>
      </c>
      <c r="E1743">
        <v>22.3</v>
      </c>
      <c r="F1743">
        <v>26.5</v>
      </c>
      <c r="G1743">
        <v>27.3</v>
      </c>
    </row>
    <row r="1744" spans="1:7">
      <c r="A1744" t="s">
        <v>1876</v>
      </c>
      <c r="B1744" t="s">
        <v>352</v>
      </c>
      <c r="C1744" t="s">
        <v>1708</v>
      </c>
      <c r="D1744">
        <v>691</v>
      </c>
      <c r="E1744">
        <v>690</v>
      </c>
      <c r="F1744">
        <v>690</v>
      </c>
      <c r="G1744">
        <v>693</v>
      </c>
    </row>
    <row r="1745" spans="1:7">
      <c r="A1745" t="s">
        <v>1876</v>
      </c>
      <c r="B1745" t="s">
        <v>352</v>
      </c>
      <c r="C1745" t="s">
        <v>206</v>
      </c>
      <c r="D1745">
        <v>48</v>
      </c>
      <c r="E1745">
        <v>53</v>
      </c>
      <c r="F1745">
        <v>46</v>
      </c>
      <c r="G1745">
        <v>49</v>
      </c>
    </row>
    <row r="1746" spans="1:7">
      <c r="A1746" t="s">
        <v>1876</v>
      </c>
      <c r="B1746" t="s">
        <v>352</v>
      </c>
      <c r="C1746" t="s">
        <v>207</v>
      </c>
      <c r="D1746">
        <v>5406</v>
      </c>
      <c r="E1746">
        <v>4535</v>
      </c>
      <c r="F1746">
        <v>5401</v>
      </c>
      <c r="G1746">
        <v>5616</v>
      </c>
    </row>
    <row r="1747" spans="1:7">
      <c r="A1747" t="s">
        <v>1876</v>
      </c>
      <c r="B1747" t="s">
        <v>352</v>
      </c>
      <c r="C1747" t="s">
        <v>208</v>
      </c>
      <c r="D1747">
        <v>0</v>
      </c>
      <c r="E1747">
        <v>0</v>
      </c>
      <c r="F1747">
        <v>0</v>
      </c>
      <c r="G1747">
        <v>0</v>
      </c>
    </row>
    <row r="1748" spans="1:7">
      <c r="A1748" t="s">
        <v>1876</v>
      </c>
      <c r="B1748" t="s">
        <v>352</v>
      </c>
      <c r="C1748" t="s">
        <v>209</v>
      </c>
      <c r="D1748">
        <v>5453</v>
      </c>
      <c r="E1748">
        <v>4588</v>
      </c>
      <c r="F1748">
        <v>5447</v>
      </c>
      <c r="G1748">
        <v>5665</v>
      </c>
    </row>
    <row r="1749" spans="1:7">
      <c r="A1749" t="s">
        <v>1876</v>
      </c>
      <c r="B1749" t="s">
        <v>352</v>
      </c>
      <c r="C1749" t="s">
        <v>210</v>
      </c>
      <c r="D1749">
        <v>48</v>
      </c>
      <c r="E1749">
        <v>53</v>
      </c>
      <c r="F1749">
        <v>46</v>
      </c>
      <c r="G1749">
        <v>49</v>
      </c>
    </row>
    <row r="1750" spans="1:7">
      <c r="A1750" t="s">
        <v>1876</v>
      </c>
      <c r="B1750" t="s">
        <v>352</v>
      </c>
      <c r="C1750" t="s">
        <v>211</v>
      </c>
      <c r="D1750">
        <v>0</v>
      </c>
      <c r="E1750">
        <v>0</v>
      </c>
      <c r="F1750">
        <v>0</v>
      </c>
      <c r="G1750">
        <v>0</v>
      </c>
    </row>
    <row r="1751" spans="1:7">
      <c r="A1751" t="s">
        <v>1876</v>
      </c>
      <c r="B1751" t="s">
        <v>352</v>
      </c>
      <c r="C1751" t="s">
        <v>212</v>
      </c>
      <c r="D1751">
        <v>0</v>
      </c>
      <c r="E1751">
        <v>0</v>
      </c>
      <c r="F1751">
        <v>0</v>
      </c>
      <c r="G1751">
        <v>0</v>
      </c>
    </row>
    <row r="1752" spans="1:7">
      <c r="A1752" t="s">
        <v>1876</v>
      </c>
      <c r="B1752" t="s">
        <v>352</v>
      </c>
      <c r="C1752" t="s">
        <v>213</v>
      </c>
      <c r="D1752">
        <v>0</v>
      </c>
      <c r="E1752">
        <v>0</v>
      </c>
      <c r="F1752">
        <v>0</v>
      </c>
      <c r="G1752">
        <v>0</v>
      </c>
    </row>
    <row r="1753" spans="1:7">
      <c r="A1753" t="s">
        <v>1876</v>
      </c>
      <c r="B1753" t="s">
        <v>352</v>
      </c>
      <c r="C1753" t="s">
        <v>214</v>
      </c>
      <c r="D1753">
        <v>0</v>
      </c>
      <c r="E1753">
        <v>0</v>
      </c>
      <c r="F1753">
        <v>0</v>
      </c>
      <c r="G1753">
        <v>0</v>
      </c>
    </row>
    <row r="1754" spans="1:7">
      <c r="A1754" t="s">
        <v>1876</v>
      </c>
      <c r="B1754" t="s">
        <v>352</v>
      </c>
      <c r="C1754" t="s">
        <v>215</v>
      </c>
      <c r="D1754">
        <v>65472</v>
      </c>
      <c r="E1754">
        <v>73977</v>
      </c>
      <c r="F1754">
        <v>77557</v>
      </c>
      <c r="G1754">
        <v>82532</v>
      </c>
    </row>
    <row r="1755" spans="1:7">
      <c r="A1755" t="s">
        <v>1876</v>
      </c>
      <c r="B1755" t="s">
        <v>352</v>
      </c>
      <c r="C1755" t="s">
        <v>216</v>
      </c>
      <c r="D1755">
        <v>65472</v>
      </c>
      <c r="E1755">
        <v>73977</v>
      </c>
      <c r="F1755">
        <v>77557</v>
      </c>
      <c r="G1755">
        <v>82532</v>
      </c>
    </row>
    <row r="1756" spans="1:7">
      <c r="A1756" t="s">
        <v>1876</v>
      </c>
      <c r="B1756" t="s">
        <v>352</v>
      </c>
      <c r="C1756" t="s">
        <v>217</v>
      </c>
      <c r="D1756">
        <v>65472</v>
      </c>
      <c r="E1756">
        <v>73977</v>
      </c>
      <c r="F1756">
        <v>77557</v>
      </c>
      <c r="G1756">
        <v>82532</v>
      </c>
    </row>
    <row r="1757" spans="1:7">
      <c r="A1757" t="s">
        <v>1876</v>
      </c>
      <c r="B1757" t="s">
        <v>352</v>
      </c>
      <c r="C1757" t="s">
        <v>218</v>
      </c>
      <c r="D1757">
        <v>5</v>
      </c>
      <c r="E1757">
        <v>5</v>
      </c>
      <c r="F1757">
        <v>9</v>
      </c>
      <c r="G1757">
        <v>6</v>
      </c>
    </row>
    <row r="1758" spans="1:7">
      <c r="A1758" t="s">
        <v>1876</v>
      </c>
      <c r="B1758" t="s">
        <v>352</v>
      </c>
      <c r="C1758" t="s">
        <v>219</v>
      </c>
      <c r="D1758">
        <v>2</v>
      </c>
      <c r="E1758">
        <v>2</v>
      </c>
      <c r="F1758">
        <v>7</v>
      </c>
      <c r="G1758">
        <v>4</v>
      </c>
    </row>
    <row r="1759" spans="1:7">
      <c r="A1759" t="s">
        <v>1876</v>
      </c>
      <c r="B1759" t="s">
        <v>352</v>
      </c>
      <c r="C1759" t="s">
        <v>220</v>
      </c>
      <c r="D1759">
        <v>6</v>
      </c>
      <c r="E1759">
        <v>5</v>
      </c>
      <c r="F1759">
        <v>10</v>
      </c>
      <c r="G1759">
        <v>7</v>
      </c>
    </row>
    <row r="1760" spans="1:7">
      <c r="A1760" t="s">
        <v>1876</v>
      </c>
      <c r="B1760" t="s">
        <v>352</v>
      </c>
      <c r="C1760" t="s">
        <v>221</v>
      </c>
      <c r="D1760">
        <v>13</v>
      </c>
      <c r="E1760">
        <v>11</v>
      </c>
      <c r="F1760">
        <v>26</v>
      </c>
      <c r="G1760">
        <v>17</v>
      </c>
    </row>
    <row r="1761" spans="1:7">
      <c r="A1761" t="s">
        <v>1876</v>
      </c>
      <c r="B1761" t="s">
        <v>352</v>
      </c>
      <c r="C1761" t="s">
        <v>222</v>
      </c>
      <c r="D1761">
        <v>13</v>
      </c>
      <c r="E1761">
        <v>11</v>
      </c>
      <c r="F1761">
        <v>26</v>
      </c>
      <c r="G1761">
        <v>17</v>
      </c>
    </row>
    <row r="1762" spans="1:7">
      <c r="A1762" t="s">
        <v>1876</v>
      </c>
      <c r="B1762" t="s">
        <v>352</v>
      </c>
      <c r="C1762" t="s">
        <v>1933</v>
      </c>
      <c r="D1762">
        <v>4938.6000000000004</v>
      </c>
      <c r="E1762">
        <v>5000.8</v>
      </c>
      <c r="F1762">
        <v>5017.8999999999996</v>
      </c>
      <c r="G1762">
        <v>5066</v>
      </c>
    </row>
    <row r="1763" spans="1:7">
      <c r="A1763" t="s">
        <v>1876</v>
      </c>
      <c r="B1763" t="s">
        <v>352</v>
      </c>
      <c r="C1763" t="s">
        <v>223</v>
      </c>
      <c r="D1763">
        <v>424</v>
      </c>
      <c r="E1763">
        <v>418</v>
      </c>
      <c r="F1763">
        <v>389</v>
      </c>
      <c r="G1763">
        <v>348</v>
      </c>
    </row>
    <row r="1764" spans="1:7">
      <c r="A1764" t="s">
        <v>1876</v>
      </c>
      <c r="B1764" t="s">
        <v>352</v>
      </c>
      <c r="C1764" t="s">
        <v>224</v>
      </c>
      <c r="D1764">
        <v>98583</v>
      </c>
      <c r="E1764">
        <v>96427</v>
      </c>
      <c r="F1764">
        <v>89482</v>
      </c>
      <c r="G1764">
        <v>86019</v>
      </c>
    </row>
    <row r="1765" spans="1:7">
      <c r="A1765" t="s">
        <v>1876</v>
      </c>
      <c r="B1765" t="s">
        <v>352</v>
      </c>
      <c r="C1765" t="s">
        <v>225</v>
      </c>
      <c r="D1765">
        <v>72092</v>
      </c>
      <c r="E1765">
        <v>68766</v>
      </c>
      <c r="F1765">
        <v>63893</v>
      </c>
      <c r="G1765">
        <v>60505</v>
      </c>
    </row>
    <row r="1766" spans="1:7">
      <c r="A1766" t="s">
        <v>1876</v>
      </c>
      <c r="B1766" t="s">
        <v>352</v>
      </c>
      <c r="C1766" t="s">
        <v>226</v>
      </c>
      <c r="D1766">
        <v>98777</v>
      </c>
      <c r="E1766">
        <v>94296</v>
      </c>
      <c r="F1766">
        <v>86462</v>
      </c>
      <c r="G1766">
        <v>84077</v>
      </c>
    </row>
    <row r="1767" spans="1:7">
      <c r="A1767" t="s">
        <v>1876</v>
      </c>
      <c r="B1767" t="s">
        <v>352</v>
      </c>
      <c r="C1767" t="s">
        <v>227</v>
      </c>
      <c r="D1767">
        <v>269876</v>
      </c>
      <c r="E1767">
        <v>259908</v>
      </c>
      <c r="F1767">
        <v>240225</v>
      </c>
      <c r="G1767">
        <v>230948</v>
      </c>
    </row>
    <row r="1768" spans="1:7">
      <c r="A1768" t="s">
        <v>1876</v>
      </c>
      <c r="B1768" t="s">
        <v>352</v>
      </c>
      <c r="C1768" t="s">
        <v>228</v>
      </c>
      <c r="D1768">
        <v>269876</v>
      </c>
      <c r="E1768">
        <v>259908</v>
      </c>
      <c r="F1768">
        <v>240225</v>
      </c>
      <c r="G1768">
        <v>230948</v>
      </c>
    </row>
    <row r="1769" spans="1:7">
      <c r="A1769" t="s">
        <v>1876</v>
      </c>
      <c r="B1769" t="s">
        <v>352</v>
      </c>
      <c r="C1769" t="s">
        <v>229</v>
      </c>
      <c r="D1769">
        <v>1883</v>
      </c>
      <c r="E1769">
        <v>2093</v>
      </c>
      <c r="F1769">
        <v>1447</v>
      </c>
      <c r="G1769">
        <v>1359</v>
      </c>
    </row>
    <row r="1770" spans="1:7">
      <c r="A1770" t="s">
        <v>1876</v>
      </c>
      <c r="B1770" t="s">
        <v>352</v>
      </c>
      <c r="C1770" t="s">
        <v>230</v>
      </c>
      <c r="D1770">
        <v>2282</v>
      </c>
      <c r="E1770">
        <v>2427</v>
      </c>
      <c r="F1770">
        <v>1964</v>
      </c>
      <c r="G1770">
        <v>1754</v>
      </c>
    </row>
    <row r="1771" spans="1:7">
      <c r="A1771" t="s">
        <v>1876</v>
      </c>
      <c r="B1771" t="s">
        <v>352</v>
      </c>
      <c r="C1771" t="s">
        <v>231</v>
      </c>
      <c r="D1771">
        <v>4164</v>
      </c>
      <c r="E1771">
        <v>4519</v>
      </c>
      <c r="F1771">
        <v>3410</v>
      </c>
      <c r="G1771">
        <v>3113</v>
      </c>
    </row>
    <row r="1772" spans="1:7">
      <c r="A1772" t="s">
        <v>1876</v>
      </c>
      <c r="B1772" t="s">
        <v>352</v>
      </c>
      <c r="C1772" t="s">
        <v>232</v>
      </c>
      <c r="D1772">
        <v>4164</v>
      </c>
      <c r="E1772">
        <v>4519</v>
      </c>
      <c r="F1772">
        <v>3410</v>
      </c>
      <c r="G1772">
        <v>3113</v>
      </c>
    </row>
    <row r="1773" spans="1:7">
      <c r="A1773" t="s">
        <v>1876</v>
      </c>
      <c r="B1773" t="s">
        <v>352</v>
      </c>
      <c r="C1773" t="s">
        <v>233</v>
      </c>
      <c r="D1773">
        <v>0</v>
      </c>
      <c r="E1773">
        <v>0</v>
      </c>
      <c r="F1773">
        <v>0</v>
      </c>
      <c r="G1773">
        <v>0</v>
      </c>
    </row>
    <row r="1774" spans="1:7">
      <c r="A1774" t="s">
        <v>1876</v>
      </c>
      <c r="B1774" t="s">
        <v>352</v>
      </c>
      <c r="C1774" t="s">
        <v>234</v>
      </c>
      <c r="D1774">
        <v>258990</v>
      </c>
      <c r="E1774">
        <v>288659</v>
      </c>
      <c r="F1774">
        <v>266583</v>
      </c>
      <c r="G1774">
        <v>265119</v>
      </c>
    </row>
    <row r="1775" spans="1:7">
      <c r="A1775" t="s">
        <v>1876</v>
      </c>
      <c r="B1775" t="s">
        <v>352</v>
      </c>
      <c r="C1775" t="s">
        <v>235</v>
      </c>
      <c r="D1775">
        <v>7637</v>
      </c>
      <c r="E1775">
        <v>7860</v>
      </c>
      <c r="F1775">
        <v>7880</v>
      </c>
      <c r="G1775">
        <v>8645</v>
      </c>
    </row>
    <row r="1776" spans="1:7">
      <c r="A1776" t="s">
        <v>1876</v>
      </c>
      <c r="B1776" t="s">
        <v>352</v>
      </c>
      <c r="C1776" t="s">
        <v>236</v>
      </c>
      <c r="D1776">
        <v>6082</v>
      </c>
      <c r="E1776">
        <v>6479</v>
      </c>
      <c r="F1776">
        <v>6366</v>
      </c>
      <c r="G1776">
        <v>4886</v>
      </c>
    </row>
    <row r="1777" spans="1:7">
      <c r="A1777" t="s">
        <v>1876</v>
      </c>
      <c r="B1777" t="s">
        <v>352</v>
      </c>
      <c r="C1777" t="s">
        <v>237</v>
      </c>
      <c r="D1777">
        <v>272709</v>
      </c>
      <c r="E1777">
        <v>302998</v>
      </c>
      <c r="F1777">
        <v>280829</v>
      </c>
      <c r="G1777">
        <v>278650</v>
      </c>
    </row>
    <row r="1778" spans="1:7">
      <c r="A1778" t="s">
        <v>1876</v>
      </c>
      <c r="B1778" t="s">
        <v>352</v>
      </c>
      <c r="C1778" t="s">
        <v>238</v>
      </c>
      <c r="D1778">
        <v>272709</v>
      </c>
      <c r="E1778">
        <v>302998</v>
      </c>
      <c r="F1778">
        <v>280829</v>
      </c>
      <c r="G1778">
        <v>278650</v>
      </c>
    </row>
    <row r="1779" spans="1:7">
      <c r="A1779" t="s">
        <v>1876</v>
      </c>
      <c r="B1779" t="s">
        <v>352</v>
      </c>
      <c r="C1779" t="s">
        <v>1934</v>
      </c>
      <c r="D1779">
        <v>241008</v>
      </c>
      <c r="E1779">
        <v>269954</v>
      </c>
      <c r="F1779">
        <v>249483</v>
      </c>
      <c r="G1779">
        <v>247526</v>
      </c>
    </row>
    <row r="1780" spans="1:7">
      <c r="A1780" t="s">
        <v>1876</v>
      </c>
      <c r="B1780" t="s">
        <v>352</v>
      </c>
      <c r="C1780" t="s">
        <v>1935</v>
      </c>
      <c r="D1780">
        <v>7107</v>
      </c>
      <c r="E1780">
        <v>7351</v>
      </c>
      <c r="F1780">
        <v>7374</v>
      </c>
      <c r="G1780">
        <v>8071</v>
      </c>
    </row>
    <row r="1781" spans="1:7">
      <c r="A1781" t="s">
        <v>1876</v>
      </c>
      <c r="B1781" t="s">
        <v>352</v>
      </c>
      <c r="C1781" t="s">
        <v>1936</v>
      </c>
      <c r="D1781">
        <v>5660</v>
      </c>
      <c r="E1781">
        <v>6059</v>
      </c>
      <c r="F1781">
        <v>5958</v>
      </c>
      <c r="G1781">
        <v>4562</v>
      </c>
    </row>
    <row r="1782" spans="1:7">
      <c r="A1782" t="s">
        <v>1876</v>
      </c>
      <c r="B1782" t="s">
        <v>352</v>
      </c>
      <c r="C1782" t="s">
        <v>239</v>
      </c>
      <c r="D1782">
        <v>253774</v>
      </c>
      <c r="E1782">
        <v>283364</v>
      </c>
      <c r="F1782">
        <v>262815</v>
      </c>
      <c r="G1782">
        <v>260159</v>
      </c>
    </row>
    <row r="1783" spans="1:7">
      <c r="A1783" t="s">
        <v>1876</v>
      </c>
      <c r="B1783" t="s">
        <v>352</v>
      </c>
      <c r="C1783" t="s">
        <v>240</v>
      </c>
      <c r="D1783">
        <v>260</v>
      </c>
      <c r="E1783">
        <v>274</v>
      </c>
      <c r="F1783">
        <v>264</v>
      </c>
      <c r="G1783">
        <v>258</v>
      </c>
    </row>
    <row r="1784" spans="1:7">
      <c r="A1784" t="s">
        <v>1876</v>
      </c>
      <c r="B1784" t="s">
        <v>352</v>
      </c>
      <c r="C1784" t="s">
        <v>241</v>
      </c>
      <c r="D1784">
        <v>0</v>
      </c>
      <c r="E1784">
        <v>0</v>
      </c>
      <c r="F1784">
        <v>0</v>
      </c>
      <c r="G1784">
        <v>0</v>
      </c>
    </row>
    <row r="1785" spans="1:7">
      <c r="A1785" t="s">
        <v>1876</v>
      </c>
      <c r="B1785" t="s">
        <v>352</v>
      </c>
      <c r="C1785" t="s">
        <v>242</v>
      </c>
      <c r="D1785">
        <v>10777</v>
      </c>
      <c r="E1785">
        <v>9797</v>
      </c>
      <c r="F1785">
        <v>10641</v>
      </c>
      <c r="G1785">
        <v>11328</v>
      </c>
    </row>
    <row r="1786" spans="1:7">
      <c r="A1786" t="s">
        <v>1876</v>
      </c>
      <c r="B1786" t="s">
        <v>352</v>
      </c>
      <c r="C1786" t="s">
        <v>243</v>
      </c>
      <c r="D1786">
        <v>62515</v>
      </c>
      <c r="E1786">
        <v>64641</v>
      </c>
      <c r="F1786">
        <v>65385</v>
      </c>
      <c r="G1786">
        <v>61518</v>
      </c>
    </row>
    <row r="1787" spans="1:7">
      <c r="A1787" t="s">
        <v>1876</v>
      </c>
      <c r="B1787" t="s">
        <v>352</v>
      </c>
      <c r="C1787" t="s">
        <v>244</v>
      </c>
      <c r="D1787">
        <v>126537</v>
      </c>
      <c r="E1787">
        <v>136585</v>
      </c>
      <c r="F1787">
        <v>143030</v>
      </c>
      <c r="G1787">
        <v>152564</v>
      </c>
    </row>
    <row r="1788" spans="1:7">
      <c r="A1788" t="s">
        <v>1876</v>
      </c>
      <c r="B1788" t="s">
        <v>352</v>
      </c>
      <c r="C1788" t="s">
        <v>1709</v>
      </c>
      <c r="D1788">
        <v>6643</v>
      </c>
      <c r="E1788">
        <v>6378</v>
      </c>
      <c r="F1788">
        <v>6488</v>
      </c>
      <c r="G1788">
        <v>6524</v>
      </c>
    </row>
    <row r="1789" spans="1:7">
      <c r="A1789" t="s">
        <v>1876</v>
      </c>
      <c r="B1789" t="s">
        <v>352</v>
      </c>
      <c r="C1789" t="s">
        <v>245</v>
      </c>
      <c r="D1789">
        <v>171391</v>
      </c>
      <c r="E1789">
        <v>170647</v>
      </c>
      <c r="F1789">
        <v>167844</v>
      </c>
      <c r="G1789">
        <v>171024</v>
      </c>
    </row>
    <row r="1790" spans="1:7">
      <c r="A1790" t="s">
        <v>1876</v>
      </c>
      <c r="B1790" t="s">
        <v>352</v>
      </c>
      <c r="C1790" t="s">
        <v>246</v>
      </c>
      <c r="D1790">
        <v>142946</v>
      </c>
      <c r="E1790">
        <v>148922</v>
      </c>
      <c r="F1790">
        <v>145277</v>
      </c>
      <c r="G1790">
        <v>135103</v>
      </c>
    </row>
    <row r="1791" spans="1:7">
      <c r="A1791" t="s">
        <v>1876</v>
      </c>
      <c r="B1791" t="s">
        <v>352</v>
      </c>
      <c r="C1791" t="s">
        <v>247</v>
      </c>
      <c r="D1791">
        <v>514166</v>
      </c>
      <c r="E1791">
        <v>530591</v>
      </c>
      <c r="F1791">
        <v>532179</v>
      </c>
      <c r="G1791">
        <v>531536</v>
      </c>
    </row>
    <row r="1792" spans="1:7">
      <c r="A1792" t="s">
        <v>1876</v>
      </c>
      <c r="B1792" t="s">
        <v>352</v>
      </c>
      <c r="C1792" t="s">
        <v>248</v>
      </c>
      <c r="D1792">
        <v>88.4</v>
      </c>
      <c r="E1792">
        <v>90.6</v>
      </c>
      <c r="F1792">
        <v>90</v>
      </c>
      <c r="G1792">
        <v>88.8</v>
      </c>
    </row>
    <row r="1793" spans="1:7">
      <c r="A1793" t="s">
        <v>1876</v>
      </c>
      <c r="B1793" t="s">
        <v>352</v>
      </c>
      <c r="C1793" t="s">
        <v>249</v>
      </c>
      <c r="D1793">
        <v>387629</v>
      </c>
      <c r="E1793">
        <v>394007</v>
      </c>
      <c r="F1793">
        <v>389147</v>
      </c>
      <c r="G1793">
        <v>378973</v>
      </c>
    </row>
    <row r="1794" spans="1:7">
      <c r="A1794" t="s">
        <v>1876</v>
      </c>
      <c r="B1794" t="s">
        <v>352</v>
      </c>
      <c r="C1794" t="s">
        <v>250</v>
      </c>
      <c r="D1794">
        <v>509970</v>
      </c>
      <c r="E1794">
        <v>524890</v>
      </c>
      <c r="F1794">
        <v>527930</v>
      </c>
      <c r="G1794">
        <v>527072</v>
      </c>
    </row>
    <row r="1795" spans="1:7">
      <c r="A1795" t="s">
        <v>1876</v>
      </c>
      <c r="B1795" t="s">
        <v>352</v>
      </c>
      <c r="C1795" t="s">
        <v>1937</v>
      </c>
      <c r="D1795">
        <v>7.2</v>
      </c>
      <c r="E1795">
        <v>8.1</v>
      </c>
      <c r="F1795">
        <v>10.8</v>
      </c>
      <c r="G1795">
        <v>13.1</v>
      </c>
    </row>
    <row r="1796" spans="1:7">
      <c r="A1796" t="s">
        <v>1876</v>
      </c>
      <c r="B1796" t="s">
        <v>352</v>
      </c>
      <c r="C1796" t="s">
        <v>1938</v>
      </c>
      <c r="D1796">
        <v>0</v>
      </c>
      <c r="E1796">
        <v>0</v>
      </c>
      <c r="F1796">
        <v>0</v>
      </c>
      <c r="G1796">
        <v>0</v>
      </c>
    </row>
    <row r="1797" spans="1:7">
      <c r="A1797" t="s">
        <v>1876</v>
      </c>
      <c r="B1797" t="s">
        <v>352</v>
      </c>
      <c r="C1797" t="s">
        <v>251</v>
      </c>
      <c r="D1797">
        <v>0</v>
      </c>
      <c r="E1797">
        <v>0</v>
      </c>
      <c r="F1797">
        <v>0</v>
      </c>
      <c r="G1797">
        <v>0</v>
      </c>
    </row>
    <row r="1798" spans="1:7">
      <c r="A1798" t="s">
        <v>1876</v>
      </c>
      <c r="B1798" t="s">
        <v>352</v>
      </c>
      <c r="C1798" t="s">
        <v>252</v>
      </c>
      <c r="D1798">
        <v>0</v>
      </c>
      <c r="E1798">
        <v>0</v>
      </c>
      <c r="F1798">
        <v>0</v>
      </c>
      <c r="G1798">
        <v>0</v>
      </c>
    </row>
    <row r="1799" spans="1:7">
      <c r="A1799" t="s">
        <v>1876</v>
      </c>
      <c r="B1799" t="s">
        <v>352</v>
      </c>
      <c r="C1799" t="s">
        <v>1710</v>
      </c>
      <c r="D1799">
        <v>0</v>
      </c>
      <c r="E1799">
        <v>0</v>
      </c>
      <c r="F1799">
        <v>0</v>
      </c>
      <c r="G1799">
        <v>0</v>
      </c>
    </row>
    <row r="1800" spans="1:7">
      <c r="A1800" t="s">
        <v>1876</v>
      </c>
      <c r="B1800" t="s">
        <v>352</v>
      </c>
      <c r="C1800" t="s">
        <v>1939</v>
      </c>
      <c r="D1800">
        <v>28.5</v>
      </c>
      <c r="E1800">
        <v>38</v>
      </c>
      <c r="F1800">
        <v>20.399999999999999</v>
      </c>
      <c r="G1800">
        <v>14.9</v>
      </c>
    </row>
    <row r="1801" spans="1:7">
      <c r="A1801" t="s">
        <v>1876</v>
      </c>
      <c r="B1801" t="s">
        <v>352</v>
      </c>
      <c r="C1801" t="s">
        <v>253</v>
      </c>
      <c r="D1801">
        <v>0</v>
      </c>
      <c r="E1801">
        <v>0</v>
      </c>
      <c r="F1801">
        <v>0</v>
      </c>
      <c r="G1801">
        <v>0</v>
      </c>
    </row>
    <row r="1802" spans="1:7">
      <c r="A1802" t="s">
        <v>1876</v>
      </c>
      <c r="B1802" t="s">
        <v>352</v>
      </c>
      <c r="C1802" t="s">
        <v>1711</v>
      </c>
      <c r="D1802">
        <v>3</v>
      </c>
      <c r="E1802">
        <v>3</v>
      </c>
      <c r="F1802">
        <v>3</v>
      </c>
      <c r="G1802">
        <v>0</v>
      </c>
    </row>
    <row r="1803" spans="1:7">
      <c r="A1803" t="s">
        <v>1876</v>
      </c>
      <c r="B1803" t="s">
        <v>352</v>
      </c>
      <c r="C1803" t="s">
        <v>1712</v>
      </c>
      <c r="D1803">
        <v>8991</v>
      </c>
      <c r="E1803">
        <v>9364</v>
      </c>
      <c r="F1803">
        <v>6746</v>
      </c>
      <c r="G1803">
        <v>8852</v>
      </c>
    </row>
    <row r="1804" spans="1:7">
      <c r="A1804" t="s">
        <v>1876</v>
      </c>
      <c r="B1804" t="s">
        <v>352</v>
      </c>
      <c r="C1804" t="s">
        <v>1713</v>
      </c>
      <c r="D1804">
        <v>492</v>
      </c>
      <c r="E1804">
        <v>315</v>
      </c>
      <c r="F1804">
        <v>392</v>
      </c>
      <c r="G1804">
        <v>142</v>
      </c>
    </row>
    <row r="1805" spans="1:7">
      <c r="A1805" t="s">
        <v>1876</v>
      </c>
      <c r="B1805" t="s">
        <v>352</v>
      </c>
      <c r="C1805" t="s">
        <v>1940</v>
      </c>
      <c r="D1805">
        <v>0</v>
      </c>
      <c r="E1805">
        <v>0</v>
      </c>
      <c r="F1805">
        <v>0</v>
      </c>
      <c r="G1805">
        <v>0</v>
      </c>
    </row>
    <row r="1806" spans="1:7">
      <c r="A1806" t="s">
        <v>1876</v>
      </c>
      <c r="B1806" t="s">
        <v>352</v>
      </c>
      <c r="C1806" t="s">
        <v>1941</v>
      </c>
      <c r="D1806">
        <v>0</v>
      </c>
      <c r="E1806">
        <v>0</v>
      </c>
      <c r="F1806">
        <v>0</v>
      </c>
      <c r="G1806">
        <v>0</v>
      </c>
    </row>
    <row r="1807" spans="1:7">
      <c r="A1807" t="s">
        <v>1876</v>
      </c>
      <c r="B1807" t="s">
        <v>352</v>
      </c>
      <c r="C1807" t="s">
        <v>254</v>
      </c>
      <c r="D1807">
        <v>8991</v>
      </c>
      <c r="E1807">
        <v>9364</v>
      </c>
      <c r="F1807">
        <v>6746</v>
      </c>
      <c r="G1807">
        <v>8852</v>
      </c>
    </row>
    <row r="1808" spans="1:7">
      <c r="A1808" t="s">
        <v>1876</v>
      </c>
      <c r="B1808" t="s">
        <v>352</v>
      </c>
      <c r="C1808" t="s">
        <v>1942</v>
      </c>
      <c r="D1808">
        <v>0</v>
      </c>
      <c r="E1808">
        <v>0</v>
      </c>
      <c r="F1808">
        <v>0</v>
      </c>
      <c r="G1808">
        <v>0</v>
      </c>
    </row>
    <row r="1809" spans="1:7">
      <c r="A1809" t="s">
        <v>1876</v>
      </c>
      <c r="B1809" t="s">
        <v>352</v>
      </c>
      <c r="C1809" t="s">
        <v>255</v>
      </c>
      <c r="D1809">
        <v>9483</v>
      </c>
      <c r="E1809">
        <v>9679</v>
      </c>
      <c r="F1809">
        <v>7137</v>
      </c>
      <c r="G1809">
        <v>8994</v>
      </c>
    </row>
    <row r="1810" spans="1:7">
      <c r="A1810" t="s">
        <v>1876</v>
      </c>
      <c r="B1810" t="s">
        <v>352</v>
      </c>
      <c r="C1810" t="s">
        <v>256</v>
      </c>
      <c r="D1810">
        <v>9483</v>
      </c>
      <c r="E1810">
        <v>9679</v>
      </c>
      <c r="F1810">
        <v>7137</v>
      </c>
      <c r="G1810">
        <v>8994</v>
      </c>
    </row>
    <row r="1811" spans="1:7">
      <c r="A1811" t="s">
        <v>1876</v>
      </c>
      <c r="B1811" t="s">
        <v>352</v>
      </c>
      <c r="C1811" t="s">
        <v>1714</v>
      </c>
      <c r="D1811">
        <v>9</v>
      </c>
      <c r="E1811">
        <v>9</v>
      </c>
      <c r="F1811">
        <v>9</v>
      </c>
      <c r="G1811">
        <v>6</v>
      </c>
    </row>
    <row r="1812" spans="1:7">
      <c r="A1812" t="s">
        <v>1876</v>
      </c>
      <c r="B1812" t="s">
        <v>352</v>
      </c>
      <c r="C1812" t="s">
        <v>257</v>
      </c>
      <c r="D1812">
        <v>32452</v>
      </c>
      <c r="E1812">
        <v>34767</v>
      </c>
      <c r="F1812">
        <v>30305</v>
      </c>
      <c r="G1812">
        <v>24214</v>
      </c>
    </row>
    <row r="1813" spans="1:7">
      <c r="A1813" t="s">
        <v>1876</v>
      </c>
      <c r="B1813" t="s">
        <v>352</v>
      </c>
      <c r="C1813" t="s">
        <v>258</v>
      </c>
      <c r="D1813">
        <v>35383</v>
      </c>
      <c r="E1813">
        <v>37750</v>
      </c>
      <c r="F1813">
        <v>32699</v>
      </c>
      <c r="G1813">
        <v>26306</v>
      </c>
    </row>
    <row r="1814" spans="1:7">
      <c r="A1814" t="s">
        <v>1876</v>
      </c>
      <c r="B1814" t="s">
        <v>352</v>
      </c>
      <c r="C1814" t="s">
        <v>259</v>
      </c>
      <c r="D1814">
        <v>35383</v>
      </c>
      <c r="E1814">
        <v>37750</v>
      </c>
      <c r="F1814">
        <v>32699</v>
      </c>
      <c r="G1814">
        <v>26306</v>
      </c>
    </row>
    <row r="1815" spans="1:7">
      <c r="A1815" t="s">
        <v>1876</v>
      </c>
      <c r="B1815" t="s">
        <v>352</v>
      </c>
      <c r="C1815" t="s">
        <v>260</v>
      </c>
      <c r="D1815">
        <v>422172</v>
      </c>
      <c r="E1815">
        <v>458020</v>
      </c>
      <c r="F1815">
        <v>436593</v>
      </c>
      <c r="G1815">
        <v>434017</v>
      </c>
    </row>
    <row r="1816" spans="1:7">
      <c r="A1816" t="s">
        <v>1876</v>
      </c>
      <c r="B1816" t="s">
        <v>352</v>
      </c>
      <c r="C1816" t="s">
        <v>1943</v>
      </c>
      <c r="D1816">
        <v>0.4</v>
      </c>
      <c r="E1816">
        <v>0.3</v>
      </c>
      <c r="F1816">
        <v>0.8</v>
      </c>
      <c r="G1816">
        <v>0.8</v>
      </c>
    </row>
    <row r="1817" spans="1:7">
      <c r="A1817" t="s">
        <v>1876</v>
      </c>
      <c r="B1817" t="s">
        <v>352</v>
      </c>
      <c r="C1817" t="s">
        <v>261</v>
      </c>
      <c r="D1817">
        <v>15967</v>
      </c>
      <c r="E1817">
        <v>17237</v>
      </c>
      <c r="F1817">
        <v>17017</v>
      </c>
      <c r="G1817">
        <v>16577</v>
      </c>
    </row>
    <row r="1818" spans="1:7">
      <c r="A1818" t="s">
        <v>1876</v>
      </c>
      <c r="B1818" t="s">
        <v>352</v>
      </c>
      <c r="C1818" t="s">
        <v>262</v>
      </c>
      <c r="D1818">
        <v>379</v>
      </c>
      <c r="E1818">
        <v>383</v>
      </c>
      <c r="F1818">
        <v>2922</v>
      </c>
      <c r="G1818">
        <v>553</v>
      </c>
    </row>
    <row r="1819" spans="1:7">
      <c r="A1819" t="s">
        <v>1876</v>
      </c>
      <c r="B1819" t="s">
        <v>352</v>
      </c>
      <c r="C1819" t="s">
        <v>1715</v>
      </c>
      <c r="D1819">
        <v>151</v>
      </c>
      <c r="E1819">
        <v>151</v>
      </c>
      <c r="F1819">
        <v>178</v>
      </c>
      <c r="G1819">
        <v>151</v>
      </c>
    </row>
    <row r="1820" spans="1:7">
      <c r="A1820" t="s">
        <v>1876</v>
      </c>
      <c r="B1820" t="s">
        <v>352</v>
      </c>
      <c r="C1820" t="s">
        <v>263</v>
      </c>
      <c r="D1820">
        <v>67288</v>
      </c>
      <c r="E1820">
        <v>70963</v>
      </c>
      <c r="F1820">
        <v>64583</v>
      </c>
      <c r="G1820">
        <v>55845</v>
      </c>
    </row>
    <row r="1821" spans="1:7">
      <c r="A1821" t="s">
        <v>1876</v>
      </c>
      <c r="B1821" t="s">
        <v>352</v>
      </c>
      <c r="C1821" t="s">
        <v>264</v>
      </c>
      <c r="D1821">
        <v>11941</v>
      </c>
      <c r="E1821">
        <v>12165</v>
      </c>
      <c r="F1821">
        <v>11601</v>
      </c>
      <c r="G1821">
        <v>12276</v>
      </c>
    </row>
    <row r="1822" spans="1:7">
      <c r="A1822" t="s">
        <v>1876</v>
      </c>
      <c r="B1822" t="s">
        <v>352</v>
      </c>
      <c r="C1822" t="s">
        <v>265</v>
      </c>
      <c r="D1822">
        <v>517746</v>
      </c>
      <c r="E1822">
        <v>558768</v>
      </c>
      <c r="F1822">
        <v>532716</v>
      </c>
      <c r="G1822">
        <v>519268</v>
      </c>
    </row>
    <row r="1823" spans="1:7">
      <c r="A1823" t="s">
        <v>1876</v>
      </c>
      <c r="B1823" t="s">
        <v>352</v>
      </c>
      <c r="C1823" t="s">
        <v>266</v>
      </c>
      <c r="D1823">
        <v>89</v>
      </c>
      <c r="E1823">
        <v>95.5</v>
      </c>
      <c r="F1823">
        <v>90.1</v>
      </c>
      <c r="G1823">
        <v>86.7</v>
      </c>
    </row>
    <row r="1824" spans="1:7">
      <c r="A1824" t="s">
        <v>1876</v>
      </c>
      <c r="B1824" t="s">
        <v>352</v>
      </c>
      <c r="C1824" t="s">
        <v>267</v>
      </c>
      <c r="D1824">
        <v>517367</v>
      </c>
      <c r="E1824">
        <v>558385</v>
      </c>
      <c r="F1824">
        <v>529794</v>
      </c>
      <c r="G1824">
        <v>518716</v>
      </c>
    </row>
    <row r="1825" spans="1:7">
      <c r="A1825" t="s">
        <v>1876</v>
      </c>
      <c r="B1825" t="s">
        <v>352</v>
      </c>
      <c r="C1825" t="s">
        <v>268</v>
      </c>
      <c r="D1825">
        <v>0</v>
      </c>
      <c r="E1825">
        <v>0</v>
      </c>
      <c r="F1825">
        <v>0</v>
      </c>
      <c r="G1825">
        <v>0</v>
      </c>
    </row>
    <row r="1826" spans="1:7">
      <c r="A1826" t="s">
        <v>1876</v>
      </c>
      <c r="B1826" t="s">
        <v>352</v>
      </c>
      <c r="C1826" t="s">
        <v>269</v>
      </c>
      <c r="D1826">
        <v>0</v>
      </c>
      <c r="E1826">
        <v>0</v>
      </c>
      <c r="F1826">
        <v>0</v>
      </c>
      <c r="G1826">
        <v>0</v>
      </c>
    </row>
    <row r="1827" spans="1:7">
      <c r="A1827" t="s">
        <v>1876</v>
      </c>
      <c r="B1827" t="s">
        <v>352</v>
      </c>
      <c r="C1827" t="s">
        <v>270</v>
      </c>
      <c r="D1827">
        <v>2232</v>
      </c>
      <c r="E1827">
        <v>2376</v>
      </c>
      <c r="F1827">
        <v>2068</v>
      </c>
      <c r="G1827">
        <v>842</v>
      </c>
    </row>
    <row r="1828" spans="1:7">
      <c r="A1828" t="s">
        <v>1876</v>
      </c>
      <c r="B1828" t="s">
        <v>352</v>
      </c>
      <c r="C1828" t="s">
        <v>271</v>
      </c>
      <c r="D1828">
        <v>2232</v>
      </c>
      <c r="E1828">
        <v>2376</v>
      </c>
      <c r="F1828">
        <v>2068</v>
      </c>
      <c r="G1828">
        <v>842</v>
      </c>
    </row>
    <row r="1829" spans="1:7">
      <c r="A1829" t="s">
        <v>1876</v>
      </c>
      <c r="B1829" t="s">
        <v>352</v>
      </c>
      <c r="C1829" t="s">
        <v>272</v>
      </c>
      <c r="D1829">
        <v>2232</v>
      </c>
      <c r="E1829">
        <v>2376</v>
      </c>
      <c r="F1829">
        <v>2068</v>
      </c>
      <c r="G1829">
        <v>842</v>
      </c>
    </row>
    <row r="1830" spans="1:7">
      <c r="A1830" t="s">
        <v>1876</v>
      </c>
      <c r="B1830" t="s">
        <v>352</v>
      </c>
      <c r="C1830" t="s">
        <v>1944</v>
      </c>
      <c r="D1830">
        <v>15.7</v>
      </c>
      <c r="E1830">
        <v>22.2</v>
      </c>
      <c r="F1830">
        <v>33</v>
      </c>
      <c r="G1830">
        <v>46.9</v>
      </c>
    </row>
    <row r="1831" spans="1:7">
      <c r="A1831" t="s">
        <v>1876</v>
      </c>
      <c r="B1831" t="s">
        <v>352</v>
      </c>
      <c r="C1831" t="s">
        <v>1945</v>
      </c>
      <c r="D1831">
        <v>27</v>
      </c>
      <c r="E1831">
        <v>40</v>
      </c>
      <c r="F1831">
        <v>83</v>
      </c>
      <c r="G1831">
        <v>111</v>
      </c>
    </row>
    <row r="1832" spans="1:7">
      <c r="A1832" t="s">
        <v>1876</v>
      </c>
      <c r="B1832" t="s">
        <v>352</v>
      </c>
      <c r="C1832" t="s">
        <v>273</v>
      </c>
      <c r="D1832">
        <v>0</v>
      </c>
      <c r="E1832">
        <v>0</v>
      </c>
      <c r="F1832">
        <v>0</v>
      </c>
      <c r="G1832">
        <v>0</v>
      </c>
    </row>
    <row r="1833" spans="1:7">
      <c r="A1833" t="s">
        <v>1876</v>
      </c>
      <c r="B1833" t="s">
        <v>352</v>
      </c>
      <c r="C1833" t="s">
        <v>1946</v>
      </c>
      <c r="D1833">
        <v>403333</v>
      </c>
      <c r="E1833">
        <v>438778</v>
      </c>
      <c r="F1833">
        <v>418870</v>
      </c>
      <c r="G1833">
        <v>416205</v>
      </c>
    </row>
    <row r="1834" spans="1:7">
      <c r="A1834" t="s">
        <v>1876</v>
      </c>
      <c r="B1834" t="s">
        <v>352</v>
      </c>
      <c r="C1834" t="s">
        <v>1947</v>
      </c>
      <c r="D1834">
        <v>15436</v>
      </c>
      <c r="E1834">
        <v>16728</v>
      </c>
      <c r="F1834">
        <v>16511</v>
      </c>
      <c r="G1834">
        <v>16004</v>
      </c>
    </row>
    <row r="1835" spans="1:7">
      <c r="A1835" t="s">
        <v>1876</v>
      </c>
      <c r="B1835" t="s">
        <v>352</v>
      </c>
      <c r="C1835" t="s">
        <v>1948</v>
      </c>
      <c r="D1835">
        <v>379</v>
      </c>
      <c r="E1835">
        <v>383</v>
      </c>
      <c r="F1835">
        <v>2922</v>
      </c>
      <c r="G1835">
        <v>553</v>
      </c>
    </row>
    <row r="1836" spans="1:7">
      <c r="A1836" t="s">
        <v>1876</v>
      </c>
      <c r="B1836" t="s">
        <v>352</v>
      </c>
      <c r="C1836" t="s">
        <v>1949</v>
      </c>
      <c r="D1836">
        <v>66865</v>
      </c>
      <c r="E1836">
        <v>70543</v>
      </c>
      <c r="F1836">
        <v>64175</v>
      </c>
      <c r="G1836">
        <v>55521</v>
      </c>
    </row>
    <row r="1837" spans="1:7">
      <c r="A1837" t="s">
        <v>1876</v>
      </c>
      <c r="B1837" t="s">
        <v>352</v>
      </c>
      <c r="C1837" t="s">
        <v>1950</v>
      </c>
      <c r="D1837">
        <v>11941</v>
      </c>
      <c r="E1837">
        <v>12165</v>
      </c>
      <c r="F1837">
        <v>11601</v>
      </c>
      <c r="G1837">
        <v>12276</v>
      </c>
    </row>
    <row r="1838" spans="1:7">
      <c r="A1838" t="s">
        <v>1876</v>
      </c>
      <c r="B1838" t="s">
        <v>352</v>
      </c>
      <c r="C1838" t="s">
        <v>274</v>
      </c>
      <c r="D1838">
        <v>497955</v>
      </c>
      <c r="E1838">
        <v>538597</v>
      </c>
      <c r="F1838">
        <v>514079</v>
      </c>
      <c r="G1838">
        <v>500558</v>
      </c>
    </row>
    <row r="1839" spans="1:7">
      <c r="A1839" t="s">
        <v>1876</v>
      </c>
      <c r="B1839" t="s">
        <v>352</v>
      </c>
      <c r="C1839" t="s">
        <v>275</v>
      </c>
      <c r="D1839">
        <v>0</v>
      </c>
      <c r="E1839">
        <v>0</v>
      </c>
      <c r="F1839">
        <v>0</v>
      </c>
      <c r="G1839">
        <v>0</v>
      </c>
    </row>
    <row r="1840" spans="1:7">
      <c r="A1840" t="s">
        <v>1876</v>
      </c>
      <c r="B1840" t="s">
        <v>352</v>
      </c>
      <c r="C1840" t="s">
        <v>276</v>
      </c>
      <c r="D1840">
        <v>0</v>
      </c>
      <c r="E1840">
        <v>0</v>
      </c>
      <c r="F1840">
        <v>0</v>
      </c>
      <c r="G1840">
        <v>0</v>
      </c>
    </row>
    <row r="1841" spans="1:7">
      <c r="A1841" t="s">
        <v>1876</v>
      </c>
      <c r="B1841" t="s">
        <v>352</v>
      </c>
      <c r="C1841" t="s">
        <v>277</v>
      </c>
      <c r="D1841">
        <v>229</v>
      </c>
      <c r="E1841">
        <v>259</v>
      </c>
      <c r="F1841">
        <v>221</v>
      </c>
      <c r="G1841">
        <v>157</v>
      </c>
    </row>
    <row r="1842" spans="1:7">
      <c r="A1842" t="s">
        <v>1876</v>
      </c>
      <c r="B1842" t="s">
        <v>352</v>
      </c>
      <c r="C1842" t="s">
        <v>278</v>
      </c>
      <c r="D1842">
        <v>3535</v>
      </c>
      <c r="E1842">
        <v>4511</v>
      </c>
      <c r="F1842">
        <v>3810</v>
      </c>
      <c r="G1842">
        <v>3242</v>
      </c>
    </row>
    <row r="1843" spans="1:7">
      <c r="A1843" t="s">
        <v>1876</v>
      </c>
      <c r="B1843" t="s">
        <v>352</v>
      </c>
      <c r="C1843" t="s">
        <v>279</v>
      </c>
      <c r="D1843">
        <v>2316</v>
      </c>
      <c r="E1843">
        <v>2991</v>
      </c>
      <c r="F1843">
        <v>1827</v>
      </c>
      <c r="G1843">
        <v>1431</v>
      </c>
    </row>
    <row r="1844" spans="1:7">
      <c r="A1844" t="s">
        <v>1876</v>
      </c>
      <c r="B1844" t="s">
        <v>352</v>
      </c>
      <c r="C1844" t="s">
        <v>280</v>
      </c>
      <c r="D1844">
        <v>11804</v>
      </c>
      <c r="E1844">
        <v>12025</v>
      </c>
      <c r="F1844">
        <v>11443</v>
      </c>
      <c r="G1844">
        <v>12142</v>
      </c>
    </row>
    <row r="1845" spans="1:7">
      <c r="A1845" t="s">
        <v>1876</v>
      </c>
      <c r="B1845" t="s">
        <v>352</v>
      </c>
      <c r="C1845" t="s">
        <v>281</v>
      </c>
      <c r="D1845">
        <v>17884</v>
      </c>
      <c r="E1845">
        <v>19786</v>
      </c>
      <c r="F1845">
        <v>17301</v>
      </c>
      <c r="G1845">
        <v>16972</v>
      </c>
    </row>
    <row r="1846" spans="1:7">
      <c r="A1846" t="s">
        <v>1876</v>
      </c>
      <c r="B1846" t="s">
        <v>352</v>
      </c>
      <c r="C1846" t="s">
        <v>282</v>
      </c>
      <c r="D1846">
        <v>17884</v>
      </c>
      <c r="E1846">
        <v>19786</v>
      </c>
      <c r="F1846">
        <v>17301</v>
      </c>
      <c r="G1846">
        <v>16972</v>
      </c>
    </row>
    <row r="1847" spans="1:7">
      <c r="A1847" t="s">
        <v>1876</v>
      </c>
      <c r="B1847" t="s">
        <v>352</v>
      </c>
      <c r="C1847" t="s">
        <v>283</v>
      </c>
      <c r="D1847">
        <v>0</v>
      </c>
      <c r="E1847">
        <v>0</v>
      </c>
      <c r="F1847">
        <v>0</v>
      </c>
      <c r="G1847">
        <v>0</v>
      </c>
    </row>
    <row r="1848" spans="1:7">
      <c r="A1848" t="s">
        <v>1876</v>
      </c>
      <c r="B1848" t="s">
        <v>352</v>
      </c>
      <c r="C1848" t="s">
        <v>284</v>
      </c>
      <c r="D1848">
        <v>0</v>
      </c>
      <c r="E1848">
        <v>0</v>
      </c>
      <c r="F1848">
        <v>0</v>
      </c>
      <c r="G1848">
        <v>0</v>
      </c>
    </row>
    <row r="1849" spans="1:7">
      <c r="A1849" t="s">
        <v>1876</v>
      </c>
      <c r="B1849" t="s">
        <v>352</v>
      </c>
      <c r="C1849" t="s">
        <v>1716</v>
      </c>
      <c r="D1849">
        <v>18838</v>
      </c>
      <c r="E1849">
        <v>19242</v>
      </c>
      <c r="F1849">
        <v>17723</v>
      </c>
      <c r="G1849">
        <v>17813</v>
      </c>
    </row>
    <row r="1850" spans="1:7">
      <c r="A1850" t="s">
        <v>1876</v>
      </c>
      <c r="B1850" t="s">
        <v>352</v>
      </c>
      <c r="C1850" t="s">
        <v>1717</v>
      </c>
      <c r="D1850">
        <v>2824</v>
      </c>
      <c r="E1850">
        <v>2992</v>
      </c>
      <c r="F1850">
        <v>3086</v>
      </c>
      <c r="G1850">
        <v>3272</v>
      </c>
    </row>
    <row r="1851" spans="1:7">
      <c r="A1851" t="s">
        <v>1876</v>
      </c>
      <c r="B1851" t="s">
        <v>352</v>
      </c>
      <c r="C1851" t="s">
        <v>1718</v>
      </c>
      <c r="D1851">
        <v>65212</v>
      </c>
      <c r="E1851">
        <v>72673</v>
      </c>
      <c r="F1851">
        <v>74596</v>
      </c>
      <c r="G1851">
        <v>83654</v>
      </c>
    </row>
    <row r="1852" spans="1:7">
      <c r="A1852" t="s">
        <v>1876</v>
      </c>
      <c r="B1852" t="s">
        <v>352</v>
      </c>
      <c r="C1852" t="s">
        <v>1719</v>
      </c>
      <c r="D1852">
        <v>6771</v>
      </c>
      <c r="E1852">
        <v>7157</v>
      </c>
      <c r="F1852">
        <v>8229</v>
      </c>
      <c r="G1852">
        <v>8425</v>
      </c>
    </row>
    <row r="1853" spans="1:7">
      <c r="A1853" t="s">
        <v>1876</v>
      </c>
      <c r="B1853" t="s">
        <v>352</v>
      </c>
      <c r="C1853" t="s">
        <v>1720</v>
      </c>
      <c r="D1853">
        <v>8696</v>
      </c>
      <c r="E1853">
        <v>9620</v>
      </c>
      <c r="F1853">
        <v>9316</v>
      </c>
      <c r="G1853">
        <v>9596</v>
      </c>
    </row>
    <row r="1854" spans="1:7">
      <c r="A1854" t="s">
        <v>1876</v>
      </c>
      <c r="B1854" t="s">
        <v>352</v>
      </c>
      <c r="C1854" t="s">
        <v>1721</v>
      </c>
      <c r="D1854">
        <v>8379</v>
      </c>
      <c r="E1854">
        <v>10618</v>
      </c>
      <c r="F1854">
        <v>10609</v>
      </c>
      <c r="G1854">
        <v>11179</v>
      </c>
    </row>
    <row r="1855" spans="1:7">
      <c r="A1855" t="s">
        <v>1876</v>
      </c>
      <c r="B1855" t="s">
        <v>352</v>
      </c>
      <c r="C1855" t="s">
        <v>285</v>
      </c>
      <c r="D1855">
        <v>103948</v>
      </c>
      <c r="E1855">
        <v>115145</v>
      </c>
      <c r="F1855">
        <v>115331</v>
      </c>
      <c r="G1855">
        <v>125513</v>
      </c>
    </row>
    <row r="1856" spans="1:7">
      <c r="A1856" t="s">
        <v>1876</v>
      </c>
      <c r="B1856" t="s">
        <v>352</v>
      </c>
      <c r="C1856" t="s">
        <v>1951</v>
      </c>
      <c r="D1856">
        <v>7.5</v>
      </c>
      <c r="E1856">
        <v>8.1</v>
      </c>
      <c r="F1856">
        <v>8.4</v>
      </c>
      <c r="G1856">
        <v>9.3000000000000007</v>
      </c>
    </row>
    <row r="1857" spans="1:7">
      <c r="A1857" t="s">
        <v>1876</v>
      </c>
      <c r="B1857" t="s">
        <v>352</v>
      </c>
      <c r="C1857" t="s">
        <v>286</v>
      </c>
      <c r="D1857">
        <v>0</v>
      </c>
      <c r="E1857">
        <v>0</v>
      </c>
      <c r="F1857">
        <v>0</v>
      </c>
      <c r="G1857">
        <v>0</v>
      </c>
    </row>
    <row r="1858" spans="1:7">
      <c r="A1858" t="s">
        <v>1876</v>
      </c>
      <c r="B1858" t="s">
        <v>352</v>
      </c>
      <c r="C1858" t="s">
        <v>287</v>
      </c>
      <c r="D1858">
        <v>0</v>
      </c>
      <c r="E1858">
        <v>0</v>
      </c>
      <c r="F1858">
        <v>0</v>
      </c>
      <c r="G1858">
        <v>0</v>
      </c>
    </row>
    <row r="1859" spans="1:7">
      <c r="A1859" t="s">
        <v>1876</v>
      </c>
      <c r="B1859" t="s">
        <v>352</v>
      </c>
      <c r="C1859" t="s">
        <v>288</v>
      </c>
      <c r="D1859">
        <v>0</v>
      </c>
      <c r="E1859">
        <v>0</v>
      </c>
      <c r="F1859">
        <v>0</v>
      </c>
      <c r="G1859">
        <v>0</v>
      </c>
    </row>
    <row r="1860" spans="1:7">
      <c r="A1860" t="s">
        <v>1876</v>
      </c>
      <c r="B1860" t="s">
        <v>352</v>
      </c>
      <c r="C1860" t="s">
        <v>289</v>
      </c>
      <c r="D1860">
        <v>0</v>
      </c>
      <c r="E1860">
        <v>0</v>
      </c>
      <c r="F1860">
        <v>0</v>
      </c>
      <c r="G1860">
        <v>0</v>
      </c>
    </row>
    <row r="1861" spans="1:7">
      <c r="A1861" t="s">
        <v>1876</v>
      </c>
      <c r="B1861" t="s">
        <v>352</v>
      </c>
      <c r="C1861" t="s">
        <v>290</v>
      </c>
      <c r="D1861">
        <v>0</v>
      </c>
      <c r="E1861">
        <v>0</v>
      </c>
      <c r="F1861">
        <v>0</v>
      </c>
      <c r="G1861">
        <v>0</v>
      </c>
    </row>
    <row r="1862" spans="1:7">
      <c r="A1862" t="s">
        <v>1876</v>
      </c>
      <c r="B1862" t="s">
        <v>352</v>
      </c>
      <c r="C1862" t="s">
        <v>291</v>
      </c>
      <c r="D1862">
        <v>0</v>
      </c>
      <c r="E1862">
        <v>0</v>
      </c>
      <c r="F1862">
        <v>0</v>
      </c>
      <c r="G1862">
        <v>0</v>
      </c>
    </row>
    <row r="1863" spans="1:7">
      <c r="A1863" t="s">
        <v>1876</v>
      </c>
      <c r="B1863" t="s">
        <v>352</v>
      </c>
      <c r="C1863" t="s">
        <v>292</v>
      </c>
      <c r="D1863">
        <v>619</v>
      </c>
      <c r="E1863">
        <v>827</v>
      </c>
      <c r="F1863">
        <v>619</v>
      </c>
      <c r="G1863">
        <v>616</v>
      </c>
    </row>
    <row r="1864" spans="1:7">
      <c r="A1864" t="s">
        <v>1876</v>
      </c>
      <c r="B1864" t="s">
        <v>352</v>
      </c>
      <c r="C1864" t="s">
        <v>293</v>
      </c>
      <c r="D1864">
        <v>1254</v>
      </c>
      <c r="E1864">
        <v>1747</v>
      </c>
      <c r="F1864">
        <v>1354</v>
      </c>
      <c r="G1864">
        <v>1527</v>
      </c>
    </row>
    <row r="1865" spans="1:7">
      <c r="A1865" t="s">
        <v>1876</v>
      </c>
      <c r="B1865" t="s">
        <v>352</v>
      </c>
      <c r="C1865" t="s">
        <v>294</v>
      </c>
      <c r="D1865">
        <v>907</v>
      </c>
      <c r="E1865">
        <v>1223</v>
      </c>
      <c r="F1865">
        <v>900</v>
      </c>
      <c r="G1865">
        <v>968</v>
      </c>
    </row>
    <row r="1866" spans="1:7">
      <c r="A1866" t="s">
        <v>1876</v>
      </c>
      <c r="B1866" t="s">
        <v>352</v>
      </c>
      <c r="C1866" t="s">
        <v>295</v>
      </c>
      <c r="D1866">
        <v>1416</v>
      </c>
      <c r="E1866">
        <v>1905</v>
      </c>
      <c r="F1866">
        <v>1376</v>
      </c>
      <c r="G1866">
        <v>1353</v>
      </c>
    </row>
    <row r="1867" spans="1:7">
      <c r="A1867" t="s">
        <v>1876</v>
      </c>
      <c r="B1867" t="s">
        <v>352</v>
      </c>
      <c r="C1867" t="s">
        <v>296</v>
      </c>
      <c r="D1867">
        <v>4196</v>
      </c>
      <c r="E1867">
        <v>5701</v>
      </c>
      <c r="F1867">
        <v>4249</v>
      </c>
      <c r="G1867">
        <v>4463</v>
      </c>
    </row>
    <row r="1868" spans="1:7">
      <c r="A1868" t="s">
        <v>1876</v>
      </c>
      <c r="B1868" t="s">
        <v>352</v>
      </c>
      <c r="C1868" t="s">
        <v>297</v>
      </c>
      <c r="D1868">
        <v>8264</v>
      </c>
      <c r="E1868">
        <v>8778</v>
      </c>
      <c r="F1868">
        <v>6203</v>
      </c>
      <c r="G1868">
        <v>8325</v>
      </c>
    </row>
    <row r="1869" spans="1:7">
      <c r="A1869" t="s">
        <v>1876</v>
      </c>
      <c r="B1869" t="s">
        <v>352</v>
      </c>
      <c r="C1869" t="s">
        <v>1952</v>
      </c>
      <c r="D1869">
        <v>0</v>
      </c>
      <c r="E1869">
        <v>0</v>
      </c>
      <c r="F1869">
        <v>0</v>
      </c>
      <c r="G1869">
        <v>0</v>
      </c>
    </row>
    <row r="1870" spans="1:7">
      <c r="A1870" t="s">
        <v>1876</v>
      </c>
      <c r="B1870" t="s">
        <v>352</v>
      </c>
      <c r="C1870" t="s">
        <v>298</v>
      </c>
      <c r="D1870">
        <v>83</v>
      </c>
      <c r="E1870">
        <v>204</v>
      </c>
      <c r="F1870">
        <v>204</v>
      </c>
      <c r="G1870">
        <v>179</v>
      </c>
    </row>
    <row r="1871" spans="1:7">
      <c r="A1871" t="s">
        <v>1876</v>
      </c>
      <c r="B1871" t="s">
        <v>352</v>
      </c>
      <c r="C1871" t="s">
        <v>299</v>
      </c>
      <c r="D1871">
        <v>1012</v>
      </c>
      <c r="E1871">
        <v>1197</v>
      </c>
      <c r="F1871">
        <v>1301</v>
      </c>
      <c r="G1871">
        <v>1416</v>
      </c>
    </row>
    <row r="1872" spans="1:7">
      <c r="A1872" t="s">
        <v>1876</v>
      </c>
      <c r="B1872" t="s">
        <v>352</v>
      </c>
      <c r="C1872" t="s">
        <v>300</v>
      </c>
      <c r="D1872">
        <v>5868</v>
      </c>
      <c r="E1872">
        <v>8162</v>
      </c>
      <c r="F1872">
        <v>12288</v>
      </c>
      <c r="G1872">
        <v>16736</v>
      </c>
    </row>
    <row r="1873" spans="1:7">
      <c r="A1873" t="s">
        <v>1876</v>
      </c>
      <c r="B1873" t="s">
        <v>352</v>
      </c>
      <c r="C1873" t="s">
        <v>1722</v>
      </c>
      <c r="D1873">
        <v>1060</v>
      </c>
      <c r="E1873">
        <v>1302</v>
      </c>
      <c r="F1873">
        <v>2173</v>
      </c>
      <c r="G1873">
        <v>2367</v>
      </c>
    </row>
    <row r="1874" spans="1:7">
      <c r="A1874" t="s">
        <v>1876</v>
      </c>
      <c r="B1874" t="s">
        <v>352</v>
      </c>
      <c r="C1874" t="s">
        <v>301</v>
      </c>
      <c r="D1874">
        <v>66</v>
      </c>
      <c r="E1874">
        <v>78</v>
      </c>
      <c r="F1874">
        <v>137</v>
      </c>
      <c r="G1874">
        <v>301</v>
      </c>
    </row>
    <row r="1875" spans="1:7">
      <c r="A1875" t="s">
        <v>1876</v>
      </c>
      <c r="B1875" t="s">
        <v>352</v>
      </c>
      <c r="C1875" t="s">
        <v>302</v>
      </c>
      <c r="D1875">
        <v>2848</v>
      </c>
      <c r="E1875">
        <v>3720</v>
      </c>
      <c r="F1875">
        <v>4705</v>
      </c>
      <c r="G1875">
        <v>5627</v>
      </c>
    </row>
    <row r="1876" spans="1:7">
      <c r="A1876" t="s">
        <v>1876</v>
      </c>
      <c r="B1876" t="s">
        <v>352</v>
      </c>
      <c r="C1876" t="s">
        <v>303</v>
      </c>
      <c r="D1876">
        <v>9794</v>
      </c>
      <c r="E1876">
        <v>13157</v>
      </c>
      <c r="F1876">
        <v>18432</v>
      </c>
      <c r="G1876">
        <v>24081</v>
      </c>
    </row>
    <row r="1877" spans="1:7">
      <c r="A1877" t="s">
        <v>1876</v>
      </c>
      <c r="B1877" t="s">
        <v>352</v>
      </c>
      <c r="C1877" t="s">
        <v>304</v>
      </c>
      <c r="D1877">
        <v>3926</v>
      </c>
      <c r="E1877">
        <v>4995</v>
      </c>
      <c r="F1877">
        <v>6143</v>
      </c>
      <c r="G1877">
        <v>7345</v>
      </c>
    </row>
    <row r="1878" spans="1:7">
      <c r="A1878" t="s">
        <v>1876</v>
      </c>
      <c r="B1878" t="s">
        <v>352</v>
      </c>
      <c r="C1878" t="s">
        <v>1953</v>
      </c>
      <c r="D1878">
        <v>24.5</v>
      </c>
      <c r="E1878">
        <v>25</v>
      </c>
      <c r="F1878">
        <v>24.7</v>
      </c>
      <c r="G1878">
        <v>25.6</v>
      </c>
    </row>
    <row r="1879" spans="1:7">
      <c r="A1879" t="s">
        <v>1876</v>
      </c>
      <c r="B1879" t="s">
        <v>352</v>
      </c>
      <c r="C1879" t="s">
        <v>305</v>
      </c>
      <c r="D1879">
        <v>433675</v>
      </c>
      <c r="E1879">
        <v>468548</v>
      </c>
      <c r="F1879">
        <v>447930</v>
      </c>
      <c r="G1879">
        <v>445986</v>
      </c>
    </row>
    <row r="1880" spans="1:7">
      <c r="A1880" t="s">
        <v>1876</v>
      </c>
      <c r="B1880" t="s">
        <v>352</v>
      </c>
      <c r="C1880" t="s">
        <v>306</v>
      </c>
      <c r="D1880">
        <v>74.599999999999994</v>
      </c>
      <c r="E1880">
        <v>80</v>
      </c>
      <c r="F1880">
        <v>75.8</v>
      </c>
      <c r="G1880">
        <v>74.5</v>
      </c>
    </row>
    <row r="1881" spans="1:7">
      <c r="A1881" t="s">
        <v>1876</v>
      </c>
      <c r="B1881" t="s">
        <v>352</v>
      </c>
      <c r="C1881" t="s">
        <v>307</v>
      </c>
      <c r="D1881">
        <v>248979</v>
      </c>
      <c r="E1881">
        <v>251820</v>
      </c>
      <c r="F1881">
        <v>244472</v>
      </c>
      <c r="G1881">
        <v>238434</v>
      </c>
    </row>
    <row r="1882" spans="1:7">
      <c r="A1882" t="s">
        <v>1876</v>
      </c>
      <c r="B1882" t="s">
        <v>352</v>
      </c>
      <c r="C1882" t="s">
        <v>308</v>
      </c>
      <c r="D1882">
        <v>42.8</v>
      </c>
      <c r="E1882">
        <v>43</v>
      </c>
      <c r="F1882">
        <v>41.4</v>
      </c>
      <c r="G1882">
        <v>39.799999999999997</v>
      </c>
    </row>
    <row r="1883" spans="1:7">
      <c r="A1883" t="s">
        <v>1876</v>
      </c>
      <c r="B1883" t="s">
        <v>352</v>
      </c>
      <c r="C1883" t="s">
        <v>309</v>
      </c>
      <c r="D1883">
        <v>439842</v>
      </c>
      <c r="E1883">
        <v>437539</v>
      </c>
      <c r="F1883">
        <v>421062</v>
      </c>
      <c r="G1883">
        <v>413148</v>
      </c>
    </row>
    <row r="1884" spans="1:7">
      <c r="A1884" t="s">
        <v>1876</v>
      </c>
      <c r="B1884" t="s">
        <v>352</v>
      </c>
      <c r="C1884" t="s">
        <v>310</v>
      </c>
      <c r="D1884">
        <v>372966</v>
      </c>
      <c r="E1884">
        <v>373203</v>
      </c>
      <c r="F1884">
        <v>357706</v>
      </c>
      <c r="G1884">
        <v>349553</v>
      </c>
    </row>
    <row r="1885" spans="1:7">
      <c r="A1885" t="s">
        <v>1876</v>
      </c>
      <c r="B1885" t="s">
        <v>352</v>
      </c>
      <c r="C1885" t="s">
        <v>311</v>
      </c>
      <c r="D1885">
        <v>64.099999999999994</v>
      </c>
      <c r="E1885">
        <v>63.8</v>
      </c>
      <c r="F1885">
        <v>60.5</v>
      </c>
      <c r="G1885">
        <v>58.4</v>
      </c>
    </row>
    <row r="1886" spans="1:7">
      <c r="A1886" t="s">
        <v>1876</v>
      </c>
      <c r="B1886" t="s">
        <v>352</v>
      </c>
      <c r="C1886" t="s">
        <v>312</v>
      </c>
      <c r="D1886">
        <v>330999</v>
      </c>
      <c r="E1886">
        <v>334362</v>
      </c>
      <c r="F1886">
        <v>320811</v>
      </c>
      <c r="G1886">
        <v>311890</v>
      </c>
    </row>
    <row r="1887" spans="1:7">
      <c r="A1887" t="s">
        <v>1876</v>
      </c>
      <c r="B1887" t="s">
        <v>352</v>
      </c>
      <c r="C1887" t="s">
        <v>313</v>
      </c>
      <c r="D1887">
        <v>56.9</v>
      </c>
      <c r="E1887">
        <v>57.1</v>
      </c>
      <c r="F1887">
        <v>54.3</v>
      </c>
      <c r="G1887">
        <v>52.1</v>
      </c>
    </row>
    <row r="1888" spans="1:7">
      <c r="A1888" t="s">
        <v>1876</v>
      </c>
      <c r="B1888" t="s">
        <v>352</v>
      </c>
      <c r="C1888" t="s">
        <v>314</v>
      </c>
      <c r="D1888">
        <v>1386620</v>
      </c>
      <c r="E1888">
        <v>1427932</v>
      </c>
      <c r="F1888">
        <v>1370920</v>
      </c>
      <c r="G1888">
        <v>1345861</v>
      </c>
    </row>
    <row r="1889" spans="1:7">
      <c r="A1889" t="s">
        <v>1876</v>
      </c>
      <c r="B1889" t="s">
        <v>352</v>
      </c>
      <c r="C1889" t="s">
        <v>315</v>
      </c>
      <c r="D1889">
        <v>3.41</v>
      </c>
      <c r="E1889">
        <v>3.38</v>
      </c>
      <c r="F1889">
        <v>3.11</v>
      </c>
      <c r="G1889">
        <v>3</v>
      </c>
    </row>
    <row r="1890" spans="1:7">
      <c r="A1890" t="s">
        <v>1876</v>
      </c>
      <c r="B1890" t="s">
        <v>352</v>
      </c>
      <c r="C1890" t="s">
        <v>316</v>
      </c>
      <c r="D1890">
        <v>238.5</v>
      </c>
      <c r="E1890">
        <v>244</v>
      </c>
      <c r="F1890">
        <v>231.9</v>
      </c>
      <c r="G1890">
        <v>224.7</v>
      </c>
    </row>
    <row r="1891" spans="1:7">
      <c r="A1891" t="s">
        <v>1876</v>
      </c>
      <c r="B1891" t="s">
        <v>352</v>
      </c>
      <c r="C1891" t="s">
        <v>317</v>
      </c>
      <c r="D1891">
        <v>1386619</v>
      </c>
      <c r="E1891">
        <v>1427933</v>
      </c>
      <c r="F1891">
        <v>1370918</v>
      </c>
      <c r="G1891">
        <v>1345862</v>
      </c>
    </row>
    <row r="1892" spans="1:7">
      <c r="A1892" t="s">
        <v>1876</v>
      </c>
      <c r="B1892" t="s">
        <v>352</v>
      </c>
      <c r="C1892" t="s">
        <v>318</v>
      </c>
      <c r="D1892">
        <v>433251</v>
      </c>
      <c r="E1892">
        <v>468129</v>
      </c>
      <c r="F1892">
        <v>447541</v>
      </c>
      <c r="G1892">
        <v>445638</v>
      </c>
    </row>
    <row r="1893" spans="1:7">
      <c r="A1893" t="s">
        <v>1876</v>
      </c>
      <c r="B1893" t="s">
        <v>352</v>
      </c>
      <c r="C1893" t="s">
        <v>319</v>
      </c>
      <c r="D1893">
        <v>150396</v>
      </c>
      <c r="E1893">
        <v>155393</v>
      </c>
      <c r="F1893">
        <v>154990</v>
      </c>
      <c r="G1893">
        <v>152415</v>
      </c>
    </row>
    <row r="1894" spans="1:7">
      <c r="A1894" t="s">
        <v>1876</v>
      </c>
      <c r="B1894" t="s">
        <v>352</v>
      </c>
      <c r="C1894" t="s">
        <v>320</v>
      </c>
      <c r="D1894">
        <v>300874</v>
      </c>
      <c r="E1894">
        <v>304437</v>
      </c>
      <c r="F1894">
        <v>293813</v>
      </c>
      <c r="G1894">
        <v>289048</v>
      </c>
    </row>
    <row r="1895" spans="1:7">
      <c r="A1895" t="s">
        <v>1876</v>
      </c>
      <c r="B1895" t="s">
        <v>352</v>
      </c>
      <c r="C1895" t="s">
        <v>321</v>
      </c>
      <c r="D1895">
        <v>232223</v>
      </c>
      <c r="E1895">
        <v>240066</v>
      </c>
      <c r="F1895">
        <v>234349</v>
      </c>
      <c r="G1895">
        <v>227813</v>
      </c>
    </row>
    <row r="1896" spans="1:7">
      <c r="A1896" t="s">
        <v>1876</v>
      </c>
      <c r="B1896" t="s">
        <v>352</v>
      </c>
      <c r="C1896" t="s">
        <v>1954</v>
      </c>
      <c r="D1896">
        <v>1116743</v>
      </c>
      <c r="E1896">
        <v>1168025</v>
      </c>
      <c r="F1896">
        <v>1130693</v>
      </c>
      <c r="G1896">
        <v>1114914</v>
      </c>
    </row>
    <row r="1897" spans="1:7">
      <c r="A1897" t="s">
        <v>1876</v>
      </c>
      <c r="B1897" t="s">
        <v>352</v>
      </c>
      <c r="C1897" t="s">
        <v>323</v>
      </c>
      <c r="D1897">
        <v>5814</v>
      </c>
      <c r="E1897">
        <v>5853</v>
      </c>
      <c r="F1897">
        <v>5912</v>
      </c>
      <c r="G1897">
        <v>5989</v>
      </c>
    </row>
    <row r="1898" spans="1:7">
      <c r="A1898" t="s">
        <v>1876</v>
      </c>
      <c r="B1898" t="s">
        <v>352</v>
      </c>
      <c r="C1898" t="s">
        <v>324</v>
      </c>
      <c r="D1898">
        <v>274</v>
      </c>
      <c r="E1898">
        <v>0</v>
      </c>
      <c r="F1898">
        <v>0</v>
      </c>
      <c r="G1898">
        <v>0</v>
      </c>
    </row>
    <row r="1899" spans="1:7">
      <c r="A1899" t="s">
        <v>1876</v>
      </c>
      <c r="B1899" t="s">
        <v>352</v>
      </c>
      <c r="C1899" t="s">
        <v>325</v>
      </c>
      <c r="D1899">
        <v>0</v>
      </c>
      <c r="E1899">
        <v>0</v>
      </c>
      <c r="F1899">
        <v>0</v>
      </c>
      <c r="G1899">
        <v>0</v>
      </c>
    </row>
    <row r="1900" spans="1:7">
      <c r="A1900" t="s">
        <v>1876</v>
      </c>
      <c r="B1900" t="s">
        <v>352</v>
      </c>
      <c r="C1900" t="s">
        <v>326</v>
      </c>
      <c r="D1900">
        <v>1012</v>
      </c>
      <c r="E1900">
        <v>1012</v>
      </c>
      <c r="F1900">
        <v>1012</v>
      </c>
      <c r="G1900">
        <v>1012</v>
      </c>
    </row>
    <row r="1901" spans="1:7">
      <c r="A1901" t="s">
        <v>1876</v>
      </c>
      <c r="B1901" t="s">
        <v>352</v>
      </c>
      <c r="C1901" t="s">
        <v>327</v>
      </c>
      <c r="D1901">
        <v>1282</v>
      </c>
      <c r="E1901">
        <v>1219</v>
      </c>
      <c r="F1901">
        <v>1010</v>
      </c>
      <c r="G1901">
        <v>209</v>
      </c>
    </row>
    <row r="1902" spans="1:7">
      <c r="A1902" t="s">
        <v>1876</v>
      </c>
      <c r="B1902" t="s">
        <v>352</v>
      </c>
      <c r="C1902" t="s">
        <v>1723</v>
      </c>
      <c r="D1902">
        <v>13</v>
      </c>
      <c r="E1902">
        <v>13</v>
      </c>
      <c r="F1902">
        <v>13</v>
      </c>
      <c r="G1902">
        <v>13</v>
      </c>
    </row>
    <row r="1903" spans="1:7">
      <c r="A1903" t="s">
        <v>1876</v>
      </c>
      <c r="B1903" t="s">
        <v>352</v>
      </c>
      <c r="C1903" t="s">
        <v>328</v>
      </c>
      <c r="D1903">
        <v>467</v>
      </c>
      <c r="E1903">
        <v>873</v>
      </c>
      <c r="F1903">
        <v>873</v>
      </c>
      <c r="G1903">
        <v>873</v>
      </c>
    </row>
    <row r="1904" spans="1:7">
      <c r="A1904" t="s">
        <v>1876</v>
      </c>
      <c r="B1904" t="s">
        <v>352</v>
      </c>
      <c r="C1904" t="s">
        <v>329</v>
      </c>
      <c r="D1904">
        <v>5259</v>
      </c>
      <c r="E1904">
        <v>6626</v>
      </c>
      <c r="F1904">
        <v>5633</v>
      </c>
      <c r="G1904">
        <v>5280</v>
      </c>
    </row>
    <row r="1905" spans="1:7">
      <c r="A1905" t="s">
        <v>1876</v>
      </c>
      <c r="B1905" t="s">
        <v>352</v>
      </c>
      <c r="C1905" t="s">
        <v>330</v>
      </c>
      <c r="D1905">
        <v>8021</v>
      </c>
      <c r="E1905">
        <v>9730</v>
      </c>
      <c r="F1905">
        <v>8528</v>
      </c>
      <c r="G1905">
        <v>7374</v>
      </c>
    </row>
    <row r="1906" spans="1:7">
      <c r="A1906" t="s">
        <v>1876</v>
      </c>
      <c r="B1906" t="s">
        <v>352</v>
      </c>
      <c r="C1906" t="s">
        <v>331</v>
      </c>
      <c r="D1906">
        <v>0</v>
      </c>
      <c r="E1906">
        <v>0</v>
      </c>
      <c r="F1906">
        <v>0</v>
      </c>
      <c r="G1906">
        <v>0</v>
      </c>
    </row>
    <row r="1907" spans="1:7">
      <c r="A1907" t="s">
        <v>1876</v>
      </c>
      <c r="B1907" t="s">
        <v>352</v>
      </c>
      <c r="C1907" t="s">
        <v>332</v>
      </c>
      <c r="D1907">
        <v>1056</v>
      </c>
      <c r="E1907">
        <v>1063</v>
      </c>
      <c r="F1907">
        <v>1001</v>
      </c>
      <c r="G1907">
        <v>1044</v>
      </c>
    </row>
    <row r="1908" spans="1:7">
      <c r="A1908" t="s">
        <v>1876</v>
      </c>
      <c r="B1908" t="s">
        <v>352</v>
      </c>
      <c r="C1908" t="s">
        <v>1724</v>
      </c>
      <c r="D1908">
        <v>16</v>
      </c>
      <c r="E1908">
        <v>16</v>
      </c>
      <c r="F1908">
        <v>16</v>
      </c>
      <c r="G1908">
        <v>16</v>
      </c>
    </row>
    <row r="1909" spans="1:7">
      <c r="A1909" t="s">
        <v>1876</v>
      </c>
      <c r="B1909" t="s">
        <v>352</v>
      </c>
      <c r="C1909" t="s">
        <v>333</v>
      </c>
      <c r="D1909">
        <v>25</v>
      </c>
      <c r="E1909">
        <v>6</v>
      </c>
      <c r="F1909">
        <v>6</v>
      </c>
      <c r="G1909">
        <v>6</v>
      </c>
    </row>
    <row r="1910" spans="1:7">
      <c r="A1910" t="s">
        <v>1876</v>
      </c>
      <c r="B1910" t="s">
        <v>352</v>
      </c>
      <c r="C1910" t="s">
        <v>334</v>
      </c>
      <c r="D1910">
        <v>1082</v>
      </c>
      <c r="E1910">
        <v>1069</v>
      </c>
      <c r="F1910">
        <v>1007</v>
      </c>
      <c r="G1910">
        <v>1050</v>
      </c>
    </row>
    <row r="1911" spans="1:7">
      <c r="A1911" t="s">
        <v>1876</v>
      </c>
      <c r="B1911" t="s">
        <v>352</v>
      </c>
      <c r="C1911" t="s">
        <v>335</v>
      </c>
      <c r="D1911">
        <v>1012</v>
      </c>
      <c r="E1911">
        <v>1012</v>
      </c>
      <c r="F1911">
        <v>1012</v>
      </c>
      <c r="G1911">
        <v>1012</v>
      </c>
    </row>
    <row r="1912" spans="1:7">
      <c r="A1912" t="s">
        <v>1876</v>
      </c>
      <c r="B1912" t="s">
        <v>352</v>
      </c>
      <c r="C1912" t="s">
        <v>336</v>
      </c>
      <c r="D1912">
        <v>2339</v>
      </c>
      <c r="E1912">
        <v>2282</v>
      </c>
      <c r="F1912">
        <v>2012</v>
      </c>
      <c r="G1912">
        <v>1253</v>
      </c>
    </row>
    <row r="1913" spans="1:7">
      <c r="A1913" t="s">
        <v>1876</v>
      </c>
      <c r="B1913" t="s">
        <v>352</v>
      </c>
      <c r="C1913" t="s">
        <v>337</v>
      </c>
      <c r="D1913">
        <v>492</v>
      </c>
      <c r="E1913">
        <v>879</v>
      </c>
      <c r="F1913">
        <v>879</v>
      </c>
      <c r="G1913">
        <v>879</v>
      </c>
    </row>
    <row r="1914" spans="1:7">
      <c r="A1914" t="s">
        <v>1876</v>
      </c>
      <c r="B1914" t="s">
        <v>352</v>
      </c>
      <c r="C1914" t="s">
        <v>338</v>
      </c>
      <c r="D1914">
        <v>9102</v>
      </c>
      <c r="E1914">
        <v>10799</v>
      </c>
      <c r="F1914">
        <v>9535</v>
      </c>
      <c r="G1914">
        <v>8424</v>
      </c>
    </row>
    <row r="1915" spans="1:7">
      <c r="A1915" t="s">
        <v>1876</v>
      </c>
      <c r="B1915" t="s">
        <v>352</v>
      </c>
      <c r="C1915" t="s">
        <v>339</v>
      </c>
      <c r="D1915">
        <v>6764</v>
      </c>
      <c r="E1915">
        <v>8517</v>
      </c>
      <c r="F1915">
        <v>7524</v>
      </c>
      <c r="G1915">
        <v>7171</v>
      </c>
    </row>
    <row r="1916" spans="1:7">
      <c r="A1916" t="s">
        <v>1876</v>
      </c>
      <c r="B1916" t="s">
        <v>352</v>
      </c>
      <c r="C1916" t="s">
        <v>340</v>
      </c>
      <c r="D1916">
        <v>113</v>
      </c>
      <c r="E1916">
        <v>112</v>
      </c>
      <c r="F1916">
        <v>77</v>
      </c>
      <c r="G1916">
        <v>95</v>
      </c>
    </row>
    <row r="1917" spans="1:7">
      <c r="A1917" t="s">
        <v>1876</v>
      </c>
      <c r="B1917" t="s">
        <v>352</v>
      </c>
      <c r="C1917" t="s">
        <v>1955</v>
      </c>
      <c r="D1917">
        <v>35.700000000000003</v>
      </c>
      <c r="E1917">
        <v>38</v>
      </c>
      <c r="F1917">
        <v>35.700000000000003</v>
      </c>
      <c r="G1917">
        <v>37.5</v>
      </c>
    </row>
    <row r="1918" spans="1:7">
      <c r="A1918" t="s">
        <v>1876</v>
      </c>
      <c r="B1918" t="s">
        <v>352</v>
      </c>
      <c r="C1918" t="s">
        <v>341</v>
      </c>
      <c r="D1918">
        <v>0</v>
      </c>
      <c r="E1918">
        <v>0</v>
      </c>
      <c r="F1918">
        <v>0</v>
      </c>
      <c r="G1918">
        <v>0</v>
      </c>
    </row>
    <row r="1919" spans="1:7">
      <c r="A1919" t="s">
        <v>1876</v>
      </c>
      <c r="B1919" t="s">
        <v>352</v>
      </c>
      <c r="C1919" t="s">
        <v>342</v>
      </c>
      <c r="D1919">
        <v>51599</v>
      </c>
      <c r="E1919">
        <v>57695</v>
      </c>
      <c r="F1919">
        <v>54896</v>
      </c>
      <c r="G1919">
        <v>60049</v>
      </c>
    </row>
    <row r="1920" spans="1:7">
      <c r="A1920" t="s">
        <v>1876</v>
      </c>
      <c r="B1920" t="s">
        <v>352</v>
      </c>
      <c r="C1920" t="s">
        <v>1725</v>
      </c>
      <c r="D1920">
        <v>4991</v>
      </c>
      <c r="E1920">
        <v>5136</v>
      </c>
      <c r="F1920">
        <v>5337</v>
      </c>
      <c r="G1920">
        <v>5337</v>
      </c>
    </row>
    <row r="1921" spans="1:7">
      <c r="A1921" t="s">
        <v>1876</v>
      </c>
      <c r="B1921" t="s">
        <v>352</v>
      </c>
      <c r="C1921" t="s">
        <v>343</v>
      </c>
      <c r="D1921">
        <v>10</v>
      </c>
      <c r="E1921">
        <v>6</v>
      </c>
      <c r="F1921">
        <v>7</v>
      </c>
      <c r="G1921">
        <v>9</v>
      </c>
    </row>
    <row r="1922" spans="1:7">
      <c r="A1922" t="s">
        <v>1876</v>
      </c>
      <c r="B1922" t="s">
        <v>352</v>
      </c>
      <c r="C1922" t="s">
        <v>344</v>
      </c>
      <c r="D1922">
        <v>51609</v>
      </c>
      <c r="E1922">
        <v>57701</v>
      </c>
      <c r="F1922">
        <v>54903</v>
      </c>
      <c r="G1922">
        <v>60058</v>
      </c>
    </row>
    <row r="1923" spans="1:7">
      <c r="A1923" t="s">
        <v>1876</v>
      </c>
      <c r="B1923" t="s">
        <v>352</v>
      </c>
      <c r="C1923" t="s">
        <v>345</v>
      </c>
      <c r="D1923">
        <v>10</v>
      </c>
      <c r="E1923">
        <v>6</v>
      </c>
      <c r="F1923">
        <v>7</v>
      </c>
      <c r="G1923">
        <v>9</v>
      </c>
    </row>
    <row r="1924" spans="1:7">
      <c r="A1924" t="s">
        <v>1876</v>
      </c>
      <c r="B1924" t="s">
        <v>352</v>
      </c>
      <c r="C1924" t="s">
        <v>1956</v>
      </c>
      <c r="D1924">
        <v>1056</v>
      </c>
      <c r="E1924">
        <v>1063</v>
      </c>
      <c r="F1924">
        <v>1001</v>
      </c>
      <c r="G1924">
        <v>1044</v>
      </c>
    </row>
    <row r="1925" spans="1:7">
      <c r="A1925" t="s">
        <v>1876</v>
      </c>
      <c r="B1925" t="s">
        <v>352</v>
      </c>
      <c r="C1925" t="s">
        <v>1957</v>
      </c>
      <c r="D1925">
        <v>1082</v>
      </c>
      <c r="E1925">
        <v>1069</v>
      </c>
      <c r="F1925">
        <v>1007</v>
      </c>
      <c r="G1925">
        <v>1050</v>
      </c>
    </row>
    <row r="1926" spans="1:7">
      <c r="A1926" t="s">
        <v>1876</v>
      </c>
      <c r="B1926" t="s">
        <v>352</v>
      </c>
      <c r="C1926" t="s">
        <v>346</v>
      </c>
      <c r="D1926">
        <v>428</v>
      </c>
      <c r="E1926">
        <v>444</v>
      </c>
      <c r="F1926">
        <v>298</v>
      </c>
      <c r="G1926">
        <v>429</v>
      </c>
    </row>
    <row r="1927" spans="1:7">
      <c r="A1927" t="s">
        <v>1876</v>
      </c>
      <c r="B1927" t="s">
        <v>352</v>
      </c>
      <c r="C1927" t="s">
        <v>347</v>
      </c>
      <c r="D1927">
        <v>6723</v>
      </c>
      <c r="E1927">
        <v>7212</v>
      </c>
      <c r="F1927">
        <v>7282</v>
      </c>
      <c r="G1927">
        <v>6547</v>
      </c>
    </row>
    <row r="1928" spans="1:7">
      <c r="A1928" t="s">
        <v>1876</v>
      </c>
      <c r="B1928" t="s">
        <v>353</v>
      </c>
      <c r="C1928" t="s">
        <v>133</v>
      </c>
      <c r="D1928">
        <v>0</v>
      </c>
      <c r="E1928">
        <v>0</v>
      </c>
      <c r="F1928">
        <v>0</v>
      </c>
      <c r="G1928">
        <v>0</v>
      </c>
    </row>
    <row r="1929" spans="1:7">
      <c r="A1929" t="s">
        <v>1876</v>
      </c>
      <c r="B1929" t="s">
        <v>353</v>
      </c>
      <c r="C1929" t="s">
        <v>134</v>
      </c>
      <c r="D1929">
        <v>6246</v>
      </c>
      <c r="E1929">
        <v>10882</v>
      </c>
      <c r="F1929">
        <v>10750</v>
      </c>
      <c r="G1929">
        <v>10922</v>
      </c>
    </row>
    <row r="1930" spans="1:7">
      <c r="A1930" t="s">
        <v>1876</v>
      </c>
      <c r="B1930" t="s">
        <v>353</v>
      </c>
      <c r="C1930" t="s">
        <v>135</v>
      </c>
      <c r="D1930">
        <v>6246</v>
      </c>
      <c r="E1930">
        <v>10882</v>
      </c>
      <c r="F1930">
        <v>10750</v>
      </c>
      <c r="G1930">
        <v>10922</v>
      </c>
    </row>
    <row r="1931" spans="1:7">
      <c r="A1931" t="s">
        <v>1876</v>
      </c>
      <c r="B1931" t="s">
        <v>353</v>
      </c>
      <c r="C1931" t="s">
        <v>136</v>
      </c>
      <c r="D1931">
        <v>6246</v>
      </c>
      <c r="E1931">
        <v>10882</v>
      </c>
      <c r="F1931">
        <v>10750</v>
      </c>
      <c r="G1931">
        <v>10922</v>
      </c>
    </row>
    <row r="1932" spans="1:7">
      <c r="A1932" t="s">
        <v>1876</v>
      </c>
      <c r="B1932" t="s">
        <v>353</v>
      </c>
      <c r="C1932" t="s">
        <v>137</v>
      </c>
      <c r="D1932">
        <v>109</v>
      </c>
      <c r="E1932">
        <v>112</v>
      </c>
      <c r="F1932">
        <v>107</v>
      </c>
      <c r="G1932">
        <v>115</v>
      </c>
    </row>
    <row r="1933" spans="1:7">
      <c r="A1933" t="s">
        <v>1876</v>
      </c>
      <c r="B1933" t="s">
        <v>353</v>
      </c>
      <c r="C1933" t="s">
        <v>138</v>
      </c>
      <c r="D1933">
        <v>109</v>
      </c>
      <c r="E1933">
        <v>112</v>
      </c>
      <c r="F1933">
        <v>107</v>
      </c>
      <c r="G1933">
        <v>115</v>
      </c>
    </row>
    <row r="1934" spans="1:7">
      <c r="A1934" t="s">
        <v>1876</v>
      </c>
      <c r="B1934" t="s">
        <v>353</v>
      </c>
      <c r="C1934" t="s">
        <v>139</v>
      </c>
      <c r="D1934">
        <v>109</v>
      </c>
      <c r="E1934">
        <v>112</v>
      </c>
      <c r="F1934">
        <v>107</v>
      </c>
      <c r="G1934">
        <v>115</v>
      </c>
    </row>
    <row r="1935" spans="1:7">
      <c r="A1935" t="s">
        <v>1876</v>
      </c>
      <c r="B1935" t="s">
        <v>353</v>
      </c>
      <c r="C1935" t="s">
        <v>1877</v>
      </c>
      <c r="D1935">
        <v>0</v>
      </c>
      <c r="E1935">
        <v>0</v>
      </c>
      <c r="F1935">
        <v>0</v>
      </c>
      <c r="G1935">
        <v>0</v>
      </c>
    </row>
    <row r="1936" spans="1:7">
      <c r="A1936" t="s">
        <v>1876</v>
      </c>
      <c r="B1936" t="s">
        <v>353</v>
      </c>
      <c r="C1936" t="s">
        <v>1700</v>
      </c>
      <c r="D1936">
        <v>0</v>
      </c>
      <c r="E1936">
        <v>0</v>
      </c>
      <c r="F1936">
        <v>0</v>
      </c>
      <c r="G1936">
        <v>0</v>
      </c>
    </row>
    <row r="1937" spans="1:7">
      <c r="A1937" t="s">
        <v>1876</v>
      </c>
      <c r="B1937" t="s">
        <v>353</v>
      </c>
      <c r="C1937" t="s">
        <v>1878</v>
      </c>
      <c r="D1937">
        <v>0</v>
      </c>
      <c r="E1937">
        <v>0</v>
      </c>
      <c r="F1937">
        <v>0</v>
      </c>
      <c r="G1937">
        <v>0</v>
      </c>
    </row>
    <row r="1938" spans="1:7">
      <c r="A1938" t="s">
        <v>1876</v>
      </c>
      <c r="B1938" t="s">
        <v>353</v>
      </c>
      <c r="C1938" t="s">
        <v>1879</v>
      </c>
      <c r="D1938">
        <v>0</v>
      </c>
      <c r="E1938">
        <v>0</v>
      </c>
      <c r="F1938">
        <v>0</v>
      </c>
      <c r="G1938">
        <v>0</v>
      </c>
    </row>
    <row r="1939" spans="1:7">
      <c r="A1939" t="s">
        <v>1876</v>
      </c>
      <c r="B1939" t="s">
        <v>353</v>
      </c>
      <c r="C1939" t="s">
        <v>1701</v>
      </c>
      <c r="D1939">
        <v>0</v>
      </c>
      <c r="E1939">
        <v>0</v>
      </c>
      <c r="F1939">
        <v>0</v>
      </c>
      <c r="G1939">
        <v>0</v>
      </c>
    </row>
    <row r="1940" spans="1:7">
      <c r="A1940" t="s">
        <v>1876</v>
      </c>
      <c r="B1940" t="s">
        <v>353</v>
      </c>
      <c r="C1940" t="s">
        <v>1880</v>
      </c>
      <c r="D1940">
        <v>411</v>
      </c>
      <c r="E1940">
        <v>360</v>
      </c>
      <c r="F1940">
        <v>418</v>
      </c>
      <c r="G1940">
        <v>396</v>
      </c>
    </row>
    <row r="1941" spans="1:7">
      <c r="A1941" t="s">
        <v>1876</v>
      </c>
      <c r="B1941" t="s">
        <v>353</v>
      </c>
      <c r="C1941" t="s">
        <v>140</v>
      </c>
      <c r="D1941">
        <v>966</v>
      </c>
      <c r="E1941">
        <v>870</v>
      </c>
      <c r="F1941">
        <v>1129</v>
      </c>
      <c r="G1941">
        <v>1130</v>
      </c>
    </row>
    <row r="1942" spans="1:7">
      <c r="A1942" t="s">
        <v>1876</v>
      </c>
      <c r="B1942" t="s">
        <v>353</v>
      </c>
      <c r="C1942" t="s">
        <v>1881</v>
      </c>
      <c r="D1942">
        <v>555</v>
      </c>
      <c r="E1942">
        <v>510</v>
      </c>
      <c r="F1942">
        <v>710</v>
      </c>
      <c r="G1942">
        <v>733</v>
      </c>
    </row>
    <row r="1943" spans="1:7">
      <c r="A1943" t="s">
        <v>1876</v>
      </c>
      <c r="B1943" t="s">
        <v>353</v>
      </c>
      <c r="C1943" t="s">
        <v>1882</v>
      </c>
      <c r="D1943">
        <v>271</v>
      </c>
      <c r="E1943">
        <v>258</v>
      </c>
      <c r="F1943">
        <v>228</v>
      </c>
      <c r="G1943">
        <v>231</v>
      </c>
    </row>
    <row r="1944" spans="1:7">
      <c r="A1944" t="s">
        <v>1876</v>
      </c>
      <c r="B1944" t="s">
        <v>353</v>
      </c>
      <c r="C1944" t="s">
        <v>1883</v>
      </c>
      <c r="D1944">
        <v>638</v>
      </c>
      <c r="E1944">
        <v>624</v>
      </c>
      <c r="F1944">
        <v>615</v>
      </c>
      <c r="G1944">
        <v>660</v>
      </c>
    </row>
    <row r="1945" spans="1:7">
      <c r="A1945" t="s">
        <v>1876</v>
      </c>
      <c r="B1945" t="s">
        <v>353</v>
      </c>
      <c r="C1945" t="s">
        <v>1884</v>
      </c>
      <c r="D1945">
        <v>366</v>
      </c>
      <c r="E1945">
        <v>366</v>
      </c>
      <c r="F1945">
        <v>387</v>
      </c>
      <c r="G1945">
        <v>428</v>
      </c>
    </row>
    <row r="1946" spans="1:7">
      <c r="A1946" t="s">
        <v>1876</v>
      </c>
      <c r="B1946" t="s">
        <v>353</v>
      </c>
      <c r="C1946" t="s">
        <v>1885</v>
      </c>
      <c r="D1946">
        <v>0</v>
      </c>
      <c r="E1946">
        <v>0</v>
      </c>
      <c r="F1946">
        <v>0</v>
      </c>
      <c r="G1946">
        <v>0</v>
      </c>
    </row>
    <row r="1947" spans="1:7">
      <c r="A1947" t="s">
        <v>1876</v>
      </c>
      <c r="B1947" t="s">
        <v>353</v>
      </c>
      <c r="C1947" t="s">
        <v>1886</v>
      </c>
      <c r="D1947">
        <v>0</v>
      </c>
      <c r="E1947">
        <v>0</v>
      </c>
      <c r="F1947">
        <v>0</v>
      </c>
      <c r="G1947">
        <v>0</v>
      </c>
    </row>
    <row r="1948" spans="1:7">
      <c r="A1948" t="s">
        <v>1876</v>
      </c>
      <c r="B1948" t="s">
        <v>353</v>
      </c>
      <c r="C1948" t="s">
        <v>141</v>
      </c>
      <c r="D1948">
        <v>41</v>
      </c>
      <c r="E1948">
        <v>39</v>
      </c>
      <c r="F1948">
        <v>51</v>
      </c>
      <c r="G1948">
        <v>55</v>
      </c>
    </row>
    <row r="1949" spans="1:7">
      <c r="A1949" t="s">
        <v>1876</v>
      </c>
      <c r="B1949" t="s">
        <v>353</v>
      </c>
      <c r="C1949" t="s">
        <v>1887</v>
      </c>
      <c r="D1949">
        <v>1478</v>
      </c>
      <c r="E1949">
        <v>1426</v>
      </c>
      <c r="F1949">
        <v>1259</v>
      </c>
      <c r="G1949">
        <v>1249</v>
      </c>
    </row>
    <row r="1950" spans="1:7">
      <c r="A1950" t="s">
        <v>1876</v>
      </c>
      <c r="B1950" t="s">
        <v>353</v>
      </c>
      <c r="C1950" t="s">
        <v>1888</v>
      </c>
      <c r="D1950">
        <v>3474</v>
      </c>
      <c r="E1950">
        <v>3447</v>
      </c>
      <c r="F1950">
        <v>3395</v>
      </c>
      <c r="G1950">
        <v>3560</v>
      </c>
    </row>
    <row r="1951" spans="1:7">
      <c r="A1951" t="s">
        <v>1876</v>
      </c>
      <c r="B1951" t="s">
        <v>353</v>
      </c>
      <c r="C1951" t="s">
        <v>1889</v>
      </c>
      <c r="D1951">
        <v>2161</v>
      </c>
      <c r="E1951">
        <v>2045</v>
      </c>
      <c r="F1951">
        <v>1905</v>
      </c>
      <c r="G1951">
        <v>1876</v>
      </c>
    </row>
    <row r="1952" spans="1:7">
      <c r="A1952" t="s">
        <v>1876</v>
      </c>
      <c r="B1952" t="s">
        <v>353</v>
      </c>
      <c r="C1952" t="s">
        <v>1890</v>
      </c>
      <c r="D1952">
        <v>1996</v>
      </c>
      <c r="E1952">
        <v>2021</v>
      </c>
      <c r="F1952">
        <v>2136</v>
      </c>
      <c r="G1952">
        <v>2311</v>
      </c>
    </row>
    <row r="1953" spans="1:7">
      <c r="A1953" t="s">
        <v>1876</v>
      </c>
      <c r="B1953" t="s">
        <v>353</v>
      </c>
      <c r="C1953" t="s">
        <v>1891</v>
      </c>
    </row>
    <row r="1954" spans="1:7">
      <c r="A1954" t="s">
        <v>1876</v>
      </c>
      <c r="B1954" t="s">
        <v>353</v>
      </c>
      <c r="C1954" t="s">
        <v>1892</v>
      </c>
      <c r="D1954">
        <v>2917</v>
      </c>
      <c r="E1954">
        <v>2897</v>
      </c>
      <c r="F1954">
        <v>3233</v>
      </c>
      <c r="G1954">
        <v>3472</v>
      </c>
    </row>
    <row r="1955" spans="1:7">
      <c r="A1955" t="s">
        <v>1876</v>
      </c>
      <c r="B1955" t="s">
        <v>353</v>
      </c>
      <c r="C1955" t="s">
        <v>142</v>
      </c>
      <c r="D1955">
        <v>5078</v>
      </c>
      <c r="E1955">
        <v>4941</v>
      </c>
      <c r="F1955">
        <v>5138</v>
      </c>
      <c r="G1955">
        <v>5349</v>
      </c>
    </row>
    <row r="1956" spans="1:7">
      <c r="A1956" t="s">
        <v>1876</v>
      </c>
      <c r="B1956" t="s">
        <v>353</v>
      </c>
      <c r="C1956" t="s">
        <v>1893</v>
      </c>
      <c r="D1956">
        <v>5078</v>
      </c>
      <c r="E1956">
        <v>4941</v>
      </c>
      <c r="F1956">
        <v>5138</v>
      </c>
      <c r="G1956">
        <v>5349</v>
      </c>
    </row>
    <row r="1957" spans="1:7">
      <c r="A1957" t="s">
        <v>1876</v>
      </c>
      <c r="B1957" t="s">
        <v>353</v>
      </c>
      <c r="C1957" t="s">
        <v>1894</v>
      </c>
      <c r="D1957">
        <v>2917</v>
      </c>
      <c r="E1957">
        <v>2897</v>
      </c>
      <c r="F1957">
        <v>3233</v>
      </c>
      <c r="G1957">
        <v>3472</v>
      </c>
    </row>
    <row r="1958" spans="1:7">
      <c r="A1958" t="s">
        <v>1876</v>
      </c>
      <c r="B1958" t="s">
        <v>353</v>
      </c>
      <c r="C1958" t="s">
        <v>143</v>
      </c>
      <c r="D1958">
        <v>41</v>
      </c>
      <c r="E1958">
        <v>39</v>
      </c>
      <c r="F1958">
        <v>51</v>
      </c>
      <c r="G1958">
        <v>55</v>
      </c>
    </row>
    <row r="1959" spans="1:7">
      <c r="A1959" t="s">
        <v>1876</v>
      </c>
      <c r="B1959" t="s">
        <v>353</v>
      </c>
      <c r="C1959" t="s">
        <v>144</v>
      </c>
      <c r="D1959">
        <v>17104</v>
      </c>
      <c r="E1959">
        <v>17893</v>
      </c>
      <c r="F1959">
        <v>17674</v>
      </c>
      <c r="G1959">
        <v>18642</v>
      </c>
    </row>
    <row r="1960" spans="1:7">
      <c r="A1960" t="s">
        <v>1876</v>
      </c>
      <c r="B1960" t="s">
        <v>353</v>
      </c>
      <c r="C1960" t="s">
        <v>1895</v>
      </c>
      <c r="D1960">
        <v>76.400000000000006</v>
      </c>
      <c r="E1960">
        <v>68.3</v>
      </c>
      <c r="F1960">
        <v>83.6</v>
      </c>
      <c r="G1960">
        <v>79.7</v>
      </c>
    </row>
    <row r="1961" spans="1:7">
      <c r="A1961" t="s">
        <v>1876</v>
      </c>
      <c r="B1961" t="s">
        <v>353</v>
      </c>
      <c r="C1961" t="s">
        <v>145</v>
      </c>
      <c r="D1961">
        <v>42781</v>
      </c>
      <c r="E1961">
        <v>42873</v>
      </c>
      <c r="F1961">
        <v>41562</v>
      </c>
      <c r="G1961">
        <v>41460</v>
      </c>
    </row>
    <row r="1962" spans="1:7">
      <c r="A1962" t="s">
        <v>1876</v>
      </c>
      <c r="B1962" t="s">
        <v>353</v>
      </c>
      <c r="C1962" t="s">
        <v>146</v>
      </c>
      <c r="D1962">
        <v>0</v>
      </c>
      <c r="E1962">
        <v>0</v>
      </c>
      <c r="F1962">
        <v>0</v>
      </c>
      <c r="G1962">
        <v>0</v>
      </c>
    </row>
    <row r="1963" spans="1:7">
      <c r="A1963" t="s">
        <v>1876</v>
      </c>
      <c r="B1963" t="s">
        <v>353</v>
      </c>
      <c r="C1963" t="s">
        <v>147</v>
      </c>
      <c r="D1963">
        <v>0</v>
      </c>
      <c r="E1963">
        <v>0</v>
      </c>
      <c r="F1963">
        <v>0</v>
      </c>
      <c r="G1963">
        <v>0</v>
      </c>
    </row>
    <row r="1964" spans="1:7">
      <c r="A1964" t="s">
        <v>1876</v>
      </c>
      <c r="B1964" t="s">
        <v>353</v>
      </c>
      <c r="C1964" t="s">
        <v>1896</v>
      </c>
      <c r="D1964">
        <v>1.2</v>
      </c>
      <c r="E1964">
        <v>0.8</v>
      </c>
      <c r="F1964">
        <v>1</v>
      </c>
      <c r="G1964">
        <v>1.6</v>
      </c>
    </row>
    <row r="1965" spans="1:7">
      <c r="A1965" t="s">
        <v>1876</v>
      </c>
      <c r="B1965" t="s">
        <v>353</v>
      </c>
      <c r="C1965" t="s">
        <v>1702</v>
      </c>
      <c r="D1965">
        <v>2</v>
      </c>
      <c r="E1965">
        <v>2</v>
      </c>
      <c r="F1965">
        <v>2</v>
      </c>
      <c r="G1965">
        <v>2</v>
      </c>
    </row>
    <row r="1966" spans="1:7">
      <c r="A1966" t="s">
        <v>1876</v>
      </c>
      <c r="B1966" t="s">
        <v>353</v>
      </c>
      <c r="C1966" t="s">
        <v>1897</v>
      </c>
      <c r="D1966">
        <v>12.9</v>
      </c>
      <c r="E1966">
        <v>18.5</v>
      </c>
      <c r="F1966">
        <v>30.2</v>
      </c>
      <c r="G1966">
        <v>38.1</v>
      </c>
    </row>
    <row r="1967" spans="1:7">
      <c r="A1967" t="s">
        <v>1876</v>
      </c>
      <c r="B1967" t="s">
        <v>353</v>
      </c>
      <c r="C1967" t="s">
        <v>1898</v>
      </c>
      <c r="D1967">
        <v>21</v>
      </c>
      <c r="E1967">
        <v>35</v>
      </c>
      <c r="F1967">
        <v>96</v>
      </c>
      <c r="G1967">
        <v>132</v>
      </c>
    </row>
    <row r="1968" spans="1:7">
      <c r="A1968" t="s">
        <v>1876</v>
      </c>
      <c r="B1968" t="s">
        <v>353</v>
      </c>
      <c r="C1968" t="s">
        <v>1899</v>
      </c>
      <c r="D1968">
        <v>2917</v>
      </c>
      <c r="E1968">
        <v>2897</v>
      </c>
      <c r="F1968">
        <v>3233</v>
      </c>
      <c r="G1968">
        <v>3472</v>
      </c>
    </row>
    <row r="1969" spans="1:7">
      <c r="A1969" t="s">
        <v>1876</v>
      </c>
      <c r="B1969" t="s">
        <v>353</v>
      </c>
      <c r="C1969" t="s">
        <v>148</v>
      </c>
      <c r="D1969">
        <v>0</v>
      </c>
      <c r="E1969">
        <v>0</v>
      </c>
      <c r="F1969">
        <v>0</v>
      </c>
      <c r="G1969">
        <v>0</v>
      </c>
    </row>
    <row r="1970" spans="1:7">
      <c r="A1970" t="s">
        <v>1876</v>
      </c>
      <c r="B1970" t="s">
        <v>353</v>
      </c>
      <c r="C1970" t="s">
        <v>149</v>
      </c>
      <c r="D1970">
        <v>0</v>
      </c>
      <c r="E1970">
        <v>0</v>
      </c>
      <c r="F1970">
        <v>0</v>
      </c>
      <c r="G1970">
        <v>0</v>
      </c>
    </row>
    <row r="1971" spans="1:7">
      <c r="A1971" t="s">
        <v>1876</v>
      </c>
      <c r="B1971" t="s">
        <v>353</v>
      </c>
      <c r="C1971" t="s">
        <v>150</v>
      </c>
      <c r="D1971">
        <v>0</v>
      </c>
      <c r="E1971">
        <v>0</v>
      </c>
      <c r="F1971">
        <v>0</v>
      </c>
      <c r="G1971">
        <v>0</v>
      </c>
    </row>
    <row r="1972" spans="1:7">
      <c r="A1972" t="s">
        <v>1876</v>
      </c>
      <c r="B1972" t="s">
        <v>353</v>
      </c>
      <c r="C1972" t="s">
        <v>1900</v>
      </c>
      <c r="D1972">
        <v>26.8</v>
      </c>
      <c r="E1972">
        <v>0</v>
      </c>
      <c r="F1972">
        <v>0</v>
      </c>
      <c r="G1972">
        <v>0</v>
      </c>
    </row>
    <row r="1973" spans="1:7">
      <c r="A1973" t="s">
        <v>1876</v>
      </c>
      <c r="B1973" t="s">
        <v>353</v>
      </c>
      <c r="C1973" t="s">
        <v>151</v>
      </c>
      <c r="D1973">
        <v>0</v>
      </c>
      <c r="E1973">
        <v>0</v>
      </c>
      <c r="F1973">
        <v>0</v>
      </c>
      <c r="G1973">
        <v>0</v>
      </c>
    </row>
    <row r="1974" spans="1:7">
      <c r="A1974" t="s">
        <v>1876</v>
      </c>
      <c r="B1974" t="s">
        <v>353</v>
      </c>
      <c r="C1974" t="s">
        <v>152</v>
      </c>
      <c r="D1974">
        <v>2880</v>
      </c>
      <c r="E1974">
        <v>0</v>
      </c>
      <c r="F1974">
        <v>0</v>
      </c>
      <c r="G1974">
        <v>0</v>
      </c>
    </row>
    <row r="1975" spans="1:7">
      <c r="A1975" t="s">
        <v>1876</v>
      </c>
      <c r="B1975" t="s">
        <v>353</v>
      </c>
      <c r="C1975" t="s">
        <v>1703</v>
      </c>
      <c r="D1975">
        <v>0</v>
      </c>
      <c r="E1975">
        <v>0</v>
      </c>
      <c r="F1975">
        <v>0</v>
      </c>
      <c r="G1975">
        <v>0</v>
      </c>
    </row>
    <row r="1976" spans="1:7">
      <c r="A1976" t="s">
        <v>1876</v>
      </c>
      <c r="B1976" t="s">
        <v>353</v>
      </c>
      <c r="C1976" t="s">
        <v>153</v>
      </c>
      <c r="D1976">
        <v>0</v>
      </c>
      <c r="E1976">
        <v>0</v>
      </c>
      <c r="F1976">
        <v>0</v>
      </c>
      <c r="G1976">
        <v>0</v>
      </c>
    </row>
    <row r="1977" spans="1:7">
      <c r="A1977" t="s">
        <v>1876</v>
      </c>
      <c r="B1977" t="s">
        <v>353</v>
      </c>
      <c r="C1977" t="s">
        <v>154</v>
      </c>
      <c r="D1977">
        <v>0</v>
      </c>
      <c r="E1977">
        <v>0</v>
      </c>
      <c r="F1977">
        <v>0</v>
      </c>
      <c r="G1977">
        <v>0</v>
      </c>
    </row>
    <row r="1978" spans="1:7">
      <c r="A1978" t="s">
        <v>1876</v>
      </c>
      <c r="B1978" t="s">
        <v>353</v>
      </c>
      <c r="C1978" t="s">
        <v>155</v>
      </c>
      <c r="D1978">
        <v>0</v>
      </c>
      <c r="E1978">
        <v>0</v>
      </c>
      <c r="F1978">
        <v>0</v>
      </c>
      <c r="G1978">
        <v>0</v>
      </c>
    </row>
    <row r="1979" spans="1:7">
      <c r="A1979" t="s">
        <v>1876</v>
      </c>
      <c r="B1979" t="s">
        <v>353</v>
      </c>
      <c r="C1979" t="s">
        <v>156</v>
      </c>
      <c r="D1979">
        <v>0</v>
      </c>
      <c r="E1979">
        <v>0</v>
      </c>
      <c r="F1979">
        <v>0</v>
      </c>
      <c r="G1979">
        <v>0</v>
      </c>
    </row>
    <row r="1980" spans="1:7">
      <c r="A1980" t="s">
        <v>1876</v>
      </c>
      <c r="B1980" t="s">
        <v>353</v>
      </c>
      <c r="C1980" t="s">
        <v>157</v>
      </c>
      <c r="D1980">
        <v>2880</v>
      </c>
      <c r="E1980">
        <v>0</v>
      </c>
      <c r="F1980">
        <v>0</v>
      </c>
      <c r="G1980">
        <v>0</v>
      </c>
    </row>
    <row r="1981" spans="1:7">
      <c r="A1981" t="s">
        <v>1876</v>
      </c>
      <c r="B1981" t="s">
        <v>353</v>
      </c>
      <c r="C1981" t="s">
        <v>158</v>
      </c>
      <c r="D1981">
        <v>0</v>
      </c>
      <c r="E1981">
        <v>0</v>
      </c>
      <c r="F1981">
        <v>0</v>
      </c>
      <c r="G1981">
        <v>0</v>
      </c>
    </row>
    <row r="1982" spans="1:7">
      <c r="A1982" t="s">
        <v>1876</v>
      </c>
      <c r="B1982" t="s">
        <v>353</v>
      </c>
      <c r="C1982" t="s">
        <v>159</v>
      </c>
      <c r="D1982">
        <v>0</v>
      </c>
      <c r="E1982">
        <v>0</v>
      </c>
      <c r="F1982">
        <v>0</v>
      </c>
      <c r="G1982">
        <v>0</v>
      </c>
    </row>
    <row r="1983" spans="1:7">
      <c r="A1983" t="s">
        <v>1876</v>
      </c>
      <c r="B1983" t="s">
        <v>353</v>
      </c>
      <c r="C1983" t="s">
        <v>1901</v>
      </c>
      <c r="D1983">
        <v>67.599999999999994</v>
      </c>
      <c r="E1983">
        <v>67.7</v>
      </c>
      <c r="F1983">
        <v>68.2</v>
      </c>
      <c r="G1983">
        <v>72</v>
      </c>
    </row>
    <row r="1984" spans="1:7">
      <c r="A1984" t="s">
        <v>1876</v>
      </c>
      <c r="B1984" t="s">
        <v>353</v>
      </c>
      <c r="C1984" t="s">
        <v>1902</v>
      </c>
      <c r="D1984">
        <v>39866</v>
      </c>
      <c r="E1984">
        <v>38874</v>
      </c>
      <c r="F1984">
        <v>36766</v>
      </c>
      <c r="G1984">
        <v>35152</v>
      </c>
    </row>
    <row r="1985" spans="1:7">
      <c r="A1985" t="s">
        <v>1876</v>
      </c>
      <c r="B1985" t="s">
        <v>353</v>
      </c>
      <c r="C1985" t="s">
        <v>1903</v>
      </c>
      <c r="D1985">
        <v>10152</v>
      </c>
      <c r="E1985">
        <v>9951</v>
      </c>
      <c r="F1985">
        <v>9767</v>
      </c>
      <c r="G1985">
        <v>9879</v>
      </c>
    </row>
    <row r="1986" spans="1:7">
      <c r="A1986" t="s">
        <v>1876</v>
      </c>
      <c r="B1986" t="s">
        <v>353</v>
      </c>
      <c r="C1986" t="s">
        <v>1904</v>
      </c>
      <c r="D1986">
        <v>245</v>
      </c>
      <c r="E1986">
        <v>464</v>
      </c>
      <c r="F1986">
        <v>370</v>
      </c>
      <c r="G1986">
        <v>243</v>
      </c>
    </row>
    <row r="1987" spans="1:7">
      <c r="A1987" t="s">
        <v>1876</v>
      </c>
      <c r="B1987" t="s">
        <v>353</v>
      </c>
      <c r="C1987" t="s">
        <v>1905</v>
      </c>
      <c r="D1987">
        <v>3028</v>
      </c>
      <c r="E1987">
        <v>3061</v>
      </c>
      <c r="F1987">
        <v>2987</v>
      </c>
      <c r="G1987">
        <v>2899</v>
      </c>
    </row>
    <row r="1988" spans="1:7">
      <c r="A1988" t="s">
        <v>1876</v>
      </c>
      <c r="B1988" t="s">
        <v>353</v>
      </c>
      <c r="C1988" t="s">
        <v>1906</v>
      </c>
      <c r="D1988">
        <v>55318</v>
      </c>
      <c r="E1988">
        <v>54926</v>
      </c>
      <c r="F1988">
        <v>53891</v>
      </c>
      <c r="G1988">
        <v>53318</v>
      </c>
    </row>
    <row r="1989" spans="1:7">
      <c r="A1989" t="s">
        <v>1876</v>
      </c>
      <c r="B1989" t="s">
        <v>353</v>
      </c>
      <c r="C1989" t="s">
        <v>1907</v>
      </c>
      <c r="D1989">
        <v>108609</v>
      </c>
      <c r="E1989">
        <v>107275</v>
      </c>
      <c r="F1989">
        <v>103780</v>
      </c>
      <c r="G1989">
        <v>101490</v>
      </c>
    </row>
    <row r="1990" spans="1:7">
      <c r="A1990" t="s">
        <v>1876</v>
      </c>
      <c r="B1990" t="s">
        <v>353</v>
      </c>
      <c r="C1990" t="s">
        <v>160</v>
      </c>
      <c r="D1990">
        <v>39311</v>
      </c>
      <c r="E1990">
        <v>38364</v>
      </c>
      <c r="F1990">
        <v>36056</v>
      </c>
      <c r="G1990">
        <v>34419</v>
      </c>
    </row>
    <row r="1991" spans="1:7">
      <c r="A1991" t="s">
        <v>1876</v>
      </c>
      <c r="B1991" t="s">
        <v>353</v>
      </c>
      <c r="C1991" t="s">
        <v>161</v>
      </c>
      <c r="D1991">
        <v>9786</v>
      </c>
      <c r="E1991">
        <v>9585</v>
      </c>
      <c r="F1991">
        <v>9380</v>
      </c>
      <c r="G1991">
        <v>9451</v>
      </c>
    </row>
    <row r="1992" spans="1:7">
      <c r="A1992" t="s">
        <v>1876</v>
      </c>
      <c r="B1992" t="s">
        <v>353</v>
      </c>
      <c r="C1992" t="s">
        <v>162</v>
      </c>
      <c r="D1992">
        <v>245</v>
      </c>
      <c r="E1992">
        <v>464</v>
      </c>
      <c r="F1992">
        <v>370</v>
      </c>
      <c r="G1992">
        <v>243</v>
      </c>
    </row>
    <row r="1993" spans="1:7">
      <c r="A1993" t="s">
        <v>1876</v>
      </c>
      <c r="B1993" t="s">
        <v>353</v>
      </c>
      <c r="C1993" t="s">
        <v>163</v>
      </c>
      <c r="D1993">
        <v>3028</v>
      </c>
      <c r="E1993">
        <v>3061</v>
      </c>
      <c r="F1993">
        <v>2987</v>
      </c>
      <c r="G1993">
        <v>2899</v>
      </c>
    </row>
    <row r="1994" spans="1:7">
      <c r="A1994" t="s">
        <v>1876</v>
      </c>
      <c r="B1994" t="s">
        <v>353</v>
      </c>
      <c r="C1994" t="s">
        <v>164</v>
      </c>
      <c r="D1994">
        <v>53322</v>
      </c>
      <c r="E1994">
        <v>52905</v>
      </c>
      <c r="F1994">
        <v>51754</v>
      </c>
      <c r="G1994">
        <v>51007</v>
      </c>
    </row>
    <row r="1995" spans="1:7">
      <c r="A1995" t="s">
        <v>1876</v>
      </c>
      <c r="B1995" t="s">
        <v>353</v>
      </c>
      <c r="C1995" t="s">
        <v>165</v>
      </c>
      <c r="D1995">
        <v>105692</v>
      </c>
      <c r="E1995">
        <v>104378</v>
      </c>
      <c r="F1995">
        <v>100547</v>
      </c>
      <c r="G1995">
        <v>98018</v>
      </c>
    </row>
    <row r="1996" spans="1:7">
      <c r="A1996" t="s">
        <v>1876</v>
      </c>
      <c r="B1996" t="s">
        <v>353</v>
      </c>
      <c r="C1996" t="s">
        <v>166</v>
      </c>
      <c r="D1996">
        <v>105447</v>
      </c>
      <c r="E1996">
        <v>103914</v>
      </c>
      <c r="F1996">
        <v>100177</v>
      </c>
      <c r="G1996">
        <v>97775</v>
      </c>
    </row>
    <row r="1997" spans="1:7">
      <c r="A1997" t="s">
        <v>1876</v>
      </c>
      <c r="B1997" t="s">
        <v>353</v>
      </c>
      <c r="C1997" t="s">
        <v>167</v>
      </c>
      <c r="D1997">
        <v>245</v>
      </c>
      <c r="E1997">
        <v>464</v>
      </c>
      <c r="F1997">
        <v>370</v>
      </c>
      <c r="G1997">
        <v>243</v>
      </c>
    </row>
    <row r="1998" spans="1:7">
      <c r="A1998" t="s">
        <v>1876</v>
      </c>
      <c r="B1998" t="s">
        <v>353</v>
      </c>
      <c r="C1998" t="s">
        <v>1908</v>
      </c>
      <c r="D1998">
        <v>38899</v>
      </c>
      <c r="E1998">
        <v>38004</v>
      </c>
      <c r="F1998">
        <v>35637</v>
      </c>
      <c r="G1998">
        <v>34022</v>
      </c>
    </row>
    <row r="1999" spans="1:7">
      <c r="A1999" t="s">
        <v>1876</v>
      </c>
      <c r="B1999" t="s">
        <v>353</v>
      </c>
      <c r="C1999" t="s">
        <v>1909</v>
      </c>
      <c r="D1999">
        <v>9515</v>
      </c>
      <c r="E1999">
        <v>9326</v>
      </c>
      <c r="F1999">
        <v>9152</v>
      </c>
      <c r="G1999">
        <v>9220</v>
      </c>
    </row>
    <row r="2000" spans="1:7">
      <c r="A2000" t="s">
        <v>1876</v>
      </c>
      <c r="B2000" t="s">
        <v>353</v>
      </c>
      <c r="C2000" t="s">
        <v>1910</v>
      </c>
      <c r="D2000">
        <v>245</v>
      </c>
      <c r="E2000">
        <v>464</v>
      </c>
      <c r="F2000">
        <v>370</v>
      </c>
      <c r="G2000">
        <v>243</v>
      </c>
    </row>
    <row r="2001" spans="1:7">
      <c r="A2001" t="s">
        <v>1876</v>
      </c>
      <c r="B2001" t="s">
        <v>353</v>
      </c>
      <c r="C2001" t="s">
        <v>1911</v>
      </c>
      <c r="D2001">
        <v>3028</v>
      </c>
      <c r="E2001">
        <v>3061</v>
      </c>
      <c r="F2001">
        <v>2987</v>
      </c>
      <c r="G2001">
        <v>2899</v>
      </c>
    </row>
    <row r="2002" spans="1:7">
      <c r="A2002" t="s">
        <v>1876</v>
      </c>
      <c r="B2002" t="s">
        <v>353</v>
      </c>
      <c r="C2002" t="s">
        <v>1912</v>
      </c>
      <c r="D2002">
        <v>51844</v>
      </c>
      <c r="E2002">
        <v>51479</v>
      </c>
      <c r="F2002">
        <v>50496</v>
      </c>
      <c r="G2002">
        <v>49758</v>
      </c>
    </row>
    <row r="2003" spans="1:7">
      <c r="A2003" t="s">
        <v>1876</v>
      </c>
      <c r="B2003" t="s">
        <v>353</v>
      </c>
      <c r="C2003" t="s">
        <v>168</v>
      </c>
      <c r="D2003">
        <v>103531</v>
      </c>
      <c r="E2003">
        <v>102334</v>
      </c>
      <c r="F2003">
        <v>98642</v>
      </c>
      <c r="G2003">
        <v>96141</v>
      </c>
    </row>
    <row r="2004" spans="1:7">
      <c r="A2004" t="s">
        <v>1876</v>
      </c>
      <c r="B2004" t="s">
        <v>353</v>
      </c>
      <c r="C2004" t="s">
        <v>169</v>
      </c>
      <c r="D2004">
        <v>0</v>
      </c>
      <c r="E2004">
        <v>0</v>
      </c>
      <c r="F2004">
        <v>0</v>
      </c>
      <c r="G2004">
        <v>0</v>
      </c>
    </row>
    <row r="2005" spans="1:7">
      <c r="A2005" t="s">
        <v>1876</v>
      </c>
      <c r="B2005" t="s">
        <v>353</v>
      </c>
      <c r="C2005" t="s">
        <v>1704</v>
      </c>
      <c r="D2005">
        <v>10112</v>
      </c>
      <c r="E2005">
        <v>10108</v>
      </c>
      <c r="F2005">
        <v>9936</v>
      </c>
      <c r="G2005">
        <v>9994</v>
      </c>
    </row>
    <row r="2006" spans="1:7">
      <c r="A2006" t="s">
        <v>1876</v>
      </c>
      <c r="B2006" t="s">
        <v>353</v>
      </c>
      <c r="C2006" t="s">
        <v>170</v>
      </c>
      <c r="D2006">
        <v>0</v>
      </c>
      <c r="E2006">
        <v>0</v>
      </c>
      <c r="F2006">
        <v>0</v>
      </c>
      <c r="G2006">
        <v>0</v>
      </c>
    </row>
    <row r="2007" spans="1:7">
      <c r="A2007" t="s">
        <v>1876</v>
      </c>
      <c r="B2007" t="s">
        <v>353</v>
      </c>
      <c r="C2007" t="s">
        <v>171</v>
      </c>
      <c r="D2007">
        <v>-122761</v>
      </c>
      <c r="E2007">
        <v>-113653</v>
      </c>
      <c r="F2007">
        <v>-100665</v>
      </c>
      <c r="G2007">
        <v>-130886</v>
      </c>
    </row>
    <row r="2008" spans="1:7">
      <c r="A2008" t="s">
        <v>1876</v>
      </c>
      <c r="B2008" t="s">
        <v>353</v>
      </c>
      <c r="C2008" t="s">
        <v>172</v>
      </c>
      <c r="D2008">
        <v>0</v>
      </c>
      <c r="E2008">
        <v>0</v>
      </c>
      <c r="F2008">
        <v>0</v>
      </c>
      <c r="G2008">
        <v>0</v>
      </c>
    </row>
    <row r="2009" spans="1:7">
      <c r="A2009" t="s">
        <v>1876</v>
      </c>
      <c r="B2009" t="s">
        <v>353</v>
      </c>
      <c r="C2009" t="s">
        <v>1913</v>
      </c>
      <c r="D2009">
        <v>21.8</v>
      </c>
      <c r="E2009">
        <v>30.6</v>
      </c>
      <c r="F2009">
        <v>46.5</v>
      </c>
      <c r="G2009">
        <v>59.7</v>
      </c>
    </row>
    <row r="2010" spans="1:7">
      <c r="A2010" t="s">
        <v>1876</v>
      </c>
      <c r="B2010" t="s">
        <v>353</v>
      </c>
      <c r="C2010" t="s">
        <v>1914</v>
      </c>
      <c r="D2010">
        <v>0.8</v>
      </c>
      <c r="E2010">
        <v>1.1000000000000001</v>
      </c>
      <c r="F2010">
        <v>1.7</v>
      </c>
      <c r="G2010">
        <v>2.2000000000000002</v>
      </c>
    </row>
    <row r="2011" spans="1:7">
      <c r="A2011" t="s">
        <v>1876</v>
      </c>
      <c r="B2011" t="s">
        <v>353</v>
      </c>
      <c r="C2011" t="s">
        <v>173</v>
      </c>
      <c r="D2011">
        <v>11492</v>
      </c>
      <c r="E2011">
        <v>12402</v>
      </c>
      <c r="F2011">
        <v>11975</v>
      </c>
      <c r="G2011">
        <v>12845</v>
      </c>
    </row>
    <row r="2012" spans="1:7">
      <c r="A2012" t="s">
        <v>1876</v>
      </c>
      <c r="B2012" t="s">
        <v>353</v>
      </c>
      <c r="C2012" t="s">
        <v>174</v>
      </c>
      <c r="D2012">
        <v>347</v>
      </c>
      <c r="E2012">
        <v>360</v>
      </c>
      <c r="F2012">
        <v>359</v>
      </c>
      <c r="G2012">
        <v>250</v>
      </c>
    </row>
    <row r="2013" spans="1:7">
      <c r="A2013" t="s">
        <v>1876</v>
      </c>
      <c r="B2013" t="s">
        <v>353</v>
      </c>
      <c r="C2013" t="s">
        <v>175</v>
      </c>
      <c r="D2013">
        <v>146</v>
      </c>
      <c r="E2013">
        <v>150</v>
      </c>
      <c r="F2013">
        <v>151</v>
      </c>
      <c r="G2013">
        <v>144</v>
      </c>
    </row>
    <row r="2014" spans="1:7">
      <c r="A2014" t="s">
        <v>1876</v>
      </c>
      <c r="B2014" t="s">
        <v>353</v>
      </c>
      <c r="C2014" t="s">
        <v>176</v>
      </c>
      <c r="D2014">
        <v>0</v>
      </c>
      <c r="E2014">
        <v>0</v>
      </c>
      <c r="F2014">
        <v>0</v>
      </c>
      <c r="G2014">
        <v>0</v>
      </c>
    </row>
    <row r="2015" spans="1:7">
      <c r="A2015" t="s">
        <v>1876</v>
      </c>
      <c r="B2015" t="s">
        <v>353</v>
      </c>
      <c r="C2015" t="s">
        <v>177</v>
      </c>
      <c r="D2015">
        <v>11985</v>
      </c>
      <c r="E2015">
        <v>12912</v>
      </c>
      <c r="F2015">
        <v>12484</v>
      </c>
      <c r="G2015">
        <v>13239</v>
      </c>
    </row>
    <row r="2016" spans="1:7">
      <c r="A2016" t="s">
        <v>1876</v>
      </c>
      <c r="B2016" t="s">
        <v>353</v>
      </c>
      <c r="C2016" t="s">
        <v>178</v>
      </c>
      <c r="D2016">
        <v>0</v>
      </c>
      <c r="E2016">
        <v>0</v>
      </c>
      <c r="F2016">
        <v>0</v>
      </c>
      <c r="G2016">
        <v>0</v>
      </c>
    </row>
    <row r="2017" spans="1:7">
      <c r="A2017" t="s">
        <v>1876</v>
      </c>
      <c r="B2017" t="s">
        <v>353</v>
      </c>
      <c r="C2017" t="s">
        <v>179</v>
      </c>
      <c r="D2017">
        <v>0</v>
      </c>
      <c r="E2017">
        <v>0</v>
      </c>
      <c r="F2017">
        <v>0</v>
      </c>
      <c r="G2017">
        <v>0</v>
      </c>
    </row>
    <row r="2018" spans="1:7">
      <c r="A2018" t="s">
        <v>1876</v>
      </c>
      <c r="B2018" t="s">
        <v>353</v>
      </c>
      <c r="C2018" t="s">
        <v>180</v>
      </c>
      <c r="D2018">
        <v>495</v>
      </c>
      <c r="E2018">
        <v>582</v>
      </c>
      <c r="F2018">
        <v>610</v>
      </c>
      <c r="G2018">
        <v>652</v>
      </c>
    </row>
    <row r="2019" spans="1:7">
      <c r="A2019" t="s">
        <v>1876</v>
      </c>
      <c r="B2019" t="s">
        <v>353</v>
      </c>
      <c r="C2019" t="s">
        <v>181</v>
      </c>
      <c r="D2019">
        <v>39924</v>
      </c>
      <c r="E2019">
        <v>39667</v>
      </c>
      <c r="F2019">
        <v>38807</v>
      </c>
      <c r="G2019">
        <v>39793</v>
      </c>
    </row>
    <row r="2020" spans="1:7">
      <c r="A2020" t="s">
        <v>1876</v>
      </c>
      <c r="B2020" t="s">
        <v>353</v>
      </c>
      <c r="C2020" t="s">
        <v>182</v>
      </c>
      <c r="D2020">
        <v>9551</v>
      </c>
      <c r="E2020">
        <v>9486</v>
      </c>
      <c r="F2020">
        <v>8801</v>
      </c>
      <c r="G2020">
        <v>8720</v>
      </c>
    </row>
    <row r="2021" spans="1:7">
      <c r="A2021" t="s">
        <v>1876</v>
      </c>
      <c r="B2021" t="s">
        <v>353</v>
      </c>
      <c r="C2021" t="s">
        <v>183</v>
      </c>
      <c r="D2021">
        <v>44670</v>
      </c>
      <c r="E2021">
        <v>45007</v>
      </c>
      <c r="F2021">
        <v>42832</v>
      </c>
      <c r="G2021">
        <v>44158</v>
      </c>
    </row>
    <row r="2022" spans="1:7">
      <c r="A2022" t="s">
        <v>1876</v>
      </c>
      <c r="B2022" t="s">
        <v>353</v>
      </c>
      <c r="C2022" t="s">
        <v>184</v>
      </c>
      <c r="D2022">
        <v>94641</v>
      </c>
      <c r="E2022">
        <v>94742</v>
      </c>
      <c r="F2022">
        <v>91050</v>
      </c>
      <c r="G2022">
        <v>93323</v>
      </c>
    </row>
    <row r="2023" spans="1:7">
      <c r="A2023" t="s">
        <v>1876</v>
      </c>
      <c r="B2023" t="s">
        <v>353</v>
      </c>
      <c r="C2023" t="s">
        <v>185</v>
      </c>
      <c r="D2023">
        <v>94641</v>
      </c>
      <c r="E2023">
        <v>94742</v>
      </c>
      <c r="F2023">
        <v>91050</v>
      </c>
      <c r="G2023">
        <v>93323</v>
      </c>
    </row>
    <row r="2024" spans="1:7">
      <c r="A2024" t="s">
        <v>1876</v>
      </c>
      <c r="B2024" t="s">
        <v>353</v>
      </c>
      <c r="C2024" t="s">
        <v>1915</v>
      </c>
      <c r="D2024">
        <v>35</v>
      </c>
      <c r="E2024">
        <v>56</v>
      </c>
      <c r="F2024">
        <v>138</v>
      </c>
      <c r="G2024">
        <v>184</v>
      </c>
    </row>
    <row r="2025" spans="1:7">
      <c r="A2025" t="s">
        <v>1876</v>
      </c>
      <c r="B2025" t="s">
        <v>353</v>
      </c>
      <c r="C2025" t="s">
        <v>1916</v>
      </c>
      <c r="D2025">
        <v>2</v>
      </c>
      <c r="E2025">
        <v>2</v>
      </c>
      <c r="F2025">
        <v>1</v>
      </c>
      <c r="G2025">
        <v>1</v>
      </c>
    </row>
    <row r="2026" spans="1:7">
      <c r="A2026" t="s">
        <v>1876</v>
      </c>
      <c r="B2026" t="s">
        <v>353</v>
      </c>
      <c r="C2026" t="s">
        <v>1917</v>
      </c>
      <c r="D2026">
        <v>81</v>
      </c>
      <c r="E2026">
        <v>72</v>
      </c>
      <c r="F2026">
        <v>74</v>
      </c>
      <c r="G2026">
        <v>69</v>
      </c>
    </row>
    <row r="2027" spans="1:7">
      <c r="A2027" t="s">
        <v>1876</v>
      </c>
      <c r="B2027" t="s">
        <v>353</v>
      </c>
      <c r="C2027" t="s">
        <v>1918</v>
      </c>
      <c r="D2027">
        <v>1212</v>
      </c>
      <c r="E2027">
        <v>1678</v>
      </c>
      <c r="F2027">
        <v>3533</v>
      </c>
      <c r="G2027">
        <v>4281</v>
      </c>
    </row>
    <row r="2028" spans="1:7">
      <c r="A2028" t="s">
        <v>1876</v>
      </c>
      <c r="B2028" t="s">
        <v>353</v>
      </c>
      <c r="C2028" t="s">
        <v>1919</v>
      </c>
      <c r="D2028">
        <v>2.69</v>
      </c>
      <c r="E2028">
        <v>2.88</v>
      </c>
      <c r="F2028">
        <v>3.62</v>
      </c>
      <c r="G2028">
        <v>3.35</v>
      </c>
    </row>
    <row r="2029" spans="1:7">
      <c r="A2029" t="s">
        <v>1876</v>
      </c>
      <c r="B2029" t="s">
        <v>353</v>
      </c>
      <c r="C2029" t="s">
        <v>1920</v>
      </c>
      <c r="D2029">
        <v>1636</v>
      </c>
      <c r="E2029">
        <v>2121</v>
      </c>
      <c r="F2029">
        <v>4110</v>
      </c>
      <c r="G2029">
        <v>4994</v>
      </c>
    </row>
    <row r="2030" spans="1:7">
      <c r="A2030" t="s">
        <v>1876</v>
      </c>
      <c r="B2030" t="s">
        <v>353</v>
      </c>
      <c r="C2030" t="s">
        <v>1921</v>
      </c>
      <c r="D2030">
        <v>506</v>
      </c>
      <c r="E2030">
        <v>648</v>
      </c>
      <c r="F2030">
        <v>1074</v>
      </c>
      <c r="G2030">
        <v>1434</v>
      </c>
    </row>
    <row r="2031" spans="1:7">
      <c r="A2031" t="s">
        <v>1876</v>
      </c>
      <c r="B2031" t="s">
        <v>353</v>
      </c>
      <c r="C2031" t="s">
        <v>1922</v>
      </c>
      <c r="D2031">
        <v>341</v>
      </c>
      <c r="E2031">
        <v>369</v>
      </c>
      <c r="F2031">
        <v>502</v>
      </c>
      <c r="G2031">
        <v>643</v>
      </c>
    </row>
    <row r="2032" spans="1:7">
      <c r="A2032" t="s">
        <v>1876</v>
      </c>
      <c r="B2032" t="s">
        <v>353</v>
      </c>
      <c r="C2032" t="s">
        <v>1923</v>
      </c>
      <c r="D2032">
        <v>5.17</v>
      </c>
      <c r="E2032">
        <v>4.5599999999999996</v>
      </c>
      <c r="F2032">
        <v>4.25</v>
      </c>
      <c r="G2032">
        <v>3.59</v>
      </c>
    </row>
    <row r="2033" spans="1:7">
      <c r="A2033" t="s">
        <v>1876</v>
      </c>
      <c r="B2033" t="s">
        <v>353</v>
      </c>
      <c r="C2033" t="s">
        <v>1924</v>
      </c>
      <c r="D2033">
        <v>20</v>
      </c>
      <c r="E2033">
        <v>9</v>
      </c>
      <c r="F2033">
        <v>130</v>
      </c>
      <c r="G2033">
        <v>118</v>
      </c>
    </row>
    <row r="2034" spans="1:7">
      <c r="A2034" t="s">
        <v>1876</v>
      </c>
      <c r="B2034" t="s">
        <v>353</v>
      </c>
      <c r="C2034" t="s">
        <v>1925</v>
      </c>
      <c r="D2034">
        <v>237</v>
      </c>
      <c r="E2034">
        <v>253</v>
      </c>
      <c r="F2034">
        <v>244</v>
      </c>
      <c r="G2034">
        <v>254</v>
      </c>
    </row>
    <row r="2035" spans="1:7">
      <c r="A2035" t="s">
        <v>1876</v>
      </c>
      <c r="B2035" t="s">
        <v>353</v>
      </c>
      <c r="C2035" t="s">
        <v>1926</v>
      </c>
      <c r="D2035">
        <v>249</v>
      </c>
      <c r="E2035">
        <v>386</v>
      </c>
      <c r="F2035">
        <v>700</v>
      </c>
      <c r="G2035">
        <v>1062</v>
      </c>
    </row>
    <row r="2036" spans="1:7">
      <c r="A2036" t="s">
        <v>1876</v>
      </c>
      <c r="B2036" t="s">
        <v>353</v>
      </c>
      <c r="C2036" t="s">
        <v>1927</v>
      </c>
      <c r="D2036">
        <v>34</v>
      </c>
      <c r="E2036">
        <v>38</v>
      </c>
      <c r="F2036">
        <v>25</v>
      </c>
      <c r="G2036">
        <v>25</v>
      </c>
    </row>
    <row r="2037" spans="1:7">
      <c r="A2037" t="s">
        <v>1876</v>
      </c>
      <c r="B2037" t="s">
        <v>353</v>
      </c>
      <c r="C2037" t="s">
        <v>1928</v>
      </c>
      <c r="D2037">
        <v>439</v>
      </c>
      <c r="E2037">
        <v>548</v>
      </c>
      <c r="F2037">
        <v>949</v>
      </c>
      <c r="G2037">
        <v>1294</v>
      </c>
    </row>
    <row r="2038" spans="1:7">
      <c r="A2038" t="s">
        <v>1876</v>
      </c>
      <c r="B2038" t="s">
        <v>353</v>
      </c>
      <c r="C2038" t="s">
        <v>1929</v>
      </c>
      <c r="D2038">
        <v>33</v>
      </c>
      <c r="E2038">
        <v>62</v>
      </c>
      <c r="F2038">
        <v>100</v>
      </c>
      <c r="G2038">
        <v>115</v>
      </c>
    </row>
    <row r="2039" spans="1:7">
      <c r="A2039" t="s">
        <v>1876</v>
      </c>
      <c r="B2039" t="s">
        <v>353</v>
      </c>
      <c r="C2039" t="s">
        <v>186</v>
      </c>
      <c r="D2039">
        <v>0</v>
      </c>
      <c r="E2039">
        <v>0</v>
      </c>
      <c r="F2039">
        <v>0</v>
      </c>
      <c r="G2039">
        <v>0</v>
      </c>
    </row>
    <row r="2040" spans="1:7">
      <c r="A2040" t="s">
        <v>1876</v>
      </c>
      <c r="B2040" t="s">
        <v>353</v>
      </c>
      <c r="C2040" t="s">
        <v>187</v>
      </c>
      <c r="D2040">
        <v>0</v>
      </c>
      <c r="E2040">
        <v>0</v>
      </c>
      <c r="F2040">
        <v>0</v>
      </c>
      <c r="G2040">
        <v>0</v>
      </c>
    </row>
    <row r="2041" spans="1:7">
      <c r="A2041" t="s">
        <v>1876</v>
      </c>
      <c r="B2041" t="s">
        <v>353</v>
      </c>
      <c r="C2041" t="s">
        <v>1705</v>
      </c>
      <c r="D2041">
        <v>7412</v>
      </c>
      <c r="E2041">
        <v>7433</v>
      </c>
      <c r="F2041">
        <v>7273</v>
      </c>
      <c r="G2041">
        <v>7273</v>
      </c>
    </row>
    <row r="2042" spans="1:7">
      <c r="A2042" t="s">
        <v>1876</v>
      </c>
      <c r="B2042" t="s">
        <v>353</v>
      </c>
      <c r="C2042" t="s">
        <v>188</v>
      </c>
      <c r="D2042">
        <v>592965</v>
      </c>
      <c r="E2042">
        <v>609899</v>
      </c>
      <c r="F2042">
        <v>595819</v>
      </c>
      <c r="G2042">
        <v>613481</v>
      </c>
    </row>
    <row r="2043" spans="1:7">
      <c r="A2043" t="s">
        <v>1876</v>
      </c>
      <c r="B2043" t="s">
        <v>353</v>
      </c>
      <c r="C2043" t="s">
        <v>189</v>
      </c>
      <c r="D2043">
        <v>0</v>
      </c>
      <c r="E2043">
        <v>0</v>
      </c>
      <c r="F2043">
        <v>0</v>
      </c>
      <c r="G2043">
        <v>0</v>
      </c>
    </row>
    <row r="2044" spans="1:7">
      <c r="A2044" t="s">
        <v>1876</v>
      </c>
      <c r="B2044" t="s">
        <v>353</v>
      </c>
      <c r="C2044" t="s">
        <v>190</v>
      </c>
      <c r="D2044">
        <v>0</v>
      </c>
      <c r="E2044">
        <v>0</v>
      </c>
      <c r="F2044">
        <v>0</v>
      </c>
      <c r="G2044">
        <v>0</v>
      </c>
    </row>
    <row r="2045" spans="1:7">
      <c r="A2045" t="s">
        <v>1876</v>
      </c>
      <c r="B2045" t="s">
        <v>353</v>
      </c>
      <c r="C2045" t="s">
        <v>191</v>
      </c>
      <c r="D2045">
        <v>0</v>
      </c>
      <c r="E2045">
        <v>0</v>
      </c>
      <c r="F2045">
        <v>0</v>
      </c>
      <c r="G2045">
        <v>0</v>
      </c>
    </row>
    <row r="2046" spans="1:7">
      <c r="A2046" t="s">
        <v>1876</v>
      </c>
      <c r="B2046" t="s">
        <v>353</v>
      </c>
      <c r="C2046" t="s">
        <v>192</v>
      </c>
      <c r="D2046">
        <v>297366</v>
      </c>
      <c r="E2046">
        <v>321625.2</v>
      </c>
      <c r="F2046">
        <v>341851.8</v>
      </c>
      <c r="G2046">
        <v>356834.9</v>
      </c>
    </row>
    <row r="2047" spans="1:7">
      <c r="A2047" t="s">
        <v>1876</v>
      </c>
      <c r="B2047" t="s">
        <v>353</v>
      </c>
      <c r="C2047" t="s">
        <v>193</v>
      </c>
      <c r="D2047">
        <v>270779.8</v>
      </c>
      <c r="E2047">
        <v>279348.5</v>
      </c>
      <c r="F2047">
        <v>283228.5</v>
      </c>
      <c r="G2047">
        <v>286160.09999999998</v>
      </c>
    </row>
    <row r="2048" spans="1:7">
      <c r="A2048" t="s">
        <v>1876</v>
      </c>
      <c r="B2048" t="s">
        <v>353</v>
      </c>
      <c r="C2048" t="s">
        <v>1930</v>
      </c>
      <c r="D2048">
        <v>0</v>
      </c>
      <c r="E2048">
        <v>0</v>
      </c>
      <c r="F2048">
        <v>0</v>
      </c>
      <c r="G2048">
        <v>0</v>
      </c>
    </row>
    <row r="2049" spans="1:7">
      <c r="A2049" t="s">
        <v>1876</v>
      </c>
      <c r="B2049" t="s">
        <v>353</v>
      </c>
      <c r="C2049" t="s">
        <v>194</v>
      </c>
      <c r="D2049">
        <v>0</v>
      </c>
      <c r="E2049">
        <v>0</v>
      </c>
      <c r="F2049">
        <v>0</v>
      </c>
      <c r="G2049">
        <v>0</v>
      </c>
    </row>
    <row r="2050" spans="1:7">
      <c r="A2050" t="s">
        <v>1876</v>
      </c>
      <c r="B2050" t="s">
        <v>353</v>
      </c>
      <c r="C2050" t="s">
        <v>195</v>
      </c>
      <c r="D2050">
        <v>0</v>
      </c>
      <c r="E2050">
        <v>0</v>
      </c>
      <c r="F2050">
        <v>0</v>
      </c>
      <c r="G2050">
        <v>0</v>
      </c>
    </row>
    <row r="2051" spans="1:7">
      <c r="A2051" t="s">
        <v>1876</v>
      </c>
      <c r="B2051" t="s">
        <v>353</v>
      </c>
      <c r="C2051" t="s">
        <v>1706</v>
      </c>
      <c r="D2051">
        <v>0</v>
      </c>
      <c r="E2051">
        <v>0</v>
      </c>
      <c r="F2051">
        <v>0</v>
      </c>
      <c r="G2051">
        <v>0</v>
      </c>
    </row>
    <row r="2052" spans="1:7">
      <c r="A2052" t="s">
        <v>1876</v>
      </c>
      <c r="B2052" t="s">
        <v>353</v>
      </c>
      <c r="C2052" t="s">
        <v>196</v>
      </c>
      <c r="D2052">
        <v>0</v>
      </c>
      <c r="E2052">
        <v>0</v>
      </c>
      <c r="F2052">
        <v>0</v>
      </c>
      <c r="G2052">
        <v>0</v>
      </c>
    </row>
    <row r="2053" spans="1:7">
      <c r="A2053" t="s">
        <v>1876</v>
      </c>
      <c r="B2053" t="s">
        <v>353</v>
      </c>
      <c r="C2053" t="s">
        <v>197</v>
      </c>
      <c r="D2053">
        <v>21</v>
      </c>
      <c r="E2053">
        <v>21</v>
      </c>
      <c r="F2053">
        <v>21</v>
      </c>
      <c r="G2053">
        <v>21</v>
      </c>
    </row>
    <row r="2054" spans="1:7">
      <c r="A2054" t="s">
        <v>1876</v>
      </c>
      <c r="B2054" t="s">
        <v>353</v>
      </c>
      <c r="C2054" t="s">
        <v>198</v>
      </c>
      <c r="D2054">
        <v>21</v>
      </c>
      <c r="E2054">
        <v>21</v>
      </c>
      <c r="F2054">
        <v>21</v>
      </c>
      <c r="G2054">
        <v>21</v>
      </c>
    </row>
    <row r="2055" spans="1:7">
      <c r="A2055" t="s">
        <v>1876</v>
      </c>
      <c r="B2055" t="s">
        <v>353</v>
      </c>
      <c r="C2055" t="s">
        <v>199</v>
      </c>
      <c r="D2055">
        <v>21</v>
      </c>
      <c r="E2055">
        <v>21</v>
      </c>
      <c r="F2055">
        <v>21</v>
      </c>
      <c r="G2055">
        <v>21</v>
      </c>
    </row>
    <row r="2056" spans="1:7">
      <c r="A2056" t="s">
        <v>1876</v>
      </c>
      <c r="B2056" t="s">
        <v>353</v>
      </c>
      <c r="C2056" t="s">
        <v>200</v>
      </c>
      <c r="D2056">
        <v>164</v>
      </c>
      <c r="E2056">
        <v>161</v>
      </c>
      <c r="F2056">
        <v>323</v>
      </c>
      <c r="G2056">
        <v>216</v>
      </c>
    </row>
    <row r="2057" spans="1:7">
      <c r="A2057" t="s">
        <v>1876</v>
      </c>
      <c r="B2057" t="s">
        <v>353</v>
      </c>
      <c r="C2057" t="s">
        <v>201</v>
      </c>
      <c r="D2057">
        <v>3282</v>
      </c>
      <c r="E2057">
        <v>2745</v>
      </c>
      <c r="F2057">
        <v>3087</v>
      </c>
      <c r="G2057">
        <v>2486</v>
      </c>
    </row>
    <row r="2058" spans="1:7">
      <c r="A2058" t="s">
        <v>1876</v>
      </c>
      <c r="B2058" t="s">
        <v>353</v>
      </c>
      <c r="C2058" t="s">
        <v>202</v>
      </c>
      <c r="D2058">
        <v>424</v>
      </c>
      <c r="E2058">
        <v>468</v>
      </c>
      <c r="F2058">
        <v>363</v>
      </c>
      <c r="G2058">
        <v>445</v>
      </c>
    </row>
    <row r="2059" spans="1:7">
      <c r="A2059" t="s">
        <v>1876</v>
      </c>
      <c r="B2059" t="s">
        <v>353</v>
      </c>
      <c r="C2059" t="s">
        <v>203</v>
      </c>
      <c r="D2059">
        <v>7826</v>
      </c>
      <c r="E2059">
        <v>6826</v>
      </c>
      <c r="F2059">
        <v>6936</v>
      </c>
      <c r="G2059">
        <v>7922</v>
      </c>
    </row>
    <row r="2060" spans="1:7">
      <c r="A2060" t="s">
        <v>1876</v>
      </c>
      <c r="B2060" t="s">
        <v>353</v>
      </c>
      <c r="C2060" t="s">
        <v>204</v>
      </c>
      <c r="D2060">
        <v>11695</v>
      </c>
      <c r="E2060">
        <v>10200</v>
      </c>
      <c r="F2060">
        <v>10709</v>
      </c>
      <c r="G2060">
        <v>11069</v>
      </c>
    </row>
    <row r="2061" spans="1:7">
      <c r="A2061" t="s">
        <v>1876</v>
      </c>
      <c r="B2061" t="s">
        <v>353</v>
      </c>
      <c r="C2061" t="s">
        <v>205</v>
      </c>
      <c r="D2061">
        <v>11695</v>
      </c>
      <c r="E2061">
        <v>10200</v>
      </c>
      <c r="F2061">
        <v>10709</v>
      </c>
      <c r="G2061">
        <v>11069</v>
      </c>
    </row>
    <row r="2062" spans="1:7">
      <c r="A2062" t="s">
        <v>1876</v>
      </c>
      <c r="B2062" t="s">
        <v>353</v>
      </c>
      <c r="C2062" t="s">
        <v>1931</v>
      </c>
      <c r="D2062">
        <v>7.1</v>
      </c>
      <c r="E2062">
        <v>6.3</v>
      </c>
      <c r="F2062">
        <v>8.6</v>
      </c>
      <c r="G2062">
        <v>5.2</v>
      </c>
    </row>
    <row r="2063" spans="1:7">
      <c r="A2063" t="s">
        <v>1876</v>
      </c>
      <c r="B2063" t="s">
        <v>353</v>
      </c>
      <c r="C2063" t="s">
        <v>1707</v>
      </c>
      <c r="D2063">
        <v>29</v>
      </c>
      <c r="E2063">
        <v>29</v>
      </c>
      <c r="F2063">
        <v>29</v>
      </c>
      <c r="G2063">
        <v>29</v>
      </c>
    </row>
    <row r="2064" spans="1:7">
      <c r="A2064" t="s">
        <v>1876</v>
      </c>
      <c r="B2064" t="s">
        <v>353</v>
      </c>
      <c r="C2064" t="s">
        <v>1932</v>
      </c>
      <c r="D2064">
        <v>45.7</v>
      </c>
      <c r="E2064">
        <v>29.9</v>
      </c>
      <c r="F2064">
        <v>44.6</v>
      </c>
      <c r="G2064">
        <v>35.200000000000003</v>
      </c>
    </row>
    <row r="2065" spans="1:7">
      <c r="A2065" t="s">
        <v>1876</v>
      </c>
      <c r="B2065" t="s">
        <v>353</v>
      </c>
      <c r="C2065" t="s">
        <v>1708</v>
      </c>
      <c r="D2065">
        <v>119</v>
      </c>
      <c r="E2065">
        <v>119</v>
      </c>
      <c r="F2065">
        <v>119</v>
      </c>
      <c r="G2065">
        <v>119</v>
      </c>
    </row>
    <row r="2066" spans="1:7">
      <c r="A2066" t="s">
        <v>1876</v>
      </c>
      <c r="B2066" t="s">
        <v>353</v>
      </c>
      <c r="C2066" t="s">
        <v>206</v>
      </c>
      <c r="D2066">
        <v>0</v>
      </c>
      <c r="E2066">
        <v>0</v>
      </c>
      <c r="F2066">
        <v>0</v>
      </c>
      <c r="G2066">
        <v>0</v>
      </c>
    </row>
    <row r="2067" spans="1:7">
      <c r="A2067" t="s">
        <v>1876</v>
      </c>
      <c r="B2067" t="s">
        <v>353</v>
      </c>
      <c r="C2067" t="s">
        <v>207</v>
      </c>
      <c r="D2067">
        <v>1629</v>
      </c>
      <c r="E2067">
        <v>1065</v>
      </c>
      <c r="F2067">
        <v>1588</v>
      </c>
      <c r="G2067">
        <v>1258</v>
      </c>
    </row>
    <row r="2068" spans="1:7">
      <c r="A2068" t="s">
        <v>1876</v>
      </c>
      <c r="B2068" t="s">
        <v>353</v>
      </c>
      <c r="C2068" t="s">
        <v>208</v>
      </c>
      <c r="D2068">
        <v>0</v>
      </c>
      <c r="E2068">
        <v>0</v>
      </c>
      <c r="F2068">
        <v>0</v>
      </c>
      <c r="G2068">
        <v>0</v>
      </c>
    </row>
    <row r="2069" spans="1:7">
      <c r="A2069" t="s">
        <v>1876</v>
      </c>
      <c r="B2069" t="s">
        <v>353</v>
      </c>
      <c r="C2069" t="s">
        <v>209</v>
      </c>
      <c r="D2069">
        <v>1629</v>
      </c>
      <c r="E2069">
        <v>1065</v>
      </c>
      <c r="F2069">
        <v>1588</v>
      </c>
      <c r="G2069">
        <v>1258</v>
      </c>
    </row>
    <row r="2070" spans="1:7">
      <c r="A2070" t="s">
        <v>1876</v>
      </c>
      <c r="B2070" t="s">
        <v>353</v>
      </c>
      <c r="C2070" t="s">
        <v>210</v>
      </c>
      <c r="D2070">
        <v>0</v>
      </c>
      <c r="E2070">
        <v>0</v>
      </c>
      <c r="F2070">
        <v>0</v>
      </c>
      <c r="G2070">
        <v>0</v>
      </c>
    </row>
    <row r="2071" spans="1:7">
      <c r="A2071" t="s">
        <v>1876</v>
      </c>
      <c r="B2071" t="s">
        <v>353</v>
      </c>
      <c r="C2071" t="s">
        <v>211</v>
      </c>
      <c r="D2071">
        <v>0</v>
      </c>
      <c r="E2071">
        <v>0</v>
      </c>
      <c r="F2071">
        <v>0</v>
      </c>
      <c r="G2071">
        <v>0</v>
      </c>
    </row>
    <row r="2072" spans="1:7">
      <c r="A2072" t="s">
        <v>1876</v>
      </c>
      <c r="B2072" t="s">
        <v>353</v>
      </c>
      <c r="C2072" t="s">
        <v>212</v>
      </c>
      <c r="D2072">
        <v>0</v>
      </c>
      <c r="E2072">
        <v>0</v>
      </c>
      <c r="F2072">
        <v>0</v>
      </c>
      <c r="G2072">
        <v>0</v>
      </c>
    </row>
    <row r="2073" spans="1:7">
      <c r="A2073" t="s">
        <v>1876</v>
      </c>
      <c r="B2073" t="s">
        <v>353</v>
      </c>
      <c r="C2073" t="s">
        <v>213</v>
      </c>
      <c r="D2073">
        <v>0</v>
      </c>
      <c r="E2073">
        <v>0</v>
      </c>
      <c r="F2073">
        <v>0</v>
      </c>
      <c r="G2073">
        <v>0</v>
      </c>
    </row>
    <row r="2074" spans="1:7">
      <c r="A2074" t="s">
        <v>1876</v>
      </c>
      <c r="B2074" t="s">
        <v>353</v>
      </c>
      <c r="C2074" t="s">
        <v>214</v>
      </c>
      <c r="D2074">
        <v>0</v>
      </c>
      <c r="E2074">
        <v>0</v>
      </c>
      <c r="F2074">
        <v>0</v>
      </c>
      <c r="G2074">
        <v>0</v>
      </c>
    </row>
    <row r="2075" spans="1:7">
      <c r="A2075" t="s">
        <v>1876</v>
      </c>
      <c r="B2075" t="s">
        <v>353</v>
      </c>
      <c r="C2075" t="s">
        <v>215</v>
      </c>
      <c r="D2075">
        <v>8904</v>
      </c>
      <c r="E2075">
        <v>9960</v>
      </c>
      <c r="F2075">
        <v>9188</v>
      </c>
      <c r="G2075">
        <v>9817</v>
      </c>
    </row>
    <row r="2076" spans="1:7">
      <c r="A2076" t="s">
        <v>1876</v>
      </c>
      <c r="B2076" t="s">
        <v>353</v>
      </c>
      <c r="C2076" t="s">
        <v>216</v>
      </c>
      <c r="D2076">
        <v>8904</v>
      </c>
      <c r="E2076">
        <v>9960</v>
      </c>
      <c r="F2076">
        <v>9188</v>
      </c>
      <c r="G2076">
        <v>9817</v>
      </c>
    </row>
    <row r="2077" spans="1:7">
      <c r="A2077" t="s">
        <v>1876</v>
      </c>
      <c r="B2077" t="s">
        <v>353</v>
      </c>
      <c r="C2077" t="s">
        <v>217</v>
      </c>
      <c r="D2077">
        <v>8904</v>
      </c>
      <c r="E2077">
        <v>9960</v>
      </c>
      <c r="F2077">
        <v>9188</v>
      </c>
      <c r="G2077">
        <v>9817</v>
      </c>
    </row>
    <row r="2078" spans="1:7">
      <c r="A2078" t="s">
        <v>1876</v>
      </c>
      <c r="B2078" t="s">
        <v>353</v>
      </c>
      <c r="C2078" t="s">
        <v>218</v>
      </c>
      <c r="D2078">
        <v>19</v>
      </c>
      <c r="E2078">
        <v>17</v>
      </c>
      <c r="F2078">
        <v>31</v>
      </c>
      <c r="G2078">
        <v>24</v>
      </c>
    </row>
    <row r="2079" spans="1:7">
      <c r="A2079" t="s">
        <v>1876</v>
      </c>
      <c r="B2079" t="s">
        <v>353</v>
      </c>
      <c r="C2079" t="s">
        <v>219</v>
      </c>
      <c r="D2079">
        <v>142</v>
      </c>
      <c r="E2079">
        <v>106</v>
      </c>
      <c r="F2079">
        <v>425</v>
      </c>
      <c r="G2079">
        <v>231</v>
      </c>
    </row>
    <row r="2080" spans="1:7">
      <c r="A2080" t="s">
        <v>1876</v>
      </c>
      <c r="B2080" t="s">
        <v>353</v>
      </c>
      <c r="C2080" t="s">
        <v>220</v>
      </c>
      <c r="D2080">
        <v>54</v>
      </c>
      <c r="E2080">
        <v>47</v>
      </c>
      <c r="F2080">
        <v>85</v>
      </c>
      <c r="G2080">
        <v>66</v>
      </c>
    </row>
    <row r="2081" spans="1:7">
      <c r="A2081" t="s">
        <v>1876</v>
      </c>
      <c r="B2081" t="s">
        <v>353</v>
      </c>
      <c r="C2081" t="s">
        <v>221</v>
      </c>
      <c r="D2081">
        <v>215</v>
      </c>
      <c r="E2081">
        <v>170</v>
      </c>
      <c r="F2081">
        <v>541</v>
      </c>
      <c r="G2081">
        <v>321</v>
      </c>
    </row>
    <row r="2082" spans="1:7">
      <c r="A2082" t="s">
        <v>1876</v>
      </c>
      <c r="B2082" t="s">
        <v>353</v>
      </c>
      <c r="C2082" t="s">
        <v>222</v>
      </c>
      <c r="D2082">
        <v>215</v>
      </c>
      <c r="E2082">
        <v>170</v>
      </c>
      <c r="F2082">
        <v>541</v>
      </c>
      <c r="G2082">
        <v>321</v>
      </c>
    </row>
    <row r="2083" spans="1:7">
      <c r="A2083" t="s">
        <v>1876</v>
      </c>
      <c r="B2083" t="s">
        <v>353</v>
      </c>
      <c r="C2083" t="s">
        <v>1933</v>
      </c>
      <c r="D2083">
        <v>2683.1</v>
      </c>
      <c r="E2083">
        <v>2739.7</v>
      </c>
      <c r="F2083">
        <v>2716.2</v>
      </c>
      <c r="G2083">
        <v>2695</v>
      </c>
    </row>
    <row r="2084" spans="1:7">
      <c r="A2084" t="s">
        <v>1876</v>
      </c>
      <c r="B2084" t="s">
        <v>353</v>
      </c>
      <c r="C2084" t="s">
        <v>223</v>
      </c>
      <c r="D2084">
        <v>780</v>
      </c>
      <c r="E2084">
        <v>912</v>
      </c>
      <c r="F2084">
        <v>924</v>
      </c>
      <c r="G2084">
        <v>1012</v>
      </c>
    </row>
    <row r="2085" spans="1:7">
      <c r="A2085" t="s">
        <v>1876</v>
      </c>
      <c r="B2085" t="s">
        <v>353</v>
      </c>
      <c r="C2085" t="s">
        <v>224</v>
      </c>
      <c r="D2085">
        <v>62862</v>
      </c>
      <c r="E2085">
        <v>62143</v>
      </c>
      <c r="F2085">
        <v>58732</v>
      </c>
      <c r="G2085">
        <v>61739</v>
      </c>
    </row>
    <row r="2086" spans="1:7">
      <c r="A2086" t="s">
        <v>1876</v>
      </c>
      <c r="B2086" t="s">
        <v>353</v>
      </c>
      <c r="C2086" t="s">
        <v>225</v>
      </c>
      <c r="D2086">
        <v>15038</v>
      </c>
      <c r="E2086">
        <v>14860</v>
      </c>
      <c r="F2086">
        <v>13320</v>
      </c>
      <c r="G2086">
        <v>13529</v>
      </c>
    </row>
    <row r="2087" spans="1:7">
      <c r="A2087" t="s">
        <v>1876</v>
      </c>
      <c r="B2087" t="s">
        <v>353</v>
      </c>
      <c r="C2087" t="s">
        <v>226</v>
      </c>
      <c r="D2087">
        <v>70335</v>
      </c>
      <c r="E2087">
        <v>70507</v>
      </c>
      <c r="F2087">
        <v>64824</v>
      </c>
      <c r="G2087">
        <v>68510</v>
      </c>
    </row>
    <row r="2088" spans="1:7">
      <c r="A2088" t="s">
        <v>1876</v>
      </c>
      <c r="B2088" t="s">
        <v>353</v>
      </c>
      <c r="C2088" t="s">
        <v>227</v>
      </c>
      <c r="D2088">
        <v>149015</v>
      </c>
      <c r="E2088">
        <v>148421</v>
      </c>
      <c r="F2088">
        <v>137799</v>
      </c>
      <c r="G2088">
        <v>144789</v>
      </c>
    </row>
    <row r="2089" spans="1:7">
      <c r="A2089" t="s">
        <v>1876</v>
      </c>
      <c r="B2089" t="s">
        <v>353</v>
      </c>
      <c r="C2089" t="s">
        <v>228</v>
      </c>
      <c r="D2089">
        <v>149015</v>
      </c>
      <c r="E2089">
        <v>148421</v>
      </c>
      <c r="F2089">
        <v>137799</v>
      </c>
      <c r="G2089">
        <v>144789</v>
      </c>
    </row>
    <row r="2090" spans="1:7">
      <c r="A2090" t="s">
        <v>1876</v>
      </c>
      <c r="B2090" t="s">
        <v>353</v>
      </c>
      <c r="C2090" t="s">
        <v>229</v>
      </c>
      <c r="D2090">
        <v>976</v>
      </c>
      <c r="E2090">
        <v>1072</v>
      </c>
      <c r="F2090">
        <v>751</v>
      </c>
      <c r="G2090">
        <v>750</v>
      </c>
    </row>
    <row r="2091" spans="1:7">
      <c r="A2091" t="s">
        <v>1876</v>
      </c>
      <c r="B2091" t="s">
        <v>353</v>
      </c>
      <c r="C2091" t="s">
        <v>230</v>
      </c>
      <c r="D2091">
        <v>921</v>
      </c>
      <c r="E2091">
        <v>925</v>
      </c>
      <c r="F2091">
        <v>669</v>
      </c>
      <c r="G2091">
        <v>613</v>
      </c>
    </row>
    <row r="2092" spans="1:7">
      <c r="A2092" t="s">
        <v>1876</v>
      </c>
      <c r="B2092" t="s">
        <v>353</v>
      </c>
      <c r="C2092" t="s">
        <v>231</v>
      </c>
      <c r="D2092">
        <v>1897</v>
      </c>
      <c r="E2092">
        <v>1998</v>
      </c>
      <c r="F2092">
        <v>1420</v>
      </c>
      <c r="G2092">
        <v>1363</v>
      </c>
    </row>
    <row r="2093" spans="1:7">
      <c r="A2093" t="s">
        <v>1876</v>
      </c>
      <c r="B2093" t="s">
        <v>353</v>
      </c>
      <c r="C2093" t="s">
        <v>232</v>
      </c>
      <c r="D2093">
        <v>1897</v>
      </c>
      <c r="E2093">
        <v>1998</v>
      </c>
      <c r="F2093">
        <v>1420</v>
      </c>
      <c r="G2093">
        <v>1363</v>
      </c>
    </row>
    <row r="2094" spans="1:7">
      <c r="A2094" t="s">
        <v>1876</v>
      </c>
      <c r="B2094" t="s">
        <v>353</v>
      </c>
      <c r="C2094" t="s">
        <v>233</v>
      </c>
      <c r="D2094">
        <v>0</v>
      </c>
      <c r="E2094">
        <v>0</v>
      </c>
      <c r="F2094">
        <v>0</v>
      </c>
      <c r="G2094">
        <v>0</v>
      </c>
    </row>
    <row r="2095" spans="1:7">
      <c r="A2095" t="s">
        <v>1876</v>
      </c>
      <c r="B2095" t="s">
        <v>353</v>
      </c>
      <c r="C2095" t="s">
        <v>234</v>
      </c>
      <c r="D2095">
        <v>156257</v>
      </c>
      <c r="E2095">
        <v>168040</v>
      </c>
      <c r="F2095">
        <v>162325</v>
      </c>
      <c r="G2095">
        <v>174824</v>
      </c>
    </row>
    <row r="2096" spans="1:7">
      <c r="A2096" t="s">
        <v>1876</v>
      </c>
      <c r="B2096" t="s">
        <v>353</v>
      </c>
      <c r="C2096" t="s">
        <v>235</v>
      </c>
      <c r="D2096">
        <v>4722</v>
      </c>
      <c r="E2096">
        <v>4879</v>
      </c>
      <c r="F2096">
        <v>4867</v>
      </c>
      <c r="G2096">
        <v>3399</v>
      </c>
    </row>
    <row r="2097" spans="1:7">
      <c r="A2097" t="s">
        <v>1876</v>
      </c>
      <c r="B2097" t="s">
        <v>353</v>
      </c>
      <c r="C2097" t="s">
        <v>236</v>
      </c>
      <c r="D2097">
        <v>1979</v>
      </c>
      <c r="E2097">
        <v>2029</v>
      </c>
      <c r="F2097">
        <v>2041</v>
      </c>
      <c r="G2097">
        <v>1965</v>
      </c>
    </row>
    <row r="2098" spans="1:7">
      <c r="A2098" t="s">
        <v>1876</v>
      </c>
      <c r="B2098" t="s">
        <v>353</v>
      </c>
      <c r="C2098" t="s">
        <v>237</v>
      </c>
      <c r="D2098">
        <v>162958</v>
      </c>
      <c r="E2098">
        <v>174949</v>
      </c>
      <c r="F2098">
        <v>169233</v>
      </c>
      <c r="G2098">
        <v>180188</v>
      </c>
    </row>
    <row r="2099" spans="1:7">
      <c r="A2099" t="s">
        <v>1876</v>
      </c>
      <c r="B2099" t="s">
        <v>353</v>
      </c>
      <c r="C2099" t="s">
        <v>238</v>
      </c>
      <c r="D2099">
        <v>162958</v>
      </c>
      <c r="E2099">
        <v>174949</v>
      </c>
      <c r="F2099">
        <v>169233</v>
      </c>
      <c r="G2099">
        <v>180188</v>
      </c>
    </row>
    <row r="2100" spans="1:7">
      <c r="A2100" t="s">
        <v>1876</v>
      </c>
      <c r="B2100" t="s">
        <v>353</v>
      </c>
      <c r="C2100" t="s">
        <v>1934</v>
      </c>
      <c r="D2100">
        <v>144765</v>
      </c>
      <c r="E2100">
        <v>155638</v>
      </c>
      <c r="F2100">
        <v>150350</v>
      </c>
      <c r="G2100">
        <v>161979</v>
      </c>
    </row>
    <row r="2101" spans="1:7">
      <c r="A2101" t="s">
        <v>1876</v>
      </c>
      <c r="B2101" t="s">
        <v>353</v>
      </c>
      <c r="C2101" t="s">
        <v>1935</v>
      </c>
      <c r="D2101">
        <v>4375</v>
      </c>
      <c r="E2101">
        <v>4519</v>
      </c>
      <c r="F2101">
        <v>4508</v>
      </c>
      <c r="G2101">
        <v>3150</v>
      </c>
    </row>
    <row r="2102" spans="1:7">
      <c r="A2102" t="s">
        <v>1876</v>
      </c>
      <c r="B2102" t="s">
        <v>353</v>
      </c>
      <c r="C2102" t="s">
        <v>1936</v>
      </c>
      <c r="D2102">
        <v>1833</v>
      </c>
      <c r="E2102">
        <v>1879</v>
      </c>
      <c r="F2102">
        <v>1891</v>
      </c>
      <c r="G2102">
        <v>1821</v>
      </c>
    </row>
    <row r="2103" spans="1:7">
      <c r="A2103" t="s">
        <v>1876</v>
      </c>
      <c r="B2103" t="s">
        <v>353</v>
      </c>
      <c r="C2103" t="s">
        <v>239</v>
      </c>
      <c r="D2103">
        <v>150973</v>
      </c>
      <c r="E2103">
        <v>162037</v>
      </c>
      <c r="F2103">
        <v>156749</v>
      </c>
      <c r="G2103">
        <v>166949</v>
      </c>
    </row>
    <row r="2104" spans="1:7">
      <c r="A2104" t="s">
        <v>1876</v>
      </c>
      <c r="B2104" t="s">
        <v>353</v>
      </c>
      <c r="C2104" t="s">
        <v>240</v>
      </c>
      <c r="D2104">
        <v>536</v>
      </c>
      <c r="E2104">
        <v>1030</v>
      </c>
      <c r="F2104">
        <v>990</v>
      </c>
      <c r="G2104">
        <v>969</v>
      </c>
    </row>
    <row r="2105" spans="1:7">
      <c r="A2105" t="s">
        <v>1876</v>
      </c>
      <c r="B2105" t="s">
        <v>353</v>
      </c>
      <c r="C2105" t="s">
        <v>241</v>
      </c>
      <c r="D2105">
        <v>0</v>
      </c>
      <c r="E2105">
        <v>0</v>
      </c>
      <c r="F2105">
        <v>0</v>
      </c>
      <c r="G2105">
        <v>0</v>
      </c>
    </row>
    <row r="2106" spans="1:7">
      <c r="A2106" t="s">
        <v>1876</v>
      </c>
      <c r="B2106" t="s">
        <v>353</v>
      </c>
      <c r="C2106" t="s">
        <v>242</v>
      </c>
      <c r="D2106">
        <v>7341</v>
      </c>
      <c r="E2106">
        <v>6313</v>
      </c>
      <c r="F2106">
        <v>6325</v>
      </c>
      <c r="G2106">
        <v>6399</v>
      </c>
    </row>
    <row r="2107" spans="1:7">
      <c r="A2107" t="s">
        <v>1876</v>
      </c>
      <c r="B2107" t="s">
        <v>353</v>
      </c>
      <c r="C2107" t="s">
        <v>243</v>
      </c>
      <c r="D2107">
        <v>55067</v>
      </c>
      <c r="E2107">
        <v>56718</v>
      </c>
      <c r="F2107">
        <v>56217</v>
      </c>
      <c r="G2107">
        <v>57309</v>
      </c>
    </row>
    <row r="2108" spans="1:7">
      <c r="A2108" t="s">
        <v>1876</v>
      </c>
      <c r="B2108" t="s">
        <v>353</v>
      </c>
      <c r="C2108" t="s">
        <v>244</v>
      </c>
      <c r="D2108">
        <v>168272</v>
      </c>
      <c r="E2108">
        <v>169688</v>
      </c>
      <c r="F2108">
        <v>172780</v>
      </c>
      <c r="G2108">
        <v>180152</v>
      </c>
    </row>
    <row r="2109" spans="1:7">
      <c r="A2109" t="s">
        <v>1876</v>
      </c>
      <c r="B2109" t="s">
        <v>353</v>
      </c>
      <c r="C2109" t="s">
        <v>1709</v>
      </c>
      <c r="D2109">
        <v>5472</v>
      </c>
      <c r="E2109">
        <v>5060</v>
      </c>
      <c r="F2109">
        <v>5064</v>
      </c>
      <c r="G2109">
        <v>5063</v>
      </c>
    </row>
    <row r="2110" spans="1:7">
      <c r="A2110" t="s">
        <v>1876</v>
      </c>
      <c r="B2110" t="s">
        <v>353</v>
      </c>
      <c r="C2110" t="s">
        <v>245</v>
      </c>
      <c r="D2110">
        <v>23198</v>
      </c>
      <c r="E2110">
        <v>22270</v>
      </c>
      <c r="F2110">
        <v>21255</v>
      </c>
      <c r="G2110">
        <v>21599</v>
      </c>
    </row>
    <row r="2111" spans="1:7">
      <c r="A2111" t="s">
        <v>1876</v>
      </c>
      <c r="B2111" t="s">
        <v>353</v>
      </c>
      <c r="C2111" t="s">
        <v>246</v>
      </c>
      <c r="D2111">
        <v>51306</v>
      </c>
      <c r="E2111">
        <v>52223</v>
      </c>
      <c r="F2111">
        <v>48346</v>
      </c>
      <c r="G2111">
        <v>49014</v>
      </c>
    </row>
    <row r="2112" spans="1:7">
      <c r="A2112" t="s">
        <v>1876</v>
      </c>
      <c r="B2112" t="s">
        <v>353</v>
      </c>
      <c r="C2112" t="s">
        <v>247</v>
      </c>
      <c r="D2112">
        <v>305184</v>
      </c>
      <c r="E2112">
        <v>307212</v>
      </c>
      <c r="F2112">
        <v>304924</v>
      </c>
      <c r="G2112">
        <v>314473</v>
      </c>
    </row>
    <row r="2113" spans="1:7">
      <c r="A2113" t="s">
        <v>1876</v>
      </c>
      <c r="B2113" t="s">
        <v>353</v>
      </c>
      <c r="C2113" t="s">
        <v>248</v>
      </c>
      <c r="D2113">
        <v>84.6</v>
      </c>
      <c r="E2113">
        <v>84.9</v>
      </c>
      <c r="F2113">
        <v>83.7</v>
      </c>
      <c r="G2113">
        <v>85.6</v>
      </c>
    </row>
    <row r="2114" spans="1:7">
      <c r="A2114" t="s">
        <v>1876</v>
      </c>
      <c r="B2114" t="s">
        <v>353</v>
      </c>
      <c r="C2114" t="s">
        <v>249</v>
      </c>
      <c r="D2114">
        <v>136912</v>
      </c>
      <c r="E2114">
        <v>137524</v>
      </c>
      <c r="F2114">
        <v>132144</v>
      </c>
      <c r="G2114">
        <v>134321</v>
      </c>
    </row>
    <row r="2115" spans="1:7">
      <c r="A2115" t="s">
        <v>1876</v>
      </c>
      <c r="B2115" t="s">
        <v>353</v>
      </c>
      <c r="C2115" t="s">
        <v>250</v>
      </c>
      <c r="D2115">
        <v>305184</v>
      </c>
      <c r="E2115">
        <v>307212</v>
      </c>
      <c r="F2115">
        <v>304924</v>
      </c>
      <c r="G2115">
        <v>314473</v>
      </c>
    </row>
    <row r="2116" spans="1:7">
      <c r="A2116" t="s">
        <v>1876</v>
      </c>
      <c r="B2116" t="s">
        <v>353</v>
      </c>
      <c r="C2116" t="s">
        <v>1937</v>
      </c>
      <c r="D2116">
        <v>13.6</v>
      </c>
      <c r="E2116">
        <v>12.5</v>
      </c>
      <c r="F2116">
        <v>15</v>
      </c>
      <c r="G2116">
        <v>13.6</v>
      </c>
    </row>
    <row r="2117" spans="1:7">
      <c r="A2117" t="s">
        <v>1876</v>
      </c>
      <c r="B2117" t="s">
        <v>353</v>
      </c>
      <c r="C2117" t="s">
        <v>1938</v>
      </c>
      <c r="D2117">
        <v>93.7</v>
      </c>
      <c r="E2117">
        <v>89.5</v>
      </c>
      <c r="F2117">
        <v>75</v>
      </c>
      <c r="G2117">
        <v>91.3</v>
      </c>
    </row>
    <row r="2118" spans="1:7">
      <c r="A2118" t="s">
        <v>1876</v>
      </c>
      <c r="B2118" t="s">
        <v>353</v>
      </c>
      <c r="C2118" t="s">
        <v>251</v>
      </c>
      <c r="D2118">
        <v>179551</v>
      </c>
      <c r="E2118">
        <v>172018</v>
      </c>
      <c r="F2118">
        <v>142873</v>
      </c>
      <c r="G2118">
        <v>176177</v>
      </c>
    </row>
    <row r="2119" spans="1:7">
      <c r="A2119" t="s">
        <v>1876</v>
      </c>
      <c r="B2119" t="s">
        <v>353</v>
      </c>
      <c r="C2119" t="s">
        <v>252</v>
      </c>
      <c r="D2119">
        <v>179551</v>
      </c>
      <c r="E2119">
        <v>172018</v>
      </c>
      <c r="F2119">
        <v>142873</v>
      </c>
      <c r="G2119">
        <v>176177</v>
      </c>
    </row>
    <row r="2120" spans="1:7">
      <c r="A2120" t="s">
        <v>1876</v>
      </c>
      <c r="B2120" t="s">
        <v>353</v>
      </c>
      <c r="C2120" t="s">
        <v>1710</v>
      </c>
      <c r="D2120">
        <v>2097</v>
      </c>
      <c r="E2120">
        <v>2108</v>
      </c>
      <c r="F2120">
        <v>2081</v>
      </c>
      <c r="G2120">
        <v>2104</v>
      </c>
    </row>
    <row r="2121" spans="1:7">
      <c r="A2121" t="s">
        <v>1876</v>
      </c>
      <c r="B2121" t="s">
        <v>353</v>
      </c>
      <c r="C2121" t="s">
        <v>1939</v>
      </c>
      <c r="D2121">
        <v>2.7</v>
      </c>
      <c r="E2121">
        <v>5.0999999999999996</v>
      </c>
      <c r="F2121">
        <v>4.9000000000000004</v>
      </c>
      <c r="G2121">
        <v>1.6</v>
      </c>
    </row>
    <row r="2122" spans="1:7">
      <c r="A2122" t="s">
        <v>1876</v>
      </c>
      <c r="B2122" t="s">
        <v>353</v>
      </c>
      <c r="C2122" t="s">
        <v>253</v>
      </c>
      <c r="D2122">
        <v>0</v>
      </c>
      <c r="E2122">
        <v>0</v>
      </c>
      <c r="F2122">
        <v>0</v>
      </c>
      <c r="G2122">
        <v>0</v>
      </c>
    </row>
    <row r="2123" spans="1:7">
      <c r="A2123" t="s">
        <v>1876</v>
      </c>
      <c r="B2123" t="s">
        <v>353</v>
      </c>
      <c r="C2123" t="s">
        <v>1711</v>
      </c>
      <c r="D2123">
        <v>0</v>
      </c>
      <c r="E2123">
        <v>0</v>
      </c>
      <c r="F2123">
        <v>0</v>
      </c>
      <c r="G2123">
        <v>0</v>
      </c>
    </row>
    <row r="2124" spans="1:7">
      <c r="A2124" t="s">
        <v>1876</v>
      </c>
      <c r="B2124" t="s">
        <v>353</v>
      </c>
      <c r="C2124" t="s">
        <v>1712</v>
      </c>
      <c r="D2124">
        <v>706</v>
      </c>
      <c r="E2124">
        <v>1657</v>
      </c>
      <c r="F2124">
        <v>1599</v>
      </c>
      <c r="G2124">
        <v>1516</v>
      </c>
    </row>
    <row r="2125" spans="1:7">
      <c r="A2125" t="s">
        <v>1876</v>
      </c>
      <c r="B2125" t="s">
        <v>353</v>
      </c>
      <c r="C2125" t="s">
        <v>1713</v>
      </c>
      <c r="D2125">
        <v>555</v>
      </c>
      <c r="E2125">
        <v>510</v>
      </c>
      <c r="F2125">
        <v>710</v>
      </c>
      <c r="G2125">
        <v>733</v>
      </c>
    </row>
    <row r="2126" spans="1:7">
      <c r="A2126" t="s">
        <v>1876</v>
      </c>
      <c r="B2126" t="s">
        <v>353</v>
      </c>
      <c r="C2126" t="s">
        <v>1940</v>
      </c>
      <c r="D2126">
        <v>366</v>
      </c>
      <c r="E2126">
        <v>366</v>
      </c>
      <c r="F2126">
        <v>387</v>
      </c>
      <c r="G2126">
        <v>428</v>
      </c>
    </row>
    <row r="2127" spans="1:7">
      <c r="A2127" t="s">
        <v>1876</v>
      </c>
      <c r="B2127" t="s">
        <v>353</v>
      </c>
      <c r="C2127" t="s">
        <v>1941</v>
      </c>
      <c r="D2127">
        <v>0</v>
      </c>
      <c r="E2127">
        <v>0</v>
      </c>
      <c r="F2127">
        <v>0</v>
      </c>
      <c r="G2127">
        <v>0</v>
      </c>
    </row>
    <row r="2128" spans="1:7">
      <c r="A2128" t="s">
        <v>1876</v>
      </c>
      <c r="B2128" t="s">
        <v>353</v>
      </c>
      <c r="C2128" t="s">
        <v>254</v>
      </c>
      <c r="D2128">
        <v>706</v>
      </c>
      <c r="E2128">
        <v>1657</v>
      </c>
      <c r="F2128">
        <v>1599</v>
      </c>
      <c r="G2128">
        <v>1516</v>
      </c>
    </row>
    <row r="2129" spans="1:7">
      <c r="A2129" t="s">
        <v>1876</v>
      </c>
      <c r="B2129" t="s">
        <v>353</v>
      </c>
      <c r="C2129" t="s">
        <v>1942</v>
      </c>
      <c r="D2129">
        <v>1996</v>
      </c>
      <c r="E2129">
        <v>2021</v>
      </c>
      <c r="F2129">
        <v>2136</v>
      </c>
      <c r="G2129">
        <v>2311</v>
      </c>
    </row>
    <row r="2130" spans="1:7">
      <c r="A2130" t="s">
        <v>1876</v>
      </c>
      <c r="B2130" t="s">
        <v>353</v>
      </c>
      <c r="C2130" t="s">
        <v>255</v>
      </c>
      <c r="D2130">
        <v>3623</v>
      </c>
      <c r="E2130">
        <v>4553</v>
      </c>
      <c r="F2130">
        <v>4832</v>
      </c>
      <c r="G2130">
        <v>4989</v>
      </c>
    </row>
    <row r="2131" spans="1:7">
      <c r="A2131" t="s">
        <v>1876</v>
      </c>
      <c r="B2131" t="s">
        <v>353</v>
      </c>
      <c r="C2131" t="s">
        <v>256</v>
      </c>
      <c r="D2131">
        <v>3623</v>
      </c>
      <c r="E2131">
        <v>4553</v>
      </c>
      <c r="F2131">
        <v>4832</v>
      </c>
      <c r="G2131">
        <v>4989</v>
      </c>
    </row>
    <row r="2132" spans="1:7">
      <c r="A2132" t="s">
        <v>1876</v>
      </c>
      <c r="B2132" t="s">
        <v>353</v>
      </c>
      <c r="C2132" t="s">
        <v>1714</v>
      </c>
      <c r="D2132">
        <v>0</v>
      </c>
      <c r="E2132">
        <v>0</v>
      </c>
      <c r="F2132">
        <v>0</v>
      </c>
      <c r="G2132">
        <v>0</v>
      </c>
    </row>
    <row r="2133" spans="1:7">
      <c r="A2133" t="s">
        <v>1876</v>
      </c>
      <c r="B2133" t="s">
        <v>353</v>
      </c>
      <c r="C2133" t="s">
        <v>257</v>
      </c>
      <c r="D2133">
        <v>8014</v>
      </c>
      <c r="E2133">
        <v>13570</v>
      </c>
      <c r="F2133">
        <v>13443</v>
      </c>
      <c r="G2133">
        <v>13283</v>
      </c>
    </row>
    <row r="2134" spans="1:7">
      <c r="A2134" t="s">
        <v>1876</v>
      </c>
      <c r="B2134" t="s">
        <v>353</v>
      </c>
      <c r="C2134" t="s">
        <v>258</v>
      </c>
      <c r="D2134">
        <v>12089</v>
      </c>
      <c r="E2134">
        <v>17716</v>
      </c>
      <c r="F2134">
        <v>17650</v>
      </c>
      <c r="G2134">
        <v>17710</v>
      </c>
    </row>
    <row r="2135" spans="1:7">
      <c r="A2135" t="s">
        <v>1876</v>
      </c>
      <c r="B2135" t="s">
        <v>353</v>
      </c>
      <c r="C2135" t="s">
        <v>259</v>
      </c>
      <c r="D2135">
        <v>12089</v>
      </c>
      <c r="E2135">
        <v>17716</v>
      </c>
      <c r="F2135">
        <v>17650</v>
      </c>
      <c r="G2135">
        <v>17710</v>
      </c>
    </row>
    <row r="2136" spans="1:7">
      <c r="A2136" t="s">
        <v>1876</v>
      </c>
      <c r="B2136" t="s">
        <v>353</v>
      </c>
      <c r="C2136" t="s">
        <v>260</v>
      </c>
      <c r="D2136">
        <v>206275</v>
      </c>
      <c r="E2136">
        <v>218221</v>
      </c>
      <c r="F2136">
        <v>209459</v>
      </c>
      <c r="G2136">
        <v>220873</v>
      </c>
    </row>
    <row r="2137" spans="1:7">
      <c r="A2137" t="s">
        <v>1876</v>
      </c>
      <c r="B2137" t="s">
        <v>353</v>
      </c>
      <c r="C2137" t="s">
        <v>1943</v>
      </c>
      <c r="D2137">
        <v>0.2</v>
      </c>
      <c r="E2137">
        <v>1</v>
      </c>
      <c r="F2137">
        <v>0.4</v>
      </c>
      <c r="G2137">
        <v>0.4</v>
      </c>
    </row>
    <row r="2138" spans="1:7">
      <c r="A2138" t="s">
        <v>1876</v>
      </c>
      <c r="B2138" t="s">
        <v>353</v>
      </c>
      <c r="C2138" t="s">
        <v>261</v>
      </c>
      <c r="D2138">
        <v>18375</v>
      </c>
      <c r="E2138">
        <v>17797</v>
      </c>
      <c r="F2138">
        <v>17921</v>
      </c>
      <c r="G2138">
        <v>15973</v>
      </c>
    </row>
    <row r="2139" spans="1:7">
      <c r="A2139" t="s">
        <v>1876</v>
      </c>
      <c r="B2139" t="s">
        <v>353</v>
      </c>
      <c r="C2139" t="s">
        <v>262</v>
      </c>
      <c r="D2139">
        <v>663</v>
      </c>
      <c r="E2139">
        <v>3586</v>
      </c>
      <c r="F2139">
        <v>1384</v>
      </c>
      <c r="G2139">
        <v>844</v>
      </c>
    </row>
    <row r="2140" spans="1:7">
      <c r="A2140" t="s">
        <v>1876</v>
      </c>
      <c r="B2140" t="s">
        <v>353</v>
      </c>
      <c r="C2140" t="s">
        <v>1715</v>
      </c>
      <c r="D2140">
        <v>1940</v>
      </c>
      <c r="E2140">
        <v>2372</v>
      </c>
      <c r="F2140">
        <v>2209</v>
      </c>
      <c r="G2140">
        <v>2210</v>
      </c>
    </row>
    <row r="2141" spans="1:7">
      <c r="A2141" t="s">
        <v>1876</v>
      </c>
      <c r="B2141" t="s">
        <v>353</v>
      </c>
      <c r="C2141" t="s">
        <v>263</v>
      </c>
      <c r="D2141">
        <v>13454</v>
      </c>
      <c r="E2141">
        <v>19138</v>
      </c>
      <c r="F2141">
        <v>18842</v>
      </c>
      <c r="G2141">
        <v>18600</v>
      </c>
    </row>
    <row r="2142" spans="1:7">
      <c r="A2142" t="s">
        <v>1876</v>
      </c>
      <c r="B2142" t="s">
        <v>353</v>
      </c>
      <c r="C2142" t="s">
        <v>264</v>
      </c>
      <c r="D2142">
        <v>63197</v>
      </c>
      <c r="E2142">
        <v>61799</v>
      </c>
      <c r="F2142">
        <v>60912</v>
      </c>
      <c r="G2142">
        <v>61305</v>
      </c>
    </row>
    <row r="2143" spans="1:7">
      <c r="A2143" t="s">
        <v>1876</v>
      </c>
      <c r="B2143" t="s">
        <v>353</v>
      </c>
      <c r="C2143" t="s">
        <v>265</v>
      </c>
      <c r="D2143">
        <v>301964</v>
      </c>
      <c r="E2143">
        <v>320540</v>
      </c>
      <c r="F2143">
        <v>308518</v>
      </c>
      <c r="G2143">
        <v>317595</v>
      </c>
    </row>
    <row r="2144" spans="1:7">
      <c r="A2144" t="s">
        <v>1876</v>
      </c>
      <c r="B2144" t="s">
        <v>353</v>
      </c>
      <c r="C2144" t="s">
        <v>266</v>
      </c>
      <c r="D2144">
        <v>83.7</v>
      </c>
      <c r="E2144">
        <v>88.6</v>
      </c>
      <c r="F2144">
        <v>84.7</v>
      </c>
      <c r="G2144">
        <v>86.4</v>
      </c>
    </row>
    <row r="2145" spans="1:7">
      <c r="A2145" t="s">
        <v>1876</v>
      </c>
      <c r="B2145" t="s">
        <v>353</v>
      </c>
      <c r="C2145" t="s">
        <v>267</v>
      </c>
      <c r="D2145">
        <v>301301</v>
      </c>
      <c r="E2145">
        <v>316954</v>
      </c>
      <c r="F2145">
        <v>307134</v>
      </c>
      <c r="G2145">
        <v>316751</v>
      </c>
    </row>
    <row r="2146" spans="1:7">
      <c r="A2146" t="s">
        <v>1876</v>
      </c>
      <c r="B2146" t="s">
        <v>353</v>
      </c>
      <c r="C2146" t="s">
        <v>268</v>
      </c>
      <c r="D2146">
        <v>0</v>
      </c>
      <c r="E2146">
        <v>0</v>
      </c>
      <c r="F2146">
        <v>0</v>
      </c>
      <c r="G2146">
        <v>0</v>
      </c>
    </row>
    <row r="2147" spans="1:7">
      <c r="A2147" t="s">
        <v>1876</v>
      </c>
      <c r="B2147" t="s">
        <v>353</v>
      </c>
      <c r="C2147" t="s">
        <v>269</v>
      </c>
      <c r="D2147">
        <v>0</v>
      </c>
      <c r="E2147">
        <v>0</v>
      </c>
      <c r="F2147">
        <v>0</v>
      </c>
      <c r="G2147">
        <v>0</v>
      </c>
    </row>
    <row r="2148" spans="1:7">
      <c r="A2148" t="s">
        <v>1876</v>
      </c>
      <c r="B2148" t="s">
        <v>353</v>
      </c>
      <c r="C2148" t="s">
        <v>270</v>
      </c>
      <c r="D2148">
        <v>0</v>
      </c>
      <c r="E2148">
        <v>0</v>
      </c>
      <c r="F2148">
        <v>0</v>
      </c>
      <c r="G2148">
        <v>0</v>
      </c>
    </row>
    <row r="2149" spans="1:7">
      <c r="A2149" t="s">
        <v>1876</v>
      </c>
      <c r="B2149" t="s">
        <v>353</v>
      </c>
      <c r="C2149" t="s">
        <v>271</v>
      </c>
      <c r="D2149">
        <v>0</v>
      </c>
      <c r="E2149">
        <v>0</v>
      </c>
      <c r="F2149">
        <v>0</v>
      </c>
      <c r="G2149">
        <v>0</v>
      </c>
    </row>
    <row r="2150" spans="1:7">
      <c r="A2150" t="s">
        <v>1876</v>
      </c>
      <c r="B2150" t="s">
        <v>353</v>
      </c>
      <c r="C2150" t="s">
        <v>272</v>
      </c>
      <c r="D2150">
        <v>0</v>
      </c>
      <c r="E2150">
        <v>0</v>
      </c>
      <c r="F2150">
        <v>0</v>
      </c>
      <c r="G2150">
        <v>0</v>
      </c>
    </row>
    <row r="2151" spans="1:7">
      <c r="A2151" t="s">
        <v>1876</v>
      </c>
      <c r="B2151" t="s">
        <v>353</v>
      </c>
      <c r="C2151" t="s">
        <v>1944</v>
      </c>
      <c r="D2151">
        <v>9</v>
      </c>
      <c r="E2151">
        <v>12.1</v>
      </c>
      <c r="F2151">
        <v>16.2</v>
      </c>
      <c r="G2151">
        <v>21.7</v>
      </c>
    </row>
    <row r="2152" spans="1:7">
      <c r="A2152" t="s">
        <v>1876</v>
      </c>
      <c r="B2152" t="s">
        <v>353</v>
      </c>
      <c r="C2152" t="s">
        <v>1945</v>
      </c>
      <c r="D2152">
        <v>14</v>
      </c>
      <c r="E2152">
        <v>21</v>
      </c>
      <c r="F2152">
        <v>42</v>
      </c>
      <c r="G2152">
        <v>53</v>
      </c>
    </row>
    <row r="2153" spans="1:7">
      <c r="A2153" t="s">
        <v>1876</v>
      </c>
      <c r="B2153" t="s">
        <v>353</v>
      </c>
      <c r="C2153" t="s">
        <v>273</v>
      </c>
      <c r="D2153">
        <v>0</v>
      </c>
      <c r="E2153">
        <v>0</v>
      </c>
      <c r="F2153">
        <v>0</v>
      </c>
      <c r="G2153">
        <v>0</v>
      </c>
    </row>
    <row r="2154" spans="1:7">
      <c r="A2154" t="s">
        <v>1876</v>
      </c>
      <c r="B2154" t="s">
        <v>353</v>
      </c>
      <c r="C2154" t="s">
        <v>1946</v>
      </c>
      <c r="D2154">
        <v>193817</v>
      </c>
      <c r="E2154">
        <v>204948</v>
      </c>
      <c r="F2154">
        <v>196356</v>
      </c>
      <c r="G2154">
        <v>206899</v>
      </c>
    </row>
    <row r="2155" spans="1:7">
      <c r="A2155" t="s">
        <v>1876</v>
      </c>
      <c r="B2155" t="s">
        <v>353</v>
      </c>
      <c r="C2155" t="s">
        <v>1947</v>
      </c>
      <c r="D2155">
        <v>17391</v>
      </c>
      <c r="E2155">
        <v>16812</v>
      </c>
      <c r="F2155">
        <v>16947</v>
      </c>
      <c r="G2155">
        <v>15063</v>
      </c>
    </row>
    <row r="2156" spans="1:7">
      <c r="A2156" t="s">
        <v>1876</v>
      </c>
      <c r="B2156" t="s">
        <v>353</v>
      </c>
      <c r="C2156" t="s">
        <v>1948</v>
      </c>
      <c r="D2156">
        <v>663</v>
      </c>
      <c r="E2156">
        <v>3586</v>
      </c>
      <c r="F2156">
        <v>1384</v>
      </c>
      <c r="G2156">
        <v>844</v>
      </c>
    </row>
    <row r="2157" spans="1:7">
      <c r="A2157" t="s">
        <v>1876</v>
      </c>
      <c r="B2157" t="s">
        <v>353</v>
      </c>
      <c r="C2157" t="s">
        <v>1949</v>
      </c>
      <c r="D2157">
        <v>13308</v>
      </c>
      <c r="E2157">
        <v>18988</v>
      </c>
      <c r="F2157">
        <v>18692</v>
      </c>
      <c r="G2157">
        <v>18456</v>
      </c>
    </row>
    <row r="2158" spans="1:7">
      <c r="A2158" t="s">
        <v>1876</v>
      </c>
      <c r="B2158" t="s">
        <v>353</v>
      </c>
      <c r="C2158" t="s">
        <v>1950</v>
      </c>
      <c r="D2158">
        <v>59723</v>
      </c>
      <c r="E2158">
        <v>58352</v>
      </c>
      <c r="F2158">
        <v>57517</v>
      </c>
      <c r="G2158">
        <v>57746</v>
      </c>
    </row>
    <row r="2159" spans="1:7">
      <c r="A2159" t="s">
        <v>1876</v>
      </c>
      <c r="B2159" t="s">
        <v>353</v>
      </c>
      <c r="C2159" t="s">
        <v>274</v>
      </c>
      <c r="D2159">
        <v>284901</v>
      </c>
      <c r="E2159">
        <v>302687</v>
      </c>
      <c r="F2159">
        <v>290895</v>
      </c>
      <c r="G2159">
        <v>299007</v>
      </c>
    </row>
    <row r="2160" spans="1:7">
      <c r="A2160" t="s">
        <v>1876</v>
      </c>
      <c r="B2160" t="s">
        <v>353</v>
      </c>
      <c r="C2160" t="s">
        <v>275</v>
      </c>
      <c r="D2160">
        <v>0</v>
      </c>
      <c r="E2160">
        <v>0</v>
      </c>
      <c r="F2160">
        <v>0</v>
      </c>
      <c r="G2160">
        <v>0</v>
      </c>
    </row>
    <row r="2161" spans="1:7">
      <c r="A2161" t="s">
        <v>1876</v>
      </c>
      <c r="B2161" t="s">
        <v>353</v>
      </c>
      <c r="C2161" t="s">
        <v>276</v>
      </c>
      <c r="D2161">
        <v>0</v>
      </c>
      <c r="E2161">
        <v>0</v>
      </c>
      <c r="F2161">
        <v>0</v>
      </c>
      <c r="G2161">
        <v>0</v>
      </c>
    </row>
    <row r="2162" spans="1:7">
      <c r="A2162" t="s">
        <v>1876</v>
      </c>
      <c r="B2162" t="s">
        <v>353</v>
      </c>
      <c r="C2162" t="s">
        <v>277</v>
      </c>
      <c r="D2162">
        <v>164</v>
      </c>
      <c r="E2162">
        <v>161</v>
      </c>
      <c r="F2162">
        <v>323</v>
      </c>
      <c r="G2162">
        <v>216</v>
      </c>
    </row>
    <row r="2163" spans="1:7">
      <c r="A2163" t="s">
        <v>1876</v>
      </c>
      <c r="B2163" t="s">
        <v>353</v>
      </c>
      <c r="C2163" t="s">
        <v>278</v>
      </c>
      <c r="D2163">
        <v>3282</v>
      </c>
      <c r="E2163">
        <v>2745</v>
      </c>
      <c r="F2163">
        <v>3087</v>
      </c>
      <c r="G2163">
        <v>2486</v>
      </c>
    </row>
    <row r="2164" spans="1:7">
      <c r="A2164" t="s">
        <v>1876</v>
      </c>
      <c r="B2164" t="s">
        <v>353</v>
      </c>
      <c r="C2164" t="s">
        <v>279</v>
      </c>
      <c r="D2164">
        <v>424</v>
      </c>
      <c r="E2164">
        <v>468</v>
      </c>
      <c r="F2164">
        <v>363</v>
      </c>
      <c r="G2164">
        <v>445</v>
      </c>
    </row>
    <row r="2165" spans="1:7">
      <c r="A2165" t="s">
        <v>1876</v>
      </c>
      <c r="B2165" t="s">
        <v>353</v>
      </c>
      <c r="C2165" t="s">
        <v>280</v>
      </c>
      <c r="D2165">
        <v>7826</v>
      </c>
      <c r="E2165">
        <v>6826</v>
      </c>
      <c r="F2165">
        <v>6936</v>
      </c>
      <c r="G2165">
        <v>7922</v>
      </c>
    </row>
    <row r="2166" spans="1:7">
      <c r="A2166" t="s">
        <v>1876</v>
      </c>
      <c r="B2166" t="s">
        <v>353</v>
      </c>
      <c r="C2166" t="s">
        <v>281</v>
      </c>
      <c r="D2166">
        <v>11695</v>
      </c>
      <c r="E2166">
        <v>10200</v>
      </c>
      <c r="F2166">
        <v>10709</v>
      </c>
      <c r="G2166">
        <v>11069</v>
      </c>
    </row>
    <row r="2167" spans="1:7">
      <c r="A2167" t="s">
        <v>1876</v>
      </c>
      <c r="B2167" t="s">
        <v>353</v>
      </c>
      <c r="C2167" t="s">
        <v>282</v>
      </c>
      <c r="D2167">
        <v>11695</v>
      </c>
      <c r="E2167">
        <v>10200</v>
      </c>
      <c r="F2167">
        <v>10709</v>
      </c>
      <c r="G2167">
        <v>11069</v>
      </c>
    </row>
    <row r="2168" spans="1:7">
      <c r="A2168" t="s">
        <v>1876</v>
      </c>
      <c r="B2168" t="s">
        <v>353</v>
      </c>
      <c r="C2168" t="s">
        <v>283</v>
      </c>
      <c r="D2168">
        <v>0</v>
      </c>
      <c r="E2168">
        <v>0</v>
      </c>
      <c r="F2168">
        <v>0</v>
      </c>
      <c r="G2168">
        <v>0</v>
      </c>
    </row>
    <row r="2169" spans="1:7">
      <c r="A2169" t="s">
        <v>1876</v>
      </c>
      <c r="B2169" t="s">
        <v>353</v>
      </c>
      <c r="C2169" t="s">
        <v>284</v>
      </c>
      <c r="D2169">
        <v>0</v>
      </c>
      <c r="E2169">
        <v>0</v>
      </c>
      <c r="F2169">
        <v>0</v>
      </c>
      <c r="G2169">
        <v>0</v>
      </c>
    </row>
    <row r="2170" spans="1:7">
      <c r="A2170" t="s">
        <v>1876</v>
      </c>
      <c r="B2170" t="s">
        <v>353</v>
      </c>
      <c r="C2170" t="s">
        <v>1716</v>
      </c>
      <c r="D2170">
        <v>12458</v>
      </c>
      <c r="E2170">
        <v>13272</v>
      </c>
      <c r="F2170">
        <v>13103</v>
      </c>
      <c r="G2170">
        <v>13974</v>
      </c>
    </row>
    <row r="2171" spans="1:7">
      <c r="A2171" t="s">
        <v>1876</v>
      </c>
      <c r="B2171" t="s">
        <v>353</v>
      </c>
      <c r="C2171" t="s">
        <v>1717</v>
      </c>
      <c r="D2171">
        <v>3696</v>
      </c>
      <c r="E2171">
        <v>3832</v>
      </c>
      <c r="F2171">
        <v>3868</v>
      </c>
      <c r="G2171">
        <v>3931</v>
      </c>
    </row>
    <row r="2172" spans="1:7">
      <c r="A2172" t="s">
        <v>1876</v>
      </c>
      <c r="B2172" t="s">
        <v>353</v>
      </c>
      <c r="C2172" t="s">
        <v>1718</v>
      </c>
      <c r="D2172">
        <v>15051</v>
      </c>
      <c r="E2172">
        <v>11524</v>
      </c>
      <c r="F2172">
        <v>12477</v>
      </c>
      <c r="G2172">
        <v>11825</v>
      </c>
    </row>
    <row r="2173" spans="1:7">
      <c r="A2173" t="s">
        <v>1876</v>
      </c>
      <c r="B2173" t="s">
        <v>353</v>
      </c>
      <c r="C2173" t="s">
        <v>1719</v>
      </c>
      <c r="D2173">
        <v>571</v>
      </c>
      <c r="E2173">
        <v>537</v>
      </c>
      <c r="F2173">
        <v>551</v>
      </c>
      <c r="G2173">
        <v>586</v>
      </c>
    </row>
    <row r="2174" spans="1:7">
      <c r="A2174" t="s">
        <v>1876</v>
      </c>
      <c r="B2174" t="s">
        <v>353</v>
      </c>
      <c r="C2174" t="s">
        <v>1720</v>
      </c>
      <c r="D2174">
        <v>3972</v>
      </c>
      <c r="E2174">
        <v>4660</v>
      </c>
      <c r="F2174">
        <v>4705</v>
      </c>
      <c r="G2174">
        <v>4703</v>
      </c>
    </row>
    <row r="2175" spans="1:7">
      <c r="A2175" t="s">
        <v>1876</v>
      </c>
      <c r="B2175" t="s">
        <v>353</v>
      </c>
      <c r="C2175" t="s">
        <v>1721</v>
      </c>
      <c r="D2175">
        <v>14106</v>
      </c>
      <c r="E2175">
        <v>16687</v>
      </c>
      <c r="F2175">
        <v>15652</v>
      </c>
      <c r="G2175">
        <v>15893</v>
      </c>
    </row>
    <row r="2176" spans="1:7">
      <c r="A2176" t="s">
        <v>1876</v>
      </c>
      <c r="B2176" t="s">
        <v>353</v>
      </c>
      <c r="C2176" t="s">
        <v>285</v>
      </c>
      <c r="D2176">
        <v>49283</v>
      </c>
      <c r="E2176">
        <v>49976</v>
      </c>
      <c r="F2176">
        <v>49804</v>
      </c>
      <c r="G2176">
        <v>50326</v>
      </c>
    </row>
    <row r="2177" spans="1:7">
      <c r="A2177" t="s">
        <v>1876</v>
      </c>
      <c r="B2177" t="s">
        <v>353</v>
      </c>
      <c r="C2177" t="s">
        <v>1951</v>
      </c>
      <c r="D2177">
        <v>7.1</v>
      </c>
      <c r="E2177">
        <v>7</v>
      </c>
      <c r="F2177">
        <v>7.2</v>
      </c>
      <c r="G2177">
        <v>7.1</v>
      </c>
    </row>
    <row r="2178" spans="1:7">
      <c r="A2178" t="s">
        <v>1876</v>
      </c>
      <c r="B2178" t="s">
        <v>353</v>
      </c>
      <c r="C2178" t="s">
        <v>286</v>
      </c>
      <c r="D2178">
        <v>0</v>
      </c>
      <c r="E2178">
        <v>0</v>
      </c>
      <c r="F2178">
        <v>0</v>
      </c>
      <c r="G2178">
        <v>0</v>
      </c>
    </row>
    <row r="2179" spans="1:7">
      <c r="A2179" t="s">
        <v>1876</v>
      </c>
      <c r="B2179" t="s">
        <v>353</v>
      </c>
      <c r="C2179" t="s">
        <v>287</v>
      </c>
      <c r="D2179">
        <v>200</v>
      </c>
      <c r="E2179">
        <v>205</v>
      </c>
      <c r="F2179">
        <v>170</v>
      </c>
      <c r="G2179">
        <v>184</v>
      </c>
    </row>
    <row r="2180" spans="1:7">
      <c r="A2180" t="s">
        <v>1876</v>
      </c>
      <c r="B2180" t="s">
        <v>353</v>
      </c>
      <c r="C2180" t="s">
        <v>288</v>
      </c>
      <c r="D2180">
        <v>417</v>
      </c>
      <c r="E2180">
        <v>3122</v>
      </c>
      <c r="F2180">
        <v>1014</v>
      </c>
      <c r="G2180">
        <v>601</v>
      </c>
    </row>
    <row r="2181" spans="1:7">
      <c r="A2181" t="s">
        <v>1876</v>
      </c>
      <c r="B2181" t="s">
        <v>353</v>
      </c>
      <c r="C2181" t="s">
        <v>289</v>
      </c>
      <c r="D2181">
        <v>9</v>
      </c>
      <c r="E2181">
        <v>9</v>
      </c>
      <c r="F2181">
        <v>8</v>
      </c>
      <c r="G2181">
        <v>8</v>
      </c>
    </row>
    <row r="2182" spans="1:7">
      <c r="A2182" t="s">
        <v>1876</v>
      </c>
      <c r="B2182" t="s">
        <v>353</v>
      </c>
      <c r="C2182" t="s">
        <v>290</v>
      </c>
      <c r="D2182">
        <v>626</v>
      </c>
      <c r="E2182">
        <v>3337</v>
      </c>
      <c r="F2182">
        <v>1191</v>
      </c>
      <c r="G2182">
        <v>794</v>
      </c>
    </row>
    <row r="2183" spans="1:7">
      <c r="A2183" t="s">
        <v>1876</v>
      </c>
      <c r="B2183" t="s">
        <v>353</v>
      </c>
      <c r="C2183" t="s">
        <v>291</v>
      </c>
      <c r="D2183">
        <v>209</v>
      </c>
      <c r="E2183">
        <v>214</v>
      </c>
      <c r="F2183">
        <v>178</v>
      </c>
      <c r="G2183">
        <v>192</v>
      </c>
    </row>
    <row r="2184" spans="1:7">
      <c r="A2184" t="s">
        <v>1876</v>
      </c>
      <c r="B2184" t="s">
        <v>353</v>
      </c>
      <c r="C2184" t="s">
        <v>292</v>
      </c>
      <c r="D2184">
        <v>0</v>
      </c>
      <c r="E2184">
        <v>0</v>
      </c>
      <c r="F2184">
        <v>0</v>
      </c>
      <c r="G2184">
        <v>0</v>
      </c>
    </row>
    <row r="2185" spans="1:7">
      <c r="A2185" t="s">
        <v>1876</v>
      </c>
      <c r="B2185" t="s">
        <v>353</v>
      </c>
      <c r="C2185" t="s">
        <v>293</v>
      </c>
      <c r="D2185">
        <v>0</v>
      </c>
      <c r="E2185">
        <v>0</v>
      </c>
      <c r="F2185">
        <v>0</v>
      </c>
      <c r="G2185">
        <v>0</v>
      </c>
    </row>
    <row r="2186" spans="1:7">
      <c r="A2186" t="s">
        <v>1876</v>
      </c>
      <c r="B2186" t="s">
        <v>353</v>
      </c>
      <c r="C2186" t="s">
        <v>294</v>
      </c>
      <c r="D2186">
        <v>0</v>
      </c>
      <c r="E2186">
        <v>0</v>
      </c>
      <c r="F2186">
        <v>0</v>
      </c>
      <c r="G2186">
        <v>0</v>
      </c>
    </row>
    <row r="2187" spans="1:7">
      <c r="A2187" t="s">
        <v>1876</v>
      </c>
      <c r="B2187" t="s">
        <v>353</v>
      </c>
      <c r="C2187" t="s">
        <v>295</v>
      </c>
      <c r="D2187">
        <v>0</v>
      </c>
      <c r="E2187">
        <v>0</v>
      </c>
      <c r="F2187">
        <v>0</v>
      </c>
      <c r="G2187">
        <v>0</v>
      </c>
    </row>
    <row r="2188" spans="1:7">
      <c r="A2188" t="s">
        <v>1876</v>
      </c>
      <c r="B2188" t="s">
        <v>353</v>
      </c>
      <c r="C2188" t="s">
        <v>296</v>
      </c>
      <c r="D2188">
        <v>0</v>
      </c>
      <c r="E2188">
        <v>0</v>
      </c>
      <c r="F2188">
        <v>0</v>
      </c>
      <c r="G2188">
        <v>0</v>
      </c>
    </row>
    <row r="2189" spans="1:7">
      <c r="A2189" t="s">
        <v>1876</v>
      </c>
      <c r="B2189" t="s">
        <v>353</v>
      </c>
      <c r="C2189" t="s">
        <v>297</v>
      </c>
      <c r="D2189">
        <v>0</v>
      </c>
      <c r="E2189">
        <v>0</v>
      </c>
      <c r="F2189">
        <v>0</v>
      </c>
      <c r="G2189">
        <v>0</v>
      </c>
    </row>
    <row r="2190" spans="1:7">
      <c r="A2190" t="s">
        <v>1876</v>
      </c>
      <c r="B2190" t="s">
        <v>353</v>
      </c>
      <c r="C2190" t="s">
        <v>1952</v>
      </c>
      <c r="D2190">
        <v>0</v>
      </c>
      <c r="E2190">
        <v>0</v>
      </c>
      <c r="F2190">
        <v>0</v>
      </c>
      <c r="G2190">
        <v>0</v>
      </c>
    </row>
    <row r="2191" spans="1:7">
      <c r="A2191" t="s">
        <v>1876</v>
      </c>
      <c r="B2191" t="s">
        <v>353</v>
      </c>
      <c r="C2191" t="s">
        <v>298</v>
      </c>
      <c r="D2191">
        <v>110</v>
      </c>
      <c r="E2191">
        <v>567</v>
      </c>
      <c r="F2191">
        <v>567</v>
      </c>
      <c r="G2191">
        <v>496</v>
      </c>
    </row>
    <row r="2192" spans="1:7">
      <c r="A2192" t="s">
        <v>1876</v>
      </c>
      <c r="B2192" t="s">
        <v>353</v>
      </c>
      <c r="C2192" t="s">
        <v>299</v>
      </c>
      <c r="D2192">
        <v>1167</v>
      </c>
      <c r="E2192">
        <v>1304</v>
      </c>
      <c r="F2192">
        <v>1350</v>
      </c>
      <c r="G2192">
        <v>1478</v>
      </c>
    </row>
    <row r="2193" spans="1:7">
      <c r="A2193" t="s">
        <v>1876</v>
      </c>
      <c r="B2193" t="s">
        <v>353</v>
      </c>
      <c r="C2193" t="s">
        <v>300</v>
      </c>
      <c r="D2193">
        <v>893</v>
      </c>
      <c r="E2193">
        <v>1387</v>
      </c>
      <c r="F2193">
        <v>1405</v>
      </c>
      <c r="G2193">
        <v>1605</v>
      </c>
    </row>
    <row r="2194" spans="1:7">
      <c r="A2194" t="s">
        <v>1876</v>
      </c>
      <c r="B2194" t="s">
        <v>353</v>
      </c>
      <c r="C2194" t="s">
        <v>1722</v>
      </c>
      <c r="D2194">
        <v>248</v>
      </c>
      <c r="E2194">
        <v>273</v>
      </c>
      <c r="F2194">
        <v>287</v>
      </c>
      <c r="G2194">
        <v>322</v>
      </c>
    </row>
    <row r="2195" spans="1:7">
      <c r="A2195" t="s">
        <v>1876</v>
      </c>
      <c r="B2195" t="s">
        <v>353</v>
      </c>
      <c r="C2195" t="s">
        <v>301</v>
      </c>
      <c r="D2195">
        <v>157</v>
      </c>
      <c r="E2195">
        <v>167</v>
      </c>
      <c r="F2195">
        <v>199</v>
      </c>
      <c r="G2195">
        <v>208</v>
      </c>
    </row>
    <row r="2196" spans="1:7">
      <c r="A2196" t="s">
        <v>1876</v>
      </c>
      <c r="B2196" t="s">
        <v>353</v>
      </c>
      <c r="C2196" t="s">
        <v>302</v>
      </c>
      <c r="D2196">
        <v>2591</v>
      </c>
      <c r="E2196">
        <v>3115</v>
      </c>
      <c r="F2196">
        <v>3646</v>
      </c>
      <c r="G2196">
        <v>4260</v>
      </c>
    </row>
    <row r="2197" spans="1:7">
      <c r="A2197" t="s">
        <v>1876</v>
      </c>
      <c r="B2197" t="s">
        <v>353</v>
      </c>
      <c r="C2197" t="s">
        <v>303</v>
      </c>
      <c r="D2197">
        <v>4808</v>
      </c>
      <c r="E2197">
        <v>5973</v>
      </c>
      <c r="F2197">
        <v>6600</v>
      </c>
      <c r="G2197">
        <v>7551</v>
      </c>
    </row>
    <row r="2198" spans="1:7">
      <c r="A2198" t="s">
        <v>1876</v>
      </c>
      <c r="B2198" t="s">
        <v>353</v>
      </c>
      <c r="C2198" t="s">
        <v>304</v>
      </c>
      <c r="D2198">
        <v>3915</v>
      </c>
      <c r="E2198">
        <v>4586</v>
      </c>
      <c r="F2198">
        <v>5195</v>
      </c>
      <c r="G2198">
        <v>5946</v>
      </c>
    </row>
    <row r="2199" spans="1:7">
      <c r="A2199" t="s">
        <v>1876</v>
      </c>
      <c r="B2199" t="s">
        <v>353</v>
      </c>
      <c r="C2199" t="s">
        <v>1953</v>
      </c>
      <c r="D2199">
        <v>16.8</v>
      </c>
      <c r="E2199">
        <v>18.2</v>
      </c>
      <c r="F2199">
        <v>16.8</v>
      </c>
      <c r="G2199">
        <v>17.8</v>
      </c>
    </row>
    <row r="2200" spans="1:7">
      <c r="A2200" t="s">
        <v>1876</v>
      </c>
      <c r="B2200" t="s">
        <v>353</v>
      </c>
      <c r="C2200" t="s">
        <v>305</v>
      </c>
      <c r="D2200">
        <v>214891</v>
      </c>
      <c r="E2200">
        <v>226027</v>
      </c>
      <c r="F2200">
        <v>217319</v>
      </c>
      <c r="G2200">
        <v>228936</v>
      </c>
    </row>
    <row r="2201" spans="1:7">
      <c r="A2201" t="s">
        <v>1876</v>
      </c>
      <c r="B2201" t="s">
        <v>353</v>
      </c>
      <c r="C2201" t="s">
        <v>306</v>
      </c>
      <c r="D2201">
        <v>59.6</v>
      </c>
      <c r="E2201">
        <v>62.5</v>
      </c>
      <c r="F2201">
        <v>59.7</v>
      </c>
      <c r="G2201">
        <v>62.3</v>
      </c>
    </row>
    <row r="2202" spans="1:7">
      <c r="A2202" t="s">
        <v>1876</v>
      </c>
      <c r="B2202" t="s">
        <v>353</v>
      </c>
      <c r="C2202" t="s">
        <v>307</v>
      </c>
      <c r="D2202">
        <v>178940</v>
      </c>
      <c r="E2202">
        <v>179172</v>
      </c>
      <c r="F2202">
        <v>174570</v>
      </c>
      <c r="G2202">
        <v>177835</v>
      </c>
    </row>
    <row r="2203" spans="1:7">
      <c r="A2203" t="s">
        <v>1876</v>
      </c>
      <c r="B2203" t="s">
        <v>353</v>
      </c>
      <c r="C2203" t="s">
        <v>308</v>
      </c>
      <c r="D2203">
        <v>49.6</v>
      </c>
      <c r="E2203">
        <v>49.5</v>
      </c>
      <c r="F2203">
        <v>47.9</v>
      </c>
      <c r="G2203">
        <v>48.4</v>
      </c>
    </row>
    <row r="2204" spans="1:7">
      <c r="A2204" t="s">
        <v>1876</v>
      </c>
      <c r="B2204" t="s">
        <v>353</v>
      </c>
      <c r="C2204" t="s">
        <v>309</v>
      </c>
      <c r="D2204">
        <v>366417</v>
      </c>
      <c r="E2204">
        <v>356815</v>
      </c>
      <c r="F2204">
        <v>329514</v>
      </c>
      <c r="G2204">
        <v>368998</v>
      </c>
    </row>
    <row r="2205" spans="1:7">
      <c r="A2205" t="s">
        <v>1876</v>
      </c>
      <c r="B2205" t="s">
        <v>353</v>
      </c>
      <c r="C2205" t="s">
        <v>310</v>
      </c>
      <c r="D2205">
        <v>65067</v>
      </c>
      <c r="E2205">
        <v>70264</v>
      </c>
      <c r="F2205">
        <v>66772</v>
      </c>
      <c r="G2205">
        <v>67006</v>
      </c>
    </row>
    <row r="2206" spans="1:7">
      <c r="A2206" t="s">
        <v>1876</v>
      </c>
      <c r="B2206" t="s">
        <v>353</v>
      </c>
      <c r="C2206" t="s">
        <v>311</v>
      </c>
      <c r="D2206">
        <v>18</v>
      </c>
      <c r="E2206">
        <v>19.399999999999999</v>
      </c>
      <c r="F2206">
        <v>18.3</v>
      </c>
      <c r="G2206">
        <v>18.2</v>
      </c>
    </row>
    <row r="2207" spans="1:7">
      <c r="A2207" t="s">
        <v>1876</v>
      </c>
      <c r="B2207" t="s">
        <v>353</v>
      </c>
      <c r="C2207" t="s">
        <v>312</v>
      </c>
      <c r="D2207">
        <v>240141</v>
      </c>
      <c r="E2207">
        <v>242776</v>
      </c>
      <c r="F2207">
        <v>229171</v>
      </c>
      <c r="G2207">
        <v>235321</v>
      </c>
    </row>
    <row r="2208" spans="1:7">
      <c r="A2208" t="s">
        <v>1876</v>
      </c>
      <c r="B2208" t="s">
        <v>353</v>
      </c>
      <c r="C2208" t="s">
        <v>313</v>
      </c>
      <c r="D2208">
        <v>66.599999999999994</v>
      </c>
      <c r="E2208">
        <v>67.099999999999994</v>
      </c>
      <c r="F2208">
        <v>62.9</v>
      </c>
      <c r="G2208">
        <v>64</v>
      </c>
    </row>
    <row r="2209" spans="1:7">
      <c r="A2209" t="s">
        <v>1876</v>
      </c>
      <c r="B2209" t="s">
        <v>353</v>
      </c>
      <c r="C2209" t="s">
        <v>314</v>
      </c>
      <c r="D2209">
        <v>699038</v>
      </c>
      <c r="E2209">
        <v>718240</v>
      </c>
      <c r="F2209">
        <v>687832</v>
      </c>
      <c r="G2209">
        <v>709097</v>
      </c>
    </row>
    <row r="2210" spans="1:7">
      <c r="A2210" t="s">
        <v>1876</v>
      </c>
      <c r="B2210" t="s">
        <v>353</v>
      </c>
      <c r="C2210" t="s">
        <v>315</v>
      </c>
      <c r="D2210">
        <v>2.58</v>
      </c>
      <c r="E2210">
        <v>2.57</v>
      </c>
      <c r="F2210">
        <v>2.4300000000000002</v>
      </c>
      <c r="G2210">
        <v>2.48</v>
      </c>
    </row>
    <row r="2211" spans="1:7">
      <c r="A2211" t="s">
        <v>1876</v>
      </c>
      <c r="B2211" t="s">
        <v>353</v>
      </c>
      <c r="C2211" t="s">
        <v>316</v>
      </c>
      <c r="D2211">
        <v>193.8</v>
      </c>
      <c r="E2211">
        <v>198.5</v>
      </c>
      <c r="F2211">
        <v>188.9</v>
      </c>
      <c r="G2211">
        <v>193</v>
      </c>
    </row>
    <row r="2212" spans="1:7">
      <c r="A2212" t="s">
        <v>1876</v>
      </c>
      <c r="B2212" t="s">
        <v>353</v>
      </c>
      <c r="C2212" t="s">
        <v>317</v>
      </c>
      <c r="D2212">
        <v>699038</v>
      </c>
      <c r="E2212">
        <v>718240</v>
      </c>
      <c r="F2212">
        <v>687832</v>
      </c>
      <c r="G2212">
        <v>709098</v>
      </c>
    </row>
    <row r="2213" spans="1:7">
      <c r="A2213" t="s">
        <v>1876</v>
      </c>
      <c r="B2213" t="s">
        <v>353</v>
      </c>
      <c r="C2213" t="s">
        <v>318</v>
      </c>
      <c r="D2213">
        <v>214111</v>
      </c>
      <c r="E2213">
        <v>225115</v>
      </c>
      <c r="F2213">
        <v>216395</v>
      </c>
      <c r="G2213">
        <v>227924</v>
      </c>
    </row>
    <row r="2214" spans="1:7">
      <c r="A2214" t="s">
        <v>1876</v>
      </c>
      <c r="B2214" t="s">
        <v>353</v>
      </c>
      <c r="C2214" t="s">
        <v>319</v>
      </c>
      <c r="D2214">
        <v>116078</v>
      </c>
      <c r="E2214">
        <v>117030</v>
      </c>
      <c r="F2214">
        <v>115838</v>
      </c>
      <c r="G2214">
        <v>116096</v>
      </c>
    </row>
    <row r="2215" spans="1:7">
      <c r="A2215" t="s">
        <v>1876</v>
      </c>
      <c r="B2215" t="s">
        <v>353</v>
      </c>
      <c r="C2215" t="s">
        <v>320</v>
      </c>
      <c r="D2215">
        <v>50028</v>
      </c>
      <c r="E2215">
        <v>55404</v>
      </c>
      <c r="F2215">
        <v>53452</v>
      </c>
      <c r="G2215">
        <v>53478</v>
      </c>
    </row>
    <row r="2216" spans="1:7">
      <c r="A2216" t="s">
        <v>1876</v>
      </c>
      <c r="B2216" t="s">
        <v>353</v>
      </c>
      <c r="C2216" t="s">
        <v>321</v>
      </c>
      <c r="D2216">
        <v>169806</v>
      </c>
      <c r="E2216">
        <v>172269</v>
      </c>
      <c r="F2216">
        <v>164347</v>
      </c>
      <c r="G2216">
        <v>166811</v>
      </c>
    </row>
    <row r="2217" spans="1:7">
      <c r="A2217" t="s">
        <v>1876</v>
      </c>
      <c r="B2217" t="s">
        <v>353</v>
      </c>
      <c r="C2217" t="s">
        <v>1954</v>
      </c>
      <c r="D2217">
        <v>550023</v>
      </c>
      <c r="E2217">
        <v>569818</v>
      </c>
      <c r="F2217">
        <v>550033</v>
      </c>
      <c r="G2217">
        <v>564309</v>
      </c>
    </row>
    <row r="2218" spans="1:7">
      <c r="A2218" t="s">
        <v>1876</v>
      </c>
      <c r="B2218" t="s">
        <v>353</v>
      </c>
      <c r="C2218" t="s">
        <v>323</v>
      </c>
      <c r="D2218">
        <v>3608</v>
      </c>
      <c r="E2218">
        <v>3619</v>
      </c>
      <c r="F2218">
        <v>3641</v>
      </c>
      <c r="G2218">
        <v>3674</v>
      </c>
    </row>
    <row r="2219" spans="1:7">
      <c r="A2219" t="s">
        <v>1876</v>
      </c>
      <c r="B2219" t="s">
        <v>353</v>
      </c>
      <c r="C2219" t="s">
        <v>324</v>
      </c>
      <c r="D2219">
        <v>0</v>
      </c>
      <c r="E2219">
        <v>0</v>
      </c>
      <c r="F2219">
        <v>0</v>
      </c>
      <c r="G2219">
        <v>0</v>
      </c>
    </row>
    <row r="2220" spans="1:7">
      <c r="A2220" t="s">
        <v>1876</v>
      </c>
      <c r="B2220" t="s">
        <v>353</v>
      </c>
      <c r="C2220" t="s">
        <v>325</v>
      </c>
      <c r="D2220">
        <v>0</v>
      </c>
      <c r="E2220">
        <v>0</v>
      </c>
      <c r="F2220">
        <v>0</v>
      </c>
      <c r="G2220">
        <v>0</v>
      </c>
    </row>
    <row r="2221" spans="1:7">
      <c r="A2221" t="s">
        <v>1876</v>
      </c>
      <c r="B2221" t="s">
        <v>353</v>
      </c>
      <c r="C2221" t="s">
        <v>326</v>
      </c>
      <c r="D2221">
        <v>1544</v>
      </c>
      <c r="E2221">
        <v>1544</v>
      </c>
      <c r="F2221">
        <v>1544</v>
      </c>
      <c r="G2221">
        <v>1544</v>
      </c>
    </row>
    <row r="2222" spans="1:7">
      <c r="A2222" t="s">
        <v>1876</v>
      </c>
      <c r="B2222" t="s">
        <v>353</v>
      </c>
      <c r="C2222" t="s">
        <v>327</v>
      </c>
      <c r="D2222">
        <v>3368</v>
      </c>
      <c r="E2222">
        <v>1345</v>
      </c>
      <c r="F2222">
        <v>2948</v>
      </c>
      <c r="G2222">
        <v>2478</v>
      </c>
    </row>
    <row r="2223" spans="1:7">
      <c r="A2223" t="s">
        <v>1876</v>
      </c>
      <c r="B2223" t="s">
        <v>353</v>
      </c>
      <c r="C2223" t="s">
        <v>1723</v>
      </c>
      <c r="D2223">
        <v>38</v>
      </c>
      <c r="E2223">
        <v>38</v>
      </c>
      <c r="F2223">
        <v>38</v>
      </c>
      <c r="G2223">
        <v>38</v>
      </c>
    </row>
    <row r="2224" spans="1:7">
      <c r="A2224" t="s">
        <v>1876</v>
      </c>
      <c r="B2224" t="s">
        <v>353</v>
      </c>
      <c r="C2224" t="s">
        <v>328</v>
      </c>
      <c r="D2224">
        <v>3491</v>
      </c>
      <c r="E2224">
        <v>4215</v>
      </c>
      <c r="F2224">
        <v>4215</v>
      </c>
      <c r="G2224">
        <v>4215</v>
      </c>
    </row>
    <row r="2225" spans="1:7">
      <c r="A2225" t="s">
        <v>1876</v>
      </c>
      <c r="B2225" t="s">
        <v>353</v>
      </c>
      <c r="C2225" t="s">
        <v>329</v>
      </c>
      <c r="D2225">
        <v>8021</v>
      </c>
      <c r="E2225">
        <v>10105</v>
      </c>
      <c r="F2225">
        <v>8590</v>
      </c>
      <c r="G2225">
        <v>8053</v>
      </c>
    </row>
    <row r="2226" spans="1:7">
      <c r="A2226" t="s">
        <v>1876</v>
      </c>
      <c r="B2226" t="s">
        <v>353</v>
      </c>
      <c r="C2226" t="s">
        <v>330</v>
      </c>
      <c r="D2226">
        <v>16424</v>
      </c>
      <c r="E2226">
        <v>17209</v>
      </c>
      <c r="F2226">
        <v>17298</v>
      </c>
      <c r="G2226">
        <v>16290</v>
      </c>
    </row>
    <row r="2227" spans="1:7">
      <c r="A2227" t="s">
        <v>1876</v>
      </c>
      <c r="B2227" t="s">
        <v>353</v>
      </c>
      <c r="C2227" t="s">
        <v>331</v>
      </c>
      <c r="D2227">
        <v>0</v>
      </c>
      <c r="E2227">
        <v>0</v>
      </c>
      <c r="F2227">
        <v>0</v>
      </c>
      <c r="G2227">
        <v>0</v>
      </c>
    </row>
    <row r="2228" spans="1:7">
      <c r="A2228" t="s">
        <v>1876</v>
      </c>
      <c r="B2228" t="s">
        <v>353</v>
      </c>
      <c r="C2228" t="s">
        <v>332</v>
      </c>
      <c r="D2228">
        <v>9117</v>
      </c>
      <c r="E2228">
        <v>7682</v>
      </c>
      <c r="F2228">
        <v>6502</v>
      </c>
      <c r="G2228">
        <v>6447</v>
      </c>
    </row>
    <row r="2229" spans="1:7">
      <c r="A2229" t="s">
        <v>1876</v>
      </c>
      <c r="B2229" t="s">
        <v>353</v>
      </c>
      <c r="C2229" t="s">
        <v>1724</v>
      </c>
      <c r="D2229">
        <v>162</v>
      </c>
      <c r="E2229">
        <v>102</v>
      </c>
      <c r="F2229">
        <v>102</v>
      </c>
      <c r="G2229">
        <v>102</v>
      </c>
    </row>
    <row r="2230" spans="1:7">
      <c r="A2230" t="s">
        <v>1876</v>
      </c>
      <c r="B2230" t="s">
        <v>353</v>
      </c>
      <c r="C2230" t="s">
        <v>333</v>
      </c>
      <c r="D2230">
        <v>137</v>
      </c>
      <c r="E2230">
        <v>89</v>
      </c>
      <c r="F2230">
        <v>88</v>
      </c>
      <c r="G2230">
        <v>80</v>
      </c>
    </row>
    <row r="2231" spans="1:7">
      <c r="A2231" t="s">
        <v>1876</v>
      </c>
      <c r="B2231" t="s">
        <v>353</v>
      </c>
      <c r="C2231" t="s">
        <v>334</v>
      </c>
      <c r="D2231">
        <v>9254</v>
      </c>
      <c r="E2231">
        <v>7771</v>
      </c>
      <c r="F2231">
        <v>6590</v>
      </c>
      <c r="G2231">
        <v>6527</v>
      </c>
    </row>
    <row r="2232" spans="1:7">
      <c r="A2232" t="s">
        <v>1876</v>
      </c>
      <c r="B2232" t="s">
        <v>353</v>
      </c>
      <c r="C2232" t="s">
        <v>335</v>
      </c>
      <c r="D2232">
        <v>1544</v>
      </c>
      <c r="E2232">
        <v>1544</v>
      </c>
      <c r="F2232">
        <v>1544</v>
      </c>
      <c r="G2232">
        <v>1544</v>
      </c>
    </row>
    <row r="2233" spans="1:7">
      <c r="A2233" t="s">
        <v>1876</v>
      </c>
      <c r="B2233" t="s">
        <v>353</v>
      </c>
      <c r="C2233" t="s">
        <v>336</v>
      </c>
      <c r="D2233">
        <v>12485</v>
      </c>
      <c r="E2233">
        <v>9027</v>
      </c>
      <c r="F2233">
        <v>9450</v>
      </c>
      <c r="G2233">
        <v>8925</v>
      </c>
    </row>
    <row r="2234" spans="1:7">
      <c r="A2234" t="s">
        <v>1876</v>
      </c>
      <c r="B2234" t="s">
        <v>353</v>
      </c>
      <c r="C2234" t="s">
        <v>337</v>
      </c>
      <c r="D2234">
        <v>3628</v>
      </c>
      <c r="E2234">
        <v>4304</v>
      </c>
      <c r="F2234">
        <v>4304</v>
      </c>
      <c r="G2234">
        <v>4296</v>
      </c>
    </row>
    <row r="2235" spans="1:7">
      <c r="A2235" t="s">
        <v>1876</v>
      </c>
      <c r="B2235" t="s">
        <v>353</v>
      </c>
      <c r="C2235" t="s">
        <v>338</v>
      </c>
      <c r="D2235">
        <v>25677</v>
      </c>
      <c r="E2235">
        <v>24980</v>
      </c>
      <c r="F2235">
        <v>23888</v>
      </c>
      <c r="G2235">
        <v>22818</v>
      </c>
    </row>
    <row r="2236" spans="1:7">
      <c r="A2236" t="s">
        <v>1876</v>
      </c>
      <c r="B2236" t="s">
        <v>353</v>
      </c>
      <c r="C2236" t="s">
        <v>339</v>
      </c>
      <c r="D2236">
        <v>13193</v>
      </c>
      <c r="E2236">
        <v>15953</v>
      </c>
      <c r="F2236">
        <v>14438</v>
      </c>
      <c r="G2236">
        <v>13892</v>
      </c>
    </row>
    <row r="2237" spans="1:7">
      <c r="A2237" t="s">
        <v>1876</v>
      </c>
      <c r="B2237" t="s">
        <v>353</v>
      </c>
      <c r="C2237" t="s">
        <v>340</v>
      </c>
      <c r="D2237">
        <v>60</v>
      </c>
      <c r="E2237">
        <v>60</v>
      </c>
      <c r="F2237">
        <v>42</v>
      </c>
      <c r="G2237">
        <v>51</v>
      </c>
    </row>
    <row r="2238" spans="1:7">
      <c r="A2238" t="s">
        <v>1876</v>
      </c>
      <c r="B2238" t="s">
        <v>353</v>
      </c>
      <c r="C2238" t="s">
        <v>1955</v>
      </c>
      <c r="D2238">
        <v>29.1</v>
      </c>
      <c r="E2238">
        <v>29.3</v>
      </c>
      <c r="F2238">
        <v>22.6</v>
      </c>
      <c r="G2238">
        <v>23.8</v>
      </c>
    </row>
    <row r="2239" spans="1:7">
      <c r="A2239" t="s">
        <v>1876</v>
      </c>
      <c r="B2239" t="s">
        <v>353</v>
      </c>
      <c r="C2239" t="s">
        <v>341</v>
      </c>
      <c r="D2239">
        <v>0</v>
      </c>
      <c r="E2239">
        <v>0</v>
      </c>
      <c r="F2239">
        <v>0</v>
      </c>
      <c r="G2239">
        <v>0</v>
      </c>
    </row>
    <row r="2240" spans="1:7">
      <c r="A2240" t="s">
        <v>1876</v>
      </c>
      <c r="B2240" t="s">
        <v>353</v>
      </c>
      <c r="C2240" t="s">
        <v>342</v>
      </c>
      <c r="D2240">
        <v>44</v>
      </c>
      <c r="E2240">
        <v>44</v>
      </c>
      <c r="F2240">
        <v>34</v>
      </c>
      <c r="G2240">
        <v>36</v>
      </c>
    </row>
    <row r="2241" spans="1:7">
      <c r="A2241" t="s">
        <v>1876</v>
      </c>
      <c r="B2241" t="s">
        <v>353</v>
      </c>
      <c r="C2241" t="s">
        <v>1725</v>
      </c>
      <c r="D2241">
        <v>5</v>
      </c>
      <c r="E2241">
        <v>5</v>
      </c>
      <c r="F2241">
        <v>5</v>
      </c>
      <c r="G2241">
        <v>5</v>
      </c>
    </row>
    <row r="2242" spans="1:7">
      <c r="A2242" t="s">
        <v>1876</v>
      </c>
      <c r="B2242" t="s">
        <v>353</v>
      </c>
      <c r="C2242" t="s">
        <v>343</v>
      </c>
      <c r="D2242">
        <v>0</v>
      </c>
      <c r="E2242">
        <v>0</v>
      </c>
      <c r="F2242">
        <v>0</v>
      </c>
      <c r="G2242">
        <v>0</v>
      </c>
    </row>
    <row r="2243" spans="1:7">
      <c r="A2243" t="s">
        <v>1876</v>
      </c>
      <c r="B2243" t="s">
        <v>353</v>
      </c>
      <c r="C2243" t="s">
        <v>344</v>
      </c>
      <c r="D2243">
        <v>44</v>
      </c>
      <c r="E2243">
        <v>44</v>
      </c>
      <c r="F2243">
        <v>34</v>
      </c>
      <c r="G2243">
        <v>36</v>
      </c>
    </row>
    <row r="2244" spans="1:7">
      <c r="A2244" t="s">
        <v>1876</v>
      </c>
      <c r="B2244" t="s">
        <v>353</v>
      </c>
      <c r="C2244" t="s">
        <v>345</v>
      </c>
      <c r="D2244">
        <v>0</v>
      </c>
      <c r="E2244">
        <v>0</v>
      </c>
      <c r="F2244">
        <v>0</v>
      </c>
      <c r="G2244">
        <v>0</v>
      </c>
    </row>
    <row r="2245" spans="1:7">
      <c r="A2245" t="s">
        <v>1876</v>
      </c>
      <c r="B2245" t="s">
        <v>353</v>
      </c>
      <c r="C2245" t="s">
        <v>1956</v>
      </c>
      <c r="D2245">
        <v>9117</v>
      </c>
      <c r="E2245">
        <v>7682</v>
      </c>
      <c r="F2245">
        <v>6502</v>
      </c>
      <c r="G2245">
        <v>6447</v>
      </c>
    </row>
    <row r="2246" spans="1:7">
      <c r="A2246" t="s">
        <v>1876</v>
      </c>
      <c r="B2246" t="s">
        <v>353</v>
      </c>
      <c r="C2246" t="s">
        <v>1957</v>
      </c>
      <c r="D2246">
        <v>9254</v>
      </c>
      <c r="E2246">
        <v>7771</v>
      </c>
      <c r="F2246">
        <v>6590</v>
      </c>
      <c r="G2246">
        <v>6527</v>
      </c>
    </row>
    <row r="2247" spans="1:7">
      <c r="A2247" t="s">
        <v>1876</v>
      </c>
      <c r="B2247" t="s">
        <v>353</v>
      </c>
      <c r="C2247" t="s">
        <v>346</v>
      </c>
      <c r="D2247">
        <v>706</v>
      </c>
      <c r="E2247">
        <v>774</v>
      </c>
      <c r="F2247">
        <v>631</v>
      </c>
      <c r="G2247">
        <v>715</v>
      </c>
    </row>
    <row r="2248" spans="1:7">
      <c r="A2248" t="s">
        <v>1876</v>
      </c>
      <c r="B2248" t="s">
        <v>353</v>
      </c>
      <c r="C2248" t="s">
        <v>347</v>
      </c>
      <c r="D2248">
        <v>5410</v>
      </c>
      <c r="E2248">
        <v>5627</v>
      </c>
      <c r="F2248">
        <v>5057</v>
      </c>
      <c r="G2248">
        <v>5202</v>
      </c>
    </row>
    <row r="2249" spans="1:7">
      <c r="A2249" t="s">
        <v>1876</v>
      </c>
      <c r="B2249" t="s">
        <v>354</v>
      </c>
      <c r="C2249" t="s">
        <v>133</v>
      </c>
      <c r="D2249">
        <v>0</v>
      </c>
      <c r="E2249">
        <v>0</v>
      </c>
      <c r="F2249">
        <v>0</v>
      </c>
      <c r="G2249">
        <v>0</v>
      </c>
    </row>
    <row r="2250" spans="1:7">
      <c r="A2250" t="s">
        <v>1876</v>
      </c>
      <c r="B2250" t="s">
        <v>354</v>
      </c>
      <c r="C2250" t="s">
        <v>134</v>
      </c>
      <c r="D2250">
        <v>3191</v>
      </c>
      <c r="E2250">
        <v>3207</v>
      </c>
      <c r="F2250">
        <v>2320</v>
      </c>
      <c r="G2250">
        <v>2688</v>
      </c>
    </row>
    <row r="2251" spans="1:7">
      <c r="A2251" t="s">
        <v>1876</v>
      </c>
      <c r="B2251" t="s">
        <v>354</v>
      </c>
      <c r="C2251" t="s">
        <v>135</v>
      </c>
      <c r="D2251">
        <v>3191</v>
      </c>
      <c r="E2251">
        <v>3207</v>
      </c>
      <c r="F2251">
        <v>2320</v>
      </c>
      <c r="G2251">
        <v>2688</v>
      </c>
    </row>
    <row r="2252" spans="1:7">
      <c r="A2252" t="s">
        <v>1876</v>
      </c>
      <c r="B2252" t="s">
        <v>354</v>
      </c>
      <c r="C2252" t="s">
        <v>136</v>
      </c>
      <c r="D2252">
        <v>3191</v>
      </c>
      <c r="E2252">
        <v>3207</v>
      </c>
      <c r="F2252">
        <v>2320</v>
      </c>
      <c r="G2252">
        <v>2688</v>
      </c>
    </row>
    <row r="2253" spans="1:7">
      <c r="A2253" t="s">
        <v>1876</v>
      </c>
      <c r="B2253" t="s">
        <v>354</v>
      </c>
      <c r="C2253" t="s">
        <v>137</v>
      </c>
      <c r="D2253">
        <v>0</v>
      </c>
      <c r="E2253">
        <v>0</v>
      </c>
      <c r="F2253">
        <v>0</v>
      </c>
      <c r="G2253">
        <v>0</v>
      </c>
    </row>
    <row r="2254" spans="1:7">
      <c r="A2254" t="s">
        <v>1876</v>
      </c>
      <c r="B2254" t="s">
        <v>354</v>
      </c>
      <c r="C2254" t="s">
        <v>138</v>
      </c>
      <c r="D2254">
        <v>0</v>
      </c>
      <c r="E2254">
        <v>0</v>
      </c>
      <c r="F2254">
        <v>0</v>
      </c>
      <c r="G2254">
        <v>0</v>
      </c>
    </row>
    <row r="2255" spans="1:7">
      <c r="A2255" t="s">
        <v>1876</v>
      </c>
      <c r="B2255" t="s">
        <v>354</v>
      </c>
      <c r="C2255" t="s">
        <v>139</v>
      </c>
      <c r="D2255">
        <v>0</v>
      </c>
      <c r="E2255">
        <v>0</v>
      </c>
      <c r="F2255">
        <v>0</v>
      </c>
      <c r="G2255">
        <v>0</v>
      </c>
    </row>
    <row r="2256" spans="1:7">
      <c r="A2256" t="s">
        <v>1876</v>
      </c>
      <c r="B2256" t="s">
        <v>354</v>
      </c>
      <c r="C2256" t="s">
        <v>1877</v>
      </c>
      <c r="D2256">
        <v>0</v>
      </c>
      <c r="E2256">
        <v>0</v>
      </c>
      <c r="F2256">
        <v>0</v>
      </c>
      <c r="G2256">
        <v>0</v>
      </c>
    </row>
    <row r="2257" spans="1:7">
      <c r="A2257" t="s">
        <v>1876</v>
      </c>
      <c r="B2257" t="s">
        <v>354</v>
      </c>
      <c r="C2257" t="s">
        <v>1700</v>
      </c>
      <c r="D2257">
        <v>0</v>
      </c>
      <c r="E2257">
        <v>0</v>
      </c>
      <c r="F2257">
        <v>0</v>
      </c>
      <c r="G2257">
        <v>0</v>
      </c>
    </row>
    <row r="2258" spans="1:7">
      <c r="A2258" t="s">
        <v>1876</v>
      </c>
      <c r="B2258" t="s">
        <v>354</v>
      </c>
      <c r="C2258" t="s">
        <v>1878</v>
      </c>
      <c r="D2258">
        <v>0</v>
      </c>
      <c r="E2258">
        <v>0</v>
      </c>
      <c r="F2258">
        <v>0</v>
      </c>
      <c r="G2258">
        <v>0</v>
      </c>
    </row>
    <row r="2259" spans="1:7">
      <c r="A2259" t="s">
        <v>1876</v>
      </c>
      <c r="B2259" t="s">
        <v>354</v>
      </c>
      <c r="C2259" t="s">
        <v>1879</v>
      </c>
      <c r="D2259">
        <v>0</v>
      </c>
      <c r="E2259">
        <v>0</v>
      </c>
      <c r="F2259">
        <v>0</v>
      </c>
      <c r="G2259">
        <v>0</v>
      </c>
    </row>
    <row r="2260" spans="1:7">
      <c r="A2260" t="s">
        <v>1876</v>
      </c>
      <c r="B2260" t="s">
        <v>354</v>
      </c>
      <c r="C2260" t="s">
        <v>1701</v>
      </c>
      <c r="D2260">
        <v>0</v>
      </c>
      <c r="E2260">
        <v>0</v>
      </c>
      <c r="F2260">
        <v>0</v>
      </c>
      <c r="G2260">
        <v>0</v>
      </c>
    </row>
    <row r="2261" spans="1:7">
      <c r="A2261" t="s">
        <v>1876</v>
      </c>
      <c r="B2261" t="s">
        <v>354</v>
      </c>
      <c r="C2261" t="s">
        <v>1880</v>
      </c>
      <c r="D2261">
        <v>24</v>
      </c>
      <c r="E2261">
        <v>22</v>
      </c>
      <c r="F2261">
        <v>27</v>
      </c>
      <c r="G2261">
        <v>27</v>
      </c>
    </row>
    <row r="2262" spans="1:7">
      <c r="A2262" t="s">
        <v>1876</v>
      </c>
      <c r="B2262" t="s">
        <v>354</v>
      </c>
      <c r="C2262" t="s">
        <v>140</v>
      </c>
      <c r="D2262">
        <v>57</v>
      </c>
      <c r="E2262">
        <v>53</v>
      </c>
      <c r="F2262">
        <v>73</v>
      </c>
      <c r="G2262">
        <v>78</v>
      </c>
    </row>
    <row r="2263" spans="1:7">
      <c r="A2263" t="s">
        <v>1876</v>
      </c>
      <c r="B2263" t="s">
        <v>354</v>
      </c>
      <c r="C2263" t="s">
        <v>1881</v>
      </c>
      <c r="D2263">
        <v>33</v>
      </c>
      <c r="E2263">
        <v>31</v>
      </c>
      <c r="F2263">
        <v>46</v>
      </c>
      <c r="G2263">
        <v>51</v>
      </c>
    </row>
    <row r="2264" spans="1:7">
      <c r="A2264" t="s">
        <v>1876</v>
      </c>
      <c r="B2264" t="s">
        <v>354</v>
      </c>
      <c r="C2264" t="s">
        <v>1882</v>
      </c>
      <c r="D2264">
        <v>0</v>
      </c>
      <c r="E2264">
        <v>0</v>
      </c>
      <c r="F2264">
        <v>0</v>
      </c>
      <c r="G2264">
        <v>0</v>
      </c>
    </row>
    <row r="2265" spans="1:7">
      <c r="A2265" t="s">
        <v>1876</v>
      </c>
      <c r="B2265" t="s">
        <v>354</v>
      </c>
      <c r="C2265" t="s">
        <v>1883</v>
      </c>
      <c r="D2265">
        <v>0</v>
      </c>
      <c r="E2265">
        <v>0</v>
      </c>
      <c r="F2265">
        <v>0</v>
      </c>
      <c r="G2265">
        <v>0</v>
      </c>
    </row>
    <row r="2266" spans="1:7">
      <c r="A2266" t="s">
        <v>1876</v>
      </c>
      <c r="B2266" t="s">
        <v>354</v>
      </c>
      <c r="C2266" t="s">
        <v>1884</v>
      </c>
      <c r="D2266">
        <v>0</v>
      </c>
      <c r="E2266">
        <v>0</v>
      </c>
      <c r="F2266">
        <v>0</v>
      </c>
      <c r="G2266">
        <v>0</v>
      </c>
    </row>
    <row r="2267" spans="1:7">
      <c r="A2267" t="s">
        <v>1876</v>
      </c>
      <c r="B2267" t="s">
        <v>354</v>
      </c>
      <c r="C2267" t="s">
        <v>1885</v>
      </c>
      <c r="D2267">
        <v>0</v>
      </c>
      <c r="E2267">
        <v>0</v>
      </c>
      <c r="F2267">
        <v>0</v>
      </c>
      <c r="G2267">
        <v>0</v>
      </c>
    </row>
    <row r="2268" spans="1:7">
      <c r="A2268" t="s">
        <v>1876</v>
      </c>
      <c r="B2268" t="s">
        <v>354</v>
      </c>
      <c r="C2268" t="s">
        <v>1886</v>
      </c>
      <c r="D2268">
        <v>0</v>
      </c>
      <c r="E2268">
        <v>0</v>
      </c>
      <c r="F2268">
        <v>0</v>
      </c>
      <c r="G2268">
        <v>0</v>
      </c>
    </row>
    <row r="2269" spans="1:7">
      <c r="A2269" t="s">
        <v>1876</v>
      </c>
      <c r="B2269" t="s">
        <v>354</v>
      </c>
      <c r="C2269" t="s">
        <v>141</v>
      </c>
      <c r="D2269">
        <v>0</v>
      </c>
      <c r="E2269">
        <v>0</v>
      </c>
      <c r="F2269">
        <v>0</v>
      </c>
      <c r="G2269">
        <v>0</v>
      </c>
    </row>
    <row r="2270" spans="1:7">
      <c r="A2270" t="s">
        <v>1876</v>
      </c>
      <c r="B2270" t="s">
        <v>354</v>
      </c>
      <c r="C2270" t="s">
        <v>1887</v>
      </c>
      <c r="D2270">
        <v>0</v>
      </c>
      <c r="E2270">
        <v>0</v>
      </c>
      <c r="F2270">
        <v>0</v>
      </c>
      <c r="G2270">
        <v>0</v>
      </c>
    </row>
    <row r="2271" spans="1:7">
      <c r="A2271" t="s">
        <v>1876</v>
      </c>
      <c r="B2271" t="s">
        <v>354</v>
      </c>
      <c r="C2271" t="s">
        <v>1888</v>
      </c>
      <c r="D2271">
        <v>0</v>
      </c>
      <c r="E2271">
        <v>0</v>
      </c>
      <c r="F2271">
        <v>0</v>
      </c>
      <c r="G2271">
        <v>0</v>
      </c>
    </row>
    <row r="2272" spans="1:7">
      <c r="A2272" t="s">
        <v>1876</v>
      </c>
      <c r="B2272" t="s">
        <v>354</v>
      </c>
      <c r="C2272" t="s">
        <v>1889</v>
      </c>
      <c r="D2272">
        <v>24</v>
      </c>
      <c r="E2272">
        <v>22</v>
      </c>
      <c r="F2272">
        <v>27</v>
      </c>
      <c r="G2272">
        <v>27</v>
      </c>
    </row>
    <row r="2273" spans="1:7">
      <c r="A2273" t="s">
        <v>1876</v>
      </c>
      <c r="B2273" t="s">
        <v>354</v>
      </c>
      <c r="C2273" t="s">
        <v>1890</v>
      </c>
      <c r="D2273">
        <v>0</v>
      </c>
      <c r="E2273">
        <v>0</v>
      </c>
      <c r="F2273">
        <v>0</v>
      </c>
      <c r="G2273">
        <v>0</v>
      </c>
    </row>
    <row r="2274" spans="1:7">
      <c r="A2274" t="s">
        <v>1876</v>
      </c>
      <c r="B2274" t="s">
        <v>354</v>
      </c>
      <c r="C2274" t="s">
        <v>1891</v>
      </c>
    </row>
    <row r="2275" spans="1:7">
      <c r="A2275" t="s">
        <v>1876</v>
      </c>
      <c r="B2275" t="s">
        <v>354</v>
      </c>
      <c r="C2275" t="s">
        <v>1892</v>
      </c>
      <c r="D2275">
        <v>33</v>
      </c>
      <c r="E2275">
        <v>31</v>
      </c>
      <c r="F2275">
        <v>46</v>
      </c>
      <c r="G2275">
        <v>51</v>
      </c>
    </row>
    <row r="2276" spans="1:7">
      <c r="A2276" t="s">
        <v>1876</v>
      </c>
      <c r="B2276" t="s">
        <v>354</v>
      </c>
      <c r="C2276" t="s">
        <v>142</v>
      </c>
      <c r="D2276">
        <v>57</v>
      </c>
      <c r="E2276">
        <v>53</v>
      </c>
      <c r="F2276">
        <v>73</v>
      </c>
      <c r="G2276">
        <v>78</v>
      </c>
    </row>
    <row r="2277" spans="1:7">
      <c r="A2277" t="s">
        <v>1876</v>
      </c>
      <c r="B2277" t="s">
        <v>354</v>
      </c>
      <c r="C2277" t="s">
        <v>1893</v>
      </c>
      <c r="D2277">
        <v>57</v>
      </c>
      <c r="E2277">
        <v>53</v>
      </c>
      <c r="F2277">
        <v>73</v>
      </c>
      <c r="G2277">
        <v>78</v>
      </c>
    </row>
    <row r="2278" spans="1:7">
      <c r="A2278" t="s">
        <v>1876</v>
      </c>
      <c r="B2278" t="s">
        <v>354</v>
      </c>
      <c r="C2278" t="s">
        <v>1894</v>
      </c>
      <c r="D2278">
        <v>33</v>
      </c>
      <c r="E2278">
        <v>31</v>
      </c>
      <c r="F2278">
        <v>46</v>
      </c>
      <c r="G2278">
        <v>51</v>
      </c>
    </row>
    <row r="2279" spans="1:7">
      <c r="A2279" t="s">
        <v>1876</v>
      </c>
      <c r="B2279" t="s">
        <v>354</v>
      </c>
      <c r="C2279" t="s">
        <v>143</v>
      </c>
      <c r="D2279">
        <v>0</v>
      </c>
      <c r="E2279">
        <v>0</v>
      </c>
      <c r="F2279">
        <v>0</v>
      </c>
      <c r="G2279">
        <v>0</v>
      </c>
    </row>
    <row r="2280" spans="1:7">
      <c r="A2280" t="s">
        <v>1876</v>
      </c>
      <c r="B2280" t="s">
        <v>354</v>
      </c>
      <c r="C2280" t="s">
        <v>144</v>
      </c>
      <c r="D2280">
        <v>964</v>
      </c>
      <c r="E2280">
        <v>922</v>
      </c>
      <c r="F2280">
        <v>971</v>
      </c>
      <c r="G2280">
        <v>960</v>
      </c>
    </row>
    <row r="2281" spans="1:7">
      <c r="A2281" t="s">
        <v>1876</v>
      </c>
      <c r="B2281" t="s">
        <v>354</v>
      </c>
      <c r="C2281" t="s">
        <v>1895</v>
      </c>
      <c r="D2281">
        <v>53.8</v>
      </c>
      <c r="E2281">
        <v>55.4</v>
      </c>
      <c r="F2281">
        <v>55.4</v>
      </c>
      <c r="G2281">
        <v>53.4</v>
      </c>
    </row>
    <row r="2282" spans="1:7">
      <c r="A2282" t="s">
        <v>1876</v>
      </c>
      <c r="B2282" t="s">
        <v>354</v>
      </c>
      <c r="C2282" t="s">
        <v>145</v>
      </c>
      <c r="D2282">
        <v>1897</v>
      </c>
      <c r="E2282">
        <v>1923</v>
      </c>
      <c r="F2282">
        <v>1985</v>
      </c>
      <c r="G2282">
        <v>1859</v>
      </c>
    </row>
    <row r="2283" spans="1:7">
      <c r="A2283" t="s">
        <v>1876</v>
      </c>
      <c r="B2283" t="s">
        <v>354</v>
      </c>
      <c r="C2283" t="s">
        <v>146</v>
      </c>
      <c r="D2283">
        <v>0</v>
      </c>
      <c r="E2283">
        <v>0</v>
      </c>
      <c r="F2283">
        <v>0</v>
      </c>
      <c r="G2283">
        <v>0</v>
      </c>
    </row>
    <row r="2284" spans="1:7">
      <c r="A2284" t="s">
        <v>1876</v>
      </c>
      <c r="B2284" t="s">
        <v>354</v>
      </c>
      <c r="C2284" t="s">
        <v>147</v>
      </c>
      <c r="D2284">
        <v>0</v>
      </c>
      <c r="E2284">
        <v>0</v>
      </c>
      <c r="F2284">
        <v>0</v>
      </c>
      <c r="G2284">
        <v>0</v>
      </c>
    </row>
    <row r="2285" spans="1:7">
      <c r="A2285" t="s">
        <v>1876</v>
      </c>
      <c r="B2285" t="s">
        <v>354</v>
      </c>
      <c r="C2285" t="s">
        <v>1896</v>
      </c>
      <c r="D2285">
        <v>0</v>
      </c>
      <c r="E2285">
        <v>0</v>
      </c>
      <c r="F2285">
        <v>0</v>
      </c>
      <c r="G2285">
        <v>0</v>
      </c>
    </row>
    <row r="2286" spans="1:7">
      <c r="A2286" t="s">
        <v>1876</v>
      </c>
      <c r="B2286" t="s">
        <v>354</v>
      </c>
      <c r="C2286" t="s">
        <v>1702</v>
      </c>
      <c r="D2286">
        <v>0</v>
      </c>
      <c r="E2286">
        <v>0</v>
      </c>
      <c r="F2286">
        <v>0</v>
      </c>
      <c r="G2286">
        <v>0</v>
      </c>
    </row>
    <row r="2287" spans="1:7">
      <c r="A2287" t="s">
        <v>1876</v>
      </c>
      <c r="B2287" t="s">
        <v>354</v>
      </c>
      <c r="C2287" t="s">
        <v>1897</v>
      </c>
      <c r="D2287">
        <v>3.6</v>
      </c>
      <c r="E2287">
        <v>5</v>
      </c>
      <c r="F2287">
        <v>7.8</v>
      </c>
      <c r="G2287">
        <v>9.8000000000000007</v>
      </c>
    </row>
    <row r="2288" spans="1:7">
      <c r="A2288" t="s">
        <v>1876</v>
      </c>
      <c r="B2288" t="s">
        <v>354</v>
      </c>
      <c r="C2288" t="s">
        <v>1898</v>
      </c>
      <c r="D2288">
        <v>6</v>
      </c>
      <c r="E2288">
        <v>9</v>
      </c>
      <c r="F2288">
        <v>25</v>
      </c>
      <c r="G2288">
        <v>33</v>
      </c>
    </row>
    <row r="2289" spans="1:7">
      <c r="A2289" t="s">
        <v>1876</v>
      </c>
      <c r="B2289" t="s">
        <v>354</v>
      </c>
      <c r="C2289" t="s">
        <v>1899</v>
      </c>
      <c r="D2289">
        <v>33</v>
      </c>
      <c r="E2289">
        <v>31</v>
      </c>
      <c r="F2289">
        <v>46</v>
      </c>
      <c r="G2289">
        <v>51</v>
      </c>
    </row>
    <row r="2290" spans="1:7">
      <c r="A2290" t="s">
        <v>1876</v>
      </c>
      <c r="B2290" t="s">
        <v>354</v>
      </c>
      <c r="C2290" t="s">
        <v>148</v>
      </c>
      <c r="D2290">
        <v>0</v>
      </c>
      <c r="E2290">
        <v>0</v>
      </c>
      <c r="F2290">
        <v>0</v>
      </c>
      <c r="G2290">
        <v>0</v>
      </c>
    </row>
    <row r="2291" spans="1:7">
      <c r="A2291" t="s">
        <v>1876</v>
      </c>
      <c r="B2291" t="s">
        <v>354</v>
      </c>
      <c r="C2291" t="s">
        <v>149</v>
      </c>
      <c r="D2291">
        <v>0</v>
      </c>
      <c r="E2291">
        <v>0</v>
      </c>
      <c r="F2291">
        <v>0</v>
      </c>
      <c r="G2291">
        <v>0</v>
      </c>
    </row>
    <row r="2292" spans="1:7">
      <c r="A2292" t="s">
        <v>1876</v>
      </c>
      <c r="B2292" t="s">
        <v>354</v>
      </c>
      <c r="C2292" t="s">
        <v>150</v>
      </c>
      <c r="D2292">
        <v>0</v>
      </c>
      <c r="E2292">
        <v>0</v>
      </c>
      <c r="F2292">
        <v>0</v>
      </c>
      <c r="G2292">
        <v>0</v>
      </c>
    </row>
    <row r="2293" spans="1:7">
      <c r="A2293" t="s">
        <v>1876</v>
      </c>
      <c r="B2293" t="s">
        <v>354</v>
      </c>
      <c r="C2293" t="s">
        <v>1900</v>
      </c>
      <c r="D2293">
        <v>0</v>
      </c>
      <c r="E2293">
        <v>0</v>
      </c>
      <c r="F2293">
        <v>0</v>
      </c>
      <c r="G2293">
        <v>0</v>
      </c>
    </row>
    <row r="2294" spans="1:7">
      <c r="A2294" t="s">
        <v>1876</v>
      </c>
      <c r="B2294" t="s">
        <v>354</v>
      </c>
      <c r="C2294" t="s">
        <v>151</v>
      </c>
      <c r="D2294">
        <v>0</v>
      </c>
      <c r="E2294">
        <v>0</v>
      </c>
      <c r="F2294">
        <v>0</v>
      </c>
      <c r="G2294">
        <v>0</v>
      </c>
    </row>
    <row r="2295" spans="1:7">
      <c r="A2295" t="s">
        <v>1876</v>
      </c>
      <c r="B2295" t="s">
        <v>354</v>
      </c>
      <c r="C2295" t="s">
        <v>152</v>
      </c>
      <c r="D2295">
        <v>0</v>
      </c>
      <c r="E2295">
        <v>0</v>
      </c>
      <c r="F2295">
        <v>0</v>
      </c>
      <c r="G2295">
        <v>0</v>
      </c>
    </row>
    <row r="2296" spans="1:7">
      <c r="A2296" t="s">
        <v>1876</v>
      </c>
      <c r="B2296" t="s">
        <v>354</v>
      </c>
      <c r="C2296" t="s">
        <v>1703</v>
      </c>
      <c r="D2296">
        <v>0</v>
      </c>
      <c r="E2296">
        <v>0</v>
      </c>
      <c r="F2296">
        <v>0</v>
      </c>
      <c r="G2296">
        <v>0</v>
      </c>
    </row>
    <row r="2297" spans="1:7">
      <c r="A2297" t="s">
        <v>1876</v>
      </c>
      <c r="B2297" t="s">
        <v>354</v>
      </c>
      <c r="C2297" t="s">
        <v>153</v>
      </c>
      <c r="D2297">
        <v>0</v>
      </c>
      <c r="E2297">
        <v>0</v>
      </c>
      <c r="F2297">
        <v>0</v>
      </c>
      <c r="G2297">
        <v>0</v>
      </c>
    </row>
    <row r="2298" spans="1:7">
      <c r="A2298" t="s">
        <v>1876</v>
      </c>
      <c r="B2298" t="s">
        <v>354</v>
      </c>
      <c r="C2298" t="s">
        <v>154</v>
      </c>
      <c r="D2298">
        <v>0</v>
      </c>
      <c r="E2298">
        <v>0</v>
      </c>
      <c r="F2298">
        <v>0</v>
      </c>
      <c r="G2298">
        <v>0</v>
      </c>
    </row>
    <row r="2299" spans="1:7">
      <c r="A2299" t="s">
        <v>1876</v>
      </c>
      <c r="B2299" t="s">
        <v>354</v>
      </c>
      <c r="C2299" t="s">
        <v>155</v>
      </c>
      <c r="D2299">
        <v>0</v>
      </c>
      <c r="E2299">
        <v>0</v>
      </c>
      <c r="F2299">
        <v>0</v>
      </c>
      <c r="G2299">
        <v>0</v>
      </c>
    </row>
    <row r="2300" spans="1:7">
      <c r="A2300" t="s">
        <v>1876</v>
      </c>
      <c r="B2300" t="s">
        <v>354</v>
      </c>
      <c r="C2300" t="s">
        <v>156</v>
      </c>
      <c r="D2300">
        <v>0</v>
      </c>
      <c r="E2300">
        <v>0</v>
      </c>
      <c r="F2300">
        <v>0</v>
      </c>
      <c r="G2300">
        <v>0</v>
      </c>
    </row>
    <row r="2301" spans="1:7">
      <c r="A2301" t="s">
        <v>1876</v>
      </c>
      <c r="B2301" t="s">
        <v>354</v>
      </c>
      <c r="C2301" t="s">
        <v>157</v>
      </c>
      <c r="D2301">
        <v>0</v>
      </c>
      <c r="E2301">
        <v>0</v>
      </c>
      <c r="F2301">
        <v>0</v>
      </c>
      <c r="G2301">
        <v>0</v>
      </c>
    </row>
    <row r="2302" spans="1:7">
      <c r="A2302" t="s">
        <v>1876</v>
      </c>
      <c r="B2302" t="s">
        <v>354</v>
      </c>
      <c r="C2302" t="s">
        <v>158</v>
      </c>
      <c r="D2302">
        <v>0</v>
      </c>
      <c r="E2302">
        <v>0</v>
      </c>
      <c r="F2302">
        <v>0</v>
      </c>
      <c r="G2302">
        <v>0</v>
      </c>
    </row>
    <row r="2303" spans="1:7">
      <c r="A2303" t="s">
        <v>1876</v>
      </c>
      <c r="B2303" t="s">
        <v>354</v>
      </c>
      <c r="C2303" t="s">
        <v>159</v>
      </c>
      <c r="D2303">
        <v>0</v>
      </c>
      <c r="E2303">
        <v>0</v>
      </c>
      <c r="F2303">
        <v>0</v>
      </c>
      <c r="G2303">
        <v>0</v>
      </c>
    </row>
    <row r="2304" spans="1:7">
      <c r="A2304" t="s">
        <v>1876</v>
      </c>
      <c r="B2304" t="s">
        <v>354</v>
      </c>
      <c r="C2304" t="s">
        <v>1901</v>
      </c>
      <c r="D2304">
        <v>0</v>
      </c>
      <c r="E2304">
        <v>0</v>
      </c>
      <c r="F2304">
        <v>0</v>
      </c>
      <c r="G2304">
        <v>0</v>
      </c>
    </row>
    <row r="2305" spans="1:7">
      <c r="A2305" t="s">
        <v>1876</v>
      </c>
      <c r="B2305" t="s">
        <v>354</v>
      </c>
      <c r="C2305" t="s">
        <v>1902</v>
      </c>
      <c r="D2305">
        <v>2348</v>
      </c>
      <c r="E2305">
        <v>2384</v>
      </c>
      <c r="F2305">
        <v>2376</v>
      </c>
      <c r="G2305">
        <v>2434</v>
      </c>
    </row>
    <row r="2306" spans="1:7">
      <c r="A2306" t="s">
        <v>1876</v>
      </c>
      <c r="B2306" t="s">
        <v>354</v>
      </c>
      <c r="C2306" t="s">
        <v>1903</v>
      </c>
      <c r="D2306">
        <v>604</v>
      </c>
      <c r="E2306">
        <v>620</v>
      </c>
      <c r="F2306">
        <v>590</v>
      </c>
      <c r="G2306">
        <v>703</v>
      </c>
    </row>
    <row r="2307" spans="1:7">
      <c r="A2307" t="s">
        <v>1876</v>
      </c>
      <c r="B2307" t="s">
        <v>354</v>
      </c>
      <c r="C2307" t="s">
        <v>1904</v>
      </c>
      <c r="D2307">
        <v>0</v>
      </c>
      <c r="E2307">
        <v>0</v>
      </c>
      <c r="F2307">
        <v>0</v>
      </c>
      <c r="G2307">
        <v>0</v>
      </c>
    </row>
    <row r="2308" spans="1:7">
      <c r="A2308" t="s">
        <v>1876</v>
      </c>
      <c r="B2308" t="s">
        <v>354</v>
      </c>
      <c r="C2308" t="s">
        <v>1905</v>
      </c>
      <c r="D2308">
        <v>119</v>
      </c>
      <c r="E2308">
        <v>120</v>
      </c>
      <c r="F2308">
        <v>117</v>
      </c>
      <c r="G2308">
        <v>114</v>
      </c>
    </row>
    <row r="2309" spans="1:7">
      <c r="A2309" t="s">
        <v>1876</v>
      </c>
      <c r="B2309" t="s">
        <v>354</v>
      </c>
      <c r="C2309" t="s">
        <v>1906</v>
      </c>
      <c r="D2309">
        <v>583</v>
      </c>
      <c r="E2309">
        <v>606</v>
      </c>
      <c r="F2309">
        <v>576</v>
      </c>
      <c r="G2309">
        <v>671</v>
      </c>
    </row>
    <row r="2310" spans="1:7">
      <c r="A2310" t="s">
        <v>1876</v>
      </c>
      <c r="B2310" t="s">
        <v>354</v>
      </c>
      <c r="C2310" t="s">
        <v>1907</v>
      </c>
      <c r="D2310">
        <v>3654</v>
      </c>
      <c r="E2310">
        <v>3730</v>
      </c>
      <c r="F2310">
        <v>3659</v>
      </c>
      <c r="G2310">
        <v>3921</v>
      </c>
    </row>
    <row r="2311" spans="1:7">
      <c r="A2311" t="s">
        <v>1876</v>
      </c>
      <c r="B2311" t="s">
        <v>354</v>
      </c>
      <c r="C2311" t="s">
        <v>160</v>
      </c>
      <c r="D2311">
        <v>2316</v>
      </c>
      <c r="E2311">
        <v>2352</v>
      </c>
      <c r="F2311">
        <v>2330</v>
      </c>
      <c r="G2311">
        <v>2383</v>
      </c>
    </row>
    <row r="2312" spans="1:7">
      <c r="A2312" t="s">
        <v>1876</v>
      </c>
      <c r="B2312" t="s">
        <v>354</v>
      </c>
      <c r="C2312" t="s">
        <v>161</v>
      </c>
      <c r="D2312">
        <v>604</v>
      </c>
      <c r="E2312">
        <v>620</v>
      </c>
      <c r="F2312">
        <v>590</v>
      </c>
      <c r="G2312">
        <v>703</v>
      </c>
    </row>
    <row r="2313" spans="1:7">
      <c r="A2313" t="s">
        <v>1876</v>
      </c>
      <c r="B2313" t="s">
        <v>354</v>
      </c>
      <c r="C2313" t="s">
        <v>162</v>
      </c>
      <c r="D2313">
        <v>0</v>
      </c>
      <c r="E2313">
        <v>0</v>
      </c>
      <c r="F2313">
        <v>0</v>
      </c>
      <c r="G2313">
        <v>0</v>
      </c>
    </row>
    <row r="2314" spans="1:7">
      <c r="A2314" t="s">
        <v>1876</v>
      </c>
      <c r="B2314" t="s">
        <v>354</v>
      </c>
      <c r="C2314" t="s">
        <v>163</v>
      </c>
      <c r="D2314">
        <v>119</v>
      </c>
      <c r="E2314">
        <v>120</v>
      </c>
      <c r="F2314">
        <v>117</v>
      </c>
      <c r="G2314">
        <v>114</v>
      </c>
    </row>
    <row r="2315" spans="1:7">
      <c r="A2315" t="s">
        <v>1876</v>
      </c>
      <c r="B2315" t="s">
        <v>354</v>
      </c>
      <c r="C2315" t="s">
        <v>164</v>
      </c>
      <c r="D2315">
        <v>583</v>
      </c>
      <c r="E2315">
        <v>606</v>
      </c>
      <c r="F2315">
        <v>576</v>
      </c>
      <c r="G2315">
        <v>671</v>
      </c>
    </row>
    <row r="2316" spans="1:7">
      <c r="A2316" t="s">
        <v>1876</v>
      </c>
      <c r="B2316" t="s">
        <v>354</v>
      </c>
      <c r="C2316" t="s">
        <v>165</v>
      </c>
      <c r="D2316">
        <v>3621</v>
      </c>
      <c r="E2316">
        <v>3698</v>
      </c>
      <c r="F2316">
        <v>3613</v>
      </c>
      <c r="G2316">
        <v>3870</v>
      </c>
    </row>
    <row r="2317" spans="1:7">
      <c r="A2317" t="s">
        <v>1876</v>
      </c>
      <c r="B2317" t="s">
        <v>354</v>
      </c>
      <c r="C2317" t="s">
        <v>166</v>
      </c>
      <c r="D2317">
        <v>3621</v>
      </c>
      <c r="E2317">
        <v>3698</v>
      </c>
      <c r="F2317">
        <v>3613</v>
      </c>
      <c r="G2317">
        <v>3870</v>
      </c>
    </row>
    <row r="2318" spans="1:7">
      <c r="A2318" t="s">
        <v>1876</v>
      </c>
      <c r="B2318" t="s">
        <v>354</v>
      </c>
      <c r="C2318" t="s">
        <v>167</v>
      </c>
      <c r="D2318">
        <v>0</v>
      </c>
      <c r="E2318">
        <v>0</v>
      </c>
      <c r="F2318">
        <v>0</v>
      </c>
      <c r="G2318">
        <v>0</v>
      </c>
    </row>
    <row r="2319" spans="1:7">
      <c r="A2319" t="s">
        <v>1876</v>
      </c>
      <c r="B2319" t="s">
        <v>354</v>
      </c>
      <c r="C2319" t="s">
        <v>1908</v>
      </c>
      <c r="D2319">
        <v>2292</v>
      </c>
      <c r="E2319">
        <v>2330</v>
      </c>
      <c r="F2319">
        <v>2303</v>
      </c>
      <c r="G2319">
        <v>2355</v>
      </c>
    </row>
    <row r="2320" spans="1:7">
      <c r="A2320" t="s">
        <v>1876</v>
      </c>
      <c r="B2320" t="s">
        <v>354</v>
      </c>
      <c r="C2320" t="s">
        <v>1909</v>
      </c>
      <c r="D2320">
        <v>604</v>
      </c>
      <c r="E2320">
        <v>620</v>
      </c>
      <c r="F2320">
        <v>590</v>
      </c>
      <c r="G2320">
        <v>703</v>
      </c>
    </row>
    <row r="2321" spans="1:7">
      <c r="A2321" t="s">
        <v>1876</v>
      </c>
      <c r="B2321" t="s">
        <v>354</v>
      </c>
      <c r="C2321" t="s">
        <v>1910</v>
      </c>
      <c r="D2321">
        <v>0</v>
      </c>
      <c r="E2321">
        <v>0</v>
      </c>
      <c r="F2321">
        <v>0</v>
      </c>
      <c r="G2321">
        <v>0</v>
      </c>
    </row>
    <row r="2322" spans="1:7">
      <c r="A2322" t="s">
        <v>1876</v>
      </c>
      <c r="B2322" t="s">
        <v>354</v>
      </c>
      <c r="C2322" t="s">
        <v>1911</v>
      </c>
      <c r="D2322">
        <v>119</v>
      </c>
      <c r="E2322">
        <v>120</v>
      </c>
      <c r="F2322">
        <v>117</v>
      </c>
      <c r="G2322">
        <v>114</v>
      </c>
    </row>
    <row r="2323" spans="1:7">
      <c r="A2323" t="s">
        <v>1876</v>
      </c>
      <c r="B2323" t="s">
        <v>354</v>
      </c>
      <c r="C2323" t="s">
        <v>1912</v>
      </c>
      <c r="D2323">
        <v>583</v>
      </c>
      <c r="E2323">
        <v>606</v>
      </c>
      <c r="F2323">
        <v>576</v>
      </c>
      <c r="G2323">
        <v>671</v>
      </c>
    </row>
    <row r="2324" spans="1:7">
      <c r="A2324" t="s">
        <v>1876</v>
      </c>
      <c r="B2324" t="s">
        <v>354</v>
      </c>
      <c r="C2324" t="s">
        <v>168</v>
      </c>
      <c r="D2324">
        <v>3597</v>
      </c>
      <c r="E2324">
        <v>3676</v>
      </c>
      <c r="F2324">
        <v>3586</v>
      </c>
      <c r="G2324">
        <v>3843</v>
      </c>
    </row>
    <row r="2325" spans="1:7">
      <c r="A2325" t="s">
        <v>1876</v>
      </c>
      <c r="B2325" t="s">
        <v>354</v>
      </c>
      <c r="C2325" t="s">
        <v>169</v>
      </c>
      <c r="D2325">
        <v>0</v>
      </c>
      <c r="E2325">
        <v>0</v>
      </c>
      <c r="F2325">
        <v>0</v>
      </c>
      <c r="G2325">
        <v>0</v>
      </c>
    </row>
    <row r="2326" spans="1:7">
      <c r="A2326" t="s">
        <v>1876</v>
      </c>
      <c r="B2326" t="s">
        <v>354</v>
      </c>
      <c r="C2326" t="s">
        <v>1704</v>
      </c>
      <c r="D2326">
        <v>48</v>
      </c>
      <c r="E2326">
        <v>51</v>
      </c>
      <c r="F2326">
        <v>52</v>
      </c>
      <c r="G2326">
        <v>62</v>
      </c>
    </row>
    <row r="2327" spans="1:7">
      <c r="A2327" t="s">
        <v>1876</v>
      </c>
      <c r="B2327" t="s">
        <v>354</v>
      </c>
      <c r="C2327" t="s">
        <v>170</v>
      </c>
      <c r="D2327">
        <v>0</v>
      </c>
      <c r="E2327">
        <v>0</v>
      </c>
      <c r="F2327">
        <v>0</v>
      </c>
      <c r="G2327">
        <v>0</v>
      </c>
    </row>
    <row r="2328" spans="1:7">
      <c r="A2328" t="s">
        <v>1876</v>
      </c>
      <c r="B2328" t="s">
        <v>354</v>
      </c>
      <c r="C2328" t="s">
        <v>171</v>
      </c>
      <c r="D2328">
        <v>90619</v>
      </c>
      <c r="E2328">
        <v>90355</v>
      </c>
      <c r="F2328">
        <v>88913</v>
      </c>
      <c r="G2328">
        <v>90792</v>
      </c>
    </row>
    <row r="2329" spans="1:7">
      <c r="A2329" t="s">
        <v>1876</v>
      </c>
      <c r="B2329" t="s">
        <v>354</v>
      </c>
      <c r="C2329" t="s">
        <v>172</v>
      </c>
      <c r="D2329">
        <v>0</v>
      </c>
      <c r="E2329">
        <v>0</v>
      </c>
      <c r="F2329">
        <v>0</v>
      </c>
      <c r="G2329">
        <v>0</v>
      </c>
    </row>
    <row r="2330" spans="1:7">
      <c r="A2330" t="s">
        <v>1876</v>
      </c>
      <c r="B2330" t="s">
        <v>354</v>
      </c>
      <c r="C2330" t="s">
        <v>1913</v>
      </c>
      <c r="D2330">
        <v>6</v>
      </c>
      <c r="E2330">
        <v>7.9</v>
      </c>
      <c r="F2330">
        <v>11</v>
      </c>
      <c r="G2330">
        <v>13.9</v>
      </c>
    </row>
    <row r="2331" spans="1:7">
      <c r="A2331" t="s">
        <v>1876</v>
      </c>
      <c r="B2331" t="s">
        <v>354</v>
      </c>
      <c r="C2331" t="s">
        <v>1914</v>
      </c>
      <c r="D2331">
        <v>2</v>
      </c>
      <c r="E2331">
        <v>2.7</v>
      </c>
      <c r="F2331">
        <v>3.8</v>
      </c>
      <c r="G2331">
        <v>4.9000000000000004</v>
      </c>
    </row>
    <row r="2332" spans="1:7">
      <c r="A2332" t="s">
        <v>1876</v>
      </c>
      <c r="B2332" t="s">
        <v>354</v>
      </c>
      <c r="C2332" t="s">
        <v>173</v>
      </c>
      <c r="D2332">
        <v>864</v>
      </c>
      <c r="E2332">
        <v>825</v>
      </c>
      <c r="F2332">
        <v>854</v>
      </c>
      <c r="G2332">
        <v>855</v>
      </c>
    </row>
    <row r="2333" spans="1:7">
      <c r="A2333" t="s">
        <v>1876</v>
      </c>
      <c r="B2333" t="s">
        <v>354</v>
      </c>
      <c r="C2333" t="s">
        <v>174</v>
      </c>
      <c r="D2333">
        <v>30</v>
      </c>
      <c r="E2333">
        <v>29</v>
      </c>
      <c r="F2333">
        <v>29</v>
      </c>
      <c r="G2333">
        <v>17</v>
      </c>
    </row>
    <row r="2334" spans="1:7">
      <c r="A2334" t="s">
        <v>1876</v>
      </c>
      <c r="B2334" t="s">
        <v>354</v>
      </c>
      <c r="C2334" t="s">
        <v>175</v>
      </c>
      <c r="D2334">
        <v>14</v>
      </c>
      <c r="E2334">
        <v>14</v>
      </c>
      <c r="F2334">
        <v>14</v>
      </c>
      <c r="G2334">
        <v>10</v>
      </c>
    </row>
    <row r="2335" spans="1:7">
      <c r="A2335" t="s">
        <v>1876</v>
      </c>
      <c r="B2335" t="s">
        <v>354</v>
      </c>
      <c r="C2335" t="s">
        <v>176</v>
      </c>
      <c r="D2335">
        <v>0</v>
      </c>
      <c r="E2335">
        <v>0</v>
      </c>
      <c r="F2335">
        <v>0</v>
      </c>
      <c r="G2335">
        <v>0</v>
      </c>
    </row>
    <row r="2336" spans="1:7">
      <c r="A2336" t="s">
        <v>1876</v>
      </c>
      <c r="B2336" t="s">
        <v>354</v>
      </c>
      <c r="C2336" t="s">
        <v>177</v>
      </c>
      <c r="D2336">
        <v>907</v>
      </c>
      <c r="E2336">
        <v>869</v>
      </c>
      <c r="F2336">
        <v>898</v>
      </c>
      <c r="G2336">
        <v>882</v>
      </c>
    </row>
    <row r="2337" spans="1:7">
      <c r="A2337" t="s">
        <v>1876</v>
      </c>
      <c r="B2337" t="s">
        <v>354</v>
      </c>
      <c r="C2337" t="s">
        <v>178</v>
      </c>
      <c r="D2337">
        <v>0</v>
      </c>
      <c r="E2337">
        <v>0</v>
      </c>
      <c r="F2337">
        <v>0</v>
      </c>
      <c r="G2337">
        <v>0</v>
      </c>
    </row>
    <row r="2338" spans="1:7">
      <c r="A2338" t="s">
        <v>1876</v>
      </c>
      <c r="B2338" t="s">
        <v>354</v>
      </c>
      <c r="C2338" t="s">
        <v>179</v>
      </c>
      <c r="D2338">
        <v>0</v>
      </c>
      <c r="E2338">
        <v>0</v>
      </c>
      <c r="F2338">
        <v>0</v>
      </c>
      <c r="G2338">
        <v>0</v>
      </c>
    </row>
    <row r="2339" spans="1:7">
      <c r="A2339" t="s">
        <v>1876</v>
      </c>
      <c r="B2339" t="s">
        <v>354</v>
      </c>
      <c r="C2339" t="s">
        <v>180</v>
      </c>
      <c r="D2339">
        <v>928</v>
      </c>
      <c r="E2339">
        <v>855</v>
      </c>
      <c r="F2339">
        <v>1028</v>
      </c>
      <c r="G2339">
        <v>1079</v>
      </c>
    </row>
    <row r="2340" spans="1:7">
      <c r="A2340" t="s">
        <v>1876</v>
      </c>
      <c r="B2340" t="s">
        <v>354</v>
      </c>
      <c r="C2340" t="s">
        <v>181</v>
      </c>
      <c r="D2340">
        <v>24033</v>
      </c>
      <c r="E2340">
        <v>24874</v>
      </c>
      <c r="F2340">
        <v>23987</v>
      </c>
      <c r="G2340">
        <v>24544</v>
      </c>
    </row>
    <row r="2341" spans="1:7">
      <c r="A2341" t="s">
        <v>1876</v>
      </c>
      <c r="B2341" t="s">
        <v>354</v>
      </c>
      <c r="C2341" t="s">
        <v>182</v>
      </c>
      <c r="D2341">
        <v>817</v>
      </c>
      <c r="E2341">
        <v>620</v>
      </c>
      <c r="F2341">
        <v>602</v>
      </c>
      <c r="G2341">
        <v>640</v>
      </c>
    </row>
    <row r="2342" spans="1:7">
      <c r="A2342" t="s">
        <v>1876</v>
      </c>
      <c r="B2342" t="s">
        <v>354</v>
      </c>
      <c r="C2342" t="s">
        <v>183</v>
      </c>
      <c r="D2342">
        <v>8626</v>
      </c>
      <c r="E2342">
        <v>8595</v>
      </c>
      <c r="F2342">
        <v>8092</v>
      </c>
      <c r="G2342">
        <v>8345</v>
      </c>
    </row>
    <row r="2343" spans="1:7">
      <c r="A2343" t="s">
        <v>1876</v>
      </c>
      <c r="B2343" t="s">
        <v>354</v>
      </c>
      <c r="C2343" t="s">
        <v>184</v>
      </c>
      <c r="D2343">
        <v>34404</v>
      </c>
      <c r="E2343">
        <v>34944</v>
      </c>
      <c r="F2343">
        <v>33710</v>
      </c>
      <c r="G2343">
        <v>34608</v>
      </c>
    </row>
    <row r="2344" spans="1:7">
      <c r="A2344" t="s">
        <v>1876</v>
      </c>
      <c r="B2344" t="s">
        <v>354</v>
      </c>
      <c r="C2344" t="s">
        <v>185</v>
      </c>
      <c r="D2344">
        <v>34404</v>
      </c>
      <c r="E2344">
        <v>34944</v>
      </c>
      <c r="F2344">
        <v>33710</v>
      </c>
      <c r="G2344">
        <v>34608</v>
      </c>
    </row>
    <row r="2345" spans="1:7">
      <c r="A2345" t="s">
        <v>1876</v>
      </c>
      <c r="B2345" t="s">
        <v>354</v>
      </c>
      <c r="C2345" t="s">
        <v>1915</v>
      </c>
      <c r="D2345">
        <v>9</v>
      </c>
      <c r="E2345">
        <v>14</v>
      </c>
      <c r="F2345">
        <v>33</v>
      </c>
      <c r="G2345">
        <v>43</v>
      </c>
    </row>
    <row r="2346" spans="1:7">
      <c r="A2346" t="s">
        <v>1876</v>
      </c>
      <c r="B2346" t="s">
        <v>354</v>
      </c>
      <c r="C2346" t="s">
        <v>1916</v>
      </c>
      <c r="D2346">
        <v>0</v>
      </c>
      <c r="E2346">
        <v>0</v>
      </c>
      <c r="F2346">
        <v>0</v>
      </c>
      <c r="G2346">
        <v>0</v>
      </c>
    </row>
    <row r="2347" spans="1:7">
      <c r="A2347" t="s">
        <v>1876</v>
      </c>
      <c r="B2347" t="s">
        <v>354</v>
      </c>
      <c r="C2347" t="s">
        <v>1917</v>
      </c>
      <c r="D2347">
        <v>46</v>
      </c>
      <c r="E2347">
        <v>46</v>
      </c>
      <c r="F2347">
        <v>27</v>
      </c>
      <c r="G2347">
        <v>26</v>
      </c>
    </row>
    <row r="2348" spans="1:7">
      <c r="A2348" t="s">
        <v>1876</v>
      </c>
      <c r="B2348" t="s">
        <v>354</v>
      </c>
      <c r="C2348" t="s">
        <v>1918</v>
      </c>
      <c r="D2348">
        <v>1351</v>
      </c>
      <c r="E2348">
        <v>1508</v>
      </c>
      <c r="F2348">
        <v>1256</v>
      </c>
      <c r="G2348">
        <v>1223</v>
      </c>
    </row>
    <row r="2349" spans="1:7">
      <c r="A2349" t="s">
        <v>1876</v>
      </c>
      <c r="B2349" t="s">
        <v>354</v>
      </c>
      <c r="C2349" t="s">
        <v>1919</v>
      </c>
      <c r="D2349">
        <v>4.3899999999999997</v>
      </c>
      <c r="E2349">
        <v>4.47</v>
      </c>
      <c r="F2349">
        <v>3.24</v>
      </c>
      <c r="G2349">
        <v>3.41</v>
      </c>
    </row>
    <row r="2350" spans="1:7">
      <c r="A2350" t="s">
        <v>1876</v>
      </c>
      <c r="B2350" t="s">
        <v>354</v>
      </c>
      <c r="C2350" t="s">
        <v>1920</v>
      </c>
      <c r="D2350">
        <v>1451</v>
      </c>
      <c r="E2350">
        <v>1593</v>
      </c>
      <c r="F2350">
        <v>1340</v>
      </c>
      <c r="G2350">
        <v>1313</v>
      </c>
    </row>
    <row r="2351" spans="1:7">
      <c r="A2351" t="s">
        <v>1876</v>
      </c>
      <c r="B2351" t="s">
        <v>354</v>
      </c>
      <c r="C2351" t="s">
        <v>1921</v>
      </c>
      <c r="D2351">
        <v>317</v>
      </c>
      <c r="E2351">
        <v>345</v>
      </c>
      <c r="F2351">
        <v>399</v>
      </c>
      <c r="G2351">
        <v>369</v>
      </c>
    </row>
    <row r="2352" spans="1:7">
      <c r="A2352" t="s">
        <v>1876</v>
      </c>
      <c r="B2352" t="s">
        <v>354</v>
      </c>
      <c r="C2352" t="s">
        <v>1922</v>
      </c>
      <c r="D2352">
        <v>54</v>
      </c>
      <c r="E2352">
        <v>39</v>
      </c>
      <c r="F2352">
        <v>57</v>
      </c>
      <c r="G2352">
        <v>64</v>
      </c>
    </row>
    <row r="2353" spans="1:7">
      <c r="A2353" t="s">
        <v>1876</v>
      </c>
      <c r="B2353" t="s">
        <v>354</v>
      </c>
      <c r="C2353" t="s">
        <v>1923</v>
      </c>
      <c r="D2353">
        <v>6</v>
      </c>
      <c r="E2353">
        <v>4.88</v>
      </c>
      <c r="F2353">
        <v>5.18</v>
      </c>
      <c r="G2353">
        <v>5.82</v>
      </c>
    </row>
    <row r="2354" spans="1:7">
      <c r="A2354" t="s">
        <v>1876</v>
      </c>
      <c r="B2354" t="s">
        <v>354</v>
      </c>
      <c r="C2354" t="s">
        <v>1924</v>
      </c>
      <c r="D2354">
        <v>27</v>
      </c>
      <c r="E2354">
        <v>5</v>
      </c>
      <c r="F2354">
        <v>4</v>
      </c>
      <c r="G2354">
        <v>4</v>
      </c>
    </row>
    <row r="2355" spans="1:7">
      <c r="A2355" t="s">
        <v>1876</v>
      </c>
      <c r="B2355" t="s">
        <v>354</v>
      </c>
      <c r="C2355" t="s">
        <v>1925</v>
      </c>
      <c r="D2355">
        <v>37</v>
      </c>
      <c r="E2355">
        <v>37</v>
      </c>
      <c r="F2355">
        <v>38</v>
      </c>
      <c r="G2355">
        <v>39</v>
      </c>
    </row>
    <row r="2356" spans="1:7">
      <c r="A2356" t="s">
        <v>1876</v>
      </c>
      <c r="B2356" t="s">
        <v>354</v>
      </c>
      <c r="C2356" t="s">
        <v>1926</v>
      </c>
      <c r="D2356">
        <v>253</v>
      </c>
      <c r="E2356">
        <v>303</v>
      </c>
      <c r="F2356">
        <v>357</v>
      </c>
      <c r="G2356">
        <v>326</v>
      </c>
    </row>
    <row r="2357" spans="1:7">
      <c r="A2357" t="s">
        <v>1876</v>
      </c>
      <c r="B2357" t="s">
        <v>354</v>
      </c>
      <c r="C2357" t="s">
        <v>1927</v>
      </c>
      <c r="D2357">
        <v>10</v>
      </c>
      <c r="E2357">
        <v>10</v>
      </c>
      <c r="F2357">
        <v>3</v>
      </c>
      <c r="G2357">
        <v>2</v>
      </c>
    </row>
    <row r="2358" spans="1:7">
      <c r="A2358" t="s">
        <v>1876</v>
      </c>
      <c r="B2358" t="s">
        <v>354</v>
      </c>
      <c r="C2358" t="s">
        <v>1928</v>
      </c>
      <c r="D2358">
        <v>271</v>
      </c>
      <c r="E2358">
        <v>299</v>
      </c>
      <c r="F2358">
        <v>355</v>
      </c>
      <c r="G2358">
        <v>326</v>
      </c>
    </row>
    <row r="2359" spans="1:7">
      <c r="A2359" t="s">
        <v>1876</v>
      </c>
      <c r="B2359" t="s">
        <v>354</v>
      </c>
      <c r="C2359" t="s">
        <v>1929</v>
      </c>
      <c r="D2359">
        <v>36</v>
      </c>
      <c r="E2359">
        <v>36</v>
      </c>
      <c r="F2359">
        <v>41</v>
      </c>
      <c r="G2359">
        <v>41</v>
      </c>
    </row>
    <row r="2360" spans="1:7">
      <c r="A2360" t="s">
        <v>1876</v>
      </c>
      <c r="B2360" t="s">
        <v>354</v>
      </c>
      <c r="C2360" t="s">
        <v>186</v>
      </c>
      <c r="D2360">
        <v>0</v>
      </c>
      <c r="E2360">
        <v>0</v>
      </c>
      <c r="F2360">
        <v>0</v>
      </c>
      <c r="G2360">
        <v>0</v>
      </c>
    </row>
    <row r="2361" spans="1:7">
      <c r="A2361" t="s">
        <v>1876</v>
      </c>
      <c r="B2361" t="s">
        <v>354</v>
      </c>
      <c r="C2361" t="s">
        <v>187</v>
      </c>
      <c r="D2361">
        <v>0</v>
      </c>
      <c r="E2361">
        <v>0</v>
      </c>
      <c r="F2361">
        <v>0</v>
      </c>
      <c r="G2361">
        <v>0</v>
      </c>
    </row>
    <row r="2362" spans="1:7">
      <c r="A2362" t="s">
        <v>1876</v>
      </c>
      <c r="B2362" t="s">
        <v>354</v>
      </c>
      <c r="C2362" t="s">
        <v>1705</v>
      </c>
      <c r="D2362">
        <v>21</v>
      </c>
      <c r="E2362">
        <v>21</v>
      </c>
      <c r="F2362">
        <v>21</v>
      </c>
      <c r="G2362">
        <v>21</v>
      </c>
    </row>
    <row r="2363" spans="1:7">
      <c r="A2363" t="s">
        <v>1876</v>
      </c>
      <c r="B2363" t="s">
        <v>354</v>
      </c>
      <c r="C2363" t="s">
        <v>188</v>
      </c>
      <c r="D2363">
        <v>46774</v>
      </c>
      <c r="E2363">
        <v>48174</v>
      </c>
      <c r="F2363">
        <v>43571</v>
      </c>
      <c r="G2363">
        <v>44810</v>
      </c>
    </row>
    <row r="2364" spans="1:7">
      <c r="A2364" t="s">
        <v>1876</v>
      </c>
      <c r="B2364" t="s">
        <v>354</v>
      </c>
      <c r="C2364" t="s">
        <v>189</v>
      </c>
      <c r="D2364">
        <v>0</v>
      </c>
      <c r="E2364">
        <v>0</v>
      </c>
      <c r="F2364">
        <v>0</v>
      </c>
      <c r="G2364">
        <v>0</v>
      </c>
    </row>
    <row r="2365" spans="1:7">
      <c r="A2365" t="s">
        <v>1876</v>
      </c>
      <c r="B2365" t="s">
        <v>354</v>
      </c>
      <c r="C2365" t="s">
        <v>190</v>
      </c>
      <c r="D2365">
        <v>0</v>
      </c>
      <c r="E2365">
        <v>0</v>
      </c>
      <c r="F2365">
        <v>0</v>
      </c>
      <c r="G2365">
        <v>0</v>
      </c>
    </row>
    <row r="2366" spans="1:7">
      <c r="A2366" t="s">
        <v>1876</v>
      </c>
      <c r="B2366" t="s">
        <v>354</v>
      </c>
      <c r="C2366" t="s">
        <v>191</v>
      </c>
      <c r="D2366">
        <v>0</v>
      </c>
      <c r="E2366">
        <v>0</v>
      </c>
      <c r="F2366">
        <v>0</v>
      </c>
      <c r="G2366">
        <v>0</v>
      </c>
    </row>
    <row r="2367" spans="1:7">
      <c r="A2367" t="s">
        <v>1876</v>
      </c>
      <c r="B2367" t="s">
        <v>354</v>
      </c>
      <c r="C2367" t="s">
        <v>192</v>
      </c>
      <c r="D2367">
        <v>156581.29999999999</v>
      </c>
      <c r="E2367">
        <v>165106.20000000001</v>
      </c>
      <c r="F2367">
        <v>174250.7</v>
      </c>
      <c r="G2367">
        <v>184297.7</v>
      </c>
    </row>
    <row r="2368" spans="1:7">
      <c r="A2368" t="s">
        <v>1876</v>
      </c>
      <c r="B2368" t="s">
        <v>354</v>
      </c>
      <c r="C2368" t="s">
        <v>193</v>
      </c>
      <c r="D2368">
        <v>143338.70000000001</v>
      </c>
      <c r="E2368">
        <v>143050.79999999999</v>
      </c>
      <c r="F2368">
        <v>143179.20000000001</v>
      </c>
      <c r="G2368">
        <v>145088</v>
      </c>
    </row>
    <row r="2369" spans="1:7">
      <c r="A2369" t="s">
        <v>1876</v>
      </c>
      <c r="B2369" t="s">
        <v>354</v>
      </c>
      <c r="C2369" t="s">
        <v>1930</v>
      </c>
      <c r="D2369">
        <v>0</v>
      </c>
      <c r="E2369">
        <v>0</v>
      </c>
      <c r="F2369">
        <v>0</v>
      </c>
      <c r="G2369">
        <v>0</v>
      </c>
    </row>
    <row r="2370" spans="1:7">
      <c r="A2370" t="s">
        <v>1876</v>
      </c>
      <c r="B2370" t="s">
        <v>354</v>
      </c>
      <c r="C2370" t="s">
        <v>194</v>
      </c>
      <c r="D2370">
        <v>0</v>
      </c>
      <c r="E2370">
        <v>0</v>
      </c>
      <c r="F2370">
        <v>0</v>
      </c>
      <c r="G2370">
        <v>0</v>
      </c>
    </row>
    <row r="2371" spans="1:7">
      <c r="A2371" t="s">
        <v>1876</v>
      </c>
      <c r="B2371" t="s">
        <v>354</v>
      </c>
      <c r="C2371" t="s">
        <v>195</v>
      </c>
      <c r="D2371">
        <v>0</v>
      </c>
      <c r="E2371">
        <v>0</v>
      </c>
      <c r="F2371">
        <v>0</v>
      </c>
      <c r="G2371">
        <v>0</v>
      </c>
    </row>
    <row r="2372" spans="1:7">
      <c r="A2372" t="s">
        <v>1876</v>
      </c>
      <c r="B2372" t="s">
        <v>354</v>
      </c>
      <c r="C2372" t="s">
        <v>1706</v>
      </c>
      <c r="D2372">
        <v>0</v>
      </c>
      <c r="E2372">
        <v>0</v>
      </c>
      <c r="F2372">
        <v>0</v>
      </c>
      <c r="G2372">
        <v>0</v>
      </c>
    </row>
    <row r="2373" spans="1:7">
      <c r="A2373" t="s">
        <v>1876</v>
      </c>
      <c r="B2373" t="s">
        <v>354</v>
      </c>
      <c r="C2373" t="s">
        <v>196</v>
      </c>
      <c r="D2373">
        <v>0</v>
      </c>
      <c r="E2373">
        <v>0</v>
      </c>
      <c r="F2373">
        <v>0</v>
      </c>
      <c r="G2373">
        <v>0</v>
      </c>
    </row>
    <row r="2374" spans="1:7">
      <c r="A2374" t="s">
        <v>1876</v>
      </c>
      <c r="B2374" t="s">
        <v>354</v>
      </c>
      <c r="C2374" t="s">
        <v>197</v>
      </c>
      <c r="D2374">
        <v>22</v>
      </c>
      <c r="E2374">
        <v>22</v>
      </c>
      <c r="F2374">
        <v>22</v>
      </c>
      <c r="G2374">
        <v>22</v>
      </c>
    </row>
    <row r="2375" spans="1:7">
      <c r="A2375" t="s">
        <v>1876</v>
      </c>
      <c r="B2375" t="s">
        <v>354</v>
      </c>
      <c r="C2375" t="s">
        <v>198</v>
      </c>
      <c r="D2375">
        <v>22</v>
      </c>
      <c r="E2375">
        <v>22</v>
      </c>
      <c r="F2375">
        <v>22</v>
      </c>
      <c r="G2375">
        <v>22</v>
      </c>
    </row>
    <row r="2376" spans="1:7">
      <c r="A2376" t="s">
        <v>1876</v>
      </c>
      <c r="B2376" t="s">
        <v>354</v>
      </c>
      <c r="C2376" t="s">
        <v>199</v>
      </c>
      <c r="D2376">
        <v>22</v>
      </c>
      <c r="E2376">
        <v>22</v>
      </c>
      <c r="F2376">
        <v>22</v>
      </c>
      <c r="G2376">
        <v>22</v>
      </c>
    </row>
    <row r="2377" spans="1:7">
      <c r="A2377" t="s">
        <v>1876</v>
      </c>
      <c r="B2377" t="s">
        <v>354</v>
      </c>
      <c r="C2377" t="s">
        <v>200</v>
      </c>
      <c r="D2377">
        <v>1</v>
      </c>
      <c r="E2377">
        <v>2</v>
      </c>
      <c r="F2377">
        <v>0</v>
      </c>
      <c r="G2377">
        <v>0</v>
      </c>
    </row>
    <row r="2378" spans="1:7">
      <c r="A2378" t="s">
        <v>1876</v>
      </c>
      <c r="B2378" t="s">
        <v>354</v>
      </c>
      <c r="C2378" t="s">
        <v>201</v>
      </c>
      <c r="D2378">
        <v>14</v>
      </c>
      <c r="E2378">
        <v>12</v>
      </c>
      <c r="F2378">
        <v>4</v>
      </c>
      <c r="G2378">
        <v>7</v>
      </c>
    </row>
    <row r="2379" spans="1:7">
      <c r="A2379" t="s">
        <v>1876</v>
      </c>
      <c r="B2379" t="s">
        <v>354</v>
      </c>
      <c r="C2379" t="s">
        <v>202</v>
      </c>
      <c r="D2379">
        <v>50</v>
      </c>
      <c r="E2379">
        <v>45</v>
      </c>
      <c r="F2379">
        <v>29</v>
      </c>
      <c r="G2379">
        <v>12</v>
      </c>
    </row>
    <row r="2380" spans="1:7">
      <c r="A2380" t="s">
        <v>1876</v>
      </c>
      <c r="B2380" t="s">
        <v>354</v>
      </c>
      <c r="C2380" t="s">
        <v>203</v>
      </c>
      <c r="D2380">
        <v>40</v>
      </c>
      <c r="E2380">
        <v>40</v>
      </c>
      <c r="F2380">
        <v>34</v>
      </c>
      <c r="G2380">
        <v>30</v>
      </c>
    </row>
    <row r="2381" spans="1:7">
      <c r="A2381" t="s">
        <v>1876</v>
      </c>
      <c r="B2381" t="s">
        <v>354</v>
      </c>
      <c r="C2381" t="s">
        <v>204</v>
      </c>
      <c r="D2381">
        <v>104</v>
      </c>
      <c r="E2381">
        <v>99</v>
      </c>
      <c r="F2381">
        <v>68</v>
      </c>
      <c r="G2381">
        <v>48</v>
      </c>
    </row>
    <row r="2382" spans="1:7">
      <c r="A2382" t="s">
        <v>1876</v>
      </c>
      <c r="B2382" t="s">
        <v>354</v>
      </c>
      <c r="C2382" t="s">
        <v>205</v>
      </c>
      <c r="D2382">
        <v>104</v>
      </c>
      <c r="E2382">
        <v>99</v>
      </c>
      <c r="F2382">
        <v>68</v>
      </c>
      <c r="G2382">
        <v>48</v>
      </c>
    </row>
    <row r="2383" spans="1:7">
      <c r="A2383" t="s">
        <v>1876</v>
      </c>
      <c r="B2383" t="s">
        <v>354</v>
      </c>
      <c r="C2383" t="s">
        <v>1931</v>
      </c>
      <c r="D2383">
        <v>0</v>
      </c>
      <c r="E2383">
        <v>0</v>
      </c>
      <c r="F2383">
        <v>0</v>
      </c>
      <c r="G2383">
        <v>0</v>
      </c>
    </row>
    <row r="2384" spans="1:7">
      <c r="A2384" t="s">
        <v>1876</v>
      </c>
      <c r="B2384" t="s">
        <v>354</v>
      </c>
      <c r="C2384" t="s">
        <v>1707</v>
      </c>
      <c r="D2384">
        <v>0</v>
      </c>
      <c r="E2384">
        <v>0</v>
      </c>
      <c r="F2384">
        <v>0</v>
      </c>
      <c r="G2384">
        <v>0</v>
      </c>
    </row>
    <row r="2385" spans="1:7">
      <c r="A2385" t="s">
        <v>1876</v>
      </c>
      <c r="B2385" t="s">
        <v>354</v>
      </c>
      <c r="C2385" t="s">
        <v>1932</v>
      </c>
      <c r="D2385">
        <v>0</v>
      </c>
      <c r="E2385">
        <v>0</v>
      </c>
      <c r="F2385">
        <v>0</v>
      </c>
      <c r="G2385">
        <v>0</v>
      </c>
    </row>
    <row r="2386" spans="1:7">
      <c r="A2386" t="s">
        <v>1876</v>
      </c>
      <c r="B2386" t="s">
        <v>354</v>
      </c>
      <c r="C2386" t="s">
        <v>1708</v>
      </c>
      <c r="D2386">
        <v>0</v>
      </c>
      <c r="E2386">
        <v>0</v>
      </c>
      <c r="F2386">
        <v>0</v>
      </c>
      <c r="G2386">
        <v>0</v>
      </c>
    </row>
    <row r="2387" spans="1:7">
      <c r="A2387" t="s">
        <v>1876</v>
      </c>
      <c r="B2387" t="s">
        <v>354</v>
      </c>
      <c r="C2387" t="s">
        <v>206</v>
      </c>
      <c r="D2387">
        <v>0</v>
      </c>
      <c r="E2387">
        <v>0</v>
      </c>
      <c r="F2387">
        <v>0</v>
      </c>
      <c r="G2387">
        <v>0</v>
      </c>
    </row>
    <row r="2388" spans="1:7">
      <c r="A2388" t="s">
        <v>1876</v>
      </c>
      <c r="B2388" t="s">
        <v>354</v>
      </c>
      <c r="C2388" t="s">
        <v>207</v>
      </c>
      <c r="D2388">
        <v>0</v>
      </c>
      <c r="E2388">
        <v>0</v>
      </c>
      <c r="F2388">
        <v>0</v>
      </c>
      <c r="G2388">
        <v>0</v>
      </c>
    </row>
    <row r="2389" spans="1:7">
      <c r="A2389" t="s">
        <v>1876</v>
      </c>
      <c r="B2389" t="s">
        <v>354</v>
      </c>
      <c r="C2389" t="s">
        <v>208</v>
      </c>
      <c r="D2389">
        <v>0</v>
      </c>
      <c r="E2389">
        <v>0</v>
      </c>
      <c r="F2389">
        <v>0</v>
      </c>
      <c r="G2389">
        <v>0</v>
      </c>
    </row>
    <row r="2390" spans="1:7">
      <c r="A2390" t="s">
        <v>1876</v>
      </c>
      <c r="B2390" t="s">
        <v>354</v>
      </c>
      <c r="C2390" t="s">
        <v>209</v>
      </c>
      <c r="D2390">
        <v>0</v>
      </c>
      <c r="E2390">
        <v>0</v>
      </c>
      <c r="F2390">
        <v>0</v>
      </c>
      <c r="G2390">
        <v>0</v>
      </c>
    </row>
    <row r="2391" spans="1:7">
      <c r="A2391" t="s">
        <v>1876</v>
      </c>
      <c r="B2391" t="s">
        <v>354</v>
      </c>
      <c r="C2391" t="s">
        <v>210</v>
      </c>
      <c r="D2391">
        <v>0</v>
      </c>
      <c r="E2391">
        <v>0</v>
      </c>
      <c r="F2391">
        <v>0</v>
      </c>
      <c r="G2391">
        <v>0</v>
      </c>
    </row>
    <row r="2392" spans="1:7">
      <c r="A2392" t="s">
        <v>1876</v>
      </c>
      <c r="B2392" t="s">
        <v>354</v>
      </c>
      <c r="C2392" t="s">
        <v>211</v>
      </c>
      <c r="D2392">
        <v>0</v>
      </c>
      <c r="E2392">
        <v>0</v>
      </c>
      <c r="F2392">
        <v>0</v>
      </c>
      <c r="G2392">
        <v>0</v>
      </c>
    </row>
    <row r="2393" spans="1:7">
      <c r="A2393" t="s">
        <v>1876</v>
      </c>
      <c r="B2393" t="s">
        <v>354</v>
      </c>
      <c r="C2393" t="s">
        <v>212</v>
      </c>
      <c r="D2393">
        <v>0</v>
      </c>
      <c r="E2393">
        <v>0</v>
      </c>
      <c r="F2393">
        <v>0</v>
      </c>
      <c r="G2393">
        <v>0</v>
      </c>
    </row>
    <row r="2394" spans="1:7">
      <c r="A2394" t="s">
        <v>1876</v>
      </c>
      <c r="B2394" t="s">
        <v>354</v>
      </c>
      <c r="C2394" t="s">
        <v>213</v>
      </c>
      <c r="D2394">
        <v>0</v>
      </c>
      <c r="E2394">
        <v>0</v>
      </c>
      <c r="F2394">
        <v>0</v>
      </c>
      <c r="G2394">
        <v>0</v>
      </c>
    </row>
    <row r="2395" spans="1:7">
      <c r="A2395" t="s">
        <v>1876</v>
      </c>
      <c r="B2395" t="s">
        <v>354</v>
      </c>
      <c r="C2395" t="s">
        <v>214</v>
      </c>
      <c r="D2395">
        <v>0</v>
      </c>
      <c r="E2395">
        <v>0</v>
      </c>
      <c r="F2395">
        <v>0</v>
      </c>
      <c r="G2395">
        <v>0</v>
      </c>
    </row>
    <row r="2396" spans="1:7">
      <c r="A2396" t="s">
        <v>1876</v>
      </c>
      <c r="B2396" t="s">
        <v>354</v>
      </c>
      <c r="C2396" t="s">
        <v>215</v>
      </c>
      <c r="D2396">
        <v>0</v>
      </c>
      <c r="E2396">
        <v>0</v>
      </c>
      <c r="F2396">
        <v>0</v>
      </c>
      <c r="G2396">
        <v>0</v>
      </c>
    </row>
    <row r="2397" spans="1:7">
      <c r="A2397" t="s">
        <v>1876</v>
      </c>
      <c r="B2397" t="s">
        <v>354</v>
      </c>
      <c r="C2397" t="s">
        <v>216</v>
      </c>
      <c r="D2397">
        <v>0</v>
      </c>
      <c r="E2397">
        <v>0</v>
      </c>
      <c r="F2397">
        <v>0</v>
      </c>
      <c r="G2397">
        <v>0</v>
      </c>
    </row>
    <row r="2398" spans="1:7">
      <c r="A2398" t="s">
        <v>1876</v>
      </c>
      <c r="B2398" t="s">
        <v>354</v>
      </c>
      <c r="C2398" t="s">
        <v>217</v>
      </c>
      <c r="D2398">
        <v>0</v>
      </c>
      <c r="E2398">
        <v>0</v>
      </c>
      <c r="F2398">
        <v>0</v>
      </c>
      <c r="G2398">
        <v>0</v>
      </c>
    </row>
    <row r="2399" spans="1:7">
      <c r="A2399" t="s">
        <v>1876</v>
      </c>
      <c r="B2399" t="s">
        <v>354</v>
      </c>
      <c r="C2399" t="s">
        <v>218</v>
      </c>
      <c r="D2399">
        <v>0</v>
      </c>
      <c r="E2399">
        <v>0</v>
      </c>
      <c r="F2399">
        <v>0</v>
      </c>
      <c r="G2399">
        <v>0</v>
      </c>
    </row>
    <row r="2400" spans="1:7">
      <c r="A2400" t="s">
        <v>1876</v>
      </c>
      <c r="B2400" t="s">
        <v>354</v>
      </c>
      <c r="C2400" t="s">
        <v>219</v>
      </c>
      <c r="D2400">
        <v>0</v>
      </c>
      <c r="E2400">
        <v>0</v>
      </c>
      <c r="F2400">
        <v>0</v>
      </c>
      <c r="G2400">
        <v>0</v>
      </c>
    </row>
    <row r="2401" spans="1:7">
      <c r="A2401" t="s">
        <v>1876</v>
      </c>
      <c r="B2401" t="s">
        <v>354</v>
      </c>
      <c r="C2401" t="s">
        <v>220</v>
      </c>
      <c r="D2401">
        <v>0</v>
      </c>
      <c r="E2401">
        <v>0</v>
      </c>
      <c r="F2401">
        <v>0</v>
      </c>
      <c r="G2401">
        <v>0</v>
      </c>
    </row>
    <row r="2402" spans="1:7">
      <c r="A2402" t="s">
        <v>1876</v>
      </c>
      <c r="B2402" t="s">
        <v>354</v>
      </c>
      <c r="C2402" t="s">
        <v>221</v>
      </c>
      <c r="D2402">
        <v>0</v>
      </c>
      <c r="E2402">
        <v>0</v>
      </c>
      <c r="F2402">
        <v>1</v>
      </c>
      <c r="G2402">
        <v>1</v>
      </c>
    </row>
    <row r="2403" spans="1:7">
      <c r="A2403" t="s">
        <v>1876</v>
      </c>
      <c r="B2403" t="s">
        <v>354</v>
      </c>
      <c r="C2403" t="s">
        <v>222</v>
      </c>
      <c r="D2403">
        <v>0</v>
      </c>
      <c r="E2403">
        <v>0</v>
      </c>
      <c r="F2403">
        <v>1</v>
      </c>
      <c r="G2403">
        <v>1</v>
      </c>
    </row>
    <row r="2404" spans="1:7">
      <c r="A2404" t="s">
        <v>1876</v>
      </c>
      <c r="B2404" t="s">
        <v>354</v>
      </c>
      <c r="C2404" t="s">
        <v>1933</v>
      </c>
      <c r="D2404">
        <v>300.5</v>
      </c>
      <c r="E2404">
        <v>296.5</v>
      </c>
      <c r="F2404">
        <v>287.8</v>
      </c>
      <c r="G2404">
        <v>284.10000000000002</v>
      </c>
    </row>
    <row r="2405" spans="1:7">
      <c r="A2405" t="s">
        <v>1876</v>
      </c>
      <c r="B2405" t="s">
        <v>354</v>
      </c>
      <c r="C2405" t="s">
        <v>223</v>
      </c>
      <c r="D2405">
        <v>1519</v>
      </c>
      <c r="E2405">
        <v>1358</v>
      </c>
      <c r="F2405">
        <v>1687</v>
      </c>
      <c r="G2405">
        <v>1756</v>
      </c>
    </row>
    <row r="2406" spans="1:7">
      <c r="A2406" t="s">
        <v>1876</v>
      </c>
      <c r="B2406" t="s">
        <v>354</v>
      </c>
      <c r="C2406" t="s">
        <v>224</v>
      </c>
      <c r="D2406">
        <v>39312</v>
      </c>
      <c r="E2406">
        <v>39496</v>
      </c>
      <c r="F2406">
        <v>39342</v>
      </c>
      <c r="G2406">
        <v>39922</v>
      </c>
    </row>
    <row r="2407" spans="1:7">
      <c r="A2407" t="s">
        <v>1876</v>
      </c>
      <c r="B2407" t="s">
        <v>354</v>
      </c>
      <c r="C2407" t="s">
        <v>225</v>
      </c>
      <c r="D2407">
        <v>1337</v>
      </c>
      <c r="E2407">
        <v>985</v>
      </c>
      <c r="F2407">
        <v>988</v>
      </c>
      <c r="G2407">
        <v>1040</v>
      </c>
    </row>
    <row r="2408" spans="1:7">
      <c r="A2408" t="s">
        <v>1876</v>
      </c>
      <c r="B2408" t="s">
        <v>354</v>
      </c>
      <c r="C2408" t="s">
        <v>226</v>
      </c>
      <c r="D2408">
        <v>14109</v>
      </c>
      <c r="E2408">
        <v>13648</v>
      </c>
      <c r="F2408">
        <v>13272</v>
      </c>
      <c r="G2408">
        <v>13574</v>
      </c>
    </row>
    <row r="2409" spans="1:7">
      <c r="A2409" t="s">
        <v>1876</v>
      </c>
      <c r="B2409" t="s">
        <v>354</v>
      </c>
      <c r="C2409" t="s">
        <v>227</v>
      </c>
      <c r="D2409">
        <v>56277</v>
      </c>
      <c r="E2409">
        <v>55487</v>
      </c>
      <c r="F2409">
        <v>55288</v>
      </c>
      <c r="G2409">
        <v>56292</v>
      </c>
    </row>
    <row r="2410" spans="1:7">
      <c r="A2410" t="s">
        <v>1876</v>
      </c>
      <c r="B2410" t="s">
        <v>354</v>
      </c>
      <c r="C2410" t="s">
        <v>228</v>
      </c>
      <c r="D2410">
        <v>56277</v>
      </c>
      <c r="E2410">
        <v>55487</v>
      </c>
      <c r="F2410">
        <v>55288</v>
      </c>
      <c r="G2410">
        <v>56292</v>
      </c>
    </row>
    <row r="2411" spans="1:7">
      <c r="A2411" t="s">
        <v>1876</v>
      </c>
      <c r="B2411" t="s">
        <v>354</v>
      </c>
      <c r="C2411" t="s">
        <v>229</v>
      </c>
      <c r="D2411">
        <v>65</v>
      </c>
      <c r="E2411">
        <v>67</v>
      </c>
      <c r="F2411">
        <v>50</v>
      </c>
      <c r="G2411">
        <v>49</v>
      </c>
    </row>
    <row r="2412" spans="1:7">
      <c r="A2412" t="s">
        <v>1876</v>
      </c>
      <c r="B2412" t="s">
        <v>354</v>
      </c>
      <c r="C2412" t="s">
        <v>230</v>
      </c>
      <c r="D2412">
        <v>52</v>
      </c>
      <c r="E2412">
        <v>51</v>
      </c>
      <c r="F2412">
        <v>35</v>
      </c>
      <c r="G2412">
        <v>31</v>
      </c>
    </row>
    <row r="2413" spans="1:7">
      <c r="A2413" t="s">
        <v>1876</v>
      </c>
      <c r="B2413" t="s">
        <v>354</v>
      </c>
      <c r="C2413" t="s">
        <v>231</v>
      </c>
      <c r="D2413">
        <v>118</v>
      </c>
      <c r="E2413">
        <v>118</v>
      </c>
      <c r="F2413">
        <v>85</v>
      </c>
      <c r="G2413">
        <v>81</v>
      </c>
    </row>
    <row r="2414" spans="1:7">
      <c r="A2414" t="s">
        <v>1876</v>
      </c>
      <c r="B2414" t="s">
        <v>354</v>
      </c>
      <c r="C2414" t="s">
        <v>232</v>
      </c>
      <c r="D2414">
        <v>118</v>
      </c>
      <c r="E2414">
        <v>118</v>
      </c>
      <c r="F2414">
        <v>85</v>
      </c>
      <c r="G2414">
        <v>81</v>
      </c>
    </row>
    <row r="2415" spans="1:7">
      <c r="A2415" t="s">
        <v>1876</v>
      </c>
      <c r="B2415" t="s">
        <v>354</v>
      </c>
      <c r="C2415" t="s">
        <v>233</v>
      </c>
      <c r="D2415">
        <v>0</v>
      </c>
      <c r="E2415">
        <v>0</v>
      </c>
      <c r="F2415">
        <v>0</v>
      </c>
      <c r="G2415">
        <v>0</v>
      </c>
    </row>
    <row r="2416" spans="1:7">
      <c r="A2416" t="s">
        <v>1876</v>
      </c>
      <c r="B2416" t="s">
        <v>354</v>
      </c>
      <c r="C2416" t="s">
        <v>234</v>
      </c>
      <c r="D2416">
        <v>11742</v>
      </c>
      <c r="E2416">
        <v>11180</v>
      </c>
      <c r="F2416">
        <v>11582</v>
      </c>
      <c r="G2416">
        <v>11632</v>
      </c>
    </row>
    <row r="2417" spans="1:7">
      <c r="A2417" t="s">
        <v>1876</v>
      </c>
      <c r="B2417" t="s">
        <v>354</v>
      </c>
      <c r="C2417" t="s">
        <v>235</v>
      </c>
      <c r="D2417">
        <v>404</v>
      </c>
      <c r="E2417">
        <v>393</v>
      </c>
      <c r="F2417">
        <v>394</v>
      </c>
      <c r="G2417">
        <v>236</v>
      </c>
    </row>
    <row r="2418" spans="1:7">
      <c r="A2418" t="s">
        <v>1876</v>
      </c>
      <c r="B2418" t="s">
        <v>354</v>
      </c>
      <c r="C2418" t="s">
        <v>236</v>
      </c>
      <c r="D2418">
        <v>189</v>
      </c>
      <c r="E2418">
        <v>195</v>
      </c>
      <c r="F2418">
        <v>196</v>
      </c>
      <c r="G2418">
        <v>133</v>
      </c>
    </row>
    <row r="2419" spans="1:7">
      <c r="A2419" t="s">
        <v>1876</v>
      </c>
      <c r="B2419" t="s">
        <v>354</v>
      </c>
      <c r="C2419" t="s">
        <v>237</v>
      </c>
      <c r="D2419">
        <v>12335</v>
      </c>
      <c r="E2419">
        <v>11768</v>
      </c>
      <c r="F2419">
        <v>12172</v>
      </c>
      <c r="G2419">
        <v>12001</v>
      </c>
    </row>
    <row r="2420" spans="1:7">
      <c r="A2420" t="s">
        <v>1876</v>
      </c>
      <c r="B2420" t="s">
        <v>354</v>
      </c>
      <c r="C2420" t="s">
        <v>238</v>
      </c>
      <c r="D2420">
        <v>12335</v>
      </c>
      <c r="E2420">
        <v>11768</v>
      </c>
      <c r="F2420">
        <v>12172</v>
      </c>
      <c r="G2420">
        <v>12001</v>
      </c>
    </row>
    <row r="2421" spans="1:7">
      <c r="A2421" t="s">
        <v>1876</v>
      </c>
      <c r="B2421" t="s">
        <v>354</v>
      </c>
      <c r="C2421" t="s">
        <v>1934</v>
      </c>
      <c r="D2421">
        <v>10878</v>
      </c>
      <c r="E2421">
        <v>10355</v>
      </c>
      <c r="F2421">
        <v>10728</v>
      </c>
      <c r="G2421">
        <v>10777</v>
      </c>
    </row>
    <row r="2422" spans="1:7">
      <c r="A2422" t="s">
        <v>1876</v>
      </c>
      <c r="B2422" t="s">
        <v>354</v>
      </c>
      <c r="C2422" t="s">
        <v>1935</v>
      </c>
      <c r="D2422">
        <v>374</v>
      </c>
      <c r="E2422">
        <v>364</v>
      </c>
      <c r="F2422">
        <v>365</v>
      </c>
      <c r="G2422">
        <v>219</v>
      </c>
    </row>
    <row r="2423" spans="1:7">
      <c r="A2423" t="s">
        <v>1876</v>
      </c>
      <c r="B2423" t="s">
        <v>354</v>
      </c>
      <c r="C2423" t="s">
        <v>1936</v>
      </c>
      <c r="D2423">
        <v>175</v>
      </c>
      <c r="E2423">
        <v>180</v>
      </c>
      <c r="F2423">
        <v>181</v>
      </c>
      <c r="G2423">
        <v>123</v>
      </c>
    </row>
    <row r="2424" spans="1:7">
      <c r="A2424" t="s">
        <v>1876</v>
      </c>
      <c r="B2424" t="s">
        <v>354</v>
      </c>
      <c r="C2424" t="s">
        <v>239</v>
      </c>
      <c r="D2424">
        <v>11428</v>
      </c>
      <c r="E2424">
        <v>10900</v>
      </c>
      <c r="F2424">
        <v>11274</v>
      </c>
      <c r="G2424">
        <v>11119</v>
      </c>
    </row>
    <row r="2425" spans="1:7">
      <c r="A2425" t="s">
        <v>1876</v>
      </c>
      <c r="B2425" t="s">
        <v>354</v>
      </c>
      <c r="C2425" t="s">
        <v>240</v>
      </c>
      <c r="D2425">
        <v>0</v>
      </c>
      <c r="E2425">
        <v>0</v>
      </c>
      <c r="F2425">
        <v>0</v>
      </c>
      <c r="G2425">
        <v>0</v>
      </c>
    </row>
    <row r="2426" spans="1:7">
      <c r="A2426" t="s">
        <v>1876</v>
      </c>
      <c r="B2426" t="s">
        <v>354</v>
      </c>
      <c r="C2426" t="s">
        <v>241</v>
      </c>
      <c r="D2426">
        <v>0</v>
      </c>
      <c r="E2426">
        <v>0</v>
      </c>
      <c r="F2426">
        <v>0</v>
      </c>
      <c r="G2426">
        <v>0</v>
      </c>
    </row>
    <row r="2427" spans="1:7">
      <c r="A2427" t="s">
        <v>1876</v>
      </c>
      <c r="B2427" t="s">
        <v>354</v>
      </c>
      <c r="C2427" t="s">
        <v>242</v>
      </c>
      <c r="D2427">
        <v>1214</v>
      </c>
      <c r="E2427">
        <v>1870</v>
      </c>
      <c r="F2427">
        <v>678</v>
      </c>
      <c r="G2427">
        <v>1773</v>
      </c>
    </row>
    <row r="2428" spans="1:7">
      <c r="A2428" t="s">
        <v>1876</v>
      </c>
      <c r="B2428" t="s">
        <v>354</v>
      </c>
      <c r="C2428" t="s">
        <v>243</v>
      </c>
      <c r="D2428">
        <v>15232</v>
      </c>
      <c r="E2428">
        <v>16015</v>
      </c>
      <c r="F2428">
        <v>14961</v>
      </c>
      <c r="G2428">
        <v>14679</v>
      </c>
    </row>
    <row r="2429" spans="1:7">
      <c r="A2429" t="s">
        <v>1876</v>
      </c>
      <c r="B2429" t="s">
        <v>354</v>
      </c>
      <c r="C2429" t="s">
        <v>244</v>
      </c>
      <c r="D2429">
        <v>0</v>
      </c>
      <c r="E2429">
        <v>0</v>
      </c>
      <c r="F2429">
        <v>0</v>
      </c>
      <c r="G2429">
        <v>0</v>
      </c>
    </row>
    <row r="2430" spans="1:7">
      <c r="A2430" t="s">
        <v>1876</v>
      </c>
      <c r="B2430" t="s">
        <v>354</v>
      </c>
      <c r="C2430" t="s">
        <v>1709</v>
      </c>
      <c r="D2430">
        <v>21</v>
      </c>
      <c r="E2430">
        <v>21</v>
      </c>
      <c r="F2430">
        <v>21</v>
      </c>
      <c r="G2430">
        <v>21</v>
      </c>
    </row>
    <row r="2431" spans="1:7">
      <c r="A2431" t="s">
        <v>1876</v>
      </c>
      <c r="B2431" t="s">
        <v>354</v>
      </c>
      <c r="C2431" t="s">
        <v>245</v>
      </c>
      <c r="D2431">
        <v>0</v>
      </c>
      <c r="E2431">
        <v>0</v>
      </c>
      <c r="F2431">
        <v>0</v>
      </c>
      <c r="G2431">
        <v>0</v>
      </c>
    </row>
    <row r="2432" spans="1:7">
      <c r="A2432" t="s">
        <v>1876</v>
      </c>
      <c r="B2432" t="s">
        <v>354</v>
      </c>
      <c r="C2432" t="s">
        <v>246</v>
      </c>
      <c r="D2432">
        <v>11890</v>
      </c>
      <c r="E2432">
        <v>12288</v>
      </c>
      <c r="F2432">
        <v>10598</v>
      </c>
      <c r="G2432">
        <v>10577</v>
      </c>
    </row>
    <row r="2433" spans="1:7">
      <c r="A2433" t="s">
        <v>1876</v>
      </c>
      <c r="B2433" t="s">
        <v>354</v>
      </c>
      <c r="C2433" t="s">
        <v>247</v>
      </c>
      <c r="D2433">
        <v>28336</v>
      </c>
      <c r="E2433">
        <v>30174</v>
      </c>
      <c r="F2433">
        <v>26236</v>
      </c>
      <c r="G2433">
        <v>27030</v>
      </c>
    </row>
    <row r="2434" spans="1:7">
      <c r="A2434" t="s">
        <v>1876</v>
      </c>
      <c r="B2434" t="s">
        <v>354</v>
      </c>
      <c r="C2434" t="s">
        <v>248</v>
      </c>
      <c r="D2434">
        <v>42.3</v>
      </c>
      <c r="E2434">
        <v>44.7</v>
      </c>
      <c r="F2434">
        <v>38.4</v>
      </c>
      <c r="G2434">
        <v>39.1</v>
      </c>
    </row>
    <row r="2435" spans="1:7">
      <c r="A2435" t="s">
        <v>1876</v>
      </c>
      <c r="B2435" t="s">
        <v>354</v>
      </c>
      <c r="C2435" t="s">
        <v>249</v>
      </c>
      <c r="D2435">
        <v>28336</v>
      </c>
      <c r="E2435">
        <v>30174</v>
      </c>
      <c r="F2435">
        <v>26236</v>
      </c>
      <c r="G2435">
        <v>27030</v>
      </c>
    </row>
    <row r="2436" spans="1:7">
      <c r="A2436" t="s">
        <v>1876</v>
      </c>
      <c r="B2436" t="s">
        <v>354</v>
      </c>
      <c r="C2436" t="s">
        <v>250</v>
      </c>
      <c r="D2436">
        <v>28336</v>
      </c>
      <c r="E2436">
        <v>30174</v>
      </c>
      <c r="F2436">
        <v>26236</v>
      </c>
      <c r="G2436">
        <v>27030</v>
      </c>
    </row>
    <row r="2437" spans="1:7">
      <c r="A2437" t="s">
        <v>1876</v>
      </c>
      <c r="B2437" t="s">
        <v>354</v>
      </c>
      <c r="C2437" t="s">
        <v>1937</v>
      </c>
      <c r="D2437">
        <v>75.5</v>
      </c>
      <c r="E2437">
        <v>44.2</v>
      </c>
      <c r="F2437">
        <v>49.3</v>
      </c>
      <c r="G2437">
        <v>54.9</v>
      </c>
    </row>
    <row r="2438" spans="1:7">
      <c r="A2438" t="s">
        <v>1876</v>
      </c>
      <c r="B2438" t="s">
        <v>354</v>
      </c>
      <c r="C2438" t="s">
        <v>1938</v>
      </c>
      <c r="D2438">
        <v>0</v>
      </c>
      <c r="E2438">
        <v>0</v>
      </c>
      <c r="F2438">
        <v>0</v>
      </c>
      <c r="G2438">
        <v>0</v>
      </c>
    </row>
    <row r="2439" spans="1:7">
      <c r="A2439" t="s">
        <v>1876</v>
      </c>
      <c r="B2439" t="s">
        <v>354</v>
      </c>
      <c r="C2439" t="s">
        <v>251</v>
      </c>
      <c r="D2439">
        <v>0</v>
      </c>
      <c r="E2439">
        <v>0</v>
      </c>
      <c r="F2439">
        <v>0</v>
      </c>
      <c r="G2439">
        <v>0</v>
      </c>
    </row>
    <row r="2440" spans="1:7">
      <c r="A2440" t="s">
        <v>1876</v>
      </c>
      <c r="B2440" t="s">
        <v>354</v>
      </c>
      <c r="C2440" t="s">
        <v>252</v>
      </c>
      <c r="D2440">
        <v>0</v>
      </c>
      <c r="E2440">
        <v>0</v>
      </c>
      <c r="F2440">
        <v>0</v>
      </c>
      <c r="G2440">
        <v>0</v>
      </c>
    </row>
    <row r="2441" spans="1:7">
      <c r="A2441" t="s">
        <v>1876</v>
      </c>
      <c r="B2441" t="s">
        <v>354</v>
      </c>
      <c r="C2441" t="s">
        <v>1710</v>
      </c>
      <c r="D2441">
        <v>0</v>
      </c>
      <c r="E2441">
        <v>0</v>
      </c>
      <c r="F2441">
        <v>0</v>
      </c>
      <c r="G2441">
        <v>0</v>
      </c>
    </row>
    <row r="2442" spans="1:7">
      <c r="A2442" t="s">
        <v>1876</v>
      </c>
      <c r="B2442" t="s">
        <v>354</v>
      </c>
      <c r="C2442" t="s">
        <v>1939</v>
      </c>
      <c r="D2442">
        <v>0</v>
      </c>
      <c r="E2442">
        <v>0</v>
      </c>
      <c r="F2442">
        <v>0</v>
      </c>
      <c r="G2442">
        <v>0</v>
      </c>
    </row>
    <row r="2443" spans="1:7">
      <c r="A2443" t="s">
        <v>1876</v>
      </c>
      <c r="B2443" t="s">
        <v>354</v>
      </c>
      <c r="C2443" t="s">
        <v>253</v>
      </c>
      <c r="D2443">
        <v>0</v>
      </c>
      <c r="E2443">
        <v>0</v>
      </c>
      <c r="F2443">
        <v>0</v>
      </c>
      <c r="G2443">
        <v>0</v>
      </c>
    </row>
    <row r="2444" spans="1:7">
      <c r="A2444" t="s">
        <v>1876</v>
      </c>
      <c r="B2444" t="s">
        <v>354</v>
      </c>
      <c r="C2444" t="s">
        <v>1711</v>
      </c>
      <c r="D2444">
        <v>0</v>
      </c>
      <c r="E2444">
        <v>0</v>
      </c>
      <c r="F2444">
        <v>0</v>
      </c>
      <c r="G2444">
        <v>0</v>
      </c>
    </row>
    <row r="2445" spans="1:7">
      <c r="A2445" t="s">
        <v>1876</v>
      </c>
      <c r="B2445" t="s">
        <v>354</v>
      </c>
      <c r="C2445" t="s">
        <v>1712</v>
      </c>
      <c r="D2445">
        <v>0</v>
      </c>
      <c r="E2445">
        <v>0</v>
      </c>
      <c r="F2445">
        <v>0</v>
      </c>
      <c r="G2445">
        <v>0</v>
      </c>
    </row>
    <row r="2446" spans="1:7">
      <c r="A2446" t="s">
        <v>1876</v>
      </c>
      <c r="B2446" t="s">
        <v>354</v>
      </c>
      <c r="C2446" t="s">
        <v>1713</v>
      </c>
      <c r="D2446">
        <v>33</v>
      </c>
      <c r="E2446">
        <v>31</v>
      </c>
      <c r="F2446">
        <v>46</v>
      </c>
      <c r="G2446">
        <v>51</v>
      </c>
    </row>
    <row r="2447" spans="1:7">
      <c r="A2447" t="s">
        <v>1876</v>
      </c>
      <c r="B2447" t="s">
        <v>354</v>
      </c>
      <c r="C2447" t="s">
        <v>1940</v>
      </c>
      <c r="D2447">
        <v>0</v>
      </c>
      <c r="E2447">
        <v>0</v>
      </c>
      <c r="F2447">
        <v>0</v>
      </c>
      <c r="G2447">
        <v>0</v>
      </c>
    </row>
    <row r="2448" spans="1:7">
      <c r="A2448" t="s">
        <v>1876</v>
      </c>
      <c r="B2448" t="s">
        <v>354</v>
      </c>
      <c r="C2448" t="s">
        <v>1941</v>
      </c>
      <c r="D2448">
        <v>0</v>
      </c>
      <c r="E2448">
        <v>0</v>
      </c>
      <c r="F2448">
        <v>0</v>
      </c>
      <c r="G2448">
        <v>0</v>
      </c>
    </row>
    <row r="2449" spans="1:7">
      <c r="A2449" t="s">
        <v>1876</v>
      </c>
      <c r="B2449" t="s">
        <v>354</v>
      </c>
      <c r="C2449" t="s">
        <v>254</v>
      </c>
      <c r="D2449">
        <v>0</v>
      </c>
      <c r="E2449">
        <v>0</v>
      </c>
      <c r="F2449">
        <v>0</v>
      </c>
      <c r="G2449">
        <v>0</v>
      </c>
    </row>
    <row r="2450" spans="1:7">
      <c r="A2450" t="s">
        <v>1876</v>
      </c>
      <c r="B2450" t="s">
        <v>354</v>
      </c>
      <c r="C2450" t="s">
        <v>1942</v>
      </c>
      <c r="D2450">
        <v>0</v>
      </c>
      <c r="E2450">
        <v>0</v>
      </c>
      <c r="F2450">
        <v>0</v>
      </c>
      <c r="G2450">
        <v>0</v>
      </c>
    </row>
    <row r="2451" spans="1:7">
      <c r="A2451" t="s">
        <v>1876</v>
      </c>
      <c r="B2451" t="s">
        <v>354</v>
      </c>
      <c r="C2451" t="s">
        <v>255</v>
      </c>
      <c r="D2451">
        <v>33</v>
      </c>
      <c r="E2451">
        <v>31</v>
      </c>
      <c r="F2451">
        <v>46</v>
      </c>
      <c r="G2451">
        <v>51</v>
      </c>
    </row>
    <row r="2452" spans="1:7">
      <c r="A2452" t="s">
        <v>1876</v>
      </c>
      <c r="B2452" t="s">
        <v>354</v>
      </c>
      <c r="C2452" t="s">
        <v>256</v>
      </c>
      <c r="D2452">
        <v>33</v>
      </c>
      <c r="E2452">
        <v>31</v>
      </c>
      <c r="F2452">
        <v>46</v>
      </c>
      <c r="G2452">
        <v>51</v>
      </c>
    </row>
    <row r="2453" spans="1:7">
      <c r="A2453" t="s">
        <v>1876</v>
      </c>
      <c r="B2453" t="s">
        <v>354</v>
      </c>
      <c r="C2453" t="s">
        <v>1714</v>
      </c>
      <c r="D2453">
        <v>0</v>
      </c>
      <c r="E2453">
        <v>0</v>
      </c>
      <c r="F2453">
        <v>0</v>
      </c>
      <c r="G2453">
        <v>0</v>
      </c>
    </row>
    <row r="2454" spans="1:7">
      <c r="A2454" t="s">
        <v>1876</v>
      </c>
      <c r="B2454" t="s">
        <v>354</v>
      </c>
      <c r="C2454" t="s">
        <v>257</v>
      </c>
      <c r="D2454">
        <v>3244</v>
      </c>
      <c r="E2454">
        <v>3258</v>
      </c>
      <c r="F2454">
        <v>2355</v>
      </c>
      <c r="G2454">
        <v>2720</v>
      </c>
    </row>
    <row r="2455" spans="1:7">
      <c r="A2455" t="s">
        <v>1876</v>
      </c>
      <c r="B2455" t="s">
        <v>354</v>
      </c>
      <c r="C2455" t="s">
        <v>258</v>
      </c>
      <c r="D2455">
        <v>3342</v>
      </c>
      <c r="E2455">
        <v>3356</v>
      </c>
      <c r="F2455">
        <v>2451</v>
      </c>
      <c r="G2455">
        <v>2820</v>
      </c>
    </row>
    <row r="2456" spans="1:7">
      <c r="A2456" t="s">
        <v>1876</v>
      </c>
      <c r="B2456" t="s">
        <v>354</v>
      </c>
      <c r="C2456" t="s">
        <v>259</v>
      </c>
      <c r="D2456">
        <v>3342</v>
      </c>
      <c r="E2456">
        <v>3356</v>
      </c>
      <c r="F2456">
        <v>2451</v>
      </c>
      <c r="G2456">
        <v>2820</v>
      </c>
    </row>
    <row r="2457" spans="1:7">
      <c r="A2457" t="s">
        <v>1876</v>
      </c>
      <c r="B2457" t="s">
        <v>354</v>
      </c>
      <c r="C2457" t="s">
        <v>260</v>
      </c>
      <c r="D2457">
        <v>14156</v>
      </c>
      <c r="E2457">
        <v>13633</v>
      </c>
      <c r="F2457">
        <v>14009</v>
      </c>
      <c r="G2457">
        <v>14115</v>
      </c>
    </row>
    <row r="2458" spans="1:7">
      <c r="A2458" t="s">
        <v>1876</v>
      </c>
      <c r="B2458" t="s">
        <v>354</v>
      </c>
      <c r="C2458" t="s">
        <v>1943</v>
      </c>
      <c r="D2458">
        <v>0</v>
      </c>
      <c r="E2458">
        <v>0</v>
      </c>
      <c r="F2458">
        <v>0</v>
      </c>
      <c r="G2458">
        <v>0</v>
      </c>
    </row>
    <row r="2459" spans="1:7">
      <c r="A2459" t="s">
        <v>1876</v>
      </c>
      <c r="B2459" t="s">
        <v>354</v>
      </c>
      <c r="C2459" t="s">
        <v>261</v>
      </c>
      <c r="D2459">
        <v>1022</v>
      </c>
      <c r="E2459">
        <v>1026</v>
      </c>
      <c r="F2459">
        <v>989</v>
      </c>
      <c r="G2459">
        <v>946</v>
      </c>
    </row>
    <row r="2460" spans="1:7">
      <c r="A2460" t="s">
        <v>1876</v>
      </c>
      <c r="B2460" t="s">
        <v>354</v>
      </c>
      <c r="C2460" t="s">
        <v>262</v>
      </c>
      <c r="D2460">
        <v>0</v>
      </c>
      <c r="E2460">
        <v>0</v>
      </c>
      <c r="F2460">
        <v>0</v>
      </c>
      <c r="G2460">
        <v>0</v>
      </c>
    </row>
    <row r="2461" spans="1:7">
      <c r="A2461" t="s">
        <v>1876</v>
      </c>
      <c r="B2461" t="s">
        <v>354</v>
      </c>
      <c r="C2461" t="s">
        <v>1715</v>
      </c>
      <c r="D2461">
        <v>0</v>
      </c>
      <c r="E2461">
        <v>0</v>
      </c>
      <c r="F2461">
        <v>0</v>
      </c>
      <c r="G2461">
        <v>0</v>
      </c>
    </row>
    <row r="2462" spans="1:7">
      <c r="A2462" t="s">
        <v>1876</v>
      </c>
      <c r="B2462" t="s">
        <v>354</v>
      </c>
      <c r="C2462" t="s">
        <v>263</v>
      </c>
      <c r="D2462">
        <v>3602</v>
      </c>
      <c r="E2462">
        <v>3618</v>
      </c>
      <c r="F2462">
        <v>2697</v>
      </c>
      <c r="G2462">
        <v>2979</v>
      </c>
    </row>
    <row r="2463" spans="1:7">
      <c r="A2463" t="s">
        <v>1876</v>
      </c>
      <c r="B2463" t="s">
        <v>354</v>
      </c>
      <c r="C2463" t="s">
        <v>264</v>
      </c>
      <c r="D2463">
        <v>622</v>
      </c>
      <c r="E2463">
        <v>646</v>
      </c>
      <c r="F2463">
        <v>610</v>
      </c>
      <c r="G2463">
        <v>701</v>
      </c>
    </row>
    <row r="2464" spans="1:7">
      <c r="A2464" t="s">
        <v>1876</v>
      </c>
      <c r="B2464" t="s">
        <v>354</v>
      </c>
      <c r="C2464" t="s">
        <v>265</v>
      </c>
      <c r="D2464">
        <v>19402</v>
      </c>
      <c r="E2464">
        <v>18923</v>
      </c>
      <c r="F2464">
        <v>18305</v>
      </c>
      <c r="G2464">
        <v>18740</v>
      </c>
    </row>
    <row r="2465" spans="1:7">
      <c r="A2465" t="s">
        <v>1876</v>
      </c>
      <c r="B2465" t="s">
        <v>354</v>
      </c>
      <c r="C2465" t="s">
        <v>266</v>
      </c>
      <c r="D2465">
        <v>29</v>
      </c>
      <c r="E2465">
        <v>28.1</v>
      </c>
      <c r="F2465">
        <v>26.8</v>
      </c>
      <c r="G2465">
        <v>27.1</v>
      </c>
    </row>
    <row r="2466" spans="1:7">
      <c r="A2466" t="s">
        <v>1876</v>
      </c>
      <c r="B2466" t="s">
        <v>354</v>
      </c>
      <c r="C2466" t="s">
        <v>267</v>
      </c>
      <c r="D2466">
        <v>19402</v>
      </c>
      <c r="E2466">
        <v>18923</v>
      </c>
      <c r="F2466">
        <v>18305</v>
      </c>
      <c r="G2466">
        <v>18740</v>
      </c>
    </row>
    <row r="2467" spans="1:7">
      <c r="A2467" t="s">
        <v>1876</v>
      </c>
      <c r="B2467" t="s">
        <v>354</v>
      </c>
      <c r="C2467" t="s">
        <v>268</v>
      </c>
      <c r="D2467">
        <v>0</v>
      </c>
      <c r="E2467">
        <v>0</v>
      </c>
      <c r="F2467">
        <v>0</v>
      </c>
      <c r="G2467">
        <v>0</v>
      </c>
    </row>
    <row r="2468" spans="1:7">
      <c r="A2468" t="s">
        <v>1876</v>
      </c>
      <c r="B2468" t="s">
        <v>354</v>
      </c>
      <c r="C2468" t="s">
        <v>269</v>
      </c>
      <c r="D2468">
        <v>0</v>
      </c>
      <c r="E2468">
        <v>0</v>
      </c>
      <c r="F2468">
        <v>0</v>
      </c>
      <c r="G2468">
        <v>0</v>
      </c>
    </row>
    <row r="2469" spans="1:7">
      <c r="A2469" t="s">
        <v>1876</v>
      </c>
      <c r="B2469" t="s">
        <v>354</v>
      </c>
      <c r="C2469" t="s">
        <v>270</v>
      </c>
      <c r="D2469">
        <v>0</v>
      </c>
      <c r="E2469">
        <v>0</v>
      </c>
      <c r="F2469">
        <v>0</v>
      </c>
      <c r="G2469">
        <v>0</v>
      </c>
    </row>
    <row r="2470" spans="1:7">
      <c r="A2470" t="s">
        <v>1876</v>
      </c>
      <c r="B2470" t="s">
        <v>354</v>
      </c>
      <c r="C2470" t="s">
        <v>271</v>
      </c>
      <c r="D2470">
        <v>0</v>
      </c>
      <c r="E2470">
        <v>0</v>
      </c>
      <c r="F2470">
        <v>0</v>
      </c>
      <c r="G2470">
        <v>0</v>
      </c>
    </row>
    <row r="2471" spans="1:7">
      <c r="A2471" t="s">
        <v>1876</v>
      </c>
      <c r="B2471" t="s">
        <v>354</v>
      </c>
      <c r="C2471" t="s">
        <v>272</v>
      </c>
      <c r="D2471">
        <v>0</v>
      </c>
      <c r="E2471">
        <v>0</v>
      </c>
      <c r="F2471">
        <v>0</v>
      </c>
      <c r="G2471">
        <v>0</v>
      </c>
    </row>
    <row r="2472" spans="1:7">
      <c r="A2472" t="s">
        <v>1876</v>
      </c>
      <c r="B2472" t="s">
        <v>354</v>
      </c>
      <c r="C2472" t="s">
        <v>1944</v>
      </c>
      <c r="D2472">
        <v>2.4</v>
      </c>
      <c r="E2472">
        <v>3</v>
      </c>
      <c r="F2472">
        <v>3.3</v>
      </c>
      <c r="G2472">
        <v>4.0999999999999996</v>
      </c>
    </row>
    <row r="2473" spans="1:7">
      <c r="A2473" t="s">
        <v>1876</v>
      </c>
      <c r="B2473" t="s">
        <v>354</v>
      </c>
      <c r="C2473" t="s">
        <v>1945</v>
      </c>
      <c r="D2473">
        <v>4</v>
      </c>
      <c r="E2473">
        <v>5</v>
      </c>
      <c r="F2473">
        <v>9</v>
      </c>
      <c r="G2473">
        <v>10</v>
      </c>
    </row>
    <row r="2474" spans="1:7">
      <c r="A2474" t="s">
        <v>1876</v>
      </c>
      <c r="B2474" t="s">
        <v>354</v>
      </c>
      <c r="C2474" t="s">
        <v>273</v>
      </c>
      <c r="D2474">
        <v>0</v>
      </c>
      <c r="E2474">
        <v>0</v>
      </c>
      <c r="F2474">
        <v>0</v>
      </c>
      <c r="G2474">
        <v>0</v>
      </c>
    </row>
    <row r="2475" spans="1:7">
      <c r="A2475" t="s">
        <v>1876</v>
      </c>
      <c r="B2475" t="s">
        <v>354</v>
      </c>
      <c r="C2475" t="s">
        <v>1946</v>
      </c>
      <c r="D2475">
        <v>13235</v>
      </c>
      <c r="E2475">
        <v>12754</v>
      </c>
      <c r="F2475">
        <v>13081</v>
      </c>
      <c r="G2475">
        <v>13182</v>
      </c>
    </row>
    <row r="2476" spans="1:7">
      <c r="A2476" t="s">
        <v>1876</v>
      </c>
      <c r="B2476" t="s">
        <v>354</v>
      </c>
      <c r="C2476" t="s">
        <v>1947</v>
      </c>
      <c r="D2476">
        <v>992</v>
      </c>
      <c r="E2476">
        <v>997</v>
      </c>
      <c r="F2476">
        <v>960</v>
      </c>
      <c r="G2476">
        <v>929</v>
      </c>
    </row>
    <row r="2477" spans="1:7">
      <c r="A2477" t="s">
        <v>1876</v>
      </c>
      <c r="B2477" t="s">
        <v>354</v>
      </c>
      <c r="C2477" t="s">
        <v>1948</v>
      </c>
      <c r="D2477">
        <v>0</v>
      </c>
      <c r="E2477">
        <v>0</v>
      </c>
      <c r="F2477">
        <v>0</v>
      </c>
      <c r="G2477">
        <v>0</v>
      </c>
    </row>
    <row r="2478" spans="1:7">
      <c r="A2478" t="s">
        <v>1876</v>
      </c>
      <c r="B2478" t="s">
        <v>354</v>
      </c>
      <c r="C2478" t="s">
        <v>1949</v>
      </c>
      <c r="D2478">
        <v>3588</v>
      </c>
      <c r="E2478">
        <v>3604</v>
      </c>
      <c r="F2478">
        <v>2683</v>
      </c>
      <c r="G2478">
        <v>2969</v>
      </c>
    </row>
    <row r="2479" spans="1:7">
      <c r="A2479" t="s">
        <v>1876</v>
      </c>
      <c r="B2479" t="s">
        <v>354</v>
      </c>
      <c r="C2479" t="s">
        <v>1950</v>
      </c>
      <c r="D2479">
        <v>622</v>
      </c>
      <c r="E2479">
        <v>646</v>
      </c>
      <c r="F2479">
        <v>610</v>
      </c>
      <c r="G2479">
        <v>701</v>
      </c>
    </row>
    <row r="2480" spans="1:7">
      <c r="A2480" t="s">
        <v>1876</v>
      </c>
      <c r="B2480" t="s">
        <v>354</v>
      </c>
      <c r="C2480" t="s">
        <v>274</v>
      </c>
      <c r="D2480">
        <v>18438</v>
      </c>
      <c r="E2480">
        <v>18001</v>
      </c>
      <c r="F2480">
        <v>17334</v>
      </c>
      <c r="G2480">
        <v>17780</v>
      </c>
    </row>
    <row r="2481" spans="1:7">
      <c r="A2481" t="s">
        <v>1876</v>
      </c>
      <c r="B2481" t="s">
        <v>354</v>
      </c>
      <c r="C2481" t="s">
        <v>275</v>
      </c>
      <c r="D2481">
        <v>0</v>
      </c>
      <c r="E2481">
        <v>0</v>
      </c>
      <c r="F2481">
        <v>0</v>
      </c>
      <c r="G2481">
        <v>0</v>
      </c>
    </row>
    <row r="2482" spans="1:7">
      <c r="A2482" t="s">
        <v>1876</v>
      </c>
      <c r="B2482" t="s">
        <v>354</v>
      </c>
      <c r="C2482" t="s">
        <v>276</v>
      </c>
      <c r="D2482">
        <v>0</v>
      </c>
      <c r="E2482">
        <v>0</v>
      </c>
      <c r="F2482">
        <v>0</v>
      </c>
      <c r="G2482">
        <v>0</v>
      </c>
    </row>
    <row r="2483" spans="1:7">
      <c r="A2483" t="s">
        <v>1876</v>
      </c>
      <c r="B2483" t="s">
        <v>354</v>
      </c>
      <c r="C2483" t="s">
        <v>277</v>
      </c>
      <c r="D2483">
        <v>1</v>
      </c>
      <c r="E2483">
        <v>2</v>
      </c>
      <c r="F2483">
        <v>0</v>
      </c>
      <c r="G2483">
        <v>0</v>
      </c>
    </row>
    <row r="2484" spans="1:7">
      <c r="A2484" t="s">
        <v>1876</v>
      </c>
      <c r="B2484" t="s">
        <v>354</v>
      </c>
      <c r="C2484" t="s">
        <v>278</v>
      </c>
      <c r="D2484">
        <v>14</v>
      </c>
      <c r="E2484">
        <v>12</v>
      </c>
      <c r="F2484">
        <v>4</v>
      </c>
      <c r="G2484">
        <v>7</v>
      </c>
    </row>
    <row r="2485" spans="1:7">
      <c r="A2485" t="s">
        <v>1876</v>
      </c>
      <c r="B2485" t="s">
        <v>354</v>
      </c>
      <c r="C2485" t="s">
        <v>279</v>
      </c>
      <c r="D2485">
        <v>50</v>
      </c>
      <c r="E2485">
        <v>45</v>
      </c>
      <c r="F2485">
        <v>29</v>
      </c>
      <c r="G2485">
        <v>12</v>
      </c>
    </row>
    <row r="2486" spans="1:7">
      <c r="A2486" t="s">
        <v>1876</v>
      </c>
      <c r="B2486" t="s">
        <v>354</v>
      </c>
      <c r="C2486" t="s">
        <v>280</v>
      </c>
      <c r="D2486">
        <v>40</v>
      </c>
      <c r="E2486">
        <v>40</v>
      </c>
      <c r="F2486">
        <v>34</v>
      </c>
      <c r="G2486">
        <v>30</v>
      </c>
    </row>
    <row r="2487" spans="1:7">
      <c r="A2487" t="s">
        <v>1876</v>
      </c>
      <c r="B2487" t="s">
        <v>354</v>
      </c>
      <c r="C2487" t="s">
        <v>281</v>
      </c>
      <c r="D2487">
        <v>104</v>
      </c>
      <c r="E2487">
        <v>99</v>
      </c>
      <c r="F2487">
        <v>68</v>
      </c>
      <c r="G2487">
        <v>48</v>
      </c>
    </row>
    <row r="2488" spans="1:7">
      <c r="A2488" t="s">
        <v>1876</v>
      </c>
      <c r="B2488" t="s">
        <v>354</v>
      </c>
      <c r="C2488" t="s">
        <v>282</v>
      </c>
      <c r="D2488">
        <v>104</v>
      </c>
      <c r="E2488">
        <v>99</v>
      </c>
      <c r="F2488">
        <v>68</v>
      </c>
      <c r="G2488">
        <v>48</v>
      </c>
    </row>
    <row r="2489" spans="1:7">
      <c r="A2489" t="s">
        <v>1876</v>
      </c>
      <c r="B2489" t="s">
        <v>354</v>
      </c>
      <c r="C2489" t="s">
        <v>283</v>
      </c>
      <c r="D2489">
        <v>0</v>
      </c>
      <c r="E2489">
        <v>0</v>
      </c>
      <c r="F2489">
        <v>0</v>
      </c>
      <c r="G2489">
        <v>0</v>
      </c>
    </row>
    <row r="2490" spans="1:7">
      <c r="A2490" t="s">
        <v>1876</v>
      </c>
      <c r="B2490" t="s">
        <v>354</v>
      </c>
      <c r="C2490" t="s">
        <v>284</v>
      </c>
      <c r="D2490">
        <v>0</v>
      </c>
      <c r="E2490">
        <v>0</v>
      </c>
      <c r="F2490">
        <v>0</v>
      </c>
      <c r="G2490">
        <v>0</v>
      </c>
    </row>
    <row r="2491" spans="1:7">
      <c r="A2491" t="s">
        <v>1876</v>
      </c>
      <c r="B2491" t="s">
        <v>354</v>
      </c>
      <c r="C2491" t="s">
        <v>1716</v>
      </c>
      <c r="D2491">
        <v>920</v>
      </c>
      <c r="E2491">
        <v>879</v>
      </c>
      <c r="F2491">
        <v>927</v>
      </c>
      <c r="G2491">
        <v>933</v>
      </c>
    </row>
    <row r="2492" spans="1:7">
      <c r="A2492" t="s">
        <v>1876</v>
      </c>
      <c r="B2492" t="s">
        <v>354</v>
      </c>
      <c r="C2492" t="s">
        <v>1717</v>
      </c>
      <c r="D2492">
        <v>1172</v>
      </c>
      <c r="E2492">
        <v>1263</v>
      </c>
      <c r="F2492">
        <v>1298</v>
      </c>
      <c r="G2492">
        <v>1224</v>
      </c>
    </row>
    <row r="2493" spans="1:7">
      <c r="A2493" t="s">
        <v>1876</v>
      </c>
      <c r="B2493" t="s">
        <v>354</v>
      </c>
      <c r="C2493" t="s">
        <v>1718</v>
      </c>
      <c r="D2493">
        <v>62</v>
      </c>
      <c r="E2493">
        <v>76</v>
      </c>
      <c r="F2493">
        <v>84</v>
      </c>
      <c r="G2493">
        <v>108</v>
      </c>
    </row>
    <row r="2494" spans="1:7">
      <c r="A2494" t="s">
        <v>1876</v>
      </c>
      <c r="B2494" t="s">
        <v>354</v>
      </c>
      <c r="C2494" t="s">
        <v>1719</v>
      </c>
      <c r="D2494">
        <v>27</v>
      </c>
      <c r="E2494">
        <v>31</v>
      </c>
      <c r="F2494">
        <v>32</v>
      </c>
      <c r="G2494">
        <v>41</v>
      </c>
    </row>
    <row r="2495" spans="1:7">
      <c r="A2495" t="s">
        <v>1876</v>
      </c>
      <c r="B2495" t="s">
        <v>354</v>
      </c>
      <c r="C2495" t="s">
        <v>1720</v>
      </c>
      <c r="D2495">
        <v>14</v>
      </c>
      <c r="E2495">
        <v>14</v>
      </c>
      <c r="F2495">
        <v>14</v>
      </c>
      <c r="G2495">
        <v>10</v>
      </c>
    </row>
    <row r="2496" spans="1:7">
      <c r="A2496" t="s">
        <v>1876</v>
      </c>
      <c r="B2496" t="s">
        <v>354</v>
      </c>
      <c r="C2496" t="s">
        <v>1721</v>
      </c>
      <c r="D2496">
        <v>319</v>
      </c>
      <c r="E2496">
        <v>391</v>
      </c>
      <c r="F2496">
        <v>472</v>
      </c>
      <c r="G2496">
        <v>593</v>
      </c>
    </row>
    <row r="2497" spans="1:7">
      <c r="A2497" t="s">
        <v>1876</v>
      </c>
      <c r="B2497" t="s">
        <v>354</v>
      </c>
      <c r="C2497" t="s">
        <v>285</v>
      </c>
      <c r="D2497">
        <v>2487</v>
      </c>
      <c r="E2497">
        <v>2622</v>
      </c>
      <c r="F2497">
        <v>2796</v>
      </c>
      <c r="G2497">
        <v>2867</v>
      </c>
    </row>
    <row r="2498" spans="1:7">
      <c r="A2498" t="s">
        <v>1876</v>
      </c>
      <c r="B2498" t="s">
        <v>354</v>
      </c>
      <c r="C2498" t="s">
        <v>1951</v>
      </c>
      <c r="D2498">
        <v>1.8</v>
      </c>
      <c r="E2498">
        <v>1.9</v>
      </c>
      <c r="F2498">
        <v>2.1</v>
      </c>
      <c r="G2498">
        <v>2.1</v>
      </c>
    </row>
    <row r="2499" spans="1:7">
      <c r="A2499" t="s">
        <v>1876</v>
      </c>
      <c r="B2499" t="s">
        <v>354</v>
      </c>
      <c r="C2499" t="s">
        <v>286</v>
      </c>
      <c r="D2499">
        <v>0</v>
      </c>
      <c r="E2499">
        <v>0</v>
      </c>
      <c r="F2499">
        <v>0</v>
      </c>
      <c r="G2499">
        <v>0</v>
      </c>
    </row>
    <row r="2500" spans="1:7">
      <c r="A2500" t="s">
        <v>1876</v>
      </c>
      <c r="B2500" t="s">
        <v>354</v>
      </c>
      <c r="C2500" t="s">
        <v>287</v>
      </c>
      <c r="D2500">
        <v>0</v>
      </c>
      <c r="E2500">
        <v>0</v>
      </c>
      <c r="F2500">
        <v>0</v>
      </c>
      <c r="G2500">
        <v>0</v>
      </c>
    </row>
    <row r="2501" spans="1:7">
      <c r="A2501" t="s">
        <v>1876</v>
      </c>
      <c r="B2501" t="s">
        <v>354</v>
      </c>
      <c r="C2501" t="s">
        <v>288</v>
      </c>
      <c r="D2501">
        <v>0</v>
      </c>
      <c r="E2501">
        <v>0</v>
      </c>
      <c r="F2501">
        <v>0</v>
      </c>
      <c r="G2501">
        <v>0</v>
      </c>
    </row>
    <row r="2502" spans="1:7">
      <c r="A2502" t="s">
        <v>1876</v>
      </c>
      <c r="B2502" t="s">
        <v>354</v>
      </c>
      <c r="C2502" t="s">
        <v>289</v>
      </c>
      <c r="D2502">
        <v>0</v>
      </c>
      <c r="E2502">
        <v>0</v>
      </c>
      <c r="F2502">
        <v>0</v>
      </c>
      <c r="G2502">
        <v>0</v>
      </c>
    </row>
    <row r="2503" spans="1:7">
      <c r="A2503" t="s">
        <v>1876</v>
      </c>
      <c r="B2503" t="s">
        <v>354</v>
      </c>
      <c r="C2503" t="s">
        <v>290</v>
      </c>
      <c r="D2503">
        <v>0</v>
      </c>
      <c r="E2503">
        <v>0</v>
      </c>
      <c r="F2503">
        <v>0</v>
      </c>
      <c r="G2503">
        <v>0</v>
      </c>
    </row>
    <row r="2504" spans="1:7">
      <c r="A2504" t="s">
        <v>1876</v>
      </c>
      <c r="B2504" t="s">
        <v>354</v>
      </c>
      <c r="C2504" t="s">
        <v>291</v>
      </c>
      <c r="D2504">
        <v>0</v>
      </c>
      <c r="E2504">
        <v>0</v>
      </c>
      <c r="F2504">
        <v>0</v>
      </c>
      <c r="G2504">
        <v>0</v>
      </c>
    </row>
    <row r="2505" spans="1:7">
      <c r="A2505" t="s">
        <v>1876</v>
      </c>
      <c r="B2505" t="s">
        <v>354</v>
      </c>
      <c r="C2505" t="s">
        <v>292</v>
      </c>
      <c r="D2505">
        <v>0</v>
      </c>
      <c r="E2505">
        <v>0</v>
      </c>
      <c r="F2505">
        <v>0</v>
      </c>
      <c r="G2505">
        <v>0</v>
      </c>
    </row>
    <row r="2506" spans="1:7">
      <c r="A2506" t="s">
        <v>1876</v>
      </c>
      <c r="B2506" t="s">
        <v>354</v>
      </c>
      <c r="C2506" t="s">
        <v>293</v>
      </c>
      <c r="D2506">
        <v>0</v>
      </c>
      <c r="E2506">
        <v>0</v>
      </c>
      <c r="F2506">
        <v>0</v>
      </c>
      <c r="G2506">
        <v>0</v>
      </c>
    </row>
    <row r="2507" spans="1:7">
      <c r="A2507" t="s">
        <v>1876</v>
      </c>
      <c r="B2507" t="s">
        <v>354</v>
      </c>
      <c r="C2507" t="s">
        <v>294</v>
      </c>
      <c r="D2507">
        <v>0</v>
      </c>
      <c r="E2507">
        <v>0</v>
      </c>
      <c r="F2507">
        <v>0</v>
      </c>
      <c r="G2507">
        <v>0</v>
      </c>
    </row>
    <row r="2508" spans="1:7">
      <c r="A2508" t="s">
        <v>1876</v>
      </c>
      <c r="B2508" t="s">
        <v>354</v>
      </c>
      <c r="C2508" t="s">
        <v>295</v>
      </c>
      <c r="D2508">
        <v>0</v>
      </c>
      <c r="E2508">
        <v>0</v>
      </c>
      <c r="F2508">
        <v>0</v>
      </c>
      <c r="G2508">
        <v>0</v>
      </c>
    </row>
    <row r="2509" spans="1:7">
      <c r="A2509" t="s">
        <v>1876</v>
      </c>
      <c r="B2509" t="s">
        <v>354</v>
      </c>
      <c r="C2509" t="s">
        <v>296</v>
      </c>
      <c r="D2509">
        <v>0</v>
      </c>
      <c r="E2509">
        <v>0</v>
      </c>
      <c r="F2509">
        <v>0</v>
      </c>
      <c r="G2509">
        <v>0</v>
      </c>
    </row>
    <row r="2510" spans="1:7">
      <c r="A2510" t="s">
        <v>1876</v>
      </c>
      <c r="B2510" t="s">
        <v>354</v>
      </c>
      <c r="C2510" t="s">
        <v>297</v>
      </c>
      <c r="D2510">
        <v>0</v>
      </c>
      <c r="E2510">
        <v>0</v>
      </c>
      <c r="F2510">
        <v>0</v>
      </c>
      <c r="G2510">
        <v>0</v>
      </c>
    </row>
    <row r="2511" spans="1:7">
      <c r="A2511" t="s">
        <v>1876</v>
      </c>
      <c r="B2511" t="s">
        <v>354</v>
      </c>
      <c r="C2511" t="s">
        <v>1952</v>
      </c>
      <c r="D2511">
        <v>0</v>
      </c>
      <c r="E2511">
        <v>0</v>
      </c>
      <c r="F2511">
        <v>0</v>
      </c>
      <c r="G2511">
        <v>0</v>
      </c>
    </row>
    <row r="2512" spans="1:7">
      <c r="A2512" t="s">
        <v>1876</v>
      </c>
      <c r="B2512" t="s">
        <v>354</v>
      </c>
      <c r="C2512" t="s">
        <v>298</v>
      </c>
      <c r="D2512">
        <v>0</v>
      </c>
      <c r="E2512">
        <v>0</v>
      </c>
      <c r="F2512">
        <v>0</v>
      </c>
      <c r="G2512">
        <v>0</v>
      </c>
    </row>
    <row r="2513" spans="1:7">
      <c r="A2513" t="s">
        <v>1876</v>
      </c>
      <c r="B2513" t="s">
        <v>354</v>
      </c>
      <c r="C2513" t="s">
        <v>299</v>
      </c>
      <c r="D2513">
        <v>209</v>
      </c>
      <c r="E2513">
        <v>232</v>
      </c>
      <c r="F2513">
        <v>255</v>
      </c>
      <c r="G2513">
        <v>307</v>
      </c>
    </row>
    <row r="2514" spans="1:7">
      <c r="A2514" t="s">
        <v>1876</v>
      </c>
      <c r="B2514" t="s">
        <v>354</v>
      </c>
      <c r="C2514" t="s">
        <v>300</v>
      </c>
      <c r="D2514">
        <v>62</v>
      </c>
      <c r="E2514">
        <v>76</v>
      </c>
      <c r="F2514">
        <v>84</v>
      </c>
      <c r="G2514">
        <v>108</v>
      </c>
    </row>
    <row r="2515" spans="1:7">
      <c r="A2515" t="s">
        <v>1876</v>
      </c>
      <c r="B2515" t="s">
        <v>354</v>
      </c>
      <c r="C2515" t="s">
        <v>1722</v>
      </c>
      <c r="D2515">
        <v>15</v>
      </c>
      <c r="E2515">
        <v>19</v>
      </c>
      <c r="F2515">
        <v>20</v>
      </c>
      <c r="G2515">
        <v>29</v>
      </c>
    </row>
    <row r="2516" spans="1:7">
      <c r="A2516" t="s">
        <v>1876</v>
      </c>
      <c r="B2516" t="s">
        <v>354</v>
      </c>
      <c r="C2516" t="s">
        <v>301</v>
      </c>
      <c r="D2516">
        <v>0</v>
      </c>
      <c r="E2516">
        <v>0</v>
      </c>
      <c r="F2516">
        <v>0</v>
      </c>
      <c r="G2516">
        <v>0</v>
      </c>
    </row>
    <row r="2517" spans="1:7">
      <c r="A2517" t="s">
        <v>1876</v>
      </c>
      <c r="B2517" t="s">
        <v>354</v>
      </c>
      <c r="C2517" t="s">
        <v>302</v>
      </c>
      <c r="D2517">
        <v>297</v>
      </c>
      <c r="E2517">
        <v>369</v>
      </c>
      <c r="F2517">
        <v>451</v>
      </c>
      <c r="G2517">
        <v>571</v>
      </c>
    </row>
    <row r="2518" spans="1:7">
      <c r="A2518" t="s">
        <v>1876</v>
      </c>
      <c r="B2518" t="s">
        <v>354</v>
      </c>
      <c r="C2518" t="s">
        <v>303</v>
      </c>
      <c r="D2518">
        <v>568</v>
      </c>
      <c r="E2518">
        <v>678</v>
      </c>
      <c r="F2518">
        <v>789</v>
      </c>
      <c r="G2518">
        <v>986</v>
      </c>
    </row>
    <row r="2519" spans="1:7">
      <c r="A2519" t="s">
        <v>1876</v>
      </c>
      <c r="B2519" t="s">
        <v>354</v>
      </c>
      <c r="C2519" t="s">
        <v>304</v>
      </c>
      <c r="D2519">
        <v>506</v>
      </c>
      <c r="E2519">
        <v>602</v>
      </c>
      <c r="F2519">
        <v>706</v>
      </c>
      <c r="G2519">
        <v>878</v>
      </c>
    </row>
    <row r="2520" spans="1:7">
      <c r="A2520" t="s">
        <v>1876</v>
      </c>
      <c r="B2520" t="s">
        <v>354</v>
      </c>
      <c r="C2520" t="s">
        <v>1953</v>
      </c>
      <c r="D2520">
        <v>16.100000000000001</v>
      </c>
      <c r="E2520">
        <v>14</v>
      </c>
      <c r="F2520">
        <v>14.9</v>
      </c>
      <c r="G2520">
        <v>14</v>
      </c>
    </row>
    <row r="2521" spans="1:7">
      <c r="A2521" t="s">
        <v>1876</v>
      </c>
      <c r="B2521" t="s">
        <v>354</v>
      </c>
      <c r="C2521" t="s">
        <v>305</v>
      </c>
      <c r="D2521">
        <v>17817</v>
      </c>
      <c r="E2521">
        <v>17716</v>
      </c>
      <c r="F2521">
        <v>17401</v>
      </c>
      <c r="G2521">
        <v>18723</v>
      </c>
    </row>
    <row r="2522" spans="1:7">
      <c r="A2522" t="s">
        <v>1876</v>
      </c>
      <c r="B2522" t="s">
        <v>354</v>
      </c>
      <c r="C2522" t="s">
        <v>306</v>
      </c>
      <c r="D2522">
        <v>26.6</v>
      </c>
      <c r="E2522">
        <v>26.3</v>
      </c>
      <c r="F2522">
        <v>25.5</v>
      </c>
      <c r="G2522">
        <v>27.1</v>
      </c>
    </row>
    <row r="2523" spans="1:7">
      <c r="A2523" t="s">
        <v>1876</v>
      </c>
      <c r="B2523" t="s">
        <v>354</v>
      </c>
      <c r="C2523" t="s">
        <v>307</v>
      </c>
      <c r="D2523">
        <v>80742</v>
      </c>
      <c r="E2523">
        <v>82645</v>
      </c>
      <c r="F2523">
        <v>80548</v>
      </c>
      <c r="G2523">
        <v>81297</v>
      </c>
    </row>
    <row r="2524" spans="1:7">
      <c r="A2524" t="s">
        <v>1876</v>
      </c>
      <c r="B2524" t="s">
        <v>354</v>
      </c>
      <c r="C2524" t="s">
        <v>308</v>
      </c>
      <c r="D2524">
        <v>120.6</v>
      </c>
      <c r="E2524">
        <v>122.5</v>
      </c>
      <c r="F2524">
        <v>118</v>
      </c>
      <c r="G2524">
        <v>117.6</v>
      </c>
    </row>
    <row r="2525" spans="1:7">
      <c r="A2525" t="s">
        <v>1876</v>
      </c>
      <c r="B2525" t="s">
        <v>354</v>
      </c>
      <c r="C2525" t="s">
        <v>309</v>
      </c>
      <c r="D2525">
        <v>62</v>
      </c>
      <c r="E2525">
        <v>76</v>
      </c>
      <c r="F2525">
        <v>84</v>
      </c>
      <c r="G2525">
        <v>108</v>
      </c>
    </row>
    <row r="2526" spans="1:7">
      <c r="A2526" t="s">
        <v>1876</v>
      </c>
      <c r="B2526" t="s">
        <v>354</v>
      </c>
      <c r="C2526" t="s">
        <v>310</v>
      </c>
      <c r="D2526">
        <v>5756</v>
      </c>
      <c r="E2526">
        <v>5222</v>
      </c>
      <c r="F2526">
        <v>4287</v>
      </c>
      <c r="G2526">
        <v>4659</v>
      </c>
    </row>
    <row r="2527" spans="1:7">
      <c r="A2527" t="s">
        <v>1876</v>
      </c>
      <c r="B2527" t="s">
        <v>354</v>
      </c>
      <c r="C2527" t="s">
        <v>311</v>
      </c>
      <c r="D2527">
        <v>8.6</v>
      </c>
      <c r="E2527">
        <v>7.7</v>
      </c>
      <c r="F2527">
        <v>6.3</v>
      </c>
      <c r="G2527">
        <v>6.7</v>
      </c>
    </row>
    <row r="2528" spans="1:7">
      <c r="A2528" t="s">
        <v>1876</v>
      </c>
      <c r="B2528" t="s">
        <v>354</v>
      </c>
      <c r="C2528" t="s">
        <v>312</v>
      </c>
      <c r="D2528">
        <v>35566</v>
      </c>
      <c r="E2528">
        <v>35568</v>
      </c>
      <c r="F2528">
        <v>33045</v>
      </c>
      <c r="G2528">
        <v>33790</v>
      </c>
    </row>
    <row r="2529" spans="1:7">
      <c r="A2529" t="s">
        <v>1876</v>
      </c>
      <c r="B2529" t="s">
        <v>354</v>
      </c>
      <c r="C2529" t="s">
        <v>313</v>
      </c>
      <c r="D2529">
        <v>53.1</v>
      </c>
      <c r="E2529">
        <v>52.7</v>
      </c>
      <c r="F2529">
        <v>48.4</v>
      </c>
      <c r="G2529">
        <v>48.9</v>
      </c>
    </row>
    <row r="2530" spans="1:7">
      <c r="A2530" t="s">
        <v>1876</v>
      </c>
      <c r="B2530" t="s">
        <v>354</v>
      </c>
      <c r="C2530" t="s">
        <v>314</v>
      </c>
      <c r="D2530">
        <v>139880</v>
      </c>
      <c r="E2530">
        <v>141152</v>
      </c>
      <c r="F2530">
        <v>135280</v>
      </c>
      <c r="G2530">
        <v>138469</v>
      </c>
    </row>
    <row r="2531" spans="1:7">
      <c r="A2531" t="s">
        <v>1876</v>
      </c>
      <c r="B2531" t="s">
        <v>354</v>
      </c>
      <c r="C2531" t="s">
        <v>315</v>
      </c>
      <c r="D2531">
        <v>0.98</v>
      </c>
      <c r="E2531">
        <v>0.99</v>
      </c>
      <c r="F2531">
        <v>0.94</v>
      </c>
      <c r="G2531">
        <v>0.95</v>
      </c>
    </row>
    <row r="2532" spans="1:7">
      <c r="A2532" t="s">
        <v>1876</v>
      </c>
      <c r="B2532" t="s">
        <v>354</v>
      </c>
      <c r="C2532" t="s">
        <v>316</v>
      </c>
      <c r="D2532">
        <v>208.9</v>
      </c>
      <c r="E2532">
        <v>209.3</v>
      </c>
      <c r="F2532">
        <v>198.2</v>
      </c>
      <c r="G2532">
        <v>200.3</v>
      </c>
    </row>
    <row r="2533" spans="1:7">
      <c r="A2533" t="s">
        <v>1876</v>
      </c>
      <c r="B2533" t="s">
        <v>354</v>
      </c>
      <c r="C2533" t="s">
        <v>317</v>
      </c>
      <c r="D2533">
        <v>139880</v>
      </c>
      <c r="E2533">
        <v>141152</v>
      </c>
      <c r="F2533">
        <v>135280</v>
      </c>
      <c r="G2533">
        <v>138469</v>
      </c>
    </row>
    <row r="2534" spans="1:7">
      <c r="A2534" t="s">
        <v>1876</v>
      </c>
      <c r="B2534" t="s">
        <v>354</v>
      </c>
      <c r="C2534" t="s">
        <v>318</v>
      </c>
      <c r="D2534">
        <v>16298</v>
      </c>
      <c r="E2534">
        <v>16358</v>
      </c>
      <c r="F2534">
        <v>15715</v>
      </c>
      <c r="G2534">
        <v>16967</v>
      </c>
    </row>
    <row r="2535" spans="1:7">
      <c r="A2535" t="s">
        <v>1876</v>
      </c>
      <c r="B2535" t="s">
        <v>354</v>
      </c>
      <c r="C2535" t="s">
        <v>319</v>
      </c>
      <c r="D2535">
        <v>41430</v>
      </c>
      <c r="E2535">
        <v>43149</v>
      </c>
      <c r="F2535">
        <v>41206</v>
      </c>
      <c r="G2535">
        <v>41375</v>
      </c>
    </row>
    <row r="2536" spans="1:7">
      <c r="A2536" t="s">
        <v>1876</v>
      </c>
      <c r="B2536" t="s">
        <v>354</v>
      </c>
      <c r="C2536" t="s">
        <v>320</v>
      </c>
      <c r="D2536">
        <v>4419</v>
      </c>
      <c r="E2536">
        <v>4238</v>
      </c>
      <c r="F2536">
        <v>3299</v>
      </c>
      <c r="G2536">
        <v>3618</v>
      </c>
    </row>
    <row r="2537" spans="1:7">
      <c r="A2537" t="s">
        <v>1876</v>
      </c>
      <c r="B2537" t="s">
        <v>354</v>
      </c>
      <c r="C2537" t="s">
        <v>321</v>
      </c>
      <c r="D2537">
        <v>21457</v>
      </c>
      <c r="E2537">
        <v>21920</v>
      </c>
      <c r="F2537">
        <v>19773</v>
      </c>
      <c r="G2537">
        <v>20216</v>
      </c>
    </row>
    <row r="2538" spans="1:7">
      <c r="A2538" t="s">
        <v>1876</v>
      </c>
      <c r="B2538" t="s">
        <v>354</v>
      </c>
      <c r="C2538" t="s">
        <v>1954</v>
      </c>
      <c r="D2538">
        <v>83604</v>
      </c>
      <c r="E2538">
        <v>85665</v>
      </c>
      <c r="F2538">
        <v>79993</v>
      </c>
      <c r="G2538">
        <v>82177</v>
      </c>
    </row>
    <row r="2539" spans="1:7">
      <c r="A2539" t="s">
        <v>1876</v>
      </c>
      <c r="B2539" t="s">
        <v>354</v>
      </c>
      <c r="C2539" t="s">
        <v>323</v>
      </c>
      <c r="D2539">
        <v>670</v>
      </c>
      <c r="E2539">
        <v>675</v>
      </c>
      <c r="F2539">
        <v>683</v>
      </c>
      <c r="G2539">
        <v>691</v>
      </c>
    </row>
    <row r="2540" spans="1:7">
      <c r="A2540" t="s">
        <v>1876</v>
      </c>
      <c r="B2540" t="s">
        <v>354</v>
      </c>
      <c r="C2540" t="s">
        <v>324</v>
      </c>
      <c r="D2540">
        <v>0</v>
      </c>
      <c r="E2540">
        <v>0</v>
      </c>
      <c r="F2540">
        <v>0</v>
      </c>
      <c r="G2540">
        <v>0</v>
      </c>
    </row>
    <row r="2541" spans="1:7">
      <c r="A2541" t="s">
        <v>1876</v>
      </c>
      <c r="B2541" t="s">
        <v>354</v>
      </c>
      <c r="C2541" t="s">
        <v>325</v>
      </c>
      <c r="D2541">
        <v>0</v>
      </c>
      <c r="E2541">
        <v>0</v>
      </c>
      <c r="F2541">
        <v>0</v>
      </c>
      <c r="G2541">
        <v>0</v>
      </c>
    </row>
    <row r="2542" spans="1:7">
      <c r="A2542" t="s">
        <v>1876</v>
      </c>
      <c r="B2542" t="s">
        <v>354</v>
      </c>
      <c r="C2542" t="s">
        <v>326</v>
      </c>
      <c r="D2542">
        <v>0</v>
      </c>
      <c r="E2542">
        <v>0</v>
      </c>
      <c r="F2542">
        <v>0</v>
      </c>
      <c r="G2542">
        <v>0</v>
      </c>
    </row>
    <row r="2543" spans="1:7">
      <c r="A2543" t="s">
        <v>1876</v>
      </c>
      <c r="B2543" t="s">
        <v>354</v>
      </c>
      <c r="C2543" t="s">
        <v>327</v>
      </c>
      <c r="D2543">
        <v>0</v>
      </c>
      <c r="E2543">
        <v>0</v>
      </c>
      <c r="F2543">
        <v>0</v>
      </c>
      <c r="G2543">
        <v>0</v>
      </c>
    </row>
    <row r="2544" spans="1:7">
      <c r="A2544" t="s">
        <v>1876</v>
      </c>
      <c r="B2544" t="s">
        <v>354</v>
      </c>
      <c r="C2544" t="s">
        <v>1723</v>
      </c>
      <c r="D2544">
        <v>0</v>
      </c>
      <c r="E2544">
        <v>0</v>
      </c>
      <c r="F2544">
        <v>0</v>
      </c>
      <c r="G2544">
        <v>0</v>
      </c>
    </row>
    <row r="2545" spans="1:7">
      <c r="A2545" t="s">
        <v>1876</v>
      </c>
      <c r="B2545" t="s">
        <v>354</v>
      </c>
      <c r="C2545" t="s">
        <v>328</v>
      </c>
      <c r="D2545">
        <v>0</v>
      </c>
      <c r="E2545">
        <v>0</v>
      </c>
      <c r="F2545">
        <v>0</v>
      </c>
      <c r="G2545">
        <v>0</v>
      </c>
    </row>
    <row r="2546" spans="1:7">
      <c r="A2546" t="s">
        <v>1876</v>
      </c>
      <c r="B2546" t="s">
        <v>354</v>
      </c>
      <c r="C2546" t="s">
        <v>329</v>
      </c>
      <c r="D2546">
        <v>0</v>
      </c>
      <c r="E2546">
        <v>0</v>
      </c>
      <c r="F2546">
        <v>0</v>
      </c>
      <c r="G2546">
        <v>0</v>
      </c>
    </row>
    <row r="2547" spans="1:7">
      <c r="A2547" t="s">
        <v>1876</v>
      </c>
      <c r="B2547" t="s">
        <v>354</v>
      </c>
      <c r="C2547" t="s">
        <v>330</v>
      </c>
      <c r="D2547">
        <v>0</v>
      </c>
      <c r="E2547">
        <v>0</v>
      </c>
      <c r="F2547">
        <v>0</v>
      </c>
      <c r="G2547">
        <v>0</v>
      </c>
    </row>
    <row r="2548" spans="1:7">
      <c r="A2548" t="s">
        <v>1876</v>
      </c>
      <c r="B2548" t="s">
        <v>354</v>
      </c>
      <c r="C2548" t="s">
        <v>331</v>
      </c>
      <c r="D2548">
        <v>933</v>
      </c>
      <c r="E2548">
        <v>1001</v>
      </c>
      <c r="F2548">
        <v>1014</v>
      </c>
      <c r="G2548">
        <v>899</v>
      </c>
    </row>
    <row r="2549" spans="1:7">
      <c r="A2549" t="s">
        <v>1876</v>
      </c>
      <c r="B2549" t="s">
        <v>354</v>
      </c>
      <c r="C2549" t="s">
        <v>332</v>
      </c>
      <c r="D2549">
        <v>0</v>
      </c>
      <c r="E2549">
        <v>0</v>
      </c>
      <c r="F2549">
        <v>0</v>
      </c>
      <c r="G2549">
        <v>0</v>
      </c>
    </row>
    <row r="2550" spans="1:7">
      <c r="A2550" t="s">
        <v>1876</v>
      </c>
      <c r="B2550" t="s">
        <v>354</v>
      </c>
      <c r="C2550" t="s">
        <v>1724</v>
      </c>
      <c r="D2550">
        <v>12</v>
      </c>
      <c r="E2550">
        <v>12</v>
      </c>
      <c r="F2550">
        <v>12</v>
      </c>
      <c r="G2550">
        <v>12</v>
      </c>
    </row>
    <row r="2551" spans="1:7">
      <c r="A2551" t="s">
        <v>1876</v>
      </c>
      <c r="B2551" t="s">
        <v>354</v>
      </c>
      <c r="C2551" t="s">
        <v>333</v>
      </c>
      <c r="D2551">
        <v>0</v>
      </c>
      <c r="E2551">
        <v>0</v>
      </c>
      <c r="F2551">
        <v>0</v>
      </c>
      <c r="G2551">
        <v>0</v>
      </c>
    </row>
    <row r="2552" spans="1:7">
      <c r="A2552" t="s">
        <v>1876</v>
      </c>
      <c r="B2552" t="s">
        <v>354</v>
      </c>
      <c r="C2552" t="s">
        <v>334</v>
      </c>
      <c r="D2552">
        <v>933</v>
      </c>
      <c r="E2552">
        <v>1001</v>
      </c>
      <c r="F2552">
        <v>1014</v>
      </c>
      <c r="G2552">
        <v>899</v>
      </c>
    </row>
    <row r="2553" spans="1:7">
      <c r="A2553" t="s">
        <v>1876</v>
      </c>
      <c r="B2553" t="s">
        <v>354</v>
      </c>
      <c r="C2553" t="s">
        <v>335</v>
      </c>
      <c r="D2553">
        <v>933</v>
      </c>
      <c r="E2553">
        <v>1001</v>
      </c>
      <c r="F2553">
        <v>1014</v>
      </c>
      <c r="G2553">
        <v>899</v>
      </c>
    </row>
    <row r="2554" spans="1:7">
      <c r="A2554" t="s">
        <v>1876</v>
      </c>
      <c r="B2554" t="s">
        <v>354</v>
      </c>
      <c r="C2554" t="s">
        <v>336</v>
      </c>
      <c r="D2554">
        <v>0</v>
      </c>
      <c r="E2554">
        <v>0</v>
      </c>
      <c r="F2554">
        <v>0</v>
      </c>
      <c r="G2554">
        <v>0</v>
      </c>
    </row>
    <row r="2555" spans="1:7">
      <c r="A2555" t="s">
        <v>1876</v>
      </c>
      <c r="B2555" t="s">
        <v>354</v>
      </c>
      <c r="C2555" t="s">
        <v>337</v>
      </c>
      <c r="D2555">
        <v>0</v>
      </c>
      <c r="E2555">
        <v>0</v>
      </c>
      <c r="F2555">
        <v>0</v>
      </c>
      <c r="G2555">
        <v>0</v>
      </c>
    </row>
    <row r="2556" spans="1:7">
      <c r="A2556" t="s">
        <v>1876</v>
      </c>
      <c r="B2556" t="s">
        <v>354</v>
      </c>
      <c r="C2556" t="s">
        <v>338</v>
      </c>
      <c r="D2556">
        <v>933</v>
      </c>
      <c r="E2556">
        <v>1001</v>
      </c>
      <c r="F2556">
        <v>1014</v>
      </c>
      <c r="G2556">
        <v>899</v>
      </c>
    </row>
    <row r="2557" spans="1:7">
      <c r="A2557" t="s">
        <v>1876</v>
      </c>
      <c r="B2557" t="s">
        <v>354</v>
      </c>
      <c r="C2557" t="s">
        <v>339</v>
      </c>
      <c r="D2557">
        <v>933</v>
      </c>
      <c r="E2557">
        <v>1001</v>
      </c>
      <c r="F2557">
        <v>1014</v>
      </c>
      <c r="G2557">
        <v>899</v>
      </c>
    </row>
    <row r="2558" spans="1:7">
      <c r="A2558" t="s">
        <v>1876</v>
      </c>
      <c r="B2558" t="s">
        <v>354</v>
      </c>
      <c r="C2558" t="s">
        <v>340</v>
      </c>
      <c r="D2558">
        <v>0</v>
      </c>
      <c r="E2558">
        <v>0</v>
      </c>
      <c r="F2558">
        <v>0</v>
      </c>
      <c r="G2558">
        <v>0</v>
      </c>
    </row>
    <row r="2559" spans="1:7">
      <c r="A2559" t="s">
        <v>1876</v>
      </c>
      <c r="B2559" t="s">
        <v>354</v>
      </c>
      <c r="C2559" t="s">
        <v>1955</v>
      </c>
      <c r="D2559">
        <v>0</v>
      </c>
      <c r="E2559">
        <v>0</v>
      </c>
      <c r="F2559">
        <v>0</v>
      </c>
      <c r="G2559">
        <v>0</v>
      </c>
    </row>
    <row r="2560" spans="1:7">
      <c r="A2560" t="s">
        <v>1876</v>
      </c>
      <c r="B2560" t="s">
        <v>354</v>
      </c>
      <c r="C2560" t="s">
        <v>341</v>
      </c>
      <c r="D2560">
        <v>0</v>
      </c>
      <c r="E2560">
        <v>0</v>
      </c>
      <c r="F2560">
        <v>0</v>
      </c>
      <c r="G2560">
        <v>0</v>
      </c>
    </row>
    <row r="2561" spans="1:7">
      <c r="A2561" t="s">
        <v>1876</v>
      </c>
      <c r="B2561" t="s">
        <v>354</v>
      </c>
      <c r="C2561" t="s">
        <v>342</v>
      </c>
      <c r="D2561">
        <v>0</v>
      </c>
      <c r="E2561">
        <v>0</v>
      </c>
      <c r="F2561">
        <v>0</v>
      </c>
      <c r="G2561">
        <v>0</v>
      </c>
    </row>
    <row r="2562" spans="1:7">
      <c r="A2562" t="s">
        <v>1876</v>
      </c>
      <c r="B2562" t="s">
        <v>354</v>
      </c>
      <c r="C2562" t="s">
        <v>1725</v>
      </c>
      <c r="D2562">
        <v>0</v>
      </c>
      <c r="E2562">
        <v>0</v>
      </c>
      <c r="F2562">
        <v>0</v>
      </c>
      <c r="G2562">
        <v>0</v>
      </c>
    </row>
    <row r="2563" spans="1:7">
      <c r="A2563" t="s">
        <v>1876</v>
      </c>
      <c r="B2563" t="s">
        <v>354</v>
      </c>
      <c r="C2563" t="s">
        <v>343</v>
      </c>
      <c r="D2563">
        <v>0</v>
      </c>
      <c r="E2563">
        <v>0</v>
      </c>
      <c r="F2563">
        <v>0</v>
      </c>
      <c r="G2563">
        <v>0</v>
      </c>
    </row>
    <row r="2564" spans="1:7">
      <c r="A2564" t="s">
        <v>1876</v>
      </c>
      <c r="B2564" t="s">
        <v>354</v>
      </c>
      <c r="C2564" t="s">
        <v>344</v>
      </c>
      <c r="D2564">
        <v>0</v>
      </c>
      <c r="E2564">
        <v>0</v>
      </c>
      <c r="F2564">
        <v>0</v>
      </c>
      <c r="G2564">
        <v>0</v>
      </c>
    </row>
    <row r="2565" spans="1:7">
      <c r="A2565" t="s">
        <v>1876</v>
      </c>
      <c r="B2565" t="s">
        <v>354</v>
      </c>
      <c r="C2565" t="s">
        <v>345</v>
      </c>
      <c r="D2565">
        <v>0</v>
      </c>
      <c r="E2565">
        <v>0</v>
      </c>
      <c r="F2565">
        <v>0</v>
      </c>
      <c r="G2565">
        <v>0</v>
      </c>
    </row>
    <row r="2566" spans="1:7">
      <c r="A2566" t="s">
        <v>1876</v>
      </c>
      <c r="B2566" t="s">
        <v>354</v>
      </c>
      <c r="C2566" t="s">
        <v>1956</v>
      </c>
      <c r="D2566">
        <v>0</v>
      </c>
      <c r="E2566">
        <v>0</v>
      </c>
      <c r="F2566">
        <v>0</v>
      </c>
      <c r="G2566">
        <v>0</v>
      </c>
    </row>
    <row r="2567" spans="1:7">
      <c r="A2567" t="s">
        <v>1876</v>
      </c>
      <c r="B2567" t="s">
        <v>354</v>
      </c>
      <c r="C2567" t="s">
        <v>1957</v>
      </c>
      <c r="D2567">
        <v>933</v>
      </c>
      <c r="E2567">
        <v>1001</v>
      </c>
      <c r="F2567">
        <v>1014</v>
      </c>
      <c r="G2567">
        <v>899</v>
      </c>
    </row>
    <row r="2568" spans="1:7">
      <c r="A2568" t="s">
        <v>1876</v>
      </c>
      <c r="B2568" t="s">
        <v>354</v>
      </c>
      <c r="C2568" t="s">
        <v>346</v>
      </c>
      <c r="D2568">
        <v>1855</v>
      </c>
      <c r="E2568">
        <v>1769</v>
      </c>
      <c r="F2568">
        <v>1489</v>
      </c>
      <c r="G2568">
        <v>1375</v>
      </c>
    </row>
    <row r="2569" spans="1:7">
      <c r="A2569" t="s">
        <v>1876</v>
      </c>
      <c r="B2569" t="s">
        <v>354</v>
      </c>
      <c r="C2569" t="s">
        <v>347</v>
      </c>
      <c r="D2569">
        <v>3435</v>
      </c>
      <c r="E2569">
        <v>3736</v>
      </c>
      <c r="F2569">
        <v>3272</v>
      </c>
      <c r="G2569">
        <v>3977</v>
      </c>
    </row>
    <row r="2570" spans="1:7">
      <c r="A2570" t="s">
        <v>1876</v>
      </c>
      <c r="B2570" t="s">
        <v>355</v>
      </c>
      <c r="C2570" t="s">
        <v>133</v>
      </c>
      <c r="D2570">
        <v>-8</v>
      </c>
      <c r="E2570">
        <v>-6</v>
      </c>
      <c r="F2570">
        <v>-6</v>
      </c>
      <c r="G2570">
        <v>-10</v>
      </c>
    </row>
    <row r="2571" spans="1:7">
      <c r="A2571" t="s">
        <v>1876</v>
      </c>
      <c r="B2571" t="s">
        <v>355</v>
      </c>
      <c r="C2571" t="s">
        <v>134</v>
      </c>
      <c r="D2571">
        <v>2942</v>
      </c>
      <c r="E2571">
        <v>2962</v>
      </c>
      <c r="F2571">
        <v>2399</v>
      </c>
      <c r="G2571">
        <v>2672</v>
      </c>
    </row>
    <row r="2572" spans="1:7">
      <c r="A2572" t="s">
        <v>1876</v>
      </c>
      <c r="B2572" t="s">
        <v>355</v>
      </c>
      <c r="C2572" t="s">
        <v>135</v>
      </c>
      <c r="D2572">
        <v>2942</v>
      </c>
      <c r="E2572">
        <v>2962</v>
      </c>
      <c r="F2572">
        <v>2399</v>
      </c>
      <c r="G2572">
        <v>2672</v>
      </c>
    </row>
    <row r="2573" spans="1:7">
      <c r="A2573" t="s">
        <v>1876</v>
      </c>
      <c r="B2573" t="s">
        <v>355</v>
      </c>
      <c r="C2573" t="s">
        <v>136</v>
      </c>
      <c r="D2573">
        <v>2942</v>
      </c>
      <c r="E2573">
        <v>2962</v>
      </c>
      <c r="F2573">
        <v>2399</v>
      </c>
      <c r="G2573">
        <v>2672</v>
      </c>
    </row>
    <row r="2574" spans="1:7">
      <c r="A2574" t="s">
        <v>1876</v>
      </c>
      <c r="B2574" t="s">
        <v>355</v>
      </c>
      <c r="C2574" t="s">
        <v>137</v>
      </c>
      <c r="D2574">
        <v>41</v>
      </c>
      <c r="E2574">
        <v>43</v>
      </c>
      <c r="F2574">
        <v>40</v>
      </c>
      <c r="G2574">
        <v>43</v>
      </c>
    </row>
    <row r="2575" spans="1:7">
      <c r="A2575" t="s">
        <v>1876</v>
      </c>
      <c r="B2575" t="s">
        <v>355</v>
      </c>
      <c r="C2575" t="s">
        <v>138</v>
      </c>
      <c r="D2575">
        <v>41</v>
      </c>
      <c r="E2575">
        <v>43</v>
      </c>
      <c r="F2575">
        <v>40</v>
      </c>
      <c r="G2575">
        <v>43</v>
      </c>
    </row>
    <row r="2576" spans="1:7">
      <c r="A2576" t="s">
        <v>1876</v>
      </c>
      <c r="B2576" t="s">
        <v>355</v>
      </c>
      <c r="C2576" t="s">
        <v>139</v>
      </c>
      <c r="D2576">
        <v>41</v>
      </c>
      <c r="E2576">
        <v>43</v>
      </c>
      <c r="F2576">
        <v>40</v>
      </c>
      <c r="G2576">
        <v>43</v>
      </c>
    </row>
    <row r="2577" spans="1:7">
      <c r="A2577" t="s">
        <v>1876</v>
      </c>
      <c r="B2577" t="s">
        <v>355</v>
      </c>
      <c r="C2577" t="s">
        <v>1877</v>
      </c>
      <c r="D2577">
        <v>0</v>
      </c>
      <c r="E2577">
        <v>0</v>
      </c>
      <c r="F2577">
        <v>0</v>
      </c>
      <c r="G2577">
        <v>0</v>
      </c>
    </row>
    <row r="2578" spans="1:7">
      <c r="A2578" t="s">
        <v>1876</v>
      </c>
      <c r="B2578" t="s">
        <v>355</v>
      </c>
      <c r="C2578" t="s">
        <v>1700</v>
      </c>
      <c r="D2578">
        <v>0</v>
      </c>
      <c r="E2578">
        <v>0</v>
      </c>
      <c r="F2578">
        <v>0</v>
      </c>
      <c r="G2578">
        <v>0</v>
      </c>
    </row>
    <row r="2579" spans="1:7">
      <c r="A2579" t="s">
        <v>1876</v>
      </c>
      <c r="B2579" t="s">
        <v>355</v>
      </c>
      <c r="C2579" t="s">
        <v>1878</v>
      </c>
      <c r="D2579">
        <v>0</v>
      </c>
      <c r="E2579">
        <v>0</v>
      </c>
      <c r="F2579">
        <v>0</v>
      </c>
      <c r="G2579">
        <v>0</v>
      </c>
    </row>
    <row r="2580" spans="1:7">
      <c r="A2580" t="s">
        <v>1876</v>
      </c>
      <c r="B2580" t="s">
        <v>355</v>
      </c>
      <c r="C2580" t="s">
        <v>1879</v>
      </c>
      <c r="D2580">
        <v>0</v>
      </c>
      <c r="E2580">
        <v>0</v>
      </c>
      <c r="F2580">
        <v>0</v>
      </c>
      <c r="G2580">
        <v>0</v>
      </c>
    </row>
    <row r="2581" spans="1:7">
      <c r="A2581" t="s">
        <v>1876</v>
      </c>
      <c r="B2581" t="s">
        <v>355</v>
      </c>
      <c r="C2581" t="s">
        <v>1701</v>
      </c>
      <c r="D2581">
        <v>0</v>
      </c>
      <c r="E2581">
        <v>0</v>
      </c>
      <c r="F2581">
        <v>0</v>
      </c>
      <c r="G2581">
        <v>0</v>
      </c>
    </row>
    <row r="2582" spans="1:7">
      <c r="A2582" t="s">
        <v>1876</v>
      </c>
      <c r="B2582" t="s">
        <v>355</v>
      </c>
      <c r="C2582" t="s">
        <v>1880</v>
      </c>
      <c r="D2582">
        <v>106</v>
      </c>
      <c r="E2582">
        <v>94</v>
      </c>
      <c r="F2582">
        <v>114</v>
      </c>
      <c r="G2582">
        <v>105</v>
      </c>
    </row>
    <row r="2583" spans="1:7">
      <c r="A2583" t="s">
        <v>1876</v>
      </c>
      <c r="B2583" t="s">
        <v>355</v>
      </c>
      <c r="C2583" t="s">
        <v>140</v>
      </c>
      <c r="D2583">
        <v>250</v>
      </c>
      <c r="E2583">
        <v>227</v>
      </c>
      <c r="F2583">
        <v>307</v>
      </c>
      <c r="G2583">
        <v>301</v>
      </c>
    </row>
    <row r="2584" spans="1:7">
      <c r="A2584" t="s">
        <v>1876</v>
      </c>
      <c r="B2584" t="s">
        <v>355</v>
      </c>
      <c r="C2584" t="s">
        <v>1881</v>
      </c>
      <c r="D2584">
        <v>144</v>
      </c>
      <c r="E2584">
        <v>133</v>
      </c>
      <c r="F2584">
        <v>193</v>
      </c>
      <c r="G2584">
        <v>195</v>
      </c>
    </row>
    <row r="2585" spans="1:7">
      <c r="A2585" t="s">
        <v>1876</v>
      </c>
      <c r="B2585" t="s">
        <v>355</v>
      </c>
      <c r="C2585" t="s">
        <v>1882</v>
      </c>
      <c r="D2585">
        <v>0</v>
      </c>
      <c r="E2585">
        <v>0</v>
      </c>
      <c r="F2585">
        <v>0</v>
      </c>
      <c r="G2585">
        <v>0</v>
      </c>
    </row>
    <row r="2586" spans="1:7">
      <c r="A2586" t="s">
        <v>1876</v>
      </c>
      <c r="B2586" t="s">
        <v>355</v>
      </c>
      <c r="C2586" t="s">
        <v>1883</v>
      </c>
      <c r="D2586">
        <v>0</v>
      </c>
      <c r="E2586">
        <v>0</v>
      </c>
      <c r="F2586">
        <v>0</v>
      </c>
      <c r="G2586">
        <v>0</v>
      </c>
    </row>
    <row r="2587" spans="1:7">
      <c r="A2587" t="s">
        <v>1876</v>
      </c>
      <c r="B2587" t="s">
        <v>355</v>
      </c>
      <c r="C2587" t="s">
        <v>1884</v>
      </c>
      <c r="D2587">
        <v>0</v>
      </c>
      <c r="E2587">
        <v>0</v>
      </c>
      <c r="F2587">
        <v>0</v>
      </c>
      <c r="G2587">
        <v>0</v>
      </c>
    </row>
    <row r="2588" spans="1:7">
      <c r="A2588" t="s">
        <v>1876</v>
      </c>
      <c r="B2588" t="s">
        <v>355</v>
      </c>
      <c r="C2588" t="s">
        <v>1885</v>
      </c>
      <c r="D2588">
        <v>0</v>
      </c>
      <c r="E2588">
        <v>0</v>
      </c>
      <c r="F2588">
        <v>0</v>
      </c>
      <c r="G2588">
        <v>0</v>
      </c>
    </row>
    <row r="2589" spans="1:7">
      <c r="A2589" t="s">
        <v>1876</v>
      </c>
      <c r="B2589" t="s">
        <v>355</v>
      </c>
      <c r="C2589" t="s">
        <v>1886</v>
      </c>
      <c r="D2589">
        <v>0</v>
      </c>
      <c r="E2589">
        <v>0</v>
      </c>
      <c r="F2589">
        <v>0</v>
      </c>
      <c r="G2589">
        <v>0</v>
      </c>
    </row>
    <row r="2590" spans="1:7">
      <c r="A2590" t="s">
        <v>1876</v>
      </c>
      <c r="B2590" t="s">
        <v>355</v>
      </c>
      <c r="C2590" t="s">
        <v>141</v>
      </c>
      <c r="D2590">
        <v>0</v>
      </c>
      <c r="E2590">
        <v>0</v>
      </c>
      <c r="F2590">
        <v>0</v>
      </c>
      <c r="G2590">
        <v>0</v>
      </c>
    </row>
    <row r="2591" spans="1:7">
      <c r="A2591" t="s">
        <v>1876</v>
      </c>
      <c r="B2591" t="s">
        <v>355</v>
      </c>
      <c r="C2591" t="s">
        <v>1887</v>
      </c>
      <c r="D2591">
        <v>0</v>
      </c>
      <c r="E2591">
        <v>0</v>
      </c>
      <c r="F2591">
        <v>0</v>
      </c>
      <c r="G2591">
        <v>0</v>
      </c>
    </row>
    <row r="2592" spans="1:7">
      <c r="A2592" t="s">
        <v>1876</v>
      </c>
      <c r="B2592" t="s">
        <v>355</v>
      </c>
      <c r="C2592" t="s">
        <v>1888</v>
      </c>
      <c r="D2592">
        <v>0</v>
      </c>
      <c r="E2592">
        <v>0</v>
      </c>
      <c r="F2592">
        <v>0</v>
      </c>
      <c r="G2592">
        <v>0</v>
      </c>
    </row>
    <row r="2593" spans="1:7">
      <c r="A2593" t="s">
        <v>1876</v>
      </c>
      <c r="B2593" t="s">
        <v>355</v>
      </c>
      <c r="C2593" t="s">
        <v>1889</v>
      </c>
      <c r="D2593">
        <v>106</v>
      </c>
      <c r="E2593">
        <v>94</v>
      </c>
      <c r="F2593">
        <v>114</v>
      </c>
      <c r="G2593">
        <v>105</v>
      </c>
    </row>
    <row r="2594" spans="1:7">
      <c r="A2594" t="s">
        <v>1876</v>
      </c>
      <c r="B2594" t="s">
        <v>355</v>
      </c>
      <c r="C2594" t="s">
        <v>1890</v>
      </c>
      <c r="D2594">
        <v>0</v>
      </c>
      <c r="E2594">
        <v>0</v>
      </c>
      <c r="F2594">
        <v>0</v>
      </c>
      <c r="G2594">
        <v>0</v>
      </c>
    </row>
    <row r="2595" spans="1:7">
      <c r="A2595" t="s">
        <v>1876</v>
      </c>
      <c r="B2595" t="s">
        <v>355</v>
      </c>
      <c r="C2595" t="s">
        <v>1891</v>
      </c>
    </row>
    <row r="2596" spans="1:7">
      <c r="A2596" t="s">
        <v>1876</v>
      </c>
      <c r="B2596" t="s">
        <v>355</v>
      </c>
      <c r="C2596" t="s">
        <v>1892</v>
      </c>
      <c r="D2596">
        <v>144</v>
      </c>
      <c r="E2596">
        <v>133</v>
      </c>
      <c r="F2596">
        <v>193</v>
      </c>
      <c r="G2596">
        <v>195</v>
      </c>
    </row>
    <row r="2597" spans="1:7">
      <c r="A2597" t="s">
        <v>1876</v>
      </c>
      <c r="B2597" t="s">
        <v>355</v>
      </c>
      <c r="C2597" t="s">
        <v>142</v>
      </c>
      <c r="D2597">
        <v>250</v>
      </c>
      <c r="E2597">
        <v>227</v>
      </c>
      <c r="F2597">
        <v>307</v>
      </c>
      <c r="G2597">
        <v>301</v>
      </c>
    </row>
    <row r="2598" spans="1:7">
      <c r="A2598" t="s">
        <v>1876</v>
      </c>
      <c r="B2598" t="s">
        <v>355</v>
      </c>
      <c r="C2598" t="s">
        <v>1893</v>
      </c>
      <c r="D2598">
        <v>250</v>
      </c>
      <c r="E2598">
        <v>227</v>
      </c>
      <c r="F2598">
        <v>307</v>
      </c>
      <c r="G2598">
        <v>301</v>
      </c>
    </row>
    <row r="2599" spans="1:7">
      <c r="A2599" t="s">
        <v>1876</v>
      </c>
      <c r="B2599" t="s">
        <v>355</v>
      </c>
      <c r="C2599" t="s">
        <v>1894</v>
      </c>
      <c r="D2599">
        <v>144</v>
      </c>
      <c r="E2599">
        <v>133</v>
      </c>
      <c r="F2599">
        <v>193</v>
      </c>
      <c r="G2599">
        <v>195</v>
      </c>
    </row>
    <row r="2600" spans="1:7">
      <c r="A2600" t="s">
        <v>1876</v>
      </c>
      <c r="B2600" t="s">
        <v>355</v>
      </c>
      <c r="C2600" t="s">
        <v>143</v>
      </c>
      <c r="D2600">
        <v>0</v>
      </c>
      <c r="E2600">
        <v>0</v>
      </c>
      <c r="F2600">
        <v>0</v>
      </c>
      <c r="G2600">
        <v>0</v>
      </c>
    </row>
    <row r="2601" spans="1:7">
      <c r="A2601" t="s">
        <v>1876</v>
      </c>
      <c r="B2601" t="s">
        <v>355</v>
      </c>
      <c r="C2601" t="s">
        <v>144</v>
      </c>
      <c r="D2601">
        <v>4563</v>
      </c>
      <c r="E2601">
        <v>4482</v>
      </c>
      <c r="F2601">
        <v>4725</v>
      </c>
      <c r="G2601">
        <v>4659</v>
      </c>
    </row>
    <row r="2602" spans="1:7">
      <c r="A2602" t="s">
        <v>1876</v>
      </c>
      <c r="B2602" t="s">
        <v>355</v>
      </c>
      <c r="C2602" t="s">
        <v>1895</v>
      </c>
      <c r="D2602">
        <v>63.3</v>
      </c>
      <c r="E2602">
        <v>63.5</v>
      </c>
      <c r="F2602">
        <v>53.3</v>
      </c>
      <c r="G2602">
        <v>33.4</v>
      </c>
    </row>
    <row r="2603" spans="1:7">
      <c r="A2603" t="s">
        <v>1876</v>
      </c>
      <c r="B2603" t="s">
        <v>355</v>
      </c>
      <c r="C2603" t="s">
        <v>145</v>
      </c>
      <c r="D2603">
        <v>5995</v>
      </c>
      <c r="E2603">
        <v>6173</v>
      </c>
      <c r="F2603">
        <v>6395</v>
      </c>
      <c r="G2603">
        <v>5856</v>
      </c>
    </row>
    <row r="2604" spans="1:7">
      <c r="A2604" t="s">
        <v>1876</v>
      </c>
      <c r="B2604" t="s">
        <v>355</v>
      </c>
      <c r="C2604" t="s">
        <v>146</v>
      </c>
      <c r="D2604">
        <v>0</v>
      </c>
      <c r="E2604">
        <v>0</v>
      </c>
      <c r="F2604">
        <v>0</v>
      </c>
      <c r="G2604">
        <v>0</v>
      </c>
    </row>
    <row r="2605" spans="1:7">
      <c r="A2605" t="s">
        <v>1876</v>
      </c>
      <c r="B2605" t="s">
        <v>355</v>
      </c>
      <c r="C2605" t="s">
        <v>147</v>
      </c>
      <c r="D2605">
        <v>0</v>
      </c>
      <c r="E2605">
        <v>0</v>
      </c>
      <c r="F2605">
        <v>0</v>
      </c>
      <c r="G2605">
        <v>0</v>
      </c>
    </row>
    <row r="2606" spans="1:7">
      <c r="A2606" t="s">
        <v>1876</v>
      </c>
      <c r="B2606" t="s">
        <v>355</v>
      </c>
      <c r="C2606" t="s">
        <v>1896</v>
      </c>
      <c r="D2606">
        <v>0</v>
      </c>
      <c r="E2606">
        <v>0</v>
      </c>
      <c r="F2606">
        <v>0</v>
      </c>
      <c r="G2606">
        <v>0</v>
      </c>
    </row>
    <row r="2607" spans="1:7">
      <c r="A2607" t="s">
        <v>1876</v>
      </c>
      <c r="B2607" t="s">
        <v>355</v>
      </c>
      <c r="C2607" t="s">
        <v>1702</v>
      </c>
      <c r="D2607">
        <v>0</v>
      </c>
      <c r="E2607">
        <v>0</v>
      </c>
      <c r="F2607">
        <v>0</v>
      </c>
      <c r="G2607">
        <v>0</v>
      </c>
    </row>
    <row r="2608" spans="1:7">
      <c r="A2608" t="s">
        <v>1876</v>
      </c>
      <c r="B2608" t="s">
        <v>355</v>
      </c>
      <c r="C2608" t="s">
        <v>1897</v>
      </c>
      <c r="D2608">
        <v>2.9</v>
      </c>
      <c r="E2608">
        <v>4.5</v>
      </c>
      <c r="F2608">
        <v>8</v>
      </c>
      <c r="G2608">
        <v>10.7</v>
      </c>
    </row>
    <row r="2609" spans="1:7">
      <c r="A2609" t="s">
        <v>1876</v>
      </c>
      <c r="B2609" t="s">
        <v>355</v>
      </c>
      <c r="C2609" t="s">
        <v>1898</v>
      </c>
      <c r="D2609">
        <v>5</v>
      </c>
      <c r="E2609">
        <v>8</v>
      </c>
      <c r="F2609">
        <v>24</v>
      </c>
      <c r="G2609">
        <v>37</v>
      </c>
    </row>
    <row r="2610" spans="1:7">
      <c r="A2610" t="s">
        <v>1876</v>
      </c>
      <c r="B2610" t="s">
        <v>355</v>
      </c>
      <c r="C2610" t="s">
        <v>1899</v>
      </c>
      <c r="D2610">
        <v>144</v>
      </c>
      <c r="E2610">
        <v>133</v>
      </c>
      <c r="F2610">
        <v>193</v>
      </c>
      <c r="G2610">
        <v>195</v>
      </c>
    </row>
    <row r="2611" spans="1:7">
      <c r="A2611" t="s">
        <v>1876</v>
      </c>
      <c r="B2611" t="s">
        <v>355</v>
      </c>
      <c r="C2611" t="s">
        <v>148</v>
      </c>
      <c r="D2611">
        <v>0</v>
      </c>
      <c r="E2611">
        <v>0</v>
      </c>
      <c r="F2611">
        <v>0</v>
      </c>
      <c r="G2611">
        <v>0</v>
      </c>
    </row>
    <row r="2612" spans="1:7">
      <c r="A2612" t="s">
        <v>1876</v>
      </c>
      <c r="B2612" t="s">
        <v>355</v>
      </c>
      <c r="C2612" t="s">
        <v>149</v>
      </c>
      <c r="D2612">
        <v>0</v>
      </c>
      <c r="E2612">
        <v>0</v>
      </c>
      <c r="F2612">
        <v>0</v>
      </c>
      <c r="G2612">
        <v>0</v>
      </c>
    </row>
    <row r="2613" spans="1:7">
      <c r="A2613" t="s">
        <v>1876</v>
      </c>
      <c r="B2613" t="s">
        <v>355</v>
      </c>
      <c r="C2613" t="s">
        <v>150</v>
      </c>
      <c r="D2613">
        <v>0</v>
      </c>
      <c r="E2613">
        <v>0</v>
      </c>
      <c r="F2613">
        <v>0</v>
      </c>
      <c r="G2613">
        <v>0</v>
      </c>
    </row>
    <row r="2614" spans="1:7">
      <c r="A2614" t="s">
        <v>1876</v>
      </c>
      <c r="B2614" t="s">
        <v>355</v>
      </c>
      <c r="C2614" t="s">
        <v>1900</v>
      </c>
      <c r="D2614">
        <v>8.1</v>
      </c>
      <c r="E2614">
        <v>3.5</v>
      </c>
      <c r="F2614">
        <v>0.4</v>
      </c>
      <c r="G2614">
        <v>4.4000000000000004</v>
      </c>
    </row>
    <row r="2615" spans="1:7">
      <c r="A2615" t="s">
        <v>1876</v>
      </c>
      <c r="B2615" t="s">
        <v>355</v>
      </c>
      <c r="C2615" t="s">
        <v>151</v>
      </c>
      <c r="D2615">
        <v>0</v>
      </c>
      <c r="E2615">
        <v>0</v>
      </c>
      <c r="F2615">
        <v>0</v>
      </c>
      <c r="G2615">
        <v>0</v>
      </c>
    </row>
    <row r="2616" spans="1:7">
      <c r="A2616" t="s">
        <v>1876</v>
      </c>
      <c r="B2616" t="s">
        <v>355</v>
      </c>
      <c r="C2616" t="s">
        <v>152</v>
      </c>
      <c r="D2616">
        <v>4542</v>
      </c>
      <c r="E2616">
        <v>1846</v>
      </c>
      <c r="F2616">
        <v>338</v>
      </c>
      <c r="G2616">
        <v>2509</v>
      </c>
    </row>
    <row r="2617" spans="1:7">
      <c r="A2617" t="s">
        <v>1876</v>
      </c>
      <c r="B2617" t="s">
        <v>355</v>
      </c>
      <c r="C2617" t="s">
        <v>1703</v>
      </c>
      <c r="D2617">
        <v>410</v>
      </c>
      <c r="E2617">
        <v>410</v>
      </c>
      <c r="F2617">
        <v>410</v>
      </c>
      <c r="G2617">
        <v>410</v>
      </c>
    </row>
    <row r="2618" spans="1:7">
      <c r="A2618" t="s">
        <v>1876</v>
      </c>
      <c r="B2618" t="s">
        <v>355</v>
      </c>
      <c r="C2618" t="s">
        <v>153</v>
      </c>
      <c r="D2618">
        <v>0</v>
      </c>
      <c r="E2618">
        <v>0</v>
      </c>
      <c r="F2618">
        <v>0</v>
      </c>
      <c r="G2618">
        <v>0</v>
      </c>
    </row>
    <row r="2619" spans="1:7">
      <c r="A2619" t="s">
        <v>1876</v>
      </c>
      <c r="B2619" t="s">
        <v>355</v>
      </c>
      <c r="C2619" t="s">
        <v>154</v>
      </c>
      <c r="D2619">
        <v>0</v>
      </c>
      <c r="E2619">
        <v>0</v>
      </c>
      <c r="F2619">
        <v>0</v>
      </c>
      <c r="G2619">
        <v>0</v>
      </c>
    </row>
    <row r="2620" spans="1:7">
      <c r="A2620" t="s">
        <v>1876</v>
      </c>
      <c r="B2620" t="s">
        <v>355</v>
      </c>
      <c r="C2620" t="s">
        <v>155</v>
      </c>
      <c r="D2620">
        <v>0</v>
      </c>
      <c r="E2620">
        <v>0</v>
      </c>
      <c r="F2620">
        <v>0</v>
      </c>
      <c r="G2620">
        <v>0</v>
      </c>
    </row>
    <row r="2621" spans="1:7">
      <c r="A2621" t="s">
        <v>1876</v>
      </c>
      <c r="B2621" t="s">
        <v>355</v>
      </c>
      <c r="C2621" t="s">
        <v>156</v>
      </c>
      <c r="D2621">
        <v>0</v>
      </c>
      <c r="E2621">
        <v>0</v>
      </c>
      <c r="F2621">
        <v>0</v>
      </c>
      <c r="G2621">
        <v>0</v>
      </c>
    </row>
    <row r="2622" spans="1:7">
      <c r="A2622" t="s">
        <v>1876</v>
      </c>
      <c r="B2622" t="s">
        <v>355</v>
      </c>
      <c r="C2622" t="s">
        <v>157</v>
      </c>
      <c r="D2622">
        <v>4542</v>
      </c>
      <c r="E2622">
        <v>1846</v>
      </c>
      <c r="F2622">
        <v>338</v>
      </c>
      <c r="G2622">
        <v>2509</v>
      </c>
    </row>
    <row r="2623" spans="1:7">
      <c r="A2623" t="s">
        <v>1876</v>
      </c>
      <c r="B2623" t="s">
        <v>355</v>
      </c>
      <c r="C2623" t="s">
        <v>158</v>
      </c>
      <c r="D2623">
        <v>0</v>
      </c>
      <c r="E2623">
        <v>0</v>
      </c>
      <c r="F2623">
        <v>0</v>
      </c>
      <c r="G2623">
        <v>0</v>
      </c>
    </row>
    <row r="2624" spans="1:7">
      <c r="A2624" t="s">
        <v>1876</v>
      </c>
      <c r="B2624" t="s">
        <v>355</v>
      </c>
      <c r="C2624" t="s">
        <v>159</v>
      </c>
      <c r="D2624">
        <v>0</v>
      </c>
      <c r="E2624">
        <v>0</v>
      </c>
      <c r="F2624">
        <v>0</v>
      </c>
      <c r="G2624">
        <v>0</v>
      </c>
    </row>
    <row r="2625" spans="1:7">
      <c r="A2625" t="s">
        <v>1876</v>
      </c>
      <c r="B2625" t="s">
        <v>355</v>
      </c>
      <c r="C2625" t="s">
        <v>1901</v>
      </c>
      <c r="D2625">
        <v>18.2</v>
      </c>
      <c r="E2625">
        <v>25.3</v>
      </c>
      <c r="F2625">
        <v>21.7</v>
      </c>
      <c r="G2625">
        <v>20.3</v>
      </c>
    </row>
    <row r="2626" spans="1:7">
      <c r="A2626" t="s">
        <v>1876</v>
      </c>
      <c r="B2626" t="s">
        <v>355</v>
      </c>
      <c r="C2626" t="s">
        <v>1902</v>
      </c>
      <c r="D2626">
        <v>10309</v>
      </c>
      <c r="E2626">
        <v>10154</v>
      </c>
      <c r="F2626">
        <v>10007</v>
      </c>
      <c r="G2626">
        <v>9358</v>
      </c>
    </row>
    <row r="2627" spans="1:7">
      <c r="A2627" t="s">
        <v>1876</v>
      </c>
      <c r="B2627" t="s">
        <v>355</v>
      </c>
      <c r="C2627" t="s">
        <v>1903</v>
      </c>
      <c r="D2627">
        <v>1146</v>
      </c>
      <c r="E2627">
        <v>1161</v>
      </c>
      <c r="F2627">
        <v>1084</v>
      </c>
      <c r="G2627">
        <v>1118</v>
      </c>
    </row>
    <row r="2628" spans="1:7">
      <c r="A2628" t="s">
        <v>1876</v>
      </c>
      <c r="B2628" t="s">
        <v>355</v>
      </c>
      <c r="C2628" t="s">
        <v>1904</v>
      </c>
      <c r="D2628">
        <v>205</v>
      </c>
      <c r="E2628">
        <v>903</v>
      </c>
      <c r="F2628">
        <v>111</v>
      </c>
      <c r="G2628">
        <v>179</v>
      </c>
    </row>
    <row r="2629" spans="1:7">
      <c r="A2629" t="s">
        <v>1876</v>
      </c>
      <c r="B2629" t="s">
        <v>355</v>
      </c>
      <c r="C2629" t="s">
        <v>1905</v>
      </c>
      <c r="D2629">
        <v>1596</v>
      </c>
      <c r="E2629">
        <v>1614</v>
      </c>
      <c r="F2629">
        <v>1575</v>
      </c>
      <c r="G2629">
        <v>1528</v>
      </c>
    </row>
    <row r="2630" spans="1:7">
      <c r="A2630" t="s">
        <v>1876</v>
      </c>
      <c r="B2630" t="s">
        <v>355</v>
      </c>
      <c r="C2630" t="s">
        <v>1906</v>
      </c>
      <c r="D2630">
        <v>2399</v>
      </c>
      <c r="E2630">
        <v>2463</v>
      </c>
      <c r="F2630">
        <v>2299</v>
      </c>
      <c r="G2630">
        <v>2318</v>
      </c>
    </row>
    <row r="2631" spans="1:7">
      <c r="A2631" t="s">
        <v>1876</v>
      </c>
      <c r="B2631" t="s">
        <v>355</v>
      </c>
      <c r="C2631" t="s">
        <v>1907</v>
      </c>
      <c r="D2631">
        <v>15656</v>
      </c>
      <c r="E2631">
        <v>16295</v>
      </c>
      <c r="F2631">
        <v>15076</v>
      </c>
      <c r="G2631">
        <v>14501</v>
      </c>
    </row>
    <row r="2632" spans="1:7">
      <c r="A2632" t="s">
        <v>1876</v>
      </c>
      <c r="B2632" t="s">
        <v>355</v>
      </c>
      <c r="C2632" t="s">
        <v>160</v>
      </c>
      <c r="D2632">
        <v>10165</v>
      </c>
      <c r="E2632">
        <v>10021</v>
      </c>
      <c r="F2632">
        <v>9814</v>
      </c>
      <c r="G2632">
        <v>9163</v>
      </c>
    </row>
    <row r="2633" spans="1:7">
      <c r="A2633" t="s">
        <v>1876</v>
      </c>
      <c r="B2633" t="s">
        <v>355</v>
      </c>
      <c r="C2633" t="s">
        <v>161</v>
      </c>
      <c r="D2633">
        <v>1146</v>
      </c>
      <c r="E2633">
        <v>1161</v>
      </c>
      <c r="F2633">
        <v>1084</v>
      </c>
      <c r="G2633">
        <v>1118</v>
      </c>
    </row>
    <row r="2634" spans="1:7">
      <c r="A2634" t="s">
        <v>1876</v>
      </c>
      <c r="B2634" t="s">
        <v>355</v>
      </c>
      <c r="C2634" t="s">
        <v>162</v>
      </c>
      <c r="D2634">
        <v>205</v>
      </c>
      <c r="E2634">
        <v>903</v>
      </c>
      <c r="F2634">
        <v>111</v>
      </c>
      <c r="G2634">
        <v>179</v>
      </c>
    </row>
    <row r="2635" spans="1:7">
      <c r="A2635" t="s">
        <v>1876</v>
      </c>
      <c r="B2635" t="s">
        <v>355</v>
      </c>
      <c r="C2635" t="s">
        <v>163</v>
      </c>
      <c r="D2635">
        <v>1596</v>
      </c>
      <c r="E2635">
        <v>1614</v>
      </c>
      <c r="F2635">
        <v>1575</v>
      </c>
      <c r="G2635">
        <v>1528</v>
      </c>
    </row>
    <row r="2636" spans="1:7">
      <c r="A2636" t="s">
        <v>1876</v>
      </c>
      <c r="B2636" t="s">
        <v>355</v>
      </c>
      <c r="C2636" t="s">
        <v>164</v>
      </c>
      <c r="D2636">
        <v>2399</v>
      </c>
      <c r="E2636">
        <v>2463</v>
      </c>
      <c r="F2636">
        <v>2299</v>
      </c>
      <c r="G2636">
        <v>2318</v>
      </c>
    </row>
    <row r="2637" spans="1:7">
      <c r="A2637" t="s">
        <v>1876</v>
      </c>
      <c r="B2637" t="s">
        <v>355</v>
      </c>
      <c r="C2637" t="s">
        <v>165</v>
      </c>
      <c r="D2637">
        <v>15512</v>
      </c>
      <c r="E2637">
        <v>16162</v>
      </c>
      <c r="F2637">
        <v>14883</v>
      </c>
      <c r="G2637">
        <v>14305</v>
      </c>
    </row>
    <row r="2638" spans="1:7">
      <c r="A2638" t="s">
        <v>1876</v>
      </c>
      <c r="B2638" t="s">
        <v>355</v>
      </c>
      <c r="C2638" t="s">
        <v>166</v>
      </c>
      <c r="D2638">
        <v>15307</v>
      </c>
      <c r="E2638">
        <v>15259</v>
      </c>
      <c r="F2638">
        <v>14771</v>
      </c>
      <c r="G2638">
        <v>14127</v>
      </c>
    </row>
    <row r="2639" spans="1:7">
      <c r="A2639" t="s">
        <v>1876</v>
      </c>
      <c r="B2639" t="s">
        <v>355</v>
      </c>
      <c r="C2639" t="s">
        <v>167</v>
      </c>
      <c r="D2639">
        <v>205</v>
      </c>
      <c r="E2639">
        <v>903</v>
      </c>
      <c r="F2639">
        <v>111</v>
      </c>
      <c r="G2639">
        <v>179</v>
      </c>
    </row>
    <row r="2640" spans="1:7">
      <c r="A2640" t="s">
        <v>1876</v>
      </c>
      <c r="B2640" t="s">
        <v>355</v>
      </c>
      <c r="C2640" t="s">
        <v>1908</v>
      </c>
      <c r="D2640">
        <v>10059</v>
      </c>
      <c r="E2640">
        <v>9927</v>
      </c>
      <c r="F2640">
        <v>9700</v>
      </c>
      <c r="G2640">
        <v>9057</v>
      </c>
    </row>
    <row r="2641" spans="1:7">
      <c r="A2641" t="s">
        <v>1876</v>
      </c>
      <c r="B2641" t="s">
        <v>355</v>
      </c>
      <c r="C2641" t="s">
        <v>1909</v>
      </c>
      <c r="D2641">
        <v>1146</v>
      </c>
      <c r="E2641">
        <v>1161</v>
      </c>
      <c r="F2641">
        <v>1084</v>
      </c>
      <c r="G2641">
        <v>1118</v>
      </c>
    </row>
    <row r="2642" spans="1:7">
      <c r="A2642" t="s">
        <v>1876</v>
      </c>
      <c r="B2642" t="s">
        <v>355</v>
      </c>
      <c r="C2642" t="s">
        <v>1910</v>
      </c>
      <c r="D2642">
        <v>205</v>
      </c>
      <c r="E2642">
        <v>903</v>
      </c>
      <c r="F2642">
        <v>111</v>
      </c>
      <c r="G2642">
        <v>179</v>
      </c>
    </row>
    <row r="2643" spans="1:7">
      <c r="A2643" t="s">
        <v>1876</v>
      </c>
      <c r="B2643" t="s">
        <v>355</v>
      </c>
      <c r="C2643" t="s">
        <v>1911</v>
      </c>
      <c r="D2643">
        <v>1596</v>
      </c>
      <c r="E2643">
        <v>1614</v>
      </c>
      <c r="F2643">
        <v>1575</v>
      </c>
      <c r="G2643">
        <v>1528</v>
      </c>
    </row>
    <row r="2644" spans="1:7">
      <c r="A2644" t="s">
        <v>1876</v>
      </c>
      <c r="B2644" t="s">
        <v>355</v>
      </c>
      <c r="C2644" t="s">
        <v>1912</v>
      </c>
      <c r="D2644">
        <v>2399</v>
      </c>
      <c r="E2644">
        <v>2463</v>
      </c>
      <c r="F2644">
        <v>2299</v>
      </c>
      <c r="G2644">
        <v>2318</v>
      </c>
    </row>
    <row r="2645" spans="1:7">
      <c r="A2645" t="s">
        <v>1876</v>
      </c>
      <c r="B2645" t="s">
        <v>355</v>
      </c>
      <c r="C2645" t="s">
        <v>168</v>
      </c>
      <c r="D2645">
        <v>15406</v>
      </c>
      <c r="E2645">
        <v>16068</v>
      </c>
      <c r="F2645">
        <v>14769</v>
      </c>
      <c r="G2645">
        <v>14200</v>
      </c>
    </row>
    <row r="2646" spans="1:7">
      <c r="A2646" t="s">
        <v>1876</v>
      </c>
      <c r="B2646" t="s">
        <v>355</v>
      </c>
      <c r="C2646" t="s">
        <v>169</v>
      </c>
      <c r="D2646">
        <v>0</v>
      </c>
      <c r="E2646">
        <v>0</v>
      </c>
      <c r="F2646">
        <v>0</v>
      </c>
      <c r="G2646">
        <v>0</v>
      </c>
    </row>
    <row r="2647" spans="1:7">
      <c r="A2647" t="s">
        <v>1876</v>
      </c>
      <c r="B2647" t="s">
        <v>355</v>
      </c>
      <c r="C2647" t="s">
        <v>1704</v>
      </c>
      <c r="D2647">
        <v>3273</v>
      </c>
      <c r="E2647">
        <v>3322</v>
      </c>
      <c r="F2647">
        <v>3296</v>
      </c>
      <c r="G2647">
        <v>3303</v>
      </c>
    </row>
    <row r="2648" spans="1:7">
      <c r="A2648" t="s">
        <v>1876</v>
      </c>
      <c r="B2648" t="s">
        <v>355</v>
      </c>
      <c r="C2648" t="s">
        <v>170</v>
      </c>
      <c r="D2648">
        <v>0</v>
      </c>
      <c r="E2648">
        <v>0</v>
      </c>
      <c r="F2648">
        <v>0</v>
      </c>
      <c r="G2648">
        <v>0</v>
      </c>
    </row>
    <row r="2649" spans="1:7">
      <c r="A2649" t="s">
        <v>1876</v>
      </c>
      <c r="B2649" t="s">
        <v>355</v>
      </c>
      <c r="C2649" t="s">
        <v>171</v>
      </c>
      <c r="D2649">
        <v>73063</v>
      </c>
      <c r="E2649">
        <v>64238</v>
      </c>
      <c r="F2649">
        <v>65012</v>
      </c>
      <c r="G2649">
        <v>67011</v>
      </c>
    </row>
    <row r="2650" spans="1:7">
      <c r="A2650" t="s">
        <v>1876</v>
      </c>
      <c r="B2650" t="s">
        <v>355</v>
      </c>
      <c r="C2650" t="s">
        <v>172</v>
      </c>
      <c r="D2650">
        <v>0</v>
      </c>
      <c r="E2650">
        <v>0</v>
      </c>
      <c r="F2650">
        <v>0</v>
      </c>
      <c r="G2650">
        <v>0</v>
      </c>
    </row>
    <row r="2651" spans="1:7">
      <c r="A2651" t="s">
        <v>1876</v>
      </c>
      <c r="B2651" t="s">
        <v>355</v>
      </c>
      <c r="C2651" t="s">
        <v>1913</v>
      </c>
      <c r="D2651">
        <v>4.8</v>
      </c>
      <c r="E2651">
        <v>7.1</v>
      </c>
      <c r="F2651">
        <v>11.4</v>
      </c>
      <c r="G2651">
        <v>15.2</v>
      </c>
    </row>
    <row r="2652" spans="1:7">
      <c r="A2652" t="s">
        <v>1876</v>
      </c>
      <c r="B2652" t="s">
        <v>355</v>
      </c>
      <c r="C2652" t="s">
        <v>1914</v>
      </c>
      <c r="D2652">
        <v>0.6</v>
      </c>
      <c r="E2652">
        <v>0.8</v>
      </c>
      <c r="F2652">
        <v>1.4</v>
      </c>
      <c r="G2652">
        <v>1.8</v>
      </c>
    </row>
    <row r="2653" spans="1:7">
      <c r="A2653" t="s">
        <v>1876</v>
      </c>
      <c r="B2653" t="s">
        <v>355</v>
      </c>
      <c r="C2653" t="s">
        <v>173</v>
      </c>
      <c r="D2653">
        <v>4173</v>
      </c>
      <c r="E2653">
        <v>4105</v>
      </c>
      <c r="F2653">
        <v>4270</v>
      </c>
      <c r="G2653">
        <v>4229</v>
      </c>
    </row>
    <row r="2654" spans="1:7">
      <c r="A2654" t="s">
        <v>1876</v>
      </c>
      <c r="B2654" t="s">
        <v>355</v>
      </c>
      <c r="C2654" t="s">
        <v>174</v>
      </c>
      <c r="D2654">
        <v>91</v>
      </c>
      <c r="E2654">
        <v>95</v>
      </c>
      <c r="F2654">
        <v>95</v>
      </c>
      <c r="G2654">
        <v>102</v>
      </c>
    </row>
    <row r="2655" spans="1:7">
      <c r="A2655" t="s">
        <v>1876</v>
      </c>
      <c r="B2655" t="s">
        <v>355</v>
      </c>
      <c r="C2655" t="s">
        <v>175</v>
      </c>
      <c r="D2655">
        <v>50</v>
      </c>
      <c r="E2655">
        <v>54</v>
      </c>
      <c r="F2655">
        <v>54</v>
      </c>
      <c r="G2655">
        <v>28</v>
      </c>
    </row>
    <row r="2656" spans="1:7">
      <c r="A2656" t="s">
        <v>1876</v>
      </c>
      <c r="B2656" t="s">
        <v>355</v>
      </c>
      <c r="C2656" t="s">
        <v>176</v>
      </c>
      <c r="D2656">
        <v>0</v>
      </c>
      <c r="E2656">
        <v>0</v>
      </c>
      <c r="F2656">
        <v>0</v>
      </c>
      <c r="G2656">
        <v>0</v>
      </c>
    </row>
    <row r="2657" spans="1:7">
      <c r="A2657" t="s">
        <v>1876</v>
      </c>
      <c r="B2657" t="s">
        <v>355</v>
      </c>
      <c r="C2657" t="s">
        <v>177</v>
      </c>
      <c r="D2657">
        <v>4313</v>
      </c>
      <c r="E2657">
        <v>4254</v>
      </c>
      <c r="F2657">
        <v>4418</v>
      </c>
      <c r="G2657">
        <v>4359</v>
      </c>
    </row>
    <row r="2658" spans="1:7">
      <c r="A2658" t="s">
        <v>1876</v>
      </c>
      <c r="B2658" t="s">
        <v>355</v>
      </c>
      <c r="C2658" t="s">
        <v>178</v>
      </c>
      <c r="D2658">
        <v>0</v>
      </c>
      <c r="E2658">
        <v>0</v>
      </c>
      <c r="F2658">
        <v>0</v>
      </c>
      <c r="G2658">
        <v>0</v>
      </c>
    </row>
    <row r="2659" spans="1:7">
      <c r="A2659" t="s">
        <v>1876</v>
      </c>
      <c r="B2659" t="s">
        <v>355</v>
      </c>
      <c r="C2659" t="s">
        <v>179</v>
      </c>
      <c r="D2659">
        <v>0</v>
      </c>
      <c r="E2659">
        <v>0</v>
      </c>
      <c r="F2659">
        <v>0</v>
      </c>
      <c r="G2659">
        <v>0</v>
      </c>
    </row>
    <row r="2660" spans="1:7">
      <c r="A2660" t="s">
        <v>1876</v>
      </c>
      <c r="B2660" t="s">
        <v>355</v>
      </c>
      <c r="C2660" t="s">
        <v>180</v>
      </c>
      <c r="D2660">
        <v>0</v>
      </c>
      <c r="E2660">
        <v>0</v>
      </c>
      <c r="F2660">
        <v>0</v>
      </c>
      <c r="G2660">
        <v>0</v>
      </c>
    </row>
    <row r="2661" spans="1:7">
      <c r="A2661" t="s">
        <v>1876</v>
      </c>
      <c r="B2661" t="s">
        <v>355</v>
      </c>
      <c r="C2661" t="s">
        <v>181</v>
      </c>
      <c r="D2661">
        <v>14318</v>
      </c>
      <c r="E2661">
        <v>14668</v>
      </c>
      <c r="F2661">
        <v>14155</v>
      </c>
      <c r="G2661">
        <v>14611</v>
      </c>
    </row>
    <row r="2662" spans="1:7">
      <c r="A2662" t="s">
        <v>1876</v>
      </c>
      <c r="B2662" t="s">
        <v>355</v>
      </c>
      <c r="C2662" t="s">
        <v>182</v>
      </c>
      <c r="D2662">
        <v>7210</v>
      </c>
      <c r="E2662">
        <v>6928</v>
      </c>
      <c r="F2662">
        <v>6829</v>
      </c>
      <c r="G2662">
        <v>6541</v>
      </c>
    </row>
    <row r="2663" spans="1:7">
      <c r="A2663" t="s">
        <v>1876</v>
      </c>
      <c r="B2663" t="s">
        <v>355</v>
      </c>
      <c r="C2663" t="s">
        <v>183</v>
      </c>
      <c r="D2663">
        <v>17641</v>
      </c>
      <c r="E2663">
        <v>17777</v>
      </c>
      <c r="F2663">
        <v>16827</v>
      </c>
      <c r="G2663">
        <v>17655</v>
      </c>
    </row>
    <row r="2664" spans="1:7">
      <c r="A2664" t="s">
        <v>1876</v>
      </c>
      <c r="B2664" t="s">
        <v>355</v>
      </c>
      <c r="C2664" t="s">
        <v>184</v>
      </c>
      <c r="D2664">
        <v>39169</v>
      </c>
      <c r="E2664">
        <v>39372</v>
      </c>
      <c r="F2664">
        <v>37811</v>
      </c>
      <c r="G2664">
        <v>38808</v>
      </c>
    </row>
    <row r="2665" spans="1:7">
      <c r="A2665" t="s">
        <v>1876</v>
      </c>
      <c r="B2665" t="s">
        <v>355</v>
      </c>
      <c r="C2665" t="s">
        <v>185</v>
      </c>
      <c r="D2665">
        <v>39169</v>
      </c>
      <c r="E2665">
        <v>39372</v>
      </c>
      <c r="F2665">
        <v>37811</v>
      </c>
      <c r="G2665">
        <v>38808</v>
      </c>
    </row>
    <row r="2666" spans="1:7">
      <c r="A2666" t="s">
        <v>1876</v>
      </c>
      <c r="B2666" t="s">
        <v>355</v>
      </c>
      <c r="C2666" t="s">
        <v>1915</v>
      </c>
      <c r="D2666">
        <v>8</v>
      </c>
      <c r="E2666">
        <v>12</v>
      </c>
      <c r="F2666">
        <v>32</v>
      </c>
      <c r="G2666">
        <v>48</v>
      </c>
    </row>
    <row r="2667" spans="1:7">
      <c r="A2667" t="s">
        <v>1876</v>
      </c>
      <c r="B2667" t="s">
        <v>355</v>
      </c>
      <c r="C2667" t="s">
        <v>1916</v>
      </c>
      <c r="D2667">
        <v>0</v>
      </c>
      <c r="E2667">
        <v>0</v>
      </c>
      <c r="F2667">
        <v>0</v>
      </c>
      <c r="G2667">
        <v>0</v>
      </c>
    </row>
    <row r="2668" spans="1:7">
      <c r="A2668" t="s">
        <v>1876</v>
      </c>
      <c r="B2668" t="s">
        <v>355</v>
      </c>
      <c r="C2668" t="s">
        <v>1917</v>
      </c>
      <c r="D2668">
        <v>5</v>
      </c>
      <c r="E2668">
        <v>5</v>
      </c>
      <c r="F2668">
        <v>5</v>
      </c>
      <c r="G2668">
        <v>5</v>
      </c>
    </row>
    <row r="2669" spans="1:7">
      <c r="A2669" t="s">
        <v>1876</v>
      </c>
      <c r="B2669" t="s">
        <v>355</v>
      </c>
      <c r="C2669" t="s">
        <v>1918</v>
      </c>
      <c r="D2669">
        <v>353</v>
      </c>
      <c r="E2669">
        <v>398</v>
      </c>
      <c r="F2669">
        <v>387</v>
      </c>
      <c r="G2669">
        <v>429</v>
      </c>
    </row>
    <row r="2670" spans="1:7">
      <c r="A2670" t="s">
        <v>1876</v>
      </c>
      <c r="B2670" t="s">
        <v>355</v>
      </c>
      <c r="C2670" t="s">
        <v>1919</v>
      </c>
      <c r="D2670">
        <v>3.15</v>
      </c>
      <c r="E2670">
        <v>2.84</v>
      </c>
      <c r="F2670">
        <v>2.4</v>
      </c>
      <c r="G2670">
        <v>2.23</v>
      </c>
    </row>
    <row r="2671" spans="1:7">
      <c r="A2671" t="s">
        <v>1876</v>
      </c>
      <c r="B2671" t="s">
        <v>355</v>
      </c>
      <c r="C2671" t="s">
        <v>1920</v>
      </c>
      <c r="D2671">
        <v>452</v>
      </c>
      <c r="E2671">
        <v>511</v>
      </c>
      <c r="F2671">
        <v>597</v>
      </c>
      <c r="G2671">
        <v>699</v>
      </c>
    </row>
    <row r="2672" spans="1:7">
      <c r="A2672" t="s">
        <v>1876</v>
      </c>
      <c r="B2672" t="s">
        <v>355</v>
      </c>
      <c r="C2672" t="s">
        <v>1921</v>
      </c>
      <c r="D2672">
        <v>138</v>
      </c>
      <c r="E2672">
        <v>166</v>
      </c>
      <c r="F2672">
        <v>213</v>
      </c>
      <c r="G2672">
        <v>258</v>
      </c>
    </row>
    <row r="2673" spans="1:7">
      <c r="A2673" t="s">
        <v>1876</v>
      </c>
      <c r="B2673" t="s">
        <v>355</v>
      </c>
      <c r="C2673" t="s">
        <v>1922</v>
      </c>
      <c r="D2673">
        <v>94</v>
      </c>
      <c r="E2673">
        <v>108</v>
      </c>
      <c r="F2673">
        <v>205</v>
      </c>
      <c r="G2673">
        <v>265</v>
      </c>
    </row>
    <row r="2674" spans="1:7">
      <c r="A2674" t="s">
        <v>1876</v>
      </c>
      <c r="B2674" t="s">
        <v>355</v>
      </c>
      <c r="C2674" t="s">
        <v>1923</v>
      </c>
      <c r="D2674">
        <v>3.36</v>
      </c>
      <c r="E2674">
        <v>3.86</v>
      </c>
      <c r="F2674">
        <v>3.87</v>
      </c>
      <c r="G2674">
        <v>3.84</v>
      </c>
    </row>
    <row r="2675" spans="1:7">
      <c r="A2675" t="s">
        <v>1876</v>
      </c>
      <c r="B2675" t="s">
        <v>355</v>
      </c>
      <c r="C2675" t="s">
        <v>1924</v>
      </c>
      <c r="D2675">
        <v>6</v>
      </c>
      <c r="E2675">
        <v>2</v>
      </c>
      <c r="F2675">
        <v>2</v>
      </c>
      <c r="G2675">
        <v>2</v>
      </c>
    </row>
    <row r="2676" spans="1:7">
      <c r="A2676" t="s">
        <v>1876</v>
      </c>
      <c r="B2676" t="s">
        <v>355</v>
      </c>
      <c r="C2676" t="s">
        <v>1925</v>
      </c>
      <c r="D2676">
        <v>17</v>
      </c>
      <c r="E2676">
        <v>41</v>
      </c>
      <c r="F2676">
        <v>41</v>
      </c>
      <c r="G2676">
        <v>41</v>
      </c>
    </row>
    <row r="2677" spans="1:7">
      <c r="A2677" t="s">
        <v>1876</v>
      </c>
      <c r="B2677" t="s">
        <v>355</v>
      </c>
      <c r="C2677" t="s">
        <v>1926</v>
      </c>
      <c r="D2677">
        <v>115</v>
      </c>
      <c r="E2677">
        <v>123</v>
      </c>
      <c r="F2677">
        <v>170</v>
      </c>
      <c r="G2677">
        <v>215</v>
      </c>
    </row>
    <row r="2678" spans="1:7">
      <c r="A2678" t="s">
        <v>1876</v>
      </c>
      <c r="B2678" t="s">
        <v>355</v>
      </c>
      <c r="C2678" t="s">
        <v>1927</v>
      </c>
      <c r="D2678">
        <v>3</v>
      </c>
      <c r="E2678">
        <v>7</v>
      </c>
      <c r="F2678">
        <v>7</v>
      </c>
      <c r="G2678">
        <v>6</v>
      </c>
    </row>
    <row r="2679" spans="1:7">
      <c r="A2679" t="s">
        <v>1876</v>
      </c>
      <c r="B2679" t="s">
        <v>355</v>
      </c>
      <c r="C2679" t="s">
        <v>1928</v>
      </c>
      <c r="D2679">
        <v>128</v>
      </c>
      <c r="E2679">
        <v>148</v>
      </c>
      <c r="F2679">
        <v>195</v>
      </c>
      <c r="G2679">
        <v>239</v>
      </c>
    </row>
    <row r="2680" spans="1:7">
      <c r="A2680" t="s">
        <v>1876</v>
      </c>
      <c r="B2680" t="s">
        <v>355</v>
      </c>
      <c r="C2680" t="s">
        <v>1929</v>
      </c>
      <c r="D2680">
        <v>7</v>
      </c>
      <c r="E2680">
        <v>11</v>
      </c>
      <c r="F2680">
        <v>11</v>
      </c>
      <c r="G2680">
        <v>13</v>
      </c>
    </row>
    <row r="2681" spans="1:7">
      <c r="A2681" t="s">
        <v>1876</v>
      </c>
      <c r="B2681" t="s">
        <v>355</v>
      </c>
      <c r="C2681" t="s">
        <v>186</v>
      </c>
      <c r="D2681">
        <v>0</v>
      </c>
      <c r="E2681">
        <v>0</v>
      </c>
      <c r="F2681">
        <v>0</v>
      </c>
      <c r="G2681">
        <v>0</v>
      </c>
    </row>
    <row r="2682" spans="1:7">
      <c r="A2682" t="s">
        <v>1876</v>
      </c>
      <c r="B2682" t="s">
        <v>355</v>
      </c>
      <c r="C2682" t="s">
        <v>187</v>
      </c>
      <c r="D2682">
        <v>0</v>
      </c>
      <c r="E2682">
        <v>0</v>
      </c>
      <c r="F2682">
        <v>0</v>
      </c>
      <c r="G2682">
        <v>0</v>
      </c>
    </row>
    <row r="2683" spans="1:7">
      <c r="A2683" t="s">
        <v>1876</v>
      </c>
      <c r="B2683" t="s">
        <v>355</v>
      </c>
      <c r="C2683" t="s">
        <v>1705</v>
      </c>
      <c r="D2683">
        <v>3218</v>
      </c>
      <c r="E2683">
        <v>3216</v>
      </c>
      <c r="F2683">
        <v>3190</v>
      </c>
      <c r="G2683">
        <v>3190</v>
      </c>
    </row>
    <row r="2684" spans="1:7">
      <c r="A2684" t="s">
        <v>1876</v>
      </c>
      <c r="B2684" t="s">
        <v>355</v>
      </c>
      <c r="C2684" t="s">
        <v>188</v>
      </c>
      <c r="D2684">
        <v>200923</v>
      </c>
      <c r="E2684">
        <v>203578</v>
      </c>
      <c r="F2684">
        <v>195461</v>
      </c>
      <c r="G2684">
        <v>186956</v>
      </c>
    </row>
    <row r="2685" spans="1:7">
      <c r="A2685" t="s">
        <v>1876</v>
      </c>
      <c r="B2685" t="s">
        <v>355</v>
      </c>
      <c r="C2685" t="s">
        <v>189</v>
      </c>
      <c r="D2685">
        <v>0</v>
      </c>
      <c r="E2685">
        <v>0</v>
      </c>
      <c r="F2685">
        <v>0</v>
      </c>
      <c r="G2685">
        <v>0</v>
      </c>
    </row>
    <row r="2686" spans="1:7">
      <c r="A2686" t="s">
        <v>1876</v>
      </c>
      <c r="B2686" t="s">
        <v>355</v>
      </c>
      <c r="C2686" t="s">
        <v>190</v>
      </c>
      <c r="D2686">
        <v>0</v>
      </c>
      <c r="E2686">
        <v>0</v>
      </c>
      <c r="F2686">
        <v>0</v>
      </c>
      <c r="G2686">
        <v>0</v>
      </c>
    </row>
    <row r="2687" spans="1:7">
      <c r="A2687" t="s">
        <v>1876</v>
      </c>
      <c r="B2687" t="s">
        <v>355</v>
      </c>
      <c r="C2687" t="s">
        <v>191</v>
      </c>
      <c r="D2687">
        <v>0</v>
      </c>
      <c r="E2687">
        <v>0</v>
      </c>
      <c r="F2687">
        <v>0</v>
      </c>
      <c r="G2687">
        <v>0</v>
      </c>
    </row>
    <row r="2688" spans="1:7">
      <c r="A2688" t="s">
        <v>1876</v>
      </c>
      <c r="B2688" t="s">
        <v>355</v>
      </c>
      <c r="C2688" t="s">
        <v>192</v>
      </c>
      <c r="D2688">
        <v>83554.7</v>
      </c>
      <c r="E2688">
        <v>97030.399999999994</v>
      </c>
      <c r="F2688">
        <v>103332.5</v>
      </c>
      <c r="G2688">
        <v>110971.8</v>
      </c>
    </row>
    <row r="2689" spans="1:7">
      <c r="A2689" t="s">
        <v>1876</v>
      </c>
      <c r="B2689" t="s">
        <v>355</v>
      </c>
      <c r="C2689" t="s">
        <v>193</v>
      </c>
      <c r="D2689">
        <v>75205.5</v>
      </c>
      <c r="E2689">
        <v>81111.8</v>
      </c>
      <c r="F2689">
        <v>82090.899999999994</v>
      </c>
      <c r="G2689">
        <v>85350.5</v>
      </c>
    </row>
    <row r="2690" spans="1:7">
      <c r="A2690" t="s">
        <v>1876</v>
      </c>
      <c r="B2690" t="s">
        <v>355</v>
      </c>
      <c r="C2690" t="s">
        <v>1930</v>
      </c>
      <c r="D2690">
        <v>0</v>
      </c>
      <c r="E2690">
        <v>0</v>
      </c>
      <c r="F2690">
        <v>0</v>
      </c>
      <c r="G2690">
        <v>0</v>
      </c>
    </row>
    <row r="2691" spans="1:7">
      <c r="A2691" t="s">
        <v>1876</v>
      </c>
      <c r="B2691" t="s">
        <v>355</v>
      </c>
      <c r="C2691" t="s">
        <v>194</v>
      </c>
      <c r="D2691">
        <v>0</v>
      </c>
      <c r="E2691">
        <v>0</v>
      </c>
      <c r="F2691">
        <v>0</v>
      </c>
      <c r="G2691">
        <v>0</v>
      </c>
    </row>
    <row r="2692" spans="1:7">
      <c r="A2692" t="s">
        <v>1876</v>
      </c>
      <c r="B2692" t="s">
        <v>355</v>
      </c>
      <c r="C2692" t="s">
        <v>195</v>
      </c>
      <c r="D2692">
        <v>0</v>
      </c>
      <c r="E2692">
        <v>0</v>
      </c>
      <c r="F2692">
        <v>0</v>
      </c>
      <c r="G2692">
        <v>0</v>
      </c>
    </row>
    <row r="2693" spans="1:7">
      <c r="A2693" t="s">
        <v>1876</v>
      </c>
      <c r="B2693" t="s">
        <v>355</v>
      </c>
      <c r="C2693" t="s">
        <v>1706</v>
      </c>
      <c r="D2693">
        <v>0</v>
      </c>
      <c r="E2693">
        <v>0</v>
      </c>
      <c r="F2693">
        <v>0</v>
      </c>
      <c r="G2693">
        <v>0</v>
      </c>
    </row>
    <row r="2694" spans="1:7">
      <c r="A2694" t="s">
        <v>1876</v>
      </c>
      <c r="B2694" t="s">
        <v>355</v>
      </c>
      <c r="C2694" t="s">
        <v>196</v>
      </c>
      <c r="D2694">
        <v>0</v>
      </c>
      <c r="E2694">
        <v>0</v>
      </c>
      <c r="F2694">
        <v>0</v>
      </c>
      <c r="G2694">
        <v>0</v>
      </c>
    </row>
    <row r="2695" spans="1:7">
      <c r="A2695" t="s">
        <v>1876</v>
      </c>
      <c r="B2695" t="s">
        <v>355</v>
      </c>
      <c r="C2695" t="s">
        <v>197</v>
      </c>
      <c r="D2695">
        <v>430</v>
      </c>
      <c r="E2695">
        <v>430</v>
      </c>
      <c r="F2695">
        <v>430</v>
      </c>
      <c r="G2695">
        <v>430</v>
      </c>
    </row>
    <row r="2696" spans="1:7">
      <c r="A2696" t="s">
        <v>1876</v>
      </c>
      <c r="B2696" t="s">
        <v>355</v>
      </c>
      <c r="C2696" t="s">
        <v>198</v>
      </c>
      <c r="D2696">
        <v>430</v>
      </c>
      <c r="E2696">
        <v>430</v>
      </c>
      <c r="F2696">
        <v>430</v>
      </c>
      <c r="G2696">
        <v>430</v>
      </c>
    </row>
    <row r="2697" spans="1:7">
      <c r="A2697" t="s">
        <v>1876</v>
      </c>
      <c r="B2697" t="s">
        <v>355</v>
      </c>
      <c r="C2697" t="s">
        <v>199</v>
      </c>
      <c r="D2697">
        <v>430</v>
      </c>
      <c r="E2697">
        <v>430</v>
      </c>
      <c r="F2697">
        <v>430</v>
      </c>
      <c r="G2697">
        <v>430</v>
      </c>
    </row>
    <row r="2698" spans="1:7">
      <c r="A2698" t="s">
        <v>1876</v>
      </c>
      <c r="B2698" t="s">
        <v>355</v>
      </c>
      <c r="C2698" t="s">
        <v>200</v>
      </c>
      <c r="D2698">
        <v>213</v>
      </c>
      <c r="E2698">
        <v>346</v>
      </c>
      <c r="F2698">
        <v>318</v>
      </c>
      <c r="G2698">
        <v>275</v>
      </c>
    </row>
    <row r="2699" spans="1:7">
      <c r="A2699" t="s">
        <v>1876</v>
      </c>
      <c r="B2699" t="s">
        <v>355</v>
      </c>
      <c r="C2699" t="s">
        <v>201</v>
      </c>
      <c r="D2699">
        <v>657</v>
      </c>
      <c r="E2699">
        <v>866</v>
      </c>
      <c r="F2699">
        <v>987</v>
      </c>
      <c r="G2699">
        <v>1009</v>
      </c>
    </row>
    <row r="2700" spans="1:7">
      <c r="A2700" t="s">
        <v>1876</v>
      </c>
      <c r="B2700" t="s">
        <v>355</v>
      </c>
      <c r="C2700" t="s">
        <v>202</v>
      </c>
      <c r="D2700">
        <v>1286</v>
      </c>
      <c r="E2700">
        <v>892</v>
      </c>
      <c r="F2700">
        <v>930</v>
      </c>
      <c r="G2700">
        <v>1069</v>
      </c>
    </row>
    <row r="2701" spans="1:7">
      <c r="A2701" t="s">
        <v>1876</v>
      </c>
      <c r="B2701" t="s">
        <v>355</v>
      </c>
      <c r="C2701" t="s">
        <v>203</v>
      </c>
      <c r="D2701">
        <v>2402</v>
      </c>
      <c r="E2701">
        <v>2831</v>
      </c>
      <c r="F2701">
        <v>1952</v>
      </c>
      <c r="G2701">
        <v>2183</v>
      </c>
    </row>
    <row r="2702" spans="1:7">
      <c r="A2702" t="s">
        <v>1876</v>
      </c>
      <c r="B2702" t="s">
        <v>355</v>
      </c>
      <c r="C2702" t="s">
        <v>204</v>
      </c>
      <c r="D2702">
        <v>4557</v>
      </c>
      <c r="E2702">
        <v>4934</v>
      </c>
      <c r="F2702">
        <v>4187</v>
      </c>
      <c r="G2702">
        <v>4536</v>
      </c>
    </row>
    <row r="2703" spans="1:7">
      <c r="A2703" t="s">
        <v>1876</v>
      </c>
      <c r="B2703" t="s">
        <v>355</v>
      </c>
      <c r="C2703" t="s">
        <v>205</v>
      </c>
      <c r="D2703">
        <v>4557</v>
      </c>
      <c r="E2703">
        <v>4934</v>
      </c>
      <c r="F2703">
        <v>4187</v>
      </c>
      <c r="G2703">
        <v>4536</v>
      </c>
    </row>
    <row r="2704" spans="1:7">
      <c r="A2704" t="s">
        <v>1876</v>
      </c>
      <c r="B2704" t="s">
        <v>355</v>
      </c>
      <c r="C2704" t="s">
        <v>1931</v>
      </c>
      <c r="D2704">
        <v>0</v>
      </c>
      <c r="E2704">
        <v>0</v>
      </c>
      <c r="F2704">
        <v>0</v>
      </c>
      <c r="G2704">
        <v>0</v>
      </c>
    </row>
    <row r="2705" spans="1:7">
      <c r="A2705" t="s">
        <v>1876</v>
      </c>
      <c r="B2705" t="s">
        <v>355</v>
      </c>
      <c r="C2705" t="s">
        <v>1707</v>
      </c>
      <c r="D2705">
        <v>0</v>
      </c>
      <c r="E2705">
        <v>0</v>
      </c>
      <c r="F2705">
        <v>0</v>
      </c>
      <c r="G2705">
        <v>0</v>
      </c>
    </row>
    <row r="2706" spans="1:7">
      <c r="A2706" t="s">
        <v>1876</v>
      </c>
      <c r="B2706" t="s">
        <v>355</v>
      </c>
      <c r="C2706" t="s">
        <v>1932</v>
      </c>
      <c r="D2706">
        <v>0</v>
      </c>
      <c r="E2706">
        <v>0</v>
      </c>
      <c r="F2706">
        <v>0</v>
      </c>
      <c r="G2706">
        <v>0</v>
      </c>
    </row>
    <row r="2707" spans="1:7">
      <c r="A2707" t="s">
        <v>1876</v>
      </c>
      <c r="B2707" t="s">
        <v>355</v>
      </c>
      <c r="C2707" t="s">
        <v>1708</v>
      </c>
      <c r="D2707">
        <v>0</v>
      </c>
      <c r="E2707">
        <v>0</v>
      </c>
      <c r="F2707">
        <v>0</v>
      </c>
      <c r="G2707">
        <v>0</v>
      </c>
    </row>
    <row r="2708" spans="1:7">
      <c r="A2708" t="s">
        <v>1876</v>
      </c>
      <c r="B2708" t="s">
        <v>355</v>
      </c>
      <c r="C2708" t="s">
        <v>206</v>
      </c>
      <c r="D2708">
        <v>0</v>
      </c>
      <c r="E2708">
        <v>0</v>
      </c>
      <c r="F2708">
        <v>0</v>
      </c>
      <c r="G2708">
        <v>0</v>
      </c>
    </row>
    <row r="2709" spans="1:7">
      <c r="A2709" t="s">
        <v>1876</v>
      </c>
      <c r="B2709" t="s">
        <v>355</v>
      </c>
      <c r="C2709" t="s">
        <v>207</v>
      </c>
      <c r="D2709">
        <v>0</v>
      </c>
      <c r="E2709">
        <v>0</v>
      </c>
      <c r="F2709">
        <v>0</v>
      </c>
      <c r="G2709">
        <v>0</v>
      </c>
    </row>
    <row r="2710" spans="1:7">
      <c r="A2710" t="s">
        <v>1876</v>
      </c>
      <c r="B2710" t="s">
        <v>355</v>
      </c>
      <c r="C2710" t="s">
        <v>208</v>
      </c>
      <c r="D2710">
        <v>0</v>
      </c>
      <c r="E2710">
        <v>0</v>
      </c>
      <c r="F2710">
        <v>0</v>
      </c>
      <c r="G2710">
        <v>0</v>
      </c>
    </row>
    <row r="2711" spans="1:7">
      <c r="A2711" t="s">
        <v>1876</v>
      </c>
      <c r="B2711" t="s">
        <v>355</v>
      </c>
      <c r="C2711" t="s">
        <v>209</v>
      </c>
      <c r="D2711">
        <v>0</v>
      </c>
      <c r="E2711">
        <v>0</v>
      </c>
      <c r="F2711">
        <v>0</v>
      </c>
      <c r="G2711">
        <v>0</v>
      </c>
    </row>
    <row r="2712" spans="1:7">
      <c r="A2712" t="s">
        <v>1876</v>
      </c>
      <c r="B2712" t="s">
        <v>355</v>
      </c>
      <c r="C2712" t="s">
        <v>210</v>
      </c>
      <c r="D2712">
        <v>0</v>
      </c>
      <c r="E2712">
        <v>0</v>
      </c>
      <c r="F2712">
        <v>0</v>
      </c>
      <c r="G2712">
        <v>0</v>
      </c>
    </row>
    <row r="2713" spans="1:7">
      <c r="A2713" t="s">
        <v>1876</v>
      </c>
      <c r="B2713" t="s">
        <v>355</v>
      </c>
      <c r="C2713" t="s">
        <v>211</v>
      </c>
      <c r="D2713">
        <v>0</v>
      </c>
      <c r="E2713">
        <v>0</v>
      </c>
      <c r="F2713">
        <v>0</v>
      </c>
      <c r="G2713">
        <v>0</v>
      </c>
    </row>
    <row r="2714" spans="1:7">
      <c r="A2714" t="s">
        <v>1876</v>
      </c>
      <c r="B2714" t="s">
        <v>355</v>
      </c>
      <c r="C2714" t="s">
        <v>212</v>
      </c>
      <c r="D2714">
        <v>0</v>
      </c>
      <c r="E2714">
        <v>0</v>
      </c>
      <c r="F2714">
        <v>0</v>
      </c>
      <c r="G2714">
        <v>0</v>
      </c>
    </row>
    <row r="2715" spans="1:7">
      <c r="A2715" t="s">
        <v>1876</v>
      </c>
      <c r="B2715" t="s">
        <v>355</v>
      </c>
      <c r="C2715" t="s">
        <v>213</v>
      </c>
      <c r="D2715">
        <v>0</v>
      </c>
      <c r="E2715">
        <v>0</v>
      </c>
      <c r="F2715">
        <v>0</v>
      </c>
      <c r="G2715">
        <v>0</v>
      </c>
    </row>
    <row r="2716" spans="1:7">
      <c r="A2716" t="s">
        <v>1876</v>
      </c>
      <c r="B2716" t="s">
        <v>355</v>
      </c>
      <c r="C2716" t="s">
        <v>214</v>
      </c>
      <c r="D2716">
        <v>0</v>
      </c>
      <c r="E2716">
        <v>0</v>
      </c>
      <c r="F2716">
        <v>0</v>
      </c>
      <c r="G2716">
        <v>0</v>
      </c>
    </row>
    <row r="2717" spans="1:7">
      <c r="A2717" t="s">
        <v>1876</v>
      </c>
      <c r="B2717" t="s">
        <v>355</v>
      </c>
      <c r="C2717" t="s">
        <v>215</v>
      </c>
      <c r="D2717">
        <v>11398</v>
      </c>
      <c r="E2717">
        <v>9836</v>
      </c>
      <c r="F2717">
        <v>11077</v>
      </c>
      <c r="G2717">
        <v>9518</v>
      </c>
    </row>
    <row r="2718" spans="1:7">
      <c r="A2718" t="s">
        <v>1876</v>
      </c>
      <c r="B2718" t="s">
        <v>355</v>
      </c>
      <c r="C2718" t="s">
        <v>216</v>
      </c>
      <c r="D2718">
        <v>11398</v>
      </c>
      <c r="E2718">
        <v>9836</v>
      </c>
      <c r="F2718">
        <v>11077</v>
      </c>
      <c r="G2718">
        <v>9518</v>
      </c>
    </row>
    <row r="2719" spans="1:7">
      <c r="A2719" t="s">
        <v>1876</v>
      </c>
      <c r="B2719" t="s">
        <v>355</v>
      </c>
      <c r="C2719" t="s">
        <v>217</v>
      </c>
      <c r="D2719">
        <v>11398</v>
      </c>
      <c r="E2719">
        <v>9836</v>
      </c>
      <c r="F2719">
        <v>11077</v>
      </c>
      <c r="G2719">
        <v>9518</v>
      </c>
    </row>
    <row r="2720" spans="1:7">
      <c r="A2720" t="s">
        <v>1876</v>
      </c>
      <c r="B2720" t="s">
        <v>355</v>
      </c>
      <c r="C2720" t="s">
        <v>218</v>
      </c>
      <c r="D2720">
        <v>9</v>
      </c>
      <c r="E2720">
        <v>8</v>
      </c>
      <c r="F2720">
        <v>14</v>
      </c>
      <c r="G2720">
        <v>11</v>
      </c>
    </row>
    <row r="2721" spans="1:7">
      <c r="A2721" t="s">
        <v>1876</v>
      </c>
      <c r="B2721" t="s">
        <v>355</v>
      </c>
      <c r="C2721" t="s">
        <v>219</v>
      </c>
      <c r="D2721">
        <v>1</v>
      </c>
      <c r="E2721">
        <v>0</v>
      </c>
      <c r="F2721">
        <v>2</v>
      </c>
      <c r="G2721">
        <v>1</v>
      </c>
    </row>
    <row r="2722" spans="1:7">
      <c r="A2722" t="s">
        <v>1876</v>
      </c>
      <c r="B2722" t="s">
        <v>355</v>
      </c>
      <c r="C2722" t="s">
        <v>220</v>
      </c>
      <c r="D2722">
        <v>54</v>
      </c>
      <c r="E2722">
        <v>49</v>
      </c>
      <c r="F2722">
        <v>84</v>
      </c>
      <c r="G2722">
        <v>67</v>
      </c>
    </row>
    <row r="2723" spans="1:7">
      <c r="A2723" t="s">
        <v>1876</v>
      </c>
      <c r="B2723" t="s">
        <v>355</v>
      </c>
      <c r="C2723" t="s">
        <v>221</v>
      </c>
      <c r="D2723">
        <v>64</v>
      </c>
      <c r="E2723">
        <v>58</v>
      </c>
      <c r="F2723">
        <v>100</v>
      </c>
      <c r="G2723">
        <v>80</v>
      </c>
    </row>
    <row r="2724" spans="1:7">
      <c r="A2724" t="s">
        <v>1876</v>
      </c>
      <c r="B2724" t="s">
        <v>355</v>
      </c>
      <c r="C2724" t="s">
        <v>222</v>
      </c>
      <c r="D2724">
        <v>64</v>
      </c>
      <c r="E2724">
        <v>58</v>
      </c>
      <c r="F2724">
        <v>100</v>
      </c>
      <c r="G2724">
        <v>80</v>
      </c>
    </row>
    <row r="2725" spans="1:7">
      <c r="A2725" t="s">
        <v>1876</v>
      </c>
      <c r="B2725" t="s">
        <v>355</v>
      </c>
      <c r="C2725" t="s">
        <v>1933</v>
      </c>
      <c r="D2725">
        <v>849.8</v>
      </c>
      <c r="E2725">
        <v>848.1</v>
      </c>
      <c r="F2725">
        <v>843.4</v>
      </c>
      <c r="G2725">
        <v>848.3</v>
      </c>
    </row>
    <row r="2726" spans="1:7">
      <c r="A2726" t="s">
        <v>1876</v>
      </c>
      <c r="B2726" t="s">
        <v>355</v>
      </c>
      <c r="C2726" t="s">
        <v>223</v>
      </c>
      <c r="D2726">
        <v>0</v>
      </c>
      <c r="E2726">
        <v>0</v>
      </c>
      <c r="F2726">
        <v>0</v>
      </c>
      <c r="G2726">
        <v>0</v>
      </c>
    </row>
    <row r="2727" spans="1:7">
      <c r="A2727" t="s">
        <v>1876</v>
      </c>
      <c r="B2727" t="s">
        <v>355</v>
      </c>
      <c r="C2727" t="s">
        <v>224</v>
      </c>
      <c r="D2727">
        <v>23525</v>
      </c>
      <c r="E2727">
        <v>22935</v>
      </c>
      <c r="F2727">
        <v>21291</v>
      </c>
      <c r="G2727">
        <v>22697</v>
      </c>
    </row>
    <row r="2728" spans="1:7">
      <c r="A2728" t="s">
        <v>1876</v>
      </c>
      <c r="B2728" t="s">
        <v>355</v>
      </c>
      <c r="C2728" t="s">
        <v>225</v>
      </c>
      <c r="D2728">
        <v>11846</v>
      </c>
      <c r="E2728">
        <v>10833</v>
      </c>
      <c r="F2728">
        <v>10271</v>
      </c>
      <c r="G2728">
        <v>10162</v>
      </c>
    </row>
    <row r="2729" spans="1:7">
      <c r="A2729" t="s">
        <v>1876</v>
      </c>
      <c r="B2729" t="s">
        <v>355</v>
      </c>
      <c r="C2729" t="s">
        <v>226</v>
      </c>
      <c r="D2729">
        <v>28986</v>
      </c>
      <c r="E2729">
        <v>27797</v>
      </c>
      <c r="F2729">
        <v>25311</v>
      </c>
      <c r="G2729">
        <v>27427</v>
      </c>
    </row>
    <row r="2730" spans="1:7">
      <c r="A2730" t="s">
        <v>1876</v>
      </c>
      <c r="B2730" t="s">
        <v>355</v>
      </c>
      <c r="C2730" t="s">
        <v>227</v>
      </c>
      <c r="D2730">
        <v>64356</v>
      </c>
      <c r="E2730">
        <v>61565</v>
      </c>
      <c r="F2730">
        <v>56872</v>
      </c>
      <c r="G2730">
        <v>60286</v>
      </c>
    </row>
    <row r="2731" spans="1:7">
      <c r="A2731" t="s">
        <v>1876</v>
      </c>
      <c r="B2731" t="s">
        <v>355</v>
      </c>
      <c r="C2731" t="s">
        <v>228</v>
      </c>
      <c r="D2731">
        <v>64356</v>
      </c>
      <c r="E2731">
        <v>61565</v>
      </c>
      <c r="F2731">
        <v>56872</v>
      </c>
      <c r="G2731">
        <v>60286</v>
      </c>
    </row>
    <row r="2732" spans="1:7">
      <c r="A2732" t="s">
        <v>1876</v>
      </c>
      <c r="B2732" t="s">
        <v>355</v>
      </c>
      <c r="C2732" t="s">
        <v>229</v>
      </c>
      <c r="D2732">
        <v>318</v>
      </c>
      <c r="E2732">
        <v>330</v>
      </c>
      <c r="F2732">
        <v>247</v>
      </c>
      <c r="G2732">
        <v>232</v>
      </c>
    </row>
    <row r="2733" spans="1:7">
      <c r="A2733" t="s">
        <v>1876</v>
      </c>
      <c r="B2733" t="s">
        <v>355</v>
      </c>
      <c r="C2733" t="s">
        <v>230</v>
      </c>
      <c r="D2733">
        <v>264</v>
      </c>
      <c r="E2733">
        <v>287</v>
      </c>
      <c r="F2733">
        <v>214</v>
      </c>
      <c r="G2733">
        <v>210</v>
      </c>
    </row>
    <row r="2734" spans="1:7">
      <c r="A2734" t="s">
        <v>1876</v>
      </c>
      <c r="B2734" t="s">
        <v>355</v>
      </c>
      <c r="C2734" t="s">
        <v>231</v>
      </c>
      <c r="D2734">
        <v>582</v>
      </c>
      <c r="E2734">
        <v>617</v>
      </c>
      <c r="F2734">
        <v>461</v>
      </c>
      <c r="G2734">
        <v>442</v>
      </c>
    </row>
    <row r="2735" spans="1:7">
      <c r="A2735" t="s">
        <v>1876</v>
      </c>
      <c r="B2735" t="s">
        <v>355</v>
      </c>
      <c r="C2735" t="s">
        <v>232</v>
      </c>
      <c r="D2735">
        <v>582</v>
      </c>
      <c r="E2735">
        <v>617</v>
      </c>
      <c r="F2735">
        <v>461</v>
      </c>
      <c r="G2735">
        <v>442</v>
      </c>
    </row>
    <row r="2736" spans="1:7">
      <c r="A2736" t="s">
        <v>1876</v>
      </c>
      <c r="B2736" t="s">
        <v>355</v>
      </c>
      <c r="C2736" t="s">
        <v>233</v>
      </c>
      <c r="D2736">
        <v>0</v>
      </c>
      <c r="E2736">
        <v>0</v>
      </c>
      <c r="F2736">
        <v>0</v>
      </c>
      <c r="G2736">
        <v>0</v>
      </c>
    </row>
    <row r="2737" spans="1:7">
      <c r="A2737" t="s">
        <v>1876</v>
      </c>
      <c r="B2737" t="s">
        <v>355</v>
      </c>
      <c r="C2737" t="s">
        <v>234</v>
      </c>
      <c r="D2737">
        <v>56739</v>
      </c>
      <c r="E2737">
        <v>55623</v>
      </c>
      <c r="F2737">
        <v>57879</v>
      </c>
      <c r="G2737">
        <v>57561</v>
      </c>
    </row>
    <row r="2738" spans="1:7">
      <c r="A2738" t="s">
        <v>1876</v>
      </c>
      <c r="B2738" t="s">
        <v>355</v>
      </c>
      <c r="C2738" t="s">
        <v>235</v>
      </c>
      <c r="D2738">
        <v>1240</v>
      </c>
      <c r="E2738">
        <v>1282</v>
      </c>
      <c r="F2738">
        <v>1286</v>
      </c>
      <c r="G2738">
        <v>1382</v>
      </c>
    </row>
    <row r="2739" spans="1:7">
      <c r="A2739" t="s">
        <v>1876</v>
      </c>
      <c r="B2739" t="s">
        <v>355</v>
      </c>
      <c r="C2739" t="s">
        <v>236</v>
      </c>
      <c r="D2739">
        <v>673</v>
      </c>
      <c r="E2739">
        <v>738</v>
      </c>
      <c r="F2739">
        <v>725</v>
      </c>
      <c r="G2739">
        <v>379</v>
      </c>
    </row>
    <row r="2740" spans="1:7">
      <c r="A2740" t="s">
        <v>1876</v>
      </c>
      <c r="B2740" t="s">
        <v>355</v>
      </c>
      <c r="C2740" t="s">
        <v>237</v>
      </c>
      <c r="D2740">
        <v>58652</v>
      </c>
      <c r="E2740">
        <v>57643</v>
      </c>
      <c r="F2740">
        <v>59890</v>
      </c>
      <c r="G2740">
        <v>59323</v>
      </c>
    </row>
    <row r="2741" spans="1:7">
      <c r="A2741" t="s">
        <v>1876</v>
      </c>
      <c r="B2741" t="s">
        <v>355</v>
      </c>
      <c r="C2741" t="s">
        <v>238</v>
      </c>
      <c r="D2741">
        <v>58652</v>
      </c>
      <c r="E2741">
        <v>57643</v>
      </c>
      <c r="F2741">
        <v>59890</v>
      </c>
      <c r="G2741">
        <v>59323</v>
      </c>
    </row>
    <row r="2742" spans="1:7">
      <c r="A2742" t="s">
        <v>1876</v>
      </c>
      <c r="B2742" t="s">
        <v>355</v>
      </c>
      <c r="C2742" t="s">
        <v>1934</v>
      </c>
      <c r="D2742">
        <v>52566</v>
      </c>
      <c r="E2742">
        <v>51518</v>
      </c>
      <c r="F2742">
        <v>53610</v>
      </c>
      <c r="G2742">
        <v>53332</v>
      </c>
    </row>
    <row r="2743" spans="1:7">
      <c r="A2743" t="s">
        <v>1876</v>
      </c>
      <c r="B2743" t="s">
        <v>355</v>
      </c>
      <c r="C2743" t="s">
        <v>1935</v>
      </c>
      <c r="D2743">
        <v>1149</v>
      </c>
      <c r="E2743">
        <v>1187</v>
      </c>
      <c r="F2743">
        <v>1191</v>
      </c>
      <c r="G2743">
        <v>1281</v>
      </c>
    </row>
    <row r="2744" spans="1:7">
      <c r="A2744" t="s">
        <v>1876</v>
      </c>
      <c r="B2744" t="s">
        <v>355</v>
      </c>
      <c r="C2744" t="s">
        <v>1936</v>
      </c>
      <c r="D2744">
        <v>624</v>
      </c>
      <c r="E2744">
        <v>684</v>
      </c>
      <c r="F2744">
        <v>672</v>
      </c>
      <c r="G2744">
        <v>351</v>
      </c>
    </row>
    <row r="2745" spans="1:7">
      <c r="A2745" t="s">
        <v>1876</v>
      </c>
      <c r="B2745" t="s">
        <v>355</v>
      </c>
      <c r="C2745" t="s">
        <v>239</v>
      </c>
      <c r="D2745">
        <v>54338</v>
      </c>
      <c r="E2745">
        <v>53389</v>
      </c>
      <c r="F2745">
        <v>55472</v>
      </c>
      <c r="G2745">
        <v>54964</v>
      </c>
    </row>
    <row r="2746" spans="1:7">
      <c r="A2746" t="s">
        <v>1876</v>
      </c>
      <c r="B2746" t="s">
        <v>355</v>
      </c>
      <c r="C2746" t="s">
        <v>240</v>
      </c>
      <c r="D2746">
        <v>0</v>
      </c>
      <c r="E2746">
        <v>0</v>
      </c>
      <c r="F2746">
        <v>0</v>
      </c>
      <c r="G2746">
        <v>0</v>
      </c>
    </row>
    <row r="2747" spans="1:7">
      <c r="A2747" t="s">
        <v>1876</v>
      </c>
      <c r="B2747" t="s">
        <v>355</v>
      </c>
      <c r="C2747" t="s">
        <v>241</v>
      </c>
      <c r="D2747">
        <v>0</v>
      </c>
      <c r="E2747">
        <v>0</v>
      </c>
      <c r="F2747">
        <v>0</v>
      </c>
      <c r="G2747">
        <v>0</v>
      </c>
    </row>
    <row r="2748" spans="1:7">
      <c r="A2748" t="s">
        <v>1876</v>
      </c>
      <c r="B2748" t="s">
        <v>355</v>
      </c>
      <c r="C2748" t="s">
        <v>242</v>
      </c>
      <c r="D2748">
        <v>717</v>
      </c>
      <c r="E2748">
        <v>899</v>
      </c>
      <c r="F2748">
        <v>851</v>
      </c>
      <c r="G2748">
        <v>676</v>
      </c>
    </row>
    <row r="2749" spans="1:7">
      <c r="A2749" t="s">
        <v>1876</v>
      </c>
      <c r="B2749" t="s">
        <v>355</v>
      </c>
      <c r="C2749" t="s">
        <v>243</v>
      </c>
      <c r="D2749">
        <v>11047</v>
      </c>
      <c r="E2749">
        <v>11257</v>
      </c>
      <c r="F2749">
        <v>10528</v>
      </c>
      <c r="G2749">
        <v>10737</v>
      </c>
    </row>
    <row r="2750" spans="1:7">
      <c r="A2750" t="s">
        <v>1876</v>
      </c>
      <c r="B2750" t="s">
        <v>355</v>
      </c>
      <c r="C2750" t="s">
        <v>244</v>
      </c>
      <c r="D2750">
        <v>24813</v>
      </c>
      <c r="E2750">
        <v>32799</v>
      </c>
      <c r="F2750">
        <v>28027</v>
      </c>
      <c r="G2750">
        <v>28372</v>
      </c>
    </row>
    <row r="2751" spans="1:7">
      <c r="A2751" t="s">
        <v>1876</v>
      </c>
      <c r="B2751" t="s">
        <v>355</v>
      </c>
      <c r="C2751" t="s">
        <v>1709</v>
      </c>
      <c r="D2751">
        <v>2559</v>
      </c>
      <c r="E2751">
        <v>2557</v>
      </c>
      <c r="F2751">
        <v>2534</v>
      </c>
      <c r="G2751">
        <v>2534</v>
      </c>
    </row>
    <row r="2752" spans="1:7">
      <c r="A2752" t="s">
        <v>1876</v>
      </c>
      <c r="B2752" t="s">
        <v>355</v>
      </c>
      <c r="C2752" t="s">
        <v>245</v>
      </c>
      <c r="D2752">
        <v>34144</v>
      </c>
      <c r="E2752">
        <v>32389</v>
      </c>
      <c r="F2752">
        <v>33756</v>
      </c>
      <c r="G2752">
        <v>30120</v>
      </c>
    </row>
    <row r="2753" spans="1:7">
      <c r="A2753" t="s">
        <v>1876</v>
      </c>
      <c r="B2753" t="s">
        <v>355</v>
      </c>
      <c r="C2753" t="s">
        <v>246</v>
      </c>
      <c r="D2753">
        <v>11987</v>
      </c>
      <c r="E2753">
        <v>12330</v>
      </c>
      <c r="F2753">
        <v>11225</v>
      </c>
      <c r="G2753">
        <v>11440</v>
      </c>
    </row>
    <row r="2754" spans="1:7">
      <c r="A2754" t="s">
        <v>1876</v>
      </c>
      <c r="B2754" t="s">
        <v>355</v>
      </c>
      <c r="C2754" t="s">
        <v>247</v>
      </c>
      <c r="D2754">
        <v>82708</v>
      </c>
      <c r="E2754">
        <v>89674</v>
      </c>
      <c r="F2754">
        <v>84387</v>
      </c>
      <c r="G2754">
        <v>81345</v>
      </c>
    </row>
    <row r="2755" spans="1:7">
      <c r="A2755" t="s">
        <v>1876</v>
      </c>
      <c r="B2755" t="s">
        <v>355</v>
      </c>
      <c r="C2755" t="s">
        <v>248</v>
      </c>
      <c r="D2755">
        <v>82.3</v>
      </c>
      <c r="E2755">
        <v>87.9</v>
      </c>
      <c r="F2755">
        <v>81.5</v>
      </c>
      <c r="G2755">
        <v>77.5</v>
      </c>
    </row>
    <row r="2756" spans="1:7">
      <c r="A2756" t="s">
        <v>1876</v>
      </c>
      <c r="B2756" t="s">
        <v>355</v>
      </c>
      <c r="C2756" t="s">
        <v>249</v>
      </c>
      <c r="D2756">
        <v>57895</v>
      </c>
      <c r="E2756">
        <v>56875</v>
      </c>
      <c r="F2756">
        <v>56360</v>
      </c>
      <c r="G2756">
        <v>52973</v>
      </c>
    </row>
    <row r="2757" spans="1:7">
      <c r="A2757" t="s">
        <v>1876</v>
      </c>
      <c r="B2757" t="s">
        <v>355</v>
      </c>
      <c r="C2757" t="s">
        <v>250</v>
      </c>
      <c r="D2757">
        <v>82708</v>
      </c>
      <c r="E2757">
        <v>89674</v>
      </c>
      <c r="F2757">
        <v>84387</v>
      </c>
      <c r="G2757">
        <v>81345</v>
      </c>
    </row>
    <row r="2758" spans="1:7">
      <c r="A2758" t="s">
        <v>1876</v>
      </c>
      <c r="B2758" t="s">
        <v>355</v>
      </c>
      <c r="C2758" t="s">
        <v>1937</v>
      </c>
      <c r="D2758">
        <v>25.9</v>
      </c>
      <c r="E2758">
        <v>33.4</v>
      </c>
      <c r="F2758">
        <v>37.1</v>
      </c>
      <c r="G2758">
        <v>35.200000000000003</v>
      </c>
    </row>
    <row r="2759" spans="1:7">
      <c r="A2759" t="s">
        <v>1876</v>
      </c>
      <c r="B2759" t="s">
        <v>355</v>
      </c>
      <c r="C2759" t="s">
        <v>1938</v>
      </c>
      <c r="D2759">
        <v>0</v>
      </c>
      <c r="E2759">
        <v>0</v>
      </c>
      <c r="F2759">
        <v>0</v>
      </c>
      <c r="G2759">
        <v>0</v>
      </c>
    </row>
    <row r="2760" spans="1:7">
      <c r="A2760" t="s">
        <v>1876</v>
      </c>
      <c r="B2760" t="s">
        <v>355</v>
      </c>
      <c r="C2760" t="s">
        <v>251</v>
      </c>
      <c r="D2760">
        <v>0</v>
      </c>
      <c r="E2760">
        <v>0</v>
      </c>
      <c r="F2760">
        <v>0</v>
      </c>
      <c r="G2760">
        <v>0</v>
      </c>
    </row>
    <row r="2761" spans="1:7">
      <c r="A2761" t="s">
        <v>1876</v>
      </c>
      <c r="B2761" t="s">
        <v>355</v>
      </c>
      <c r="C2761" t="s">
        <v>252</v>
      </c>
      <c r="D2761">
        <v>0</v>
      </c>
      <c r="E2761">
        <v>0</v>
      </c>
      <c r="F2761">
        <v>0</v>
      </c>
      <c r="G2761">
        <v>0</v>
      </c>
    </row>
    <row r="2762" spans="1:7">
      <c r="A2762" t="s">
        <v>1876</v>
      </c>
      <c r="B2762" t="s">
        <v>355</v>
      </c>
      <c r="C2762" t="s">
        <v>1710</v>
      </c>
      <c r="D2762">
        <v>0</v>
      </c>
      <c r="E2762">
        <v>0</v>
      </c>
      <c r="F2762">
        <v>0</v>
      </c>
      <c r="G2762">
        <v>0</v>
      </c>
    </row>
    <row r="2763" spans="1:7">
      <c r="A2763" t="s">
        <v>1876</v>
      </c>
      <c r="B2763" t="s">
        <v>355</v>
      </c>
      <c r="C2763" t="s">
        <v>1939</v>
      </c>
      <c r="D2763">
        <v>4.5</v>
      </c>
      <c r="E2763">
        <v>5.5</v>
      </c>
      <c r="F2763">
        <v>3.8</v>
      </c>
      <c r="G2763">
        <v>5.5</v>
      </c>
    </row>
    <row r="2764" spans="1:7">
      <c r="A2764" t="s">
        <v>1876</v>
      </c>
      <c r="B2764" t="s">
        <v>355</v>
      </c>
      <c r="C2764" t="s">
        <v>253</v>
      </c>
      <c r="D2764">
        <v>0</v>
      </c>
      <c r="E2764">
        <v>0</v>
      </c>
      <c r="F2764">
        <v>0</v>
      </c>
      <c r="G2764">
        <v>0</v>
      </c>
    </row>
    <row r="2765" spans="1:7">
      <c r="A2765" t="s">
        <v>1876</v>
      </c>
      <c r="B2765" t="s">
        <v>355</v>
      </c>
      <c r="C2765" t="s">
        <v>1711</v>
      </c>
      <c r="D2765">
        <v>135</v>
      </c>
      <c r="E2765">
        <v>135</v>
      </c>
      <c r="F2765">
        <v>135</v>
      </c>
      <c r="G2765">
        <v>135</v>
      </c>
    </row>
    <row r="2766" spans="1:7">
      <c r="A2766" t="s">
        <v>1876</v>
      </c>
      <c r="B2766" t="s">
        <v>355</v>
      </c>
      <c r="C2766" t="s">
        <v>1712</v>
      </c>
      <c r="D2766">
        <v>14980</v>
      </c>
      <c r="E2766">
        <v>14567</v>
      </c>
      <c r="F2766">
        <v>14280</v>
      </c>
      <c r="G2766">
        <v>13812</v>
      </c>
    </row>
    <row r="2767" spans="1:7">
      <c r="A2767" t="s">
        <v>1876</v>
      </c>
      <c r="B2767" t="s">
        <v>355</v>
      </c>
      <c r="C2767" t="s">
        <v>1713</v>
      </c>
      <c r="D2767">
        <v>144</v>
      </c>
      <c r="E2767">
        <v>133</v>
      </c>
      <c r="F2767">
        <v>193</v>
      </c>
      <c r="G2767">
        <v>195</v>
      </c>
    </row>
    <row r="2768" spans="1:7">
      <c r="A2768" t="s">
        <v>1876</v>
      </c>
      <c r="B2768" t="s">
        <v>355</v>
      </c>
      <c r="C2768" t="s">
        <v>1940</v>
      </c>
      <c r="D2768">
        <v>0</v>
      </c>
      <c r="E2768">
        <v>0</v>
      </c>
      <c r="F2768">
        <v>0</v>
      </c>
      <c r="G2768">
        <v>0</v>
      </c>
    </row>
    <row r="2769" spans="1:7">
      <c r="A2769" t="s">
        <v>1876</v>
      </c>
      <c r="B2769" t="s">
        <v>355</v>
      </c>
      <c r="C2769" t="s">
        <v>1941</v>
      </c>
      <c r="D2769">
        <v>0</v>
      </c>
      <c r="E2769">
        <v>0</v>
      </c>
      <c r="F2769">
        <v>0</v>
      </c>
      <c r="G2769">
        <v>0</v>
      </c>
    </row>
    <row r="2770" spans="1:7">
      <c r="A2770" t="s">
        <v>1876</v>
      </c>
      <c r="B2770" t="s">
        <v>355</v>
      </c>
      <c r="C2770" t="s">
        <v>254</v>
      </c>
      <c r="D2770">
        <v>14980</v>
      </c>
      <c r="E2770">
        <v>14567</v>
      </c>
      <c r="F2770">
        <v>14280</v>
      </c>
      <c r="G2770">
        <v>13812</v>
      </c>
    </row>
    <row r="2771" spans="1:7">
      <c r="A2771" t="s">
        <v>1876</v>
      </c>
      <c r="B2771" t="s">
        <v>355</v>
      </c>
      <c r="C2771" t="s">
        <v>1942</v>
      </c>
      <c r="D2771">
        <v>0</v>
      </c>
      <c r="E2771">
        <v>0</v>
      </c>
      <c r="F2771">
        <v>0</v>
      </c>
      <c r="G2771">
        <v>0</v>
      </c>
    </row>
    <row r="2772" spans="1:7">
      <c r="A2772" t="s">
        <v>1876</v>
      </c>
      <c r="B2772" t="s">
        <v>355</v>
      </c>
      <c r="C2772" t="s">
        <v>255</v>
      </c>
      <c r="D2772">
        <v>15124</v>
      </c>
      <c r="E2772">
        <v>14701</v>
      </c>
      <c r="F2772">
        <v>14474</v>
      </c>
      <c r="G2772">
        <v>14007</v>
      </c>
    </row>
    <row r="2773" spans="1:7">
      <c r="A2773" t="s">
        <v>1876</v>
      </c>
      <c r="B2773" t="s">
        <v>355</v>
      </c>
      <c r="C2773" t="s">
        <v>256</v>
      </c>
      <c r="D2773">
        <v>15124</v>
      </c>
      <c r="E2773">
        <v>14701</v>
      </c>
      <c r="F2773">
        <v>14474</v>
      </c>
      <c r="G2773">
        <v>14007</v>
      </c>
    </row>
    <row r="2774" spans="1:7">
      <c r="A2774" t="s">
        <v>1876</v>
      </c>
      <c r="B2774" t="s">
        <v>355</v>
      </c>
      <c r="C2774" t="s">
        <v>1714</v>
      </c>
      <c r="D2774">
        <v>0</v>
      </c>
      <c r="E2774">
        <v>0</v>
      </c>
      <c r="F2774">
        <v>0</v>
      </c>
      <c r="G2774">
        <v>0</v>
      </c>
    </row>
    <row r="2775" spans="1:7">
      <c r="A2775" t="s">
        <v>1876</v>
      </c>
      <c r="B2775" t="s">
        <v>355</v>
      </c>
      <c r="C2775" t="s">
        <v>257</v>
      </c>
      <c r="D2775">
        <v>27221</v>
      </c>
      <c r="E2775">
        <v>26802</v>
      </c>
      <c r="F2775">
        <v>24496</v>
      </c>
      <c r="G2775">
        <v>19065</v>
      </c>
    </row>
    <row r="2776" spans="1:7">
      <c r="A2776" t="s">
        <v>1876</v>
      </c>
      <c r="B2776" t="s">
        <v>355</v>
      </c>
      <c r="C2776" t="s">
        <v>258</v>
      </c>
      <c r="D2776">
        <v>27787</v>
      </c>
      <c r="E2776">
        <v>27365</v>
      </c>
      <c r="F2776">
        <v>25075</v>
      </c>
      <c r="G2776">
        <v>19615</v>
      </c>
    </row>
    <row r="2777" spans="1:7">
      <c r="A2777" t="s">
        <v>1876</v>
      </c>
      <c r="B2777" t="s">
        <v>355</v>
      </c>
      <c r="C2777" t="s">
        <v>259</v>
      </c>
      <c r="D2777">
        <v>27787</v>
      </c>
      <c r="E2777">
        <v>27365</v>
      </c>
      <c r="F2777">
        <v>25075</v>
      </c>
      <c r="G2777">
        <v>19615</v>
      </c>
    </row>
    <row r="2778" spans="1:7">
      <c r="A2778" t="s">
        <v>1876</v>
      </c>
      <c r="B2778" t="s">
        <v>355</v>
      </c>
      <c r="C2778" t="s">
        <v>260</v>
      </c>
      <c r="D2778">
        <v>79304</v>
      </c>
      <c r="E2778">
        <v>76625</v>
      </c>
      <c r="F2778">
        <v>79812</v>
      </c>
      <c r="G2778">
        <v>77252</v>
      </c>
    </row>
    <row r="2779" spans="1:7">
      <c r="A2779" t="s">
        <v>1876</v>
      </c>
      <c r="B2779" t="s">
        <v>355</v>
      </c>
      <c r="C2779" t="s">
        <v>1943</v>
      </c>
      <c r="D2779">
        <v>0.1</v>
      </c>
      <c r="E2779">
        <v>0.2</v>
      </c>
      <c r="F2779">
        <v>0.1</v>
      </c>
      <c r="G2779">
        <v>0</v>
      </c>
    </row>
    <row r="2780" spans="1:7">
      <c r="A2780" t="s">
        <v>1876</v>
      </c>
      <c r="B2780" t="s">
        <v>355</v>
      </c>
      <c r="C2780" t="s">
        <v>261</v>
      </c>
      <c r="D2780">
        <v>3054</v>
      </c>
      <c r="E2780">
        <v>3319</v>
      </c>
      <c r="F2780">
        <v>3373</v>
      </c>
      <c r="G2780">
        <v>3522</v>
      </c>
    </row>
    <row r="2781" spans="1:7">
      <c r="A2781" t="s">
        <v>1876</v>
      </c>
      <c r="B2781" t="s">
        <v>355</v>
      </c>
      <c r="C2781" t="s">
        <v>262</v>
      </c>
      <c r="D2781">
        <v>245</v>
      </c>
      <c r="E2781">
        <v>1206</v>
      </c>
      <c r="F2781">
        <v>214</v>
      </c>
      <c r="G2781">
        <v>375</v>
      </c>
    </row>
    <row r="2782" spans="1:7">
      <c r="A2782" t="s">
        <v>1876</v>
      </c>
      <c r="B2782" t="s">
        <v>355</v>
      </c>
      <c r="C2782" t="s">
        <v>1715</v>
      </c>
      <c r="D2782">
        <v>114</v>
      </c>
      <c r="E2782">
        <v>114</v>
      </c>
      <c r="F2782">
        <v>111</v>
      </c>
      <c r="G2782">
        <v>111</v>
      </c>
    </row>
    <row r="2783" spans="1:7">
      <c r="A2783" t="s">
        <v>1876</v>
      </c>
      <c r="B2783" t="s">
        <v>355</v>
      </c>
      <c r="C2783" t="s">
        <v>263</v>
      </c>
      <c r="D2783">
        <v>30779</v>
      </c>
      <c r="E2783">
        <v>30048</v>
      </c>
      <c r="F2783">
        <v>27728</v>
      </c>
      <c r="G2783">
        <v>22044</v>
      </c>
    </row>
    <row r="2784" spans="1:7">
      <c r="A2784" t="s">
        <v>1876</v>
      </c>
      <c r="B2784" t="s">
        <v>355</v>
      </c>
      <c r="C2784" t="s">
        <v>264</v>
      </c>
      <c r="D2784">
        <v>4855</v>
      </c>
      <c r="E2784">
        <v>5343</v>
      </c>
      <c r="F2784">
        <v>4335</v>
      </c>
      <c r="G2784">
        <v>4568</v>
      </c>
    </row>
    <row r="2785" spans="1:7">
      <c r="A2785" t="s">
        <v>1876</v>
      </c>
      <c r="B2785" t="s">
        <v>355</v>
      </c>
      <c r="C2785" t="s">
        <v>265</v>
      </c>
      <c r="D2785">
        <v>118237</v>
      </c>
      <c r="E2785">
        <v>116541</v>
      </c>
      <c r="F2785">
        <v>115462</v>
      </c>
      <c r="G2785">
        <v>107762</v>
      </c>
    </row>
    <row r="2786" spans="1:7">
      <c r="A2786" t="s">
        <v>1876</v>
      </c>
      <c r="B2786" t="s">
        <v>355</v>
      </c>
      <c r="C2786" t="s">
        <v>266</v>
      </c>
      <c r="D2786">
        <v>117.6</v>
      </c>
      <c r="E2786">
        <v>114.2</v>
      </c>
      <c r="F2786">
        <v>111.5</v>
      </c>
      <c r="G2786">
        <v>102.6</v>
      </c>
    </row>
    <row r="2787" spans="1:7">
      <c r="A2787" t="s">
        <v>1876</v>
      </c>
      <c r="B2787" t="s">
        <v>355</v>
      </c>
      <c r="C2787" t="s">
        <v>267</v>
      </c>
      <c r="D2787">
        <v>117992</v>
      </c>
      <c r="E2787">
        <v>115335</v>
      </c>
      <c r="F2787">
        <v>115248</v>
      </c>
      <c r="G2787">
        <v>107386</v>
      </c>
    </row>
    <row r="2788" spans="1:7">
      <c r="A2788" t="s">
        <v>1876</v>
      </c>
      <c r="B2788" t="s">
        <v>355</v>
      </c>
      <c r="C2788" t="s">
        <v>268</v>
      </c>
      <c r="D2788">
        <v>0</v>
      </c>
      <c r="E2788">
        <v>0</v>
      </c>
      <c r="F2788">
        <v>0</v>
      </c>
      <c r="G2788">
        <v>0</v>
      </c>
    </row>
    <row r="2789" spans="1:7">
      <c r="A2789" t="s">
        <v>1876</v>
      </c>
      <c r="B2789" t="s">
        <v>355</v>
      </c>
      <c r="C2789" t="s">
        <v>269</v>
      </c>
      <c r="D2789">
        <v>0</v>
      </c>
      <c r="E2789">
        <v>0</v>
      </c>
      <c r="F2789">
        <v>0</v>
      </c>
      <c r="G2789">
        <v>0</v>
      </c>
    </row>
    <row r="2790" spans="1:7">
      <c r="A2790" t="s">
        <v>1876</v>
      </c>
      <c r="B2790" t="s">
        <v>355</v>
      </c>
      <c r="C2790" t="s">
        <v>270</v>
      </c>
      <c r="D2790">
        <v>9034</v>
      </c>
      <c r="E2790">
        <v>8984</v>
      </c>
      <c r="F2790">
        <v>7601</v>
      </c>
      <c r="G2790">
        <v>2370</v>
      </c>
    </row>
    <row r="2791" spans="1:7">
      <c r="A2791" t="s">
        <v>1876</v>
      </c>
      <c r="B2791" t="s">
        <v>355</v>
      </c>
      <c r="C2791" t="s">
        <v>271</v>
      </c>
      <c r="D2791">
        <v>9034</v>
      </c>
      <c r="E2791">
        <v>8984</v>
      </c>
      <c r="F2791">
        <v>7601</v>
      </c>
      <c r="G2791">
        <v>2370</v>
      </c>
    </row>
    <row r="2792" spans="1:7">
      <c r="A2792" t="s">
        <v>1876</v>
      </c>
      <c r="B2792" t="s">
        <v>355</v>
      </c>
      <c r="C2792" t="s">
        <v>272</v>
      </c>
      <c r="D2792">
        <v>9034</v>
      </c>
      <c r="E2792">
        <v>8984</v>
      </c>
      <c r="F2792">
        <v>7601</v>
      </c>
      <c r="G2792">
        <v>2370</v>
      </c>
    </row>
    <row r="2793" spans="1:7">
      <c r="A2793" t="s">
        <v>1876</v>
      </c>
      <c r="B2793" t="s">
        <v>355</v>
      </c>
      <c r="C2793" t="s">
        <v>1944</v>
      </c>
      <c r="D2793">
        <v>1.9</v>
      </c>
      <c r="E2793">
        <v>2.6</v>
      </c>
      <c r="F2793">
        <v>3.3</v>
      </c>
      <c r="G2793">
        <v>4.4000000000000004</v>
      </c>
    </row>
    <row r="2794" spans="1:7">
      <c r="A2794" t="s">
        <v>1876</v>
      </c>
      <c r="B2794" t="s">
        <v>355</v>
      </c>
      <c r="C2794" t="s">
        <v>1945</v>
      </c>
      <c r="D2794">
        <v>3</v>
      </c>
      <c r="E2794">
        <v>4</v>
      </c>
      <c r="F2794">
        <v>8</v>
      </c>
      <c r="G2794">
        <v>11</v>
      </c>
    </row>
    <row r="2795" spans="1:7">
      <c r="A2795" t="s">
        <v>1876</v>
      </c>
      <c r="B2795" t="s">
        <v>355</v>
      </c>
      <c r="C2795" t="s">
        <v>273</v>
      </c>
      <c r="D2795">
        <v>0</v>
      </c>
      <c r="E2795">
        <v>0</v>
      </c>
      <c r="F2795">
        <v>0</v>
      </c>
      <c r="G2795">
        <v>0</v>
      </c>
    </row>
    <row r="2796" spans="1:7">
      <c r="A2796" t="s">
        <v>1876</v>
      </c>
      <c r="B2796" t="s">
        <v>355</v>
      </c>
      <c r="C2796" t="s">
        <v>1946</v>
      </c>
      <c r="D2796">
        <v>74881</v>
      </c>
      <c r="E2796">
        <v>72292</v>
      </c>
      <c r="F2796">
        <v>75235</v>
      </c>
      <c r="G2796">
        <v>72722</v>
      </c>
    </row>
    <row r="2797" spans="1:7">
      <c r="A2797" t="s">
        <v>1876</v>
      </c>
      <c r="B2797" t="s">
        <v>355</v>
      </c>
      <c r="C2797" t="s">
        <v>1947</v>
      </c>
      <c r="D2797">
        <v>2963</v>
      </c>
      <c r="E2797">
        <v>3225</v>
      </c>
      <c r="F2797">
        <v>3278</v>
      </c>
      <c r="G2797">
        <v>3421</v>
      </c>
    </row>
    <row r="2798" spans="1:7">
      <c r="A2798" t="s">
        <v>1876</v>
      </c>
      <c r="B2798" t="s">
        <v>355</v>
      </c>
      <c r="C2798" t="s">
        <v>1948</v>
      </c>
      <c r="D2798">
        <v>245</v>
      </c>
      <c r="E2798">
        <v>1206</v>
      </c>
      <c r="F2798">
        <v>214</v>
      </c>
      <c r="G2798">
        <v>375</v>
      </c>
    </row>
    <row r="2799" spans="1:7">
      <c r="A2799" t="s">
        <v>1876</v>
      </c>
      <c r="B2799" t="s">
        <v>355</v>
      </c>
      <c r="C2799" t="s">
        <v>1949</v>
      </c>
      <c r="D2799">
        <v>30730</v>
      </c>
      <c r="E2799">
        <v>29993</v>
      </c>
      <c r="F2799">
        <v>27675</v>
      </c>
      <c r="G2799">
        <v>22016</v>
      </c>
    </row>
    <row r="2800" spans="1:7">
      <c r="A2800" t="s">
        <v>1876</v>
      </c>
      <c r="B2800" t="s">
        <v>355</v>
      </c>
      <c r="C2800" t="s">
        <v>1950</v>
      </c>
      <c r="D2800">
        <v>4855</v>
      </c>
      <c r="E2800">
        <v>5343</v>
      </c>
      <c r="F2800">
        <v>4335</v>
      </c>
      <c r="G2800">
        <v>4568</v>
      </c>
    </row>
    <row r="2801" spans="1:7">
      <c r="A2801" t="s">
        <v>1876</v>
      </c>
      <c r="B2801" t="s">
        <v>355</v>
      </c>
      <c r="C2801" t="s">
        <v>274</v>
      </c>
      <c r="D2801">
        <v>113673</v>
      </c>
      <c r="E2801">
        <v>112059</v>
      </c>
      <c r="F2801">
        <v>110737</v>
      </c>
      <c r="G2801">
        <v>103102</v>
      </c>
    </row>
    <row r="2802" spans="1:7">
      <c r="A2802" t="s">
        <v>1876</v>
      </c>
      <c r="B2802" t="s">
        <v>355</v>
      </c>
      <c r="C2802" t="s">
        <v>275</v>
      </c>
      <c r="D2802">
        <v>0</v>
      </c>
      <c r="E2802">
        <v>0</v>
      </c>
      <c r="F2802">
        <v>0</v>
      </c>
      <c r="G2802">
        <v>0</v>
      </c>
    </row>
    <row r="2803" spans="1:7">
      <c r="A2803" t="s">
        <v>1876</v>
      </c>
      <c r="B2803" t="s">
        <v>355</v>
      </c>
      <c r="C2803" t="s">
        <v>276</v>
      </c>
      <c r="D2803">
        <v>0</v>
      </c>
      <c r="E2803">
        <v>0</v>
      </c>
      <c r="F2803">
        <v>0</v>
      </c>
      <c r="G2803">
        <v>0</v>
      </c>
    </row>
    <row r="2804" spans="1:7">
      <c r="A2804" t="s">
        <v>1876</v>
      </c>
      <c r="B2804" t="s">
        <v>355</v>
      </c>
      <c r="C2804" t="s">
        <v>277</v>
      </c>
      <c r="D2804">
        <v>213</v>
      </c>
      <c r="E2804">
        <v>346</v>
      </c>
      <c r="F2804">
        <v>318</v>
      </c>
      <c r="G2804">
        <v>275</v>
      </c>
    </row>
    <row r="2805" spans="1:7">
      <c r="A2805" t="s">
        <v>1876</v>
      </c>
      <c r="B2805" t="s">
        <v>355</v>
      </c>
      <c r="C2805" t="s">
        <v>278</v>
      </c>
      <c r="D2805">
        <v>657</v>
      </c>
      <c r="E2805">
        <v>866</v>
      </c>
      <c r="F2805">
        <v>987</v>
      </c>
      <c r="G2805">
        <v>1009</v>
      </c>
    </row>
    <row r="2806" spans="1:7">
      <c r="A2806" t="s">
        <v>1876</v>
      </c>
      <c r="B2806" t="s">
        <v>355</v>
      </c>
      <c r="C2806" t="s">
        <v>279</v>
      </c>
      <c r="D2806">
        <v>1286</v>
      </c>
      <c r="E2806">
        <v>892</v>
      </c>
      <c r="F2806">
        <v>930</v>
      </c>
      <c r="G2806">
        <v>1069</v>
      </c>
    </row>
    <row r="2807" spans="1:7">
      <c r="A2807" t="s">
        <v>1876</v>
      </c>
      <c r="B2807" t="s">
        <v>355</v>
      </c>
      <c r="C2807" t="s">
        <v>280</v>
      </c>
      <c r="D2807">
        <v>2402</v>
      </c>
      <c r="E2807">
        <v>2831</v>
      </c>
      <c r="F2807">
        <v>1952</v>
      </c>
      <c r="G2807">
        <v>2183</v>
      </c>
    </row>
    <row r="2808" spans="1:7">
      <c r="A2808" t="s">
        <v>1876</v>
      </c>
      <c r="B2808" t="s">
        <v>355</v>
      </c>
      <c r="C2808" t="s">
        <v>281</v>
      </c>
      <c r="D2808">
        <v>4557</v>
      </c>
      <c r="E2808">
        <v>4934</v>
      </c>
      <c r="F2808">
        <v>4187</v>
      </c>
      <c r="G2808">
        <v>4536</v>
      </c>
    </row>
    <row r="2809" spans="1:7">
      <c r="A2809" t="s">
        <v>1876</v>
      </c>
      <c r="B2809" t="s">
        <v>355</v>
      </c>
      <c r="C2809" t="s">
        <v>282</v>
      </c>
      <c r="D2809">
        <v>4557</v>
      </c>
      <c r="E2809">
        <v>4934</v>
      </c>
      <c r="F2809">
        <v>4187</v>
      </c>
      <c r="G2809">
        <v>4536</v>
      </c>
    </row>
    <row r="2810" spans="1:7">
      <c r="A2810" t="s">
        <v>1876</v>
      </c>
      <c r="B2810" t="s">
        <v>355</v>
      </c>
      <c r="C2810" t="s">
        <v>283</v>
      </c>
      <c r="D2810">
        <v>0</v>
      </c>
      <c r="E2810">
        <v>0</v>
      </c>
      <c r="F2810">
        <v>0</v>
      </c>
      <c r="G2810">
        <v>0</v>
      </c>
    </row>
    <row r="2811" spans="1:7">
      <c r="A2811" t="s">
        <v>1876</v>
      </c>
      <c r="B2811" t="s">
        <v>355</v>
      </c>
      <c r="C2811" t="s">
        <v>284</v>
      </c>
      <c r="D2811">
        <v>0</v>
      </c>
      <c r="E2811">
        <v>0</v>
      </c>
      <c r="F2811">
        <v>0</v>
      </c>
      <c r="G2811">
        <v>0</v>
      </c>
    </row>
    <row r="2812" spans="1:7">
      <c r="A2812" t="s">
        <v>1876</v>
      </c>
      <c r="B2812" t="s">
        <v>355</v>
      </c>
      <c r="C2812" t="s">
        <v>1716</v>
      </c>
      <c r="D2812">
        <v>4423</v>
      </c>
      <c r="E2812">
        <v>4333</v>
      </c>
      <c r="F2812">
        <v>4577</v>
      </c>
      <c r="G2812">
        <v>4530</v>
      </c>
    </row>
    <row r="2813" spans="1:7">
      <c r="A2813" t="s">
        <v>1876</v>
      </c>
      <c r="B2813" t="s">
        <v>355</v>
      </c>
      <c r="C2813" t="s">
        <v>1717</v>
      </c>
      <c r="D2813">
        <v>303</v>
      </c>
      <c r="E2813">
        <v>320</v>
      </c>
      <c r="F2813">
        <v>361</v>
      </c>
      <c r="G2813">
        <v>359</v>
      </c>
    </row>
    <row r="2814" spans="1:7">
      <c r="A2814" t="s">
        <v>1876</v>
      </c>
      <c r="B2814" t="s">
        <v>355</v>
      </c>
      <c r="C2814" t="s">
        <v>1718</v>
      </c>
      <c r="D2814">
        <v>862</v>
      </c>
      <c r="E2814">
        <v>849</v>
      </c>
      <c r="F2814">
        <v>1092</v>
      </c>
      <c r="G2814">
        <v>827</v>
      </c>
    </row>
    <row r="2815" spans="1:7">
      <c r="A2815" t="s">
        <v>1876</v>
      </c>
      <c r="B2815" t="s">
        <v>355</v>
      </c>
      <c r="C2815" t="s">
        <v>1719</v>
      </c>
      <c r="D2815">
        <v>54</v>
      </c>
      <c r="E2815">
        <v>106</v>
      </c>
      <c r="F2815">
        <v>106</v>
      </c>
      <c r="G2815">
        <v>113</v>
      </c>
    </row>
    <row r="2816" spans="1:7">
      <c r="A2816" t="s">
        <v>1876</v>
      </c>
      <c r="B2816" t="s">
        <v>355</v>
      </c>
      <c r="C2816" t="s">
        <v>1720</v>
      </c>
      <c r="D2816">
        <v>304</v>
      </c>
      <c r="E2816">
        <v>447</v>
      </c>
      <c r="F2816">
        <v>385</v>
      </c>
      <c r="G2816">
        <v>326</v>
      </c>
    </row>
    <row r="2817" spans="1:7">
      <c r="A2817" t="s">
        <v>1876</v>
      </c>
      <c r="B2817" t="s">
        <v>355</v>
      </c>
      <c r="C2817" t="s">
        <v>1721</v>
      </c>
      <c r="D2817">
        <v>1258</v>
      </c>
      <c r="E2817">
        <v>1466</v>
      </c>
      <c r="F2817">
        <v>1636</v>
      </c>
      <c r="G2817">
        <v>1550</v>
      </c>
    </row>
    <row r="2818" spans="1:7">
      <c r="A2818" t="s">
        <v>1876</v>
      </c>
      <c r="B2818" t="s">
        <v>355</v>
      </c>
      <c r="C2818" t="s">
        <v>285</v>
      </c>
      <c r="D2818">
        <v>7149</v>
      </c>
      <c r="E2818">
        <v>7414</v>
      </c>
      <c r="F2818">
        <v>8052</v>
      </c>
      <c r="G2818">
        <v>7591</v>
      </c>
    </row>
    <row r="2819" spans="1:7">
      <c r="A2819" t="s">
        <v>1876</v>
      </c>
      <c r="B2819" t="s">
        <v>355</v>
      </c>
      <c r="C2819" t="s">
        <v>1951</v>
      </c>
      <c r="D2819">
        <v>2.5</v>
      </c>
      <c r="E2819">
        <v>2.7</v>
      </c>
      <c r="F2819">
        <v>3</v>
      </c>
      <c r="G2819">
        <v>2.9</v>
      </c>
    </row>
    <row r="2820" spans="1:7">
      <c r="A2820" t="s">
        <v>1876</v>
      </c>
      <c r="B2820" t="s">
        <v>355</v>
      </c>
      <c r="C2820" t="s">
        <v>286</v>
      </c>
      <c r="D2820">
        <v>286</v>
      </c>
      <c r="E2820">
        <v>293</v>
      </c>
      <c r="F2820">
        <v>243</v>
      </c>
      <c r="G2820">
        <v>264</v>
      </c>
    </row>
    <row r="2821" spans="1:7">
      <c r="A2821" t="s">
        <v>1876</v>
      </c>
      <c r="B2821" t="s">
        <v>355</v>
      </c>
      <c r="C2821" t="s">
        <v>287</v>
      </c>
      <c r="D2821">
        <v>2</v>
      </c>
      <c r="E2821">
        <v>2</v>
      </c>
      <c r="F2821">
        <v>2</v>
      </c>
      <c r="G2821">
        <v>2</v>
      </c>
    </row>
    <row r="2822" spans="1:7">
      <c r="A2822" t="s">
        <v>1876</v>
      </c>
      <c r="B2822" t="s">
        <v>355</v>
      </c>
      <c r="C2822" t="s">
        <v>288</v>
      </c>
      <c r="D2822">
        <v>39</v>
      </c>
      <c r="E2822">
        <v>303</v>
      </c>
      <c r="F2822">
        <v>102</v>
      </c>
      <c r="G2822">
        <v>197</v>
      </c>
    </row>
    <row r="2823" spans="1:7">
      <c r="A2823" t="s">
        <v>1876</v>
      </c>
      <c r="B2823" t="s">
        <v>355</v>
      </c>
      <c r="C2823" t="s">
        <v>289</v>
      </c>
      <c r="D2823">
        <v>2</v>
      </c>
      <c r="E2823">
        <v>3</v>
      </c>
      <c r="F2823">
        <v>2</v>
      </c>
      <c r="G2823">
        <v>2</v>
      </c>
    </row>
    <row r="2824" spans="1:7">
      <c r="A2824" t="s">
        <v>1876</v>
      </c>
      <c r="B2824" t="s">
        <v>355</v>
      </c>
      <c r="C2824" t="s">
        <v>290</v>
      </c>
      <c r="D2824">
        <v>330</v>
      </c>
      <c r="E2824">
        <v>601</v>
      </c>
      <c r="F2824">
        <v>350</v>
      </c>
      <c r="G2824">
        <v>464</v>
      </c>
    </row>
    <row r="2825" spans="1:7">
      <c r="A2825" t="s">
        <v>1876</v>
      </c>
      <c r="B2825" t="s">
        <v>355</v>
      </c>
      <c r="C2825" t="s">
        <v>291</v>
      </c>
      <c r="D2825">
        <v>291</v>
      </c>
      <c r="E2825">
        <v>298</v>
      </c>
      <c r="F2825">
        <v>247</v>
      </c>
      <c r="G2825">
        <v>268</v>
      </c>
    </row>
    <row r="2826" spans="1:7">
      <c r="A2826" t="s">
        <v>1876</v>
      </c>
      <c r="B2826" t="s">
        <v>355</v>
      </c>
      <c r="C2826" t="s">
        <v>292</v>
      </c>
      <c r="D2826">
        <v>0</v>
      </c>
      <c r="E2826">
        <v>0</v>
      </c>
      <c r="F2826">
        <v>0</v>
      </c>
      <c r="G2826">
        <v>0</v>
      </c>
    </row>
    <row r="2827" spans="1:7">
      <c r="A2827" t="s">
        <v>1876</v>
      </c>
      <c r="B2827" t="s">
        <v>355</v>
      </c>
      <c r="C2827" t="s">
        <v>293</v>
      </c>
      <c r="D2827">
        <v>0</v>
      </c>
      <c r="E2827">
        <v>0</v>
      </c>
      <c r="F2827">
        <v>0</v>
      </c>
      <c r="G2827">
        <v>0</v>
      </c>
    </row>
    <row r="2828" spans="1:7">
      <c r="A2828" t="s">
        <v>1876</v>
      </c>
      <c r="B2828" t="s">
        <v>355</v>
      </c>
      <c r="C2828" t="s">
        <v>294</v>
      </c>
      <c r="D2828">
        <v>0</v>
      </c>
      <c r="E2828">
        <v>0</v>
      </c>
      <c r="F2828">
        <v>0</v>
      </c>
      <c r="G2828">
        <v>0</v>
      </c>
    </row>
    <row r="2829" spans="1:7">
      <c r="A2829" t="s">
        <v>1876</v>
      </c>
      <c r="B2829" t="s">
        <v>355</v>
      </c>
      <c r="C2829" t="s">
        <v>295</v>
      </c>
      <c r="D2829">
        <v>0</v>
      </c>
      <c r="E2829">
        <v>0</v>
      </c>
      <c r="F2829">
        <v>0</v>
      </c>
      <c r="G2829">
        <v>0</v>
      </c>
    </row>
    <row r="2830" spans="1:7">
      <c r="A2830" t="s">
        <v>1876</v>
      </c>
      <c r="B2830" t="s">
        <v>355</v>
      </c>
      <c r="C2830" t="s">
        <v>296</v>
      </c>
      <c r="D2830">
        <v>0</v>
      </c>
      <c r="E2830">
        <v>0</v>
      </c>
      <c r="F2830">
        <v>0</v>
      </c>
      <c r="G2830">
        <v>0</v>
      </c>
    </row>
    <row r="2831" spans="1:7">
      <c r="A2831" t="s">
        <v>1876</v>
      </c>
      <c r="B2831" t="s">
        <v>355</v>
      </c>
      <c r="C2831" t="s">
        <v>297</v>
      </c>
      <c r="D2831">
        <v>14507</v>
      </c>
      <c r="E2831">
        <v>14574</v>
      </c>
      <c r="F2831">
        <v>14286</v>
      </c>
      <c r="G2831">
        <v>13822</v>
      </c>
    </row>
    <row r="2832" spans="1:7">
      <c r="A2832" t="s">
        <v>1876</v>
      </c>
      <c r="B2832" t="s">
        <v>355</v>
      </c>
      <c r="C2832" t="s">
        <v>1952</v>
      </c>
      <c r="D2832">
        <v>0</v>
      </c>
      <c r="E2832">
        <v>0</v>
      </c>
      <c r="F2832">
        <v>0</v>
      </c>
      <c r="G2832">
        <v>0</v>
      </c>
    </row>
    <row r="2833" spans="1:7">
      <c r="A2833" t="s">
        <v>1876</v>
      </c>
      <c r="B2833" t="s">
        <v>355</v>
      </c>
      <c r="C2833" t="s">
        <v>298</v>
      </c>
      <c r="D2833">
        <v>0</v>
      </c>
      <c r="E2833">
        <v>0</v>
      </c>
      <c r="F2833">
        <v>0</v>
      </c>
      <c r="G2833">
        <v>0</v>
      </c>
    </row>
    <row r="2834" spans="1:7">
      <c r="A2834" t="s">
        <v>1876</v>
      </c>
      <c r="B2834" t="s">
        <v>355</v>
      </c>
      <c r="C2834" t="s">
        <v>299</v>
      </c>
      <c r="D2834">
        <v>107</v>
      </c>
      <c r="E2834">
        <v>117</v>
      </c>
      <c r="F2834">
        <v>128</v>
      </c>
      <c r="G2834">
        <v>142</v>
      </c>
    </row>
    <row r="2835" spans="1:7">
      <c r="A2835" t="s">
        <v>1876</v>
      </c>
      <c r="B2835" t="s">
        <v>355</v>
      </c>
      <c r="C2835" t="s">
        <v>300</v>
      </c>
      <c r="D2835">
        <v>190</v>
      </c>
      <c r="E2835">
        <v>209</v>
      </c>
      <c r="F2835">
        <v>521</v>
      </c>
      <c r="G2835">
        <v>538</v>
      </c>
    </row>
    <row r="2836" spans="1:7">
      <c r="A2836" t="s">
        <v>1876</v>
      </c>
      <c r="B2836" t="s">
        <v>355</v>
      </c>
      <c r="C2836" t="s">
        <v>1722</v>
      </c>
      <c r="D2836">
        <v>38</v>
      </c>
      <c r="E2836">
        <v>90</v>
      </c>
      <c r="F2836">
        <v>89</v>
      </c>
      <c r="G2836">
        <v>97</v>
      </c>
    </row>
    <row r="2837" spans="1:7">
      <c r="A2837" t="s">
        <v>1876</v>
      </c>
      <c r="B2837" t="s">
        <v>355</v>
      </c>
      <c r="C2837" t="s">
        <v>301</v>
      </c>
      <c r="D2837">
        <v>40</v>
      </c>
      <c r="E2837">
        <v>41</v>
      </c>
      <c r="F2837">
        <v>44</v>
      </c>
      <c r="G2837">
        <v>51</v>
      </c>
    </row>
    <row r="2838" spans="1:7">
      <c r="A2838" t="s">
        <v>1876</v>
      </c>
      <c r="B2838" t="s">
        <v>355</v>
      </c>
      <c r="C2838" t="s">
        <v>302</v>
      </c>
      <c r="D2838">
        <v>371</v>
      </c>
      <c r="E2838">
        <v>429</v>
      </c>
      <c r="F2838">
        <v>519</v>
      </c>
      <c r="G2838">
        <v>565</v>
      </c>
    </row>
    <row r="2839" spans="1:7">
      <c r="A2839" t="s">
        <v>1876</v>
      </c>
      <c r="B2839" t="s">
        <v>355</v>
      </c>
      <c r="C2839" t="s">
        <v>303</v>
      </c>
      <c r="D2839">
        <v>708</v>
      </c>
      <c r="E2839">
        <v>797</v>
      </c>
      <c r="F2839">
        <v>1212</v>
      </c>
      <c r="G2839">
        <v>1297</v>
      </c>
    </row>
    <row r="2840" spans="1:7">
      <c r="A2840" t="s">
        <v>1876</v>
      </c>
      <c r="B2840" t="s">
        <v>355</v>
      </c>
      <c r="C2840" t="s">
        <v>304</v>
      </c>
      <c r="D2840">
        <v>518</v>
      </c>
      <c r="E2840">
        <v>588</v>
      </c>
      <c r="F2840">
        <v>692</v>
      </c>
      <c r="G2840">
        <v>759</v>
      </c>
    </row>
    <row r="2841" spans="1:7">
      <c r="A2841" t="s">
        <v>1876</v>
      </c>
      <c r="B2841" t="s">
        <v>355</v>
      </c>
      <c r="C2841" t="s">
        <v>1953</v>
      </c>
      <c r="D2841">
        <v>17.399999999999999</v>
      </c>
      <c r="E2841">
        <v>18.399999999999999</v>
      </c>
      <c r="F2841">
        <v>19.8</v>
      </c>
      <c r="G2841">
        <v>19.399999999999999</v>
      </c>
    </row>
    <row r="2842" spans="1:7">
      <c r="A2842" t="s">
        <v>1876</v>
      </c>
      <c r="B2842" t="s">
        <v>355</v>
      </c>
      <c r="C2842" t="s">
        <v>305</v>
      </c>
      <c r="D2842">
        <v>80021</v>
      </c>
      <c r="E2842">
        <v>77524</v>
      </c>
      <c r="F2842">
        <v>80663</v>
      </c>
      <c r="G2842">
        <v>77928</v>
      </c>
    </row>
    <row r="2843" spans="1:7">
      <c r="A2843" t="s">
        <v>1876</v>
      </c>
      <c r="B2843" t="s">
        <v>355</v>
      </c>
      <c r="C2843" t="s">
        <v>306</v>
      </c>
      <c r="D2843">
        <v>79.599999999999994</v>
      </c>
      <c r="E2843">
        <v>76</v>
      </c>
      <c r="F2843">
        <v>77.900000000000006</v>
      </c>
      <c r="G2843">
        <v>74.2</v>
      </c>
    </row>
    <row r="2844" spans="1:7">
      <c r="A2844" t="s">
        <v>1876</v>
      </c>
      <c r="B2844" t="s">
        <v>355</v>
      </c>
      <c r="C2844" t="s">
        <v>307</v>
      </c>
      <c r="D2844">
        <v>52155</v>
      </c>
      <c r="E2844">
        <v>52404</v>
      </c>
      <c r="F2844">
        <v>49613</v>
      </c>
      <c r="G2844">
        <v>51825</v>
      </c>
    </row>
    <row r="2845" spans="1:7">
      <c r="A2845" t="s">
        <v>1876</v>
      </c>
      <c r="B2845" t="s">
        <v>355</v>
      </c>
      <c r="C2845" t="s">
        <v>308</v>
      </c>
      <c r="D2845">
        <v>51.9</v>
      </c>
      <c r="E2845">
        <v>51.4</v>
      </c>
      <c r="F2845">
        <v>47.9</v>
      </c>
      <c r="G2845">
        <v>49.4</v>
      </c>
    </row>
    <row r="2846" spans="1:7">
      <c r="A2846" t="s">
        <v>1876</v>
      </c>
      <c r="B2846" t="s">
        <v>355</v>
      </c>
      <c r="C2846" t="s">
        <v>309</v>
      </c>
      <c r="D2846">
        <v>30461</v>
      </c>
      <c r="E2846">
        <v>36699</v>
      </c>
      <c r="F2846">
        <v>29671</v>
      </c>
      <c r="G2846">
        <v>32082</v>
      </c>
    </row>
    <row r="2847" spans="1:7">
      <c r="A2847" t="s">
        <v>1876</v>
      </c>
      <c r="B2847" t="s">
        <v>355</v>
      </c>
      <c r="C2847" t="s">
        <v>310</v>
      </c>
      <c r="D2847">
        <v>84233</v>
      </c>
      <c r="E2847">
        <v>80589</v>
      </c>
      <c r="F2847">
        <v>78916</v>
      </c>
      <c r="G2847">
        <v>69165</v>
      </c>
    </row>
    <row r="2848" spans="1:7">
      <c r="A2848" t="s">
        <v>1876</v>
      </c>
      <c r="B2848" t="s">
        <v>355</v>
      </c>
      <c r="C2848" t="s">
        <v>311</v>
      </c>
      <c r="D2848">
        <v>83.8</v>
      </c>
      <c r="E2848">
        <v>79</v>
      </c>
      <c r="F2848">
        <v>76.2</v>
      </c>
      <c r="G2848">
        <v>65.900000000000006</v>
      </c>
    </row>
    <row r="2849" spans="1:7">
      <c r="A2849" t="s">
        <v>1876</v>
      </c>
      <c r="B2849" t="s">
        <v>355</v>
      </c>
      <c r="C2849" t="s">
        <v>312</v>
      </c>
      <c r="D2849">
        <v>64727</v>
      </c>
      <c r="E2849">
        <v>64713</v>
      </c>
      <c r="F2849">
        <v>59334</v>
      </c>
      <c r="G2849">
        <v>62640</v>
      </c>
    </row>
    <row r="2850" spans="1:7">
      <c r="A2850" t="s">
        <v>1876</v>
      </c>
      <c r="B2850" t="s">
        <v>355</v>
      </c>
      <c r="C2850" t="s">
        <v>313</v>
      </c>
      <c r="D2850">
        <v>64.400000000000006</v>
      </c>
      <c r="E2850">
        <v>63.4</v>
      </c>
      <c r="F2850">
        <v>57.3</v>
      </c>
      <c r="G2850">
        <v>59.7</v>
      </c>
    </row>
    <row r="2851" spans="1:7">
      <c r="A2851" t="s">
        <v>1876</v>
      </c>
      <c r="B2851" t="s">
        <v>355</v>
      </c>
      <c r="C2851" t="s">
        <v>314</v>
      </c>
      <c r="D2851">
        <v>281136</v>
      </c>
      <c r="E2851">
        <v>275231</v>
      </c>
      <c r="F2851">
        <v>268525</v>
      </c>
      <c r="G2851">
        <v>261559</v>
      </c>
    </row>
    <row r="2852" spans="1:7">
      <c r="A2852" t="s">
        <v>1876</v>
      </c>
      <c r="B2852" t="s">
        <v>355</v>
      </c>
      <c r="C2852" t="s">
        <v>315</v>
      </c>
      <c r="D2852">
        <v>3.74</v>
      </c>
      <c r="E2852">
        <v>3.39</v>
      </c>
      <c r="F2852">
        <v>3.27</v>
      </c>
      <c r="G2852">
        <v>3.06</v>
      </c>
    </row>
    <row r="2853" spans="1:7">
      <c r="A2853" t="s">
        <v>1876</v>
      </c>
      <c r="B2853" t="s">
        <v>355</v>
      </c>
      <c r="C2853" t="s">
        <v>316</v>
      </c>
      <c r="D2853">
        <v>279.7</v>
      </c>
      <c r="E2853">
        <v>269.8</v>
      </c>
      <c r="F2853">
        <v>259.39999999999998</v>
      </c>
      <c r="G2853">
        <v>249.1</v>
      </c>
    </row>
    <row r="2854" spans="1:7">
      <c r="A2854" t="s">
        <v>1876</v>
      </c>
      <c r="B2854" t="s">
        <v>355</v>
      </c>
      <c r="C2854" t="s">
        <v>317</v>
      </c>
      <c r="D2854">
        <v>281135</v>
      </c>
      <c r="E2854">
        <v>275231</v>
      </c>
      <c r="F2854">
        <v>268526</v>
      </c>
      <c r="G2854">
        <v>261558</v>
      </c>
    </row>
    <row r="2855" spans="1:7">
      <c r="A2855" t="s">
        <v>1876</v>
      </c>
      <c r="B2855" t="s">
        <v>355</v>
      </c>
      <c r="C2855" t="s">
        <v>318</v>
      </c>
      <c r="D2855">
        <v>80021</v>
      </c>
      <c r="E2855">
        <v>77524</v>
      </c>
      <c r="F2855">
        <v>80663</v>
      </c>
      <c r="G2855">
        <v>77928</v>
      </c>
    </row>
    <row r="2856" spans="1:7">
      <c r="A2856" t="s">
        <v>1876</v>
      </c>
      <c r="B2856" t="s">
        <v>355</v>
      </c>
      <c r="C2856" t="s">
        <v>319</v>
      </c>
      <c r="D2856">
        <v>28631</v>
      </c>
      <c r="E2856">
        <v>29469</v>
      </c>
      <c r="F2856">
        <v>28322</v>
      </c>
      <c r="G2856">
        <v>29128</v>
      </c>
    </row>
    <row r="2857" spans="1:7">
      <c r="A2857" t="s">
        <v>1876</v>
      </c>
      <c r="B2857" t="s">
        <v>355</v>
      </c>
      <c r="C2857" t="s">
        <v>320</v>
      </c>
      <c r="D2857">
        <v>72387</v>
      </c>
      <c r="E2857">
        <v>69757</v>
      </c>
      <c r="F2857">
        <v>68645</v>
      </c>
      <c r="G2857">
        <v>59003</v>
      </c>
    </row>
    <row r="2858" spans="1:7">
      <c r="A2858" t="s">
        <v>1876</v>
      </c>
      <c r="B2858" t="s">
        <v>355</v>
      </c>
      <c r="C2858" t="s">
        <v>321</v>
      </c>
      <c r="D2858">
        <v>35741</v>
      </c>
      <c r="E2858">
        <v>36916</v>
      </c>
      <c r="F2858">
        <v>34023</v>
      </c>
      <c r="G2858">
        <v>35214</v>
      </c>
    </row>
    <row r="2859" spans="1:7">
      <c r="A2859" t="s">
        <v>1876</v>
      </c>
      <c r="B2859" t="s">
        <v>355</v>
      </c>
      <c r="C2859" t="s">
        <v>1954</v>
      </c>
      <c r="D2859">
        <v>216780</v>
      </c>
      <c r="E2859">
        <v>213666</v>
      </c>
      <c r="F2859">
        <v>211653</v>
      </c>
      <c r="G2859">
        <v>201273</v>
      </c>
    </row>
    <row r="2860" spans="1:7">
      <c r="A2860" t="s">
        <v>1876</v>
      </c>
      <c r="B2860" t="s">
        <v>355</v>
      </c>
      <c r="C2860" t="s">
        <v>323</v>
      </c>
      <c r="D2860">
        <v>1005</v>
      </c>
      <c r="E2860">
        <v>1020</v>
      </c>
      <c r="F2860">
        <v>1035</v>
      </c>
      <c r="G2860">
        <v>1050</v>
      </c>
    </row>
    <row r="2861" spans="1:7">
      <c r="A2861" t="s">
        <v>1876</v>
      </c>
      <c r="B2861" t="s">
        <v>355</v>
      </c>
      <c r="C2861" t="s">
        <v>324</v>
      </c>
      <c r="D2861">
        <v>482</v>
      </c>
      <c r="E2861">
        <v>0</v>
      </c>
      <c r="F2861">
        <v>0</v>
      </c>
      <c r="G2861">
        <v>0</v>
      </c>
    </row>
    <row r="2862" spans="1:7">
      <c r="A2862" t="s">
        <v>1876</v>
      </c>
      <c r="B2862" t="s">
        <v>355</v>
      </c>
      <c r="C2862" t="s">
        <v>325</v>
      </c>
      <c r="D2862">
        <v>0</v>
      </c>
      <c r="E2862">
        <v>0</v>
      </c>
      <c r="F2862">
        <v>0</v>
      </c>
      <c r="G2862">
        <v>0</v>
      </c>
    </row>
    <row r="2863" spans="1:7">
      <c r="A2863" t="s">
        <v>1876</v>
      </c>
      <c r="B2863" t="s">
        <v>355</v>
      </c>
      <c r="C2863" t="s">
        <v>326</v>
      </c>
      <c r="D2863">
        <v>88</v>
      </c>
      <c r="E2863">
        <v>93</v>
      </c>
      <c r="F2863">
        <v>124</v>
      </c>
      <c r="G2863">
        <v>106</v>
      </c>
    </row>
    <row r="2864" spans="1:7">
      <c r="A2864" t="s">
        <v>1876</v>
      </c>
      <c r="B2864" t="s">
        <v>355</v>
      </c>
      <c r="C2864" t="s">
        <v>327</v>
      </c>
      <c r="D2864">
        <v>0</v>
      </c>
      <c r="E2864">
        <v>0</v>
      </c>
      <c r="F2864">
        <v>0</v>
      </c>
      <c r="G2864">
        <v>0</v>
      </c>
    </row>
    <row r="2865" spans="1:7">
      <c r="A2865" t="s">
        <v>1876</v>
      </c>
      <c r="B2865" t="s">
        <v>355</v>
      </c>
      <c r="C2865" t="s">
        <v>1723</v>
      </c>
      <c r="D2865">
        <v>0</v>
      </c>
      <c r="E2865">
        <v>0</v>
      </c>
      <c r="F2865">
        <v>0</v>
      </c>
      <c r="G2865">
        <v>0</v>
      </c>
    </row>
    <row r="2866" spans="1:7">
      <c r="A2866" t="s">
        <v>1876</v>
      </c>
      <c r="B2866" t="s">
        <v>355</v>
      </c>
      <c r="C2866" t="s">
        <v>328</v>
      </c>
      <c r="D2866">
        <v>23</v>
      </c>
      <c r="E2866">
        <v>37</v>
      </c>
      <c r="F2866">
        <v>37</v>
      </c>
      <c r="G2866">
        <v>37</v>
      </c>
    </row>
    <row r="2867" spans="1:7">
      <c r="A2867" t="s">
        <v>1876</v>
      </c>
      <c r="B2867" t="s">
        <v>355</v>
      </c>
      <c r="C2867" t="s">
        <v>329</v>
      </c>
      <c r="D2867">
        <v>457</v>
      </c>
      <c r="E2867">
        <v>607</v>
      </c>
      <c r="F2867">
        <v>688</v>
      </c>
      <c r="G2867">
        <v>554</v>
      </c>
    </row>
    <row r="2868" spans="1:7">
      <c r="A2868" t="s">
        <v>1876</v>
      </c>
      <c r="B2868" t="s">
        <v>355</v>
      </c>
      <c r="C2868" t="s">
        <v>330</v>
      </c>
      <c r="D2868">
        <v>568</v>
      </c>
      <c r="E2868">
        <v>736</v>
      </c>
      <c r="F2868">
        <v>848</v>
      </c>
      <c r="G2868">
        <v>698</v>
      </c>
    </row>
    <row r="2869" spans="1:7">
      <c r="A2869" t="s">
        <v>1876</v>
      </c>
      <c r="B2869" t="s">
        <v>355</v>
      </c>
      <c r="C2869" t="s">
        <v>331</v>
      </c>
      <c r="D2869">
        <v>0</v>
      </c>
      <c r="E2869">
        <v>0</v>
      </c>
      <c r="F2869">
        <v>0</v>
      </c>
      <c r="G2869">
        <v>0</v>
      </c>
    </row>
    <row r="2870" spans="1:7">
      <c r="A2870" t="s">
        <v>1876</v>
      </c>
      <c r="B2870" t="s">
        <v>355</v>
      </c>
      <c r="C2870" t="s">
        <v>332</v>
      </c>
      <c r="D2870">
        <v>672</v>
      </c>
      <c r="E2870">
        <v>640</v>
      </c>
      <c r="F2870">
        <v>571</v>
      </c>
      <c r="G2870">
        <v>289</v>
      </c>
    </row>
    <row r="2871" spans="1:7">
      <c r="A2871" t="s">
        <v>1876</v>
      </c>
      <c r="B2871" t="s">
        <v>355</v>
      </c>
      <c r="C2871" t="s">
        <v>1724</v>
      </c>
      <c r="D2871">
        <v>14</v>
      </c>
      <c r="E2871">
        <v>14</v>
      </c>
      <c r="F2871">
        <v>14</v>
      </c>
      <c r="G2871">
        <v>14</v>
      </c>
    </row>
    <row r="2872" spans="1:7">
      <c r="A2872" t="s">
        <v>1876</v>
      </c>
      <c r="B2872" t="s">
        <v>355</v>
      </c>
      <c r="C2872" t="s">
        <v>333</v>
      </c>
      <c r="D2872">
        <v>191</v>
      </c>
      <c r="E2872">
        <v>315</v>
      </c>
      <c r="F2872">
        <v>250</v>
      </c>
      <c r="G2872">
        <v>210</v>
      </c>
    </row>
    <row r="2873" spans="1:7">
      <c r="A2873" t="s">
        <v>1876</v>
      </c>
      <c r="B2873" t="s">
        <v>355</v>
      </c>
      <c r="C2873" t="s">
        <v>334</v>
      </c>
      <c r="D2873">
        <v>863</v>
      </c>
      <c r="E2873">
        <v>955</v>
      </c>
      <c r="F2873">
        <v>822</v>
      </c>
      <c r="G2873">
        <v>499</v>
      </c>
    </row>
    <row r="2874" spans="1:7">
      <c r="A2874" t="s">
        <v>1876</v>
      </c>
      <c r="B2874" t="s">
        <v>355</v>
      </c>
      <c r="C2874" t="s">
        <v>335</v>
      </c>
      <c r="D2874">
        <v>88</v>
      </c>
      <c r="E2874">
        <v>93</v>
      </c>
      <c r="F2874">
        <v>124</v>
      </c>
      <c r="G2874">
        <v>106</v>
      </c>
    </row>
    <row r="2875" spans="1:7">
      <c r="A2875" t="s">
        <v>1876</v>
      </c>
      <c r="B2875" t="s">
        <v>355</v>
      </c>
      <c r="C2875" t="s">
        <v>336</v>
      </c>
      <c r="D2875">
        <v>672</v>
      </c>
      <c r="E2875">
        <v>640</v>
      </c>
      <c r="F2875">
        <v>571</v>
      </c>
      <c r="G2875">
        <v>289</v>
      </c>
    </row>
    <row r="2876" spans="1:7">
      <c r="A2876" t="s">
        <v>1876</v>
      </c>
      <c r="B2876" t="s">
        <v>355</v>
      </c>
      <c r="C2876" t="s">
        <v>337</v>
      </c>
      <c r="D2876">
        <v>214</v>
      </c>
      <c r="E2876">
        <v>352</v>
      </c>
      <c r="F2876">
        <v>287</v>
      </c>
      <c r="G2876">
        <v>247</v>
      </c>
    </row>
    <row r="2877" spans="1:7">
      <c r="A2877" t="s">
        <v>1876</v>
      </c>
      <c r="B2877" t="s">
        <v>355</v>
      </c>
      <c r="C2877" t="s">
        <v>338</v>
      </c>
      <c r="D2877">
        <v>1431</v>
      </c>
      <c r="E2877">
        <v>1691</v>
      </c>
      <c r="F2877">
        <v>1670</v>
      </c>
      <c r="G2877">
        <v>1196</v>
      </c>
    </row>
    <row r="2878" spans="1:7">
      <c r="A2878" t="s">
        <v>1876</v>
      </c>
      <c r="B2878" t="s">
        <v>355</v>
      </c>
      <c r="C2878" t="s">
        <v>339</v>
      </c>
      <c r="D2878">
        <v>759</v>
      </c>
      <c r="E2878">
        <v>1051</v>
      </c>
      <c r="F2878">
        <v>1099</v>
      </c>
      <c r="G2878">
        <v>907</v>
      </c>
    </row>
    <row r="2879" spans="1:7">
      <c r="A2879" t="s">
        <v>1876</v>
      </c>
      <c r="B2879" t="s">
        <v>355</v>
      </c>
      <c r="C2879" t="s">
        <v>340</v>
      </c>
      <c r="D2879">
        <v>0</v>
      </c>
      <c r="E2879">
        <v>0</v>
      </c>
      <c r="F2879">
        <v>0</v>
      </c>
      <c r="G2879">
        <v>0</v>
      </c>
    </row>
    <row r="2880" spans="1:7">
      <c r="A2880" t="s">
        <v>1876</v>
      </c>
      <c r="B2880" t="s">
        <v>355</v>
      </c>
      <c r="C2880" t="s">
        <v>1955</v>
      </c>
      <c r="D2880">
        <v>27.7</v>
      </c>
      <c r="E2880">
        <v>25</v>
      </c>
      <c r="F2880">
        <v>23.8</v>
      </c>
      <c r="G2880">
        <v>15</v>
      </c>
    </row>
    <row r="2881" spans="1:7">
      <c r="A2881" t="s">
        <v>1876</v>
      </c>
      <c r="B2881" t="s">
        <v>355</v>
      </c>
      <c r="C2881" t="s">
        <v>341</v>
      </c>
      <c r="D2881">
        <v>17</v>
      </c>
      <c r="E2881">
        <v>15</v>
      </c>
      <c r="F2881">
        <v>14</v>
      </c>
      <c r="G2881">
        <v>9</v>
      </c>
    </row>
    <row r="2882" spans="1:7">
      <c r="A2882" t="s">
        <v>1876</v>
      </c>
      <c r="B2882" t="s">
        <v>355</v>
      </c>
      <c r="C2882" t="s">
        <v>342</v>
      </c>
      <c r="D2882">
        <v>0</v>
      </c>
      <c r="E2882">
        <v>0</v>
      </c>
      <c r="F2882">
        <v>0</v>
      </c>
      <c r="G2882">
        <v>0</v>
      </c>
    </row>
    <row r="2883" spans="1:7">
      <c r="A2883" t="s">
        <v>1876</v>
      </c>
      <c r="B2883" t="s">
        <v>355</v>
      </c>
      <c r="C2883" t="s">
        <v>1725</v>
      </c>
      <c r="D2883">
        <v>2</v>
      </c>
      <c r="E2883">
        <v>2</v>
      </c>
      <c r="F2883">
        <v>2</v>
      </c>
      <c r="G2883">
        <v>2</v>
      </c>
    </row>
    <row r="2884" spans="1:7">
      <c r="A2884" t="s">
        <v>1876</v>
      </c>
      <c r="B2884" t="s">
        <v>355</v>
      </c>
      <c r="C2884" t="s">
        <v>343</v>
      </c>
      <c r="D2884">
        <v>0</v>
      </c>
      <c r="E2884">
        <v>0</v>
      </c>
      <c r="F2884">
        <v>0</v>
      </c>
      <c r="G2884">
        <v>0</v>
      </c>
    </row>
    <row r="2885" spans="1:7">
      <c r="A2885" t="s">
        <v>1876</v>
      </c>
      <c r="B2885" t="s">
        <v>355</v>
      </c>
      <c r="C2885" t="s">
        <v>344</v>
      </c>
      <c r="D2885">
        <v>17</v>
      </c>
      <c r="E2885">
        <v>15</v>
      </c>
      <c r="F2885">
        <v>14</v>
      </c>
      <c r="G2885">
        <v>9</v>
      </c>
    </row>
    <row r="2886" spans="1:7">
      <c r="A2886" t="s">
        <v>1876</v>
      </c>
      <c r="B2886" t="s">
        <v>355</v>
      </c>
      <c r="C2886" t="s">
        <v>345</v>
      </c>
      <c r="D2886">
        <v>17</v>
      </c>
      <c r="E2886">
        <v>15</v>
      </c>
      <c r="F2886">
        <v>14</v>
      </c>
      <c r="G2886">
        <v>9</v>
      </c>
    </row>
    <row r="2887" spans="1:7">
      <c r="A2887" t="s">
        <v>1876</v>
      </c>
      <c r="B2887" t="s">
        <v>355</v>
      </c>
      <c r="C2887" t="s">
        <v>1956</v>
      </c>
      <c r="D2887">
        <v>672</v>
      </c>
      <c r="E2887">
        <v>640</v>
      </c>
      <c r="F2887">
        <v>571</v>
      </c>
      <c r="G2887">
        <v>289</v>
      </c>
    </row>
    <row r="2888" spans="1:7">
      <c r="A2888" t="s">
        <v>1876</v>
      </c>
      <c r="B2888" t="s">
        <v>355</v>
      </c>
      <c r="C2888" t="s">
        <v>1957</v>
      </c>
      <c r="D2888">
        <v>863</v>
      </c>
      <c r="E2888">
        <v>955</v>
      </c>
      <c r="F2888">
        <v>822</v>
      </c>
      <c r="G2888">
        <v>499</v>
      </c>
    </row>
    <row r="2889" spans="1:7">
      <c r="A2889" t="s">
        <v>1876</v>
      </c>
      <c r="B2889" t="s">
        <v>355</v>
      </c>
      <c r="C2889" t="s">
        <v>346</v>
      </c>
      <c r="D2889">
        <v>1254</v>
      </c>
      <c r="E2889">
        <v>1265</v>
      </c>
      <c r="F2889">
        <v>1077</v>
      </c>
      <c r="G2889">
        <v>1232</v>
      </c>
    </row>
    <row r="2890" spans="1:7">
      <c r="A2890" t="s">
        <v>1876</v>
      </c>
      <c r="B2890" t="s">
        <v>355</v>
      </c>
      <c r="C2890" t="s">
        <v>347</v>
      </c>
      <c r="D2890">
        <v>4164</v>
      </c>
      <c r="E2890">
        <v>4481</v>
      </c>
      <c r="F2890">
        <v>3843</v>
      </c>
      <c r="G2890">
        <v>4037</v>
      </c>
    </row>
    <row r="2891" spans="1:7">
      <c r="A2891" t="s">
        <v>1876</v>
      </c>
      <c r="B2891" t="s">
        <v>356</v>
      </c>
      <c r="C2891" t="s">
        <v>133</v>
      </c>
      <c r="D2891">
        <v>0</v>
      </c>
      <c r="E2891">
        <v>0</v>
      </c>
      <c r="F2891">
        <v>0</v>
      </c>
      <c r="G2891">
        <v>0</v>
      </c>
    </row>
    <row r="2892" spans="1:7">
      <c r="A2892" t="s">
        <v>1876</v>
      </c>
      <c r="B2892" t="s">
        <v>356</v>
      </c>
      <c r="C2892" t="s">
        <v>134</v>
      </c>
      <c r="D2892">
        <v>34687</v>
      </c>
      <c r="E2892">
        <v>33704</v>
      </c>
      <c r="F2892">
        <v>35136</v>
      </c>
      <c r="G2892">
        <v>39328</v>
      </c>
    </row>
    <row r="2893" spans="1:7">
      <c r="A2893" t="s">
        <v>1876</v>
      </c>
      <c r="B2893" t="s">
        <v>356</v>
      </c>
      <c r="C2893" t="s">
        <v>135</v>
      </c>
      <c r="D2893">
        <v>34687</v>
      </c>
      <c r="E2893">
        <v>33704</v>
      </c>
      <c r="F2893">
        <v>35136</v>
      </c>
      <c r="G2893">
        <v>39328</v>
      </c>
    </row>
    <row r="2894" spans="1:7">
      <c r="A2894" t="s">
        <v>1876</v>
      </c>
      <c r="B2894" t="s">
        <v>356</v>
      </c>
      <c r="C2894" t="s">
        <v>136</v>
      </c>
      <c r="D2894">
        <v>34687</v>
      </c>
      <c r="E2894">
        <v>33704</v>
      </c>
      <c r="F2894">
        <v>35136</v>
      </c>
      <c r="G2894">
        <v>39328</v>
      </c>
    </row>
    <row r="2895" spans="1:7">
      <c r="A2895" t="s">
        <v>1876</v>
      </c>
      <c r="B2895" t="s">
        <v>356</v>
      </c>
      <c r="C2895" t="s">
        <v>137</v>
      </c>
      <c r="D2895">
        <v>2516</v>
      </c>
      <c r="E2895">
        <v>2605</v>
      </c>
      <c r="F2895">
        <v>2472</v>
      </c>
      <c r="G2895">
        <v>2659</v>
      </c>
    </row>
    <row r="2896" spans="1:7">
      <c r="A2896" t="s">
        <v>1876</v>
      </c>
      <c r="B2896" t="s">
        <v>356</v>
      </c>
      <c r="C2896" t="s">
        <v>138</v>
      </c>
      <c r="D2896">
        <v>2516</v>
      </c>
      <c r="E2896">
        <v>2605</v>
      </c>
      <c r="F2896">
        <v>2472</v>
      </c>
      <c r="G2896">
        <v>2659</v>
      </c>
    </row>
    <row r="2897" spans="1:7">
      <c r="A2897" t="s">
        <v>1876</v>
      </c>
      <c r="B2897" t="s">
        <v>356</v>
      </c>
      <c r="C2897" t="s">
        <v>139</v>
      </c>
      <c r="D2897">
        <v>2516</v>
      </c>
      <c r="E2897">
        <v>2605</v>
      </c>
      <c r="F2897">
        <v>2472</v>
      </c>
      <c r="G2897">
        <v>2659</v>
      </c>
    </row>
    <row r="2898" spans="1:7">
      <c r="A2898" t="s">
        <v>1876</v>
      </c>
      <c r="B2898" t="s">
        <v>356</v>
      </c>
      <c r="C2898" t="s">
        <v>1877</v>
      </c>
      <c r="D2898">
        <v>0</v>
      </c>
      <c r="E2898">
        <v>0</v>
      </c>
      <c r="F2898">
        <v>0</v>
      </c>
      <c r="G2898">
        <v>0</v>
      </c>
    </row>
    <row r="2899" spans="1:7">
      <c r="A2899" t="s">
        <v>1876</v>
      </c>
      <c r="B2899" t="s">
        <v>356</v>
      </c>
      <c r="C2899" t="s">
        <v>1700</v>
      </c>
      <c r="D2899">
        <v>0</v>
      </c>
      <c r="E2899">
        <v>0</v>
      </c>
      <c r="F2899">
        <v>0</v>
      </c>
      <c r="G2899">
        <v>0</v>
      </c>
    </row>
    <row r="2900" spans="1:7">
      <c r="A2900" t="s">
        <v>1876</v>
      </c>
      <c r="B2900" t="s">
        <v>356</v>
      </c>
      <c r="C2900" t="s">
        <v>1878</v>
      </c>
      <c r="D2900">
        <v>0</v>
      </c>
      <c r="E2900">
        <v>0</v>
      </c>
      <c r="F2900">
        <v>0</v>
      </c>
      <c r="G2900">
        <v>0</v>
      </c>
    </row>
    <row r="2901" spans="1:7">
      <c r="A2901" t="s">
        <v>1876</v>
      </c>
      <c r="B2901" t="s">
        <v>356</v>
      </c>
      <c r="C2901" t="s">
        <v>1879</v>
      </c>
      <c r="D2901">
        <v>0</v>
      </c>
      <c r="E2901">
        <v>0</v>
      </c>
      <c r="F2901">
        <v>0</v>
      </c>
      <c r="G2901">
        <v>0</v>
      </c>
    </row>
    <row r="2902" spans="1:7">
      <c r="A2902" t="s">
        <v>1876</v>
      </c>
      <c r="B2902" t="s">
        <v>356</v>
      </c>
      <c r="C2902" t="s">
        <v>1701</v>
      </c>
      <c r="D2902">
        <v>0</v>
      </c>
      <c r="E2902">
        <v>0</v>
      </c>
      <c r="F2902">
        <v>0</v>
      </c>
      <c r="G2902">
        <v>0</v>
      </c>
    </row>
    <row r="2903" spans="1:7">
      <c r="A2903" t="s">
        <v>1876</v>
      </c>
      <c r="B2903" t="s">
        <v>356</v>
      </c>
      <c r="C2903" t="s">
        <v>1880</v>
      </c>
      <c r="D2903">
        <v>2815</v>
      </c>
      <c r="E2903">
        <v>2632</v>
      </c>
      <c r="F2903">
        <v>3221</v>
      </c>
      <c r="G2903">
        <v>3100</v>
      </c>
    </row>
    <row r="2904" spans="1:7">
      <c r="A2904" t="s">
        <v>1876</v>
      </c>
      <c r="B2904" t="s">
        <v>356</v>
      </c>
      <c r="C2904" t="s">
        <v>140</v>
      </c>
      <c r="D2904">
        <v>6616</v>
      </c>
      <c r="E2904">
        <v>6361</v>
      </c>
      <c r="F2904">
        <v>8688</v>
      </c>
      <c r="G2904">
        <v>8836</v>
      </c>
    </row>
    <row r="2905" spans="1:7">
      <c r="A2905" t="s">
        <v>1876</v>
      </c>
      <c r="B2905" t="s">
        <v>356</v>
      </c>
      <c r="C2905" t="s">
        <v>1881</v>
      </c>
      <c r="D2905">
        <v>3800</v>
      </c>
      <c r="E2905">
        <v>3729</v>
      </c>
      <c r="F2905">
        <v>5467</v>
      </c>
      <c r="G2905">
        <v>5737</v>
      </c>
    </row>
    <row r="2906" spans="1:7">
      <c r="A2906" t="s">
        <v>1876</v>
      </c>
      <c r="B2906" t="s">
        <v>356</v>
      </c>
      <c r="C2906" t="s">
        <v>1882</v>
      </c>
      <c r="D2906">
        <v>0</v>
      </c>
      <c r="E2906">
        <v>0</v>
      </c>
      <c r="F2906">
        <v>0</v>
      </c>
      <c r="G2906">
        <v>0</v>
      </c>
    </row>
    <row r="2907" spans="1:7">
      <c r="A2907" t="s">
        <v>1876</v>
      </c>
      <c r="B2907" t="s">
        <v>356</v>
      </c>
      <c r="C2907" t="s">
        <v>1883</v>
      </c>
      <c r="D2907">
        <v>0</v>
      </c>
      <c r="E2907">
        <v>0</v>
      </c>
      <c r="F2907">
        <v>0</v>
      </c>
      <c r="G2907">
        <v>0</v>
      </c>
    </row>
    <row r="2908" spans="1:7">
      <c r="A2908" t="s">
        <v>1876</v>
      </c>
      <c r="B2908" t="s">
        <v>356</v>
      </c>
      <c r="C2908" t="s">
        <v>1884</v>
      </c>
      <c r="D2908">
        <v>0</v>
      </c>
      <c r="E2908">
        <v>0</v>
      </c>
      <c r="F2908">
        <v>0</v>
      </c>
      <c r="G2908">
        <v>0</v>
      </c>
    </row>
    <row r="2909" spans="1:7">
      <c r="A2909" t="s">
        <v>1876</v>
      </c>
      <c r="B2909" t="s">
        <v>356</v>
      </c>
      <c r="C2909" t="s">
        <v>1885</v>
      </c>
      <c r="D2909">
        <v>0</v>
      </c>
      <c r="E2909">
        <v>0</v>
      </c>
      <c r="F2909">
        <v>0</v>
      </c>
      <c r="G2909">
        <v>0</v>
      </c>
    </row>
    <row r="2910" spans="1:7">
      <c r="A2910" t="s">
        <v>1876</v>
      </c>
      <c r="B2910" t="s">
        <v>356</v>
      </c>
      <c r="C2910" t="s">
        <v>1886</v>
      </c>
      <c r="D2910">
        <v>0</v>
      </c>
      <c r="E2910">
        <v>0</v>
      </c>
      <c r="F2910">
        <v>0</v>
      </c>
      <c r="G2910">
        <v>0</v>
      </c>
    </row>
    <row r="2911" spans="1:7">
      <c r="A2911" t="s">
        <v>1876</v>
      </c>
      <c r="B2911" t="s">
        <v>356</v>
      </c>
      <c r="C2911" t="s">
        <v>141</v>
      </c>
      <c r="D2911">
        <v>0</v>
      </c>
      <c r="E2911">
        <v>0</v>
      </c>
      <c r="F2911">
        <v>3</v>
      </c>
      <c r="G2911">
        <v>6</v>
      </c>
    </row>
    <row r="2912" spans="1:7">
      <c r="A2912" t="s">
        <v>1876</v>
      </c>
      <c r="B2912" t="s">
        <v>356</v>
      </c>
      <c r="C2912" t="s">
        <v>1887</v>
      </c>
      <c r="D2912">
        <v>0</v>
      </c>
      <c r="E2912">
        <v>0</v>
      </c>
      <c r="F2912">
        <v>0</v>
      </c>
      <c r="G2912">
        <v>0</v>
      </c>
    </row>
    <row r="2913" spans="1:7">
      <c r="A2913" t="s">
        <v>1876</v>
      </c>
      <c r="B2913" t="s">
        <v>356</v>
      </c>
      <c r="C2913" t="s">
        <v>1888</v>
      </c>
      <c r="D2913">
        <v>0</v>
      </c>
      <c r="E2913">
        <v>0</v>
      </c>
      <c r="F2913">
        <v>0</v>
      </c>
      <c r="G2913">
        <v>0</v>
      </c>
    </row>
    <row r="2914" spans="1:7">
      <c r="A2914" t="s">
        <v>1876</v>
      </c>
      <c r="B2914" t="s">
        <v>356</v>
      </c>
      <c r="C2914" t="s">
        <v>1889</v>
      </c>
      <c r="D2914">
        <v>2815</v>
      </c>
      <c r="E2914">
        <v>2632</v>
      </c>
      <c r="F2914">
        <v>3221</v>
      </c>
      <c r="G2914">
        <v>3100</v>
      </c>
    </row>
    <row r="2915" spans="1:7">
      <c r="A2915" t="s">
        <v>1876</v>
      </c>
      <c r="B2915" t="s">
        <v>356</v>
      </c>
      <c r="C2915" t="s">
        <v>1890</v>
      </c>
      <c r="D2915">
        <v>0</v>
      </c>
      <c r="E2915">
        <v>0</v>
      </c>
      <c r="F2915">
        <v>0</v>
      </c>
      <c r="G2915">
        <v>0</v>
      </c>
    </row>
    <row r="2916" spans="1:7">
      <c r="A2916" t="s">
        <v>1876</v>
      </c>
      <c r="B2916" t="s">
        <v>356</v>
      </c>
      <c r="C2916" t="s">
        <v>1891</v>
      </c>
    </row>
    <row r="2917" spans="1:7">
      <c r="A2917" t="s">
        <v>1876</v>
      </c>
      <c r="B2917" t="s">
        <v>356</v>
      </c>
      <c r="C2917" t="s">
        <v>1892</v>
      </c>
      <c r="D2917">
        <v>3800</v>
      </c>
      <c r="E2917">
        <v>3729</v>
      </c>
      <c r="F2917">
        <v>5467</v>
      </c>
      <c r="G2917">
        <v>5737</v>
      </c>
    </row>
    <row r="2918" spans="1:7">
      <c r="A2918" t="s">
        <v>1876</v>
      </c>
      <c r="B2918" t="s">
        <v>356</v>
      </c>
      <c r="C2918" t="s">
        <v>142</v>
      </c>
      <c r="D2918">
        <v>6616</v>
      </c>
      <c r="E2918">
        <v>6361</v>
      </c>
      <c r="F2918">
        <v>8688</v>
      </c>
      <c r="G2918">
        <v>8836</v>
      </c>
    </row>
    <row r="2919" spans="1:7">
      <c r="A2919" t="s">
        <v>1876</v>
      </c>
      <c r="B2919" t="s">
        <v>356</v>
      </c>
      <c r="C2919" t="s">
        <v>1893</v>
      </c>
      <c r="D2919">
        <v>6616</v>
      </c>
      <c r="E2919">
        <v>6361</v>
      </c>
      <c r="F2919">
        <v>8688</v>
      </c>
      <c r="G2919">
        <v>8836</v>
      </c>
    </row>
    <row r="2920" spans="1:7">
      <c r="A2920" t="s">
        <v>1876</v>
      </c>
      <c r="B2920" t="s">
        <v>356</v>
      </c>
      <c r="C2920" t="s">
        <v>1894</v>
      </c>
      <c r="D2920">
        <v>3800</v>
      </c>
      <c r="E2920">
        <v>3729</v>
      </c>
      <c r="F2920">
        <v>5467</v>
      </c>
      <c r="G2920">
        <v>5737</v>
      </c>
    </row>
    <row r="2921" spans="1:7">
      <c r="A2921" t="s">
        <v>1876</v>
      </c>
      <c r="B2921" t="s">
        <v>356</v>
      </c>
      <c r="C2921" t="s">
        <v>143</v>
      </c>
      <c r="D2921">
        <v>0</v>
      </c>
      <c r="E2921">
        <v>0</v>
      </c>
      <c r="F2921">
        <v>3</v>
      </c>
      <c r="G2921">
        <v>6</v>
      </c>
    </row>
    <row r="2922" spans="1:7">
      <c r="A2922" t="s">
        <v>1876</v>
      </c>
      <c r="B2922" t="s">
        <v>356</v>
      </c>
      <c r="C2922" t="s">
        <v>144</v>
      </c>
      <c r="D2922">
        <v>80766</v>
      </c>
      <c r="E2922">
        <v>82541</v>
      </c>
      <c r="F2922">
        <v>86763</v>
      </c>
      <c r="G2922">
        <v>87351</v>
      </c>
    </row>
    <row r="2923" spans="1:7">
      <c r="A2923" t="s">
        <v>1876</v>
      </c>
      <c r="B2923" t="s">
        <v>356</v>
      </c>
      <c r="C2923" t="s">
        <v>1895</v>
      </c>
      <c r="D2923">
        <v>63.8</v>
      </c>
      <c r="E2923">
        <v>60.6</v>
      </c>
      <c r="F2923">
        <v>55</v>
      </c>
      <c r="G2923">
        <v>53.6</v>
      </c>
    </row>
    <row r="2924" spans="1:7">
      <c r="A2924" t="s">
        <v>1876</v>
      </c>
      <c r="B2924" t="s">
        <v>356</v>
      </c>
      <c r="C2924" t="s">
        <v>145</v>
      </c>
      <c r="D2924">
        <v>221885</v>
      </c>
      <c r="E2924">
        <v>221275</v>
      </c>
      <c r="F2924">
        <v>189631</v>
      </c>
      <c r="G2924">
        <v>189449</v>
      </c>
    </row>
    <row r="2925" spans="1:7">
      <c r="A2925" t="s">
        <v>1876</v>
      </c>
      <c r="B2925" t="s">
        <v>356</v>
      </c>
      <c r="C2925" t="s">
        <v>146</v>
      </c>
      <c r="D2925">
        <v>0</v>
      </c>
      <c r="E2925">
        <v>0</v>
      </c>
      <c r="F2925">
        <v>0</v>
      </c>
      <c r="G2925">
        <v>0</v>
      </c>
    </row>
    <row r="2926" spans="1:7">
      <c r="A2926" t="s">
        <v>1876</v>
      </c>
      <c r="B2926" t="s">
        <v>356</v>
      </c>
      <c r="C2926" t="s">
        <v>147</v>
      </c>
      <c r="D2926">
        <v>0</v>
      </c>
      <c r="E2926">
        <v>0</v>
      </c>
      <c r="F2926">
        <v>0</v>
      </c>
      <c r="G2926">
        <v>0</v>
      </c>
    </row>
    <row r="2927" spans="1:7">
      <c r="A2927" t="s">
        <v>1876</v>
      </c>
      <c r="B2927" t="s">
        <v>356</v>
      </c>
      <c r="C2927" t="s">
        <v>1896</v>
      </c>
      <c r="D2927">
        <v>1.4</v>
      </c>
      <c r="E2927">
        <v>1.2</v>
      </c>
      <c r="F2927">
        <v>1</v>
      </c>
      <c r="G2927">
        <v>1.6</v>
      </c>
    </row>
    <row r="2928" spans="1:7">
      <c r="A2928" t="s">
        <v>1876</v>
      </c>
      <c r="B2928" t="s">
        <v>356</v>
      </c>
      <c r="C2928" t="s">
        <v>1702</v>
      </c>
      <c r="D2928">
        <v>509</v>
      </c>
      <c r="E2928">
        <v>541</v>
      </c>
      <c r="F2928">
        <v>561</v>
      </c>
      <c r="G2928">
        <v>576</v>
      </c>
    </row>
    <row r="2929" spans="1:7">
      <c r="A2929" t="s">
        <v>1876</v>
      </c>
      <c r="B2929" t="s">
        <v>356</v>
      </c>
      <c r="C2929" t="s">
        <v>1897</v>
      </c>
      <c r="D2929">
        <v>92.4</v>
      </c>
      <c r="E2929">
        <v>141</v>
      </c>
      <c r="F2929">
        <v>244</v>
      </c>
      <c r="G2929">
        <v>323.5</v>
      </c>
    </row>
    <row r="2930" spans="1:7">
      <c r="A2930" t="s">
        <v>1876</v>
      </c>
      <c r="B2930" t="s">
        <v>356</v>
      </c>
      <c r="C2930" t="s">
        <v>1898</v>
      </c>
      <c r="D2930">
        <v>133</v>
      </c>
      <c r="E2930">
        <v>231</v>
      </c>
      <c r="F2930">
        <v>671</v>
      </c>
      <c r="G2930">
        <v>973</v>
      </c>
    </row>
    <row r="2931" spans="1:7">
      <c r="A2931" t="s">
        <v>1876</v>
      </c>
      <c r="B2931" t="s">
        <v>356</v>
      </c>
      <c r="C2931" t="s">
        <v>1899</v>
      </c>
      <c r="D2931">
        <v>3800</v>
      </c>
      <c r="E2931">
        <v>3729</v>
      </c>
      <c r="F2931">
        <v>5467</v>
      </c>
      <c r="G2931">
        <v>5737</v>
      </c>
    </row>
    <row r="2932" spans="1:7">
      <c r="A2932" t="s">
        <v>1876</v>
      </c>
      <c r="B2932" t="s">
        <v>356</v>
      </c>
      <c r="C2932" t="s">
        <v>148</v>
      </c>
      <c r="D2932">
        <v>0</v>
      </c>
      <c r="E2932">
        <v>0</v>
      </c>
      <c r="F2932">
        <v>0</v>
      </c>
      <c r="G2932">
        <v>0</v>
      </c>
    </row>
    <row r="2933" spans="1:7">
      <c r="A2933" t="s">
        <v>1876</v>
      </c>
      <c r="B2933" t="s">
        <v>356</v>
      </c>
      <c r="C2933" t="s">
        <v>149</v>
      </c>
      <c r="D2933">
        <v>0</v>
      </c>
      <c r="E2933">
        <v>0</v>
      </c>
      <c r="F2933">
        <v>0</v>
      </c>
      <c r="G2933">
        <v>0</v>
      </c>
    </row>
    <row r="2934" spans="1:7">
      <c r="A2934" t="s">
        <v>1876</v>
      </c>
      <c r="B2934" t="s">
        <v>356</v>
      </c>
      <c r="C2934" t="s">
        <v>150</v>
      </c>
      <c r="D2934">
        <v>0</v>
      </c>
      <c r="E2934">
        <v>0</v>
      </c>
      <c r="F2934">
        <v>0</v>
      </c>
      <c r="G2934">
        <v>0</v>
      </c>
    </row>
    <row r="2935" spans="1:7">
      <c r="A2935" t="s">
        <v>1876</v>
      </c>
      <c r="B2935" t="s">
        <v>356</v>
      </c>
      <c r="C2935" t="s">
        <v>1900</v>
      </c>
      <c r="D2935">
        <v>45</v>
      </c>
      <c r="E2935">
        <v>43.9</v>
      </c>
      <c r="F2935">
        <v>34.799999999999997</v>
      </c>
      <c r="G2935">
        <v>29.4</v>
      </c>
    </row>
    <row r="2936" spans="1:7">
      <c r="A2936" t="s">
        <v>1876</v>
      </c>
      <c r="B2936" t="s">
        <v>356</v>
      </c>
      <c r="C2936" t="s">
        <v>151</v>
      </c>
      <c r="D2936">
        <v>0</v>
      </c>
      <c r="E2936">
        <v>0</v>
      </c>
      <c r="F2936">
        <v>0</v>
      </c>
      <c r="G2936">
        <v>0</v>
      </c>
    </row>
    <row r="2937" spans="1:7">
      <c r="A2937" t="s">
        <v>1876</v>
      </c>
      <c r="B2937" t="s">
        <v>356</v>
      </c>
      <c r="C2937" t="s">
        <v>152</v>
      </c>
      <c r="D2937">
        <v>194273</v>
      </c>
      <c r="E2937">
        <v>167445</v>
      </c>
      <c r="F2937">
        <v>127046</v>
      </c>
      <c r="G2937">
        <v>88077</v>
      </c>
    </row>
    <row r="2938" spans="1:7">
      <c r="A2938" t="s">
        <v>1876</v>
      </c>
      <c r="B2938" t="s">
        <v>356</v>
      </c>
      <c r="C2938" t="s">
        <v>1703</v>
      </c>
      <c r="D2938">
        <v>4776</v>
      </c>
      <c r="E2938">
        <v>4562</v>
      </c>
      <c r="F2938">
        <v>3990</v>
      </c>
      <c r="G2938">
        <v>3565</v>
      </c>
    </row>
    <row r="2939" spans="1:7">
      <c r="A2939" t="s">
        <v>1876</v>
      </c>
      <c r="B2939" t="s">
        <v>356</v>
      </c>
      <c r="C2939" t="s">
        <v>153</v>
      </c>
      <c r="D2939">
        <v>5920</v>
      </c>
      <c r="E2939">
        <v>4508</v>
      </c>
      <c r="F2939">
        <v>2341</v>
      </c>
      <c r="G2939">
        <v>2583</v>
      </c>
    </row>
    <row r="2940" spans="1:7">
      <c r="A2940" t="s">
        <v>1876</v>
      </c>
      <c r="B2940" t="s">
        <v>356</v>
      </c>
      <c r="C2940" t="s">
        <v>154</v>
      </c>
      <c r="D2940">
        <v>0</v>
      </c>
      <c r="E2940">
        <v>0</v>
      </c>
      <c r="F2940">
        <v>0</v>
      </c>
      <c r="G2940">
        <v>0</v>
      </c>
    </row>
    <row r="2941" spans="1:7">
      <c r="A2941" t="s">
        <v>1876</v>
      </c>
      <c r="B2941" t="s">
        <v>356</v>
      </c>
      <c r="C2941" t="s">
        <v>155</v>
      </c>
      <c r="D2941">
        <v>5920</v>
      </c>
      <c r="E2941">
        <v>4508</v>
      </c>
      <c r="F2941">
        <v>2341</v>
      </c>
      <c r="G2941">
        <v>2583</v>
      </c>
    </row>
    <row r="2942" spans="1:7">
      <c r="A2942" t="s">
        <v>1876</v>
      </c>
      <c r="B2942" t="s">
        <v>356</v>
      </c>
      <c r="C2942" t="s">
        <v>156</v>
      </c>
      <c r="D2942">
        <v>0</v>
      </c>
      <c r="E2942">
        <v>0</v>
      </c>
      <c r="F2942">
        <v>0</v>
      </c>
      <c r="G2942">
        <v>0</v>
      </c>
    </row>
    <row r="2943" spans="1:7">
      <c r="A2943" t="s">
        <v>1876</v>
      </c>
      <c r="B2943" t="s">
        <v>356</v>
      </c>
      <c r="C2943" t="s">
        <v>157</v>
      </c>
      <c r="D2943">
        <v>200193</v>
      </c>
      <c r="E2943">
        <v>171953</v>
      </c>
      <c r="F2943">
        <v>129387</v>
      </c>
      <c r="G2943">
        <v>90660</v>
      </c>
    </row>
    <row r="2944" spans="1:7">
      <c r="A2944" t="s">
        <v>1876</v>
      </c>
      <c r="B2944" t="s">
        <v>356</v>
      </c>
      <c r="C2944" t="s">
        <v>158</v>
      </c>
      <c r="D2944">
        <v>5920</v>
      </c>
      <c r="E2944">
        <v>4508</v>
      </c>
      <c r="F2944">
        <v>2341</v>
      </c>
      <c r="G2944">
        <v>2583</v>
      </c>
    </row>
    <row r="2945" spans="1:7">
      <c r="A2945" t="s">
        <v>1876</v>
      </c>
      <c r="B2945" t="s">
        <v>356</v>
      </c>
      <c r="C2945" t="s">
        <v>159</v>
      </c>
      <c r="D2945">
        <v>0</v>
      </c>
      <c r="E2945">
        <v>0</v>
      </c>
      <c r="F2945">
        <v>0</v>
      </c>
      <c r="G2945">
        <v>0</v>
      </c>
    </row>
    <row r="2946" spans="1:7">
      <c r="A2946" t="s">
        <v>1876</v>
      </c>
      <c r="B2946" t="s">
        <v>356</v>
      </c>
      <c r="C2946" t="s">
        <v>1901</v>
      </c>
      <c r="D2946">
        <v>59</v>
      </c>
      <c r="E2946">
        <v>59.5</v>
      </c>
      <c r="F2946">
        <v>59</v>
      </c>
      <c r="G2946">
        <v>60.1</v>
      </c>
    </row>
    <row r="2947" spans="1:7">
      <c r="A2947" t="s">
        <v>1876</v>
      </c>
      <c r="B2947" t="s">
        <v>356</v>
      </c>
      <c r="C2947" t="s">
        <v>1902</v>
      </c>
      <c r="D2947">
        <v>272984</v>
      </c>
      <c r="E2947">
        <v>284093</v>
      </c>
      <c r="F2947">
        <v>283009</v>
      </c>
      <c r="G2947">
        <v>274993</v>
      </c>
    </row>
    <row r="2948" spans="1:7">
      <c r="A2948" t="s">
        <v>1876</v>
      </c>
      <c r="B2948" t="s">
        <v>356</v>
      </c>
      <c r="C2948" t="s">
        <v>1903</v>
      </c>
      <c r="D2948">
        <v>10850</v>
      </c>
      <c r="E2948">
        <v>10646</v>
      </c>
      <c r="F2948">
        <v>9449</v>
      </c>
      <c r="G2948">
        <v>11871</v>
      </c>
    </row>
    <row r="2949" spans="1:7">
      <c r="A2949" t="s">
        <v>1876</v>
      </c>
      <c r="B2949" t="s">
        <v>356</v>
      </c>
      <c r="C2949" t="s">
        <v>1904</v>
      </c>
      <c r="D2949">
        <v>2476</v>
      </c>
      <c r="E2949">
        <v>4554</v>
      </c>
      <c r="F2949">
        <v>2092</v>
      </c>
      <c r="G2949">
        <v>1757</v>
      </c>
    </row>
    <row r="2950" spans="1:7">
      <c r="A2950" t="s">
        <v>1876</v>
      </c>
      <c r="B2950" t="s">
        <v>356</v>
      </c>
      <c r="C2950" t="s">
        <v>1905</v>
      </c>
      <c r="D2950">
        <v>37631</v>
      </c>
      <c r="E2950">
        <v>38041</v>
      </c>
      <c r="F2950">
        <v>37129</v>
      </c>
      <c r="G2950">
        <v>36030</v>
      </c>
    </row>
    <row r="2951" spans="1:7">
      <c r="A2951" t="s">
        <v>1876</v>
      </c>
      <c r="B2951" t="s">
        <v>356</v>
      </c>
      <c r="C2951" t="s">
        <v>1906</v>
      </c>
      <c r="D2951">
        <v>84</v>
      </c>
      <c r="E2951">
        <v>84</v>
      </c>
      <c r="F2951">
        <v>74</v>
      </c>
      <c r="G2951">
        <v>91</v>
      </c>
    </row>
    <row r="2952" spans="1:7">
      <c r="A2952" t="s">
        <v>1876</v>
      </c>
      <c r="B2952" t="s">
        <v>356</v>
      </c>
      <c r="C2952" t="s">
        <v>1907</v>
      </c>
      <c r="D2952">
        <v>324027</v>
      </c>
      <c r="E2952">
        <v>337418</v>
      </c>
      <c r="F2952">
        <v>331753</v>
      </c>
      <c r="G2952">
        <v>324742</v>
      </c>
    </row>
    <row r="2953" spans="1:7">
      <c r="A2953" t="s">
        <v>1876</v>
      </c>
      <c r="B2953" t="s">
        <v>356</v>
      </c>
      <c r="C2953" t="s">
        <v>160</v>
      </c>
      <c r="D2953">
        <v>269184</v>
      </c>
      <c r="E2953">
        <v>280364</v>
      </c>
      <c r="F2953">
        <v>277542</v>
      </c>
      <c r="G2953">
        <v>269256</v>
      </c>
    </row>
    <row r="2954" spans="1:7">
      <c r="A2954" t="s">
        <v>1876</v>
      </c>
      <c r="B2954" t="s">
        <v>356</v>
      </c>
      <c r="C2954" t="s">
        <v>161</v>
      </c>
      <c r="D2954">
        <v>10850</v>
      </c>
      <c r="E2954">
        <v>10646</v>
      </c>
      <c r="F2954">
        <v>9449</v>
      </c>
      <c r="G2954">
        <v>11871</v>
      </c>
    </row>
    <row r="2955" spans="1:7">
      <c r="A2955" t="s">
        <v>1876</v>
      </c>
      <c r="B2955" t="s">
        <v>356</v>
      </c>
      <c r="C2955" t="s">
        <v>162</v>
      </c>
      <c r="D2955">
        <v>2476</v>
      </c>
      <c r="E2955">
        <v>4554</v>
      </c>
      <c r="F2955">
        <v>2092</v>
      </c>
      <c r="G2955">
        <v>1757</v>
      </c>
    </row>
    <row r="2956" spans="1:7">
      <c r="A2956" t="s">
        <v>1876</v>
      </c>
      <c r="B2956" t="s">
        <v>356</v>
      </c>
      <c r="C2956" t="s">
        <v>163</v>
      </c>
      <c r="D2956">
        <v>37631</v>
      </c>
      <c r="E2956">
        <v>38041</v>
      </c>
      <c r="F2956">
        <v>37129</v>
      </c>
      <c r="G2956">
        <v>36030</v>
      </c>
    </row>
    <row r="2957" spans="1:7">
      <c r="A2957" t="s">
        <v>1876</v>
      </c>
      <c r="B2957" t="s">
        <v>356</v>
      </c>
      <c r="C2957" t="s">
        <v>164</v>
      </c>
      <c r="D2957">
        <v>84</v>
      </c>
      <c r="E2957">
        <v>84</v>
      </c>
      <c r="F2957">
        <v>74</v>
      </c>
      <c r="G2957">
        <v>91</v>
      </c>
    </row>
    <row r="2958" spans="1:7">
      <c r="A2958" t="s">
        <v>1876</v>
      </c>
      <c r="B2958" t="s">
        <v>356</v>
      </c>
      <c r="C2958" t="s">
        <v>165</v>
      </c>
      <c r="D2958">
        <v>320226</v>
      </c>
      <c r="E2958">
        <v>333689</v>
      </c>
      <c r="F2958">
        <v>326286</v>
      </c>
      <c r="G2958">
        <v>319005</v>
      </c>
    </row>
    <row r="2959" spans="1:7">
      <c r="A2959" t="s">
        <v>1876</v>
      </c>
      <c r="B2959" t="s">
        <v>356</v>
      </c>
      <c r="C2959" t="s">
        <v>166</v>
      </c>
      <c r="D2959">
        <v>317750</v>
      </c>
      <c r="E2959">
        <v>329134</v>
      </c>
      <c r="F2959">
        <v>324194</v>
      </c>
      <c r="G2959">
        <v>317248</v>
      </c>
    </row>
    <row r="2960" spans="1:7">
      <c r="A2960" t="s">
        <v>1876</v>
      </c>
      <c r="B2960" t="s">
        <v>356</v>
      </c>
      <c r="C2960" t="s">
        <v>167</v>
      </c>
      <c r="D2960">
        <v>2476</v>
      </c>
      <c r="E2960">
        <v>4554</v>
      </c>
      <c r="F2960">
        <v>2092</v>
      </c>
      <c r="G2960">
        <v>1757</v>
      </c>
    </row>
    <row r="2961" spans="1:7">
      <c r="A2961" t="s">
        <v>1876</v>
      </c>
      <c r="B2961" t="s">
        <v>356</v>
      </c>
      <c r="C2961" t="s">
        <v>1908</v>
      </c>
      <c r="D2961">
        <v>266369</v>
      </c>
      <c r="E2961">
        <v>277732</v>
      </c>
      <c r="F2961">
        <v>274321</v>
      </c>
      <c r="G2961">
        <v>266156</v>
      </c>
    </row>
    <row r="2962" spans="1:7">
      <c r="A2962" t="s">
        <v>1876</v>
      </c>
      <c r="B2962" t="s">
        <v>356</v>
      </c>
      <c r="C2962" t="s">
        <v>1909</v>
      </c>
      <c r="D2962">
        <v>10850</v>
      </c>
      <c r="E2962">
        <v>10646</v>
      </c>
      <c r="F2962">
        <v>9449</v>
      </c>
      <c r="G2962">
        <v>11871</v>
      </c>
    </row>
    <row r="2963" spans="1:7">
      <c r="A2963" t="s">
        <v>1876</v>
      </c>
      <c r="B2963" t="s">
        <v>356</v>
      </c>
      <c r="C2963" t="s">
        <v>1910</v>
      </c>
      <c r="D2963">
        <v>2476</v>
      </c>
      <c r="E2963">
        <v>4554</v>
      </c>
      <c r="F2963">
        <v>2092</v>
      </c>
      <c r="G2963">
        <v>1757</v>
      </c>
    </row>
    <row r="2964" spans="1:7">
      <c r="A2964" t="s">
        <v>1876</v>
      </c>
      <c r="B2964" t="s">
        <v>356</v>
      </c>
      <c r="C2964" t="s">
        <v>1911</v>
      </c>
      <c r="D2964">
        <v>37631</v>
      </c>
      <c r="E2964">
        <v>38041</v>
      </c>
      <c r="F2964">
        <v>37129</v>
      </c>
      <c r="G2964">
        <v>36030</v>
      </c>
    </row>
    <row r="2965" spans="1:7">
      <c r="A2965" t="s">
        <v>1876</v>
      </c>
      <c r="B2965" t="s">
        <v>356</v>
      </c>
      <c r="C2965" t="s">
        <v>1912</v>
      </c>
      <c r="D2965">
        <v>84</v>
      </c>
      <c r="E2965">
        <v>84</v>
      </c>
      <c r="F2965">
        <v>74</v>
      </c>
      <c r="G2965">
        <v>91</v>
      </c>
    </row>
    <row r="2966" spans="1:7">
      <c r="A2966" t="s">
        <v>1876</v>
      </c>
      <c r="B2966" t="s">
        <v>356</v>
      </c>
      <c r="C2966" t="s">
        <v>168</v>
      </c>
      <c r="D2966">
        <v>317411</v>
      </c>
      <c r="E2966">
        <v>331057</v>
      </c>
      <c r="F2966">
        <v>323065</v>
      </c>
      <c r="G2966">
        <v>315905</v>
      </c>
    </row>
    <row r="2967" spans="1:7">
      <c r="A2967" t="s">
        <v>1876</v>
      </c>
      <c r="B2967" t="s">
        <v>356</v>
      </c>
      <c r="C2967" t="s">
        <v>169</v>
      </c>
      <c r="D2967">
        <v>0</v>
      </c>
      <c r="E2967">
        <v>0</v>
      </c>
      <c r="F2967">
        <v>0</v>
      </c>
      <c r="G2967">
        <v>0</v>
      </c>
    </row>
    <row r="2968" spans="1:7">
      <c r="A2968" t="s">
        <v>1876</v>
      </c>
      <c r="B2968" t="s">
        <v>356</v>
      </c>
      <c r="C2968" t="s">
        <v>1704</v>
      </c>
      <c r="D2968">
        <v>64610</v>
      </c>
      <c r="E2968">
        <v>66883</v>
      </c>
      <c r="F2968">
        <v>68723</v>
      </c>
      <c r="G2968">
        <v>72012</v>
      </c>
    </row>
    <row r="2969" spans="1:7">
      <c r="A2969" t="s">
        <v>1876</v>
      </c>
      <c r="B2969" t="s">
        <v>356</v>
      </c>
      <c r="C2969" t="s">
        <v>170</v>
      </c>
      <c r="D2969">
        <v>0</v>
      </c>
      <c r="E2969">
        <v>0</v>
      </c>
      <c r="F2969">
        <v>0</v>
      </c>
      <c r="G2969">
        <v>0</v>
      </c>
    </row>
    <row r="2970" spans="1:7">
      <c r="A2970" t="s">
        <v>1876</v>
      </c>
      <c r="B2970" t="s">
        <v>356</v>
      </c>
      <c r="C2970" t="s">
        <v>171</v>
      </c>
      <c r="D2970">
        <v>111404</v>
      </c>
      <c r="E2970">
        <v>61208</v>
      </c>
      <c r="F2970">
        <v>63888</v>
      </c>
      <c r="G2970">
        <v>54785</v>
      </c>
    </row>
    <row r="2971" spans="1:7">
      <c r="A2971" t="s">
        <v>1876</v>
      </c>
      <c r="B2971" t="s">
        <v>356</v>
      </c>
      <c r="C2971" t="s">
        <v>172</v>
      </c>
      <c r="D2971">
        <v>0</v>
      </c>
      <c r="E2971">
        <v>0</v>
      </c>
      <c r="F2971">
        <v>0</v>
      </c>
      <c r="G2971">
        <v>0</v>
      </c>
    </row>
    <row r="2972" spans="1:7">
      <c r="A2972" t="s">
        <v>1876</v>
      </c>
      <c r="B2972" t="s">
        <v>356</v>
      </c>
      <c r="C2972" t="s">
        <v>1913</v>
      </c>
      <c r="D2972">
        <v>123.8</v>
      </c>
      <c r="E2972">
        <v>183.3</v>
      </c>
      <c r="F2972">
        <v>294.39999999999998</v>
      </c>
      <c r="G2972">
        <v>391.3</v>
      </c>
    </row>
    <row r="2973" spans="1:7">
      <c r="A2973" t="s">
        <v>1876</v>
      </c>
      <c r="B2973" t="s">
        <v>356</v>
      </c>
      <c r="C2973" t="s">
        <v>1914</v>
      </c>
      <c r="D2973">
        <v>0.7</v>
      </c>
      <c r="E2973">
        <v>1.1000000000000001</v>
      </c>
      <c r="F2973">
        <v>1.7</v>
      </c>
      <c r="G2973">
        <v>2.2999999999999998</v>
      </c>
    </row>
    <row r="2974" spans="1:7">
      <c r="A2974" t="s">
        <v>1876</v>
      </c>
      <c r="B2974" t="s">
        <v>356</v>
      </c>
      <c r="C2974" t="s">
        <v>173</v>
      </c>
      <c r="D2974">
        <v>70577</v>
      </c>
      <c r="E2974">
        <v>72352</v>
      </c>
      <c r="F2974">
        <v>74325</v>
      </c>
      <c r="G2974">
        <v>75480</v>
      </c>
    </row>
    <row r="2975" spans="1:7">
      <c r="A2975" t="s">
        <v>1876</v>
      </c>
      <c r="B2975" t="s">
        <v>356</v>
      </c>
      <c r="C2975" t="s">
        <v>174</v>
      </c>
      <c r="D2975">
        <v>1988</v>
      </c>
      <c r="E2975">
        <v>2160</v>
      </c>
      <c r="F2975">
        <v>2056</v>
      </c>
      <c r="G2975">
        <v>1933</v>
      </c>
    </row>
    <row r="2976" spans="1:7">
      <c r="A2976" t="s">
        <v>1876</v>
      </c>
      <c r="B2976" t="s">
        <v>356</v>
      </c>
      <c r="C2976" t="s">
        <v>175</v>
      </c>
      <c r="D2976">
        <v>1585</v>
      </c>
      <c r="E2976">
        <v>1668</v>
      </c>
      <c r="F2976">
        <v>1691</v>
      </c>
      <c r="G2976">
        <v>1095</v>
      </c>
    </row>
    <row r="2977" spans="1:7">
      <c r="A2977" t="s">
        <v>1876</v>
      </c>
      <c r="B2977" t="s">
        <v>356</v>
      </c>
      <c r="C2977" t="s">
        <v>176</v>
      </c>
      <c r="D2977">
        <v>0</v>
      </c>
      <c r="E2977">
        <v>0</v>
      </c>
      <c r="F2977">
        <v>0</v>
      </c>
      <c r="G2977">
        <v>0</v>
      </c>
    </row>
    <row r="2978" spans="1:7">
      <c r="A2978" t="s">
        <v>1876</v>
      </c>
      <c r="B2978" t="s">
        <v>356</v>
      </c>
      <c r="C2978" t="s">
        <v>177</v>
      </c>
      <c r="D2978">
        <v>74151</v>
      </c>
      <c r="E2978">
        <v>76180</v>
      </c>
      <c r="F2978">
        <v>78072</v>
      </c>
      <c r="G2978">
        <v>78508</v>
      </c>
    </row>
    <row r="2979" spans="1:7">
      <c r="A2979" t="s">
        <v>1876</v>
      </c>
      <c r="B2979" t="s">
        <v>356</v>
      </c>
      <c r="C2979" t="s">
        <v>178</v>
      </c>
      <c r="D2979">
        <v>0</v>
      </c>
      <c r="E2979">
        <v>0</v>
      </c>
      <c r="F2979">
        <v>0</v>
      </c>
      <c r="G2979">
        <v>0</v>
      </c>
    </row>
    <row r="2980" spans="1:7">
      <c r="A2980" t="s">
        <v>1876</v>
      </c>
      <c r="B2980" t="s">
        <v>356</v>
      </c>
      <c r="C2980" t="s">
        <v>179</v>
      </c>
      <c r="D2980">
        <v>0</v>
      </c>
      <c r="E2980">
        <v>0</v>
      </c>
      <c r="F2980">
        <v>0</v>
      </c>
      <c r="G2980">
        <v>0</v>
      </c>
    </row>
    <row r="2981" spans="1:7">
      <c r="A2981" t="s">
        <v>1876</v>
      </c>
      <c r="B2981" t="s">
        <v>356</v>
      </c>
      <c r="C2981" t="s">
        <v>180</v>
      </c>
      <c r="D2981">
        <v>246</v>
      </c>
      <c r="E2981">
        <v>256</v>
      </c>
      <c r="F2981">
        <v>243</v>
      </c>
      <c r="G2981">
        <v>239</v>
      </c>
    </row>
    <row r="2982" spans="1:7">
      <c r="A2982" t="s">
        <v>1876</v>
      </c>
      <c r="B2982" t="s">
        <v>356</v>
      </c>
      <c r="C2982" t="s">
        <v>181</v>
      </c>
      <c r="D2982">
        <v>320609</v>
      </c>
      <c r="E2982">
        <v>330500</v>
      </c>
      <c r="F2982">
        <v>331836</v>
      </c>
      <c r="G2982">
        <v>338462</v>
      </c>
    </row>
    <row r="2983" spans="1:7">
      <c r="A2983" t="s">
        <v>1876</v>
      </c>
      <c r="B2983" t="s">
        <v>356</v>
      </c>
      <c r="C2983" t="s">
        <v>182</v>
      </c>
      <c r="D2983">
        <v>58388</v>
      </c>
      <c r="E2983">
        <v>60173</v>
      </c>
      <c r="F2983">
        <v>60763</v>
      </c>
      <c r="G2983">
        <v>59564</v>
      </c>
    </row>
    <row r="2984" spans="1:7">
      <c r="A2984" t="s">
        <v>1876</v>
      </c>
      <c r="B2984" t="s">
        <v>356</v>
      </c>
      <c r="C2984" t="s">
        <v>183</v>
      </c>
      <c r="D2984">
        <v>444967</v>
      </c>
      <c r="E2984">
        <v>458047</v>
      </c>
      <c r="F2984">
        <v>463367</v>
      </c>
      <c r="G2984">
        <v>472121</v>
      </c>
    </row>
    <row r="2985" spans="1:7">
      <c r="A2985" t="s">
        <v>1876</v>
      </c>
      <c r="B2985" t="s">
        <v>356</v>
      </c>
      <c r="C2985" t="s">
        <v>184</v>
      </c>
      <c r="D2985">
        <v>824210</v>
      </c>
      <c r="E2985">
        <v>848977</v>
      </c>
      <c r="F2985">
        <v>856208</v>
      </c>
      <c r="G2985">
        <v>870386</v>
      </c>
    </row>
    <row r="2986" spans="1:7">
      <c r="A2986" t="s">
        <v>1876</v>
      </c>
      <c r="B2986" t="s">
        <v>356</v>
      </c>
      <c r="C2986" t="s">
        <v>185</v>
      </c>
      <c r="D2986">
        <v>824210</v>
      </c>
      <c r="E2986">
        <v>848977</v>
      </c>
      <c r="F2986">
        <v>856208</v>
      </c>
      <c r="G2986">
        <v>870386</v>
      </c>
    </row>
    <row r="2987" spans="1:7">
      <c r="A2987" t="s">
        <v>1876</v>
      </c>
      <c r="B2987" t="s">
        <v>356</v>
      </c>
      <c r="C2987" t="s">
        <v>1915</v>
      </c>
      <c r="D2987">
        <v>180</v>
      </c>
      <c r="E2987">
        <v>300</v>
      </c>
      <c r="F2987">
        <v>802</v>
      </c>
      <c r="G2987">
        <v>1139</v>
      </c>
    </row>
    <row r="2988" spans="1:7">
      <c r="A2988" t="s">
        <v>1876</v>
      </c>
      <c r="B2988" t="s">
        <v>356</v>
      </c>
      <c r="C2988" t="s">
        <v>1916</v>
      </c>
      <c r="D2988">
        <v>0</v>
      </c>
      <c r="E2988">
        <v>0</v>
      </c>
      <c r="F2988">
        <v>0</v>
      </c>
      <c r="G2988">
        <v>0</v>
      </c>
    </row>
    <row r="2989" spans="1:7">
      <c r="A2989" t="s">
        <v>1876</v>
      </c>
      <c r="B2989" t="s">
        <v>356</v>
      </c>
      <c r="C2989" t="s">
        <v>1917</v>
      </c>
      <c r="D2989">
        <v>376</v>
      </c>
      <c r="E2989">
        <v>367</v>
      </c>
      <c r="F2989">
        <v>364</v>
      </c>
      <c r="G2989">
        <v>361</v>
      </c>
    </row>
    <row r="2990" spans="1:7">
      <c r="A2990" t="s">
        <v>1876</v>
      </c>
      <c r="B2990" t="s">
        <v>356</v>
      </c>
      <c r="C2990" t="s">
        <v>1918</v>
      </c>
      <c r="D2990">
        <v>7003</v>
      </c>
      <c r="E2990">
        <v>8235</v>
      </c>
      <c r="F2990">
        <v>8324</v>
      </c>
      <c r="G2990">
        <v>9853</v>
      </c>
    </row>
    <row r="2991" spans="1:7">
      <c r="A2991" t="s">
        <v>1876</v>
      </c>
      <c r="B2991" t="s">
        <v>356</v>
      </c>
      <c r="C2991" t="s">
        <v>1919</v>
      </c>
      <c r="D2991">
        <v>2.92</v>
      </c>
      <c r="E2991">
        <v>2.89</v>
      </c>
      <c r="F2991">
        <v>2.62</v>
      </c>
      <c r="G2991">
        <v>2.85</v>
      </c>
    </row>
    <row r="2992" spans="1:7">
      <c r="A2992" t="s">
        <v>1876</v>
      </c>
      <c r="B2992" t="s">
        <v>356</v>
      </c>
      <c r="C2992" t="s">
        <v>1920</v>
      </c>
      <c r="D2992">
        <v>8711</v>
      </c>
      <c r="E2992">
        <v>10392</v>
      </c>
      <c r="F2992">
        <v>10997</v>
      </c>
      <c r="G2992">
        <v>13418</v>
      </c>
    </row>
    <row r="2993" spans="1:7">
      <c r="A2993" t="s">
        <v>1876</v>
      </c>
      <c r="B2993" t="s">
        <v>356</v>
      </c>
      <c r="C2993" t="s">
        <v>1921</v>
      </c>
      <c r="D2993">
        <v>2702</v>
      </c>
      <c r="E2993">
        <v>3214</v>
      </c>
      <c r="F2993">
        <v>3613</v>
      </c>
      <c r="G2993">
        <v>4038</v>
      </c>
    </row>
    <row r="2994" spans="1:7">
      <c r="A2994" t="s">
        <v>1876</v>
      </c>
      <c r="B2994" t="s">
        <v>356</v>
      </c>
      <c r="C2994" t="s">
        <v>1922</v>
      </c>
      <c r="D2994">
        <v>1332</v>
      </c>
      <c r="E2994">
        <v>1790</v>
      </c>
      <c r="F2994">
        <v>2309</v>
      </c>
      <c r="G2994">
        <v>3204</v>
      </c>
    </row>
    <row r="2995" spans="1:7">
      <c r="A2995" t="s">
        <v>1876</v>
      </c>
      <c r="B2995" t="s">
        <v>356</v>
      </c>
      <c r="C2995" t="s">
        <v>1923</v>
      </c>
      <c r="D2995">
        <v>4.0999999999999996</v>
      </c>
      <c r="E2995">
        <v>4.54</v>
      </c>
      <c r="F2995">
        <v>4.8099999999999996</v>
      </c>
      <c r="G2995">
        <v>5.03</v>
      </c>
    </row>
    <row r="2996" spans="1:7">
      <c r="A2996" t="s">
        <v>1876</v>
      </c>
      <c r="B2996" t="s">
        <v>356</v>
      </c>
      <c r="C2996" t="s">
        <v>1924</v>
      </c>
      <c r="D2996">
        <v>239</v>
      </c>
      <c r="E2996">
        <v>30</v>
      </c>
      <c r="F2996">
        <v>28</v>
      </c>
      <c r="G2996">
        <v>30</v>
      </c>
    </row>
    <row r="2997" spans="1:7">
      <c r="A2997" t="s">
        <v>1876</v>
      </c>
      <c r="B2997" t="s">
        <v>356</v>
      </c>
      <c r="C2997" t="s">
        <v>1925</v>
      </c>
      <c r="D2997">
        <v>308</v>
      </c>
      <c r="E2997">
        <v>343</v>
      </c>
      <c r="F2997">
        <v>340</v>
      </c>
      <c r="G2997">
        <v>339</v>
      </c>
    </row>
    <row r="2998" spans="1:7">
      <c r="A2998" t="s">
        <v>1876</v>
      </c>
      <c r="B2998" t="s">
        <v>356</v>
      </c>
      <c r="C2998" t="s">
        <v>1926</v>
      </c>
      <c r="D2998">
        <v>2155</v>
      </c>
      <c r="E2998">
        <v>2841</v>
      </c>
      <c r="F2998">
        <v>3245</v>
      </c>
      <c r="G2998">
        <v>3669</v>
      </c>
    </row>
    <row r="2999" spans="1:7">
      <c r="A2999" t="s">
        <v>1876</v>
      </c>
      <c r="B2999" t="s">
        <v>356</v>
      </c>
      <c r="C2999" t="s">
        <v>1927</v>
      </c>
      <c r="D2999">
        <v>115</v>
      </c>
      <c r="E2999">
        <v>132</v>
      </c>
      <c r="F2999">
        <v>70</v>
      </c>
      <c r="G2999">
        <v>64</v>
      </c>
    </row>
    <row r="3000" spans="1:7">
      <c r="A3000" t="s">
        <v>1876</v>
      </c>
      <c r="B3000" t="s">
        <v>356</v>
      </c>
      <c r="C3000" t="s">
        <v>1928</v>
      </c>
      <c r="D3000">
        <v>2461</v>
      </c>
      <c r="E3000">
        <v>2956</v>
      </c>
      <c r="F3000">
        <v>3376</v>
      </c>
      <c r="G3000">
        <v>3743</v>
      </c>
    </row>
    <row r="3001" spans="1:7">
      <c r="A3001" t="s">
        <v>1876</v>
      </c>
      <c r="B3001" t="s">
        <v>356</v>
      </c>
      <c r="C3001" t="s">
        <v>1929</v>
      </c>
      <c r="D3001">
        <v>126</v>
      </c>
      <c r="E3001">
        <v>126</v>
      </c>
      <c r="F3001">
        <v>167</v>
      </c>
      <c r="G3001">
        <v>231</v>
      </c>
    </row>
    <row r="3002" spans="1:7">
      <c r="A3002" t="s">
        <v>1876</v>
      </c>
      <c r="B3002" t="s">
        <v>356</v>
      </c>
      <c r="C3002" t="s">
        <v>186</v>
      </c>
      <c r="D3002">
        <v>0</v>
      </c>
      <c r="E3002">
        <v>0</v>
      </c>
      <c r="F3002">
        <v>0</v>
      </c>
      <c r="G3002">
        <v>0</v>
      </c>
    </row>
    <row r="3003" spans="1:7">
      <c r="A3003" t="s">
        <v>1876</v>
      </c>
      <c r="B3003" t="s">
        <v>356</v>
      </c>
      <c r="C3003" t="s">
        <v>187</v>
      </c>
      <c r="D3003">
        <v>0</v>
      </c>
      <c r="E3003">
        <v>0</v>
      </c>
      <c r="F3003">
        <v>0</v>
      </c>
      <c r="G3003">
        <v>0</v>
      </c>
    </row>
    <row r="3004" spans="1:7">
      <c r="A3004" t="s">
        <v>1876</v>
      </c>
      <c r="B3004" t="s">
        <v>356</v>
      </c>
      <c r="C3004" t="s">
        <v>1705</v>
      </c>
      <c r="D3004">
        <v>53973</v>
      </c>
      <c r="E3004">
        <v>55184</v>
      </c>
      <c r="F3004">
        <v>55336</v>
      </c>
      <c r="G3004">
        <v>55471</v>
      </c>
    </row>
    <row r="3005" spans="1:7">
      <c r="A3005" t="s">
        <v>1876</v>
      </c>
      <c r="B3005" t="s">
        <v>356</v>
      </c>
      <c r="C3005" t="s">
        <v>188</v>
      </c>
      <c r="D3005">
        <v>3541332</v>
      </c>
      <c r="E3005">
        <v>3648098</v>
      </c>
      <c r="F3005">
        <v>3642853</v>
      </c>
      <c r="G3005">
        <v>3692990</v>
      </c>
    </row>
    <row r="3006" spans="1:7">
      <c r="A3006" t="s">
        <v>1876</v>
      </c>
      <c r="B3006" t="s">
        <v>356</v>
      </c>
      <c r="C3006" t="s">
        <v>189</v>
      </c>
      <c r="D3006">
        <v>0</v>
      </c>
      <c r="E3006">
        <v>0</v>
      </c>
      <c r="F3006">
        <v>0</v>
      </c>
      <c r="G3006">
        <v>0</v>
      </c>
    </row>
    <row r="3007" spans="1:7">
      <c r="A3007" t="s">
        <v>1876</v>
      </c>
      <c r="B3007" t="s">
        <v>356</v>
      </c>
      <c r="C3007" t="s">
        <v>190</v>
      </c>
      <c r="D3007">
        <v>0</v>
      </c>
      <c r="E3007">
        <v>0</v>
      </c>
      <c r="F3007">
        <v>0</v>
      </c>
      <c r="G3007">
        <v>0</v>
      </c>
    </row>
    <row r="3008" spans="1:7">
      <c r="A3008" t="s">
        <v>1876</v>
      </c>
      <c r="B3008" t="s">
        <v>356</v>
      </c>
      <c r="C3008" t="s">
        <v>191</v>
      </c>
      <c r="D3008">
        <v>0</v>
      </c>
      <c r="E3008">
        <v>0</v>
      </c>
      <c r="F3008">
        <v>0</v>
      </c>
      <c r="G3008">
        <v>0</v>
      </c>
    </row>
    <row r="3009" spans="1:7">
      <c r="A3009" t="s">
        <v>1876</v>
      </c>
      <c r="B3009" t="s">
        <v>356</v>
      </c>
      <c r="C3009" t="s">
        <v>192</v>
      </c>
      <c r="D3009">
        <v>1300807.8</v>
      </c>
      <c r="E3009">
        <v>1473688.1</v>
      </c>
      <c r="F3009">
        <v>1624642.3</v>
      </c>
      <c r="G3009">
        <v>1726709.9</v>
      </c>
    </row>
    <row r="3010" spans="1:7">
      <c r="A3010" t="s">
        <v>1876</v>
      </c>
      <c r="B3010" t="s">
        <v>356</v>
      </c>
      <c r="C3010" t="s">
        <v>193</v>
      </c>
      <c r="D3010">
        <v>1172655.3</v>
      </c>
      <c r="E3010">
        <v>1245927.6000000001</v>
      </c>
      <c r="F3010">
        <v>1309392.2</v>
      </c>
      <c r="G3010">
        <v>1352275.1</v>
      </c>
    </row>
    <row r="3011" spans="1:7">
      <c r="A3011" t="s">
        <v>1876</v>
      </c>
      <c r="B3011" t="s">
        <v>356</v>
      </c>
      <c r="C3011" t="s">
        <v>1930</v>
      </c>
      <c r="D3011">
        <v>0</v>
      </c>
      <c r="E3011">
        <v>0</v>
      </c>
      <c r="F3011">
        <v>0</v>
      </c>
      <c r="G3011">
        <v>0</v>
      </c>
    </row>
    <row r="3012" spans="1:7">
      <c r="A3012" t="s">
        <v>1876</v>
      </c>
      <c r="B3012" t="s">
        <v>356</v>
      </c>
      <c r="C3012" t="s">
        <v>194</v>
      </c>
      <c r="D3012">
        <v>2080</v>
      </c>
      <c r="E3012">
        <v>2080</v>
      </c>
      <c r="F3012">
        <v>2080</v>
      </c>
      <c r="G3012">
        <v>2080</v>
      </c>
    </row>
    <row r="3013" spans="1:7">
      <c r="A3013" t="s">
        <v>1876</v>
      </c>
      <c r="B3013" t="s">
        <v>356</v>
      </c>
      <c r="C3013" t="s">
        <v>195</v>
      </c>
      <c r="D3013">
        <v>0</v>
      </c>
      <c r="E3013">
        <v>0</v>
      </c>
      <c r="F3013">
        <v>0</v>
      </c>
      <c r="G3013">
        <v>0</v>
      </c>
    </row>
    <row r="3014" spans="1:7">
      <c r="A3014" t="s">
        <v>1876</v>
      </c>
      <c r="B3014" t="s">
        <v>356</v>
      </c>
      <c r="C3014" t="s">
        <v>1706</v>
      </c>
      <c r="D3014">
        <v>0</v>
      </c>
      <c r="E3014">
        <v>0</v>
      </c>
      <c r="F3014">
        <v>0</v>
      </c>
      <c r="G3014">
        <v>0</v>
      </c>
    </row>
    <row r="3015" spans="1:7">
      <c r="A3015" t="s">
        <v>1876</v>
      </c>
      <c r="B3015" t="s">
        <v>356</v>
      </c>
      <c r="C3015" t="s">
        <v>196</v>
      </c>
      <c r="D3015">
        <v>0</v>
      </c>
      <c r="E3015">
        <v>0</v>
      </c>
      <c r="F3015">
        <v>0</v>
      </c>
      <c r="G3015">
        <v>0</v>
      </c>
    </row>
    <row r="3016" spans="1:7">
      <c r="A3016" t="s">
        <v>1876</v>
      </c>
      <c r="B3016" t="s">
        <v>356</v>
      </c>
      <c r="C3016" t="s">
        <v>197</v>
      </c>
      <c r="D3016">
        <v>7976</v>
      </c>
      <c r="E3016">
        <v>7976</v>
      </c>
      <c r="F3016">
        <v>7976</v>
      </c>
      <c r="G3016">
        <v>7976</v>
      </c>
    </row>
    <row r="3017" spans="1:7">
      <c r="A3017" t="s">
        <v>1876</v>
      </c>
      <c r="B3017" t="s">
        <v>356</v>
      </c>
      <c r="C3017" t="s">
        <v>198</v>
      </c>
      <c r="D3017">
        <v>10056</v>
      </c>
      <c r="E3017">
        <v>10056</v>
      </c>
      <c r="F3017">
        <v>10056</v>
      </c>
      <c r="G3017">
        <v>10056</v>
      </c>
    </row>
    <row r="3018" spans="1:7">
      <c r="A3018" t="s">
        <v>1876</v>
      </c>
      <c r="B3018" t="s">
        <v>356</v>
      </c>
      <c r="C3018" t="s">
        <v>199</v>
      </c>
      <c r="D3018">
        <v>10056</v>
      </c>
      <c r="E3018">
        <v>10056</v>
      </c>
      <c r="F3018">
        <v>10056</v>
      </c>
      <c r="G3018">
        <v>10056</v>
      </c>
    </row>
    <row r="3019" spans="1:7">
      <c r="A3019" t="s">
        <v>1876</v>
      </c>
      <c r="B3019" t="s">
        <v>356</v>
      </c>
      <c r="C3019" t="s">
        <v>200</v>
      </c>
      <c r="D3019">
        <v>1415</v>
      </c>
      <c r="E3019">
        <v>837</v>
      </c>
      <c r="F3019">
        <v>840</v>
      </c>
      <c r="G3019">
        <v>783</v>
      </c>
    </row>
    <row r="3020" spans="1:7">
      <c r="A3020" t="s">
        <v>1876</v>
      </c>
      <c r="B3020" t="s">
        <v>356</v>
      </c>
      <c r="C3020" t="s">
        <v>201</v>
      </c>
      <c r="D3020">
        <v>8301</v>
      </c>
      <c r="E3020">
        <v>8022</v>
      </c>
      <c r="F3020">
        <v>7686</v>
      </c>
      <c r="G3020">
        <v>7598</v>
      </c>
    </row>
    <row r="3021" spans="1:7">
      <c r="A3021" t="s">
        <v>1876</v>
      </c>
      <c r="B3021" t="s">
        <v>356</v>
      </c>
      <c r="C3021" t="s">
        <v>202</v>
      </c>
      <c r="D3021">
        <v>4430</v>
      </c>
      <c r="E3021">
        <v>5201</v>
      </c>
      <c r="F3021">
        <v>4449</v>
      </c>
      <c r="G3021">
        <v>4177</v>
      </c>
    </row>
    <row r="3022" spans="1:7">
      <c r="A3022" t="s">
        <v>1876</v>
      </c>
      <c r="B3022" t="s">
        <v>356</v>
      </c>
      <c r="C3022" t="s">
        <v>203</v>
      </c>
      <c r="D3022">
        <v>6397</v>
      </c>
      <c r="E3022">
        <v>5956</v>
      </c>
      <c r="F3022">
        <v>5538</v>
      </c>
      <c r="G3022">
        <v>5629</v>
      </c>
    </row>
    <row r="3023" spans="1:7">
      <c r="A3023" t="s">
        <v>1876</v>
      </c>
      <c r="B3023" t="s">
        <v>356</v>
      </c>
      <c r="C3023" t="s">
        <v>204</v>
      </c>
      <c r="D3023">
        <v>20543</v>
      </c>
      <c r="E3023">
        <v>20016</v>
      </c>
      <c r="F3023">
        <v>18512</v>
      </c>
      <c r="G3023">
        <v>18187</v>
      </c>
    </row>
    <row r="3024" spans="1:7">
      <c r="A3024" t="s">
        <v>1876</v>
      </c>
      <c r="B3024" t="s">
        <v>356</v>
      </c>
      <c r="C3024" t="s">
        <v>205</v>
      </c>
      <c r="D3024">
        <v>20543</v>
      </c>
      <c r="E3024">
        <v>20016</v>
      </c>
      <c r="F3024">
        <v>18512</v>
      </c>
      <c r="G3024">
        <v>18187</v>
      </c>
    </row>
    <row r="3025" spans="1:7">
      <c r="A3025" t="s">
        <v>1876</v>
      </c>
      <c r="B3025" t="s">
        <v>356</v>
      </c>
      <c r="C3025" t="s">
        <v>1931</v>
      </c>
      <c r="D3025">
        <v>0</v>
      </c>
      <c r="E3025">
        <v>0</v>
      </c>
      <c r="F3025">
        <v>0</v>
      </c>
      <c r="G3025">
        <v>0</v>
      </c>
    </row>
    <row r="3026" spans="1:7">
      <c r="A3026" t="s">
        <v>1876</v>
      </c>
      <c r="B3026" t="s">
        <v>356</v>
      </c>
      <c r="C3026" t="s">
        <v>1707</v>
      </c>
      <c r="D3026">
        <v>0</v>
      </c>
      <c r="E3026">
        <v>0</v>
      </c>
      <c r="F3026">
        <v>0</v>
      </c>
      <c r="G3026">
        <v>0</v>
      </c>
    </row>
    <row r="3027" spans="1:7">
      <c r="A3027" t="s">
        <v>1876</v>
      </c>
      <c r="B3027" t="s">
        <v>356</v>
      </c>
      <c r="C3027" t="s">
        <v>1932</v>
      </c>
      <c r="D3027">
        <v>66</v>
      </c>
      <c r="E3027">
        <v>60.6</v>
      </c>
      <c r="F3027">
        <v>58.8</v>
      </c>
      <c r="G3027">
        <v>46.4</v>
      </c>
    </row>
    <row r="3028" spans="1:7">
      <c r="A3028" t="s">
        <v>1876</v>
      </c>
      <c r="B3028" t="s">
        <v>356</v>
      </c>
      <c r="C3028" t="s">
        <v>1708</v>
      </c>
      <c r="D3028">
        <v>44</v>
      </c>
      <c r="E3028">
        <v>44</v>
      </c>
      <c r="F3028">
        <v>44</v>
      </c>
      <c r="G3028">
        <v>44</v>
      </c>
    </row>
    <row r="3029" spans="1:7">
      <c r="A3029" t="s">
        <v>1876</v>
      </c>
      <c r="B3029" t="s">
        <v>356</v>
      </c>
      <c r="C3029" t="s">
        <v>206</v>
      </c>
      <c r="D3029">
        <v>0</v>
      </c>
      <c r="E3029">
        <v>0</v>
      </c>
      <c r="F3029">
        <v>0</v>
      </c>
      <c r="G3029">
        <v>0</v>
      </c>
    </row>
    <row r="3030" spans="1:7">
      <c r="A3030" t="s">
        <v>1876</v>
      </c>
      <c r="B3030" t="s">
        <v>356</v>
      </c>
      <c r="C3030" t="s">
        <v>207</v>
      </c>
      <c r="D3030">
        <v>858</v>
      </c>
      <c r="E3030">
        <v>788</v>
      </c>
      <c r="F3030">
        <v>765</v>
      </c>
      <c r="G3030">
        <v>605</v>
      </c>
    </row>
    <row r="3031" spans="1:7">
      <c r="A3031" t="s">
        <v>1876</v>
      </c>
      <c r="B3031" t="s">
        <v>356</v>
      </c>
      <c r="C3031" t="s">
        <v>208</v>
      </c>
      <c r="D3031">
        <v>0</v>
      </c>
      <c r="E3031">
        <v>0</v>
      </c>
      <c r="F3031">
        <v>0</v>
      </c>
      <c r="G3031">
        <v>0</v>
      </c>
    </row>
    <row r="3032" spans="1:7">
      <c r="A3032" t="s">
        <v>1876</v>
      </c>
      <c r="B3032" t="s">
        <v>356</v>
      </c>
      <c r="C3032" t="s">
        <v>209</v>
      </c>
      <c r="D3032">
        <v>858</v>
      </c>
      <c r="E3032">
        <v>788</v>
      </c>
      <c r="F3032">
        <v>765</v>
      </c>
      <c r="G3032">
        <v>605</v>
      </c>
    </row>
    <row r="3033" spans="1:7">
      <c r="A3033" t="s">
        <v>1876</v>
      </c>
      <c r="B3033" t="s">
        <v>356</v>
      </c>
      <c r="C3033" t="s">
        <v>210</v>
      </c>
      <c r="D3033">
        <v>0</v>
      </c>
      <c r="E3033">
        <v>0</v>
      </c>
      <c r="F3033">
        <v>0</v>
      </c>
      <c r="G3033">
        <v>0</v>
      </c>
    </row>
    <row r="3034" spans="1:7">
      <c r="A3034" t="s">
        <v>1876</v>
      </c>
      <c r="B3034" t="s">
        <v>356</v>
      </c>
      <c r="C3034" t="s">
        <v>211</v>
      </c>
      <c r="D3034">
        <v>0</v>
      </c>
      <c r="E3034">
        <v>0</v>
      </c>
      <c r="F3034">
        <v>0</v>
      </c>
      <c r="G3034">
        <v>0</v>
      </c>
    </row>
    <row r="3035" spans="1:7">
      <c r="A3035" t="s">
        <v>1876</v>
      </c>
      <c r="B3035" t="s">
        <v>356</v>
      </c>
      <c r="C3035" t="s">
        <v>212</v>
      </c>
      <c r="D3035">
        <v>0</v>
      </c>
      <c r="E3035">
        <v>0</v>
      </c>
      <c r="F3035">
        <v>0</v>
      </c>
      <c r="G3035">
        <v>0</v>
      </c>
    </row>
    <row r="3036" spans="1:7">
      <c r="A3036" t="s">
        <v>1876</v>
      </c>
      <c r="B3036" t="s">
        <v>356</v>
      </c>
      <c r="C3036" t="s">
        <v>213</v>
      </c>
      <c r="D3036">
        <v>0</v>
      </c>
      <c r="E3036">
        <v>0</v>
      </c>
      <c r="F3036">
        <v>0</v>
      </c>
      <c r="G3036">
        <v>0</v>
      </c>
    </row>
    <row r="3037" spans="1:7">
      <c r="A3037" t="s">
        <v>1876</v>
      </c>
      <c r="B3037" t="s">
        <v>356</v>
      </c>
      <c r="C3037" t="s">
        <v>214</v>
      </c>
      <c r="D3037">
        <v>0</v>
      </c>
      <c r="E3037">
        <v>0</v>
      </c>
      <c r="F3037">
        <v>0</v>
      </c>
      <c r="G3037">
        <v>0</v>
      </c>
    </row>
    <row r="3038" spans="1:7">
      <c r="A3038" t="s">
        <v>1876</v>
      </c>
      <c r="B3038" t="s">
        <v>356</v>
      </c>
      <c r="C3038" t="s">
        <v>215</v>
      </c>
      <c r="D3038">
        <v>278053</v>
      </c>
      <c r="E3038">
        <v>313227</v>
      </c>
      <c r="F3038">
        <v>327295</v>
      </c>
      <c r="G3038">
        <v>344932</v>
      </c>
    </row>
    <row r="3039" spans="1:7">
      <c r="A3039" t="s">
        <v>1876</v>
      </c>
      <c r="B3039" t="s">
        <v>356</v>
      </c>
      <c r="C3039" t="s">
        <v>216</v>
      </c>
      <c r="D3039">
        <v>278053</v>
      </c>
      <c r="E3039">
        <v>313227</v>
      </c>
      <c r="F3039">
        <v>327295</v>
      </c>
      <c r="G3039">
        <v>344932</v>
      </c>
    </row>
    <row r="3040" spans="1:7">
      <c r="A3040" t="s">
        <v>1876</v>
      </c>
      <c r="B3040" t="s">
        <v>356</v>
      </c>
      <c r="C3040" t="s">
        <v>217</v>
      </c>
      <c r="D3040">
        <v>278053</v>
      </c>
      <c r="E3040">
        <v>313227</v>
      </c>
      <c r="F3040">
        <v>327295</v>
      </c>
      <c r="G3040">
        <v>344932</v>
      </c>
    </row>
    <row r="3041" spans="1:7">
      <c r="A3041" t="s">
        <v>1876</v>
      </c>
      <c r="B3041" t="s">
        <v>356</v>
      </c>
      <c r="C3041" t="s">
        <v>218</v>
      </c>
      <c r="D3041">
        <v>12</v>
      </c>
      <c r="E3041">
        <v>11</v>
      </c>
      <c r="F3041">
        <v>17</v>
      </c>
      <c r="G3041">
        <v>17</v>
      </c>
    </row>
    <row r="3042" spans="1:7">
      <c r="A3042" t="s">
        <v>1876</v>
      </c>
      <c r="B3042" t="s">
        <v>356</v>
      </c>
      <c r="C3042" t="s">
        <v>219</v>
      </c>
      <c r="D3042">
        <v>1</v>
      </c>
      <c r="E3042">
        <v>1</v>
      </c>
      <c r="F3042">
        <v>2</v>
      </c>
      <c r="G3042">
        <v>1</v>
      </c>
    </row>
    <row r="3043" spans="1:7">
      <c r="A3043" t="s">
        <v>1876</v>
      </c>
      <c r="B3043" t="s">
        <v>356</v>
      </c>
      <c r="C3043" t="s">
        <v>220</v>
      </c>
      <c r="D3043">
        <v>19</v>
      </c>
      <c r="E3043">
        <v>17</v>
      </c>
      <c r="F3043">
        <v>27</v>
      </c>
      <c r="G3043">
        <v>27</v>
      </c>
    </row>
    <row r="3044" spans="1:7">
      <c r="A3044" t="s">
        <v>1876</v>
      </c>
      <c r="B3044" t="s">
        <v>356</v>
      </c>
      <c r="C3044" t="s">
        <v>221</v>
      </c>
      <c r="D3044">
        <v>32</v>
      </c>
      <c r="E3044">
        <v>28</v>
      </c>
      <c r="F3044">
        <v>47</v>
      </c>
      <c r="G3044">
        <v>45</v>
      </c>
    </row>
    <row r="3045" spans="1:7">
      <c r="A3045" t="s">
        <v>1876</v>
      </c>
      <c r="B3045" t="s">
        <v>356</v>
      </c>
      <c r="C3045" t="s">
        <v>222</v>
      </c>
      <c r="D3045">
        <v>32</v>
      </c>
      <c r="E3045">
        <v>28</v>
      </c>
      <c r="F3045">
        <v>47</v>
      </c>
      <c r="G3045">
        <v>45</v>
      </c>
    </row>
    <row r="3046" spans="1:7">
      <c r="A3046" t="s">
        <v>1876</v>
      </c>
      <c r="B3046" t="s">
        <v>356</v>
      </c>
      <c r="C3046" t="s">
        <v>1933</v>
      </c>
      <c r="D3046">
        <v>16563.2</v>
      </c>
      <c r="E3046">
        <v>16828.5</v>
      </c>
      <c r="F3046">
        <v>17135.7</v>
      </c>
      <c r="G3046">
        <v>17282.5</v>
      </c>
    </row>
    <row r="3047" spans="1:7">
      <c r="A3047" t="s">
        <v>1876</v>
      </c>
      <c r="B3047" t="s">
        <v>356</v>
      </c>
      <c r="C3047" t="s">
        <v>223</v>
      </c>
      <c r="D3047">
        <v>366</v>
      </c>
      <c r="E3047">
        <v>367</v>
      </c>
      <c r="F3047">
        <v>334</v>
      </c>
      <c r="G3047">
        <v>321</v>
      </c>
    </row>
    <row r="3048" spans="1:7">
      <c r="A3048" t="s">
        <v>1876</v>
      </c>
      <c r="B3048" t="s">
        <v>356</v>
      </c>
      <c r="C3048" t="s">
        <v>224</v>
      </c>
      <c r="D3048">
        <v>477904</v>
      </c>
      <c r="E3048">
        <v>473371</v>
      </c>
      <c r="F3048">
        <v>456455</v>
      </c>
      <c r="G3048">
        <v>455232</v>
      </c>
    </row>
    <row r="3049" spans="1:7">
      <c r="A3049" t="s">
        <v>1876</v>
      </c>
      <c r="B3049" t="s">
        <v>356</v>
      </c>
      <c r="C3049" t="s">
        <v>225</v>
      </c>
      <c r="D3049">
        <v>87034</v>
      </c>
      <c r="E3049">
        <v>86185</v>
      </c>
      <c r="F3049">
        <v>83582</v>
      </c>
      <c r="G3049">
        <v>80114</v>
      </c>
    </row>
    <row r="3050" spans="1:7">
      <c r="A3050" t="s">
        <v>1876</v>
      </c>
      <c r="B3050" t="s">
        <v>356</v>
      </c>
      <c r="C3050" t="s">
        <v>226</v>
      </c>
      <c r="D3050">
        <v>663274</v>
      </c>
      <c r="E3050">
        <v>656055</v>
      </c>
      <c r="F3050">
        <v>637382</v>
      </c>
      <c r="G3050">
        <v>635004</v>
      </c>
    </row>
    <row r="3051" spans="1:7">
      <c r="A3051" t="s">
        <v>1876</v>
      </c>
      <c r="B3051" t="s">
        <v>356</v>
      </c>
      <c r="C3051" t="s">
        <v>227</v>
      </c>
      <c r="D3051">
        <v>1228578</v>
      </c>
      <c r="E3051">
        <v>1215978</v>
      </c>
      <c r="F3051">
        <v>1177753</v>
      </c>
      <c r="G3051">
        <v>1170671</v>
      </c>
    </row>
    <row r="3052" spans="1:7">
      <c r="A3052" t="s">
        <v>1876</v>
      </c>
      <c r="B3052" t="s">
        <v>356</v>
      </c>
      <c r="C3052" t="s">
        <v>228</v>
      </c>
      <c r="D3052">
        <v>1228578</v>
      </c>
      <c r="E3052">
        <v>1215978</v>
      </c>
      <c r="F3052">
        <v>1177753</v>
      </c>
      <c r="G3052">
        <v>1170671</v>
      </c>
    </row>
    <row r="3053" spans="1:7">
      <c r="A3053" t="s">
        <v>1876</v>
      </c>
      <c r="B3053" t="s">
        <v>356</v>
      </c>
      <c r="C3053" t="s">
        <v>229</v>
      </c>
      <c r="D3053">
        <v>6964</v>
      </c>
      <c r="E3053">
        <v>7433</v>
      </c>
      <c r="F3053">
        <v>5550</v>
      </c>
      <c r="G3053">
        <v>5355</v>
      </c>
    </row>
    <row r="3054" spans="1:7">
      <c r="A3054" t="s">
        <v>1876</v>
      </c>
      <c r="B3054" t="s">
        <v>356</v>
      </c>
      <c r="C3054" t="s">
        <v>230</v>
      </c>
      <c r="D3054">
        <v>3402</v>
      </c>
      <c r="E3054">
        <v>3567</v>
      </c>
      <c r="F3054">
        <v>2620</v>
      </c>
      <c r="G3054">
        <v>2506</v>
      </c>
    </row>
    <row r="3055" spans="1:7">
      <c r="A3055" t="s">
        <v>1876</v>
      </c>
      <c r="B3055" t="s">
        <v>356</v>
      </c>
      <c r="C3055" t="s">
        <v>231</v>
      </c>
      <c r="D3055">
        <v>10366</v>
      </c>
      <c r="E3055">
        <v>11000</v>
      </c>
      <c r="F3055">
        <v>8171</v>
      </c>
      <c r="G3055">
        <v>7861</v>
      </c>
    </row>
    <row r="3056" spans="1:7">
      <c r="A3056" t="s">
        <v>1876</v>
      </c>
      <c r="B3056" t="s">
        <v>356</v>
      </c>
      <c r="C3056" t="s">
        <v>232</v>
      </c>
      <c r="D3056">
        <v>10366</v>
      </c>
      <c r="E3056">
        <v>11000</v>
      </c>
      <c r="F3056">
        <v>8171</v>
      </c>
      <c r="G3056">
        <v>7861</v>
      </c>
    </row>
    <row r="3057" spans="1:7">
      <c r="A3057" t="s">
        <v>1876</v>
      </c>
      <c r="B3057" t="s">
        <v>356</v>
      </c>
      <c r="C3057" t="s">
        <v>233</v>
      </c>
      <c r="D3057">
        <v>0</v>
      </c>
      <c r="E3057">
        <v>0</v>
      </c>
      <c r="F3057">
        <v>0</v>
      </c>
      <c r="G3057">
        <v>0</v>
      </c>
    </row>
    <row r="3058" spans="1:7">
      <c r="A3058" t="s">
        <v>1876</v>
      </c>
      <c r="B3058" t="s">
        <v>356</v>
      </c>
      <c r="C3058" t="s">
        <v>234</v>
      </c>
      <c r="D3058">
        <v>1025650</v>
      </c>
      <c r="E3058">
        <v>1041467</v>
      </c>
      <c r="F3058">
        <v>1075534</v>
      </c>
      <c r="G3058">
        <v>1094056</v>
      </c>
    </row>
    <row r="3059" spans="1:7">
      <c r="A3059" t="s">
        <v>1876</v>
      </c>
      <c r="B3059" t="s">
        <v>356</v>
      </c>
      <c r="C3059" t="s">
        <v>235</v>
      </c>
      <c r="D3059">
        <v>28895</v>
      </c>
      <c r="E3059">
        <v>31097</v>
      </c>
      <c r="F3059">
        <v>29749</v>
      </c>
      <c r="G3059">
        <v>28015</v>
      </c>
    </row>
    <row r="3060" spans="1:7">
      <c r="A3060" t="s">
        <v>1876</v>
      </c>
      <c r="B3060" t="s">
        <v>356</v>
      </c>
      <c r="C3060" t="s">
        <v>236</v>
      </c>
      <c r="D3060">
        <v>23037</v>
      </c>
      <c r="E3060">
        <v>24003</v>
      </c>
      <c r="F3060">
        <v>24468</v>
      </c>
      <c r="G3060">
        <v>15873</v>
      </c>
    </row>
    <row r="3061" spans="1:7">
      <c r="A3061" t="s">
        <v>1876</v>
      </c>
      <c r="B3061" t="s">
        <v>356</v>
      </c>
      <c r="C3061" t="s">
        <v>237</v>
      </c>
      <c r="D3061">
        <v>1077582</v>
      </c>
      <c r="E3061">
        <v>1096566</v>
      </c>
      <c r="F3061">
        <v>1129750</v>
      </c>
      <c r="G3061">
        <v>1137943</v>
      </c>
    </row>
    <row r="3062" spans="1:7">
      <c r="A3062" t="s">
        <v>1876</v>
      </c>
      <c r="B3062" t="s">
        <v>356</v>
      </c>
      <c r="C3062" t="s">
        <v>238</v>
      </c>
      <c r="D3062">
        <v>1077582</v>
      </c>
      <c r="E3062">
        <v>1096566</v>
      </c>
      <c r="F3062">
        <v>1129750</v>
      </c>
      <c r="G3062">
        <v>1137943</v>
      </c>
    </row>
    <row r="3063" spans="1:7">
      <c r="A3063" t="s">
        <v>1876</v>
      </c>
      <c r="B3063" t="s">
        <v>356</v>
      </c>
      <c r="C3063" t="s">
        <v>1934</v>
      </c>
      <c r="D3063">
        <v>955073</v>
      </c>
      <c r="E3063">
        <v>969115</v>
      </c>
      <c r="F3063">
        <v>1001209</v>
      </c>
      <c r="G3063">
        <v>1018576</v>
      </c>
    </row>
    <row r="3064" spans="1:7">
      <c r="A3064" t="s">
        <v>1876</v>
      </c>
      <c r="B3064" t="s">
        <v>356</v>
      </c>
      <c r="C3064" t="s">
        <v>1935</v>
      </c>
      <c r="D3064">
        <v>26906</v>
      </c>
      <c r="E3064">
        <v>28936</v>
      </c>
      <c r="F3064">
        <v>27693</v>
      </c>
      <c r="G3064">
        <v>26082</v>
      </c>
    </row>
    <row r="3065" spans="1:7">
      <c r="A3065" t="s">
        <v>1876</v>
      </c>
      <c r="B3065" t="s">
        <v>356</v>
      </c>
      <c r="C3065" t="s">
        <v>1936</v>
      </c>
      <c r="D3065">
        <v>21452</v>
      </c>
      <c r="E3065">
        <v>22335</v>
      </c>
      <c r="F3065">
        <v>22777</v>
      </c>
      <c r="G3065">
        <v>14778</v>
      </c>
    </row>
    <row r="3066" spans="1:7">
      <c r="A3066" t="s">
        <v>1876</v>
      </c>
      <c r="B3066" t="s">
        <v>356</v>
      </c>
      <c r="C3066" t="s">
        <v>239</v>
      </c>
      <c r="D3066">
        <v>1003431</v>
      </c>
      <c r="E3066">
        <v>1020387</v>
      </c>
      <c r="F3066">
        <v>1051678</v>
      </c>
      <c r="G3066">
        <v>1059435</v>
      </c>
    </row>
    <row r="3067" spans="1:7">
      <c r="A3067" t="s">
        <v>1876</v>
      </c>
      <c r="B3067" t="s">
        <v>356</v>
      </c>
      <c r="C3067" t="s">
        <v>240</v>
      </c>
      <c r="D3067">
        <v>1104</v>
      </c>
      <c r="E3067">
        <v>1186</v>
      </c>
      <c r="F3067">
        <v>1140</v>
      </c>
      <c r="G3067">
        <v>1116</v>
      </c>
    </row>
    <row r="3068" spans="1:7">
      <c r="A3068" t="s">
        <v>1876</v>
      </c>
      <c r="B3068" t="s">
        <v>356</v>
      </c>
      <c r="C3068" t="s">
        <v>241</v>
      </c>
      <c r="D3068">
        <v>0</v>
      </c>
      <c r="E3068">
        <v>0</v>
      </c>
      <c r="F3068">
        <v>0</v>
      </c>
      <c r="G3068">
        <v>0</v>
      </c>
    </row>
    <row r="3069" spans="1:7">
      <c r="A3069" t="s">
        <v>1876</v>
      </c>
      <c r="B3069" t="s">
        <v>356</v>
      </c>
      <c r="C3069" t="s">
        <v>242</v>
      </c>
      <c r="D3069">
        <v>21116</v>
      </c>
      <c r="E3069">
        <v>23937</v>
      </c>
      <c r="F3069">
        <v>23780</v>
      </c>
      <c r="G3069">
        <v>24908</v>
      </c>
    </row>
    <row r="3070" spans="1:7">
      <c r="A3070" t="s">
        <v>1876</v>
      </c>
      <c r="B3070" t="s">
        <v>356</v>
      </c>
      <c r="C3070" t="s">
        <v>243</v>
      </c>
      <c r="D3070">
        <v>64911</v>
      </c>
      <c r="E3070">
        <v>64860</v>
      </c>
      <c r="F3070">
        <v>64352</v>
      </c>
      <c r="G3070">
        <v>69554</v>
      </c>
    </row>
    <row r="3071" spans="1:7">
      <c r="A3071" t="s">
        <v>1876</v>
      </c>
      <c r="B3071" t="s">
        <v>356</v>
      </c>
      <c r="C3071" t="s">
        <v>244</v>
      </c>
      <c r="D3071">
        <v>1350141</v>
      </c>
      <c r="E3071">
        <v>1424421</v>
      </c>
      <c r="F3071">
        <v>1438163</v>
      </c>
      <c r="G3071">
        <v>1493238</v>
      </c>
    </row>
    <row r="3072" spans="1:7">
      <c r="A3072" t="s">
        <v>1876</v>
      </c>
      <c r="B3072" t="s">
        <v>356</v>
      </c>
      <c r="C3072" t="s">
        <v>1709</v>
      </c>
      <c r="D3072">
        <v>47478</v>
      </c>
      <c r="E3072">
        <v>48960</v>
      </c>
      <c r="F3072">
        <v>49735</v>
      </c>
      <c r="G3072">
        <v>50309</v>
      </c>
    </row>
    <row r="3073" spans="1:7">
      <c r="A3073" t="s">
        <v>1876</v>
      </c>
      <c r="B3073" t="s">
        <v>356</v>
      </c>
      <c r="C3073" t="s">
        <v>245</v>
      </c>
      <c r="D3073">
        <v>135701</v>
      </c>
      <c r="E3073">
        <v>126968</v>
      </c>
      <c r="F3073">
        <v>128683</v>
      </c>
      <c r="G3073">
        <v>131374</v>
      </c>
    </row>
    <row r="3074" spans="1:7">
      <c r="A3074" t="s">
        <v>1876</v>
      </c>
      <c r="B3074" t="s">
        <v>356</v>
      </c>
      <c r="C3074" t="s">
        <v>246</v>
      </c>
      <c r="D3074">
        <v>19994</v>
      </c>
      <c r="E3074">
        <v>19358</v>
      </c>
      <c r="F3074">
        <v>18973</v>
      </c>
      <c r="G3074">
        <v>20909</v>
      </c>
    </row>
    <row r="3075" spans="1:7">
      <c r="A3075" t="s">
        <v>1876</v>
      </c>
      <c r="B3075" t="s">
        <v>356</v>
      </c>
      <c r="C3075" t="s">
        <v>247</v>
      </c>
      <c r="D3075">
        <v>1591864</v>
      </c>
      <c r="E3075">
        <v>1659544</v>
      </c>
      <c r="F3075">
        <v>1673949</v>
      </c>
      <c r="G3075">
        <v>1739984</v>
      </c>
    </row>
    <row r="3076" spans="1:7">
      <c r="A3076" t="s">
        <v>1876</v>
      </c>
      <c r="B3076" t="s">
        <v>356</v>
      </c>
      <c r="C3076" t="s">
        <v>248</v>
      </c>
      <c r="D3076">
        <v>72.900000000000006</v>
      </c>
      <c r="E3076">
        <v>74</v>
      </c>
      <c r="F3076">
        <v>73</v>
      </c>
      <c r="G3076">
        <v>74.8</v>
      </c>
    </row>
    <row r="3077" spans="1:7">
      <c r="A3077" t="s">
        <v>1876</v>
      </c>
      <c r="B3077" t="s">
        <v>356</v>
      </c>
      <c r="C3077" t="s">
        <v>249</v>
      </c>
      <c r="D3077">
        <v>241722</v>
      </c>
      <c r="E3077">
        <v>235123</v>
      </c>
      <c r="F3077">
        <v>235787</v>
      </c>
      <c r="G3077">
        <v>246745</v>
      </c>
    </row>
    <row r="3078" spans="1:7">
      <c r="A3078" t="s">
        <v>1876</v>
      </c>
      <c r="B3078" t="s">
        <v>356</v>
      </c>
      <c r="C3078" t="s">
        <v>250</v>
      </c>
      <c r="D3078">
        <v>1591864</v>
      </c>
      <c r="E3078">
        <v>1659544</v>
      </c>
      <c r="F3078">
        <v>1673401</v>
      </c>
      <c r="G3078">
        <v>1739279</v>
      </c>
    </row>
    <row r="3079" spans="1:7">
      <c r="A3079" t="s">
        <v>1876</v>
      </c>
      <c r="B3079" t="s">
        <v>356</v>
      </c>
      <c r="C3079" t="s">
        <v>1937</v>
      </c>
      <c r="D3079">
        <v>8</v>
      </c>
      <c r="E3079">
        <v>8.6</v>
      </c>
      <c r="F3079">
        <v>7.1</v>
      </c>
      <c r="G3079">
        <v>8.3000000000000007</v>
      </c>
    </row>
    <row r="3080" spans="1:7">
      <c r="A3080" t="s">
        <v>1876</v>
      </c>
      <c r="B3080" t="s">
        <v>356</v>
      </c>
      <c r="C3080" t="s">
        <v>1938</v>
      </c>
      <c r="D3080">
        <v>91.9</v>
      </c>
      <c r="E3080">
        <v>95.8</v>
      </c>
      <c r="F3080">
        <v>93.2</v>
      </c>
      <c r="G3080">
        <v>90.2</v>
      </c>
    </row>
    <row r="3081" spans="1:7">
      <c r="A3081" t="s">
        <v>1876</v>
      </c>
      <c r="B3081" t="s">
        <v>356</v>
      </c>
      <c r="C3081" t="s">
        <v>251</v>
      </c>
      <c r="D3081">
        <v>307811</v>
      </c>
      <c r="E3081">
        <v>321468</v>
      </c>
      <c r="F3081">
        <v>312935</v>
      </c>
      <c r="G3081">
        <v>303407</v>
      </c>
    </row>
    <row r="3082" spans="1:7">
      <c r="A3082" t="s">
        <v>1876</v>
      </c>
      <c r="B3082" t="s">
        <v>356</v>
      </c>
      <c r="C3082" t="s">
        <v>252</v>
      </c>
      <c r="D3082">
        <v>307811</v>
      </c>
      <c r="E3082">
        <v>321468</v>
      </c>
      <c r="F3082">
        <v>312935</v>
      </c>
      <c r="G3082">
        <v>303407</v>
      </c>
    </row>
    <row r="3083" spans="1:7">
      <c r="A3083" t="s">
        <v>1876</v>
      </c>
      <c r="B3083" t="s">
        <v>356</v>
      </c>
      <c r="C3083" t="s">
        <v>1710</v>
      </c>
      <c r="D3083">
        <v>3666</v>
      </c>
      <c r="E3083">
        <v>3666</v>
      </c>
      <c r="F3083">
        <v>3666</v>
      </c>
      <c r="G3083">
        <v>3666</v>
      </c>
    </row>
    <row r="3084" spans="1:7">
      <c r="A3084" t="s">
        <v>1876</v>
      </c>
      <c r="B3084" t="s">
        <v>356</v>
      </c>
      <c r="C3084" t="s">
        <v>1939</v>
      </c>
      <c r="D3084">
        <v>18.7</v>
      </c>
      <c r="E3084">
        <v>14.4</v>
      </c>
      <c r="F3084">
        <v>14.3</v>
      </c>
      <c r="G3084">
        <v>15</v>
      </c>
    </row>
    <row r="3085" spans="1:7">
      <c r="A3085" t="s">
        <v>1876</v>
      </c>
      <c r="B3085" t="s">
        <v>356</v>
      </c>
      <c r="C3085" t="s">
        <v>253</v>
      </c>
      <c r="D3085">
        <v>0</v>
      </c>
      <c r="E3085">
        <v>0</v>
      </c>
      <c r="F3085">
        <v>0</v>
      </c>
      <c r="G3085">
        <v>0</v>
      </c>
    </row>
    <row r="3086" spans="1:7">
      <c r="A3086" t="s">
        <v>1876</v>
      </c>
      <c r="B3086" t="s">
        <v>356</v>
      </c>
      <c r="C3086" t="s">
        <v>1711</v>
      </c>
      <c r="D3086">
        <v>0</v>
      </c>
      <c r="E3086">
        <v>0</v>
      </c>
      <c r="F3086">
        <v>0</v>
      </c>
      <c r="G3086">
        <v>0</v>
      </c>
    </row>
    <row r="3087" spans="1:7">
      <c r="A3087" t="s">
        <v>1876</v>
      </c>
      <c r="B3087" t="s">
        <v>356</v>
      </c>
      <c r="C3087" t="s">
        <v>1712</v>
      </c>
      <c r="D3087">
        <v>2554</v>
      </c>
      <c r="E3087">
        <v>3532</v>
      </c>
      <c r="F3087">
        <v>3395</v>
      </c>
      <c r="G3087">
        <v>3163</v>
      </c>
    </row>
    <row r="3088" spans="1:7">
      <c r="A3088" t="s">
        <v>1876</v>
      </c>
      <c r="B3088" t="s">
        <v>356</v>
      </c>
      <c r="C3088" t="s">
        <v>1713</v>
      </c>
      <c r="D3088">
        <v>3800</v>
      </c>
      <c r="E3088">
        <v>3729</v>
      </c>
      <c r="F3088">
        <v>5467</v>
      </c>
      <c r="G3088">
        <v>5737</v>
      </c>
    </row>
    <row r="3089" spans="1:7">
      <c r="A3089" t="s">
        <v>1876</v>
      </c>
      <c r="B3089" t="s">
        <v>356</v>
      </c>
      <c r="C3089" t="s">
        <v>1940</v>
      </c>
      <c r="D3089">
        <v>0</v>
      </c>
      <c r="E3089">
        <v>0</v>
      </c>
      <c r="F3089">
        <v>0</v>
      </c>
      <c r="G3089">
        <v>0</v>
      </c>
    </row>
    <row r="3090" spans="1:7">
      <c r="A3090" t="s">
        <v>1876</v>
      </c>
      <c r="B3090" t="s">
        <v>356</v>
      </c>
      <c r="C3090" t="s">
        <v>1941</v>
      </c>
      <c r="D3090">
        <v>0</v>
      </c>
      <c r="E3090">
        <v>0</v>
      </c>
      <c r="F3090">
        <v>0</v>
      </c>
      <c r="G3090">
        <v>0</v>
      </c>
    </row>
    <row r="3091" spans="1:7">
      <c r="A3091" t="s">
        <v>1876</v>
      </c>
      <c r="B3091" t="s">
        <v>356</v>
      </c>
      <c r="C3091" t="s">
        <v>254</v>
      </c>
      <c r="D3091">
        <v>2554</v>
      </c>
      <c r="E3091">
        <v>3532</v>
      </c>
      <c r="F3091">
        <v>3395</v>
      </c>
      <c r="G3091">
        <v>3163</v>
      </c>
    </row>
    <row r="3092" spans="1:7">
      <c r="A3092" t="s">
        <v>1876</v>
      </c>
      <c r="B3092" t="s">
        <v>356</v>
      </c>
      <c r="C3092" t="s">
        <v>1942</v>
      </c>
      <c r="D3092">
        <v>0</v>
      </c>
      <c r="E3092">
        <v>0</v>
      </c>
      <c r="F3092">
        <v>0</v>
      </c>
      <c r="G3092">
        <v>0</v>
      </c>
    </row>
    <row r="3093" spans="1:7">
      <c r="A3093" t="s">
        <v>1876</v>
      </c>
      <c r="B3093" t="s">
        <v>356</v>
      </c>
      <c r="C3093" t="s">
        <v>255</v>
      </c>
      <c r="D3093">
        <v>6355</v>
      </c>
      <c r="E3093">
        <v>7261</v>
      </c>
      <c r="F3093">
        <v>8861</v>
      </c>
      <c r="G3093">
        <v>8900</v>
      </c>
    </row>
    <row r="3094" spans="1:7">
      <c r="A3094" t="s">
        <v>1876</v>
      </c>
      <c r="B3094" t="s">
        <v>356</v>
      </c>
      <c r="C3094" t="s">
        <v>256</v>
      </c>
      <c r="D3094">
        <v>6355</v>
      </c>
      <c r="E3094">
        <v>7261</v>
      </c>
      <c r="F3094">
        <v>8861</v>
      </c>
      <c r="G3094">
        <v>8900</v>
      </c>
    </row>
    <row r="3095" spans="1:7">
      <c r="A3095" t="s">
        <v>1876</v>
      </c>
      <c r="B3095" t="s">
        <v>356</v>
      </c>
      <c r="C3095" t="s">
        <v>1714</v>
      </c>
      <c r="D3095">
        <v>313</v>
      </c>
      <c r="E3095">
        <v>313</v>
      </c>
      <c r="F3095">
        <v>313</v>
      </c>
      <c r="G3095">
        <v>313</v>
      </c>
    </row>
    <row r="3096" spans="1:7">
      <c r="A3096" t="s">
        <v>1876</v>
      </c>
      <c r="B3096" t="s">
        <v>356</v>
      </c>
      <c r="C3096" t="s">
        <v>257</v>
      </c>
      <c r="D3096">
        <v>40644</v>
      </c>
      <c r="E3096">
        <v>40804</v>
      </c>
      <c r="F3096">
        <v>41153</v>
      </c>
      <c r="G3096">
        <v>44998</v>
      </c>
    </row>
    <row r="3097" spans="1:7">
      <c r="A3097" t="s">
        <v>1876</v>
      </c>
      <c r="B3097" t="s">
        <v>356</v>
      </c>
      <c r="C3097" t="s">
        <v>258</v>
      </c>
      <c r="D3097">
        <v>62960</v>
      </c>
      <c r="E3097">
        <v>63853</v>
      </c>
      <c r="F3097">
        <v>65646</v>
      </c>
      <c r="G3097">
        <v>66184</v>
      </c>
    </row>
    <row r="3098" spans="1:7">
      <c r="A3098" t="s">
        <v>1876</v>
      </c>
      <c r="B3098" t="s">
        <v>356</v>
      </c>
      <c r="C3098" t="s">
        <v>259</v>
      </c>
      <c r="D3098">
        <v>53955</v>
      </c>
      <c r="E3098">
        <v>54598</v>
      </c>
      <c r="F3098">
        <v>54687</v>
      </c>
      <c r="G3098">
        <v>58792</v>
      </c>
    </row>
    <row r="3099" spans="1:7">
      <c r="A3099" t="s">
        <v>1876</v>
      </c>
      <c r="B3099" t="s">
        <v>356</v>
      </c>
      <c r="C3099" t="s">
        <v>260</v>
      </c>
      <c r="D3099">
        <v>1655752</v>
      </c>
      <c r="E3099">
        <v>1719515</v>
      </c>
      <c r="F3099">
        <v>1752686</v>
      </c>
      <c r="G3099">
        <v>1785545</v>
      </c>
    </row>
    <row r="3100" spans="1:7">
      <c r="A3100" t="s">
        <v>1876</v>
      </c>
      <c r="B3100" t="s">
        <v>356</v>
      </c>
      <c r="C3100" t="s">
        <v>1943</v>
      </c>
      <c r="D3100">
        <v>2.2999999999999998</v>
      </c>
      <c r="E3100">
        <v>2.2999999999999998</v>
      </c>
      <c r="F3100">
        <v>1.8</v>
      </c>
      <c r="G3100">
        <v>2.2000000000000002</v>
      </c>
    </row>
    <row r="3101" spans="1:7">
      <c r="A3101" t="s">
        <v>1876</v>
      </c>
      <c r="B3101" t="s">
        <v>356</v>
      </c>
      <c r="C3101" t="s">
        <v>261</v>
      </c>
      <c r="D3101">
        <v>48058</v>
      </c>
      <c r="E3101">
        <v>49775</v>
      </c>
      <c r="F3101">
        <v>46901</v>
      </c>
      <c r="G3101">
        <v>47501</v>
      </c>
    </row>
    <row r="3102" spans="1:7">
      <c r="A3102" t="s">
        <v>1876</v>
      </c>
      <c r="B3102" t="s">
        <v>356</v>
      </c>
      <c r="C3102" t="s">
        <v>262</v>
      </c>
      <c r="D3102">
        <v>12543</v>
      </c>
      <c r="E3102">
        <v>14261</v>
      </c>
      <c r="F3102">
        <v>13171</v>
      </c>
      <c r="G3102">
        <v>9193</v>
      </c>
    </row>
    <row r="3103" spans="1:7">
      <c r="A3103" t="s">
        <v>1876</v>
      </c>
      <c r="B3103" t="s">
        <v>356</v>
      </c>
      <c r="C3103" t="s">
        <v>1715</v>
      </c>
      <c r="D3103">
        <v>1719</v>
      </c>
      <c r="E3103">
        <v>1662</v>
      </c>
      <c r="F3103">
        <v>1611</v>
      </c>
      <c r="G3103">
        <v>1597</v>
      </c>
    </row>
    <row r="3104" spans="1:7">
      <c r="A3104" t="s">
        <v>1876</v>
      </c>
      <c r="B3104" t="s">
        <v>356</v>
      </c>
      <c r="C3104" t="s">
        <v>263</v>
      </c>
      <c r="D3104">
        <v>107189</v>
      </c>
      <c r="E3104">
        <v>109532</v>
      </c>
      <c r="F3104">
        <v>108428</v>
      </c>
      <c r="G3104">
        <v>102409</v>
      </c>
    </row>
    <row r="3105" spans="1:7">
      <c r="A3105" t="s">
        <v>1876</v>
      </c>
      <c r="B3105" t="s">
        <v>356</v>
      </c>
      <c r="C3105" t="s">
        <v>264</v>
      </c>
      <c r="D3105">
        <v>6500</v>
      </c>
      <c r="E3105">
        <v>6057</v>
      </c>
      <c r="F3105">
        <v>5639</v>
      </c>
      <c r="G3105">
        <v>5747</v>
      </c>
    </row>
    <row r="3106" spans="1:7">
      <c r="A3106" t="s">
        <v>1876</v>
      </c>
      <c r="B3106" t="s">
        <v>356</v>
      </c>
      <c r="C3106" t="s">
        <v>265</v>
      </c>
      <c r="D3106">
        <v>1830042</v>
      </c>
      <c r="E3106">
        <v>1899140</v>
      </c>
      <c r="F3106">
        <v>1926825</v>
      </c>
      <c r="G3106">
        <v>1950396</v>
      </c>
    </row>
    <row r="3107" spans="1:7">
      <c r="A3107" t="s">
        <v>1876</v>
      </c>
      <c r="B3107" t="s">
        <v>356</v>
      </c>
      <c r="C3107" t="s">
        <v>266</v>
      </c>
      <c r="D3107">
        <v>83.8</v>
      </c>
      <c r="E3107">
        <v>84.7</v>
      </c>
      <c r="F3107">
        <v>84</v>
      </c>
      <c r="G3107">
        <v>83.8</v>
      </c>
    </row>
    <row r="3108" spans="1:7">
      <c r="A3108" t="s">
        <v>1876</v>
      </c>
      <c r="B3108" t="s">
        <v>356</v>
      </c>
      <c r="C3108" t="s">
        <v>267</v>
      </c>
      <c r="D3108">
        <v>1817499</v>
      </c>
      <c r="E3108">
        <v>1884879</v>
      </c>
      <c r="F3108">
        <v>1913655</v>
      </c>
      <c r="G3108">
        <v>1941203</v>
      </c>
    </row>
    <row r="3109" spans="1:7">
      <c r="A3109" t="s">
        <v>1876</v>
      </c>
      <c r="B3109" t="s">
        <v>356</v>
      </c>
      <c r="C3109" t="s">
        <v>268</v>
      </c>
      <c r="D3109">
        <v>0</v>
      </c>
      <c r="E3109">
        <v>0</v>
      </c>
      <c r="F3109">
        <v>0</v>
      </c>
      <c r="G3109">
        <v>0</v>
      </c>
    </row>
    <row r="3110" spans="1:7">
      <c r="A3110" t="s">
        <v>1876</v>
      </c>
      <c r="B3110" t="s">
        <v>356</v>
      </c>
      <c r="C3110" t="s">
        <v>269</v>
      </c>
      <c r="D3110">
        <v>9005</v>
      </c>
      <c r="E3110">
        <v>9255</v>
      </c>
      <c r="F3110">
        <v>10960</v>
      </c>
      <c r="G3110">
        <v>7392</v>
      </c>
    </row>
    <row r="3111" spans="1:7">
      <c r="A3111" t="s">
        <v>1876</v>
      </c>
      <c r="B3111" t="s">
        <v>356</v>
      </c>
      <c r="C3111" t="s">
        <v>270</v>
      </c>
      <c r="D3111">
        <v>0</v>
      </c>
      <c r="E3111">
        <v>0</v>
      </c>
      <c r="F3111">
        <v>0</v>
      </c>
      <c r="G3111">
        <v>0</v>
      </c>
    </row>
    <row r="3112" spans="1:7">
      <c r="A3112" t="s">
        <v>1876</v>
      </c>
      <c r="B3112" t="s">
        <v>356</v>
      </c>
      <c r="C3112" t="s">
        <v>271</v>
      </c>
      <c r="D3112">
        <v>9005</v>
      </c>
      <c r="E3112">
        <v>9255</v>
      </c>
      <c r="F3112">
        <v>10960</v>
      </c>
      <c r="G3112">
        <v>7392</v>
      </c>
    </row>
    <row r="3113" spans="1:7">
      <c r="A3113" t="s">
        <v>1876</v>
      </c>
      <c r="B3113" t="s">
        <v>356</v>
      </c>
      <c r="C3113" t="s">
        <v>272</v>
      </c>
      <c r="D3113">
        <v>0</v>
      </c>
      <c r="E3113">
        <v>0</v>
      </c>
      <c r="F3113">
        <v>0</v>
      </c>
      <c r="G3113">
        <v>0</v>
      </c>
    </row>
    <row r="3114" spans="1:7">
      <c r="A3114" t="s">
        <v>1876</v>
      </c>
      <c r="B3114" t="s">
        <v>356</v>
      </c>
      <c r="C3114" t="s">
        <v>1944</v>
      </c>
      <c r="D3114">
        <v>31.4</v>
      </c>
      <c r="E3114">
        <v>42.3</v>
      </c>
      <c r="F3114">
        <v>50.5</v>
      </c>
      <c r="G3114">
        <v>67.8</v>
      </c>
    </row>
    <row r="3115" spans="1:7">
      <c r="A3115" t="s">
        <v>1876</v>
      </c>
      <c r="B3115" t="s">
        <v>356</v>
      </c>
      <c r="C3115" t="s">
        <v>1945</v>
      </c>
      <c r="D3115">
        <v>48</v>
      </c>
      <c r="E3115">
        <v>69</v>
      </c>
      <c r="F3115">
        <v>131</v>
      </c>
      <c r="G3115">
        <v>166</v>
      </c>
    </row>
    <row r="3116" spans="1:7">
      <c r="A3116" t="s">
        <v>1876</v>
      </c>
      <c r="B3116" t="s">
        <v>356</v>
      </c>
      <c r="C3116" t="s">
        <v>273</v>
      </c>
      <c r="D3116">
        <v>0</v>
      </c>
      <c r="E3116">
        <v>0</v>
      </c>
      <c r="F3116">
        <v>0</v>
      </c>
      <c r="G3116">
        <v>0</v>
      </c>
    </row>
    <row r="3117" spans="1:7">
      <c r="A3117" t="s">
        <v>1876</v>
      </c>
      <c r="B3117" t="s">
        <v>356</v>
      </c>
      <c r="C3117" t="s">
        <v>1946</v>
      </c>
      <c r="D3117">
        <v>1578559</v>
      </c>
      <c r="E3117">
        <v>1640803</v>
      </c>
      <c r="F3117">
        <v>1669672</v>
      </c>
      <c r="G3117">
        <v>1701229</v>
      </c>
    </row>
    <row r="3118" spans="1:7">
      <c r="A3118" t="s">
        <v>1876</v>
      </c>
      <c r="B3118" t="s">
        <v>356</v>
      </c>
      <c r="C3118" t="s">
        <v>1947</v>
      </c>
      <c r="D3118">
        <v>46070</v>
      </c>
      <c r="E3118">
        <v>47615</v>
      </c>
      <c r="F3118">
        <v>44846</v>
      </c>
      <c r="G3118">
        <v>45568</v>
      </c>
    </row>
    <row r="3119" spans="1:7">
      <c r="A3119" t="s">
        <v>1876</v>
      </c>
      <c r="B3119" t="s">
        <v>356</v>
      </c>
      <c r="C3119" t="s">
        <v>1948</v>
      </c>
      <c r="D3119">
        <v>12543</v>
      </c>
      <c r="E3119">
        <v>14261</v>
      </c>
      <c r="F3119">
        <v>13171</v>
      </c>
      <c r="G3119">
        <v>9193</v>
      </c>
    </row>
    <row r="3120" spans="1:7">
      <c r="A3120" t="s">
        <v>1876</v>
      </c>
      <c r="B3120" t="s">
        <v>356</v>
      </c>
      <c r="C3120" t="s">
        <v>1949</v>
      </c>
      <c r="D3120">
        <v>105604</v>
      </c>
      <c r="E3120">
        <v>107864</v>
      </c>
      <c r="F3120">
        <v>106737</v>
      </c>
      <c r="G3120">
        <v>101314</v>
      </c>
    </row>
    <row r="3121" spans="1:7">
      <c r="A3121" t="s">
        <v>1876</v>
      </c>
      <c r="B3121" t="s">
        <v>356</v>
      </c>
      <c r="C3121" t="s">
        <v>1950</v>
      </c>
      <c r="D3121">
        <v>6500</v>
      </c>
      <c r="E3121">
        <v>6057</v>
      </c>
      <c r="F3121">
        <v>5639</v>
      </c>
      <c r="G3121">
        <v>5747</v>
      </c>
    </row>
    <row r="3122" spans="1:7">
      <c r="A3122" t="s">
        <v>1876</v>
      </c>
      <c r="B3122" t="s">
        <v>356</v>
      </c>
      <c r="C3122" t="s">
        <v>274</v>
      </c>
      <c r="D3122">
        <v>1749275</v>
      </c>
      <c r="E3122">
        <v>1816600</v>
      </c>
      <c r="F3122">
        <v>1840065</v>
      </c>
      <c r="G3122">
        <v>1863051</v>
      </c>
    </row>
    <row r="3123" spans="1:7">
      <c r="A3123" t="s">
        <v>1876</v>
      </c>
      <c r="B3123" t="s">
        <v>356</v>
      </c>
      <c r="C3123" t="s">
        <v>275</v>
      </c>
      <c r="D3123">
        <v>0</v>
      </c>
      <c r="E3123">
        <v>0</v>
      </c>
      <c r="F3123">
        <v>0</v>
      </c>
      <c r="G3123">
        <v>0</v>
      </c>
    </row>
    <row r="3124" spans="1:7">
      <c r="A3124" t="s">
        <v>1876</v>
      </c>
      <c r="B3124" t="s">
        <v>356</v>
      </c>
      <c r="C3124" t="s">
        <v>276</v>
      </c>
      <c r="D3124">
        <v>0</v>
      </c>
      <c r="E3124">
        <v>0</v>
      </c>
      <c r="F3124">
        <v>0</v>
      </c>
      <c r="G3124">
        <v>0</v>
      </c>
    </row>
    <row r="3125" spans="1:7">
      <c r="A3125" t="s">
        <v>1876</v>
      </c>
      <c r="B3125" t="s">
        <v>356</v>
      </c>
      <c r="C3125" t="s">
        <v>277</v>
      </c>
      <c r="D3125">
        <v>1415</v>
      </c>
      <c r="E3125">
        <v>837</v>
      </c>
      <c r="F3125">
        <v>840</v>
      </c>
      <c r="G3125">
        <v>783</v>
      </c>
    </row>
    <row r="3126" spans="1:7">
      <c r="A3126" t="s">
        <v>1876</v>
      </c>
      <c r="B3126" t="s">
        <v>356</v>
      </c>
      <c r="C3126" t="s">
        <v>278</v>
      </c>
      <c r="D3126">
        <v>8301</v>
      </c>
      <c r="E3126">
        <v>8022</v>
      </c>
      <c r="F3126">
        <v>7686</v>
      </c>
      <c r="G3126">
        <v>7598</v>
      </c>
    </row>
    <row r="3127" spans="1:7">
      <c r="A3127" t="s">
        <v>1876</v>
      </c>
      <c r="B3127" t="s">
        <v>356</v>
      </c>
      <c r="C3127" t="s">
        <v>279</v>
      </c>
      <c r="D3127">
        <v>4430</v>
      </c>
      <c r="E3127">
        <v>5201</v>
      </c>
      <c r="F3127">
        <v>4449</v>
      </c>
      <c r="G3127">
        <v>4177</v>
      </c>
    </row>
    <row r="3128" spans="1:7">
      <c r="A3128" t="s">
        <v>1876</v>
      </c>
      <c r="B3128" t="s">
        <v>356</v>
      </c>
      <c r="C3128" t="s">
        <v>280</v>
      </c>
      <c r="D3128">
        <v>6397</v>
      </c>
      <c r="E3128">
        <v>5956</v>
      </c>
      <c r="F3128">
        <v>5538</v>
      </c>
      <c r="G3128">
        <v>5629</v>
      </c>
    </row>
    <row r="3129" spans="1:7">
      <c r="A3129" t="s">
        <v>1876</v>
      </c>
      <c r="B3129" t="s">
        <v>356</v>
      </c>
      <c r="C3129" t="s">
        <v>281</v>
      </c>
      <c r="D3129">
        <v>20543</v>
      </c>
      <c r="E3129">
        <v>20016</v>
      </c>
      <c r="F3129">
        <v>18512</v>
      </c>
      <c r="G3129">
        <v>18187</v>
      </c>
    </row>
    <row r="3130" spans="1:7">
      <c r="A3130" t="s">
        <v>1876</v>
      </c>
      <c r="B3130" t="s">
        <v>356</v>
      </c>
      <c r="C3130" t="s">
        <v>282</v>
      </c>
      <c r="D3130">
        <v>20543</v>
      </c>
      <c r="E3130">
        <v>20016</v>
      </c>
      <c r="F3130">
        <v>18512</v>
      </c>
      <c r="G3130">
        <v>18187</v>
      </c>
    </row>
    <row r="3131" spans="1:7">
      <c r="A3131" t="s">
        <v>1876</v>
      </c>
      <c r="B3131" t="s">
        <v>356</v>
      </c>
      <c r="C3131" t="s">
        <v>283</v>
      </c>
      <c r="D3131">
        <v>0</v>
      </c>
      <c r="E3131">
        <v>0</v>
      </c>
      <c r="F3131">
        <v>0</v>
      </c>
      <c r="G3131">
        <v>0</v>
      </c>
    </row>
    <row r="3132" spans="1:7">
      <c r="A3132" t="s">
        <v>1876</v>
      </c>
      <c r="B3132" t="s">
        <v>356</v>
      </c>
      <c r="C3132" t="s">
        <v>284</v>
      </c>
      <c r="D3132">
        <v>0</v>
      </c>
      <c r="E3132">
        <v>0</v>
      </c>
      <c r="F3132">
        <v>0</v>
      </c>
      <c r="G3132">
        <v>0</v>
      </c>
    </row>
    <row r="3133" spans="1:7">
      <c r="A3133" t="s">
        <v>1876</v>
      </c>
      <c r="B3133" t="s">
        <v>356</v>
      </c>
      <c r="C3133" t="s">
        <v>1716</v>
      </c>
      <c r="D3133">
        <v>77193</v>
      </c>
      <c r="E3133">
        <v>78713</v>
      </c>
      <c r="F3133">
        <v>83013</v>
      </c>
      <c r="G3133">
        <v>84317</v>
      </c>
    </row>
    <row r="3134" spans="1:7">
      <c r="A3134" t="s">
        <v>1876</v>
      </c>
      <c r="B3134" t="s">
        <v>356</v>
      </c>
      <c r="C3134" t="s">
        <v>1717</v>
      </c>
      <c r="D3134">
        <v>7728</v>
      </c>
      <c r="E3134">
        <v>14362</v>
      </c>
      <c r="F3134">
        <v>14383</v>
      </c>
      <c r="G3134">
        <v>13892</v>
      </c>
    </row>
    <row r="3135" spans="1:7">
      <c r="A3135" t="s">
        <v>1876</v>
      </c>
      <c r="B3135" t="s">
        <v>356</v>
      </c>
      <c r="C3135" t="s">
        <v>1718</v>
      </c>
      <c r="D3135">
        <v>76616</v>
      </c>
      <c r="E3135">
        <v>76151</v>
      </c>
      <c r="F3135">
        <v>79236</v>
      </c>
      <c r="G3135">
        <v>92971</v>
      </c>
    </row>
    <row r="3136" spans="1:7">
      <c r="A3136" t="s">
        <v>1876</v>
      </c>
      <c r="B3136" t="s">
        <v>356</v>
      </c>
      <c r="C3136" t="s">
        <v>1719</v>
      </c>
      <c r="D3136">
        <v>6149</v>
      </c>
      <c r="E3136">
        <v>7179</v>
      </c>
      <c r="F3136">
        <v>8847</v>
      </c>
      <c r="G3136">
        <v>11986</v>
      </c>
    </row>
    <row r="3137" spans="1:7">
      <c r="A3137" t="s">
        <v>1876</v>
      </c>
      <c r="B3137" t="s">
        <v>356</v>
      </c>
      <c r="C3137" t="s">
        <v>1720</v>
      </c>
      <c r="D3137">
        <v>94682</v>
      </c>
      <c r="E3137">
        <v>94198</v>
      </c>
      <c r="F3137">
        <v>64757</v>
      </c>
      <c r="G3137">
        <v>65734</v>
      </c>
    </row>
    <row r="3138" spans="1:7">
      <c r="A3138" t="s">
        <v>1876</v>
      </c>
      <c r="B3138" t="s">
        <v>356</v>
      </c>
      <c r="C3138" t="s">
        <v>1721</v>
      </c>
      <c r="D3138">
        <v>40414</v>
      </c>
      <c r="E3138">
        <v>43206</v>
      </c>
      <c r="F3138">
        <v>46474</v>
      </c>
      <c r="G3138">
        <v>49512</v>
      </c>
    </row>
    <row r="3139" spans="1:7">
      <c r="A3139" t="s">
        <v>1876</v>
      </c>
      <c r="B3139" t="s">
        <v>356</v>
      </c>
      <c r="C3139" t="s">
        <v>285</v>
      </c>
      <c r="D3139">
        <v>296634</v>
      </c>
      <c r="E3139">
        <v>306630</v>
      </c>
      <c r="F3139">
        <v>287863</v>
      </c>
      <c r="G3139">
        <v>306426</v>
      </c>
    </row>
    <row r="3140" spans="1:7">
      <c r="A3140" t="s">
        <v>1876</v>
      </c>
      <c r="B3140" t="s">
        <v>356</v>
      </c>
      <c r="C3140" t="s">
        <v>1951</v>
      </c>
      <c r="D3140">
        <v>7</v>
      </c>
      <c r="E3140">
        <v>7.1</v>
      </c>
      <c r="F3140">
        <v>6.7</v>
      </c>
      <c r="G3140">
        <v>7</v>
      </c>
    </row>
    <row r="3141" spans="1:7">
      <c r="A3141" t="s">
        <v>1876</v>
      </c>
      <c r="B3141" t="s">
        <v>356</v>
      </c>
      <c r="C3141" t="s">
        <v>286</v>
      </c>
      <c r="D3141">
        <v>68169</v>
      </c>
      <c r="E3141">
        <v>69854</v>
      </c>
      <c r="F3141">
        <v>57986</v>
      </c>
      <c r="G3141">
        <v>62768</v>
      </c>
    </row>
    <row r="3142" spans="1:7">
      <c r="A3142" t="s">
        <v>1876</v>
      </c>
      <c r="B3142" t="s">
        <v>356</v>
      </c>
      <c r="C3142" t="s">
        <v>287</v>
      </c>
      <c r="D3142">
        <v>0</v>
      </c>
      <c r="E3142">
        <v>0</v>
      </c>
      <c r="F3142">
        <v>0</v>
      </c>
      <c r="G3142">
        <v>0</v>
      </c>
    </row>
    <row r="3143" spans="1:7">
      <c r="A3143" t="s">
        <v>1876</v>
      </c>
      <c r="B3143" t="s">
        <v>356</v>
      </c>
      <c r="C3143" t="s">
        <v>288</v>
      </c>
      <c r="D3143">
        <v>1061</v>
      </c>
      <c r="E3143">
        <v>453</v>
      </c>
      <c r="F3143">
        <v>119</v>
      </c>
      <c r="G3143">
        <v>44</v>
      </c>
    </row>
    <row r="3144" spans="1:7">
      <c r="A3144" t="s">
        <v>1876</v>
      </c>
      <c r="B3144" t="s">
        <v>356</v>
      </c>
      <c r="C3144" t="s">
        <v>289</v>
      </c>
      <c r="D3144">
        <v>1447</v>
      </c>
      <c r="E3144">
        <v>1482</v>
      </c>
      <c r="F3144">
        <v>1231</v>
      </c>
      <c r="G3144">
        <v>1332</v>
      </c>
    </row>
    <row r="3145" spans="1:7">
      <c r="A3145" t="s">
        <v>1876</v>
      </c>
      <c r="B3145" t="s">
        <v>356</v>
      </c>
      <c r="C3145" t="s">
        <v>290</v>
      </c>
      <c r="D3145">
        <v>70677</v>
      </c>
      <c r="E3145">
        <v>71789</v>
      </c>
      <c r="F3145">
        <v>59336</v>
      </c>
      <c r="G3145">
        <v>64144</v>
      </c>
    </row>
    <row r="3146" spans="1:7">
      <c r="A3146" t="s">
        <v>1876</v>
      </c>
      <c r="B3146" t="s">
        <v>356</v>
      </c>
      <c r="C3146" t="s">
        <v>291</v>
      </c>
      <c r="D3146">
        <v>69616</v>
      </c>
      <c r="E3146">
        <v>71336</v>
      </c>
      <c r="F3146">
        <v>59216</v>
      </c>
      <c r="G3146">
        <v>64100</v>
      </c>
    </row>
    <row r="3147" spans="1:7">
      <c r="A3147" t="s">
        <v>1876</v>
      </c>
      <c r="B3147" t="s">
        <v>356</v>
      </c>
      <c r="C3147" t="s">
        <v>292</v>
      </c>
      <c r="D3147">
        <v>0</v>
      </c>
      <c r="E3147">
        <v>0</v>
      </c>
      <c r="F3147">
        <v>21</v>
      </c>
      <c r="G3147">
        <v>29</v>
      </c>
    </row>
    <row r="3148" spans="1:7">
      <c r="A3148" t="s">
        <v>1876</v>
      </c>
      <c r="B3148" t="s">
        <v>356</v>
      </c>
      <c r="C3148" t="s">
        <v>293</v>
      </c>
      <c r="D3148">
        <v>0</v>
      </c>
      <c r="E3148">
        <v>0</v>
      </c>
      <c r="F3148">
        <v>478</v>
      </c>
      <c r="G3148">
        <v>614</v>
      </c>
    </row>
    <row r="3149" spans="1:7">
      <c r="A3149" t="s">
        <v>1876</v>
      </c>
      <c r="B3149" t="s">
        <v>356</v>
      </c>
      <c r="C3149" t="s">
        <v>294</v>
      </c>
      <c r="D3149">
        <v>0</v>
      </c>
      <c r="E3149">
        <v>0</v>
      </c>
      <c r="F3149">
        <v>43</v>
      </c>
      <c r="G3149">
        <v>54</v>
      </c>
    </row>
    <row r="3150" spans="1:7">
      <c r="A3150" t="s">
        <v>1876</v>
      </c>
      <c r="B3150" t="s">
        <v>356</v>
      </c>
      <c r="C3150" t="s">
        <v>295</v>
      </c>
      <c r="D3150">
        <v>0</v>
      </c>
      <c r="E3150">
        <v>0</v>
      </c>
      <c r="F3150">
        <v>6</v>
      </c>
      <c r="G3150">
        <v>9</v>
      </c>
    </row>
    <row r="3151" spans="1:7">
      <c r="A3151" t="s">
        <v>1876</v>
      </c>
      <c r="B3151" t="s">
        <v>356</v>
      </c>
      <c r="C3151" t="s">
        <v>296</v>
      </c>
      <c r="D3151">
        <v>0</v>
      </c>
      <c r="E3151">
        <v>0</v>
      </c>
      <c r="F3151">
        <v>548</v>
      </c>
      <c r="G3151">
        <v>705</v>
      </c>
    </row>
    <row r="3152" spans="1:7">
      <c r="A3152" t="s">
        <v>1876</v>
      </c>
      <c r="B3152" t="s">
        <v>356</v>
      </c>
      <c r="C3152" t="s">
        <v>297</v>
      </c>
      <c r="D3152">
        <v>0</v>
      </c>
      <c r="E3152">
        <v>0</v>
      </c>
      <c r="F3152">
        <v>0</v>
      </c>
      <c r="G3152">
        <v>0</v>
      </c>
    </row>
    <row r="3153" spans="1:7">
      <c r="A3153" t="s">
        <v>1876</v>
      </c>
      <c r="B3153" t="s">
        <v>356</v>
      </c>
      <c r="C3153" t="s">
        <v>1952</v>
      </c>
      <c r="D3153">
        <v>0</v>
      </c>
      <c r="E3153">
        <v>0</v>
      </c>
      <c r="F3153">
        <v>0</v>
      </c>
      <c r="G3153">
        <v>0</v>
      </c>
    </row>
    <row r="3154" spans="1:7">
      <c r="A3154" t="s">
        <v>1876</v>
      </c>
      <c r="B3154" t="s">
        <v>356</v>
      </c>
      <c r="C3154" t="s">
        <v>298</v>
      </c>
      <c r="D3154">
        <v>1269</v>
      </c>
      <c r="E3154">
        <v>2040</v>
      </c>
      <c r="F3154">
        <v>2042</v>
      </c>
      <c r="G3154">
        <v>1786</v>
      </c>
    </row>
    <row r="3155" spans="1:7">
      <c r="A3155" t="s">
        <v>1876</v>
      </c>
      <c r="B3155" t="s">
        <v>356</v>
      </c>
      <c r="C3155" t="s">
        <v>299</v>
      </c>
      <c r="D3155">
        <v>724</v>
      </c>
      <c r="E3155">
        <v>824</v>
      </c>
      <c r="F3155">
        <v>976</v>
      </c>
      <c r="G3155">
        <v>1197</v>
      </c>
    </row>
    <row r="3156" spans="1:7">
      <c r="A3156" t="s">
        <v>1876</v>
      </c>
      <c r="B3156" t="s">
        <v>356</v>
      </c>
      <c r="C3156" t="s">
        <v>300</v>
      </c>
      <c r="D3156">
        <v>30839</v>
      </c>
      <c r="E3156">
        <v>38664</v>
      </c>
      <c r="F3156">
        <v>47938</v>
      </c>
      <c r="G3156">
        <v>63595</v>
      </c>
    </row>
    <row r="3157" spans="1:7">
      <c r="A3157" t="s">
        <v>1876</v>
      </c>
      <c r="B3157" t="s">
        <v>356</v>
      </c>
      <c r="C3157" t="s">
        <v>1722</v>
      </c>
      <c r="D3157">
        <v>4952</v>
      </c>
      <c r="E3157">
        <v>5994</v>
      </c>
      <c r="F3157">
        <v>7802</v>
      </c>
      <c r="G3157">
        <v>10951</v>
      </c>
    </row>
    <row r="3158" spans="1:7">
      <c r="A3158" t="s">
        <v>1876</v>
      </c>
      <c r="B3158" t="s">
        <v>356</v>
      </c>
      <c r="C3158" t="s">
        <v>301</v>
      </c>
      <c r="D3158">
        <v>66</v>
      </c>
      <c r="E3158">
        <v>69</v>
      </c>
      <c r="F3158">
        <v>230</v>
      </c>
      <c r="G3158">
        <v>260</v>
      </c>
    </row>
    <row r="3159" spans="1:7">
      <c r="A3159" t="s">
        <v>1876</v>
      </c>
      <c r="B3159" t="s">
        <v>356</v>
      </c>
      <c r="C3159" t="s">
        <v>302</v>
      </c>
      <c r="D3159">
        <v>32206</v>
      </c>
      <c r="E3159">
        <v>34954</v>
      </c>
      <c r="F3159">
        <v>38268</v>
      </c>
      <c r="G3159">
        <v>41264</v>
      </c>
    </row>
    <row r="3160" spans="1:7">
      <c r="A3160" t="s">
        <v>1876</v>
      </c>
      <c r="B3160" t="s">
        <v>356</v>
      </c>
      <c r="C3160" t="s">
        <v>303</v>
      </c>
      <c r="D3160">
        <v>63834</v>
      </c>
      <c r="E3160">
        <v>74511</v>
      </c>
      <c r="F3160">
        <v>87412</v>
      </c>
      <c r="G3160">
        <v>106317</v>
      </c>
    </row>
    <row r="3161" spans="1:7">
      <c r="A3161" t="s">
        <v>1876</v>
      </c>
      <c r="B3161" t="s">
        <v>356</v>
      </c>
      <c r="C3161" t="s">
        <v>304</v>
      </c>
      <c r="D3161">
        <v>32995</v>
      </c>
      <c r="E3161">
        <v>35847</v>
      </c>
      <c r="F3161">
        <v>39474</v>
      </c>
      <c r="G3161">
        <v>42722</v>
      </c>
    </row>
    <row r="3162" spans="1:7">
      <c r="A3162" t="s">
        <v>1876</v>
      </c>
      <c r="B3162" t="s">
        <v>356</v>
      </c>
      <c r="C3162" t="s">
        <v>1953</v>
      </c>
      <c r="D3162">
        <v>23.1</v>
      </c>
      <c r="E3162">
        <v>22.8</v>
      </c>
      <c r="F3162">
        <v>22</v>
      </c>
      <c r="G3162">
        <v>22.2</v>
      </c>
    </row>
    <row r="3163" spans="1:7">
      <c r="A3163" t="s">
        <v>1876</v>
      </c>
      <c r="B3163" t="s">
        <v>356</v>
      </c>
      <c r="C3163" t="s">
        <v>305</v>
      </c>
      <c r="D3163">
        <v>1677480</v>
      </c>
      <c r="E3163">
        <v>1744075</v>
      </c>
      <c r="F3163">
        <v>1777042</v>
      </c>
      <c r="G3163">
        <v>1811013</v>
      </c>
    </row>
    <row r="3164" spans="1:7">
      <c r="A3164" t="s">
        <v>1876</v>
      </c>
      <c r="B3164" t="s">
        <v>356</v>
      </c>
      <c r="C3164" t="s">
        <v>306</v>
      </c>
      <c r="D3164">
        <v>76.8</v>
      </c>
      <c r="E3164">
        <v>77.8</v>
      </c>
      <c r="F3164">
        <v>77.5</v>
      </c>
      <c r="G3164">
        <v>77.8</v>
      </c>
    </row>
    <row r="3165" spans="1:7">
      <c r="A3165" t="s">
        <v>1876</v>
      </c>
      <c r="B3165" t="s">
        <v>356</v>
      </c>
      <c r="C3165" t="s">
        <v>307</v>
      </c>
      <c r="D3165">
        <v>917223</v>
      </c>
      <c r="E3165">
        <v>930707</v>
      </c>
      <c r="F3165">
        <v>911850</v>
      </c>
      <c r="G3165">
        <v>922680</v>
      </c>
    </row>
    <row r="3166" spans="1:7">
      <c r="A3166" t="s">
        <v>1876</v>
      </c>
      <c r="B3166" t="s">
        <v>356</v>
      </c>
      <c r="C3166" t="s">
        <v>308</v>
      </c>
      <c r="D3166">
        <v>42</v>
      </c>
      <c r="E3166">
        <v>41.5</v>
      </c>
      <c r="F3166">
        <v>39.799999999999997</v>
      </c>
      <c r="G3166">
        <v>39.700000000000003</v>
      </c>
    </row>
    <row r="3167" spans="1:7">
      <c r="A3167" t="s">
        <v>1876</v>
      </c>
      <c r="B3167" t="s">
        <v>356</v>
      </c>
      <c r="C3167" t="s">
        <v>309</v>
      </c>
      <c r="D3167">
        <v>1941384</v>
      </c>
      <c r="E3167">
        <v>2003747</v>
      </c>
      <c r="F3167">
        <v>1970073</v>
      </c>
      <c r="G3167">
        <v>1986272</v>
      </c>
    </row>
    <row r="3168" spans="1:7">
      <c r="A3168" t="s">
        <v>1876</v>
      </c>
      <c r="B3168" t="s">
        <v>356</v>
      </c>
      <c r="C3168" t="s">
        <v>310</v>
      </c>
      <c r="D3168">
        <v>487328</v>
      </c>
      <c r="E3168">
        <v>479896</v>
      </c>
      <c r="F3168">
        <v>446820</v>
      </c>
      <c r="G3168">
        <v>440631</v>
      </c>
    </row>
    <row r="3169" spans="1:7">
      <c r="A3169" t="s">
        <v>1876</v>
      </c>
      <c r="B3169" t="s">
        <v>356</v>
      </c>
      <c r="C3169" t="s">
        <v>311</v>
      </c>
      <c r="D3169">
        <v>22.3</v>
      </c>
      <c r="E3169">
        <v>21.4</v>
      </c>
      <c r="F3169">
        <v>19.5</v>
      </c>
      <c r="G3169">
        <v>18.899999999999999</v>
      </c>
    </row>
    <row r="3170" spans="1:7">
      <c r="A3170" t="s">
        <v>1876</v>
      </c>
      <c r="B3170" t="s">
        <v>356</v>
      </c>
      <c r="C3170" t="s">
        <v>312</v>
      </c>
      <c r="D3170">
        <v>1175149</v>
      </c>
      <c r="E3170">
        <v>1182724</v>
      </c>
      <c r="F3170">
        <v>1171829</v>
      </c>
      <c r="G3170">
        <v>1183284</v>
      </c>
    </row>
    <row r="3171" spans="1:7">
      <c r="A3171" t="s">
        <v>1876</v>
      </c>
      <c r="B3171" t="s">
        <v>356</v>
      </c>
      <c r="C3171" t="s">
        <v>313</v>
      </c>
      <c r="D3171">
        <v>53.8</v>
      </c>
      <c r="E3171">
        <v>52.8</v>
      </c>
      <c r="F3171">
        <v>51.1</v>
      </c>
      <c r="G3171">
        <v>50.9</v>
      </c>
    </row>
    <row r="3172" spans="1:7">
      <c r="A3172" t="s">
        <v>1876</v>
      </c>
      <c r="B3172" t="s">
        <v>356</v>
      </c>
      <c r="C3172" t="s">
        <v>314</v>
      </c>
      <c r="D3172">
        <v>4257181</v>
      </c>
      <c r="E3172">
        <v>4337403</v>
      </c>
      <c r="F3172">
        <v>4307540</v>
      </c>
      <c r="G3172">
        <v>4357609</v>
      </c>
    </row>
    <row r="3173" spans="1:7">
      <c r="A3173" t="s">
        <v>1876</v>
      </c>
      <c r="B3173" t="s">
        <v>356</v>
      </c>
      <c r="C3173" t="s">
        <v>315</v>
      </c>
      <c r="D3173">
        <v>3.63</v>
      </c>
      <c r="E3173">
        <v>3.48</v>
      </c>
      <c r="F3173">
        <v>3.29</v>
      </c>
      <c r="G3173">
        <v>3.22</v>
      </c>
    </row>
    <row r="3174" spans="1:7">
      <c r="A3174" t="s">
        <v>1876</v>
      </c>
      <c r="B3174" t="s">
        <v>356</v>
      </c>
      <c r="C3174" t="s">
        <v>316</v>
      </c>
      <c r="D3174">
        <v>195</v>
      </c>
      <c r="E3174">
        <v>193.5</v>
      </c>
      <c r="F3174">
        <v>187.9</v>
      </c>
      <c r="G3174">
        <v>187.3</v>
      </c>
    </row>
    <row r="3175" spans="1:7">
      <c r="A3175" t="s">
        <v>1876</v>
      </c>
      <c r="B3175" t="s">
        <v>356</v>
      </c>
      <c r="C3175" t="s">
        <v>317</v>
      </c>
      <c r="D3175">
        <v>4257180</v>
      </c>
      <c r="E3175">
        <v>4337403</v>
      </c>
      <c r="F3175">
        <v>4307541</v>
      </c>
      <c r="G3175">
        <v>4357608</v>
      </c>
    </row>
    <row r="3176" spans="1:7">
      <c r="A3176" t="s">
        <v>1876</v>
      </c>
      <c r="B3176" t="s">
        <v>356</v>
      </c>
      <c r="C3176" t="s">
        <v>318</v>
      </c>
      <c r="D3176">
        <v>1677114</v>
      </c>
      <c r="E3176">
        <v>1743708</v>
      </c>
      <c r="F3176">
        <v>1776708</v>
      </c>
      <c r="G3176">
        <v>1810692</v>
      </c>
    </row>
    <row r="3177" spans="1:7">
      <c r="A3177" t="s">
        <v>1876</v>
      </c>
      <c r="B3177" t="s">
        <v>356</v>
      </c>
      <c r="C3177" t="s">
        <v>319</v>
      </c>
      <c r="D3177">
        <v>439319</v>
      </c>
      <c r="E3177">
        <v>457336</v>
      </c>
      <c r="F3177">
        <v>455395</v>
      </c>
      <c r="G3177">
        <v>467448</v>
      </c>
    </row>
    <row r="3178" spans="1:7">
      <c r="A3178" t="s">
        <v>1876</v>
      </c>
      <c r="B3178" t="s">
        <v>356</v>
      </c>
      <c r="C3178" t="s">
        <v>320</v>
      </c>
      <c r="D3178">
        <v>400294</v>
      </c>
      <c r="E3178">
        <v>393712</v>
      </c>
      <c r="F3178">
        <v>363237</v>
      </c>
      <c r="G3178">
        <v>360516</v>
      </c>
    </row>
    <row r="3179" spans="1:7">
      <c r="A3179" t="s">
        <v>1876</v>
      </c>
      <c r="B3179" t="s">
        <v>356</v>
      </c>
      <c r="C3179" t="s">
        <v>321</v>
      </c>
      <c r="D3179">
        <v>511875</v>
      </c>
      <c r="E3179">
        <v>526669</v>
      </c>
      <c r="F3179">
        <v>534447</v>
      </c>
      <c r="G3179">
        <v>548280</v>
      </c>
    </row>
    <row r="3180" spans="1:7">
      <c r="A3180" t="s">
        <v>1876</v>
      </c>
      <c r="B3180" t="s">
        <v>356</v>
      </c>
      <c r="C3180" t="s">
        <v>1954</v>
      </c>
      <c r="D3180">
        <v>3028602</v>
      </c>
      <c r="E3180">
        <v>3121424</v>
      </c>
      <c r="F3180">
        <v>3129788</v>
      </c>
      <c r="G3180">
        <v>3186936</v>
      </c>
    </row>
    <row r="3181" spans="1:7">
      <c r="A3181" t="s">
        <v>1876</v>
      </c>
      <c r="B3181" t="s">
        <v>356</v>
      </c>
      <c r="C3181" t="s">
        <v>323</v>
      </c>
      <c r="D3181">
        <v>21837</v>
      </c>
      <c r="E3181">
        <v>22414</v>
      </c>
      <c r="F3181">
        <v>22929</v>
      </c>
      <c r="G3181">
        <v>23266</v>
      </c>
    </row>
    <row r="3182" spans="1:7">
      <c r="A3182" t="s">
        <v>1876</v>
      </c>
      <c r="B3182" t="s">
        <v>356</v>
      </c>
      <c r="C3182" t="s">
        <v>324</v>
      </c>
      <c r="D3182">
        <v>0</v>
      </c>
      <c r="E3182">
        <v>0</v>
      </c>
      <c r="F3182">
        <v>0</v>
      </c>
      <c r="G3182">
        <v>0</v>
      </c>
    </row>
    <row r="3183" spans="1:7">
      <c r="A3183" t="s">
        <v>1876</v>
      </c>
      <c r="B3183" t="s">
        <v>356</v>
      </c>
      <c r="C3183" t="s">
        <v>325</v>
      </c>
      <c r="D3183">
        <v>0</v>
      </c>
      <c r="E3183">
        <v>0</v>
      </c>
      <c r="F3183">
        <v>0</v>
      </c>
      <c r="G3183">
        <v>0</v>
      </c>
    </row>
    <row r="3184" spans="1:7">
      <c r="A3184" t="s">
        <v>1876</v>
      </c>
      <c r="B3184" t="s">
        <v>356</v>
      </c>
      <c r="C3184" t="s">
        <v>326</v>
      </c>
      <c r="D3184">
        <v>45</v>
      </c>
      <c r="E3184">
        <v>42</v>
      </c>
      <c r="F3184">
        <v>41</v>
      </c>
      <c r="G3184">
        <v>52</v>
      </c>
    </row>
    <row r="3185" spans="1:7">
      <c r="A3185" t="s">
        <v>1876</v>
      </c>
      <c r="B3185" t="s">
        <v>356</v>
      </c>
      <c r="C3185" t="s">
        <v>327</v>
      </c>
      <c r="D3185">
        <v>8052</v>
      </c>
      <c r="E3185">
        <v>7909</v>
      </c>
      <c r="F3185">
        <v>4056</v>
      </c>
      <c r="G3185">
        <v>4033</v>
      </c>
    </row>
    <row r="3186" spans="1:7">
      <c r="A3186" t="s">
        <v>1876</v>
      </c>
      <c r="B3186" t="s">
        <v>356</v>
      </c>
      <c r="C3186" t="s">
        <v>1723</v>
      </c>
      <c r="D3186">
        <v>447</v>
      </c>
      <c r="E3186">
        <v>438</v>
      </c>
      <c r="F3186">
        <v>370</v>
      </c>
      <c r="G3186">
        <v>370</v>
      </c>
    </row>
    <row r="3187" spans="1:7">
      <c r="A3187" t="s">
        <v>1876</v>
      </c>
      <c r="B3187" t="s">
        <v>356</v>
      </c>
      <c r="C3187" t="s">
        <v>328</v>
      </c>
      <c r="D3187">
        <v>72629</v>
      </c>
      <c r="E3187">
        <v>72418</v>
      </c>
      <c r="F3187">
        <v>42378</v>
      </c>
      <c r="G3187">
        <v>44273</v>
      </c>
    </row>
    <row r="3188" spans="1:7">
      <c r="A3188" t="s">
        <v>1876</v>
      </c>
      <c r="B3188" t="s">
        <v>356</v>
      </c>
      <c r="C3188" t="s">
        <v>329</v>
      </c>
      <c r="D3188">
        <v>232</v>
      </c>
      <c r="E3188">
        <v>276</v>
      </c>
      <c r="F3188">
        <v>230</v>
      </c>
      <c r="G3188">
        <v>271</v>
      </c>
    </row>
    <row r="3189" spans="1:7">
      <c r="A3189" t="s">
        <v>1876</v>
      </c>
      <c r="B3189" t="s">
        <v>356</v>
      </c>
      <c r="C3189" t="s">
        <v>330</v>
      </c>
      <c r="D3189">
        <v>80959</v>
      </c>
      <c r="E3189">
        <v>80645</v>
      </c>
      <c r="F3189">
        <v>46705</v>
      </c>
      <c r="G3189">
        <v>48630</v>
      </c>
    </row>
    <row r="3190" spans="1:7">
      <c r="A3190" t="s">
        <v>1876</v>
      </c>
      <c r="B3190" t="s">
        <v>356</v>
      </c>
      <c r="C3190" t="s">
        <v>331</v>
      </c>
      <c r="D3190">
        <v>2892</v>
      </c>
      <c r="E3190">
        <v>9256</v>
      </c>
      <c r="F3190">
        <v>9231</v>
      </c>
      <c r="G3190">
        <v>8631</v>
      </c>
    </row>
    <row r="3191" spans="1:7">
      <c r="A3191" t="s">
        <v>1876</v>
      </c>
      <c r="B3191" t="s">
        <v>356</v>
      </c>
      <c r="C3191" t="s">
        <v>332</v>
      </c>
      <c r="D3191">
        <v>36867</v>
      </c>
      <c r="E3191">
        <v>28790</v>
      </c>
      <c r="F3191">
        <v>26477</v>
      </c>
      <c r="G3191">
        <v>24739</v>
      </c>
    </row>
    <row r="3192" spans="1:7">
      <c r="A3192" t="s">
        <v>1876</v>
      </c>
      <c r="B3192" t="s">
        <v>356</v>
      </c>
      <c r="C3192" t="s">
        <v>1724</v>
      </c>
      <c r="D3192">
        <v>706</v>
      </c>
      <c r="E3192">
        <v>703</v>
      </c>
      <c r="F3192">
        <v>631</v>
      </c>
      <c r="G3192">
        <v>622</v>
      </c>
    </row>
    <row r="3193" spans="1:7">
      <c r="A3193" t="s">
        <v>1876</v>
      </c>
      <c r="B3193" t="s">
        <v>356</v>
      </c>
      <c r="C3193" t="s">
        <v>333</v>
      </c>
      <c r="D3193">
        <v>20401</v>
      </c>
      <c r="E3193">
        <v>20044</v>
      </c>
      <c r="F3193">
        <v>20455</v>
      </c>
      <c r="G3193">
        <v>20099</v>
      </c>
    </row>
    <row r="3194" spans="1:7">
      <c r="A3194" t="s">
        <v>1876</v>
      </c>
      <c r="B3194" t="s">
        <v>356</v>
      </c>
      <c r="C3194" t="s">
        <v>334</v>
      </c>
      <c r="D3194">
        <v>60161</v>
      </c>
      <c r="E3194">
        <v>58089</v>
      </c>
      <c r="F3194">
        <v>56163</v>
      </c>
      <c r="G3194">
        <v>53469</v>
      </c>
    </row>
    <row r="3195" spans="1:7">
      <c r="A3195" t="s">
        <v>1876</v>
      </c>
      <c r="B3195" t="s">
        <v>356</v>
      </c>
      <c r="C3195" t="s">
        <v>335</v>
      </c>
      <c r="D3195">
        <v>2937</v>
      </c>
      <c r="E3195">
        <v>9298</v>
      </c>
      <c r="F3195">
        <v>9272</v>
      </c>
      <c r="G3195">
        <v>8683</v>
      </c>
    </row>
    <row r="3196" spans="1:7">
      <c r="A3196" t="s">
        <v>1876</v>
      </c>
      <c r="B3196" t="s">
        <v>356</v>
      </c>
      <c r="C3196" t="s">
        <v>336</v>
      </c>
      <c r="D3196">
        <v>44919</v>
      </c>
      <c r="E3196">
        <v>36699</v>
      </c>
      <c r="F3196">
        <v>30533</v>
      </c>
      <c r="G3196">
        <v>28772</v>
      </c>
    </row>
    <row r="3197" spans="1:7">
      <c r="A3197" t="s">
        <v>1876</v>
      </c>
      <c r="B3197" t="s">
        <v>356</v>
      </c>
      <c r="C3197" t="s">
        <v>337</v>
      </c>
      <c r="D3197">
        <v>93031</v>
      </c>
      <c r="E3197">
        <v>92462</v>
      </c>
      <c r="F3197">
        <v>62833</v>
      </c>
      <c r="G3197">
        <v>64373</v>
      </c>
    </row>
    <row r="3198" spans="1:7">
      <c r="A3198" t="s">
        <v>1876</v>
      </c>
      <c r="B3198" t="s">
        <v>356</v>
      </c>
      <c r="C3198" t="s">
        <v>338</v>
      </c>
      <c r="D3198">
        <v>141119</v>
      </c>
      <c r="E3198">
        <v>138734</v>
      </c>
      <c r="F3198">
        <v>102868</v>
      </c>
      <c r="G3198">
        <v>102098</v>
      </c>
    </row>
    <row r="3199" spans="1:7">
      <c r="A3199" t="s">
        <v>1876</v>
      </c>
      <c r="B3199" t="s">
        <v>356</v>
      </c>
      <c r="C3199" t="s">
        <v>339</v>
      </c>
      <c r="D3199">
        <v>96200</v>
      </c>
      <c r="E3199">
        <v>102035</v>
      </c>
      <c r="F3199">
        <v>72335</v>
      </c>
      <c r="G3199">
        <v>73327</v>
      </c>
    </row>
    <row r="3200" spans="1:7">
      <c r="A3200" t="s">
        <v>1876</v>
      </c>
      <c r="B3200" t="s">
        <v>356</v>
      </c>
      <c r="C3200" t="s">
        <v>340</v>
      </c>
      <c r="D3200">
        <v>181</v>
      </c>
      <c r="E3200">
        <v>306</v>
      </c>
      <c r="F3200">
        <v>212</v>
      </c>
      <c r="G3200">
        <v>261</v>
      </c>
    </row>
    <row r="3201" spans="1:7">
      <c r="A3201" t="s">
        <v>1876</v>
      </c>
      <c r="B3201" t="s">
        <v>356</v>
      </c>
      <c r="C3201" t="s">
        <v>1955</v>
      </c>
      <c r="D3201">
        <v>0</v>
      </c>
      <c r="E3201">
        <v>0</v>
      </c>
      <c r="F3201">
        <v>0</v>
      </c>
      <c r="G3201">
        <v>0</v>
      </c>
    </row>
    <row r="3202" spans="1:7">
      <c r="A3202" t="s">
        <v>1876</v>
      </c>
      <c r="B3202" t="s">
        <v>356</v>
      </c>
      <c r="C3202" t="s">
        <v>341</v>
      </c>
      <c r="D3202">
        <v>0</v>
      </c>
      <c r="E3202">
        <v>0</v>
      </c>
      <c r="F3202">
        <v>0</v>
      </c>
      <c r="G3202">
        <v>0</v>
      </c>
    </row>
    <row r="3203" spans="1:7">
      <c r="A3203" t="s">
        <v>1876</v>
      </c>
      <c r="B3203" t="s">
        <v>356</v>
      </c>
      <c r="C3203" t="s">
        <v>342</v>
      </c>
      <c r="D3203">
        <v>0</v>
      </c>
      <c r="E3203">
        <v>0</v>
      </c>
      <c r="F3203">
        <v>0</v>
      </c>
      <c r="G3203">
        <v>0</v>
      </c>
    </row>
    <row r="3204" spans="1:7">
      <c r="A3204" t="s">
        <v>1876</v>
      </c>
      <c r="B3204" t="s">
        <v>356</v>
      </c>
      <c r="C3204" t="s">
        <v>1725</v>
      </c>
      <c r="D3204">
        <v>0</v>
      </c>
      <c r="E3204">
        <v>0</v>
      </c>
      <c r="F3204">
        <v>0</v>
      </c>
      <c r="G3204">
        <v>0</v>
      </c>
    </row>
    <row r="3205" spans="1:7">
      <c r="A3205" t="s">
        <v>1876</v>
      </c>
      <c r="B3205" t="s">
        <v>356</v>
      </c>
      <c r="C3205" t="s">
        <v>343</v>
      </c>
      <c r="D3205">
        <v>0</v>
      </c>
      <c r="E3205">
        <v>0</v>
      </c>
      <c r="F3205">
        <v>0</v>
      </c>
      <c r="G3205">
        <v>0</v>
      </c>
    </row>
    <row r="3206" spans="1:7">
      <c r="A3206" t="s">
        <v>1876</v>
      </c>
      <c r="B3206" t="s">
        <v>356</v>
      </c>
      <c r="C3206" t="s">
        <v>344</v>
      </c>
      <c r="D3206">
        <v>0</v>
      </c>
      <c r="E3206">
        <v>0</v>
      </c>
      <c r="F3206">
        <v>0</v>
      </c>
      <c r="G3206">
        <v>0</v>
      </c>
    </row>
    <row r="3207" spans="1:7">
      <c r="A3207" t="s">
        <v>1876</v>
      </c>
      <c r="B3207" t="s">
        <v>356</v>
      </c>
      <c r="C3207" t="s">
        <v>345</v>
      </c>
      <c r="D3207">
        <v>0</v>
      </c>
      <c r="E3207">
        <v>0</v>
      </c>
      <c r="F3207">
        <v>0</v>
      </c>
      <c r="G3207">
        <v>0</v>
      </c>
    </row>
    <row r="3208" spans="1:7">
      <c r="A3208" t="s">
        <v>1876</v>
      </c>
      <c r="B3208" t="s">
        <v>356</v>
      </c>
      <c r="C3208" t="s">
        <v>1956</v>
      </c>
      <c r="D3208">
        <v>36867</v>
      </c>
      <c r="E3208">
        <v>28790</v>
      </c>
      <c r="F3208">
        <v>26477</v>
      </c>
      <c r="G3208">
        <v>24739</v>
      </c>
    </row>
    <row r="3209" spans="1:7">
      <c r="A3209" t="s">
        <v>1876</v>
      </c>
      <c r="B3209" t="s">
        <v>356</v>
      </c>
      <c r="C3209" t="s">
        <v>1957</v>
      </c>
      <c r="D3209">
        <v>60161</v>
      </c>
      <c r="E3209">
        <v>58089</v>
      </c>
      <c r="F3209">
        <v>56163</v>
      </c>
      <c r="G3209">
        <v>53469</v>
      </c>
    </row>
    <row r="3210" spans="1:7">
      <c r="A3210" t="s">
        <v>1876</v>
      </c>
      <c r="B3210" t="s">
        <v>356</v>
      </c>
      <c r="C3210" t="s">
        <v>346</v>
      </c>
      <c r="D3210">
        <v>3758</v>
      </c>
      <c r="E3210">
        <v>3903</v>
      </c>
      <c r="F3210">
        <v>4031</v>
      </c>
      <c r="G3210">
        <v>4006</v>
      </c>
    </row>
    <row r="3211" spans="1:7">
      <c r="A3211" t="s">
        <v>1876</v>
      </c>
      <c r="B3211" t="s">
        <v>356</v>
      </c>
      <c r="C3211" t="s">
        <v>347</v>
      </c>
      <c r="D3211">
        <v>505</v>
      </c>
      <c r="E3211">
        <v>526</v>
      </c>
      <c r="F3211">
        <v>429</v>
      </c>
      <c r="G3211">
        <v>552</v>
      </c>
    </row>
    <row r="3212" spans="1:7">
      <c r="A3212" t="s">
        <v>1876</v>
      </c>
      <c r="B3212" t="s">
        <v>357</v>
      </c>
      <c r="C3212" t="s">
        <v>133</v>
      </c>
      <c r="D3212">
        <v>0</v>
      </c>
      <c r="E3212">
        <v>0</v>
      </c>
      <c r="F3212">
        <v>0</v>
      </c>
      <c r="G3212">
        <v>0</v>
      </c>
    </row>
    <row r="3213" spans="1:7">
      <c r="A3213" t="s">
        <v>1876</v>
      </c>
      <c r="B3213" t="s">
        <v>357</v>
      </c>
      <c r="C3213" t="s">
        <v>134</v>
      </c>
      <c r="D3213">
        <v>26682</v>
      </c>
      <c r="E3213">
        <v>26482</v>
      </c>
      <c r="F3213">
        <v>32533</v>
      </c>
      <c r="G3213">
        <v>28910</v>
      </c>
    </row>
    <row r="3214" spans="1:7">
      <c r="A3214" t="s">
        <v>1876</v>
      </c>
      <c r="B3214" t="s">
        <v>357</v>
      </c>
      <c r="C3214" t="s">
        <v>135</v>
      </c>
      <c r="D3214">
        <v>26682</v>
      </c>
      <c r="E3214">
        <v>26482</v>
      </c>
      <c r="F3214">
        <v>32533</v>
      </c>
      <c r="G3214">
        <v>28910</v>
      </c>
    </row>
    <row r="3215" spans="1:7">
      <c r="A3215" t="s">
        <v>1876</v>
      </c>
      <c r="B3215" t="s">
        <v>357</v>
      </c>
      <c r="C3215" t="s">
        <v>136</v>
      </c>
      <c r="D3215">
        <v>26682</v>
      </c>
      <c r="E3215">
        <v>26482</v>
      </c>
      <c r="F3215">
        <v>32533</v>
      </c>
      <c r="G3215">
        <v>28910</v>
      </c>
    </row>
    <row r="3216" spans="1:7">
      <c r="A3216" t="s">
        <v>1876</v>
      </c>
      <c r="B3216" t="s">
        <v>357</v>
      </c>
      <c r="C3216" t="s">
        <v>137</v>
      </c>
      <c r="D3216">
        <v>717</v>
      </c>
      <c r="E3216">
        <v>742</v>
      </c>
      <c r="F3216">
        <v>704</v>
      </c>
      <c r="G3216">
        <v>757</v>
      </c>
    </row>
    <row r="3217" spans="1:7">
      <c r="A3217" t="s">
        <v>1876</v>
      </c>
      <c r="B3217" t="s">
        <v>357</v>
      </c>
      <c r="C3217" t="s">
        <v>138</v>
      </c>
      <c r="D3217">
        <v>717</v>
      </c>
      <c r="E3217">
        <v>742</v>
      </c>
      <c r="F3217">
        <v>704</v>
      </c>
      <c r="G3217">
        <v>757</v>
      </c>
    </row>
    <row r="3218" spans="1:7">
      <c r="A3218" t="s">
        <v>1876</v>
      </c>
      <c r="B3218" t="s">
        <v>357</v>
      </c>
      <c r="C3218" t="s">
        <v>139</v>
      </c>
      <c r="D3218">
        <v>717</v>
      </c>
      <c r="E3218">
        <v>742</v>
      </c>
      <c r="F3218">
        <v>704</v>
      </c>
      <c r="G3218">
        <v>757</v>
      </c>
    </row>
    <row r="3219" spans="1:7">
      <c r="A3219" t="s">
        <v>1876</v>
      </c>
      <c r="B3219" t="s">
        <v>357</v>
      </c>
      <c r="C3219" t="s">
        <v>1877</v>
      </c>
      <c r="D3219">
        <v>0</v>
      </c>
      <c r="E3219">
        <v>0</v>
      </c>
      <c r="F3219">
        <v>0</v>
      </c>
      <c r="G3219">
        <v>0</v>
      </c>
    </row>
    <row r="3220" spans="1:7">
      <c r="A3220" t="s">
        <v>1876</v>
      </c>
      <c r="B3220" t="s">
        <v>357</v>
      </c>
      <c r="C3220" t="s">
        <v>1700</v>
      </c>
      <c r="D3220">
        <v>0</v>
      </c>
      <c r="E3220">
        <v>0</v>
      </c>
      <c r="F3220">
        <v>0</v>
      </c>
      <c r="G3220">
        <v>0</v>
      </c>
    </row>
    <row r="3221" spans="1:7">
      <c r="A3221" t="s">
        <v>1876</v>
      </c>
      <c r="B3221" t="s">
        <v>357</v>
      </c>
      <c r="C3221" t="s">
        <v>1878</v>
      </c>
      <c r="D3221">
        <v>0</v>
      </c>
      <c r="E3221">
        <v>0</v>
      </c>
      <c r="F3221">
        <v>0</v>
      </c>
      <c r="G3221">
        <v>0</v>
      </c>
    </row>
    <row r="3222" spans="1:7">
      <c r="A3222" t="s">
        <v>1876</v>
      </c>
      <c r="B3222" t="s">
        <v>357</v>
      </c>
      <c r="C3222" t="s">
        <v>1879</v>
      </c>
      <c r="D3222">
        <v>0</v>
      </c>
      <c r="E3222">
        <v>0</v>
      </c>
      <c r="F3222">
        <v>0</v>
      </c>
      <c r="G3222">
        <v>0</v>
      </c>
    </row>
    <row r="3223" spans="1:7">
      <c r="A3223" t="s">
        <v>1876</v>
      </c>
      <c r="B3223" t="s">
        <v>357</v>
      </c>
      <c r="C3223" t="s">
        <v>1701</v>
      </c>
      <c r="D3223">
        <v>0</v>
      </c>
      <c r="E3223">
        <v>0</v>
      </c>
      <c r="F3223">
        <v>0</v>
      </c>
      <c r="G3223">
        <v>0</v>
      </c>
    </row>
    <row r="3224" spans="1:7">
      <c r="A3224" t="s">
        <v>1876</v>
      </c>
      <c r="B3224" t="s">
        <v>357</v>
      </c>
      <c r="C3224" t="s">
        <v>1880</v>
      </c>
      <c r="D3224">
        <v>2008</v>
      </c>
      <c r="E3224">
        <v>1739</v>
      </c>
      <c r="F3224">
        <v>2347</v>
      </c>
      <c r="G3224">
        <v>2182</v>
      </c>
    </row>
    <row r="3225" spans="1:7">
      <c r="A3225" t="s">
        <v>1876</v>
      </c>
      <c r="B3225" t="s">
        <v>357</v>
      </c>
      <c r="C3225" t="s">
        <v>140</v>
      </c>
      <c r="D3225">
        <v>4717</v>
      </c>
      <c r="E3225">
        <v>4204</v>
      </c>
      <c r="F3225">
        <v>6331</v>
      </c>
      <c r="G3225">
        <v>6219</v>
      </c>
    </row>
    <row r="3226" spans="1:7">
      <c r="A3226" t="s">
        <v>1876</v>
      </c>
      <c r="B3226" t="s">
        <v>357</v>
      </c>
      <c r="C3226" t="s">
        <v>1881</v>
      </c>
      <c r="D3226">
        <v>2710</v>
      </c>
      <c r="E3226">
        <v>2465</v>
      </c>
      <c r="F3226">
        <v>3984</v>
      </c>
      <c r="G3226">
        <v>4037</v>
      </c>
    </row>
    <row r="3227" spans="1:7">
      <c r="A3227" t="s">
        <v>1876</v>
      </c>
      <c r="B3227" t="s">
        <v>357</v>
      </c>
      <c r="C3227" t="s">
        <v>1882</v>
      </c>
      <c r="D3227">
        <v>0</v>
      </c>
      <c r="E3227">
        <v>0</v>
      </c>
      <c r="F3227">
        <v>0</v>
      </c>
      <c r="G3227">
        <v>0</v>
      </c>
    </row>
    <row r="3228" spans="1:7">
      <c r="A3228" t="s">
        <v>1876</v>
      </c>
      <c r="B3228" t="s">
        <v>357</v>
      </c>
      <c r="C3228" t="s">
        <v>1883</v>
      </c>
      <c r="D3228">
        <v>0</v>
      </c>
      <c r="E3228">
        <v>0</v>
      </c>
      <c r="F3228">
        <v>0</v>
      </c>
      <c r="G3228">
        <v>0</v>
      </c>
    </row>
    <row r="3229" spans="1:7">
      <c r="A3229" t="s">
        <v>1876</v>
      </c>
      <c r="B3229" t="s">
        <v>357</v>
      </c>
      <c r="C3229" t="s">
        <v>1884</v>
      </c>
      <c r="D3229">
        <v>0</v>
      </c>
      <c r="E3229">
        <v>0</v>
      </c>
      <c r="F3229">
        <v>0</v>
      </c>
      <c r="G3229">
        <v>0</v>
      </c>
    </row>
    <row r="3230" spans="1:7">
      <c r="A3230" t="s">
        <v>1876</v>
      </c>
      <c r="B3230" t="s">
        <v>357</v>
      </c>
      <c r="C3230" t="s">
        <v>1885</v>
      </c>
      <c r="D3230">
        <v>8</v>
      </c>
      <c r="E3230">
        <v>7</v>
      </c>
      <c r="F3230">
        <v>4</v>
      </c>
      <c r="G3230">
        <v>8</v>
      </c>
    </row>
    <row r="3231" spans="1:7">
      <c r="A3231" t="s">
        <v>1876</v>
      </c>
      <c r="B3231" t="s">
        <v>357</v>
      </c>
      <c r="C3231" t="s">
        <v>1886</v>
      </c>
      <c r="D3231">
        <v>8</v>
      </c>
      <c r="E3231">
        <v>7</v>
      </c>
      <c r="F3231">
        <v>4</v>
      </c>
      <c r="G3231">
        <v>8</v>
      </c>
    </row>
    <row r="3232" spans="1:7">
      <c r="A3232" t="s">
        <v>1876</v>
      </c>
      <c r="B3232" t="s">
        <v>357</v>
      </c>
      <c r="C3232" t="s">
        <v>141</v>
      </c>
      <c r="D3232">
        <v>26</v>
      </c>
      <c r="E3232">
        <v>6</v>
      </c>
      <c r="F3232">
        <v>0</v>
      </c>
      <c r="G3232">
        <v>0</v>
      </c>
    </row>
    <row r="3233" spans="1:7">
      <c r="A3233" t="s">
        <v>1876</v>
      </c>
      <c r="B3233" t="s">
        <v>357</v>
      </c>
      <c r="C3233" t="s">
        <v>1887</v>
      </c>
      <c r="D3233">
        <v>0</v>
      </c>
      <c r="E3233">
        <v>0</v>
      </c>
      <c r="F3233">
        <v>0</v>
      </c>
      <c r="G3233">
        <v>0</v>
      </c>
    </row>
    <row r="3234" spans="1:7">
      <c r="A3234" t="s">
        <v>1876</v>
      </c>
      <c r="B3234" t="s">
        <v>357</v>
      </c>
      <c r="C3234" t="s">
        <v>1888</v>
      </c>
      <c r="D3234">
        <v>0</v>
      </c>
      <c r="E3234">
        <v>0</v>
      </c>
      <c r="F3234">
        <v>0</v>
      </c>
      <c r="G3234">
        <v>0</v>
      </c>
    </row>
    <row r="3235" spans="1:7">
      <c r="A3235" t="s">
        <v>1876</v>
      </c>
      <c r="B3235" t="s">
        <v>357</v>
      </c>
      <c r="C3235" t="s">
        <v>1889</v>
      </c>
      <c r="D3235">
        <v>2008</v>
      </c>
      <c r="E3235">
        <v>1739</v>
      </c>
      <c r="F3235">
        <v>2347</v>
      </c>
      <c r="G3235">
        <v>2182</v>
      </c>
    </row>
    <row r="3236" spans="1:7">
      <c r="A3236" t="s">
        <v>1876</v>
      </c>
      <c r="B3236" t="s">
        <v>357</v>
      </c>
      <c r="C3236" t="s">
        <v>1890</v>
      </c>
      <c r="D3236">
        <v>0</v>
      </c>
      <c r="E3236">
        <v>0</v>
      </c>
      <c r="F3236">
        <v>0</v>
      </c>
      <c r="G3236">
        <v>0</v>
      </c>
    </row>
    <row r="3237" spans="1:7">
      <c r="A3237" t="s">
        <v>1876</v>
      </c>
      <c r="B3237" t="s">
        <v>357</v>
      </c>
      <c r="C3237" t="s">
        <v>1891</v>
      </c>
    </row>
    <row r="3238" spans="1:7">
      <c r="A3238" t="s">
        <v>1876</v>
      </c>
      <c r="B3238" t="s">
        <v>357</v>
      </c>
      <c r="C3238" t="s">
        <v>1892</v>
      </c>
      <c r="D3238">
        <v>2718</v>
      </c>
      <c r="E3238">
        <v>2472</v>
      </c>
      <c r="F3238">
        <v>3988</v>
      </c>
      <c r="G3238">
        <v>4046</v>
      </c>
    </row>
    <row r="3239" spans="1:7">
      <c r="A3239" t="s">
        <v>1876</v>
      </c>
      <c r="B3239" t="s">
        <v>357</v>
      </c>
      <c r="C3239" t="s">
        <v>142</v>
      </c>
      <c r="D3239">
        <v>4726</v>
      </c>
      <c r="E3239">
        <v>4211</v>
      </c>
      <c r="F3239">
        <v>6335</v>
      </c>
      <c r="G3239">
        <v>6227</v>
      </c>
    </row>
    <row r="3240" spans="1:7">
      <c r="A3240" t="s">
        <v>1876</v>
      </c>
      <c r="B3240" t="s">
        <v>357</v>
      </c>
      <c r="C3240" t="s">
        <v>1893</v>
      </c>
      <c r="D3240">
        <v>4717</v>
      </c>
      <c r="E3240">
        <v>4204</v>
      </c>
      <c r="F3240">
        <v>6331</v>
      </c>
      <c r="G3240">
        <v>6219</v>
      </c>
    </row>
    <row r="3241" spans="1:7">
      <c r="A3241" t="s">
        <v>1876</v>
      </c>
      <c r="B3241" t="s">
        <v>357</v>
      </c>
      <c r="C3241" t="s">
        <v>1894</v>
      </c>
      <c r="D3241">
        <v>2710</v>
      </c>
      <c r="E3241">
        <v>2465</v>
      </c>
      <c r="F3241">
        <v>3984</v>
      </c>
      <c r="G3241">
        <v>4037</v>
      </c>
    </row>
    <row r="3242" spans="1:7">
      <c r="A3242" t="s">
        <v>1876</v>
      </c>
      <c r="B3242" t="s">
        <v>357</v>
      </c>
      <c r="C3242" t="s">
        <v>143</v>
      </c>
      <c r="D3242">
        <v>26</v>
      </c>
      <c r="E3242">
        <v>6</v>
      </c>
      <c r="F3242">
        <v>0</v>
      </c>
      <c r="G3242">
        <v>0</v>
      </c>
    </row>
    <row r="3243" spans="1:7">
      <c r="A3243" t="s">
        <v>1876</v>
      </c>
      <c r="B3243" t="s">
        <v>357</v>
      </c>
      <c r="C3243" t="s">
        <v>144</v>
      </c>
      <c r="D3243">
        <v>43602</v>
      </c>
      <c r="E3243">
        <v>42456</v>
      </c>
      <c r="F3243">
        <v>48346</v>
      </c>
      <c r="G3243">
        <v>47015</v>
      </c>
    </row>
    <row r="3244" spans="1:7">
      <c r="A3244" t="s">
        <v>1876</v>
      </c>
      <c r="B3244" t="s">
        <v>357</v>
      </c>
      <c r="C3244" t="s">
        <v>1895</v>
      </c>
      <c r="D3244">
        <v>70.099999999999994</v>
      </c>
      <c r="E3244">
        <v>66.3</v>
      </c>
      <c r="F3244">
        <v>58.7</v>
      </c>
      <c r="G3244">
        <v>63.5</v>
      </c>
    </row>
    <row r="3245" spans="1:7">
      <c r="A3245" t="s">
        <v>1876</v>
      </c>
      <c r="B3245" t="s">
        <v>357</v>
      </c>
      <c r="C3245" t="s">
        <v>145</v>
      </c>
      <c r="D3245">
        <v>258089</v>
      </c>
      <c r="E3245">
        <v>264421</v>
      </c>
      <c r="F3245">
        <v>261815</v>
      </c>
      <c r="G3245">
        <v>254151</v>
      </c>
    </row>
    <row r="3246" spans="1:7">
      <c r="A3246" t="s">
        <v>1876</v>
      </c>
      <c r="B3246" t="s">
        <v>357</v>
      </c>
      <c r="C3246" t="s">
        <v>146</v>
      </c>
      <c r="D3246">
        <v>0</v>
      </c>
      <c r="E3246">
        <v>0</v>
      </c>
      <c r="F3246">
        <v>0</v>
      </c>
      <c r="G3246">
        <v>0</v>
      </c>
    </row>
    <row r="3247" spans="1:7">
      <c r="A3247" t="s">
        <v>1876</v>
      </c>
      <c r="B3247" t="s">
        <v>357</v>
      </c>
      <c r="C3247" t="s">
        <v>147</v>
      </c>
      <c r="D3247">
        <v>0</v>
      </c>
      <c r="E3247">
        <v>0</v>
      </c>
      <c r="F3247">
        <v>0</v>
      </c>
      <c r="G3247">
        <v>0</v>
      </c>
    </row>
    <row r="3248" spans="1:7">
      <c r="A3248" t="s">
        <v>1876</v>
      </c>
      <c r="B3248" t="s">
        <v>357</v>
      </c>
      <c r="C3248" t="s">
        <v>1896</v>
      </c>
      <c r="D3248">
        <v>3.6</v>
      </c>
      <c r="E3248">
        <v>6</v>
      </c>
      <c r="F3248">
        <v>7.1</v>
      </c>
      <c r="G3248">
        <v>7.9</v>
      </c>
    </row>
    <row r="3249" spans="1:7">
      <c r="A3249" t="s">
        <v>1876</v>
      </c>
      <c r="B3249" t="s">
        <v>357</v>
      </c>
      <c r="C3249" t="s">
        <v>1702</v>
      </c>
      <c r="D3249">
        <v>42</v>
      </c>
      <c r="E3249">
        <v>81</v>
      </c>
      <c r="F3249">
        <v>81</v>
      </c>
      <c r="G3249">
        <v>146</v>
      </c>
    </row>
    <row r="3250" spans="1:7">
      <c r="A3250" t="s">
        <v>1876</v>
      </c>
      <c r="B3250" t="s">
        <v>357</v>
      </c>
      <c r="C3250" t="s">
        <v>1897</v>
      </c>
      <c r="D3250">
        <v>32.9</v>
      </c>
      <c r="E3250">
        <v>50.4</v>
      </c>
      <c r="F3250">
        <v>88.4</v>
      </c>
      <c r="G3250">
        <v>115.9</v>
      </c>
    </row>
    <row r="3251" spans="1:7">
      <c r="A3251" t="s">
        <v>1876</v>
      </c>
      <c r="B3251" t="s">
        <v>357</v>
      </c>
      <c r="C3251" t="s">
        <v>1898</v>
      </c>
      <c r="D3251">
        <v>50</v>
      </c>
      <c r="E3251">
        <v>81</v>
      </c>
      <c r="F3251">
        <v>239</v>
      </c>
      <c r="G3251">
        <v>342</v>
      </c>
    </row>
    <row r="3252" spans="1:7">
      <c r="A3252" t="s">
        <v>1876</v>
      </c>
      <c r="B3252" t="s">
        <v>357</v>
      </c>
      <c r="C3252" t="s">
        <v>1899</v>
      </c>
      <c r="D3252">
        <v>2718</v>
      </c>
      <c r="E3252">
        <v>2472</v>
      </c>
      <c r="F3252">
        <v>3988</v>
      </c>
      <c r="G3252">
        <v>4046</v>
      </c>
    </row>
    <row r="3253" spans="1:7">
      <c r="A3253" t="s">
        <v>1876</v>
      </c>
      <c r="B3253" t="s">
        <v>357</v>
      </c>
      <c r="C3253" t="s">
        <v>148</v>
      </c>
      <c r="D3253">
        <v>0</v>
      </c>
      <c r="E3253">
        <v>0</v>
      </c>
      <c r="F3253">
        <v>0</v>
      </c>
      <c r="G3253">
        <v>0</v>
      </c>
    </row>
    <row r="3254" spans="1:7">
      <c r="A3254" t="s">
        <v>1876</v>
      </c>
      <c r="B3254" t="s">
        <v>357</v>
      </c>
      <c r="C3254" t="s">
        <v>149</v>
      </c>
      <c r="D3254">
        <v>0</v>
      </c>
      <c r="E3254">
        <v>0</v>
      </c>
      <c r="F3254">
        <v>0</v>
      </c>
      <c r="G3254">
        <v>0</v>
      </c>
    </row>
    <row r="3255" spans="1:7">
      <c r="A3255" t="s">
        <v>1876</v>
      </c>
      <c r="B3255" t="s">
        <v>357</v>
      </c>
      <c r="C3255" t="s">
        <v>150</v>
      </c>
      <c r="D3255">
        <v>0</v>
      </c>
      <c r="E3255">
        <v>0</v>
      </c>
      <c r="F3255">
        <v>0</v>
      </c>
      <c r="G3255">
        <v>0</v>
      </c>
    </row>
    <row r="3256" spans="1:7">
      <c r="A3256" t="s">
        <v>1876</v>
      </c>
      <c r="B3256" t="s">
        <v>357</v>
      </c>
      <c r="C3256" t="s">
        <v>1900</v>
      </c>
      <c r="D3256">
        <v>25.9</v>
      </c>
      <c r="E3256">
        <v>27.5</v>
      </c>
      <c r="F3256">
        <v>33.1</v>
      </c>
      <c r="G3256">
        <v>35</v>
      </c>
    </row>
    <row r="3257" spans="1:7">
      <c r="A3257" t="s">
        <v>1876</v>
      </c>
      <c r="B3257" t="s">
        <v>357</v>
      </c>
      <c r="C3257" t="s">
        <v>151</v>
      </c>
      <c r="D3257">
        <v>0</v>
      </c>
      <c r="E3257">
        <v>0</v>
      </c>
      <c r="F3257">
        <v>0</v>
      </c>
      <c r="G3257">
        <v>0</v>
      </c>
    </row>
    <row r="3258" spans="1:7">
      <c r="A3258" t="s">
        <v>1876</v>
      </c>
      <c r="B3258" t="s">
        <v>357</v>
      </c>
      <c r="C3258" t="s">
        <v>152</v>
      </c>
      <c r="D3258">
        <v>196611</v>
      </c>
      <c r="E3258">
        <v>174369</v>
      </c>
      <c r="F3258">
        <v>173140</v>
      </c>
      <c r="G3258">
        <v>186907</v>
      </c>
    </row>
    <row r="3259" spans="1:7">
      <c r="A3259" t="s">
        <v>1876</v>
      </c>
      <c r="B3259" t="s">
        <v>357</v>
      </c>
      <c r="C3259" t="s">
        <v>1703</v>
      </c>
      <c r="D3259">
        <v>8384</v>
      </c>
      <c r="E3259">
        <v>5780</v>
      </c>
      <c r="F3259">
        <v>5780</v>
      </c>
      <c r="G3259">
        <v>5780</v>
      </c>
    </row>
    <row r="3260" spans="1:7">
      <c r="A3260" t="s">
        <v>1876</v>
      </c>
      <c r="B3260" t="s">
        <v>357</v>
      </c>
      <c r="C3260" t="s">
        <v>153</v>
      </c>
      <c r="D3260">
        <v>7258</v>
      </c>
      <c r="E3260">
        <v>6519</v>
      </c>
      <c r="F3260">
        <v>4381</v>
      </c>
      <c r="G3260">
        <v>4594</v>
      </c>
    </row>
    <row r="3261" spans="1:7">
      <c r="A3261" t="s">
        <v>1876</v>
      </c>
      <c r="B3261" t="s">
        <v>357</v>
      </c>
      <c r="C3261" t="s">
        <v>154</v>
      </c>
      <c r="D3261">
        <v>0</v>
      </c>
      <c r="E3261">
        <v>0</v>
      </c>
      <c r="F3261">
        <v>0</v>
      </c>
      <c r="G3261">
        <v>0</v>
      </c>
    </row>
    <row r="3262" spans="1:7">
      <c r="A3262" t="s">
        <v>1876</v>
      </c>
      <c r="B3262" t="s">
        <v>357</v>
      </c>
      <c r="C3262" t="s">
        <v>155</v>
      </c>
      <c r="D3262">
        <v>7258</v>
      </c>
      <c r="E3262">
        <v>6519</v>
      </c>
      <c r="F3262">
        <v>4381</v>
      </c>
      <c r="G3262">
        <v>4594</v>
      </c>
    </row>
    <row r="3263" spans="1:7">
      <c r="A3263" t="s">
        <v>1876</v>
      </c>
      <c r="B3263" t="s">
        <v>357</v>
      </c>
      <c r="C3263" t="s">
        <v>156</v>
      </c>
      <c r="D3263">
        <v>0</v>
      </c>
      <c r="E3263">
        <v>0</v>
      </c>
      <c r="F3263">
        <v>0</v>
      </c>
      <c r="G3263">
        <v>0</v>
      </c>
    </row>
    <row r="3264" spans="1:7">
      <c r="A3264" t="s">
        <v>1876</v>
      </c>
      <c r="B3264" t="s">
        <v>357</v>
      </c>
      <c r="C3264" t="s">
        <v>157</v>
      </c>
      <c r="D3264">
        <v>203870</v>
      </c>
      <c r="E3264">
        <v>180888</v>
      </c>
      <c r="F3264">
        <v>177521</v>
      </c>
      <c r="G3264">
        <v>191502</v>
      </c>
    </row>
    <row r="3265" spans="1:7">
      <c r="A3265" t="s">
        <v>1876</v>
      </c>
      <c r="B3265" t="s">
        <v>357</v>
      </c>
      <c r="C3265" t="s">
        <v>158</v>
      </c>
      <c r="D3265">
        <v>7258</v>
      </c>
      <c r="E3265">
        <v>6519</v>
      </c>
      <c r="F3265">
        <v>4381</v>
      </c>
      <c r="G3265">
        <v>4594</v>
      </c>
    </row>
    <row r="3266" spans="1:7">
      <c r="A3266" t="s">
        <v>1876</v>
      </c>
      <c r="B3266" t="s">
        <v>357</v>
      </c>
      <c r="C3266" t="s">
        <v>159</v>
      </c>
      <c r="D3266">
        <v>0</v>
      </c>
      <c r="E3266">
        <v>0</v>
      </c>
      <c r="F3266">
        <v>0</v>
      </c>
      <c r="G3266">
        <v>0</v>
      </c>
    </row>
    <row r="3267" spans="1:7">
      <c r="A3267" t="s">
        <v>1876</v>
      </c>
      <c r="B3267" t="s">
        <v>357</v>
      </c>
      <c r="C3267" t="s">
        <v>1901</v>
      </c>
      <c r="D3267">
        <v>72.900000000000006</v>
      </c>
      <c r="E3267">
        <v>73.400000000000006</v>
      </c>
      <c r="F3267">
        <v>76.2</v>
      </c>
      <c r="G3267">
        <v>71.099999999999994</v>
      </c>
    </row>
    <row r="3268" spans="1:7">
      <c r="A3268" t="s">
        <v>1876</v>
      </c>
      <c r="B3268" t="s">
        <v>357</v>
      </c>
      <c r="C3268" t="s">
        <v>1902</v>
      </c>
      <c r="D3268">
        <v>194652</v>
      </c>
      <c r="E3268">
        <v>187757</v>
      </c>
      <c r="F3268">
        <v>206225</v>
      </c>
      <c r="G3268">
        <v>193538</v>
      </c>
    </row>
    <row r="3269" spans="1:7">
      <c r="A3269" t="s">
        <v>1876</v>
      </c>
      <c r="B3269" t="s">
        <v>357</v>
      </c>
      <c r="C3269" t="s">
        <v>1903</v>
      </c>
      <c r="D3269">
        <v>7425</v>
      </c>
      <c r="E3269">
        <v>7518</v>
      </c>
      <c r="F3269">
        <v>6973</v>
      </c>
      <c r="G3269">
        <v>7092</v>
      </c>
    </row>
    <row r="3270" spans="1:7">
      <c r="A3270" t="s">
        <v>1876</v>
      </c>
      <c r="B3270" t="s">
        <v>357</v>
      </c>
      <c r="C3270" t="s">
        <v>1904</v>
      </c>
      <c r="D3270">
        <v>862</v>
      </c>
      <c r="E3270">
        <v>2178</v>
      </c>
      <c r="F3270">
        <v>453</v>
      </c>
      <c r="G3270">
        <v>1008</v>
      </c>
    </row>
    <row r="3271" spans="1:7">
      <c r="A3271" t="s">
        <v>1876</v>
      </c>
      <c r="B3271" t="s">
        <v>357</v>
      </c>
      <c r="C3271" t="s">
        <v>1905</v>
      </c>
      <c r="D3271">
        <v>29500</v>
      </c>
      <c r="E3271">
        <v>29822</v>
      </c>
      <c r="F3271">
        <v>29106</v>
      </c>
      <c r="G3271">
        <v>28245</v>
      </c>
    </row>
    <row r="3272" spans="1:7">
      <c r="A3272" t="s">
        <v>1876</v>
      </c>
      <c r="B3272" t="s">
        <v>357</v>
      </c>
      <c r="C3272" t="s">
        <v>1906</v>
      </c>
      <c r="D3272">
        <v>82</v>
      </c>
      <c r="E3272">
        <v>84</v>
      </c>
      <c r="F3272">
        <v>78</v>
      </c>
      <c r="G3272">
        <v>78</v>
      </c>
    </row>
    <row r="3273" spans="1:7">
      <c r="A3273" t="s">
        <v>1876</v>
      </c>
      <c r="B3273" t="s">
        <v>357</v>
      </c>
      <c r="C3273" t="s">
        <v>1907</v>
      </c>
      <c r="D3273">
        <v>232521</v>
      </c>
      <c r="E3273">
        <v>227359</v>
      </c>
      <c r="F3273">
        <v>242835</v>
      </c>
      <c r="G3273">
        <v>229962</v>
      </c>
    </row>
    <row r="3274" spans="1:7">
      <c r="A3274" t="s">
        <v>1876</v>
      </c>
      <c r="B3274" t="s">
        <v>357</v>
      </c>
      <c r="C3274" t="s">
        <v>160</v>
      </c>
      <c r="D3274">
        <v>191942</v>
      </c>
      <c r="E3274">
        <v>185292</v>
      </c>
      <c r="F3274">
        <v>202241</v>
      </c>
      <c r="G3274">
        <v>189501</v>
      </c>
    </row>
    <row r="3275" spans="1:7">
      <c r="A3275" t="s">
        <v>1876</v>
      </c>
      <c r="B3275" t="s">
        <v>357</v>
      </c>
      <c r="C3275" t="s">
        <v>161</v>
      </c>
      <c r="D3275">
        <v>7425</v>
      </c>
      <c r="E3275">
        <v>7518</v>
      </c>
      <c r="F3275">
        <v>6973</v>
      </c>
      <c r="G3275">
        <v>7092</v>
      </c>
    </row>
    <row r="3276" spans="1:7">
      <c r="A3276" t="s">
        <v>1876</v>
      </c>
      <c r="B3276" t="s">
        <v>357</v>
      </c>
      <c r="C3276" t="s">
        <v>162</v>
      </c>
      <c r="D3276">
        <v>853</v>
      </c>
      <c r="E3276">
        <v>2171</v>
      </c>
      <c r="F3276">
        <v>448</v>
      </c>
      <c r="G3276">
        <v>999</v>
      </c>
    </row>
    <row r="3277" spans="1:7">
      <c r="A3277" t="s">
        <v>1876</v>
      </c>
      <c r="B3277" t="s">
        <v>357</v>
      </c>
      <c r="C3277" t="s">
        <v>163</v>
      </c>
      <c r="D3277">
        <v>29500</v>
      </c>
      <c r="E3277">
        <v>29822</v>
      </c>
      <c r="F3277">
        <v>29106</v>
      </c>
      <c r="G3277">
        <v>28245</v>
      </c>
    </row>
    <row r="3278" spans="1:7">
      <c r="A3278" t="s">
        <v>1876</v>
      </c>
      <c r="B3278" t="s">
        <v>357</v>
      </c>
      <c r="C3278" t="s">
        <v>164</v>
      </c>
      <c r="D3278">
        <v>82</v>
      </c>
      <c r="E3278">
        <v>84</v>
      </c>
      <c r="F3278">
        <v>78</v>
      </c>
      <c r="G3278">
        <v>78</v>
      </c>
    </row>
    <row r="3279" spans="1:7">
      <c r="A3279" t="s">
        <v>1876</v>
      </c>
      <c r="B3279" t="s">
        <v>357</v>
      </c>
      <c r="C3279" t="s">
        <v>165</v>
      </c>
      <c r="D3279">
        <v>229803</v>
      </c>
      <c r="E3279">
        <v>224887</v>
      </c>
      <c r="F3279">
        <v>238847</v>
      </c>
      <c r="G3279">
        <v>225916</v>
      </c>
    </row>
    <row r="3280" spans="1:7">
      <c r="A3280" t="s">
        <v>1876</v>
      </c>
      <c r="B3280" t="s">
        <v>357</v>
      </c>
      <c r="C3280" t="s">
        <v>166</v>
      </c>
      <c r="D3280">
        <v>228950</v>
      </c>
      <c r="E3280">
        <v>222716</v>
      </c>
      <c r="F3280">
        <v>238399</v>
      </c>
      <c r="G3280">
        <v>224916</v>
      </c>
    </row>
    <row r="3281" spans="1:7">
      <c r="A3281" t="s">
        <v>1876</v>
      </c>
      <c r="B3281" t="s">
        <v>357</v>
      </c>
      <c r="C3281" t="s">
        <v>167</v>
      </c>
      <c r="D3281">
        <v>853</v>
      </c>
      <c r="E3281">
        <v>2171</v>
      </c>
      <c r="F3281">
        <v>448</v>
      </c>
      <c r="G3281">
        <v>999</v>
      </c>
    </row>
    <row r="3282" spans="1:7">
      <c r="A3282" t="s">
        <v>1876</v>
      </c>
      <c r="B3282" t="s">
        <v>357</v>
      </c>
      <c r="C3282" t="s">
        <v>1908</v>
      </c>
      <c r="D3282">
        <v>189934</v>
      </c>
      <c r="E3282">
        <v>183553</v>
      </c>
      <c r="F3282">
        <v>199894</v>
      </c>
      <c r="G3282">
        <v>187319</v>
      </c>
    </row>
    <row r="3283" spans="1:7">
      <c r="A3283" t="s">
        <v>1876</v>
      </c>
      <c r="B3283" t="s">
        <v>357</v>
      </c>
      <c r="C3283" t="s">
        <v>1909</v>
      </c>
      <c r="D3283">
        <v>7425</v>
      </c>
      <c r="E3283">
        <v>7518</v>
      </c>
      <c r="F3283">
        <v>6973</v>
      </c>
      <c r="G3283">
        <v>7092</v>
      </c>
    </row>
    <row r="3284" spans="1:7">
      <c r="A3284" t="s">
        <v>1876</v>
      </c>
      <c r="B3284" t="s">
        <v>357</v>
      </c>
      <c r="C3284" t="s">
        <v>1910</v>
      </c>
      <c r="D3284">
        <v>853</v>
      </c>
      <c r="E3284">
        <v>2171</v>
      </c>
      <c r="F3284">
        <v>448</v>
      </c>
      <c r="G3284">
        <v>999</v>
      </c>
    </row>
    <row r="3285" spans="1:7">
      <c r="A3285" t="s">
        <v>1876</v>
      </c>
      <c r="B3285" t="s">
        <v>357</v>
      </c>
      <c r="C3285" t="s">
        <v>1911</v>
      </c>
      <c r="D3285">
        <v>29500</v>
      </c>
      <c r="E3285">
        <v>29822</v>
      </c>
      <c r="F3285">
        <v>29106</v>
      </c>
      <c r="G3285">
        <v>28245</v>
      </c>
    </row>
    <row r="3286" spans="1:7">
      <c r="A3286" t="s">
        <v>1876</v>
      </c>
      <c r="B3286" t="s">
        <v>357</v>
      </c>
      <c r="C3286" t="s">
        <v>1912</v>
      </c>
      <c r="D3286">
        <v>82</v>
      </c>
      <c r="E3286">
        <v>84</v>
      </c>
      <c r="F3286">
        <v>78</v>
      </c>
      <c r="G3286">
        <v>78</v>
      </c>
    </row>
    <row r="3287" spans="1:7">
      <c r="A3287" t="s">
        <v>1876</v>
      </c>
      <c r="B3287" t="s">
        <v>357</v>
      </c>
      <c r="C3287" t="s">
        <v>168</v>
      </c>
      <c r="D3287">
        <v>227796</v>
      </c>
      <c r="E3287">
        <v>223148</v>
      </c>
      <c r="F3287">
        <v>236500</v>
      </c>
      <c r="G3287">
        <v>223734</v>
      </c>
    </row>
    <row r="3288" spans="1:7">
      <c r="A3288" t="s">
        <v>1876</v>
      </c>
      <c r="B3288" t="s">
        <v>357</v>
      </c>
      <c r="C3288" t="s">
        <v>169</v>
      </c>
      <c r="D3288">
        <v>0</v>
      </c>
      <c r="E3288">
        <v>0</v>
      </c>
      <c r="F3288">
        <v>0</v>
      </c>
      <c r="G3288">
        <v>0</v>
      </c>
    </row>
    <row r="3289" spans="1:7">
      <c r="A3289" t="s">
        <v>1876</v>
      </c>
      <c r="B3289" t="s">
        <v>357</v>
      </c>
      <c r="C3289" t="s">
        <v>1704</v>
      </c>
      <c r="D3289">
        <v>38250</v>
      </c>
      <c r="E3289">
        <v>36198</v>
      </c>
      <c r="F3289">
        <v>37786</v>
      </c>
      <c r="G3289">
        <v>39746</v>
      </c>
    </row>
    <row r="3290" spans="1:7">
      <c r="A3290" t="s">
        <v>1876</v>
      </c>
      <c r="B3290" t="s">
        <v>357</v>
      </c>
      <c r="C3290" t="s">
        <v>170</v>
      </c>
      <c r="D3290">
        <v>0</v>
      </c>
      <c r="E3290">
        <v>0</v>
      </c>
      <c r="F3290">
        <v>0</v>
      </c>
      <c r="G3290">
        <v>0</v>
      </c>
    </row>
    <row r="3291" spans="1:7">
      <c r="A3291" t="s">
        <v>1876</v>
      </c>
      <c r="B3291" t="s">
        <v>357</v>
      </c>
      <c r="C3291" t="s">
        <v>171</v>
      </c>
      <c r="D3291">
        <v>219622</v>
      </c>
      <c r="E3291">
        <v>262299</v>
      </c>
      <c r="F3291">
        <v>211280</v>
      </c>
      <c r="G3291">
        <v>197287</v>
      </c>
    </row>
    <row r="3292" spans="1:7">
      <c r="A3292" t="s">
        <v>1876</v>
      </c>
      <c r="B3292" t="s">
        <v>357</v>
      </c>
      <c r="C3292" t="s">
        <v>172</v>
      </c>
      <c r="D3292">
        <v>0</v>
      </c>
      <c r="E3292">
        <v>0</v>
      </c>
      <c r="F3292">
        <v>0</v>
      </c>
      <c r="G3292">
        <v>0</v>
      </c>
    </row>
    <row r="3293" spans="1:7">
      <c r="A3293" t="s">
        <v>1876</v>
      </c>
      <c r="B3293" t="s">
        <v>357</v>
      </c>
      <c r="C3293" t="s">
        <v>1913</v>
      </c>
      <c r="D3293">
        <v>46.1</v>
      </c>
      <c r="E3293">
        <v>67.2</v>
      </c>
      <c r="F3293">
        <v>108.4</v>
      </c>
      <c r="G3293">
        <v>141.4</v>
      </c>
    </row>
    <row r="3294" spans="1:7">
      <c r="A3294" t="s">
        <v>1876</v>
      </c>
      <c r="B3294" t="s">
        <v>357</v>
      </c>
      <c r="C3294" t="s">
        <v>1914</v>
      </c>
      <c r="D3294">
        <v>0.5</v>
      </c>
      <c r="E3294">
        <v>0.8</v>
      </c>
      <c r="F3294">
        <v>1.2</v>
      </c>
      <c r="G3294">
        <v>1.6</v>
      </c>
    </row>
    <row r="3295" spans="1:7">
      <c r="A3295" t="s">
        <v>1876</v>
      </c>
      <c r="B3295" t="s">
        <v>357</v>
      </c>
      <c r="C3295" t="s">
        <v>173</v>
      </c>
      <c r="D3295">
        <v>37520</v>
      </c>
      <c r="E3295">
        <v>36859</v>
      </c>
      <c r="F3295">
        <v>40631</v>
      </c>
      <c r="G3295">
        <v>39435</v>
      </c>
    </row>
    <row r="3296" spans="1:7">
      <c r="A3296" t="s">
        <v>1876</v>
      </c>
      <c r="B3296" t="s">
        <v>357</v>
      </c>
      <c r="C3296" t="s">
        <v>174</v>
      </c>
      <c r="D3296">
        <v>877</v>
      </c>
      <c r="E3296">
        <v>908</v>
      </c>
      <c r="F3296">
        <v>907</v>
      </c>
      <c r="G3296">
        <v>798</v>
      </c>
    </row>
    <row r="3297" spans="1:7">
      <c r="A3297" t="s">
        <v>1876</v>
      </c>
      <c r="B3297" t="s">
        <v>357</v>
      </c>
      <c r="C3297" t="s">
        <v>175</v>
      </c>
      <c r="D3297">
        <v>454</v>
      </c>
      <c r="E3297">
        <v>472</v>
      </c>
      <c r="F3297">
        <v>471</v>
      </c>
      <c r="G3297">
        <v>555</v>
      </c>
    </row>
    <row r="3298" spans="1:7">
      <c r="A3298" t="s">
        <v>1876</v>
      </c>
      <c r="B3298" t="s">
        <v>357</v>
      </c>
      <c r="C3298" t="s">
        <v>176</v>
      </c>
      <c r="D3298">
        <v>0</v>
      </c>
      <c r="E3298">
        <v>0</v>
      </c>
      <c r="F3298">
        <v>0</v>
      </c>
      <c r="G3298">
        <v>0</v>
      </c>
    </row>
    <row r="3299" spans="1:7">
      <c r="A3299" t="s">
        <v>1876</v>
      </c>
      <c r="B3299" t="s">
        <v>357</v>
      </c>
      <c r="C3299" t="s">
        <v>177</v>
      </c>
      <c r="D3299">
        <v>38851</v>
      </c>
      <c r="E3299">
        <v>38238</v>
      </c>
      <c r="F3299">
        <v>42010</v>
      </c>
      <c r="G3299">
        <v>40788</v>
      </c>
    </row>
    <row r="3300" spans="1:7">
      <c r="A3300" t="s">
        <v>1876</v>
      </c>
      <c r="B3300" t="s">
        <v>357</v>
      </c>
      <c r="C3300" t="s">
        <v>178</v>
      </c>
      <c r="D3300">
        <v>0</v>
      </c>
      <c r="E3300">
        <v>0</v>
      </c>
      <c r="F3300">
        <v>0</v>
      </c>
      <c r="G3300">
        <v>0</v>
      </c>
    </row>
    <row r="3301" spans="1:7">
      <c r="A3301" t="s">
        <v>1876</v>
      </c>
      <c r="B3301" t="s">
        <v>357</v>
      </c>
      <c r="C3301" t="s">
        <v>179</v>
      </c>
      <c r="D3301">
        <v>0</v>
      </c>
      <c r="E3301">
        <v>0</v>
      </c>
      <c r="F3301">
        <v>0</v>
      </c>
      <c r="G3301">
        <v>0</v>
      </c>
    </row>
    <row r="3302" spans="1:7">
      <c r="A3302" t="s">
        <v>1876</v>
      </c>
      <c r="B3302" t="s">
        <v>357</v>
      </c>
      <c r="C3302" t="s">
        <v>180</v>
      </c>
      <c r="D3302">
        <v>488</v>
      </c>
      <c r="E3302">
        <v>490</v>
      </c>
      <c r="F3302">
        <v>492</v>
      </c>
      <c r="G3302">
        <v>517</v>
      </c>
    </row>
    <row r="3303" spans="1:7">
      <c r="A3303" t="s">
        <v>1876</v>
      </c>
      <c r="B3303" t="s">
        <v>357</v>
      </c>
      <c r="C3303" t="s">
        <v>181</v>
      </c>
      <c r="D3303">
        <v>156191</v>
      </c>
      <c r="E3303">
        <v>169033</v>
      </c>
      <c r="F3303">
        <v>175393</v>
      </c>
      <c r="G3303">
        <v>188249</v>
      </c>
    </row>
    <row r="3304" spans="1:7">
      <c r="A3304" t="s">
        <v>1876</v>
      </c>
      <c r="B3304" t="s">
        <v>357</v>
      </c>
      <c r="C3304" t="s">
        <v>182</v>
      </c>
      <c r="D3304">
        <v>111774</v>
      </c>
      <c r="E3304">
        <v>116726</v>
      </c>
      <c r="F3304">
        <v>109414</v>
      </c>
      <c r="G3304">
        <v>111288</v>
      </c>
    </row>
    <row r="3305" spans="1:7">
      <c r="A3305" t="s">
        <v>1876</v>
      </c>
      <c r="B3305" t="s">
        <v>357</v>
      </c>
      <c r="C3305" t="s">
        <v>183</v>
      </c>
      <c r="D3305">
        <v>200233</v>
      </c>
      <c r="E3305">
        <v>208611</v>
      </c>
      <c r="F3305">
        <v>199303</v>
      </c>
      <c r="G3305">
        <v>211759</v>
      </c>
    </row>
    <row r="3306" spans="1:7">
      <c r="A3306" t="s">
        <v>1876</v>
      </c>
      <c r="B3306" t="s">
        <v>357</v>
      </c>
      <c r="C3306" t="s">
        <v>184</v>
      </c>
      <c r="D3306">
        <v>468686</v>
      </c>
      <c r="E3306">
        <v>494860</v>
      </c>
      <c r="F3306">
        <v>484602</v>
      </c>
      <c r="G3306">
        <v>511814</v>
      </c>
    </row>
    <row r="3307" spans="1:7">
      <c r="A3307" t="s">
        <v>1876</v>
      </c>
      <c r="B3307" t="s">
        <v>357</v>
      </c>
      <c r="C3307" t="s">
        <v>185</v>
      </c>
      <c r="D3307">
        <v>468686</v>
      </c>
      <c r="E3307">
        <v>494860</v>
      </c>
      <c r="F3307">
        <v>484602</v>
      </c>
      <c r="G3307">
        <v>511814</v>
      </c>
    </row>
    <row r="3308" spans="1:7">
      <c r="A3308" t="s">
        <v>1876</v>
      </c>
      <c r="B3308" t="s">
        <v>357</v>
      </c>
      <c r="C3308" t="s">
        <v>1915</v>
      </c>
      <c r="D3308">
        <v>71</v>
      </c>
      <c r="E3308">
        <v>109</v>
      </c>
      <c r="F3308">
        <v>289</v>
      </c>
      <c r="G3308">
        <v>401</v>
      </c>
    </row>
    <row r="3309" spans="1:7">
      <c r="A3309" t="s">
        <v>1876</v>
      </c>
      <c r="B3309" t="s">
        <v>357</v>
      </c>
      <c r="C3309" t="s">
        <v>1916</v>
      </c>
      <c r="D3309">
        <v>0</v>
      </c>
      <c r="E3309">
        <v>0</v>
      </c>
      <c r="F3309">
        <v>0</v>
      </c>
      <c r="G3309">
        <v>0</v>
      </c>
    </row>
    <row r="3310" spans="1:7">
      <c r="A3310" t="s">
        <v>1876</v>
      </c>
      <c r="B3310" t="s">
        <v>357</v>
      </c>
      <c r="C3310" t="s">
        <v>1917</v>
      </c>
      <c r="D3310">
        <v>230</v>
      </c>
      <c r="E3310">
        <v>230</v>
      </c>
      <c r="F3310">
        <v>230</v>
      </c>
      <c r="G3310">
        <v>224</v>
      </c>
    </row>
    <row r="3311" spans="1:7">
      <c r="A3311" t="s">
        <v>1876</v>
      </c>
      <c r="B3311" t="s">
        <v>357</v>
      </c>
      <c r="C3311" t="s">
        <v>1918</v>
      </c>
      <c r="D3311">
        <v>3964</v>
      </c>
      <c r="E3311">
        <v>4458</v>
      </c>
      <c r="F3311">
        <v>4933</v>
      </c>
      <c r="G3311">
        <v>5674</v>
      </c>
    </row>
    <row r="3312" spans="1:7">
      <c r="A3312" t="s">
        <v>1876</v>
      </c>
      <c r="B3312" t="s">
        <v>357</v>
      </c>
      <c r="C3312" t="s">
        <v>1919</v>
      </c>
      <c r="D3312">
        <v>2.89</v>
      </c>
      <c r="E3312">
        <v>3.08</v>
      </c>
      <c r="F3312">
        <v>2.89</v>
      </c>
      <c r="G3312">
        <v>2.92</v>
      </c>
    </row>
    <row r="3313" spans="1:7">
      <c r="A3313" t="s">
        <v>1876</v>
      </c>
      <c r="B3313" t="s">
        <v>357</v>
      </c>
      <c r="C3313" t="s">
        <v>1920</v>
      </c>
      <c r="D3313">
        <v>4828</v>
      </c>
      <c r="E3313">
        <v>5536</v>
      </c>
      <c r="F3313">
        <v>6361</v>
      </c>
      <c r="G3313">
        <v>7446</v>
      </c>
    </row>
    <row r="3314" spans="1:7">
      <c r="A3314" t="s">
        <v>1876</v>
      </c>
      <c r="B3314" t="s">
        <v>357</v>
      </c>
      <c r="C3314" t="s">
        <v>1921</v>
      </c>
      <c r="D3314">
        <v>1538</v>
      </c>
      <c r="E3314">
        <v>1659</v>
      </c>
      <c r="F3314">
        <v>2016</v>
      </c>
      <c r="G3314">
        <v>2346</v>
      </c>
    </row>
    <row r="3315" spans="1:7">
      <c r="A3315" t="s">
        <v>1876</v>
      </c>
      <c r="B3315" t="s">
        <v>357</v>
      </c>
      <c r="C3315" t="s">
        <v>1922</v>
      </c>
      <c r="D3315">
        <v>634</v>
      </c>
      <c r="E3315">
        <v>848</v>
      </c>
      <c r="F3315">
        <v>1198</v>
      </c>
      <c r="G3315">
        <v>1548</v>
      </c>
    </row>
    <row r="3316" spans="1:7">
      <c r="A3316" t="s">
        <v>1876</v>
      </c>
      <c r="B3316" t="s">
        <v>357</v>
      </c>
      <c r="C3316" t="s">
        <v>1923</v>
      </c>
      <c r="D3316">
        <v>2.98</v>
      </c>
      <c r="E3316">
        <v>3.31</v>
      </c>
      <c r="F3316">
        <v>3.36</v>
      </c>
      <c r="G3316">
        <v>3.44</v>
      </c>
    </row>
    <row r="3317" spans="1:7">
      <c r="A3317" t="s">
        <v>1876</v>
      </c>
      <c r="B3317" t="s">
        <v>357</v>
      </c>
      <c r="C3317" t="s">
        <v>1924</v>
      </c>
      <c r="D3317">
        <v>131</v>
      </c>
      <c r="E3317">
        <v>12</v>
      </c>
      <c r="F3317">
        <v>19</v>
      </c>
      <c r="G3317">
        <v>19</v>
      </c>
    </row>
    <row r="3318" spans="1:7">
      <c r="A3318" t="s">
        <v>1876</v>
      </c>
      <c r="B3318" t="s">
        <v>357</v>
      </c>
      <c r="C3318" t="s">
        <v>1925</v>
      </c>
      <c r="D3318">
        <v>147</v>
      </c>
      <c r="E3318">
        <v>149</v>
      </c>
      <c r="F3318">
        <v>162</v>
      </c>
      <c r="G3318">
        <v>165</v>
      </c>
    </row>
    <row r="3319" spans="1:7">
      <c r="A3319" t="s">
        <v>1876</v>
      </c>
      <c r="B3319" t="s">
        <v>357</v>
      </c>
      <c r="C3319" t="s">
        <v>1926</v>
      </c>
      <c r="D3319">
        <v>1260</v>
      </c>
      <c r="E3319">
        <v>1498</v>
      </c>
      <c r="F3319">
        <v>1835</v>
      </c>
      <c r="G3319">
        <v>2162</v>
      </c>
    </row>
    <row r="3320" spans="1:7">
      <c r="A3320" t="s">
        <v>1876</v>
      </c>
      <c r="B3320" t="s">
        <v>357</v>
      </c>
      <c r="C3320" t="s">
        <v>1927</v>
      </c>
      <c r="D3320">
        <v>47</v>
      </c>
      <c r="E3320">
        <v>50</v>
      </c>
      <c r="F3320">
        <v>38</v>
      </c>
      <c r="G3320">
        <v>32</v>
      </c>
    </row>
    <row r="3321" spans="1:7">
      <c r="A3321" t="s">
        <v>1876</v>
      </c>
      <c r="B3321" t="s">
        <v>357</v>
      </c>
      <c r="C3321" t="s">
        <v>1928</v>
      </c>
      <c r="D3321">
        <v>1456</v>
      </c>
      <c r="E3321">
        <v>1570</v>
      </c>
      <c r="F3321">
        <v>1921</v>
      </c>
      <c r="G3321">
        <v>2231</v>
      </c>
    </row>
    <row r="3322" spans="1:7">
      <c r="A3322" t="s">
        <v>1876</v>
      </c>
      <c r="B3322" t="s">
        <v>357</v>
      </c>
      <c r="C3322" t="s">
        <v>1929</v>
      </c>
      <c r="D3322">
        <v>35</v>
      </c>
      <c r="E3322">
        <v>39</v>
      </c>
      <c r="F3322">
        <v>57</v>
      </c>
      <c r="G3322">
        <v>83</v>
      </c>
    </row>
    <row r="3323" spans="1:7">
      <c r="A3323" t="s">
        <v>1876</v>
      </c>
      <c r="B3323" t="s">
        <v>357</v>
      </c>
      <c r="C3323" t="s">
        <v>186</v>
      </c>
      <c r="D3323">
        <v>0</v>
      </c>
      <c r="E3323">
        <v>0</v>
      </c>
      <c r="F3323">
        <v>0</v>
      </c>
      <c r="G3323">
        <v>0</v>
      </c>
    </row>
    <row r="3324" spans="1:7">
      <c r="A3324" t="s">
        <v>1876</v>
      </c>
      <c r="B3324" t="s">
        <v>357</v>
      </c>
      <c r="C3324" t="s">
        <v>187</v>
      </c>
      <c r="D3324">
        <v>0</v>
      </c>
      <c r="E3324">
        <v>0</v>
      </c>
      <c r="F3324">
        <v>0</v>
      </c>
      <c r="G3324">
        <v>0</v>
      </c>
    </row>
    <row r="3325" spans="1:7">
      <c r="A3325" t="s">
        <v>1876</v>
      </c>
      <c r="B3325" t="s">
        <v>357</v>
      </c>
      <c r="C3325" t="s">
        <v>1705</v>
      </c>
      <c r="D3325">
        <v>26141</v>
      </c>
      <c r="E3325">
        <v>23532</v>
      </c>
      <c r="F3325">
        <v>23457</v>
      </c>
      <c r="G3325">
        <v>23359</v>
      </c>
    </row>
    <row r="3326" spans="1:7">
      <c r="A3326" t="s">
        <v>1876</v>
      </c>
      <c r="B3326" t="s">
        <v>357</v>
      </c>
      <c r="C3326" t="s">
        <v>188</v>
      </c>
      <c r="D3326">
        <v>1902096</v>
      </c>
      <c r="E3326">
        <v>1932997</v>
      </c>
      <c r="F3326">
        <v>1971644</v>
      </c>
      <c r="G3326">
        <v>1964252</v>
      </c>
    </row>
    <row r="3327" spans="1:7">
      <c r="A3327" t="s">
        <v>1876</v>
      </c>
      <c r="B3327" t="s">
        <v>357</v>
      </c>
      <c r="C3327" t="s">
        <v>189</v>
      </c>
      <c r="D3327">
        <v>0</v>
      </c>
      <c r="E3327">
        <v>0</v>
      </c>
      <c r="F3327">
        <v>0</v>
      </c>
      <c r="G3327">
        <v>0</v>
      </c>
    </row>
    <row r="3328" spans="1:7">
      <c r="A3328" t="s">
        <v>1876</v>
      </c>
      <c r="B3328" t="s">
        <v>357</v>
      </c>
      <c r="C3328" t="s">
        <v>190</v>
      </c>
      <c r="D3328">
        <v>0</v>
      </c>
      <c r="E3328">
        <v>0</v>
      </c>
      <c r="F3328">
        <v>0</v>
      </c>
      <c r="G3328">
        <v>0</v>
      </c>
    </row>
    <row r="3329" spans="1:7">
      <c r="A3329" t="s">
        <v>1876</v>
      </c>
      <c r="B3329" t="s">
        <v>357</v>
      </c>
      <c r="C3329" t="s">
        <v>191</v>
      </c>
      <c r="D3329">
        <v>0</v>
      </c>
      <c r="E3329">
        <v>0</v>
      </c>
      <c r="F3329">
        <v>0</v>
      </c>
      <c r="G3329">
        <v>0</v>
      </c>
    </row>
    <row r="3330" spans="1:7">
      <c r="A3330" t="s">
        <v>1876</v>
      </c>
      <c r="B3330" t="s">
        <v>357</v>
      </c>
      <c r="C3330" t="s">
        <v>192</v>
      </c>
      <c r="D3330">
        <v>706004.6</v>
      </c>
      <c r="E3330">
        <v>785922.7</v>
      </c>
      <c r="F3330">
        <v>835755.3</v>
      </c>
      <c r="G3330">
        <v>881508.2</v>
      </c>
    </row>
    <row r="3331" spans="1:7">
      <c r="A3331" t="s">
        <v>1876</v>
      </c>
      <c r="B3331" t="s">
        <v>357</v>
      </c>
      <c r="C3331" t="s">
        <v>193</v>
      </c>
      <c r="D3331">
        <v>643748.4</v>
      </c>
      <c r="E3331">
        <v>670107.19999999995</v>
      </c>
      <c r="F3331">
        <v>679447.2</v>
      </c>
      <c r="G3331">
        <v>697450.9</v>
      </c>
    </row>
    <row r="3332" spans="1:7">
      <c r="A3332" t="s">
        <v>1876</v>
      </c>
      <c r="B3332" t="s">
        <v>357</v>
      </c>
      <c r="C3332" t="s">
        <v>1930</v>
      </c>
      <c r="D3332">
        <v>0</v>
      </c>
      <c r="E3332">
        <v>0</v>
      </c>
      <c r="F3332">
        <v>0</v>
      </c>
      <c r="G3332">
        <v>0</v>
      </c>
    </row>
    <row r="3333" spans="1:7">
      <c r="A3333" t="s">
        <v>1876</v>
      </c>
      <c r="B3333" t="s">
        <v>357</v>
      </c>
      <c r="C3333" t="s">
        <v>194</v>
      </c>
      <c r="D3333">
        <v>4</v>
      </c>
      <c r="E3333">
        <v>4</v>
      </c>
      <c r="F3333">
        <v>4</v>
      </c>
      <c r="G3333">
        <v>4</v>
      </c>
    </row>
    <row r="3334" spans="1:7">
      <c r="A3334" t="s">
        <v>1876</v>
      </c>
      <c r="B3334" t="s">
        <v>357</v>
      </c>
      <c r="C3334" t="s">
        <v>195</v>
      </c>
      <c r="D3334">
        <v>0</v>
      </c>
      <c r="E3334">
        <v>0</v>
      </c>
      <c r="F3334">
        <v>0</v>
      </c>
      <c r="G3334">
        <v>0</v>
      </c>
    </row>
    <row r="3335" spans="1:7">
      <c r="A3335" t="s">
        <v>1876</v>
      </c>
      <c r="B3335" t="s">
        <v>357</v>
      </c>
      <c r="C3335" t="s">
        <v>1706</v>
      </c>
      <c r="D3335">
        <v>0</v>
      </c>
      <c r="E3335">
        <v>0</v>
      </c>
      <c r="F3335">
        <v>0</v>
      </c>
      <c r="G3335">
        <v>0</v>
      </c>
    </row>
    <row r="3336" spans="1:7">
      <c r="A3336" t="s">
        <v>1876</v>
      </c>
      <c r="B3336" t="s">
        <v>357</v>
      </c>
      <c r="C3336" t="s">
        <v>196</v>
      </c>
      <c r="D3336">
        <v>6</v>
      </c>
      <c r="E3336">
        <v>6</v>
      </c>
      <c r="F3336">
        <v>6</v>
      </c>
      <c r="G3336">
        <v>6</v>
      </c>
    </row>
    <row r="3337" spans="1:7">
      <c r="A3337" t="s">
        <v>1876</v>
      </c>
      <c r="B3337" t="s">
        <v>357</v>
      </c>
      <c r="C3337" t="s">
        <v>197</v>
      </c>
      <c r="D3337">
        <v>304</v>
      </c>
      <c r="E3337">
        <v>304</v>
      </c>
      <c r="F3337">
        <v>304</v>
      </c>
      <c r="G3337">
        <v>304</v>
      </c>
    </row>
    <row r="3338" spans="1:7">
      <c r="A3338" t="s">
        <v>1876</v>
      </c>
      <c r="B3338" t="s">
        <v>357</v>
      </c>
      <c r="C3338" t="s">
        <v>198</v>
      </c>
      <c r="D3338">
        <v>315</v>
      </c>
      <c r="E3338">
        <v>315</v>
      </c>
      <c r="F3338">
        <v>315</v>
      </c>
      <c r="G3338">
        <v>315</v>
      </c>
    </row>
    <row r="3339" spans="1:7">
      <c r="A3339" t="s">
        <v>1876</v>
      </c>
      <c r="B3339" t="s">
        <v>357</v>
      </c>
      <c r="C3339" t="s">
        <v>199</v>
      </c>
      <c r="D3339">
        <v>315</v>
      </c>
      <c r="E3339">
        <v>315</v>
      </c>
      <c r="F3339">
        <v>315</v>
      </c>
      <c r="G3339">
        <v>315</v>
      </c>
    </row>
    <row r="3340" spans="1:7">
      <c r="A3340" t="s">
        <v>1876</v>
      </c>
      <c r="B3340" t="s">
        <v>357</v>
      </c>
      <c r="C3340" t="s">
        <v>200</v>
      </c>
      <c r="D3340">
        <v>514</v>
      </c>
      <c r="E3340">
        <v>748</v>
      </c>
      <c r="F3340">
        <v>983</v>
      </c>
      <c r="G3340">
        <v>1168</v>
      </c>
    </row>
    <row r="3341" spans="1:7">
      <c r="A3341" t="s">
        <v>1876</v>
      </c>
      <c r="B3341" t="s">
        <v>357</v>
      </c>
      <c r="C3341" t="s">
        <v>201</v>
      </c>
      <c r="D3341">
        <v>4480</v>
      </c>
      <c r="E3341">
        <v>5002</v>
      </c>
      <c r="F3341">
        <v>4212</v>
      </c>
      <c r="G3341">
        <v>4374</v>
      </c>
    </row>
    <row r="3342" spans="1:7">
      <c r="A3342" t="s">
        <v>1876</v>
      </c>
      <c r="B3342" t="s">
        <v>357</v>
      </c>
      <c r="C3342" t="s">
        <v>202</v>
      </c>
      <c r="D3342">
        <v>5974</v>
      </c>
      <c r="E3342">
        <v>6771</v>
      </c>
      <c r="F3342">
        <v>5350</v>
      </c>
      <c r="G3342">
        <v>6562</v>
      </c>
    </row>
    <row r="3343" spans="1:7">
      <c r="A3343" t="s">
        <v>1876</v>
      </c>
      <c r="B3343" t="s">
        <v>357</v>
      </c>
      <c r="C3343" t="s">
        <v>203</v>
      </c>
      <c r="D3343">
        <v>7766</v>
      </c>
      <c r="E3343">
        <v>7506</v>
      </c>
      <c r="F3343">
        <v>6859</v>
      </c>
      <c r="G3343">
        <v>8154</v>
      </c>
    </row>
    <row r="3344" spans="1:7">
      <c r="A3344" t="s">
        <v>1876</v>
      </c>
      <c r="B3344" t="s">
        <v>357</v>
      </c>
      <c r="C3344" t="s">
        <v>204</v>
      </c>
      <c r="D3344">
        <v>18735</v>
      </c>
      <c r="E3344">
        <v>20027</v>
      </c>
      <c r="F3344">
        <v>17404</v>
      </c>
      <c r="G3344">
        <v>20258</v>
      </c>
    </row>
    <row r="3345" spans="1:7">
      <c r="A3345" t="s">
        <v>1876</v>
      </c>
      <c r="B3345" t="s">
        <v>357</v>
      </c>
      <c r="C3345" t="s">
        <v>205</v>
      </c>
      <c r="D3345">
        <v>18735</v>
      </c>
      <c r="E3345">
        <v>20027</v>
      </c>
      <c r="F3345">
        <v>17404</v>
      </c>
      <c r="G3345">
        <v>20258</v>
      </c>
    </row>
    <row r="3346" spans="1:7">
      <c r="A3346" t="s">
        <v>1876</v>
      </c>
      <c r="B3346" t="s">
        <v>357</v>
      </c>
      <c r="C3346" t="s">
        <v>1931</v>
      </c>
      <c r="D3346">
        <v>11.6</v>
      </c>
      <c r="E3346">
        <v>11</v>
      </c>
      <c r="F3346">
        <v>11</v>
      </c>
      <c r="G3346">
        <v>11.1</v>
      </c>
    </row>
    <row r="3347" spans="1:7">
      <c r="A3347" t="s">
        <v>1876</v>
      </c>
      <c r="B3347" t="s">
        <v>357</v>
      </c>
      <c r="C3347" t="s">
        <v>1707</v>
      </c>
      <c r="D3347">
        <v>1897</v>
      </c>
      <c r="E3347">
        <v>1897</v>
      </c>
      <c r="F3347">
        <v>1897</v>
      </c>
      <c r="G3347">
        <v>1897</v>
      </c>
    </row>
    <row r="3348" spans="1:7">
      <c r="A3348" t="s">
        <v>1876</v>
      </c>
      <c r="B3348" t="s">
        <v>357</v>
      </c>
      <c r="C3348" t="s">
        <v>1932</v>
      </c>
      <c r="D3348">
        <v>21.1</v>
      </c>
      <c r="E3348">
        <v>18.3</v>
      </c>
      <c r="F3348">
        <v>16.5</v>
      </c>
      <c r="G3348">
        <v>16.899999999999999</v>
      </c>
    </row>
    <row r="3349" spans="1:7">
      <c r="A3349" t="s">
        <v>1876</v>
      </c>
      <c r="B3349" t="s">
        <v>357</v>
      </c>
      <c r="C3349" t="s">
        <v>1708</v>
      </c>
      <c r="D3349">
        <v>1985</v>
      </c>
      <c r="E3349">
        <v>1985</v>
      </c>
      <c r="F3349">
        <v>1985</v>
      </c>
      <c r="G3349">
        <v>1985</v>
      </c>
    </row>
    <row r="3350" spans="1:7">
      <c r="A3350" t="s">
        <v>1876</v>
      </c>
      <c r="B3350" t="s">
        <v>357</v>
      </c>
      <c r="C3350" t="s">
        <v>206</v>
      </c>
      <c r="D3350">
        <v>0</v>
      </c>
      <c r="E3350">
        <v>0</v>
      </c>
      <c r="F3350">
        <v>0</v>
      </c>
      <c r="G3350">
        <v>0</v>
      </c>
    </row>
    <row r="3351" spans="1:7">
      <c r="A3351" t="s">
        <v>1876</v>
      </c>
      <c r="B3351" t="s">
        <v>357</v>
      </c>
      <c r="C3351" t="s">
        <v>207</v>
      </c>
      <c r="D3351">
        <v>12422</v>
      </c>
      <c r="E3351">
        <v>10796</v>
      </c>
      <c r="F3351">
        <v>9768</v>
      </c>
      <c r="G3351">
        <v>10012</v>
      </c>
    </row>
    <row r="3352" spans="1:7">
      <c r="A3352" t="s">
        <v>1876</v>
      </c>
      <c r="B3352" t="s">
        <v>357</v>
      </c>
      <c r="C3352" t="s">
        <v>208</v>
      </c>
      <c r="D3352">
        <v>70</v>
      </c>
      <c r="E3352">
        <v>44</v>
      </c>
      <c r="F3352">
        <v>31</v>
      </c>
      <c r="G3352">
        <v>23</v>
      </c>
    </row>
    <row r="3353" spans="1:7">
      <c r="A3353" t="s">
        <v>1876</v>
      </c>
      <c r="B3353" t="s">
        <v>357</v>
      </c>
      <c r="C3353" t="s">
        <v>209</v>
      </c>
      <c r="D3353">
        <v>12491</v>
      </c>
      <c r="E3353">
        <v>10840</v>
      </c>
      <c r="F3353">
        <v>9799</v>
      </c>
      <c r="G3353">
        <v>10035</v>
      </c>
    </row>
    <row r="3354" spans="1:7">
      <c r="A3354" t="s">
        <v>1876</v>
      </c>
      <c r="B3354" t="s">
        <v>357</v>
      </c>
      <c r="C3354" t="s">
        <v>210</v>
      </c>
      <c r="D3354">
        <v>70</v>
      </c>
      <c r="E3354">
        <v>44</v>
      </c>
      <c r="F3354">
        <v>31</v>
      </c>
      <c r="G3354">
        <v>23</v>
      </c>
    </row>
    <row r="3355" spans="1:7">
      <c r="A3355" t="s">
        <v>1876</v>
      </c>
      <c r="B3355" t="s">
        <v>357</v>
      </c>
      <c r="C3355" t="s">
        <v>211</v>
      </c>
      <c r="D3355">
        <v>0</v>
      </c>
      <c r="E3355">
        <v>0</v>
      </c>
      <c r="F3355">
        <v>0</v>
      </c>
      <c r="G3355">
        <v>0</v>
      </c>
    </row>
    <row r="3356" spans="1:7">
      <c r="A3356" t="s">
        <v>1876</v>
      </c>
      <c r="B3356" t="s">
        <v>357</v>
      </c>
      <c r="C3356" t="s">
        <v>212</v>
      </c>
      <c r="D3356">
        <v>0</v>
      </c>
      <c r="E3356">
        <v>0</v>
      </c>
      <c r="F3356">
        <v>0</v>
      </c>
      <c r="G3356">
        <v>0</v>
      </c>
    </row>
    <row r="3357" spans="1:7">
      <c r="A3357" t="s">
        <v>1876</v>
      </c>
      <c r="B3357" t="s">
        <v>357</v>
      </c>
      <c r="C3357" t="s">
        <v>213</v>
      </c>
      <c r="D3357">
        <v>0</v>
      </c>
      <c r="E3357">
        <v>0</v>
      </c>
      <c r="F3357">
        <v>0</v>
      </c>
      <c r="G3357">
        <v>0</v>
      </c>
    </row>
    <row r="3358" spans="1:7">
      <c r="A3358" t="s">
        <v>1876</v>
      </c>
      <c r="B3358" t="s">
        <v>357</v>
      </c>
      <c r="C3358" t="s">
        <v>214</v>
      </c>
      <c r="D3358">
        <v>0</v>
      </c>
      <c r="E3358">
        <v>0</v>
      </c>
      <c r="F3358">
        <v>0</v>
      </c>
      <c r="G3358">
        <v>0</v>
      </c>
    </row>
    <row r="3359" spans="1:7">
      <c r="A3359" t="s">
        <v>1876</v>
      </c>
      <c r="B3359" t="s">
        <v>357</v>
      </c>
      <c r="C3359" t="s">
        <v>215</v>
      </c>
      <c r="D3359">
        <v>100813</v>
      </c>
      <c r="E3359">
        <v>135117</v>
      </c>
      <c r="F3359">
        <v>129802</v>
      </c>
      <c r="G3359">
        <v>145230</v>
      </c>
    </row>
    <row r="3360" spans="1:7">
      <c r="A3360" t="s">
        <v>1876</v>
      </c>
      <c r="B3360" t="s">
        <v>357</v>
      </c>
      <c r="C3360" t="s">
        <v>216</v>
      </c>
      <c r="D3360">
        <v>100813</v>
      </c>
      <c r="E3360">
        <v>135117</v>
      </c>
      <c r="F3360">
        <v>129802</v>
      </c>
      <c r="G3360">
        <v>145230</v>
      </c>
    </row>
    <row r="3361" spans="1:7">
      <c r="A3361" t="s">
        <v>1876</v>
      </c>
      <c r="B3361" t="s">
        <v>357</v>
      </c>
      <c r="C3361" t="s">
        <v>217</v>
      </c>
      <c r="D3361">
        <v>100813</v>
      </c>
      <c r="E3361">
        <v>135117</v>
      </c>
      <c r="F3361">
        <v>129802</v>
      </c>
      <c r="G3361">
        <v>145230</v>
      </c>
    </row>
    <row r="3362" spans="1:7">
      <c r="A3362" t="s">
        <v>1876</v>
      </c>
      <c r="B3362" t="s">
        <v>357</v>
      </c>
      <c r="C3362" t="s">
        <v>218</v>
      </c>
      <c r="D3362">
        <v>48</v>
      </c>
      <c r="E3362">
        <v>44</v>
      </c>
      <c r="F3362">
        <v>74</v>
      </c>
      <c r="G3362">
        <v>58</v>
      </c>
    </row>
    <row r="3363" spans="1:7">
      <c r="A3363" t="s">
        <v>1876</v>
      </c>
      <c r="B3363" t="s">
        <v>357</v>
      </c>
      <c r="C3363" t="s">
        <v>219</v>
      </c>
      <c r="D3363">
        <v>17</v>
      </c>
      <c r="E3363">
        <v>13</v>
      </c>
      <c r="F3363">
        <v>52</v>
      </c>
      <c r="G3363">
        <v>28</v>
      </c>
    </row>
    <row r="3364" spans="1:7">
      <c r="A3364" t="s">
        <v>1876</v>
      </c>
      <c r="B3364" t="s">
        <v>357</v>
      </c>
      <c r="C3364" t="s">
        <v>220</v>
      </c>
      <c r="D3364">
        <v>49</v>
      </c>
      <c r="E3364">
        <v>45</v>
      </c>
      <c r="F3364">
        <v>76</v>
      </c>
      <c r="G3364">
        <v>60</v>
      </c>
    </row>
    <row r="3365" spans="1:7">
      <c r="A3365" t="s">
        <v>1876</v>
      </c>
      <c r="B3365" t="s">
        <v>357</v>
      </c>
      <c r="C3365" t="s">
        <v>221</v>
      </c>
      <c r="D3365">
        <v>114</v>
      </c>
      <c r="E3365">
        <v>101</v>
      </c>
      <c r="F3365">
        <v>202</v>
      </c>
      <c r="G3365">
        <v>147</v>
      </c>
    </row>
    <row r="3366" spans="1:7">
      <c r="A3366" t="s">
        <v>1876</v>
      </c>
      <c r="B3366" t="s">
        <v>357</v>
      </c>
      <c r="C3366" t="s">
        <v>222</v>
      </c>
      <c r="D3366">
        <v>114</v>
      </c>
      <c r="E3366">
        <v>101</v>
      </c>
      <c r="F3366">
        <v>202</v>
      </c>
      <c r="G3366">
        <v>147</v>
      </c>
    </row>
    <row r="3367" spans="1:7">
      <c r="A3367" t="s">
        <v>1876</v>
      </c>
      <c r="B3367" t="s">
        <v>357</v>
      </c>
      <c r="C3367" t="s">
        <v>1933</v>
      </c>
      <c r="D3367">
        <v>8781.2999999999993</v>
      </c>
      <c r="E3367">
        <v>8858.2000000000007</v>
      </c>
      <c r="F3367">
        <v>8891.2999999999993</v>
      </c>
      <c r="G3367">
        <v>8946.6</v>
      </c>
    </row>
    <row r="3368" spans="1:7">
      <c r="A3368" t="s">
        <v>1876</v>
      </c>
      <c r="B3368" t="s">
        <v>357</v>
      </c>
      <c r="C3368" t="s">
        <v>223</v>
      </c>
      <c r="D3368">
        <v>805</v>
      </c>
      <c r="E3368">
        <v>799</v>
      </c>
      <c r="F3368">
        <v>805</v>
      </c>
      <c r="G3368">
        <v>869</v>
      </c>
    </row>
    <row r="3369" spans="1:7">
      <c r="A3369" t="s">
        <v>1876</v>
      </c>
      <c r="B3369" t="s">
        <v>357</v>
      </c>
      <c r="C3369" t="s">
        <v>224</v>
      </c>
      <c r="D3369">
        <v>257892</v>
      </c>
      <c r="E3369">
        <v>275419</v>
      </c>
      <c r="F3369">
        <v>287107</v>
      </c>
      <c r="G3369">
        <v>316139</v>
      </c>
    </row>
    <row r="3370" spans="1:7">
      <c r="A3370" t="s">
        <v>1876</v>
      </c>
      <c r="B3370" t="s">
        <v>357</v>
      </c>
      <c r="C3370" t="s">
        <v>225</v>
      </c>
      <c r="D3370">
        <v>184553</v>
      </c>
      <c r="E3370">
        <v>190191</v>
      </c>
      <c r="F3370">
        <v>179104</v>
      </c>
      <c r="G3370">
        <v>186893</v>
      </c>
    </row>
    <row r="3371" spans="1:7">
      <c r="A3371" t="s">
        <v>1876</v>
      </c>
      <c r="B3371" t="s">
        <v>357</v>
      </c>
      <c r="C3371" t="s">
        <v>226</v>
      </c>
      <c r="D3371">
        <v>330611</v>
      </c>
      <c r="E3371">
        <v>339905</v>
      </c>
      <c r="F3371">
        <v>326247</v>
      </c>
      <c r="G3371">
        <v>355620</v>
      </c>
    </row>
    <row r="3372" spans="1:7">
      <c r="A3372" t="s">
        <v>1876</v>
      </c>
      <c r="B3372" t="s">
        <v>357</v>
      </c>
      <c r="C3372" t="s">
        <v>227</v>
      </c>
      <c r="D3372">
        <v>773861</v>
      </c>
      <c r="E3372">
        <v>806313</v>
      </c>
      <c r="F3372">
        <v>793263</v>
      </c>
      <c r="G3372">
        <v>859522</v>
      </c>
    </row>
    <row r="3373" spans="1:7">
      <c r="A3373" t="s">
        <v>1876</v>
      </c>
      <c r="B3373" t="s">
        <v>357</v>
      </c>
      <c r="C3373" t="s">
        <v>228</v>
      </c>
      <c r="D3373">
        <v>773861</v>
      </c>
      <c r="E3373">
        <v>806313</v>
      </c>
      <c r="F3373">
        <v>793263</v>
      </c>
      <c r="G3373">
        <v>859522</v>
      </c>
    </row>
    <row r="3374" spans="1:7">
      <c r="A3374" t="s">
        <v>1876</v>
      </c>
      <c r="B3374" t="s">
        <v>357</v>
      </c>
      <c r="C3374" t="s">
        <v>229</v>
      </c>
      <c r="D3374">
        <v>3962</v>
      </c>
      <c r="E3374">
        <v>4062</v>
      </c>
      <c r="F3374">
        <v>3263</v>
      </c>
      <c r="G3374">
        <v>3031</v>
      </c>
    </row>
    <row r="3375" spans="1:7">
      <c r="A3375" t="s">
        <v>1876</v>
      </c>
      <c r="B3375" t="s">
        <v>357</v>
      </c>
      <c r="C3375" t="s">
        <v>230</v>
      </c>
      <c r="D3375">
        <v>2601</v>
      </c>
      <c r="E3375">
        <v>2815</v>
      </c>
      <c r="F3375">
        <v>2084</v>
      </c>
      <c r="G3375">
        <v>1927</v>
      </c>
    </row>
    <row r="3376" spans="1:7">
      <c r="A3376" t="s">
        <v>1876</v>
      </c>
      <c r="B3376" t="s">
        <v>357</v>
      </c>
      <c r="C3376" t="s">
        <v>231</v>
      </c>
      <c r="D3376">
        <v>6563</v>
      </c>
      <c r="E3376">
        <v>6877</v>
      </c>
      <c r="F3376">
        <v>5347</v>
      </c>
      <c r="G3376">
        <v>4958</v>
      </c>
    </row>
    <row r="3377" spans="1:7">
      <c r="A3377" t="s">
        <v>1876</v>
      </c>
      <c r="B3377" t="s">
        <v>357</v>
      </c>
      <c r="C3377" t="s">
        <v>232</v>
      </c>
      <c r="D3377">
        <v>6563</v>
      </c>
      <c r="E3377">
        <v>6877</v>
      </c>
      <c r="F3377">
        <v>5347</v>
      </c>
      <c r="G3377">
        <v>4958</v>
      </c>
    </row>
    <row r="3378" spans="1:7">
      <c r="A3378" t="s">
        <v>1876</v>
      </c>
      <c r="B3378" t="s">
        <v>357</v>
      </c>
      <c r="C3378" t="s">
        <v>233</v>
      </c>
      <c r="D3378">
        <v>0</v>
      </c>
      <c r="E3378">
        <v>0</v>
      </c>
      <c r="F3378">
        <v>0</v>
      </c>
      <c r="G3378">
        <v>0</v>
      </c>
    </row>
    <row r="3379" spans="1:7">
      <c r="A3379" t="s">
        <v>1876</v>
      </c>
      <c r="B3379" t="s">
        <v>357</v>
      </c>
      <c r="C3379" t="s">
        <v>234</v>
      </c>
      <c r="D3379">
        <v>545257</v>
      </c>
      <c r="E3379">
        <v>530563</v>
      </c>
      <c r="F3379">
        <v>587964</v>
      </c>
      <c r="G3379">
        <v>571598</v>
      </c>
    </row>
    <row r="3380" spans="1:7">
      <c r="A3380" t="s">
        <v>1876</v>
      </c>
      <c r="B3380" t="s">
        <v>357</v>
      </c>
      <c r="C3380" t="s">
        <v>235</v>
      </c>
      <c r="D3380">
        <v>12739</v>
      </c>
      <c r="E3380">
        <v>13067</v>
      </c>
      <c r="F3380">
        <v>13130</v>
      </c>
      <c r="G3380">
        <v>11562</v>
      </c>
    </row>
    <row r="3381" spans="1:7">
      <c r="A3381" t="s">
        <v>1876</v>
      </c>
      <c r="B3381" t="s">
        <v>357</v>
      </c>
      <c r="C3381" t="s">
        <v>236</v>
      </c>
      <c r="D3381">
        <v>6594</v>
      </c>
      <c r="E3381">
        <v>6792</v>
      </c>
      <c r="F3381">
        <v>6822</v>
      </c>
      <c r="G3381">
        <v>8041</v>
      </c>
    </row>
    <row r="3382" spans="1:7">
      <c r="A3382" t="s">
        <v>1876</v>
      </c>
      <c r="B3382" t="s">
        <v>357</v>
      </c>
      <c r="C3382" t="s">
        <v>237</v>
      </c>
      <c r="D3382">
        <v>564590</v>
      </c>
      <c r="E3382">
        <v>550422</v>
      </c>
      <c r="F3382">
        <v>607917</v>
      </c>
      <c r="G3382">
        <v>591201</v>
      </c>
    </row>
    <row r="3383" spans="1:7">
      <c r="A3383" t="s">
        <v>1876</v>
      </c>
      <c r="B3383" t="s">
        <v>357</v>
      </c>
      <c r="C3383" t="s">
        <v>238</v>
      </c>
      <c r="D3383">
        <v>564590</v>
      </c>
      <c r="E3383">
        <v>550422</v>
      </c>
      <c r="F3383">
        <v>607917</v>
      </c>
      <c r="G3383">
        <v>591201</v>
      </c>
    </row>
    <row r="3384" spans="1:7">
      <c r="A3384" t="s">
        <v>1876</v>
      </c>
      <c r="B3384" t="s">
        <v>357</v>
      </c>
      <c r="C3384" t="s">
        <v>1934</v>
      </c>
      <c r="D3384">
        <v>507737</v>
      </c>
      <c r="E3384">
        <v>493704</v>
      </c>
      <c r="F3384">
        <v>547332</v>
      </c>
      <c r="G3384">
        <v>532163</v>
      </c>
    </row>
    <row r="3385" spans="1:7">
      <c r="A3385" t="s">
        <v>1876</v>
      </c>
      <c r="B3385" t="s">
        <v>357</v>
      </c>
      <c r="C3385" t="s">
        <v>1935</v>
      </c>
      <c r="D3385">
        <v>11863</v>
      </c>
      <c r="E3385">
        <v>12159</v>
      </c>
      <c r="F3385">
        <v>12223</v>
      </c>
      <c r="G3385">
        <v>10764</v>
      </c>
    </row>
    <row r="3386" spans="1:7">
      <c r="A3386" t="s">
        <v>1876</v>
      </c>
      <c r="B3386" t="s">
        <v>357</v>
      </c>
      <c r="C3386" t="s">
        <v>1936</v>
      </c>
      <c r="D3386">
        <v>6140</v>
      </c>
      <c r="E3386">
        <v>6320</v>
      </c>
      <c r="F3386">
        <v>6351</v>
      </c>
      <c r="G3386">
        <v>7487</v>
      </c>
    </row>
    <row r="3387" spans="1:7">
      <c r="A3387" t="s">
        <v>1876</v>
      </c>
      <c r="B3387" t="s">
        <v>357</v>
      </c>
      <c r="C3387" t="s">
        <v>239</v>
      </c>
      <c r="D3387">
        <v>525739</v>
      </c>
      <c r="E3387">
        <v>512183</v>
      </c>
      <c r="F3387">
        <v>565906</v>
      </c>
      <c r="G3387">
        <v>550413</v>
      </c>
    </row>
    <row r="3388" spans="1:7">
      <c r="A3388" t="s">
        <v>1876</v>
      </c>
      <c r="B3388" t="s">
        <v>357</v>
      </c>
      <c r="C3388" t="s">
        <v>240</v>
      </c>
      <c r="D3388">
        <v>2003</v>
      </c>
      <c r="E3388">
        <v>1634</v>
      </c>
      <c r="F3388">
        <v>1571</v>
      </c>
      <c r="G3388">
        <v>1538</v>
      </c>
    </row>
    <row r="3389" spans="1:7">
      <c r="A3389" t="s">
        <v>1876</v>
      </c>
      <c r="B3389" t="s">
        <v>357</v>
      </c>
      <c r="C3389" t="s">
        <v>241</v>
      </c>
      <c r="D3389">
        <v>0</v>
      </c>
      <c r="E3389">
        <v>0</v>
      </c>
      <c r="F3389">
        <v>0</v>
      </c>
      <c r="G3389">
        <v>0</v>
      </c>
    </row>
    <row r="3390" spans="1:7">
      <c r="A3390" t="s">
        <v>1876</v>
      </c>
      <c r="B3390" t="s">
        <v>357</v>
      </c>
      <c r="C3390" t="s">
        <v>242</v>
      </c>
      <c r="D3390">
        <v>8102</v>
      </c>
      <c r="E3390">
        <v>10082</v>
      </c>
      <c r="F3390">
        <v>12697</v>
      </c>
      <c r="G3390">
        <v>12174</v>
      </c>
    </row>
    <row r="3391" spans="1:7">
      <c r="A3391" t="s">
        <v>1876</v>
      </c>
      <c r="B3391" t="s">
        <v>357</v>
      </c>
      <c r="C3391" t="s">
        <v>243</v>
      </c>
      <c r="D3391">
        <v>54512</v>
      </c>
      <c r="E3391">
        <v>57376</v>
      </c>
      <c r="F3391">
        <v>52679</v>
      </c>
      <c r="G3391">
        <v>57046</v>
      </c>
    </row>
    <row r="3392" spans="1:7">
      <c r="A3392" t="s">
        <v>1876</v>
      </c>
      <c r="B3392" t="s">
        <v>357</v>
      </c>
      <c r="C3392" t="s">
        <v>244</v>
      </c>
      <c r="D3392">
        <v>415218</v>
      </c>
      <c r="E3392">
        <v>445618</v>
      </c>
      <c r="F3392">
        <v>440161</v>
      </c>
      <c r="G3392">
        <v>417377</v>
      </c>
    </row>
    <row r="3393" spans="1:7">
      <c r="A3393" t="s">
        <v>1876</v>
      </c>
      <c r="B3393" t="s">
        <v>357</v>
      </c>
      <c r="C3393" t="s">
        <v>1709</v>
      </c>
      <c r="D3393">
        <v>16727</v>
      </c>
      <c r="E3393">
        <v>16067</v>
      </c>
      <c r="F3393">
        <v>16486</v>
      </c>
      <c r="G3393">
        <v>16387</v>
      </c>
    </row>
    <row r="3394" spans="1:7">
      <c r="A3394" t="s">
        <v>1876</v>
      </c>
      <c r="B3394" t="s">
        <v>357</v>
      </c>
      <c r="C3394" t="s">
        <v>245</v>
      </c>
      <c r="D3394">
        <v>166369</v>
      </c>
      <c r="E3394">
        <v>158748</v>
      </c>
      <c r="F3394">
        <v>160630</v>
      </c>
      <c r="G3394">
        <v>161205</v>
      </c>
    </row>
    <row r="3395" spans="1:7">
      <c r="A3395" t="s">
        <v>1876</v>
      </c>
      <c r="B3395" t="s">
        <v>357</v>
      </c>
      <c r="C3395" t="s">
        <v>246</v>
      </c>
      <c r="D3395">
        <v>130082</v>
      </c>
      <c r="E3395">
        <v>138156</v>
      </c>
      <c r="F3395">
        <v>125198</v>
      </c>
      <c r="G3395">
        <v>135455</v>
      </c>
    </row>
    <row r="3396" spans="1:7">
      <c r="A3396" t="s">
        <v>1876</v>
      </c>
      <c r="B3396" t="s">
        <v>357</v>
      </c>
      <c r="C3396" t="s">
        <v>247</v>
      </c>
      <c r="D3396">
        <v>774283</v>
      </c>
      <c r="E3396">
        <v>809981</v>
      </c>
      <c r="F3396">
        <v>791363</v>
      </c>
      <c r="G3396">
        <v>783256</v>
      </c>
    </row>
    <row r="3397" spans="1:7">
      <c r="A3397" t="s">
        <v>1876</v>
      </c>
      <c r="B3397" t="s">
        <v>357</v>
      </c>
      <c r="C3397" t="s">
        <v>248</v>
      </c>
      <c r="D3397">
        <v>71.7</v>
      </c>
      <c r="E3397">
        <v>74.099999999999994</v>
      </c>
      <c r="F3397">
        <v>71.5</v>
      </c>
      <c r="G3397">
        <v>69.900000000000006</v>
      </c>
    </row>
    <row r="3398" spans="1:7">
      <c r="A3398" t="s">
        <v>1876</v>
      </c>
      <c r="B3398" t="s">
        <v>357</v>
      </c>
      <c r="C3398" t="s">
        <v>249</v>
      </c>
      <c r="D3398">
        <v>359066</v>
      </c>
      <c r="E3398">
        <v>364361</v>
      </c>
      <c r="F3398">
        <v>351204</v>
      </c>
      <c r="G3398">
        <v>365880</v>
      </c>
    </row>
    <row r="3399" spans="1:7">
      <c r="A3399" t="s">
        <v>1876</v>
      </c>
      <c r="B3399" t="s">
        <v>357</v>
      </c>
      <c r="C3399" t="s">
        <v>250</v>
      </c>
      <c r="D3399">
        <v>773889</v>
      </c>
      <c r="E3399">
        <v>809618</v>
      </c>
      <c r="F3399">
        <v>791013</v>
      </c>
      <c r="G3399">
        <v>782914</v>
      </c>
    </row>
    <row r="3400" spans="1:7">
      <c r="A3400" t="s">
        <v>1876</v>
      </c>
      <c r="B3400" t="s">
        <v>357</v>
      </c>
      <c r="C3400" t="s">
        <v>1937</v>
      </c>
      <c r="D3400">
        <v>4.7</v>
      </c>
      <c r="E3400">
        <v>9.4</v>
      </c>
      <c r="F3400">
        <v>4.9000000000000004</v>
      </c>
      <c r="G3400">
        <v>5.3</v>
      </c>
    </row>
    <row r="3401" spans="1:7">
      <c r="A3401" t="s">
        <v>1876</v>
      </c>
      <c r="B3401" t="s">
        <v>357</v>
      </c>
      <c r="C3401" t="s">
        <v>1938</v>
      </c>
      <c r="D3401">
        <v>95.4</v>
      </c>
      <c r="E3401">
        <v>95.8</v>
      </c>
      <c r="F3401">
        <v>93.9</v>
      </c>
      <c r="G3401">
        <v>91.7</v>
      </c>
    </row>
    <row r="3402" spans="1:7">
      <c r="A3402" t="s">
        <v>1876</v>
      </c>
      <c r="B3402" t="s">
        <v>357</v>
      </c>
      <c r="C3402" t="s">
        <v>251</v>
      </c>
      <c r="D3402">
        <v>354085</v>
      </c>
      <c r="E3402">
        <v>356001</v>
      </c>
      <c r="F3402">
        <v>390663</v>
      </c>
      <c r="G3402">
        <v>501012</v>
      </c>
    </row>
    <row r="3403" spans="1:7">
      <c r="A3403" t="s">
        <v>1876</v>
      </c>
      <c r="B3403" t="s">
        <v>357</v>
      </c>
      <c r="C3403" t="s">
        <v>252</v>
      </c>
      <c r="D3403">
        <v>354085</v>
      </c>
      <c r="E3403">
        <v>356001</v>
      </c>
      <c r="F3403">
        <v>390663</v>
      </c>
      <c r="G3403">
        <v>501012</v>
      </c>
    </row>
    <row r="3404" spans="1:7">
      <c r="A3404" t="s">
        <v>1876</v>
      </c>
      <c r="B3404" t="s">
        <v>357</v>
      </c>
      <c r="C3404" t="s">
        <v>1710</v>
      </c>
      <c r="D3404">
        <v>4061</v>
      </c>
      <c r="E3404">
        <v>4061</v>
      </c>
      <c r="F3404">
        <v>5175</v>
      </c>
      <c r="G3404">
        <v>6289</v>
      </c>
    </row>
    <row r="3405" spans="1:7">
      <c r="A3405" t="s">
        <v>1876</v>
      </c>
      <c r="B3405" t="s">
        <v>357</v>
      </c>
      <c r="C3405" t="s">
        <v>1939</v>
      </c>
      <c r="D3405">
        <v>22.8</v>
      </c>
      <c r="E3405">
        <v>24.8</v>
      </c>
      <c r="F3405">
        <v>36.4</v>
      </c>
      <c r="G3405">
        <v>34.700000000000003</v>
      </c>
    </row>
    <row r="3406" spans="1:7">
      <c r="A3406" t="s">
        <v>1876</v>
      </c>
      <c r="B3406" t="s">
        <v>357</v>
      </c>
      <c r="C3406" t="s">
        <v>253</v>
      </c>
      <c r="D3406">
        <v>0</v>
      </c>
      <c r="E3406">
        <v>0</v>
      </c>
      <c r="F3406">
        <v>0</v>
      </c>
      <c r="G3406">
        <v>0</v>
      </c>
    </row>
    <row r="3407" spans="1:7">
      <c r="A3407" t="s">
        <v>1876</v>
      </c>
      <c r="B3407" t="s">
        <v>357</v>
      </c>
      <c r="C3407" t="s">
        <v>1711</v>
      </c>
      <c r="D3407">
        <v>0</v>
      </c>
      <c r="E3407">
        <v>0</v>
      </c>
      <c r="F3407">
        <v>0</v>
      </c>
      <c r="G3407">
        <v>0</v>
      </c>
    </row>
    <row r="3408" spans="1:7">
      <c r="A3408" t="s">
        <v>1876</v>
      </c>
      <c r="B3408" t="s">
        <v>357</v>
      </c>
      <c r="C3408" t="s">
        <v>1712</v>
      </c>
      <c r="D3408">
        <v>6232</v>
      </c>
      <c r="E3408">
        <v>5787</v>
      </c>
      <c r="F3408">
        <v>5572</v>
      </c>
      <c r="G3408">
        <v>5162</v>
      </c>
    </row>
    <row r="3409" spans="1:7">
      <c r="A3409" t="s">
        <v>1876</v>
      </c>
      <c r="B3409" t="s">
        <v>357</v>
      </c>
      <c r="C3409" t="s">
        <v>1713</v>
      </c>
      <c r="D3409">
        <v>2710</v>
      </c>
      <c r="E3409">
        <v>2465</v>
      </c>
      <c r="F3409">
        <v>3984</v>
      </c>
      <c r="G3409">
        <v>4037</v>
      </c>
    </row>
    <row r="3410" spans="1:7">
      <c r="A3410" t="s">
        <v>1876</v>
      </c>
      <c r="B3410" t="s">
        <v>357</v>
      </c>
      <c r="C3410" t="s">
        <v>1940</v>
      </c>
      <c r="D3410">
        <v>0</v>
      </c>
      <c r="E3410">
        <v>0</v>
      </c>
      <c r="F3410">
        <v>0</v>
      </c>
      <c r="G3410">
        <v>0</v>
      </c>
    </row>
    <row r="3411" spans="1:7">
      <c r="A3411" t="s">
        <v>1876</v>
      </c>
      <c r="B3411" t="s">
        <v>357</v>
      </c>
      <c r="C3411" t="s">
        <v>1941</v>
      </c>
      <c r="D3411">
        <v>8</v>
      </c>
      <c r="E3411">
        <v>7</v>
      </c>
      <c r="F3411">
        <v>4</v>
      </c>
      <c r="G3411">
        <v>8</v>
      </c>
    </row>
    <row r="3412" spans="1:7">
      <c r="A3412" t="s">
        <v>1876</v>
      </c>
      <c r="B3412" t="s">
        <v>357</v>
      </c>
      <c r="C3412" t="s">
        <v>254</v>
      </c>
      <c r="D3412">
        <v>6232</v>
      </c>
      <c r="E3412">
        <v>5787</v>
      </c>
      <c r="F3412">
        <v>5572</v>
      </c>
      <c r="G3412">
        <v>5162</v>
      </c>
    </row>
    <row r="3413" spans="1:7">
      <c r="A3413" t="s">
        <v>1876</v>
      </c>
      <c r="B3413" t="s">
        <v>357</v>
      </c>
      <c r="C3413" t="s">
        <v>1942</v>
      </c>
      <c r="D3413">
        <v>0</v>
      </c>
      <c r="E3413">
        <v>0</v>
      </c>
      <c r="F3413">
        <v>0</v>
      </c>
      <c r="G3413">
        <v>0</v>
      </c>
    </row>
    <row r="3414" spans="1:7">
      <c r="A3414" t="s">
        <v>1876</v>
      </c>
      <c r="B3414" t="s">
        <v>357</v>
      </c>
      <c r="C3414" t="s">
        <v>255</v>
      </c>
      <c r="D3414">
        <v>8950</v>
      </c>
      <c r="E3414">
        <v>8259</v>
      </c>
      <c r="F3414">
        <v>9560</v>
      </c>
      <c r="G3414">
        <v>9208</v>
      </c>
    </row>
    <row r="3415" spans="1:7">
      <c r="A3415" t="s">
        <v>1876</v>
      </c>
      <c r="B3415" t="s">
        <v>357</v>
      </c>
      <c r="C3415" t="s">
        <v>256</v>
      </c>
      <c r="D3415">
        <v>8942</v>
      </c>
      <c r="E3415">
        <v>8252</v>
      </c>
      <c r="F3415">
        <v>9556</v>
      </c>
      <c r="G3415">
        <v>9199</v>
      </c>
    </row>
    <row r="3416" spans="1:7">
      <c r="A3416" t="s">
        <v>1876</v>
      </c>
      <c r="B3416" t="s">
        <v>357</v>
      </c>
      <c r="C3416" t="s">
        <v>1714</v>
      </c>
      <c r="D3416">
        <v>44</v>
      </c>
      <c r="E3416">
        <v>0</v>
      </c>
      <c r="F3416">
        <v>0</v>
      </c>
      <c r="G3416">
        <v>0</v>
      </c>
    </row>
    <row r="3417" spans="1:7">
      <c r="A3417" t="s">
        <v>1876</v>
      </c>
      <c r="B3417" t="s">
        <v>357</v>
      </c>
      <c r="C3417" t="s">
        <v>257</v>
      </c>
      <c r="D3417">
        <v>38643</v>
      </c>
      <c r="E3417">
        <v>39092</v>
      </c>
      <c r="F3417">
        <v>42715</v>
      </c>
      <c r="G3417">
        <v>39078</v>
      </c>
    </row>
    <row r="3418" spans="1:7">
      <c r="A3418" t="s">
        <v>1876</v>
      </c>
      <c r="B3418" t="s">
        <v>357</v>
      </c>
      <c r="C3418" t="s">
        <v>258</v>
      </c>
      <c r="D3418">
        <v>46136</v>
      </c>
      <c r="E3418">
        <v>46456</v>
      </c>
      <c r="F3418">
        <v>50821</v>
      </c>
      <c r="G3418">
        <v>47030</v>
      </c>
    </row>
    <row r="3419" spans="1:7">
      <c r="A3419" t="s">
        <v>1876</v>
      </c>
      <c r="B3419" t="s">
        <v>357</v>
      </c>
      <c r="C3419" t="s">
        <v>259</v>
      </c>
      <c r="D3419">
        <v>46128</v>
      </c>
      <c r="E3419">
        <v>46449</v>
      </c>
      <c r="F3419">
        <v>50816</v>
      </c>
      <c r="G3419">
        <v>47022</v>
      </c>
    </row>
    <row r="3420" spans="1:7">
      <c r="A3420" t="s">
        <v>1876</v>
      </c>
      <c r="B3420" t="s">
        <v>357</v>
      </c>
      <c r="C3420" t="s">
        <v>260</v>
      </c>
      <c r="D3420">
        <v>852763</v>
      </c>
      <c r="E3420">
        <v>866008</v>
      </c>
      <c r="F3420">
        <v>934767</v>
      </c>
      <c r="G3420">
        <v>921629</v>
      </c>
    </row>
    <row r="3421" spans="1:7">
      <c r="A3421" t="s">
        <v>1876</v>
      </c>
      <c r="B3421" t="s">
        <v>357</v>
      </c>
      <c r="C3421" t="s">
        <v>1943</v>
      </c>
      <c r="D3421">
        <v>1.5</v>
      </c>
      <c r="E3421">
        <v>4.8</v>
      </c>
      <c r="F3421">
        <v>0.7</v>
      </c>
      <c r="G3421">
        <v>1.4</v>
      </c>
    </row>
    <row r="3422" spans="1:7">
      <c r="A3422" t="s">
        <v>1876</v>
      </c>
      <c r="B3422" t="s">
        <v>357</v>
      </c>
      <c r="C3422" t="s">
        <v>261</v>
      </c>
      <c r="D3422">
        <v>24693</v>
      </c>
      <c r="E3422">
        <v>25630</v>
      </c>
      <c r="F3422">
        <v>24390</v>
      </c>
      <c r="G3422">
        <v>23087</v>
      </c>
    </row>
    <row r="3423" spans="1:7">
      <c r="A3423" t="s">
        <v>1876</v>
      </c>
      <c r="B3423" t="s">
        <v>357</v>
      </c>
      <c r="C3423" t="s">
        <v>262</v>
      </c>
      <c r="D3423">
        <v>862</v>
      </c>
      <c r="E3423">
        <v>2178</v>
      </c>
      <c r="F3423">
        <v>453</v>
      </c>
      <c r="G3423">
        <v>1008</v>
      </c>
    </row>
    <row r="3424" spans="1:7">
      <c r="A3424" t="s">
        <v>1876</v>
      </c>
      <c r="B3424" t="s">
        <v>357</v>
      </c>
      <c r="C3424" t="s">
        <v>1715</v>
      </c>
      <c r="D3424">
        <v>1030</v>
      </c>
      <c r="E3424">
        <v>1685</v>
      </c>
      <c r="F3424">
        <v>1191</v>
      </c>
      <c r="G3424">
        <v>1192</v>
      </c>
    </row>
    <row r="3425" spans="1:7">
      <c r="A3425" t="s">
        <v>1876</v>
      </c>
      <c r="B3425" t="s">
        <v>357</v>
      </c>
      <c r="C3425" t="s">
        <v>263</v>
      </c>
      <c r="D3425">
        <v>81698</v>
      </c>
      <c r="E3425">
        <v>83489</v>
      </c>
      <c r="F3425">
        <v>84834</v>
      </c>
      <c r="G3425">
        <v>82836</v>
      </c>
    </row>
    <row r="3426" spans="1:7">
      <c r="A3426" t="s">
        <v>1876</v>
      </c>
      <c r="B3426" t="s">
        <v>357</v>
      </c>
      <c r="C3426" t="s">
        <v>264</v>
      </c>
      <c r="D3426">
        <v>7898</v>
      </c>
      <c r="E3426">
        <v>7635</v>
      </c>
      <c r="F3426">
        <v>7013</v>
      </c>
      <c r="G3426">
        <v>8292</v>
      </c>
    </row>
    <row r="3427" spans="1:7">
      <c r="A3427" t="s">
        <v>1876</v>
      </c>
      <c r="B3427" t="s">
        <v>357</v>
      </c>
      <c r="C3427" t="s">
        <v>265</v>
      </c>
      <c r="D3427">
        <v>967914</v>
      </c>
      <c r="E3427">
        <v>984940</v>
      </c>
      <c r="F3427">
        <v>1051456</v>
      </c>
      <c r="G3427">
        <v>1036851</v>
      </c>
    </row>
    <row r="3428" spans="1:7">
      <c r="A3428" t="s">
        <v>1876</v>
      </c>
      <c r="B3428" t="s">
        <v>357</v>
      </c>
      <c r="C3428" t="s">
        <v>266</v>
      </c>
      <c r="D3428">
        <v>89.7</v>
      </c>
      <c r="E3428">
        <v>90.1</v>
      </c>
      <c r="F3428">
        <v>95</v>
      </c>
      <c r="G3428">
        <v>92.5</v>
      </c>
    </row>
    <row r="3429" spans="1:7">
      <c r="A3429" t="s">
        <v>1876</v>
      </c>
      <c r="B3429" t="s">
        <v>357</v>
      </c>
      <c r="C3429" t="s">
        <v>267</v>
      </c>
      <c r="D3429">
        <v>967052</v>
      </c>
      <c r="E3429">
        <v>982762</v>
      </c>
      <c r="F3429">
        <v>1051004</v>
      </c>
      <c r="G3429">
        <v>1035843</v>
      </c>
    </row>
    <row r="3430" spans="1:7">
      <c r="A3430" t="s">
        <v>1876</v>
      </c>
      <c r="B3430" t="s">
        <v>357</v>
      </c>
      <c r="C3430" t="s">
        <v>268</v>
      </c>
      <c r="D3430">
        <v>0</v>
      </c>
      <c r="E3430">
        <v>0</v>
      </c>
      <c r="F3430">
        <v>0</v>
      </c>
      <c r="G3430">
        <v>0</v>
      </c>
    </row>
    <row r="3431" spans="1:7">
      <c r="A3431" t="s">
        <v>1876</v>
      </c>
      <c r="B3431" t="s">
        <v>357</v>
      </c>
      <c r="C3431" t="s">
        <v>269</v>
      </c>
      <c r="D3431">
        <v>0</v>
      </c>
      <c r="E3431">
        <v>0</v>
      </c>
      <c r="F3431">
        <v>0</v>
      </c>
      <c r="G3431">
        <v>0</v>
      </c>
    </row>
    <row r="3432" spans="1:7">
      <c r="A3432" t="s">
        <v>1876</v>
      </c>
      <c r="B3432" t="s">
        <v>357</v>
      </c>
      <c r="C3432" t="s">
        <v>270</v>
      </c>
      <c r="D3432">
        <v>3110</v>
      </c>
      <c r="E3432">
        <v>3995</v>
      </c>
      <c r="F3432">
        <v>2474</v>
      </c>
      <c r="G3432">
        <v>3051</v>
      </c>
    </row>
    <row r="3433" spans="1:7">
      <c r="A3433" t="s">
        <v>1876</v>
      </c>
      <c r="B3433" t="s">
        <v>357</v>
      </c>
      <c r="C3433" t="s">
        <v>271</v>
      </c>
      <c r="D3433">
        <v>3110</v>
      </c>
      <c r="E3433">
        <v>3995</v>
      </c>
      <c r="F3433">
        <v>2474</v>
      </c>
      <c r="G3433">
        <v>3051</v>
      </c>
    </row>
    <row r="3434" spans="1:7">
      <c r="A3434" t="s">
        <v>1876</v>
      </c>
      <c r="B3434" t="s">
        <v>357</v>
      </c>
      <c r="C3434" t="s">
        <v>272</v>
      </c>
      <c r="D3434">
        <v>3110</v>
      </c>
      <c r="E3434">
        <v>3995</v>
      </c>
      <c r="F3434">
        <v>2474</v>
      </c>
      <c r="G3434">
        <v>3051</v>
      </c>
    </row>
    <row r="3435" spans="1:7">
      <c r="A3435" t="s">
        <v>1876</v>
      </c>
      <c r="B3435" t="s">
        <v>357</v>
      </c>
      <c r="C3435" t="s">
        <v>1944</v>
      </c>
      <c r="D3435">
        <v>13.2</v>
      </c>
      <c r="E3435">
        <v>16.7</v>
      </c>
      <c r="F3435">
        <v>20</v>
      </c>
      <c r="G3435">
        <v>25.4</v>
      </c>
    </row>
    <row r="3436" spans="1:7">
      <c r="A3436" t="s">
        <v>1876</v>
      </c>
      <c r="B3436" t="s">
        <v>357</v>
      </c>
      <c r="C3436" t="s">
        <v>1945</v>
      </c>
      <c r="D3436">
        <v>20</v>
      </c>
      <c r="E3436">
        <v>28</v>
      </c>
      <c r="F3436">
        <v>51</v>
      </c>
      <c r="G3436">
        <v>59</v>
      </c>
    </row>
    <row r="3437" spans="1:7">
      <c r="A3437" t="s">
        <v>1876</v>
      </c>
      <c r="B3437" t="s">
        <v>357</v>
      </c>
      <c r="C3437" t="s">
        <v>273</v>
      </c>
      <c r="D3437">
        <v>0</v>
      </c>
      <c r="E3437">
        <v>0</v>
      </c>
      <c r="F3437">
        <v>0</v>
      </c>
      <c r="G3437">
        <v>0</v>
      </c>
    </row>
    <row r="3438" spans="1:7">
      <c r="A3438" t="s">
        <v>1876</v>
      </c>
      <c r="B3438" t="s">
        <v>357</v>
      </c>
      <c r="C3438" t="s">
        <v>1946</v>
      </c>
      <c r="D3438">
        <v>810526</v>
      </c>
      <c r="E3438">
        <v>824946</v>
      </c>
      <c r="F3438">
        <v>887804</v>
      </c>
      <c r="G3438">
        <v>875975</v>
      </c>
    </row>
    <row r="3439" spans="1:7">
      <c r="A3439" t="s">
        <v>1876</v>
      </c>
      <c r="B3439" t="s">
        <v>357</v>
      </c>
      <c r="C3439" t="s">
        <v>1947</v>
      </c>
      <c r="D3439">
        <v>23816</v>
      </c>
      <c r="E3439">
        <v>24722</v>
      </c>
      <c r="F3439">
        <v>23483</v>
      </c>
      <c r="G3439">
        <v>22289</v>
      </c>
    </row>
    <row r="3440" spans="1:7">
      <c r="A3440" t="s">
        <v>1876</v>
      </c>
      <c r="B3440" t="s">
        <v>357</v>
      </c>
      <c r="C3440" t="s">
        <v>1948</v>
      </c>
      <c r="D3440">
        <v>853</v>
      </c>
      <c r="E3440">
        <v>2171</v>
      </c>
      <c r="F3440">
        <v>448</v>
      </c>
      <c r="G3440">
        <v>999</v>
      </c>
    </row>
    <row r="3441" spans="1:7">
      <c r="A3441" t="s">
        <v>1876</v>
      </c>
      <c r="B3441" t="s">
        <v>357</v>
      </c>
      <c r="C3441" t="s">
        <v>1949</v>
      </c>
      <c r="D3441">
        <v>81245</v>
      </c>
      <c r="E3441">
        <v>83017</v>
      </c>
      <c r="F3441">
        <v>84362</v>
      </c>
      <c r="G3441">
        <v>82281</v>
      </c>
    </row>
    <row r="3442" spans="1:7">
      <c r="A3442" t="s">
        <v>1876</v>
      </c>
      <c r="B3442" t="s">
        <v>357</v>
      </c>
      <c r="C3442" t="s">
        <v>1950</v>
      </c>
      <c r="D3442">
        <v>7898</v>
      </c>
      <c r="E3442">
        <v>7635</v>
      </c>
      <c r="F3442">
        <v>7013</v>
      </c>
      <c r="G3442">
        <v>8292</v>
      </c>
    </row>
    <row r="3443" spans="1:7">
      <c r="A3443" t="s">
        <v>1876</v>
      </c>
      <c r="B3443" t="s">
        <v>357</v>
      </c>
      <c r="C3443" t="s">
        <v>274</v>
      </c>
      <c r="D3443">
        <v>924337</v>
      </c>
      <c r="E3443">
        <v>942491</v>
      </c>
      <c r="F3443">
        <v>1003111</v>
      </c>
      <c r="G3443">
        <v>989836</v>
      </c>
    </row>
    <row r="3444" spans="1:7">
      <c r="A3444" t="s">
        <v>1876</v>
      </c>
      <c r="B3444" t="s">
        <v>357</v>
      </c>
      <c r="C3444" t="s">
        <v>275</v>
      </c>
      <c r="D3444">
        <v>0</v>
      </c>
      <c r="E3444">
        <v>0</v>
      </c>
      <c r="F3444">
        <v>0</v>
      </c>
      <c r="G3444">
        <v>0</v>
      </c>
    </row>
    <row r="3445" spans="1:7">
      <c r="A3445" t="s">
        <v>1876</v>
      </c>
      <c r="B3445" t="s">
        <v>357</v>
      </c>
      <c r="C3445" t="s">
        <v>276</v>
      </c>
      <c r="D3445">
        <v>0</v>
      </c>
      <c r="E3445">
        <v>0</v>
      </c>
      <c r="F3445">
        <v>0</v>
      </c>
      <c r="G3445">
        <v>0</v>
      </c>
    </row>
    <row r="3446" spans="1:7">
      <c r="A3446" t="s">
        <v>1876</v>
      </c>
      <c r="B3446" t="s">
        <v>357</v>
      </c>
      <c r="C3446" t="s">
        <v>277</v>
      </c>
      <c r="D3446">
        <v>514</v>
      </c>
      <c r="E3446">
        <v>748</v>
      </c>
      <c r="F3446">
        <v>983</v>
      </c>
      <c r="G3446">
        <v>1168</v>
      </c>
    </row>
    <row r="3447" spans="1:7">
      <c r="A3447" t="s">
        <v>1876</v>
      </c>
      <c r="B3447" t="s">
        <v>357</v>
      </c>
      <c r="C3447" t="s">
        <v>278</v>
      </c>
      <c r="D3447">
        <v>4480</v>
      </c>
      <c r="E3447">
        <v>5002</v>
      </c>
      <c r="F3447">
        <v>4212</v>
      </c>
      <c r="G3447">
        <v>4374</v>
      </c>
    </row>
    <row r="3448" spans="1:7">
      <c r="A3448" t="s">
        <v>1876</v>
      </c>
      <c r="B3448" t="s">
        <v>357</v>
      </c>
      <c r="C3448" t="s">
        <v>279</v>
      </c>
      <c r="D3448">
        <v>5974</v>
      </c>
      <c r="E3448">
        <v>6771</v>
      </c>
      <c r="F3448">
        <v>5350</v>
      </c>
      <c r="G3448">
        <v>6562</v>
      </c>
    </row>
    <row r="3449" spans="1:7">
      <c r="A3449" t="s">
        <v>1876</v>
      </c>
      <c r="B3449" t="s">
        <v>357</v>
      </c>
      <c r="C3449" t="s">
        <v>280</v>
      </c>
      <c r="D3449">
        <v>7766</v>
      </c>
      <c r="E3449">
        <v>7506</v>
      </c>
      <c r="F3449">
        <v>6859</v>
      </c>
      <c r="G3449">
        <v>8154</v>
      </c>
    </row>
    <row r="3450" spans="1:7">
      <c r="A3450" t="s">
        <v>1876</v>
      </c>
      <c r="B3450" t="s">
        <v>357</v>
      </c>
      <c r="C3450" t="s">
        <v>281</v>
      </c>
      <c r="D3450">
        <v>18735</v>
      </c>
      <c r="E3450">
        <v>20027</v>
      </c>
      <c r="F3450">
        <v>17404</v>
      </c>
      <c r="G3450">
        <v>20258</v>
      </c>
    </row>
    <row r="3451" spans="1:7">
      <c r="A3451" t="s">
        <v>1876</v>
      </c>
      <c r="B3451" t="s">
        <v>357</v>
      </c>
      <c r="C3451" t="s">
        <v>282</v>
      </c>
      <c r="D3451">
        <v>18735</v>
      </c>
      <c r="E3451">
        <v>20027</v>
      </c>
      <c r="F3451">
        <v>17404</v>
      </c>
      <c r="G3451">
        <v>20258</v>
      </c>
    </row>
    <row r="3452" spans="1:7">
      <c r="A3452" t="s">
        <v>1876</v>
      </c>
      <c r="B3452" t="s">
        <v>357</v>
      </c>
      <c r="C3452" t="s">
        <v>283</v>
      </c>
      <c r="D3452">
        <v>0</v>
      </c>
      <c r="E3452">
        <v>0</v>
      </c>
      <c r="F3452">
        <v>0</v>
      </c>
      <c r="G3452">
        <v>0</v>
      </c>
    </row>
    <row r="3453" spans="1:7">
      <c r="A3453" t="s">
        <v>1876</v>
      </c>
      <c r="B3453" t="s">
        <v>357</v>
      </c>
      <c r="C3453" t="s">
        <v>284</v>
      </c>
      <c r="D3453">
        <v>0</v>
      </c>
      <c r="E3453">
        <v>0</v>
      </c>
      <c r="F3453">
        <v>0</v>
      </c>
      <c r="G3453">
        <v>0</v>
      </c>
    </row>
    <row r="3454" spans="1:7">
      <c r="A3454" t="s">
        <v>1876</v>
      </c>
      <c r="B3454" t="s">
        <v>357</v>
      </c>
      <c r="C3454" t="s">
        <v>1716</v>
      </c>
      <c r="D3454">
        <v>42238</v>
      </c>
      <c r="E3454">
        <v>41063</v>
      </c>
      <c r="F3454">
        <v>46962</v>
      </c>
      <c r="G3454">
        <v>45654</v>
      </c>
    </row>
    <row r="3455" spans="1:7">
      <c r="A3455" t="s">
        <v>1876</v>
      </c>
      <c r="B3455" t="s">
        <v>357</v>
      </c>
      <c r="C3455" t="s">
        <v>1717</v>
      </c>
      <c r="D3455">
        <v>1992</v>
      </c>
      <c r="E3455">
        <v>2030</v>
      </c>
      <c r="F3455">
        <v>2074</v>
      </c>
      <c r="G3455">
        <v>2020</v>
      </c>
    </row>
    <row r="3456" spans="1:7">
      <c r="A3456" t="s">
        <v>1876</v>
      </c>
      <c r="B3456" t="s">
        <v>357</v>
      </c>
      <c r="C3456" t="s">
        <v>1718</v>
      </c>
      <c r="D3456">
        <v>56363</v>
      </c>
      <c r="E3456">
        <v>60910</v>
      </c>
      <c r="F3456">
        <v>62368</v>
      </c>
      <c r="G3456">
        <v>67929</v>
      </c>
    </row>
    <row r="3457" spans="1:7">
      <c r="A3457" t="s">
        <v>1876</v>
      </c>
      <c r="B3457" t="s">
        <v>357</v>
      </c>
      <c r="C3457" t="s">
        <v>1719</v>
      </c>
      <c r="D3457">
        <v>6065</v>
      </c>
      <c r="E3457">
        <v>6626</v>
      </c>
      <c r="F3457">
        <v>7175</v>
      </c>
      <c r="G3457">
        <v>8055</v>
      </c>
    </row>
    <row r="3458" spans="1:7">
      <c r="A3458" t="s">
        <v>1876</v>
      </c>
      <c r="B3458" t="s">
        <v>357</v>
      </c>
      <c r="C3458" t="s">
        <v>1720</v>
      </c>
      <c r="D3458">
        <v>183035</v>
      </c>
      <c r="E3458">
        <v>190056</v>
      </c>
      <c r="F3458">
        <v>182149</v>
      </c>
      <c r="G3458">
        <v>176470</v>
      </c>
    </row>
    <row r="3459" spans="1:7">
      <c r="A3459" t="s">
        <v>1876</v>
      </c>
      <c r="B3459" t="s">
        <v>357</v>
      </c>
      <c r="C3459" t="s">
        <v>1721</v>
      </c>
      <c r="D3459">
        <v>5477</v>
      </c>
      <c r="E3459">
        <v>6862</v>
      </c>
      <c r="F3459">
        <v>6229</v>
      </c>
      <c r="G3459">
        <v>6031</v>
      </c>
    </row>
    <row r="3460" spans="1:7">
      <c r="A3460" t="s">
        <v>1876</v>
      </c>
      <c r="B3460" t="s">
        <v>357</v>
      </c>
      <c r="C3460" t="s">
        <v>285</v>
      </c>
      <c r="D3460">
        <v>289105</v>
      </c>
      <c r="E3460">
        <v>300920</v>
      </c>
      <c r="F3460">
        <v>299782</v>
      </c>
      <c r="G3460">
        <v>298104</v>
      </c>
    </row>
    <row r="3461" spans="1:7">
      <c r="A3461" t="s">
        <v>1876</v>
      </c>
      <c r="B3461" t="s">
        <v>357</v>
      </c>
      <c r="C3461" t="s">
        <v>1951</v>
      </c>
      <c r="D3461">
        <v>10.5</v>
      </c>
      <c r="E3461">
        <v>10.6</v>
      </c>
      <c r="F3461">
        <v>10.4</v>
      </c>
      <c r="G3461">
        <v>10.1</v>
      </c>
    </row>
    <row r="3462" spans="1:7">
      <c r="A3462" t="s">
        <v>1876</v>
      </c>
      <c r="B3462" t="s">
        <v>357</v>
      </c>
      <c r="C3462" t="s">
        <v>286</v>
      </c>
      <c r="D3462">
        <v>6849</v>
      </c>
      <c r="E3462">
        <v>7019</v>
      </c>
      <c r="F3462">
        <v>5826</v>
      </c>
      <c r="G3462">
        <v>6307</v>
      </c>
    </row>
    <row r="3463" spans="1:7">
      <c r="A3463" t="s">
        <v>1876</v>
      </c>
      <c r="B3463" t="s">
        <v>357</v>
      </c>
      <c r="C3463" t="s">
        <v>287</v>
      </c>
      <c r="D3463">
        <v>0</v>
      </c>
      <c r="E3463">
        <v>0</v>
      </c>
      <c r="F3463">
        <v>0</v>
      </c>
      <c r="G3463">
        <v>0</v>
      </c>
    </row>
    <row r="3464" spans="1:7">
      <c r="A3464" t="s">
        <v>1876</v>
      </c>
      <c r="B3464" t="s">
        <v>357</v>
      </c>
      <c r="C3464" t="s">
        <v>288</v>
      </c>
      <c r="D3464">
        <v>0</v>
      </c>
      <c r="E3464">
        <v>0</v>
      </c>
      <c r="F3464">
        <v>0</v>
      </c>
      <c r="G3464">
        <v>0</v>
      </c>
    </row>
    <row r="3465" spans="1:7">
      <c r="A3465" t="s">
        <v>1876</v>
      </c>
      <c r="B3465" t="s">
        <v>357</v>
      </c>
      <c r="C3465" t="s">
        <v>289</v>
      </c>
      <c r="D3465">
        <v>987</v>
      </c>
      <c r="E3465">
        <v>1012</v>
      </c>
      <c r="F3465">
        <v>840</v>
      </c>
      <c r="G3465">
        <v>909</v>
      </c>
    </row>
    <row r="3466" spans="1:7">
      <c r="A3466" t="s">
        <v>1876</v>
      </c>
      <c r="B3466" t="s">
        <v>357</v>
      </c>
      <c r="C3466" t="s">
        <v>290</v>
      </c>
      <c r="D3466">
        <v>7837</v>
      </c>
      <c r="E3466">
        <v>8031</v>
      </c>
      <c r="F3466">
        <v>6666</v>
      </c>
      <c r="G3466">
        <v>7216</v>
      </c>
    </row>
    <row r="3467" spans="1:7">
      <c r="A3467" t="s">
        <v>1876</v>
      </c>
      <c r="B3467" t="s">
        <v>357</v>
      </c>
      <c r="C3467" t="s">
        <v>291</v>
      </c>
      <c r="D3467">
        <v>7837</v>
      </c>
      <c r="E3467">
        <v>8031</v>
      </c>
      <c r="F3467">
        <v>6666</v>
      </c>
      <c r="G3467">
        <v>7216</v>
      </c>
    </row>
    <row r="3468" spans="1:7">
      <c r="A3468" t="s">
        <v>1876</v>
      </c>
      <c r="B3468" t="s">
        <v>357</v>
      </c>
      <c r="C3468" t="s">
        <v>292</v>
      </c>
      <c r="D3468">
        <v>28</v>
      </c>
      <c r="E3468">
        <v>26</v>
      </c>
      <c r="F3468">
        <v>24</v>
      </c>
      <c r="G3468">
        <v>25</v>
      </c>
    </row>
    <row r="3469" spans="1:7">
      <c r="A3469" t="s">
        <v>1876</v>
      </c>
      <c r="B3469" t="s">
        <v>357</v>
      </c>
      <c r="C3469" t="s">
        <v>293</v>
      </c>
      <c r="D3469">
        <v>214</v>
      </c>
      <c r="E3469">
        <v>202</v>
      </c>
      <c r="F3469">
        <v>198</v>
      </c>
      <c r="G3469">
        <v>185</v>
      </c>
    </row>
    <row r="3470" spans="1:7">
      <c r="A3470" t="s">
        <v>1876</v>
      </c>
      <c r="B3470" t="s">
        <v>357</v>
      </c>
      <c r="C3470" t="s">
        <v>294</v>
      </c>
      <c r="D3470">
        <v>86</v>
      </c>
      <c r="E3470">
        <v>72</v>
      </c>
      <c r="F3470">
        <v>72</v>
      </c>
      <c r="G3470">
        <v>72</v>
      </c>
    </row>
    <row r="3471" spans="1:7">
      <c r="A3471" t="s">
        <v>1876</v>
      </c>
      <c r="B3471" t="s">
        <v>357</v>
      </c>
      <c r="C3471" t="s">
        <v>295</v>
      </c>
      <c r="D3471">
        <v>67</v>
      </c>
      <c r="E3471">
        <v>63</v>
      </c>
      <c r="F3471">
        <v>56</v>
      </c>
      <c r="G3471">
        <v>60</v>
      </c>
    </row>
    <row r="3472" spans="1:7">
      <c r="A3472" t="s">
        <v>1876</v>
      </c>
      <c r="B3472" t="s">
        <v>357</v>
      </c>
      <c r="C3472" t="s">
        <v>296</v>
      </c>
      <c r="D3472">
        <v>394</v>
      </c>
      <c r="E3472">
        <v>362</v>
      </c>
      <c r="F3472">
        <v>351</v>
      </c>
      <c r="G3472">
        <v>342</v>
      </c>
    </row>
    <row r="3473" spans="1:7">
      <c r="A3473" t="s">
        <v>1876</v>
      </c>
      <c r="B3473" t="s">
        <v>357</v>
      </c>
      <c r="C3473" t="s">
        <v>297</v>
      </c>
      <c r="D3473">
        <v>0</v>
      </c>
      <c r="E3473">
        <v>0</v>
      </c>
      <c r="F3473">
        <v>0</v>
      </c>
      <c r="G3473">
        <v>0</v>
      </c>
    </row>
    <row r="3474" spans="1:7">
      <c r="A3474" t="s">
        <v>1876</v>
      </c>
      <c r="B3474" t="s">
        <v>357</v>
      </c>
      <c r="C3474" t="s">
        <v>1952</v>
      </c>
      <c r="D3474">
        <v>0</v>
      </c>
      <c r="E3474">
        <v>0</v>
      </c>
      <c r="F3474">
        <v>0</v>
      </c>
      <c r="G3474">
        <v>0</v>
      </c>
    </row>
    <row r="3475" spans="1:7">
      <c r="A3475" t="s">
        <v>1876</v>
      </c>
      <c r="B3475" t="s">
        <v>357</v>
      </c>
      <c r="C3475" t="s">
        <v>298</v>
      </c>
      <c r="D3475">
        <v>3799</v>
      </c>
      <c r="E3475">
        <v>3646</v>
      </c>
      <c r="F3475">
        <v>3650</v>
      </c>
      <c r="G3475">
        <v>3192</v>
      </c>
    </row>
    <row r="3476" spans="1:7">
      <c r="A3476" t="s">
        <v>1876</v>
      </c>
      <c r="B3476" t="s">
        <v>357</v>
      </c>
      <c r="C3476" t="s">
        <v>299</v>
      </c>
      <c r="D3476">
        <v>216</v>
      </c>
      <c r="E3476">
        <v>223</v>
      </c>
      <c r="F3476">
        <v>268</v>
      </c>
      <c r="G3476">
        <v>323</v>
      </c>
    </row>
    <row r="3477" spans="1:7">
      <c r="A3477" t="s">
        <v>1876</v>
      </c>
      <c r="B3477" t="s">
        <v>357</v>
      </c>
      <c r="C3477" t="s">
        <v>300</v>
      </c>
      <c r="D3477">
        <v>16604</v>
      </c>
      <c r="E3477">
        <v>23697</v>
      </c>
      <c r="F3477">
        <v>25754</v>
      </c>
      <c r="G3477">
        <v>31332</v>
      </c>
    </row>
    <row r="3478" spans="1:7">
      <c r="A3478" t="s">
        <v>1876</v>
      </c>
      <c r="B3478" t="s">
        <v>357</v>
      </c>
      <c r="C3478" t="s">
        <v>1722</v>
      </c>
      <c r="D3478">
        <v>3068</v>
      </c>
      <c r="E3478">
        <v>3631</v>
      </c>
      <c r="F3478">
        <v>4123</v>
      </c>
      <c r="G3478">
        <v>5003</v>
      </c>
    </row>
    <row r="3479" spans="1:7">
      <c r="A3479" t="s">
        <v>1876</v>
      </c>
      <c r="B3479" t="s">
        <v>357</v>
      </c>
      <c r="C3479" t="s">
        <v>301</v>
      </c>
      <c r="D3479">
        <v>865</v>
      </c>
      <c r="E3479">
        <v>725</v>
      </c>
      <c r="F3479">
        <v>886</v>
      </c>
      <c r="G3479">
        <v>889</v>
      </c>
    </row>
    <row r="3480" spans="1:7">
      <c r="A3480" t="s">
        <v>1876</v>
      </c>
      <c r="B3480" t="s">
        <v>357</v>
      </c>
      <c r="C3480" t="s">
        <v>302</v>
      </c>
      <c r="D3480">
        <v>524</v>
      </c>
      <c r="E3480">
        <v>700</v>
      </c>
      <c r="F3480">
        <v>946</v>
      </c>
      <c r="G3480">
        <v>1059</v>
      </c>
    </row>
    <row r="3481" spans="1:7">
      <c r="A3481" t="s">
        <v>1876</v>
      </c>
      <c r="B3481" t="s">
        <v>357</v>
      </c>
      <c r="C3481" t="s">
        <v>303</v>
      </c>
      <c r="D3481">
        <v>18210</v>
      </c>
      <c r="E3481">
        <v>25345</v>
      </c>
      <c r="F3481">
        <v>27853</v>
      </c>
      <c r="G3481">
        <v>33603</v>
      </c>
    </row>
    <row r="3482" spans="1:7">
      <c r="A3482" t="s">
        <v>1876</v>
      </c>
      <c r="B3482" t="s">
        <v>357</v>
      </c>
      <c r="C3482" t="s">
        <v>304</v>
      </c>
      <c r="D3482">
        <v>1606</v>
      </c>
      <c r="E3482">
        <v>1648</v>
      </c>
      <c r="F3482">
        <v>2099</v>
      </c>
      <c r="G3482">
        <v>2271</v>
      </c>
    </row>
    <row r="3483" spans="1:7">
      <c r="A3483" t="s">
        <v>1876</v>
      </c>
      <c r="B3483" t="s">
        <v>357</v>
      </c>
      <c r="C3483" t="s">
        <v>1953</v>
      </c>
      <c r="D3483">
        <v>23.5</v>
      </c>
      <c r="E3483">
        <v>24.7</v>
      </c>
      <c r="F3483">
        <v>22.8</v>
      </c>
      <c r="G3483">
        <v>22.9</v>
      </c>
    </row>
    <row r="3484" spans="1:7">
      <c r="A3484" t="s">
        <v>1876</v>
      </c>
      <c r="B3484" t="s">
        <v>357</v>
      </c>
      <c r="C3484" t="s">
        <v>305</v>
      </c>
      <c r="D3484">
        <v>862159</v>
      </c>
      <c r="E3484">
        <v>877379</v>
      </c>
      <c r="F3484">
        <v>948760</v>
      </c>
      <c r="G3484">
        <v>935190</v>
      </c>
    </row>
    <row r="3485" spans="1:7">
      <c r="A3485" t="s">
        <v>1876</v>
      </c>
      <c r="B3485" t="s">
        <v>357</v>
      </c>
      <c r="C3485" t="s">
        <v>306</v>
      </c>
      <c r="D3485">
        <v>79.900000000000006</v>
      </c>
      <c r="E3485">
        <v>80.3</v>
      </c>
      <c r="F3485">
        <v>85.8</v>
      </c>
      <c r="G3485">
        <v>83.5</v>
      </c>
    </row>
    <row r="3486" spans="1:7">
      <c r="A3486" t="s">
        <v>1876</v>
      </c>
      <c r="B3486" t="s">
        <v>357</v>
      </c>
      <c r="C3486" t="s">
        <v>307</v>
      </c>
      <c r="D3486">
        <v>494375</v>
      </c>
      <c r="E3486">
        <v>528553</v>
      </c>
      <c r="F3486">
        <v>540712</v>
      </c>
      <c r="G3486">
        <v>585718</v>
      </c>
    </row>
    <row r="3487" spans="1:7">
      <c r="A3487" t="s">
        <v>1876</v>
      </c>
      <c r="B3487" t="s">
        <v>357</v>
      </c>
      <c r="C3487" t="s">
        <v>308</v>
      </c>
      <c r="D3487">
        <v>45.8</v>
      </c>
      <c r="E3487">
        <v>48.4</v>
      </c>
      <c r="F3487">
        <v>48.9</v>
      </c>
      <c r="G3487">
        <v>52.3</v>
      </c>
    </row>
    <row r="3488" spans="1:7">
      <c r="A3488" t="s">
        <v>1876</v>
      </c>
      <c r="B3488" t="s">
        <v>357</v>
      </c>
      <c r="C3488" t="s">
        <v>309</v>
      </c>
      <c r="D3488">
        <v>1022925</v>
      </c>
      <c r="E3488">
        <v>1038875</v>
      </c>
      <c r="F3488">
        <v>1066586</v>
      </c>
      <c r="G3488">
        <v>1174048</v>
      </c>
    </row>
    <row r="3489" spans="1:7">
      <c r="A3489" t="s">
        <v>1876</v>
      </c>
      <c r="B3489" t="s">
        <v>357</v>
      </c>
      <c r="C3489" t="s">
        <v>310</v>
      </c>
      <c r="D3489">
        <v>734148</v>
      </c>
      <c r="E3489">
        <v>745185</v>
      </c>
      <c r="F3489">
        <v>719969</v>
      </c>
      <c r="G3489">
        <v>722660</v>
      </c>
    </row>
    <row r="3490" spans="1:7">
      <c r="A3490" t="s">
        <v>1876</v>
      </c>
      <c r="B3490" t="s">
        <v>357</v>
      </c>
      <c r="C3490" t="s">
        <v>311</v>
      </c>
      <c r="D3490">
        <v>68</v>
      </c>
      <c r="E3490">
        <v>68.2</v>
      </c>
      <c r="F3490">
        <v>65.099999999999994</v>
      </c>
      <c r="G3490">
        <v>64.5</v>
      </c>
    </row>
    <row r="3491" spans="1:7">
      <c r="A3491" t="s">
        <v>1876</v>
      </c>
      <c r="B3491" t="s">
        <v>357</v>
      </c>
      <c r="C3491" t="s">
        <v>312</v>
      </c>
      <c r="D3491">
        <v>674235</v>
      </c>
      <c r="E3491">
        <v>701106</v>
      </c>
      <c r="F3491">
        <v>663934</v>
      </c>
      <c r="G3491">
        <v>717097</v>
      </c>
    </row>
    <row r="3492" spans="1:7">
      <c r="A3492" t="s">
        <v>1876</v>
      </c>
      <c r="B3492" t="s">
        <v>357</v>
      </c>
      <c r="C3492" t="s">
        <v>313</v>
      </c>
      <c r="D3492">
        <v>62.5</v>
      </c>
      <c r="E3492">
        <v>64.099999999999994</v>
      </c>
      <c r="F3492">
        <v>60</v>
      </c>
      <c r="G3492">
        <v>64</v>
      </c>
    </row>
    <row r="3493" spans="1:7">
      <c r="A3493" t="s">
        <v>1876</v>
      </c>
      <c r="B3493" t="s">
        <v>357</v>
      </c>
      <c r="C3493" t="s">
        <v>314</v>
      </c>
      <c r="D3493">
        <v>2764908</v>
      </c>
      <c r="E3493">
        <v>2852217</v>
      </c>
      <c r="F3493">
        <v>2873369</v>
      </c>
      <c r="G3493">
        <v>2960655</v>
      </c>
    </row>
    <row r="3494" spans="1:7">
      <c r="A3494" t="s">
        <v>1876</v>
      </c>
      <c r="B3494" t="s">
        <v>357</v>
      </c>
      <c r="C3494" t="s">
        <v>315</v>
      </c>
      <c r="D3494">
        <v>4.3</v>
      </c>
      <c r="E3494">
        <v>4.26</v>
      </c>
      <c r="F3494">
        <v>4.2300000000000004</v>
      </c>
      <c r="G3494">
        <v>4.24</v>
      </c>
    </row>
    <row r="3495" spans="1:7">
      <c r="A3495" t="s">
        <v>1876</v>
      </c>
      <c r="B3495" t="s">
        <v>357</v>
      </c>
      <c r="C3495" t="s">
        <v>316</v>
      </c>
      <c r="D3495">
        <v>256.2</v>
      </c>
      <c r="E3495">
        <v>261</v>
      </c>
      <c r="F3495">
        <v>259.7</v>
      </c>
      <c r="G3495">
        <v>264.2</v>
      </c>
    </row>
    <row r="3496" spans="1:7">
      <c r="A3496" t="s">
        <v>1876</v>
      </c>
      <c r="B3496" t="s">
        <v>357</v>
      </c>
      <c r="C3496" t="s">
        <v>317</v>
      </c>
      <c r="D3496">
        <v>2764917</v>
      </c>
      <c r="E3496">
        <v>2852223</v>
      </c>
      <c r="F3496">
        <v>2873374</v>
      </c>
      <c r="G3496">
        <v>2960665</v>
      </c>
    </row>
    <row r="3497" spans="1:7">
      <c r="A3497" t="s">
        <v>1876</v>
      </c>
      <c r="B3497" t="s">
        <v>357</v>
      </c>
      <c r="C3497" t="s">
        <v>318</v>
      </c>
      <c r="D3497">
        <v>861353</v>
      </c>
      <c r="E3497">
        <v>876581</v>
      </c>
      <c r="F3497">
        <v>947955</v>
      </c>
      <c r="G3497">
        <v>934321</v>
      </c>
    </row>
    <row r="3498" spans="1:7">
      <c r="A3498" t="s">
        <v>1876</v>
      </c>
      <c r="B3498" t="s">
        <v>357</v>
      </c>
      <c r="C3498" t="s">
        <v>319</v>
      </c>
      <c r="D3498">
        <v>236483</v>
      </c>
      <c r="E3498">
        <v>253134</v>
      </c>
      <c r="F3498">
        <v>253605</v>
      </c>
      <c r="G3498">
        <v>269579</v>
      </c>
    </row>
    <row r="3499" spans="1:7">
      <c r="A3499" t="s">
        <v>1876</v>
      </c>
      <c r="B3499" t="s">
        <v>357</v>
      </c>
      <c r="C3499" t="s">
        <v>320</v>
      </c>
      <c r="D3499">
        <v>549596</v>
      </c>
      <c r="E3499">
        <v>554994</v>
      </c>
      <c r="F3499">
        <v>540864</v>
      </c>
      <c r="G3499">
        <v>535767</v>
      </c>
    </row>
    <row r="3500" spans="1:7">
      <c r="A3500" t="s">
        <v>1876</v>
      </c>
      <c r="B3500" t="s">
        <v>357</v>
      </c>
      <c r="C3500" t="s">
        <v>321</v>
      </c>
      <c r="D3500">
        <v>343624</v>
      </c>
      <c r="E3500">
        <v>361201</v>
      </c>
      <c r="F3500">
        <v>337687</v>
      </c>
      <c r="G3500">
        <v>361476</v>
      </c>
    </row>
    <row r="3501" spans="1:7">
      <c r="A3501" t="s">
        <v>1876</v>
      </c>
      <c r="B3501" t="s">
        <v>357</v>
      </c>
      <c r="C3501" t="s">
        <v>1954</v>
      </c>
      <c r="D3501">
        <v>1991056</v>
      </c>
      <c r="E3501">
        <v>2045910</v>
      </c>
      <c r="F3501">
        <v>2080111</v>
      </c>
      <c r="G3501">
        <v>2101143</v>
      </c>
    </row>
    <row r="3502" spans="1:7">
      <c r="A3502" t="s">
        <v>1876</v>
      </c>
      <c r="B3502" t="s">
        <v>357</v>
      </c>
      <c r="C3502" t="s">
        <v>323</v>
      </c>
      <c r="D3502">
        <v>10793</v>
      </c>
      <c r="E3502">
        <v>10930</v>
      </c>
      <c r="F3502">
        <v>11064</v>
      </c>
      <c r="G3502">
        <v>11204</v>
      </c>
    </row>
    <row r="3503" spans="1:7">
      <c r="A3503" t="s">
        <v>1876</v>
      </c>
      <c r="B3503" t="s">
        <v>357</v>
      </c>
      <c r="C3503" t="s">
        <v>324</v>
      </c>
      <c r="D3503">
        <v>0</v>
      </c>
      <c r="E3503">
        <v>0</v>
      </c>
      <c r="F3503">
        <v>0</v>
      </c>
      <c r="G3503">
        <v>0</v>
      </c>
    </row>
    <row r="3504" spans="1:7">
      <c r="A3504" t="s">
        <v>1876</v>
      </c>
      <c r="B3504" t="s">
        <v>357</v>
      </c>
      <c r="C3504" t="s">
        <v>325</v>
      </c>
      <c r="D3504">
        <v>0</v>
      </c>
      <c r="E3504">
        <v>0</v>
      </c>
      <c r="F3504">
        <v>0</v>
      </c>
      <c r="G3504">
        <v>0</v>
      </c>
    </row>
    <row r="3505" spans="1:7">
      <c r="A3505" t="s">
        <v>1876</v>
      </c>
      <c r="B3505" t="s">
        <v>357</v>
      </c>
      <c r="C3505" t="s">
        <v>326</v>
      </c>
      <c r="D3505">
        <v>895</v>
      </c>
      <c r="E3505">
        <v>895</v>
      </c>
      <c r="F3505">
        <v>895</v>
      </c>
      <c r="G3505">
        <v>895</v>
      </c>
    </row>
    <row r="3506" spans="1:7">
      <c r="A3506" t="s">
        <v>1876</v>
      </c>
      <c r="B3506" t="s">
        <v>357</v>
      </c>
      <c r="C3506" t="s">
        <v>327</v>
      </c>
      <c r="D3506">
        <v>24199</v>
      </c>
      <c r="E3506">
        <v>23773</v>
      </c>
      <c r="F3506">
        <v>23575</v>
      </c>
      <c r="G3506">
        <v>23360</v>
      </c>
    </row>
    <row r="3507" spans="1:7">
      <c r="A3507" t="s">
        <v>1876</v>
      </c>
      <c r="B3507" t="s">
        <v>357</v>
      </c>
      <c r="C3507" t="s">
        <v>1723</v>
      </c>
      <c r="D3507">
        <v>955</v>
      </c>
      <c r="E3507">
        <v>952</v>
      </c>
      <c r="F3507">
        <v>1011</v>
      </c>
      <c r="G3507">
        <v>1011</v>
      </c>
    </row>
    <row r="3508" spans="1:7">
      <c r="A3508" t="s">
        <v>1876</v>
      </c>
      <c r="B3508" t="s">
        <v>357</v>
      </c>
      <c r="C3508" t="s">
        <v>328</v>
      </c>
      <c r="D3508">
        <v>178259</v>
      </c>
      <c r="E3508">
        <v>186617</v>
      </c>
      <c r="F3508">
        <v>178672</v>
      </c>
      <c r="G3508">
        <v>172989</v>
      </c>
    </row>
    <row r="3509" spans="1:7">
      <c r="A3509" t="s">
        <v>1876</v>
      </c>
      <c r="B3509" t="s">
        <v>357</v>
      </c>
      <c r="C3509" t="s">
        <v>329</v>
      </c>
      <c r="D3509">
        <v>4649</v>
      </c>
      <c r="E3509">
        <v>5857</v>
      </c>
      <c r="F3509">
        <v>4979</v>
      </c>
      <c r="G3509">
        <v>4667</v>
      </c>
    </row>
    <row r="3510" spans="1:7">
      <c r="A3510" t="s">
        <v>1876</v>
      </c>
      <c r="B3510" t="s">
        <v>357</v>
      </c>
      <c r="C3510" t="s">
        <v>330</v>
      </c>
      <c r="D3510">
        <v>208001</v>
      </c>
      <c r="E3510">
        <v>217141</v>
      </c>
      <c r="F3510">
        <v>208120</v>
      </c>
      <c r="G3510">
        <v>201910</v>
      </c>
    </row>
    <row r="3511" spans="1:7">
      <c r="A3511" t="s">
        <v>1876</v>
      </c>
      <c r="B3511" t="s">
        <v>357</v>
      </c>
      <c r="C3511" t="s">
        <v>331</v>
      </c>
      <c r="D3511">
        <v>0</v>
      </c>
      <c r="E3511">
        <v>0</v>
      </c>
      <c r="F3511">
        <v>0</v>
      </c>
      <c r="G3511">
        <v>0</v>
      </c>
    </row>
    <row r="3512" spans="1:7">
      <c r="A3512" t="s">
        <v>1876</v>
      </c>
      <c r="B3512" t="s">
        <v>357</v>
      </c>
      <c r="C3512" t="s">
        <v>332</v>
      </c>
      <c r="D3512">
        <v>3138</v>
      </c>
      <c r="E3512">
        <v>2645</v>
      </c>
      <c r="F3512">
        <v>3271</v>
      </c>
      <c r="G3512">
        <v>3225</v>
      </c>
    </row>
    <row r="3513" spans="1:7">
      <c r="A3513" t="s">
        <v>1876</v>
      </c>
      <c r="B3513" t="s">
        <v>357</v>
      </c>
      <c r="C3513" t="s">
        <v>1724</v>
      </c>
      <c r="D3513">
        <v>56</v>
      </c>
      <c r="E3513">
        <v>58</v>
      </c>
      <c r="F3513">
        <v>56</v>
      </c>
      <c r="G3513">
        <v>56</v>
      </c>
    </row>
    <row r="3514" spans="1:7">
      <c r="A3514" t="s">
        <v>1876</v>
      </c>
      <c r="B3514" t="s">
        <v>357</v>
      </c>
      <c r="C3514" t="s">
        <v>333</v>
      </c>
      <c r="D3514">
        <v>3355</v>
      </c>
      <c r="E3514">
        <v>2187</v>
      </c>
      <c r="F3514">
        <v>2083</v>
      </c>
      <c r="G3514">
        <v>2009</v>
      </c>
    </row>
    <row r="3515" spans="1:7">
      <c r="A3515" t="s">
        <v>1876</v>
      </c>
      <c r="B3515" t="s">
        <v>357</v>
      </c>
      <c r="C3515" t="s">
        <v>334</v>
      </c>
      <c r="D3515">
        <v>6493</v>
      </c>
      <c r="E3515">
        <v>4832</v>
      </c>
      <c r="F3515">
        <v>5354</v>
      </c>
      <c r="G3515">
        <v>5234</v>
      </c>
    </row>
    <row r="3516" spans="1:7">
      <c r="A3516" t="s">
        <v>1876</v>
      </c>
      <c r="B3516" t="s">
        <v>357</v>
      </c>
      <c r="C3516" t="s">
        <v>335</v>
      </c>
      <c r="D3516">
        <v>895</v>
      </c>
      <c r="E3516">
        <v>895</v>
      </c>
      <c r="F3516">
        <v>895</v>
      </c>
      <c r="G3516">
        <v>895</v>
      </c>
    </row>
    <row r="3517" spans="1:7">
      <c r="A3517" t="s">
        <v>1876</v>
      </c>
      <c r="B3517" t="s">
        <v>357</v>
      </c>
      <c r="C3517" t="s">
        <v>336</v>
      </c>
      <c r="D3517">
        <v>27337</v>
      </c>
      <c r="E3517">
        <v>26418</v>
      </c>
      <c r="F3517">
        <v>26846</v>
      </c>
      <c r="G3517">
        <v>26585</v>
      </c>
    </row>
    <row r="3518" spans="1:7">
      <c r="A3518" t="s">
        <v>1876</v>
      </c>
      <c r="B3518" t="s">
        <v>357</v>
      </c>
      <c r="C3518" t="s">
        <v>337</v>
      </c>
      <c r="D3518">
        <v>181614</v>
      </c>
      <c r="E3518">
        <v>188804</v>
      </c>
      <c r="F3518">
        <v>180755</v>
      </c>
      <c r="G3518">
        <v>174998</v>
      </c>
    </row>
    <row r="3519" spans="1:7">
      <c r="A3519" t="s">
        <v>1876</v>
      </c>
      <c r="B3519" t="s">
        <v>357</v>
      </c>
      <c r="C3519" t="s">
        <v>338</v>
      </c>
      <c r="D3519">
        <v>214495</v>
      </c>
      <c r="E3519">
        <v>221973</v>
      </c>
      <c r="F3519">
        <v>213474</v>
      </c>
      <c r="G3519">
        <v>207144</v>
      </c>
    </row>
    <row r="3520" spans="1:7">
      <c r="A3520" t="s">
        <v>1876</v>
      </c>
      <c r="B3520" t="s">
        <v>357</v>
      </c>
      <c r="C3520" t="s">
        <v>339</v>
      </c>
      <c r="D3520">
        <v>187158</v>
      </c>
      <c r="E3520">
        <v>195555</v>
      </c>
      <c r="F3520">
        <v>186628</v>
      </c>
      <c r="G3520">
        <v>180560</v>
      </c>
    </row>
    <row r="3521" spans="1:7">
      <c r="A3521" t="s">
        <v>1876</v>
      </c>
      <c r="B3521" t="s">
        <v>357</v>
      </c>
      <c r="C3521" t="s">
        <v>340</v>
      </c>
      <c r="D3521">
        <v>430</v>
      </c>
      <c r="E3521">
        <v>507</v>
      </c>
      <c r="F3521">
        <v>352</v>
      </c>
      <c r="G3521">
        <v>432</v>
      </c>
    </row>
    <row r="3522" spans="1:7">
      <c r="A3522" t="s">
        <v>1876</v>
      </c>
      <c r="B3522" t="s">
        <v>357</v>
      </c>
      <c r="C3522" t="s">
        <v>1955</v>
      </c>
      <c r="D3522">
        <v>0</v>
      </c>
      <c r="E3522">
        <v>0</v>
      </c>
      <c r="F3522">
        <v>0</v>
      </c>
      <c r="G3522">
        <v>0</v>
      </c>
    </row>
    <row r="3523" spans="1:7">
      <c r="A3523" t="s">
        <v>1876</v>
      </c>
      <c r="B3523" t="s">
        <v>357</v>
      </c>
      <c r="C3523" t="s">
        <v>341</v>
      </c>
      <c r="D3523">
        <v>0</v>
      </c>
      <c r="E3523">
        <v>0</v>
      </c>
      <c r="F3523">
        <v>0</v>
      </c>
      <c r="G3523">
        <v>0</v>
      </c>
    </row>
    <row r="3524" spans="1:7">
      <c r="A3524" t="s">
        <v>1876</v>
      </c>
      <c r="B3524" t="s">
        <v>357</v>
      </c>
      <c r="C3524" t="s">
        <v>342</v>
      </c>
      <c r="D3524">
        <v>0</v>
      </c>
      <c r="E3524">
        <v>0</v>
      </c>
      <c r="F3524">
        <v>0</v>
      </c>
      <c r="G3524">
        <v>0</v>
      </c>
    </row>
    <row r="3525" spans="1:7">
      <c r="A3525" t="s">
        <v>1876</v>
      </c>
      <c r="B3525" t="s">
        <v>357</v>
      </c>
      <c r="C3525" t="s">
        <v>1725</v>
      </c>
      <c r="D3525">
        <v>0</v>
      </c>
      <c r="E3525">
        <v>0</v>
      </c>
      <c r="F3525">
        <v>0</v>
      </c>
      <c r="G3525">
        <v>0</v>
      </c>
    </row>
    <row r="3526" spans="1:7">
      <c r="A3526" t="s">
        <v>1876</v>
      </c>
      <c r="B3526" t="s">
        <v>357</v>
      </c>
      <c r="C3526" t="s">
        <v>343</v>
      </c>
      <c r="D3526">
        <v>0</v>
      </c>
      <c r="E3526">
        <v>0</v>
      </c>
      <c r="F3526">
        <v>0</v>
      </c>
      <c r="G3526">
        <v>0</v>
      </c>
    </row>
    <row r="3527" spans="1:7">
      <c r="A3527" t="s">
        <v>1876</v>
      </c>
      <c r="B3527" t="s">
        <v>357</v>
      </c>
      <c r="C3527" t="s">
        <v>344</v>
      </c>
      <c r="D3527">
        <v>0</v>
      </c>
      <c r="E3527">
        <v>0</v>
      </c>
      <c r="F3527">
        <v>0</v>
      </c>
      <c r="G3527">
        <v>0</v>
      </c>
    </row>
    <row r="3528" spans="1:7">
      <c r="A3528" t="s">
        <v>1876</v>
      </c>
      <c r="B3528" t="s">
        <v>357</v>
      </c>
      <c r="C3528" t="s">
        <v>345</v>
      </c>
      <c r="D3528">
        <v>0</v>
      </c>
      <c r="E3528">
        <v>0</v>
      </c>
      <c r="F3528">
        <v>0</v>
      </c>
      <c r="G3528">
        <v>0</v>
      </c>
    </row>
    <row r="3529" spans="1:7">
      <c r="A3529" t="s">
        <v>1876</v>
      </c>
      <c r="B3529" t="s">
        <v>357</v>
      </c>
      <c r="C3529" t="s">
        <v>1956</v>
      </c>
      <c r="D3529">
        <v>3130</v>
      </c>
      <c r="E3529">
        <v>2637</v>
      </c>
      <c r="F3529">
        <v>3267</v>
      </c>
      <c r="G3529">
        <v>3217</v>
      </c>
    </row>
    <row r="3530" spans="1:7">
      <c r="A3530" t="s">
        <v>1876</v>
      </c>
      <c r="B3530" t="s">
        <v>357</v>
      </c>
      <c r="C3530" t="s">
        <v>1957</v>
      </c>
      <c r="D3530">
        <v>6485</v>
      </c>
      <c r="E3530">
        <v>4825</v>
      </c>
      <c r="F3530">
        <v>5350</v>
      </c>
      <c r="G3530">
        <v>5226</v>
      </c>
    </row>
    <row r="3531" spans="1:7">
      <c r="A3531" t="s">
        <v>1876</v>
      </c>
      <c r="B3531" t="s">
        <v>357</v>
      </c>
      <c r="C3531" t="s">
        <v>346</v>
      </c>
      <c r="D3531">
        <v>1658</v>
      </c>
      <c r="E3531">
        <v>1815</v>
      </c>
      <c r="F3531">
        <v>1738</v>
      </c>
      <c r="G3531">
        <v>1991</v>
      </c>
    </row>
    <row r="3532" spans="1:7">
      <c r="A3532" t="s">
        <v>1876</v>
      </c>
      <c r="B3532" t="s">
        <v>357</v>
      </c>
      <c r="C3532" t="s">
        <v>347</v>
      </c>
      <c r="D3532">
        <v>2502</v>
      </c>
      <c r="E3532">
        <v>2682</v>
      </c>
      <c r="F3532">
        <v>2292</v>
      </c>
      <c r="G3532">
        <v>2388</v>
      </c>
    </row>
    <row r="3533" spans="1:7">
      <c r="A3533" t="s">
        <v>1876</v>
      </c>
      <c r="B3533" t="s">
        <v>358</v>
      </c>
      <c r="C3533" t="s">
        <v>133</v>
      </c>
      <c r="D3533">
        <v>-4</v>
      </c>
      <c r="E3533">
        <v>-3</v>
      </c>
      <c r="F3533">
        <v>-3</v>
      </c>
      <c r="G3533">
        <v>-5</v>
      </c>
    </row>
    <row r="3534" spans="1:7">
      <c r="A3534" t="s">
        <v>1876</v>
      </c>
      <c r="B3534" t="s">
        <v>358</v>
      </c>
      <c r="C3534" t="s">
        <v>134</v>
      </c>
      <c r="D3534">
        <v>2135</v>
      </c>
      <c r="E3534">
        <v>2145</v>
      </c>
      <c r="F3534">
        <v>2539</v>
      </c>
      <c r="G3534">
        <v>2490</v>
      </c>
    </row>
    <row r="3535" spans="1:7">
      <c r="A3535" t="s">
        <v>1876</v>
      </c>
      <c r="B3535" t="s">
        <v>358</v>
      </c>
      <c r="C3535" t="s">
        <v>135</v>
      </c>
      <c r="D3535">
        <v>2135</v>
      </c>
      <c r="E3535">
        <v>2145</v>
      </c>
      <c r="F3535">
        <v>2539</v>
      </c>
      <c r="G3535">
        <v>2490</v>
      </c>
    </row>
    <row r="3536" spans="1:7">
      <c r="A3536" t="s">
        <v>1876</v>
      </c>
      <c r="B3536" t="s">
        <v>358</v>
      </c>
      <c r="C3536" t="s">
        <v>136</v>
      </c>
      <c r="D3536">
        <v>2135</v>
      </c>
      <c r="E3536">
        <v>2145</v>
      </c>
      <c r="F3536">
        <v>2539</v>
      </c>
      <c r="G3536">
        <v>2490</v>
      </c>
    </row>
    <row r="3537" spans="1:7">
      <c r="A3537" t="s">
        <v>1876</v>
      </c>
      <c r="B3537" t="s">
        <v>358</v>
      </c>
      <c r="C3537" t="s">
        <v>137</v>
      </c>
      <c r="D3537">
        <v>55</v>
      </c>
      <c r="E3537">
        <v>57</v>
      </c>
      <c r="F3537">
        <v>54</v>
      </c>
      <c r="G3537">
        <v>58</v>
      </c>
    </row>
    <row r="3538" spans="1:7">
      <c r="A3538" t="s">
        <v>1876</v>
      </c>
      <c r="B3538" t="s">
        <v>358</v>
      </c>
      <c r="C3538" t="s">
        <v>138</v>
      </c>
      <c r="D3538">
        <v>55</v>
      </c>
      <c r="E3538">
        <v>57</v>
      </c>
      <c r="F3538">
        <v>54</v>
      </c>
      <c r="G3538">
        <v>58</v>
      </c>
    </row>
    <row r="3539" spans="1:7">
      <c r="A3539" t="s">
        <v>1876</v>
      </c>
      <c r="B3539" t="s">
        <v>358</v>
      </c>
      <c r="C3539" t="s">
        <v>139</v>
      </c>
      <c r="D3539">
        <v>55</v>
      </c>
      <c r="E3539">
        <v>57</v>
      </c>
      <c r="F3539">
        <v>54</v>
      </c>
      <c r="G3539">
        <v>58</v>
      </c>
    </row>
    <row r="3540" spans="1:7">
      <c r="A3540" t="s">
        <v>1876</v>
      </c>
      <c r="B3540" t="s">
        <v>358</v>
      </c>
      <c r="C3540" t="s">
        <v>1877</v>
      </c>
      <c r="D3540">
        <v>0</v>
      </c>
      <c r="E3540">
        <v>0</v>
      </c>
      <c r="F3540">
        <v>0</v>
      </c>
      <c r="G3540">
        <v>0</v>
      </c>
    </row>
    <row r="3541" spans="1:7">
      <c r="A3541" t="s">
        <v>1876</v>
      </c>
      <c r="B3541" t="s">
        <v>358</v>
      </c>
      <c r="C3541" t="s">
        <v>1700</v>
      </c>
      <c r="D3541">
        <v>0</v>
      </c>
      <c r="E3541">
        <v>0</v>
      </c>
      <c r="F3541">
        <v>0</v>
      </c>
      <c r="G3541">
        <v>0</v>
      </c>
    </row>
    <row r="3542" spans="1:7">
      <c r="A3542" t="s">
        <v>1876</v>
      </c>
      <c r="B3542" t="s">
        <v>358</v>
      </c>
      <c r="C3542" t="s">
        <v>1878</v>
      </c>
      <c r="D3542">
        <v>0</v>
      </c>
      <c r="E3542">
        <v>0</v>
      </c>
      <c r="F3542">
        <v>0</v>
      </c>
      <c r="G3542">
        <v>0</v>
      </c>
    </row>
    <row r="3543" spans="1:7">
      <c r="A3543" t="s">
        <v>1876</v>
      </c>
      <c r="B3543" t="s">
        <v>358</v>
      </c>
      <c r="C3543" t="s">
        <v>1879</v>
      </c>
      <c r="D3543">
        <v>0</v>
      </c>
      <c r="E3543">
        <v>0</v>
      </c>
      <c r="F3543">
        <v>0</v>
      </c>
      <c r="G3543">
        <v>0</v>
      </c>
    </row>
    <row r="3544" spans="1:7">
      <c r="A3544" t="s">
        <v>1876</v>
      </c>
      <c r="B3544" t="s">
        <v>358</v>
      </c>
      <c r="C3544" t="s">
        <v>1701</v>
      </c>
      <c r="D3544">
        <v>0</v>
      </c>
      <c r="E3544">
        <v>0</v>
      </c>
      <c r="F3544">
        <v>0</v>
      </c>
      <c r="G3544">
        <v>0</v>
      </c>
    </row>
    <row r="3545" spans="1:7">
      <c r="A3545" t="s">
        <v>1876</v>
      </c>
      <c r="B3545" t="s">
        <v>358</v>
      </c>
      <c r="C3545" t="s">
        <v>1880</v>
      </c>
      <c r="D3545">
        <v>231</v>
      </c>
      <c r="E3545">
        <v>243</v>
      </c>
      <c r="F3545">
        <v>195</v>
      </c>
      <c r="G3545">
        <v>174</v>
      </c>
    </row>
    <row r="3546" spans="1:7">
      <c r="A3546" t="s">
        <v>1876</v>
      </c>
      <c r="B3546" t="s">
        <v>358</v>
      </c>
      <c r="C3546" t="s">
        <v>140</v>
      </c>
      <c r="D3546">
        <v>542</v>
      </c>
      <c r="E3546">
        <v>587</v>
      </c>
      <c r="F3546">
        <v>527</v>
      </c>
      <c r="G3546">
        <v>496</v>
      </c>
    </row>
    <row r="3547" spans="1:7">
      <c r="A3547" t="s">
        <v>1876</v>
      </c>
      <c r="B3547" t="s">
        <v>358</v>
      </c>
      <c r="C3547" t="s">
        <v>1881</v>
      </c>
      <c r="D3547">
        <v>312</v>
      </c>
      <c r="E3547">
        <v>344</v>
      </c>
      <c r="F3547">
        <v>331</v>
      </c>
      <c r="G3547">
        <v>322</v>
      </c>
    </row>
    <row r="3548" spans="1:7">
      <c r="A3548" t="s">
        <v>1876</v>
      </c>
      <c r="B3548" t="s">
        <v>358</v>
      </c>
      <c r="C3548" t="s">
        <v>1882</v>
      </c>
      <c r="D3548">
        <v>0</v>
      </c>
      <c r="E3548">
        <v>0</v>
      </c>
      <c r="F3548">
        <v>0</v>
      </c>
      <c r="G3548">
        <v>0</v>
      </c>
    </row>
    <row r="3549" spans="1:7">
      <c r="A3549" t="s">
        <v>1876</v>
      </c>
      <c r="B3549" t="s">
        <v>358</v>
      </c>
      <c r="C3549" t="s">
        <v>1883</v>
      </c>
      <c r="D3549">
        <v>0</v>
      </c>
      <c r="E3549">
        <v>0</v>
      </c>
      <c r="F3549">
        <v>0</v>
      </c>
      <c r="G3549">
        <v>0</v>
      </c>
    </row>
    <row r="3550" spans="1:7">
      <c r="A3550" t="s">
        <v>1876</v>
      </c>
      <c r="B3550" t="s">
        <v>358</v>
      </c>
      <c r="C3550" t="s">
        <v>1884</v>
      </c>
      <c r="D3550">
        <v>0</v>
      </c>
      <c r="E3550">
        <v>0</v>
      </c>
      <c r="F3550">
        <v>0</v>
      </c>
      <c r="G3550">
        <v>0</v>
      </c>
    </row>
    <row r="3551" spans="1:7">
      <c r="A3551" t="s">
        <v>1876</v>
      </c>
      <c r="B3551" t="s">
        <v>358</v>
      </c>
      <c r="C3551" t="s">
        <v>1885</v>
      </c>
      <c r="D3551">
        <v>646</v>
      </c>
      <c r="E3551">
        <v>553</v>
      </c>
      <c r="F3551">
        <v>874</v>
      </c>
      <c r="G3551">
        <v>616</v>
      </c>
    </row>
    <row r="3552" spans="1:7">
      <c r="A3552" t="s">
        <v>1876</v>
      </c>
      <c r="B3552" t="s">
        <v>358</v>
      </c>
      <c r="C3552" t="s">
        <v>1886</v>
      </c>
      <c r="D3552">
        <v>646</v>
      </c>
      <c r="E3552">
        <v>553</v>
      </c>
      <c r="F3552">
        <v>874</v>
      </c>
      <c r="G3552">
        <v>616</v>
      </c>
    </row>
    <row r="3553" spans="1:7">
      <c r="A3553" t="s">
        <v>1876</v>
      </c>
      <c r="B3553" t="s">
        <v>358</v>
      </c>
      <c r="C3553" t="s">
        <v>141</v>
      </c>
      <c r="D3553">
        <v>10</v>
      </c>
      <c r="E3553">
        <v>10</v>
      </c>
      <c r="F3553">
        <v>11</v>
      </c>
      <c r="G3553">
        <v>11</v>
      </c>
    </row>
    <row r="3554" spans="1:7">
      <c r="A3554" t="s">
        <v>1876</v>
      </c>
      <c r="B3554" t="s">
        <v>358</v>
      </c>
      <c r="C3554" t="s">
        <v>1887</v>
      </c>
      <c r="D3554">
        <v>0</v>
      </c>
      <c r="E3554">
        <v>0</v>
      </c>
      <c r="F3554">
        <v>0</v>
      </c>
      <c r="G3554">
        <v>0</v>
      </c>
    </row>
    <row r="3555" spans="1:7">
      <c r="A3555" t="s">
        <v>1876</v>
      </c>
      <c r="B3555" t="s">
        <v>358</v>
      </c>
      <c r="C3555" t="s">
        <v>1888</v>
      </c>
      <c r="D3555">
        <v>0</v>
      </c>
      <c r="E3555">
        <v>0</v>
      </c>
      <c r="F3555">
        <v>0</v>
      </c>
      <c r="G3555">
        <v>0</v>
      </c>
    </row>
    <row r="3556" spans="1:7">
      <c r="A3556" t="s">
        <v>1876</v>
      </c>
      <c r="B3556" t="s">
        <v>358</v>
      </c>
      <c r="C3556" t="s">
        <v>1889</v>
      </c>
      <c r="D3556">
        <v>231</v>
      </c>
      <c r="E3556">
        <v>243</v>
      </c>
      <c r="F3556">
        <v>195</v>
      </c>
      <c r="G3556">
        <v>174</v>
      </c>
    </row>
    <row r="3557" spans="1:7">
      <c r="A3557" t="s">
        <v>1876</v>
      </c>
      <c r="B3557" t="s">
        <v>358</v>
      </c>
      <c r="C3557" t="s">
        <v>1890</v>
      </c>
      <c r="D3557">
        <v>0</v>
      </c>
      <c r="E3557">
        <v>0</v>
      </c>
      <c r="F3557">
        <v>0</v>
      </c>
      <c r="G3557">
        <v>0</v>
      </c>
    </row>
    <row r="3558" spans="1:7">
      <c r="A3558" t="s">
        <v>1876</v>
      </c>
      <c r="B3558" t="s">
        <v>358</v>
      </c>
      <c r="C3558" t="s">
        <v>1891</v>
      </c>
    </row>
    <row r="3559" spans="1:7">
      <c r="A3559" t="s">
        <v>1876</v>
      </c>
      <c r="B3559" t="s">
        <v>358</v>
      </c>
      <c r="C3559" t="s">
        <v>1892</v>
      </c>
      <c r="D3559">
        <v>958</v>
      </c>
      <c r="E3559">
        <v>897</v>
      </c>
      <c r="F3559">
        <v>1206</v>
      </c>
      <c r="G3559">
        <v>937</v>
      </c>
    </row>
    <row r="3560" spans="1:7">
      <c r="A3560" t="s">
        <v>1876</v>
      </c>
      <c r="B3560" t="s">
        <v>358</v>
      </c>
      <c r="C3560" t="s">
        <v>142</v>
      </c>
      <c r="D3560">
        <v>1188</v>
      </c>
      <c r="E3560">
        <v>1140</v>
      </c>
      <c r="F3560">
        <v>1401</v>
      </c>
      <c r="G3560">
        <v>1111</v>
      </c>
    </row>
    <row r="3561" spans="1:7">
      <c r="A3561" t="s">
        <v>1876</v>
      </c>
      <c r="B3561" t="s">
        <v>358</v>
      </c>
      <c r="C3561" t="s">
        <v>1893</v>
      </c>
      <c r="D3561">
        <v>542</v>
      </c>
      <c r="E3561">
        <v>587</v>
      </c>
      <c r="F3561">
        <v>527</v>
      </c>
      <c r="G3561">
        <v>496</v>
      </c>
    </row>
    <row r="3562" spans="1:7">
      <c r="A3562" t="s">
        <v>1876</v>
      </c>
      <c r="B3562" t="s">
        <v>358</v>
      </c>
      <c r="C3562" t="s">
        <v>1894</v>
      </c>
      <c r="D3562">
        <v>312</v>
      </c>
      <c r="E3562">
        <v>344</v>
      </c>
      <c r="F3562">
        <v>331</v>
      </c>
      <c r="G3562">
        <v>322</v>
      </c>
    </row>
    <row r="3563" spans="1:7">
      <c r="A3563" t="s">
        <v>1876</v>
      </c>
      <c r="B3563" t="s">
        <v>358</v>
      </c>
      <c r="C3563" t="s">
        <v>143</v>
      </c>
      <c r="D3563">
        <v>10</v>
      </c>
      <c r="E3563">
        <v>10</v>
      </c>
      <c r="F3563">
        <v>11</v>
      </c>
      <c r="G3563">
        <v>11</v>
      </c>
    </row>
    <row r="3564" spans="1:7">
      <c r="A3564" t="s">
        <v>1876</v>
      </c>
      <c r="B3564" t="s">
        <v>358</v>
      </c>
      <c r="C3564" t="s">
        <v>144</v>
      </c>
      <c r="D3564">
        <v>4822</v>
      </c>
      <c r="E3564">
        <v>4816</v>
      </c>
      <c r="F3564">
        <v>5131</v>
      </c>
      <c r="G3564">
        <v>4810</v>
      </c>
    </row>
    <row r="3565" spans="1:7">
      <c r="A3565" t="s">
        <v>1876</v>
      </c>
      <c r="B3565" t="s">
        <v>358</v>
      </c>
      <c r="C3565" t="s">
        <v>1895</v>
      </c>
      <c r="D3565">
        <v>32.4</v>
      </c>
      <c r="E3565">
        <v>32.4</v>
      </c>
      <c r="F3565">
        <v>29.3</v>
      </c>
      <c r="G3565">
        <v>27.8</v>
      </c>
    </row>
    <row r="3566" spans="1:7">
      <c r="A3566" t="s">
        <v>1876</v>
      </c>
      <c r="B3566" t="s">
        <v>358</v>
      </c>
      <c r="C3566" t="s">
        <v>145</v>
      </c>
      <c r="D3566">
        <v>8816</v>
      </c>
      <c r="E3566">
        <v>8824</v>
      </c>
      <c r="F3566">
        <v>8891</v>
      </c>
      <c r="G3566">
        <v>8019</v>
      </c>
    </row>
    <row r="3567" spans="1:7">
      <c r="A3567" t="s">
        <v>1876</v>
      </c>
      <c r="B3567" t="s">
        <v>358</v>
      </c>
      <c r="C3567" t="s">
        <v>146</v>
      </c>
      <c r="D3567">
        <v>0</v>
      </c>
      <c r="E3567">
        <v>0</v>
      </c>
      <c r="F3567">
        <v>0</v>
      </c>
      <c r="G3567">
        <v>0</v>
      </c>
    </row>
    <row r="3568" spans="1:7">
      <c r="A3568" t="s">
        <v>1876</v>
      </c>
      <c r="B3568" t="s">
        <v>358</v>
      </c>
      <c r="C3568" t="s">
        <v>147</v>
      </c>
      <c r="D3568">
        <v>0</v>
      </c>
      <c r="E3568">
        <v>0</v>
      </c>
      <c r="F3568">
        <v>0</v>
      </c>
      <c r="G3568">
        <v>0</v>
      </c>
    </row>
    <row r="3569" spans="1:7">
      <c r="A3569" t="s">
        <v>1876</v>
      </c>
      <c r="B3569" t="s">
        <v>358</v>
      </c>
      <c r="C3569" t="s">
        <v>1896</v>
      </c>
      <c r="D3569">
        <v>6.1</v>
      </c>
      <c r="E3569">
        <v>5</v>
      </c>
      <c r="F3569">
        <v>5.9</v>
      </c>
      <c r="G3569">
        <v>10.8</v>
      </c>
    </row>
    <row r="3570" spans="1:7">
      <c r="A3570" t="s">
        <v>1876</v>
      </c>
      <c r="B3570" t="s">
        <v>358</v>
      </c>
      <c r="C3570" t="s">
        <v>1702</v>
      </c>
      <c r="D3570">
        <v>76</v>
      </c>
      <c r="E3570">
        <v>109</v>
      </c>
      <c r="F3570">
        <v>360</v>
      </c>
      <c r="G3570">
        <v>433</v>
      </c>
    </row>
    <row r="3571" spans="1:7">
      <c r="A3571" t="s">
        <v>1876</v>
      </c>
      <c r="B3571" t="s">
        <v>358</v>
      </c>
      <c r="C3571" t="s">
        <v>1897</v>
      </c>
      <c r="D3571">
        <v>13.7</v>
      </c>
      <c r="E3571">
        <v>16.600000000000001</v>
      </c>
      <c r="F3571">
        <v>24.5</v>
      </c>
      <c r="G3571">
        <v>28.9</v>
      </c>
    </row>
    <row r="3572" spans="1:7">
      <c r="A3572" t="s">
        <v>1876</v>
      </c>
      <c r="B3572" t="s">
        <v>358</v>
      </c>
      <c r="C3572" t="s">
        <v>1898</v>
      </c>
      <c r="D3572">
        <v>22</v>
      </c>
      <c r="E3572">
        <v>29</v>
      </c>
      <c r="F3572">
        <v>75</v>
      </c>
      <c r="G3572">
        <v>96</v>
      </c>
    </row>
    <row r="3573" spans="1:7">
      <c r="A3573" t="s">
        <v>1876</v>
      </c>
      <c r="B3573" t="s">
        <v>358</v>
      </c>
      <c r="C3573" t="s">
        <v>1899</v>
      </c>
      <c r="D3573">
        <v>958</v>
      </c>
      <c r="E3573">
        <v>897</v>
      </c>
      <c r="F3573">
        <v>1206</v>
      </c>
      <c r="G3573">
        <v>937</v>
      </c>
    </row>
    <row r="3574" spans="1:7">
      <c r="A3574" t="s">
        <v>1876</v>
      </c>
      <c r="B3574" t="s">
        <v>358</v>
      </c>
      <c r="C3574" t="s">
        <v>148</v>
      </c>
      <c r="D3574">
        <v>0</v>
      </c>
      <c r="E3574">
        <v>0</v>
      </c>
      <c r="F3574">
        <v>0</v>
      </c>
      <c r="G3574">
        <v>0</v>
      </c>
    </row>
    <row r="3575" spans="1:7">
      <c r="A3575" t="s">
        <v>1876</v>
      </c>
      <c r="B3575" t="s">
        <v>358</v>
      </c>
      <c r="C3575" t="s">
        <v>149</v>
      </c>
      <c r="D3575">
        <v>0</v>
      </c>
      <c r="E3575">
        <v>0</v>
      </c>
      <c r="F3575">
        <v>0</v>
      </c>
      <c r="G3575">
        <v>0</v>
      </c>
    </row>
    <row r="3576" spans="1:7">
      <c r="A3576" t="s">
        <v>1876</v>
      </c>
      <c r="B3576" t="s">
        <v>358</v>
      </c>
      <c r="C3576" t="s">
        <v>150</v>
      </c>
      <c r="D3576">
        <v>0</v>
      </c>
      <c r="E3576">
        <v>0</v>
      </c>
      <c r="F3576">
        <v>0</v>
      </c>
      <c r="G3576">
        <v>0</v>
      </c>
    </row>
    <row r="3577" spans="1:7">
      <c r="A3577" t="s">
        <v>1876</v>
      </c>
      <c r="B3577" t="s">
        <v>358</v>
      </c>
      <c r="C3577" t="s">
        <v>1900</v>
      </c>
      <c r="D3577">
        <v>70.2</v>
      </c>
      <c r="E3577">
        <v>63.5</v>
      </c>
      <c r="F3577">
        <v>0</v>
      </c>
      <c r="G3577">
        <v>0</v>
      </c>
    </row>
    <row r="3578" spans="1:7">
      <c r="A3578" t="s">
        <v>1876</v>
      </c>
      <c r="B3578" t="s">
        <v>358</v>
      </c>
      <c r="C3578" t="s">
        <v>151</v>
      </c>
      <c r="D3578">
        <v>0</v>
      </c>
      <c r="E3578">
        <v>0</v>
      </c>
      <c r="F3578">
        <v>0</v>
      </c>
      <c r="G3578">
        <v>0</v>
      </c>
    </row>
    <row r="3579" spans="1:7">
      <c r="A3579" t="s">
        <v>1876</v>
      </c>
      <c r="B3579" t="s">
        <v>358</v>
      </c>
      <c r="C3579" t="s">
        <v>152</v>
      </c>
      <c r="D3579">
        <v>12566</v>
      </c>
      <c r="E3579">
        <v>7680</v>
      </c>
      <c r="F3579">
        <v>0</v>
      </c>
      <c r="G3579">
        <v>0</v>
      </c>
    </row>
    <row r="3580" spans="1:7">
      <c r="A3580" t="s">
        <v>1876</v>
      </c>
      <c r="B3580" t="s">
        <v>358</v>
      </c>
      <c r="C3580" t="s">
        <v>1703</v>
      </c>
      <c r="D3580">
        <v>180</v>
      </c>
      <c r="E3580">
        <v>0</v>
      </c>
      <c r="F3580">
        <v>0</v>
      </c>
      <c r="G3580">
        <v>0</v>
      </c>
    </row>
    <row r="3581" spans="1:7">
      <c r="A3581" t="s">
        <v>1876</v>
      </c>
      <c r="B3581" t="s">
        <v>358</v>
      </c>
      <c r="C3581" t="s">
        <v>153</v>
      </c>
      <c r="D3581">
        <v>0</v>
      </c>
      <c r="E3581">
        <v>0</v>
      </c>
      <c r="F3581">
        <v>0</v>
      </c>
      <c r="G3581">
        <v>0</v>
      </c>
    </row>
    <row r="3582" spans="1:7">
      <c r="A3582" t="s">
        <v>1876</v>
      </c>
      <c r="B3582" t="s">
        <v>358</v>
      </c>
      <c r="C3582" t="s">
        <v>154</v>
      </c>
      <c r="D3582">
        <v>0</v>
      </c>
      <c r="E3582">
        <v>0</v>
      </c>
      <c r="F3582">
        <v>0</v>
      </c>
      <c r="G3582">
        <v>0</v>
      </c>
    </row>
    <row r="3583" spans="1:7">
      <c r="A3583" t="s">
        <v>1876</v>
      </c>
      <c r="B3583" t="s">
        <v>358</v>
      </c>
      <c r="C3583" t="s">
        <v>155</v>
      </c>
      <c r="D3583">
        <v>0</v>
      </c>
      <c r="E3583">
        <v>0</v>
      </c>
      <c r="F3583">
        <v>0</v>
      </c>
      <c r="G3583">
        <v>0</v>
      </c>
    </row>
    <row r="3584" spans="1:7">
      <c r="A3584" t="s">
        <v>1876</v>
      </c>
      <c r="B3584" t="s">
        <v>358</v>
      </c>
      <c r="C3584" t="s">
        <v>156</v>
      </c>
      <c r="D3584">
        <v>0</v>
      </c>
      <c r="E3584">
        <v>0</v>
      </c>
      <c r="F3584">
        <v>0</v>
      </c>
      <c r="G3584">
        <v>0</v>
      </c>
    </row>
    <row r="3585" spans="1:7">
      <c r="A3585" t="s">
        <v>1876</v>
      </c>
      <c r="B3585" t="s">
        <v>358</v>
      </c>
      <c r="C3585" t="s">
        <v>157</v>
      </c>
      <c r="D3585">
        <v>12566</v>
      </c>
      <c r="E3585">
        <v>7680</v>
      </c>
      <c r="F3585">
        <v>0</v>
      </c>
      <c r="G3585">
        <v>0</v>
      </c>
    </row>
    <row r="3586" spans="1:7">
      <c r="A3586" t="s">
        <v>1876</v>
      </c>
      <c r="B3586" t="s">
        <v>358</v>
      </c>
      <c r="C3586" t="s">
        <v>158</v>
      </c>
      <c r="D3586">
        <v>0</v>
      </c>
      <c r="E3586">
        <v>0</v>
      </c>
      <c r="F3586">
        <v>0</v>
      </c>
      <c r="G3586">
        <v>0</v>
      </c>
    </row>
    <row r="3587" spans="1:7">
      <c r="A3587" t="s">
        <v>1876</v>
      </c>
      <c r="B3587" t="s">
        <v>358</v>
      </c>
      <c r="C3587" t="s">
        <v>159</v>
      </c>
      <c r="D3587">
        <v>0</v>
      </c>
      <c r="E3587">
        <v>0</v>
      </c>
      <c r="F3587">
        <v>0</v>
      </c>
      <c r="G3587">
        <v>0</v>
      </c>
    </row>
    <row r="3588" spans="1:7">
      <c r="A3588" t="s">
        <v>1876</v>
      </c>
      <c r="B3588" t="s">
        <v>358</v>
      </c>
      <c r="C3588" t="s">
        <v>1901</v>
      </c>
      <c r="D3588">
        <v>0</v>
      </c>
      <c r="E3588">
        <v>0</v>
      </c>
      <c r="F3588">
        <v>0</v>
      </c>
      <c r="G3588">
        <v>0</v>
      </c>
    </row>
    <row r="3589" spans="1:7">
      <c r="A3589" t="s">
        <v>1876</v>
      </c>
      <c r="B3589" t="s">
        <v>358</v>
      </c>
      <c r="C3589" t="s">
        <v>1902</v>
      </c>
      <c r="D3589">
        <v>11974</v>
      </c>
      <c r="E3589">
        <v>12969</v>
      </c>
      <c r="F3589">
        <v>11660</v>
      </c>
      <c r="G3589">
        <v>10979</v>
      </c>
    </row>
    <row r="3590" spans="1:7">
      <c r="A3590" t="s">
        <v>1876</v>
      </c>
      <c r="B3590" t="s">
        <v>358</v>
      </c>
      <c r="C3590" t="s">
        <v>1903</v>
      </c>
      <c r="D3590">
        <v>1342</v>
      </c>
      <c r="E3590">
        <v>1280</v>
      </c>
      <c r="F3590">
        <v>1357</v>
      </c>
      <c r="G3590">
        <v>1291</v>
      </c>
    </row>
    <row r="3591" spans="1:7">
      <c r="A3591" t="s">
        <v>1876</v>
      </c>
      <c r="B3591" t="s">
        <v>358</v>
      </c>
      <c r="C3591" t="s">
        <v>1904</v>
      </c>
      <c r="D3591">
        <v>13199</v>
      </c>
      <c r="E3591">
        <v>14301</v>
      </c>
      <c r="F3591">
        <v>14591</v>
      </c>
      <c r="G3591">
        <v>15133</v>
      </c>
    </row>
    <row r="3592" spans="1:7">
      <c r="A3592" t="s">
        <v>1876</v>
      </c>
      <c r="B3592" t="s">
        <v>358</v>
      </c>
      <c r="C3592" t="s">
        <v>1905</v>
      </c>
      <c r="D3592">
        <v>1641</v>
      </c>
      <c r="E3592">
        <v>1658</v>
      </c>
      <c r="F3592">
        <v>1619</v>
      </c>
      <c r="G3592">
        <v>1571</v>
      </c>
    </row>
    <row r="3593" spans="1:7">
      <c r="A3593" t="s">
        <v>1876</v>
      </c>
      <c r="B3593" t="s">
        <v>358</v>
      </c>
      <c r="C3593" t="s">
        <v>1906</v>
      </c>
      <c r="D3593">
        <v>1</v>
      </c>
      <c r="E3593">
        <v>1</v>
      </c>
      <c r="F3593">
        <v>1</v>
      </c>
      <c r="G3593">
        <v>1</v>
      </c>
    </row>
    <row r="3594" spans="1:7">
      <c r="A3594" t="s">
        <v>1876</v>
      </c>
      <c r="B3594" t="s">
        <v>358</v>
      </c>
      <c r="C3594" t="s">
        <v>1907</v>
      </c>
      <c r="D3594">
        <v>28156</v>
      </c>
      <c r="E3594">
        <v>30210</v>
      </c>
      <c r="F3594">
        <v>29227</v>
      </c>
      <c r="G3594">
        <v>28974</v>
      </c>
    </row>
    <row r="3595" spans="1:7">
      <c r="A3595" t="s">
        <v>1876</v>
      </c>
      <c r="B3595" t="s">
        <v>358</v>
      </c>
      <c r="C3595" t="s">
        <v>160</v>
      </c>
      <c r="D3595">
        <v>11662</v>
      </c>
      <c r="E3595">
        <v>12625</v>
      </c>
      <c r="F3595">
        <v>11329</v>
      </c>
      <c r="G3595">
        <v>10657</v>
      </c>
    </row>
    <row r="3596" spans="1:7">
      <c r="A3596" t="s">
        <v>1876</v>
      </c>
      <c r="B3596" t="s">
        <v>358</v>
      </c>
      <c r="C3596" t="s">
        <v>161</v>
      </c>
      <c r="D3596">
        <v>1342</v>
      </c>
      <c r="E3596">
        <v>1280</v>
      </c>
      <c r="F3596">
        <v>1357</v>
      </c>
      <c r="G3596">
        <v>1291</v>
      </c>
    </row>
    <row r="3597" spans="1:7">
      <c r="A3597" t="s">
        <v>1876</v>
      </c>
      <c r="B3597" t="s">
        <v>358</v>
      </c>
      <c r="C3597" t="s">
        <v>162</v>
      </c>
      <c r="D3597">
        <v>12553</v>
      </c>
      <c r="E3597">
        <v>13749</v>
      </c>
      <c r="F3597">
        <v>13716</v>
      </c>
      <c r="G3597">
        <v>14517</v>
      </c>
    </row>
    <row r="3598" spans="1:7">
      <c r="A3598" t="s">
        <v>1876</v>
      </c>
      <c r="B3598" t="s">
        <v>358</v>
      </c>
      <c r="C3598" t="s">
        <v>163</v>
      </c>
      <c r="D3598">
        <v>1641</v>
      </c>
      <c r="E3598">
        <v>1658</v>
      </c>
      <c r="F3598">
        <v>1619</v>
      </c>
      <c r="G3598">
        <v>1571</v>
      </c>
    </row>
    <row r="3599" spans="1:7">
      <c r="A3599" t="s">
        <v>1876</v>
      </c>
      <c r="B3599" t="s">
        <v>358</v>
      </c>
      <c r="C3599" t="s">
        <v>164</v>
      </c>
      <c r="D3599">
        <v>1</v>
      </c>
      <c r="E3599">
        <v>1</v>
      </c>
      <c r="F3599">
        <v>1</v>
      </c>
      <c r="G3599">
        <v>1</v>
      </c>
    </row>
    <row r="3600" spans="1:7">
      <c r="A3600" t="s">
        <v>1876</v>
      </c>
      <c r="B3600" t="s">
        <v>358</v>
      </c>
      <c r="C3600" t="s">
        <v>165</v>
      </c>
      <c r="D3600">
        <v>27198</v>
      </c>
      <c r="E3600">
        <v>29313</v>
      </c>
      <c r="F3600">
        <v>28021</v>
      </c>
      <c r="G3600">
        <v>28036</v>
      </c>
    </row>
    <row r="3601" spans="1:7">
      <c r="A3601" t="s">
        <v>1876</v>
      </c>
      <c r="B3601" t="s">
        <v>358</v>
      </c>
      <c r="C3601" t="s">
        <v>166</v>
      </c>
      <c r="D3601">
        <v>14645</v>
      </c>
      <c r="E3601">
        <v>15564</v>
      </c>
      <c r="F3601">
        <v>14305</v>
      </c>
      <c r="G3601">
        <v>13519</v>
      </c>
    </row>
    <row r="3602" spans="1:7">
      <c r="A3602" t="s">
        <v>1876</v>
      </c>
      <c r="B3602" t="s">
        <v>358</v>
      </c>
      <c r="C3602" t="s">
        <v>167</v>
      </c>
      <c r="D3602">
        <v>12553</v>
      </c>
      <c r="E3602">
        <v>13749</v>
      </c>
      <c r="F3602">
        <v>13716</v>
      </c>
      <c r="G3602">
        <v>14517</v>
      </c>
    </row>
    <row r="3603" spans="1:7">
      <c r="A3603" t="s">
        <v>1876</v>
      </c>
      <c r="B3603" t="s">
        <v>358</v>
      </c>
      <c r="C3603" t="s">
        <v>1908</v>
      </c>
      <c r="D3603">
        <v>11431</v>
      </c>
      <c r="E3603">
        <v>12382</v>
      </c>
      <c r="F3603">
        <v>11133</v>
      </c>
      <c r="G3603">
        <v>10483</v>
      </c>
    </row>
    <row r="3604" spans="1:7">
      <c r="A3604" t="s">
        <v>1876</v>
      </c>
      <c r="B3604" t="s">
        <v>358</v>
      </c>
      <c r="C3604" t="s">
        <v>1909</v>
      </c>
      <c r="D3604">
        <v>1342</v>
      </c>
      <c r="E3604">
        <v>1280</v>
      </c>
      <c r="F3604">
        <v>1357</v>
      </c>
      <c r="G3604">
        <v>1291</v>
      </c>
    </row>
    <row r="3605" spans="1:7">
      <c r="A3605" t="s">
        <v>1876</v>
      </c>
      <c r="B3605" t="s">
        <v>358</v>
      </c>
      <c r="C3605" t="s">
        <v>1910</v>
      </c>
      <c r="D3605">
        <v>12553</v>
      </c>
      <c r="E3605">
        <v>13749</v>
      </c>
      <c r="F3605">
        <v>13716</v>
      </c>
      <c r="G3605">
        <v>14517</v>
      </c>
    </row>
    <row r="3606" spans="1:7">
      <c r="A3606" t="s">
        <v>1876</v>
      </c>
      <c r="B3606" t="s">
        <v>358</v>
      </c>
      <c r="C3606" t="s">
        <v>1911</v>
      </c>
      <c r="D3606">
        <v>1641</v>
      </c>
      <c r="E3606">
        <v>1658</v>
      </c>
      <c r="F3606">
        <v>1619</v>
      </c>
      <c r="G3606">
        <v>1571</v>
      </c>
    </row>
    <row r="3607" spans="1:7">
      <c r="A3607" t="s">
        <v>1876</v>
      </c>
      <c r="B3607" t="s">
        <v>358</v>
      </c>
      <c r="C3607" t="s">
        <v>1912</v>
      </c>
      <c r="D3607">
        <v>1</v>
      </c>
      <c r="E3607">
        <v>1</v>
      </c>
      <c r="F3607">
        <v>1</v>
      </c>
      <c r="G3607">
        <v>1</v>
      </c>
    </row>
    <row r="3608" spans="1:7">
      <c r="A3608" t="s">
        <v>1876</v>
      </c>
      <c r="B3608" t="s">
        <v>358</v>
      </c>
      <c r="C3608" t="s">
        <v>168</v>
      </c>
      <c r="D3608">
        <v>26968</v>
      </c>
      <c r="E3608">
        <v>29070</v>
      </c>
      <c r="F3608">
        <v>27826</v>
      </c>
      <c r="G3608">
        <v>27862</v>
      </c>
    </row>
    <row r="3609" spans="1:7">
      <c r="A3609" t="s">
        <v>1876</v>
      </c>
      <c r="B3609" t="s">
        <v>358</v>
      </c>
      <c r="C3609" t="s">
        <v>169</v>
      </c>
      <c r="D3609">
        <v>0</v>
      </c>
      <c r="E3609">
        <v>0</v>
      </c>
      <c r="F3609">
        <v>0</v>
      </c>
      <c r="G3609">
        <v>0</v>
      </c>
    </row>
    <row r="3610" spans="1:7">
      <c r="A3610" t="s">
        <v>1876</v>
      </c>
      <c r="B3610" t="s">
        <v>358</v>
      </c>
      <c r="C3610" t="s">
        <v>1704</v>
      </c>
      <c r="D3610">
        <v>3013</v>
      </c>
      <c r="E3610">
        <v>2906</v>
      </c>
      <c r="F3610">
        <v>3222</v>
      </c>
      <c r="G3610">
        <v>3369</v>
      </c>
    </row>
    <row r="3611" spans="1:7">
      <c r="A3611" t="s">
        <v>1876</v>
      </c>
      <c r="B3611" t="s">
        <v>358</v>
      </c>
      <c r="C3611" t="s">
        <v>170</v>
      </c>
      <c r="D3611">
        <v>0</v>
      </c>
      <c r="E3611">
        <v>0</v>
      </c>
      <c r="F3611">
        <v>0</v>
      </c>
      <c r="G3611">
        <v>0</v>
      </c>
    </row>
    <row r="3612" spans="1:7">
      <c r="A3612" t="s">
        <v>1876</v>
      </c>
      <c r="B3612" t="s">
        <v>358</v>
      </c>
      <c r="C3612" t="s">
        <v>171</v>
      </c>
      <c r="D3612">
        <v>0</v>
      </c>
      <c r="E3612">
        <v>0</v>
      </c>
      <c r="F3612">
        <v>0</v>
      </c>
      <c r="G3612">
        <v>0</v>
      </c>
    </row>
    <row r="3613" spans="1:7">
      <c r="A3613" t="s">
        <v>1876</v>
      </c>
      <c r="B3613" t="s">
        <v>358</v>
      </c>
      <c r="C3613" t="s">
        <v>172</v>
      </c>
      <c r="D3613">
        <v>0</v>
      </c>
      <c r="E3613">
        <v>0</v>
      </c>
      <c r="F3613">
        <v>0</v>
      </c>
      <c r="G3613">
        <v>0</v>
      </c>
    </row>
    <row r="3614" spans="1:7">
      <c r="A3614" t="s">
        <v>1876</v>
      </c>
      <c r="B3614" t="s">
        <v>358</v>
      </c>
      <c r="C3614" t="s">
        <v>1913</v>
      </c>
      <c r="D3614">
        <v>18.100000000000001</v>
      </c>
      <c r="E3614">
        <v>21.8</v>
      </c>
      <c r="F3614">
        <v>30.9</v>
      </c>
      <c r="G3614">
        <v>37.299999999999997</v>
      </c>
    </row>
    <row r="3615" spans="1:7">
      <c r="A3615" t="s">
        <v>1876</v>
      </c>
      <c r="B3615" t="s">
        <v>358</v>
      </c>
      <c r="C3615" t="s">
        <v>1914</v>
      </c>
      <c r="D3615">
        <v>1.8</v>
      </c>
      <c r="E3615">
        <v>2.2000000000000002</v>
      </c>
      <c r="F3615">
        <v>3.1</v>
      </c>
      <c r="G3615">
        <v>3.7</v>
      </c>
    </row>
    <row r="3616" spans="1:7">
      <c r="A3616" t="s">
        <v>1876</v>
      </c>
      <c r="B3616" t="s">
        <v>358</v>
      </c>
      <c r="C3616" t="s">
        <v>173</v>
      </c>
      <c r="D3616">
        <v>3402</v>
      </c>
      <c r="E3616">
        <v>3431</v>
      </c>
      <c r="F3616">
        <v>3483</v>
      </c>
      <c r="G3616">
        <v>3523</v>
      </c>
    </row>
    <row r="3617" spans="1:7">
      <c r="A3617" t="s">
        <v>1876</v>
      </c>
      <c r="B3617" t="s">
        <v>358</v>
      </c>
      <c r="C3617" t="s">
        <v>174</v>
      </c>
      <c r="D3617">
        <v>123</v>
      </c>
      <c r="E3617">
        <v>127</v>
      </c>
      <c r="F3617">
        <v>127</v>
      </c>
      <c r="G3617">
        <v>115</v>
      </c>
    </row>
    <row r="3618" spans="1:7">
      <c r="A3618" t="s">
        <v>1876</v>
      </c>
      <c r="B3618" t="s">
        <v>358</v>
      </c>
      <c r="C3618" t="s">
        <v>175</v>
      </c>
      <c r="D3618">
        <v>99</v>
      </c>
      <c r="E3618">
        <v>108</v>
      </c>
      <c r="F3618">
        <v>110</v>
      </c>
      <c r="G3618">
        <v>51</v>
      </c>
    </row>
    <row r="3619" spans="1:7">
      <c r="A3619" t="s">
        <v>1876</v>
      </c>
      <c r="B3619" t="s">
        <v>358</v>
      </c>
      <c r="C3619" t="s">
        <v>176</v>
      </c>
      <c r="D3619">
        <v>0</v>
      </c>
      <c r="E3619">
        <v>0</v>
      </c>
      <c r="F3619">
        <v>0</v>
      </c>
      <c r="G3619">
        <v>0</v>
      </c>
    </row>
    <row r="3620" spans="1:7">
      <c r="A3620" t="s">
        <v>1876</v>
      </c>
      <c r="B3620" t="s">
        <v>358</v>
      </c>
      <c r="C3620" t="s">
        <v>177</v>
      </c>
      <c r="D3620">
        <v>3624</v>
      </c>
      <c r="E3620">
        <v>3666</v>
      </c>
      <c r="F3620">
        <v>3720</v>
      </c>
      <c r="G3620">
        <v>3688</v>
      </c>
    </row>
    <row r="3621" spans="1:7">
      <c r="A3621" t="s">
        <v>1876</v>
      </c>
      <c r="B3621" t="s">
        <v>358</v>
      </c>
      <c r="C3621" t="s">
        <v>178</v>
      </c>
      <c r="D3621">
        <v>0</v>
      </c>
      <c r="E3621">
        <v>0</v>
      </c>
      <c r="F3621">
        <v>0</v>
      </c>
      <c r="G3621">
        <v>0</v>
      </c>
    </row>
    <row r="3622" spans="1:7">
      <c r="A3622" t="s">
        <v>1876</v>
      </c>
      <c r="B3622" t="s">
        <v>358</v>
      </c>
      <c r="C3622" t="s">
        <v>179</v>
      </c>
      <c r="D3622">
        <v>0</v>
      </c>
      <c r="E3622">
        <v>0</v>
      </c>
      <c r="F3622">
        <v>0</v>
      </c>
      <c r="G3622">
        <v>0</v>
      </c>
    </row>
    <row r="3623" spans="1:7">
      <c r="A3623" t="s">
        <v>1876</v>
      </c>
      <c r="B3623" t="s">
        <v>358</v>
      </c>
      <c r="C3623" t="s">
        <v>180</v>
      </c>
      <c r="D3623">
        <v>0</v>
      </c>
      <c r="E3623">
        <v>0</v>
      </c>
      <c r="F3623">
        <v>0</v>
      </c>
      <c r="G3623">
        <v>0</v>
      </c>
    </row>
    <row r="3624" spans="1:7">
      <c r="A3624" t="s">
        <v>1876</v>
      </c>
      <c r="B3624" t="s">
        <v>358</v>
      </c>
      <c r="C3624" t="s">
        <v>181</v>
      </c>
      <c r="D3624">
        <v>9501</v>
      </c>
      <c r="E3624">
        <v>9683</v>
      </c>
      <c r="F3624">
        <v>9550</v>
      </c>
      <c r="G3624">
        <v>9657</v>
      </c>
    </row>
    <row r="3625" spans="1:7">
      <c r="A3625" t="s">
        <v>1876</v>
      </c>
      <c r="B3625" t="s">
        <v>358</v>
      </c>
      <c r="C3625" t="s">
        <v>182</v>
      </c>
      <c r="D3625">
        <v>11351</v>
      </c>
      <c r="E3625">
        <v>11781</v>
      </c>
      <c r="F3625">
        <v>11721</v>
      </c>
      <c r="G3625">
        <v>11841</v>
      </c>
    </row>
    <row r="3626" spans="1:7">
      <c r="A3626" t="s">
        <v>1876</v>
      </c>
      <c r="B3626" t="s">
        <v>358</v>
      </c>
      <c r="C3626" t="s">
        <v>183</v>
      </c>
      <c r="D3626">
        <v>9639</v>
      </c>
      <c r="E3626">
        <v>9378</v>
      </c>
      <c r="F3626">
        <v>9189</v>
      </c>
      <c r="G3626">
        <v>9047</v>
      </c>
    </row>
    <row r="3627" spans="1:7">
      <c r="A3627" t="s">
        <v>1876</v>
      </c>
      <c r="B3627" t="s">
        <v>358</v>
      </c>
      <c r="C3627" t="s">
        <v>184</v>
      </c>
      <c r="D3627">
        <v>30491</v>
      </c>
      <c r="E3627">
        <v>30841</v>
      </c>
      <c r="F3627">
        <v>30460</v>
      </c>
      <c r="G3627">
        <v>30545</v>
      </c>
    </row>
    <row r="3628" spans="1:7">
      <c r="A3628" t="s">
        <v>1876</v>
      </c>
      <c r="B3628" t="s">
        <v>358</v>
      </c>
      <c r="C3628" t="s">
        <v>185</v>
      </c>
      <c r="D3628">
        <v>30491</v>
      </c>
      <c r="E3628">
        <v>30841</v>
      </c>
      <c r="F3628">
        <v>30460</v>
      </c>
      <c r="G3628">
        <v>30545</v>
      </c>
    </row>
    <row r="3629" spans="1:7">
      <c r="A3629" t="s">
        <v>1876</v>
      </c>
      <c r="B3629" t="s">
        <v>358</v>
      </c>
      <c r="C3629" t="s">
        <v>1915</v>
      </c>
      <c r="D3629">
        <v>28</v>
      </c>
      <c r="E3629">
        <v>38</v>
      </c>
      <c r="F3629">
        <v>90</v>
      </c>
      <c r="G3629">
        <v>114</v>
      </c>
    </row>
    <row r="3630" spans="1:7">
      <c r="A3630" t="s">
        <v>1876</v>
      </c>
      <c r="B3630" t="s">
        <v>358</v>
      </c>
      <c r="C3630" t="s">
        <v>1916</v>
      </c>
      <c r="D3630">
        <v>0</v>
      </c>
      <c r="E3630">
        <v>0</v>
      </c>
      <c r="F3630">
        <v>0</v>
      </c>
      <c r="G3630">
        <v>0</v>
      </c>
    </row>
    <row r="3631" spans="1:7">
      <c r="A3631" t="s">
        <v>1876</v>
      </c>
      <c r="B3631" t="s">
        <v>358</v>
      </c>
      <c r="C3631" t="s">
        <v>1917</v>
      </c>
      <c r="D3631">
        <v>30</v>
      </c>
      <c r="E3631">
        <v>30</v>
      </c>
      <c r="F3631">
        <v>26</v>
      </c>
      <c r="G3631">
        <v>26</v>
      </c>
    </row>
    <row r="3632" spans="1:7">
      <c r="A3632" t="s">
        <v>1876</v>
      </c>
      <c r="B3632" t="s">
        <v>358</v>
      </c>
      <c r="C3632" t="s">
        <v>1918</v>
      </c>
      <c r="D3632">
        <v>948</v>
      </c>
      <c r="E3632">
        <v>1003</v>
      </c>
      <c r="F3632">
        <v>889</v>
      </c>
      <c r="G3632">
        <v>900</v>
      </c>
    </row>
    <row r="3633" spans="1:7">
      <c r="A3633" t="s">
        <v>1876</v>
      </c>
      <c r="B3633" t="s">
        <v>358</v>
      </c>
      <c r="C3633" t="s">
        <v>1919</v>
      </c>
      <c r="D3633">
        <v>2.69</v>
      </c>
      <c r="E3633">
        <v>2.78</v>
      </c>
      <c r="F3633">
        <v>2.61</v>
      </c>
      <c r="G3633">
        <v>2.58</v>
      </c>
    </row>
    <row r="3634" spans="1:7">
      <c r="A3634" t="s">
        <v>1876</v>
      </c>
      <c r="B3634" t="s">
        <v>358</v>
      </c>
      <c r="C3634" t="s">
        <v>1920</v>
      </c>
      <c r="D3634">
        <v>1073</v>
      </c>
      <c r="E3634">
        <v>1120</v>
      </c>
      <c r="F3634">
        <v>1010</v>
      </c>
      <c r="G3634">
        <v>1062</v>
      </c>
    </row>
    <row r="3635" spans="1:7">
      <c r="A3635" t="s">
        <v>1876</v>
      </c>
      <c r="B3635" t="s">
        <v>358</v>
      </c>
      <c r="C3635" t="s">
        <v>1921</v>
      </c>
      <c r="D3635">
        <v>394</v>
      </c>
      <c r="E3635">
        <v>403</v>
      </c>
      <c r="F3635">
        <v>387</v>
      </c>
      <c r="G3635">
        <v>393</v>
      </c>
    </row>
    <row r="3636" spans="1:7">
      <c r="A3636" t="s">
        <v>1876</v>
      </c>
      <c r="B3636" t="s">
        <v>358</v>
      </c>
      <c r="C3636" t="s">
        <v>1922</v>
      </c>
      <c r="D3636">
        <v>95</v>
      </c>
      <c r="E3636">
        <v>87</v>
      </c>
      <c r="F3636">
        <v>95</v>
      </c>
      <c r="G3636">
        <v>136</v>
      </c>
    </row>
    <row r="3637" spans="1:7">
      <c r="A3637" t="s">
        <v>1876</v>
      </c>
      <c r="B3637" t="s">
        <v>358</v>
      </c>
      <c r="C3637" t="s">
        <v>1923</v>
      </c>
      <c r="D3637">
        <v>1.94</v>
      </c>
      <c r="E3637">
        <v>1.78</v>
      </c>
      <c r="F3637">
        <v>1.83</v>
      </c>
      <c r="G3637">
        <v>2.89</v>
      </c>
    </row>
    <row r="3638" spans="1:7">
      <c r="A3638" t="s">
        <v>1876</v>
      </c>
      <c r="B3638" t="s">
        <v>358</v>
      </c>
      <c r="C3638" t="s">
        <v>1924</v>
      </c>
      <c r="D3638">
        <v>8</v>
      </c>
      <c r="E3638">
        <v>7</v>
      </c>
      <c r="F3638">
        <v>4</v>
      </c>
      <c r="G3638">
        <v>3</v>
      </c>
    </row>
    <row r="3639" spans="1:7">
      <c r="A3639" t="s">
        <v>1876</v>
      </c>
      <c r="B3639" t="s">
        <v>358</v>
      </c>
      <c r="C3639" t="s">
        <v>1925</v>
      </c>
      <c r="D3639">
        <v>114</v>
      </c>
      <c r="E3639">
        <v>117</v>
      </c>
      <c r="F3639">
        <v>103</v>
      </c>
      <c r="G3639">
        <v>89</v>
      </c>
    </row>
    <row r="3640" spans="1:7">
      <c r="A3640" t="s">
        <v>1876</v>
      </c>
      <c r="B3640" t="s">
        <v>358</v>
      </c>
      <c r="C3640" t="s">
        <v>1926</v>
      </c>
      <c r="D3640">
        <v>272</v>
      </c>
      <c r="E3640">
        <v>279</v>
      </c>
      <c r="F3640">
        <v>280</v>
      </c>
      <c r="G3640">
        <v>301</v>
      </c>
    </row>
    <row r="3641" spans="1:7">
      <c r="A3641" t="s">
        <v>1876</v>
      </c>
      <c r="B3641" t="s">
        <v>358</v>
      </c>
      <c r="C3641" t="s">
        <v>1927</v>
      </c>
      <c r="D3641">
        <v>11</v>
      </c>
      <c r="E3641">
        <v>11</v>
      </c>
      <c r="F3641">
        <v>9</v>
      </c>
      <c r="G3641">
        <v>8</v>
      </c>
    </row>
    <row r="3642" spans="1:7">
      <c r="A3642" t="s">
        <v>1876</v>
      </c>
      <c r="B3642" t="s">
        <v>358</v>
      </c>
      <c r="C3642" t="s">
        <v>1928</v>
      </c>
      <c r="D3642">
        <v>371</v>
      </c>
      <c r="E3642">
        <v>379</v>
      </c>
      <c r="F3642">
        <v>363</v>
      </c>
      <c r="G3642">
        <v>364</v>
      </c>
    </row>
    <row r="3643" spans="1:7">
      <c r="A3643" t="s">
        <v>1876</v>
      </c>
      <c r="B3643" t="s">
        <v>358</v>
      </c>
      <c r="C3643" t="s">
        <v>1929</v>
      </c>
      <c r="D3643">
        <v>12</v>
      </c>
      <c r="E3643">
        <v>13</v>
      </c>
      <c r="F3643">
        <v>15</v>
      </c>
      <c r="G3643">
        <v>21</v>
      </c>
    </row>
    <row r="3644" spans="1:7">
      <c r="A3644" t="s">
        <v>1876</v>
      </c>
      <c r="B3644" t="s">
        <v>358</v>
      </c>
      <c r="C3644" t="s">
        <v>186</v>
      </c>
      <c r="D3644">
        <v>0</v>
      </c>
      <c r="E3644">
        <v>0</v>
      </c>
      <c r="F3644">
        <v>0</v>
      </c>
      <c r="G3644">
        <v>0</v>
      </c>
    </row>
    <row r="3645" spans="1:7">
      <c r="A3645" t="s">
        <v>1876</v>
      </c>
      <c r="B3645" t="s">
        <v>358</v>
      </c>
      <c r="C3645" t="s">
        <v>187</v>
      </c>
      <c r="D3645">
        <v>0</v>
      </c>
      <c r="E3645">
        <v>0</v>
      </c>
      <c r="F3645">
        <v>0</v>
      </c>
      <c r="G3645">
        <v>0</v>
      </c>
    </row>
    <row r="3646" spans="1:7">
      <c r="A3646" t="s">
        <v>1876</v>
      </c>
      <c r="B3646" t="s">
        <v>358</v>
      </c>
      <c r="C3646" t="s">
        <v>1705</v>
      </c>
      <c r="D3646">
        <v>2187</v>
      </c>
      <c r="E3646">
        <v>1980</v>
      </c>
      <c r="F3646">
        <v>1980</v>
      </c>
      <c r="G3646">
        <v>2008</v>
      </c>
    </row>
    <row r="3647" spans="1:7">
      <c r="A3647" t="s">
        <v>1876</v>
      </c>
      <c r="B3647" t="s">
        <v>358</v>
      </c>
      <c r="C3647" t="s">
        <v>188</v>
      </c>
      <c r="D3647">
        <v>235817</v>
      </c>
      <c r="E3647">
        <v>249933</v>
      </c>
      <c r="F3647">
        <v>250792</v>
      </c>
      <c r="G3647">
        <v>250544</v>
      </c>
    </row>
    <row r="3648" spans="1:7">
      <c r="A3648" t="s">
        <v>1876</v>
      </c>
      <c r="B3648" t="s">
        <v>358</v>
      </c>
      <c r="C3648" t="s">
        <v>189</v>
      </c>
      <c r="D3648">
        <v>0</v>
      </c>
      <c r="E3648">
        <v>0</v>
      </c>
      <c r="F3648">
        <v>0</v>
      </c>
      <c r="G3648">
        <v>0</v>
      </c>
    </row>
    <row r="3649" spans="1:7">
      <c r="A3649" t="s">
        <v>1876</v>
      </c>
      <c r="B3649" t="s">
        <v>358</v>
      </c>
      <c r="C3649" t="s">
        <v>190</v>
      </c>
      <c r="D3649">
        <v>0</v>
      </c>
      <c r="E3649">
        <v>0</v>
      </c>
      <c r="F3649">
        <v>0</v>
      </c>
      <c r="G3649">
        <v>0</v>
      </c>
    </row>
    <row r="3650" spans="1:7">
      <c r="A3650" t="s">
        <v>1876</v>
      </c>
      <c r="B3650" t="s">
        <v>358</v>
      </c>
      <c r="C3650" t="s">
        <v>191</v>
      </c>
      <c r="D3650">
        <v>0</v>
      </c>
      <c r="E3650">
        <v>0</v>
      </c>
      <c r="F3650">
        <v>0</v>
      </c>
      <c r="G3650">
        <v>0</v>
      </c>
    </row>
    <row r="3651" spans="1:7">
      <c r="A3651" t="s">
        <v>1876</v>
      </c>
      <c r="B3651" t="s">
        <v>358</v>
      </c>
      <c r="C3651" t="s">
        <v>192</v>
      </c>
      <c r="D3651">
        <v>93684.2</v>
      </c>
      <c r="E3651">
        <v>103954.5</v>
      </c>
      <c r="F3651">
        <v>111740.2</v>
      </c>
      <c r="G3651">
        <v>117627.4</v>
      </c>
    </row>
    <row r="3652" spans="1:7">
      <c r="A3652" t="s">
        <v>1876</v>
      </c>
      <c r="B3652" t="s">
        <v>358</v>
      </c>
      <c r="C3652" t="s">
        <v>193</v>
      </c>
      <c r="D3652">
        <v>84532</v>
      </c>
      <c r="E3652">
        <v>87491.199999999997</v>
      </c>
      <c r="F3652">
        <v>89642.2</v>
      </c>
      <c r="G3652">
        <v>91878</v>
      </c>
    </row>
    <row r="3653" spans="1:7">
      <c r="A3653" t="s">
        <v>1876</v>
      </c>
      <c r="B3653" t="s">
        <v>358</v>
      </c>
      <c r="C3653" t="s">
        <v>1930</v>
      </c>
      <c r="D3653">
        <v>48.8</v>
      </c>
      <c r="E3653">
        <v>55.3</v>
      </c>
      <c r="F3653">
        <v>51.1</v>
      </c>
      <c r="G3653">
        <v>68.599999999999994</v>
      </c>
    </row>
    <row r="3654" spans="1:7">
      <c r="A3654" t="s">
        <v>1876</v>
      </c>
      <c r="B3654" t="s">
        <v>358</v>
      </c>
      <c r="C3654" t="s">
        <v>194</v>
      </c>
      <c r="D3654">
        <v>6</v>
      </c>
      <c r="E3654">
        <v>6</v>
      </c>
      <c r="F3654">
        <v>6</v>
      </c>
      <c r="G3654">
        <v>6</v>
      </c>
    </row>
    <row r="3655" spans="1:7">
      <c r="A3655" t="s">
        <v>1876</v>
      </c>
      <c r="B3655" t="s">
        <v>358</v>
      </c>
      <c r="C3655" t="s">
        <v>195</v>
      </c>
      <c r="D3655">
        <v>627</v>
      </c>
      <c r="E3655">
        <v>711</v>
      </c>
      <c r="F3655">
        <v>657</v>
      </c>
      <c r="G3655">
        <v>883</v>
      </c>
    </row>
    <row r="3656" spans="1:7">
      <c r="A3656" t="s">
        <v>1876</v>
      </c>
      <c r="B3656" t="s">
        <v>358</v>
      </c>
      <c r="C3656" t="s">
        <v>1706</v>
      </c>
      <c r="D3656">
        <v>43</v>
      </c>
      <c r="E3656">
        <v>43</v>
      </c>
      <c r="F3656">
        <v>43</v>
      </c>
      <c r="G3656">
        <v>43</v>
      </c>
    </row>
    <row r="3657" spans="1:7">
      <c r="A3657" t="s">
        <v>1876</v>
      </c>
      <c r="B3657" t="s">
        <v>358</v>
      </c>
      <c r="C3657" t="s">
        <v>196</v>
      </c>
      <c r="D3657">
        <v>2</v>
      </c>
      <c r="E3657">
        <v>2</v>
      </c>
      <c r="F3657">
        <v>2</v>
      </c>
      <c r="G3657">
        <v>2</v>
      </c>
    </row>
    <row r="3658" spans="1:7">
      <c r="A3658" t="s">
        <v>1876</v>
      </c>
      <c r="B3658" t="s">
        <v>358</v>
      </c>
      <c r="C3658" t="s">
        <v>197</v>
      </c>
      <c r="D3658">
        <v>0</v>
      </c>
      <c r="E3658">
        <v>0</v>
      </c>
      <c r="F3658">
        <v>0</v>
      </c>
      <c r="G3658">
        <v>0</v>
      </c>
    </row>
    <row r="3659" spans="1:7">
      <c r="A3659" t="s">
        <v>1876</v>
      </c>
      <c r="B3659" t="s">
        <v>358</v>
      </c>
      <c r="C3659" t="s">
        <v>198</v>
      </c>
      <c r="D3659">
        <v>635</v>
      </c>
      <c r="E3659">
        <v>719</v>
      </c>
      <c r="F3659">
        <v>665</v>
      </c>
      <c r="G3659">
        <v>891</v>
      </c>
    </row>
    <row r="3660" spans="1:7">
      <c r="A3660" t="s">
        <v>1876</v>
      </c>
      <c r="B3660" t="s">
        <v>358</v>
      </c>
      <c r="C3660" t="s">
        <v>199</v>
      </c>
      <c r="D3660">
        <v>8</v>
      </c>
      <c r="E3660">
        <v>8</v>
      </c>
      <c r="F3660">
        <v>8</v>
      </c>
      <c r="G3660">
        <v>8</v>
      </c>
    </row>
    <row r="3661" spans="1:7">
      <c r="A3661" t="s">
        <v>1876</v>
      </c>
      <c r="B3661" t="s">
        <v>358</v>
      </c>
      <c r="C3661" t="s">
        <v>200</v>
      </c>
      <c r="D3661">
        <v>0</v>
      </c>
      <c r="E3661">
        <v>0</v>
      </c>
      <c r="F3661">
        <v>0</v>
      </c>
      <c r="G3661">
        <v>0</v>
      </c>
    </row>
    <row r="3662" spans="1:7">
      <c r="A3662" t="s">
        <v>1876</v>
      </c>
      <c r="B3662" t="s">
        <v>358</v>
      </c>
      <c r="C3662" t="s">
        <v>201</v>
      </c>
      <c r="D3662">
        <v>3444</v>
      </c>
      <c r="E3662">
        <v>3210</v>
      </c>
      <c r="F3662">
        <v>3056</v>
      </c>
      <c r="G3662">
        <v>2978</v>
      </c>
    </row>
    <row r="3663" spans="1:7">
      <c r="A3663" t="s">
        <v>1876</v>
      </c>
      <c r="B3663" t="s">
        <v>358</v>
      </c>
      <c r="C3663" t="s">
        <v>202</v>
      </c>
      <c r="D3663">
        <v>144</v>
      </c>
      <c r="E3663">
        <v>147</v>
      </c>
      <c r="F3663">
        <v>147</v>
      </c>
      <c r="G3663">
        <v>137</v>
      </c>
    </row>
    <row r="3664" spans="1:7">
      <c r="A3664" t="s">
        <v>1876</v>
      </c>
      <c r="B3664" t="s">
        <v>358</v>
      </c>
      <c r="C3664" t="s">
        <v>203</v>
      </c>
      <c r="D3664">
        <v>590</v>
      </c>
      <c r="E3664">
        <v>570</v>
      </c>
      <c r="F3664">
        <v>486</v>
      </c>
      <c r="G3664">
        <v>472</v>
      </c>
    </row>
    <row r="3665" spans="1:7">
      <c r="A3665" t="s">
        <v>1876</v>
      </c>
      <c r="B3665" t="s">
        <v>358</v>
      </c>
      <c r="C3665" t="s">
        <v>204</v>
      </c>
      <c r="D3665">
        <v>4179</v>
      </c>
      <c r="E3665">
        <v>3928</v>
      </c>
      <c r="F3665">
        <v>3689</v>
      </c>
      <c r="G3665">
        <v>3587</v>
      </c>
    </row>
    <row r="3666" spans="1:7">
      <c r="A3666" t="s">
        <v>1876</v>
      </c>
      <c r="B3666" t="s">
        <v>358</v>
      </c>
      <c r="C3666" t="s">
        <v>205</v>
      </c>
      <c r="D3666">
        <v>4179</v>
      </c>
      <c r="E3666">
        <v>3928</v>
      </c>
      <c r="F3666">
        <v>3689</v>
      </c>
      <c r="G3666">
        <v>3587</v>
      </c>
    </row>
    <row r="3667" spans="1:7">
      <c r="A3667" t="s">
        <v>1876</v>
      </c>
      <c r="B3667" t="s">
        <v>358</v>
      </c>
      <c r="C3667" t="s">
        <v>1931</v>
      </c>
      <c r="D3667">
        <v>0</v>
      </c>
      <c r="E3667">
        <v>0</v>
      </c>
      <c r="F3667">
        <v>0</v>
      </c>
      <c r="G3667">
        <v>0</v>
      </c>
    </row>
    <row r="3668" spans="1:7">
      <c r="A3668" t="s">
        <v>1876</v>
      </c>
      <c r="B3668" t="s">
        <v>358</v>
      </c>
      <c r="C3668" t="s">
        <v>1707</v>
      </c>
      <c r="D3668">
        <v>0</v>
      </c>
      <c r="E3668">
        <v>0</v>
      </c>
      <c r="F3668">
        <v>0</v>
      </c>
      <c r="G3668">
        <v>0</v>
      </c>
    </row>
    <row r="3669" spans="1:7">
      <c r="A3669" t="s">
        <v>1876</v>
      </c>
      <c r="B3669" t="s">
        <v>358</v>
      </c>
      <c r="C3669" t="s">
        <v>1932</v>
      </c>
      <c r="D3669">
        <v>40.5</v>
      </c>
      <c r="E3669">
        <v>38.799999999999997</v>
      </c>
      <c r="F3669">
        <v>33</v>
      </c>
      <c r="G3669">
        <v>35.4</v>
      </c>
    </row>
    <row r="3670" spans="1:7">
      <c r="A3670" t="s">
        <v>1876</v>
      </c>
      <c r="B3670" t="s">
        <v>358</v>
      </c>
      <c r="C3670" t="s">
        <v>1708</v>
      </c>
      <c r="D3670">
        <v>32</v>
      </c>
      <c r="E3670">
        <v>32</v>
      </c>
      <c r="F3670">
        <v>32</v>
      </c>
      <c r="G3670">
        <v>32</v>
      </c>
    </row>
    <row r="3671" spans="1:7">
      <c r="A3671" t="s">
        <v>1876</v>
      </c>
      <c r="B3671" t="s">
        <v>358</v>
      </c>
      <c r="C3671" t="s">
        <v>206</v>
      </c>
      <c r="D3671">
        <v>0</v>
      </c>
      <c r="E3671">
        <v>0</v>
      </c>
      <c r="F3671">
        <v>0</v>
      </c>
      <c r="G3671">
        <v>0</v>
      </c>
    </row>
    <row r="3672" spans="1:7">
      <c r="A3672" t="s">
        <v>1876</v>
      </c>
      <c r="B3672" t="s">
        <v>358</v>
      </c>
      <c r="C3672" t="s">
        <v>207</v>
      </c>
      <c r="D3672">
        <v>147</v>
      </c>
      <c r="E3672">
        <v>169</v>
      </c>
      <c r="F3672">
        <v>88</v>
      </c>
      <c r="G3672">
        <v>116</v>
      </c>
    </row>
    <row r="3673" spans="1:7">
      <c r="A3673" t="s">
        <v>1876</v>
      </c>
      <c r="B3673" t="s">
        <v>358</v>
      </c>
      <c r="C3673" t="s">
        <v>208</v>
      </c>
      <c r="D3673">
        <v>245</v>
      </c>
      <c r="E3673">
        <v>207</v>
      </c>
      <c r="F3673">
        <v>230</v>
      </c>
      <c r="G3673">
        <v>227</v>
      </c>
    </row>
    <row r="3674" spans="1:7">
      <c r="A3674" t="s">
        <v>1876</v>
      </c>
      <c r="B3674" t="s">
        <v>358</v>
      </c>
      <c r="C3674" t="s">
        <v>209</v>
      </c>
      <c r="D3674">
        <v>392</v>
      </c>
      <c r="E3674">
        <v>376</v>
      </c>
      <c r="F3674">
        <v>318</v>
      </c>
      <c r="G3674">
        <v>343</v>
      </c>
    </row>
    <row r="3675" spans="1:7">
      <c r="A3675" t="s">
        <v>1876</v>
      </c>
      <c r="B3675" t="s">
        <v>358</v>
      </c>
      <c r="C3675" t="s">
        <v>210</v>
      </c>
      <c r="D3675">
        <v>245</v>
      </c>
      <c r="E3675">
        <v>207</v>
      </c>
      <c r="F3675">
        <v>230</v>
      </c>
      <c r="G3675">
        <v>227</v>
      </c>
    </row>
    <row r="3676" spans="1:7">
      <c r="A3676" t="s">
        <v>1876</v>
      </c>
      <c r="B3676" t="s">
        <v>358</v>
      </c>
      <c r="C3676" t="s">
        <v>211</v>
      </c>
      <c r="D3676">
        <v>0</v>
      </c>
      <c r="E3676">
        <v>0</v>
      </c>
      <c r="F3676">
        <v>0</v>
      </c>
      <c r="G3676">
        <v>0</v>
      </c>
    </row>
    <row r="3677" spans="1:7">
      <c r="A3677" t="s">
        <v>1876</v>
      </c>
      <c r="B3677" t="s">
        <v>358</v>
      </c>
      <c r="C3677" t="s">
        <v>212</v>
      </c>
      <c r="D3677">
        <v>0</v>
      </c>
      <c r="E3677">
        <v>0</v>
      </c>
      <c r="F3677">
        <v>0</v>
      </c>
      <c r="G3677">
        <v>0</v>
      </c>
    </row>
    <row r="3678" spans="1:7">
      <c r="A3678" t="s">
        <v>1876</v>
      </c>
      <c r="B3678" t="s">
        <v>358</v>
      </c>
      <c r="C3678" t="s">
        <v>213</v>
      </c>
      <c r="D3678">
        <v>0</v>
      </c>
      <c r="E3678">
        <v>0</v>
      </c>
      <c r="F3678">
        <v>0</v>
      </c>
      <c r="G3678">
        <v>0</v>
      </c>
    </row>
    <row r="3679" spans="1:7">
      <c r="A3679" t="s">
        <v>1876</v>
      </c>
      <c r="B3679" t="s">
        <v>358</v>
      </c>
      <c r="C3679" t="s">
        <v>214</v>
      </c>
      <c r="D3679">
        <v>0</v>
      </c>
      <c r="E3679">
        <v>0</v>
      </c>
      <c r="F3679">
        <v>0</v>
      </c>
      <c r="G3679">
        <v>0</v>
      </c>
    </row>
    <row r="3680" spans="1:7">
      <c r="A3680" t="s">
        <v>1876</v>
      </c>
      <c r="B3680" t="s">
        <v>358</v>
      </c>
      <c r="C3680" t="s">
        <v>215</v>
      </c>
      <c r="D3680">
        <v>76558</v>
      </c>
      <c r="E3680">
        <v>88440</v>
      </c>
      <c r="F3680">
        <v>95124</v>
      </c>
      <c r="G3680">
        <v>94826</v>
      </c>
    </row>
    <row r="3681" spans="1:7">
      <c r="A3681" t="s">
        <v>1876</v>
      </c>
      <c r="B3681" t="s">
        <v>358</v>
      </c>
      <c r="C3681" t="s">
        <v>216</v>
      </c>
      <c r="D3681">
        <v>76558</v>
      </c>
      <c r="E3681">
        <v>88440</v>
      </c>
      <c r="F3681">
        <v>95124</v>
      </c>
      <c r="G3681">
        <v>94826</v>
      </c>
    </row>
    <row r="3682" spans="1:7">
      <c r="A3682" t="s">
        <v>1876</v>
      </c>
      <c r="B3682" t="s">
        <v>358</v>
      </c>
      <c r="C3682" t="s">
        <v>217</v>
      </c>
      <c r="D3682">
        <v>76558</v>
      </c>
      <c r="E3682">
        <v>88440</v>
      </c>
      <c r="F3682">
        <v>95124</v>
      </c>
      <c r="G3682">
        <v>94826</v>
      </c>
    </row>
    <row r="3683" spans="1:7">
      <c r="A3683" t="s">
        <v>1876</v>
      </c>
      <c r="B3683" t="s">
        <v>358</v>
      </c>
      <c r="C3683" t="s">
        <v>218</v>
      </c>
      <c r="D3683">
        <v>0</v>
      </c>
      <c r="E3683">
        <v>0</v>
      </c>
      <c r="F3683">
        <v>0</v>
      </c>
      <c r="G3683">
        <v>0</v>
      </c>
    </row>
    <row r="3684" spans="1:7">
      <c r="A3684" t="s">
        <v>1876</v>
      </c>
      <c r="B3684" t="s">
        <v>358</v>
      </c>
      <c r="C3684" t="s">
        <v>219</v>
      </c>
      <c r="D3684">
        <v>0</v>
      </c>
      <c r="E3684">
        <v>0</v>
      </c>
      <c r="F3684">
        <v>0</v>
      </c>
      <c r="G3684">
        <v>0</v>
      </c>
    </row>
    <row r="3685" spans="1:7">
      <c r="A3685" t="s">
        <v>1876</v>
      </c>
      <c r="B3685" t="s">
        <v>358</v>
      </c>
      <c r="C3685" t="s">
        <v>220</v>
      </c>
      <c r="D3685">
        <v>0</v>
      </c>
      <c r="E3685">
        <v>0</v>
      </c>
      <c r="F3685">
        <v>0</v>
      </c>
      <c r="G3685">
        <v>0</v>
      </c>
    </row>
    <row r="3686" spans="1:7">
      <c r="A3686" t="s">
        <v>1876</v>
      </c>
      <c r="B3686" t="s">
        <v>358</v>
      </c>
      <c r="C3686" t="s">
        <v>221</v>
      </c>
      <c r="D3686">
        <v>0</v>
      </c>
      <c r="E3686">
        <v>0</v>
      </c>
      <c r="F3686">
        <v>0</v>
      </c>
      <c r="G3686">
        <v>0</v>
      </c>
    </row>
    <row r="3687" spans="1:7">
      <c r="A3687" t="s">
        <v>1876</v>
      </c>
      <c r="B3687" t="s">
        <v>358</v>
      </c>
      <c r="C3687" t="s">
        <v>222</v>
      </c>
      <c r="D3687">
        <v>0</v>
      </c>
      <c r="E3687">
        <v>0</v>
      </c>
      <c r="F3687">
        <v>0</v>
      </c>
      <c r="G3687">
        <v>0</v>
      </c>
    </row>
    <row r="3688" spans="1:7">
      <c r="A3688" t="s">
        <v>1876</v>
      </c>
      <c r="B3688" t="s">
        <v>358</v>
      </c>
      <c r="C3688" t="s">
        <v>1933</v>
      </c>
      <c r="D3688">
        <v>1009.7</v>
      </c>
      <c r="E3688">
        <v>1003</v>
      </c>
      <c r="F3688">
        <v>996</v>
      </c>
      <c r="G3688">
        <v>996.9</v>
      </c>
    </row>
    <row r="3689" spans="1:7">
      <c r="A3689" t="s">
        <v>1876</v>
      </c>
      <c r="B3689" t="s">
        <v>358</v>
      </c>
      <c r="C3689" t="s">
        <v>223</v>
      </c>
      <c r="D3689">
        <v>0</v>
      </c>
      <c r="E3689">
        <v>0</v>
      </c>
      <c r="F3689">
        <v>0</v>
      </c>
      <c r="G3689">
        <v>0</v>
      </c>
    </row>
    <row r="3690" spans="1:7">
      <c r="A3690" t="s">
        <v>1876</v>
      </c>
      <c r="B3690" t="s">
        <v>358</v>
      </c>
      <c r="C3690" t="s">
        <v>224</v>
      </c>
      <c r="D3690">
        <v>15533</v>
      </c>
      <c r="E3690">
        <v>15884</v>
      </c>
      <c r="F3690">
        <v>15225</v>
      </c>
      <c r="G3690">
        <v>15351</v>
      </c>
    </row>
    <row r="3691" spans="1:7">
      <c r="A3691" t="s">
        <v>1876</v>
      </c>
      <c r="B3691" t="s">
        <v>358</v>
      </c>
      <c r="C3691" t="s">
        <v>225</v>
      </c>
      <c r="D3691">
        <v>18558</v>
      </c>
      <c r="E3691">
        <v>19325</v>
      </c>
      <c r="F3691">
        <v>18685</v>
      </c>
      <c r="G3691">
        <v>18824</v>
      </c>
    </row>
    <row r="3692" spans="1:7">
      <c r="A3692" t="s">
        <v>1876</v>
      </c>
      <c r="B3692" t="s">
        <v>358</v>
      </c>
      <c r="C3692" t="s">
        <v>226</v>
      </c>
      <c r="D3692">
        <v>15759</v>
      </c>
      <c r="E3692">
        <v>15383</v>
      </c>
      <c r="F3692">
        <v>14650</v>
      </c>
      <c r="G3692">
        <v>14382</v>
      </c>
    </row>
    <row r="3693" spans="1:7">
      <c r="A3693" t="s">
        <v>1876</v>
      </c>
      <c r="B3693" t="s">
        <v>358</v>
      </c>
      <c r="C3693" t="s">
        <v>227</v>
      </c>
      <c r="D3693">
        <v>49850</v>
      </c>
      <c r="E3693">
        <v>50592</v>
      </c>
      <c r="F3693">
        <v>48560</v>
      </c>
      <c r="G3693">
        <v>48557</v>
      </c>
    </row>
    <row r="3694" spans="1:7">
      <c r="A3694" t="s">
        <v>1876</v>
      </c>
      <c r="B3694" t="s">
        <v>358</v>
      </c>
      <c r="C3694" t="s">
        <v>228</v>
      </c>
      <c r="D3694">
        <v>49850</v>
      </c>
      <c r="E3694">
        <v>50592</v>
      </c>
      <c r="F3694">
        <v>48560</v>
      </c>
      <c r="G3694">
        <v>48557</v>
      </c>
    </row>
    <row r="3695" spans="1:7">
      <c r="A3695" t="s">
        <v>1876</v>
      </c>
      <c r="B3695" t="s">
        <v>358</v>
      </c>
      <c r="C3695" t="s">
        <v>229</v>
      </c>
      <c r="D3695">
        <v>321</v>
      </c>
      <c r="E3695">
        <v>336</v>
      </c>
      <c r="F3695">
        <v>244</v>
      </c>
      <c r="G3695">
        <v>232</v>
      </c>
    </row>
    <row r="3696" spans="1:7">
      <c r="A3696" t="s">
        <v>1876</v>
      </c>
      <c r="B3696" t="s">
        <v>358</v>
      </c>
      <c r="C3696" t="s">
        <v>230</v>
      </c>
      <c r="D3696">
        <v>188</v>
      </c>
      <c r="E3696">
        <v>185</v>
      </c>
      <c r="F3696">
        <v>133</v>
      </c>
      <c r="G3696">
        <v>132</v>
      </c>
    </row>
    <row r="3697" spans="1:7">
      <c r="A3697" t="s">
        <v>1876</v>
      </c>
      <c r="B3697" t="s">
        <v>358</v>
      </c>
      <c r="C3697" t="s">
        <v>231</v>
      </c>
      <c r="D3697">
        <v>509</v>
      </c>
      <c r="E3697">
        <v>520</v>
      </c>
      <c r="F3697">
        <v>377</v>
      </c>
      <c r="G3697">
        <v>364</v>
      </c>
    </row>
    <row r="3698" spans="1:7">
      <c r="A3698" t="s">
        <v>1876</v>
      </c>
      <c r="B3698" t="s">
        <v>358</v>
      </c>
      <c r="C3698" t="s">
        <v>232</v>
      </c>
      <c r="D3698">
        <v>509</v>
      </c>
      <c r="E3698">
        <v>520</v>
      </c>
      <c r="F3698">
        <v>377</v>
      </c>
      <c r="G3698">
        <v>364</v>
      </c>
    </row>
    <row r="3699" spans="1:7">
      <c r="A3699" t="s">
        <v>1876</v>
      </c>
      <c r="B3699" t="s">
        <v>358</v>
      </c>
      <c r="C3699" t="s">
        <v>233</v>
      </c>
      <c r="D3699">
        <v>0</v>
      </c>
      <c r="E3699">
        <v>0</v>
      </c>
      <c r="F3699">
        <v>0</v>
      </c>
      <c r="G3699">
        <v>0</v>
      </c>
    </row>
    <row r="3700" spans="1:7">
      <c r="A3700" t="s">
        <v>1876</v>
      </c>
      <c r="B3700" t="s">
        <v>358</v>
      </c>
      <c r="C3700" t="s">
        <v>234</v>
      </c>
      <c r="D3700">
        <v>46258</v>
      </c>
      <c r="E3700">
        <v>46487</v>
      </c>
      <c r="F3700">
        <v>47209</v>
      </c>
      <c r="G3700">
        <v>47943</v>
      </c>
    </row>
    <row r="3701" spans="1:7">
      <c r="A3701" t="s">
        <v>1876</v>
      </c>
      <c r="B3701" t="s">
        <v>358</v>
      </c>
      <c r="C3701" t="s">
        <v>235</v>
      </c>
      <c r="D3701">
        <v>1670</v>
      </c>
      <c r="E3701">
        <v>1724</v>
      </c>
      <c r="F3701">
        <v>1726</v>
      </c>
      <c r="G3701">
        <v>1563</v>
      </c>
    </row>
    <row r="3702" spans="1:7">
      <c r="A3702" t="s">
        <v>1876</v>
      </c>
      <c r="B3702" t="s">
        <v>358</v>
      </c>
      <c r="C3702" t="s">
        <v>236</v>
      </c>
      <c r="D3702">
        <v>1347</v>
      </c>
      <c r="E3702">
        <v>1460</v>
      </c>
      <c r="F3702">
        <v>1485</v>
      </c>
      <c r="G3702">
        <v>693</v>
      </c>
    </row>
    <row r="3703" spans="1:7">
      <c r="A3703" t="s">
        <v>1876</v>
      </c>
      <c r="B3703" t="s">
        <v>358</v>
      </c>
      <c r="C3703" t="s">
        <v>237</v>
      </c>
      <c r="D3703">
        <v>49274</v>
      </c>
      <c r="E3703">
        <v>49671</v>
      </c>
      <c r="F3703">
        <v>50420</v>
      </c>
      <c r="G3703">
        <v>50199</v>
      </c>
    </row>
    <row r="3704" spans="1:7">
      <c r="A3704" t="s">
        <v>1876</v>
      </c>
      <c r="B3704" t="s">
        <v>358</v>
      </c>
      <c r="C3704" t="s">
        <v>238</v>
      </c>
      <c r="D3704">
        <v>49274</v>
      </c>
      <c r="E3704">
        <v>49671</v>
      </c>
      <c r="F3704">
        <v>50420</v>
      </c>
      <c r="G3704">
        <v>50199</v>
      </c>
    </row>
    <row r="3705" spans="1:7">
      <c r="A3705" t="s">
        <v>1876</v>
      </c>
      <c r="B3705" t="s">
        <v>358</v>
      </c>
      <c r="C3705" t="s">
        <v>1934</v>
      </c>
      <c r="D3705">
        <v>42856</v>
      </c>
      <c r="E3705">
        <v>43056</v>
      </c>
      <c r="F3705">
        <v>43727</v>
      </c>
      <c r="G3705">
        <v>44421</v>
      </c>
    </row>
    <row r="3706" spans="1:7">
      <c r="A3706" t="s">
        <v>1876</v>
      </c>
      <c r="B3706" t="s">
        <v>358</v>
      </c>
      <c r="C3706" t="s">
        <v>1935</v>
      </c>
      <c r="D3706">
        <v>1547</v>
      </c>
      <c r="E3706">
        <v>1597</v>
      </c>
      <c r="F3706">
        <v>1599</v>
      </c>
      <c r="G3706">
        <v>1448</v>
      </c>
    </row>
    <row r="3707" spans="1:7">
      <c r="A3707" t="s">
        <v>1876</v>
      </c>
      <c r="B3707" t="s">
        <v>358</v>
      </c>
      <c r="C3707" t="s">
        <v>1936</v>
      </c>
      <c r="D3707">
        <v>1248</v>
      </c>
      <c r="E3707">
        <v>1353</v>
      </c>
      <c r="F3707">
        <v>1375</v>
      </c>
      <c r="G3707">
        <v>642</v>
      </c>
    </row>
    <row r="3708" spans="1:7">
      <c r="A3708" t="s">
        <v>1876</v>
      </c>
      <c r="B3708" t="s">
        <v>358</v>
      </c>
      <c r="C3708" t="s">
        <v>239</v>
      </c>
      <c r="D3708">
        <v>45650</v>
      </c>
      <c r="E3708">
        <v>46005</v>
      </c>
      <c r="F3708">
        <v>46700</v>
      </c>
      <c r="G3708">
        <v>46510</v>
      </c>
    </row>
    <row r="3709" spans="1:7">
      <c r="A3709" t="s">
        <v>1876</v>
      </c>
      <c r="B3709" t="s">
        <v>358</v>
      </c>
      <c r="C3709" t="s">
        <v>240</v>
      </c>
      <c r="D3709">
        <v>0</v>
      </c>
      <c r="E3709">
        <v>0</v>
      </c>
      <c r="F3709">
        <v>0</v>
      </c>
      <c r="G3709">
        <v>0</v>
      </c>
    </row>
    <row r="3710" spans="1:7">
      <c r="A3710" t="s">
        <v>1876</v>
      </c>
      <c r="B3710" t="s">
        <v>358</v>
      </c>
      <c r="C3710" t="s">
        <v>241</v>
      </c>
      <c r="D3710">
        <v>0</v>
      </c>
      <c r="E3710">
        <v>0</v>
      </c>
      <c r="F3710">
        <v>0</v>
      </c>
      <c r="G3710">
        <v>0</v>
      </c>
    </row>
    <row r="3711" spans="1:7">
      <c r="A3711" t="s">
        <v>1876</v>
      </c>
      <c r="B3711" t="s">
        <v>358</v>
      </c>
      <c r="C3711" t="s">
        <v>242</v>
      </c>
      <c r="D3711">
        <v>2</v>
      </c>
      <c r="E3711">
        <v>0</v>
      </c>
      <c r="F3711">
        <v>0</v>
      </c>
      <c r="G3711">
        <v>0</v>
      </c>
    </row>
    <row r="3712" spans="1:7">
      <c r="A3712" t="s">
        <v>1876</v>
      </c>
      <c r="B3712" t="s">
        <v>358</v>
      </c>
      <c r="C3712" t="s">
        <v>243</v>
      </c>
      <c r="D3712">
        <v>1890</v>
      </c>
      <c r="E3712">
        <v>2113</v>
      </c>
      <c r="F3712">
        <v>2119</v>
      </c>
      <c r="G3712">
        <v>2110</v>
      </c>
    </row>
    <row r="3713" spans="1:7">
      <c r="A3713" t="s">
        <v>1876</v>
      </c>
      <c r="B3713" t="s">
        <v>358</v>
      </c>
      <c r="C3713" t="s">
        <v>244</v>
      </c>
      <c r="D3713">
        <v>0</v>
      </c>
      <c r="E3713">
        <v>0</v>
      </c>
      <c r="F3713">
        <v>0</v>
      </c>
      <c r="G3713">
        <v>0</v>
      </c>
    </row>
    <row r="3714" spans="1:7">
      <c r="A3714" t="s">
        <v>1876</v>
      </c>
      <c r="B3714" t="s">
        <v>358</v>
      </c>
      <c r="C3714" t="s">
        <v>1709</v>
      </c>
      <c r="D3714">
        <v>0</v>
      </c>
      <c r="E3714">
        <v>0</v>
      </c>
      <c r="F3714">
        <v>0</v>
      </c>
      <c r="G3714">
        <v>0</v>
      </c>
    </row>
    <row r="3715" spans="1:7">
      <c r="A3715" t="s">
        <v>1876</v>
      </c>
      <c r="B3715" t="s">
        <v>358</v>
      </c>
      <c r="C3715" t="s">
        <v>245</v>
      </c>
      <c r="D3715">
        <v>95</v>
      </c>
      <c r="E3715">
        <v>83</v>
      </c>
      <c r="F3715">
        <v>71</v>
      </c>
      <c r="G3715">
        <v>73</v>
      </c>
    </row>
    <row r="3716" spans="1:7">
      <c r="A3716" t="s">
        <v>1876</v>
      </c>
      <c r="B3716" t="s">
        <v>358</v>
      </c>
      <c r="C3716" t="s">
        <v>246</v>
      </c>
      <c r="D3716">
        <v>567</v>
      </c>
      <c r="E3716">
        <v>549</v>
      </c>
      <c r="F3716">
        <v>548</v>
      </c>
      <c r="G3716">
        <v>566</v>
      </c>
    </row>
    <row r="3717" spans="1:7">
      <c r="A3717" t="s">
        <v>1876</v>
      </c>
      <c r="B3717" t="s">
        <v>358</v>
      </c>
      <c r="C3717" t="s">
        <v>247</v>
      </c>
      <c r="D3717">
        <v>2555</v>
      </c>
      <c r="E3717">
        <v>2745</v>
      </c>
      <c r="F3717">
        <v>2739</v>
      </c>
      <c r="G3717">
        <v>2748</v>
      </c>
    </row>
    <row r="3718" spans="1:7">
      <c r="A3718" t="s">
        <v>1876</v>
      </c>
      <c r="B3718" t="s">
        <v>358</v>
      </c>
      <c r="C3718" t="s">
        <v>248</v>
      </c>
      <c r="D3718">
        <v>1.8</v>
      </c>
      <c r="E3718">
        <v>1.9</v>
      </c>
      <c r="F3718">
        <v>1.9</v>
      </c>
      <c r="G3718">
        <v>1.9</v>
      </c>
    </row>
    <row r="3719" spans="1:7">
      <c r="A3719" t="s">
        <v>1876</v>
      </c>
      <c r="B3719" t="s">
        <v>358</v>
      </c>
      <c r="C3719" t="s">
        <v>249</v>
      </c>
      <c r="D3719">
        <v>2555</v>
      </c>
      <c r="E3719">
        <v>2745</v>
      </c>
      <c r="F3719">
        <v>2739</v>
      </c>
      <c r="G3719">
        <v>2748</v>
      </c>
    </row>
    <row r="3720" spans="1:7">
      <c r="A3720" t="s">
        <v>1876</v>
      </c>
      <c r="B3720" t="s">
        <v>358</v>
      </c>
      <c r="C3720" t="s">
        <v>250</v>
      </c>
      <c r="D3720">
        <v>133</v>
      </c>
      <c r="E3720">
        <v>159</v>
      </c>
      <c r="F3720">
        <v>152</v>
      </c>
      <c r="G3720">
        <v>125</v>
      </c>
    </row>
    <row r="3721" spans="1:7">
      <c r="A3721" t="s">
        <v>1876</v>
      </c>
      <c r="B3721" t="s">
        <v>358</v>
      </c>
      <c r="C3721" t="s">
        <v>1937</v>
      </c>
      <c r="D3721">
        <v>0</v>
      </c>
      <c r="E3721">
        <v>0</v>
      </c>
      <c r="F3721">
        <v>0</v>
      </c>
      <c r="G3721">
        <v>0</v>
      </c>
    </row>
    <row r="3722" spans="1:7">
      <c r="A3722" t="s">
        <v>1876</v>
      </c>
      <c r="B3722" t="s">
        <v>358</v>
      </c>
      <c r="C3722" t="s">
        <v>1938</v>
      </c>
      <c r="D3722">
        <v>0</v>
      </c>
      <c r="E3722">
        <v>0</v>
      </c>
      <c r="F3722">
        <v>0</v>
      </c>
      <c r="G3722">
        <v>0</v>
      </c>
    </row>
    <row r="3723" spans="1:7">
      <c r="A3723" t="s">
        <v>1876</v>
      </c>
      <c r="B3723" t="s">
        <v>358</v>
      </c>
      <c r="C3723" t="s">
        <v>251</v>
      </c>
      <c r="D3723">
        <v>0</v>
      </c>
      <c r="E3723">
        <v>0</v>
      </c>
      <c r="F3723">
        <v>0</v>
      </c>
      <c r="G3723">
        <v>0</v>
      </c>
    </row>
    <row r="3724" spans="1:7">
      <c r="A3724" t="s">
        <v>1876</v>
      </c>
      <c r="B3724" t="s">
        <v>358</v>
      </c>
      <c r="C3724" t="s">
        <v>252</v>
      </c>
      <c r="D3724">
        <v>0</v>
      </c>
      <c r="E3724">
        <v>0</v>
      </c>
      <c r="F3724">
        <v>0</v>
      </c>
      <c r="G3724">
        <v>0</v>
      </c>
    </row>
    <row r="3725" spans="1:7">
      <c r="A3725" t="s">
        <v>1876</v>
      </c>
      <c r="B3725" t="s">
        <v>358</v>
      </c>
      <c r="C3725" t="s">
        <v>1710</v>
      </c>
      <c r="D3725">
        <v>0</v>
      </c>
      <c r="E3725">
        <v>0</v>
      </c>
      <c r="F3725">
        <v>0</v>
      </c>
      <c r="G3725">
        <v>0</v>
      </c>
    </row>
    <row r="3726" spans="1:7">
      <c r="A3726" t="s">
        <v>1876</v>
      </c>
      <c r="B3726" t="s">
        <v>358</v>
      </c>
      <c r="C3726" t="s">
        <v>1939</v>
      </c>
      <c r="D3726">
        <v>0</v>
      </c>
      <c r="E3726">
        <v>0</v>
      </c>
      <c r="F3726">
        <v>0</v>
      </c>
      <c r="G3726">
        <v>0</v>
      </c>
    </row>
    <row r="3727" spans="1:7">
      <c r="A3727" t="s">
        <v>1876</v>
      </c>
      <c r="B3727" t="s">
        <v>358</v>
      </c>
      <c r="C3727" t="s">
        <v>253</v>
      </c>
      <c r="D3727">
        <v>0</v>
      </c>
      <c r="E3727">
        <v>0</v>
      </c>
      <c r="F3727">
        <v>0</v>
      </c>
      <c r="G3727">
        <v>0</v>
      </c>
    </row>
    <row r="3728" spans="1:7">
      <c r="A3728" t="s">
        <v>1876</v>
      </c>
      <c r="B3728" t="s">
        <v>358</v>
      </c>
      <c r="C3728" t="s">
        <v>1711</v>
      </c>
      <c r="D3728">
        <v>0</v>
      </c>
      <c r="E3728">
        <v>0</v>
      </c>
      <c r="F3728">
        <v>0</v>
      </c>
      <c r="G3728">
        <v>0</v>
      </c>
    </row>
    <row r="3729" spans="1:7">
      <c r="A3729" t="s">
        <v>1876</v>
      </c>
      <c r="B3729" t="s">
        <v>358</v>
      </c>
      <c r="C3729" t="s">
        <v>1712</v>
      </c>
      <c r="D3729">
        <v>8191</v>
      </c>
      <c r="E3729">
        <v>7965</v>
      </c>
      <c r="F3729">
        <v>7808</v>
      </c>
      <c r="G3729">
        <v>7552</v>
      </c>
    </row>
    <row r="3730" spans="1:7">
      <c r="A3730" t="s">
        <v>1876</v>
      </c>
      <c r="B3730" t="s">
        <v>358</v>
      </c>
      <c r="C3730" t="s">
        <v>1713</v>
      </c>
      <c r="D3730">
        <v>312</v>
      </c>
      <c r="E3730">
        <v>344</v>
      </c>
      <c r="F3730">
        <v>331</v>
      </c>
      <c r="G3730">
        <v>322</v>
      </c>
    </row>
    <row r="3731" spans="1:7">
      <c r="A3731" t="s">
        <v>1876</v>
      </c>
      <c r="B3731" t="s">
        <v>358</v>
      </c>
      <c r="C3731" t="s">
        <v>1940</v>
      </c>
      <c r="D3731">
        <v>0</v>
      </c>
      <c r="E3731">
        <v>0</v>
      </c>
      <c r="F3731">
        <v>0</v>
      </c>
      <c r="G3731">
        <v>0</v>
      </c>
    </row>
    <row r="3732" spans="1:7">
      <c r="A3732" t="s">
        <v>1876</v>
      </c>
      <c r="B3732" t="s">
        <v>358</v>
      </c>
      <c r="C3732" t="s">
        <v>1941</v>
      </c>
      <c r="D3732">
        <v>646</v>
      </c>
      <c r="E3732">
        <v>553</v>
      </c>
      <c r="F3732">
        <v>874</v>
      </c>
      <c r="G3732">
        <v>616</v>
      </c>
    </row>
    <row r="3733" spans="1:7">
      <c r="A3733" t="s">
        <v>1876</v>
      </c>
      <c r="B3733" t="s">
        <v>358</v>
      </c>
      <c r="C3733" t="s">
        <v>254</v>
      </c>
      <c r="D3733">
        <v>8191</v>
      </c>
      <c r="E3733">
        <v>7965</v>
      </c>
      <c r="F3733">
        <v>7808</v>
      </c>
      <c r="G3733">
        <v>7552</v>
      </c>
    </row>
    <row r="3734" spans="1:7">
      <c r="A3734" t="s">
        <v>1876</v>
      </c>
      <c r="B3734" t="s">
        <v>358</v>
      </c>
      <c r="C3734" t="s">
        <v>1942</v>
      </c>
      <c r="D3734">
        <v>0</v>
      </c>
      <c r="E3734">
        <v>0</v>
      </c>
      <c r="F3734">
        <v>0</v>
      </c>
      <c r="G3734">
        <v>0</v>
      </c>
    </row>
    <row r="3735" spans="1:7">
      <c r="A3735" t="s">
        <v>1876</v>
      </c>
      <c r="B3735" t="s">
        <v>358</v>
      </c>
      <c r="C3735" t="s">
        <v>255</v>
      </c>
      <c r="D3735">
        <v>9149</v>
      </c>
      <c r="E3735">
        <v>8862</v>
      </c>
      <c r="F3735">
        <v>9014</v>
      </c>
      <c r="G3735">
        <v>8490</v>
      </c>
    </row>
    <row r="3736" spans="1:7">
      <c r="A3736" t="s">
        <v>1876</v>
      </c>
      <c r="B3736" t="s">
        <v>358</v>
      </c>
      <c r="C3736" t="s">
        <v>256</v>
      </c>
      <c r="D3736">
        <v>8503</v>
      </c>
      <c r="E3736">
        <v>8309</v>
      </c>
      <c r="F3736">
        <v>8140</v>
      </c>
      <c r="G3736">
        <v>7874</v>
      </c>
    </row>
    <row r="3737" spans="1:7">
      <c r="A3737" t="s">
        <v>1876</v>
      </c>
      <c r="B3737" t="s">
        <v>358</v>
      </c>
      <c r="C3737" t="s">
        <v>1714</v>
      </c>
      <c r="D3737">
        <v>0</v>
      </c>
      <c r="E3737">
        <v>28</v>
      </c>
      <c r="F3737">
        <v>28</v>
      </c>
      <c r="G3737">
        <v>0</v>
      </c>
    </row>
    <row r="3738" spans="1:7">
      <c r="A3738" t="s">
        <v>1876</v>
      </c>
      <c r="B3738" t="s">
        <v>358</v>
      </c>
      <c r="C3738" t="s">
        <v>257</v>
      </c>
      <c r="D3738">
        <v>10513</v>
      </c>
      <c r="E3738">
        <v>10295</v>
      </c>
      <c r="F3738">
        <v>10480</v>
      </c>
      <c r="G3738">
        <v>10174</v>
      </c>
    </row>
    <row r="3739" spans="1:7">
      <c r="A3739" t="s">
        <v>1876</v>
      </c>
      <c r="B3739" t="s">
        <v>358</v>
      </c>
      <c r="C3739" t="s">
        <v>258</v>
      </c>
      <c r="D3739">
        <v>11847</v>
      </c>
      <c r="E3739">
        <v>11584</v>
      </c>
      <c r="F3739">
        <v>11983</v>
      </c>
      <c r="G3739">
        <v>11401</v>
      </c>
    </row>
    <row r="3740" spans="1:7">
      <c r="A3740" t="s">
        <v>1876</v>
      </c>
      <c r="B3740" t="s">
        <v>358</v>
      </c>
      <c r="C3740" t="s">
        <v>259</v>
      </c>
      <c r="D3740">
        <v>11201</v>
      </c>
      <c r="E3740">
        <v>11031</v>
      </c>
      <c r="F3740">
        <v>11109</v>
      </c>
      <c r="G3740">
        <v>10785</v>
      </c>
    </row>
    <row r="3741" spans="1:7">
      <c r="A3741" t="s">
        <v>1876</v>
      </c>
      <c r="B3741" t="s">
        <v>358</v>
      </c>
      <c r="C3741" t="s">
        <v>260</v>
      </c>
      <c r="D3741">
        <v>142670</v>
      </c>
      <c r="E3741">
        <v>155979</v>
      </c>
      <c r="F3741">
        <v>160674</v>
      </c>
      <c r="G3741">
        <v>160947</v>
      </c>
    </row>
    <row r="3742" spans="1:7">
      <c r="A3742" t="s">
        <v>1876</v>
      </c>
      <c r="B3742" t="s">
        <v>358</v>
      </c>
      <c r="C3742" t="s">
        <v>1943</v>
      </c>
      <c r="D3742">
        <v>29.3</v>
      </c>
      <c r="E3742">
        <v>32.200000000000003</v>
      </c>
      <c r="F3742">
        <v>35.1</v>
      </c>
      <c r="G3742">
        <v>35.700000000000003</v>
      </c>
    </row>
    <row r="3743" spans="1:7">
      <c r="A3743" t="s">
        <v>1876</v>
      </c>
      <c r="B3743" t="s">
        <v>358</v>
      </c>
      <c r="C3743" t="s">
        <v>261</v>
      </c>
      <c r="D3743">
        <v>6456</v>
      </c>
      <c r="E3743">
        <v>6214</v>
      </c>
      <c r="F3743">
        <v>6140</v>
      </c>
      <c r="G3743">
        <v>5831</v>
      </c>
    </row>
    <row r="3744" spans="1:7">
      <c r="A3744" t="s">
        <v>1876</v>
      </c>
      <c r="B3744" t="s">
        <v>358</v>
      </c>
      <c r="C3744" t="s">
        <v>262</v>
      </c>
      <c r="D3744">
        <v>61660</v>
      </c>
      <c r="E3744">
        <v>67594</v>
      </c>
      <c r="F3744">
        <v>72255</v>
      </c>
      <c r="G3744">
        <v>72714</v>
      </c>
    </row>
    <row r="3745" spans="1:7">
      <c r="A3745" t="s">
        <v>1876</v>
      </c>
      <c r="B3745" t="s">
        <v>358</v>
      </c>
      <c r="C3745" t="s">
        <v>1715</v>
      </c>
      <c r="D3745">
        <v>2007</v>
      </c>
      <c r="E3745">
        <v>1980</v>
      </c>
      <c r="F3745">
        <v>1980</v>
      </c>
      <c r="G3745">
        <v>2008</v>
      </c>
    </row>
    <row r="3746" spans="1:7">
      <c r="A3746" t="s">
        <v>1876</v>
      </c>
      <c r="B3746" t="s">
        <v>358</v>
      </c>
      <c r="C3746" t="s">
        <v>263</v>
      </c>
      <c r="D3746">
        <v>16555</v>
      </c>
      <c r="E3746">
        <v>16543</v>
      </c>
      <c r="F3746">
        <v>16205</v>
      </c>
      <c r="G3746">
        <v>15254</v>
      </c>
    </row>
    <row r="3747" spans="1:7">
      <c r="A3747" t="s">
        <v>1876</v>
      </c>
      <c r="B3747" t="s">
        <v>358</v>
      </c>
      <c r="C3747" t="s">
        <v>264</v>
      </c>
      <c r="D3747">
        <v>591</v>
      </c>
      <c r="E3747">
        <v>571</v>
      </c>
      <c r="F3747">
        <v>486</v>
      </c>
      <c r="G3747">
        <v>473</v>
      </c>
    </row>
    <row r="3748" spans="1:7">
      <c r="A3748" t="s">
        <v>1876</v>
      </c>
      <c r="B3748" t="s">
        <v>358</v>
      </c>
      <c r="C3748" t="s">
        <v>265</v>
      </c>
      <c r="D3748">
        <v>227931</v>
      </c>
      <c r="E3748">
        <v>246901</v>
      </c>
      <c r="F3748">
        <v>255761</v>
      </c>
      <c r="G3748">
        <v>255219</v>
      </c>
    </row>
    <row r="3749" spans="1:7">
      <c r="A3749" t="s">
        <v>1876</v>
      </c>
      <c r="B3749" t="s">
        <v>358</v>
      </c>
      <c r="C3749" t="s">
        <v>266</v>
      </c>
      <c r="D3749">
        <v>157.5</v>
      </c>
      <c r="E3749">
        <v>171.7</v>
      </c>
      <c r="F3749">
        <v>178.2</v>
      </c>
      <c r="G3749">
        <v>177.9</v>
      </c>
    </row>
    <row r="3750" spans="1:7">
      <c r="A3750" t="s">
        <v>1876</v>
      </c>
      <c r="B3750" t="s">
        <v>358</v>
      </c>
      <c r="C3750" t="s">
        <v>267</v>
      </c>
      <c r="D3750">
        <v>166271</v>
      </c>
      <c r="E3750">
        <v>179306</v>
      </c>
      <c r="F3750">
        <v>183505</v>
      </c>
      <c r="G3750">
        <v>182505</v>
      </c>
    </row>
    <row r="3751" spans="1:7">
      <c r="A3751" t="s">
        <v>1876</v>
      </c>
      <c r="B3751" t="s">
        <v>358</v>
      </c>
      <c r="C3751" t="s">
        <v>268</v>
      </c>
      <c r="D3751">
        <v>0</v>
      </c>
      <c r="E3751">
        <v>0</v>
      </c>
      <c r="F3751">
        <v>0</v>
      </c>
      <c r="G3751">
        <v>0</v>
      </c>
    </row>
    <row r="3752" spans="1:7">
      <c r="A3752" t="s">
        <v>1876</v>
      </c>
      <c r="B3752" t="s">
        <v>358</v>
      </c>
      <c r="C3752" t="s">
        <v>269</v>
      </c>
      <c r="D3752">
        <v>0</v>
      </c>
      <c r="E3752">
        <v>0</v>
      </c>
      <c r="F3752">
        <v>0</v>
      </c>
      <c r="G3752">
        <v>0</v>
      </c>
    </row>
    <row r="3753" spans="1:7">
      <c r="A3753" t="s">
        <v>1876</v>
      </c>
      <c r="B3753" t="s">
        <v>358</v>
      </c>
      <c r="C3753" t="s">
        <v>270</v>
      </c>
      <c r="D3753">
        <v>0</v>
      </c>
      <c r="E3753">
        <v>0</v>
      </c>
      <c r="F3753">
        <v>0</v>
      </c>
      <c r="G3753">
        <v>0</v>
      </c>
    </row>
    <row r="3754" spans="1:7">
      <c r="A3754" t="s">
        <v>1876</v>
      </c>
      <c r="B3754" t="s">
        <v>358</v>
      </c>
      <c r="C3754" t="s">
        <v>271</v>
      </c>
      <c r="D3754">
        <v>0</v>
      </c>
      <c r="E3754">
        <v>0</v>
      </c>
      <c r="F3754">
        <v>0</v>
      </c>
      <c r="G3754">
        <v>0</v>
      </c>
    </row>
    <row r="3755" spans="1:7">
      <c r="A3755" t="s">
        <v>1876</v>
      </c>
      <c r="B3755" t="s">
        <v>358</v>
      </c>
      <c r="C3755" t="s">
        <v>272</v>
      </c>
      <c r="D3755">
        <v>0</v>
      </c>
      <c r="E3755">
        <v>0</v>
      </c>
      <c r="F3755">
        <v>0</v>
      </c>
      <c r="G3755">
        <v>0</v>
      </c>
    </row>
    <row r="3756" spans="1:7">
      <c r="A3756" t="s">
        <v>1876</v>
      </c>
      <c r="B3756" t="s">
        <v>358</v>
      </c>
      <c r="C3756" t="s">
        <v>1944</v>
      </c>
      <c r="D3756">
        <v>4.4000000000000004</v>
      </c>
      <c r="E3756">
        <v>5.2</v>
      </c>
      <c r="F3756">
        <v>6.4</v>
      </c>
      <c r="G3756">
        <v>8.4</v>
      </c>
    </row>
    <row r="3757" spans="1:7">
      <c r="A3757" t="s">
        <v>1876</v>
      </c>
      <c r="B3757" t="s">
        <v>358</v>
      </c>
      <c r="C3757" t="s">
        <v>1945</v>
      </c>
      <c r="D3757">
        <v>7</v>
      </c>
      <c r="E3757">
        <v>9</v>
      </c>
      <c r="F3757">
        <v>15</v>
      </c>
      <c r="G3757">
        <v>18</v>
      </c>
    </row>
    <row r="3758" spans="1:7">
      <c r="A3758" t="s">
        <v>1876</v>
      </c>
      <c r="B3758" t="s">
        <v>358</v>
      </c>
      <c r="C3758" t="s">
        <v>273</v>
      </c>
      <c r="D3758">
        <v>0</v>
      </c>
      <c r="E3758">
        <v>0</v>
      </c>
      <c r="F3758">
        <v>0</v>
      </c>
      <c r="G3758">
        <v>0</v>
      </c>
    </row>
    <row r="3759" spans="1:7">
      <c r="A3759" t="s">
        <v>1876</v>
      </c>
      <c r="B3759" t="s">
        <v>358</v>
      </c>
      <c r="C3759" t="s">
        <v>1946</v>
      </c>
      <c r="D3759">
        <v>138725</v>
      </c>
      <c r="E3759">
        <v>151960</v>
      </c>
      <c r="F3759">
        <v>156665</v>
      </c>
      <c r="G3759">
        <v>156929</v>
      </c>
    </row>
    <row r="3760" spans="1:7">
      <c r="A3760" t="s">
        <v>1876</v>
      </c>
      <c r="B3760" t="s">
        <v>358</v>
      </c>
      <c r="C3760" t="s">
        <v>1947</v>
      </c>
      <c r="D3760">
        <v>6333</v>
      </c>
      <c r="E3760">
        <v>6087</v>
      </c>
      <c r="F3760">
        <v>6012</v>
      </c>
      <c r="G3760">
        <v>5716</v>
      </c>
    </row>
    <row r="3761" spans="1:7">
      <c r="A3761" t="s">
        <v>1876</v>
      </c>
      <c r="B3761" t="s">
        <v>358</v>
      </c>
      <c r="C3761" t="s">
        <v>1948</v>
      </c>
      <c r="D3761">
        <v>61014</v>
      </c>
      <c r="E3761">
        <v>67042</v>
      </c>
      <c r="F3761">
        <v>71381</v>
      </c>
      <c r="G3761">
        <v>72098</v>
      </c>
    </row>
    <row r="3762" spans="1:7">
      <c r="A3762" t="s">
        <v>1876</v>
      </c>
      <c r="B3762" t="s">
        <v>358</v>
      </c>
      <c r="C3762" t="s">
        <v>1949</v>
      </c>
      <c r="D3762">
        <v>16456</v>
      </c>
      <c r="E3762">
        <v>16435</v>
      </c>
      <c r="F3762">
        <v>16096</v>
      </c>
      <c r="G3762">
        <v>15203</v>
      </c>
    </row>
    <row r="3763" spans="1:7">
      <c r="A3763" t="s">
        <v>1876</v>
      </c>
      <c r="B3763" t="s">
        <v>358</v>
      </c>
      <c r="C3763" t="s">
        <v>1950</v>
      </c>
      <c r="D3763">
        <v>591</v>
      </c>
      <c r="E3763">
        <v>571</v>
      </c>
      <c r="F3763">
        <v>486</v>
      </c>
      <c r="G3763">
        <v>473</v>
      </c>
    </row>
    <row r="3764" spans="1:7">
      <c r="A3764" t="s">
        <v>1876</v>
      </c>
      <c r="B3764" t="s">
        <v>358</v>
      </c>
      <c r="C3764" t="s">
        <v>274</v>
      </c>
      <c r="D3764">
        <v>223119</v>
      </c>
      <c r="E3764">
        <v>242095</v>
      </c>
      <c r="F3764">
        <v>250640</v>
      </c>
      <c r="G3764">
        <v>250419</v>
      </c>
    </row>
    <row r="3765" spans="1:7">
      <c r="A3765" t="s">
        <v>1876</v>
      </c>
      <c r="B3765" t="s">
        <v>358</v>
      </c>
      <c r="C3765" t="s">
        <v>275</v>
      </c>
      <c r="D3765">
        <v>0</v>
      </c>
      <c r="E3765">
        <v>0</v>
      </c>
      <c r="F3765">
        <v>0</v>
      </c>
      <c r="G3765">
        <v>0</v>
      </c>
    </row>
    <row r="3766" spans="1:7">
      <c r="A3766" t="s">
        <v>1876</v>
      </c>
      <c r="B3766" t="s">
        <v>358</v>
      </c>
      <c r="C3766" t="s">
        <v>276</v>
      </c>
      <c r="D3766">
        <v>0</v>
      </c>
      <c r="E3766">
        <v>0</v>
      </c>
      <c r="F3766">
        <v>0</v>
      </c>
      <c r="G3766">
        <v>0</v>
      </c>
    </row>
    <row r="3767" spans="1:7">
      <c r="A3767" t="s">
        <v>1876</v>
      </c>
      <c r="B3767" t="s">
        <v>358</v>
      </c>
      <c r="C3767" t="s">
        <v>277</v>
      </c>
      <c r="D3767">
        <v>0</v>
      </c>
      <c r="E3767">
        <v>0</v>
      </c>
      <c r="F3767">
        <v>0</v>
      </c>
      <c r="G3767">
        <v>0</v>
      </c>
    </row>
    <row r="3768" spans="1:7">
      <c r="A3768" t="s">
        <v>1876</v>
      </c>
      <c r="B3768" t="s">
        <v>358</v>
      </c>
      <c r="C3768" t="s">
        <v>278</v>
      </c>
      <c r="D3768">
        <v>3444</v>
      </c>
      <c r="E3768">
        <v>3210</v>
      </c>
      <c r="F3768">
        <v>3056</v>
      </c>
      <c r="G3768">
        <v>2978</v>
      </c>
    </row>
    <row r="3769" spans="1:7">
      <c r="A3769" t="s">
        <v>1876</v>
      </c>
      <c r="B3769" t="s">
        <v>358</v>
      </c>
      <c r="C3769" t="s">
        <v>279</v>
      </c>
      <c r="D3769">
        <v>144</v>
      </c>
      <c r="E3769">
        <v>147</v>
      </c>
      <c r="F3769">
        <v>147</v>
      </c>
      <c r="G3769">
        <v>137</v>
      </c>
    </row>
    <row r="3770" spans="1:7">
      <c r="A3770" t="s">
        <v>1876</v>
      </c>
      <c r="B3770" t="s">
        <v>358</v>
      </c>
      <c r="C3770" t="s">
        <v>280</v>
      </c>
      <c r="D3770">
        <v>590</v>
      </c>
      <c r="E3770">
        <v>570</v>
      </c>
      <c r="F3770">
        <v>486</v>
      </c>
      <c r="G3770">
        <v>472</v>
      </c>
    </row>
    <row r="3771" spans="1:7">
      <c r="A3771" t="s">
        <v>1876</v>
      </c>
      <c r="B3771" t="s">
        <v>358</v>
      </c>
      <c r="C3771" t="s">
        <v>281</v>
      </c>
      <c r="D3771">
        <v>4179</v>
      </c>
      <c r="E3771">
        <v>3928</v>
      </c>
      <c r="F3771">
        <v>3689</v>
      </c>
      <c r="G3771">
        <v>3587</v>
      </c>
    </row>
    <row r="3772" spans="1:7">
      <c r="A3772" t="s">
        <v>1876</v>
      </c>
      <c r="B3772" t="s">
        <v>358</v>
      </c>
      <c r="C3772" t="s">
        <v>282</v>
      </c>
      <c r="D3772">
        <v>4179</v>
      </c>
      <c r="E3772">
        <v>3928</v>
      </c>
      <c r="F3772">
        <v>3689</v>
      </c>
      <c r="G3772">
        <v>3587</v>
      </c>
    </row>
    <row r="3773" spans="1:7">
      <c r="A3773" t="s">
        <v>1876</v>
      </c>
      <c r="B3773" t="s">
        <v>358</v>
      </c>
      <c r="C3773" t="s">
        <v>283</v>
      </c>
      <c r="D3773">
        <v>0</v>
      </c>
      <c r="E3773">
        <v>0</v>
      </c>
      <c r="F3773">
        <v>0</v>
      </c>
      <c r="G3773">
        <v>0</v>
      </c>
    </row>
    <row r="3774" spans="1:7">
      <c r="A3774" t="s">
        <v>1876</v>
      </c>
      <c r="B3774" t="s">
        <v>358</v>
      </c>
      <c r="C3774" t="s">
        <v>284</v>
      </c>
      <c r="D3774">
        <v>0</v>
      </c>
      <c r="E3774">
        <v>0</v>
      </c>
      <c r="F3774">
        <v>0</v>
      </c>
      <c r="G3774">
        <v>0</v>
      </c>
    </row>
    <row r="3775" spans="1:7">
      <c r="A3775" t="s">
        <v>1876</v>
      </c>
      <c r="B3775" t="s">
        <v>358</v>
      </c>
      <c r="C3775" t="s">
        <v>1716</v>
      </c>
      <c r="D3775">
        <v>3944</v>
      </c>
      <c r="E3775">
        <v>4018</v>
      </c>
      <c r="F3775">
        <v>4010</v>
      </c>
      <c r="G3775">
        <v>4018</v>
      </c>
    </row>
    <row r="3776" spans="1:7">
      <c r="A3776" t="s">
        <v>1876</v>
      </c>
      <c r="B3776" t="s">
        <v>358</v>
      </c>
      <c r="C3776" t="s">
        <v>1717</v>
      </c>
      <c r="D3776">
        <v>4938</v>
      </c>
      <c r="E3776">
        <v>5023</v>
      </c>
      <c r="F3776">
        <v>4746</v>
      </c>
      <c r="G3776">
        <v>4884</v>
      </c>
    </row>
    <row r="3777" spans="1:7">
      <c r="A3777" t="s">
        <v>1876</v>
      </c>
      <c r="B3777" t="s">
        <v>358</v>
      </c>
      <c r="C3777" t="s">
        <v>1718</v>
      </c>
      <c r="D3777">
        <v>6116</v>
      </c>
      <c r="E3777">
        <v>6160</v>
      </c>
      <c r="F3777">
        <v>6765</v>
      </c>
      <c r="G3777">
        <v>6388</v>
      </c>
    </row>
    <row r="3778" spans="1:7">
      <c r="A3778" t="s">
        <v>1876</v>
      </c>
      <c r="B3778" t="s">
        <v>358</v>
      </c>
      <c r="C3778" t="s">
        <v>1719</v>
      </c>
      <c r="D3778">
        <v>751</v>
      </c>
      <c r="E3778">
        <v>790</v>
      </c>
      <c r="F3778">
        <v>855</v>
      </c>
      <c r="G3778">
        <v>928</v>
      </c>
    </row>
    <row r="3779" spans="1:7">
      <c r="A3779" t="s">
        <v>1876</v>
      </c>
      <c r="B3779" t="s">
        <v>358</v>
      </c>
      <c r="C3779" t="s">
        <v>1720</v>
      </c>
      <c r="D3779">
        <v>437</v>
      </c>
      <c r="E3779">
        <v>404</v>
      </c>
      <c r="F3779">
        <v>430</v>
      </c>
      <c r="G3779">
        <v>368</v>
      </c>
    </row>
    <row r="3780" spans="1:7">
      <c r="A3780" t="s">
        <v>1876</v>
      </c>
      <c r="B3780" t="s">
        <v>358</v>
      </c>
      <c r="C3780" t="s">
        <v>1721</v>
      </c>
      <c r="D3780">
        <v>4650</v>
      </c>
      <c r="E3780">
        <v>4866</v>
      </c>
      <c r="F3780">
        <v>5012</v>
      </c>
      <c r="G3780">
        <v>5616</v>
      </c>
    </row>
    <row r="3781" spans="1:7">
      <c r="A3781" t="s">
        <v>1876</v>
      </c>
      <c r="B3781" t="s">
        <v>358</v>
      </c>
      <c r="C3781" t="s">
        <v>285</v>
      </c>
      <c r="D3781">
        <v>20086</v>
      </c>
      <c r="E3781">
        <v>20471</v>
      </c>
      <c r="F3781">
        <v>20963</v>
      </c>
      <c r="G3781">
        <v>21274</v>
      </c>
    </row>
    <row r="3782" spans="1:7">
      <c r="A3782" t="s">
        <v>1876</v>
      </c>
      <c r="B3782" t="s">
        <v>358</v>
      </c>
      <c r="C3782" t="s">
        <v>1951</v>
      </c>
      <c r="D3782">
        <v>7.8</v>
      </c>
      <c r="E3782">
        <v>7.6</v>
      </c>
      <c r="F3782">
        <v>7.7</v>
      </c>
      <c r="G3782">
        <v>7.8</v>
      </c>
    </row>
    <row r="3783" spans="1:7">
      <c r="A3783" t="s">
        <v>1876</v>
      </c>
      <c r="B3783" t="s">
        <v>358</v>
      </c>
      <c r="C3783" t="s">
        <v>286</v>
      </c>
      <c r="D3783">
        <v>7505</v>
      </c>
      <c r="E3783">
        <v>7690</v>
      </c>
      <c r="F3783">
        <v>6384</v>
      </c>
      <c r="G3783">
        <v>6910</v>
      </c>
    </row>
    <row r="3784" spans="1:7">
      <c r="A3784" t="s">
        <v>1876</v>
      </c>
      <c r="B3784" t="s">
        <v>358</v>
      </c>
      <c r="C3784" t="s">
        <v>287</v>
      </c>
      <c r="D3784">
        <v>0</v>
      </c>
      <c r="E3784">
        <v>0</v>
      </c>
      <c r="F3784">
        <v>0</v>
      </c>
      <c r="G3784">
        <v>0</v>
      </c>
    </row>
    <row r="3785" spans="1:7">
      <c r="A3785" t="s">
        <v>1876</v>
      </c>
      <c r="B3785" t="s">
        <v>358</v>
      </c>
      <c r="C3785" t="s">
        <v>288</v>
      </c>
      <c r="D3785">
        <v>48461</v>
      </c>
      <c r="E3785">
        <v>53293</v>
      </c>
      <c r="F3785">
        <v>57665</v>
      </c>
      <c r="G3785">
        <v>57580</v>
      </c>
    </row>
    <row r="3786" spans="1:7">
      <c r="A3786" t="s">
        <v>1876</v>
      </c>
      <c r="B3786" t="s">
        <v>358</v>
      </c>
      <c r="C3786" t="s">
        <v>289</v>
      </c>
      <c r="D3786">
        <v>2910</v>
      </c>
      <c r="E3786">
        <v>2982</v>
      </c>
      <c r="F3786">
        <v>2475</v>
      </c>
      <c r="G3786">
        <v>2679</v>
      </c>
    </row>
    <row r="3787" spans="1:7">
      <c r="A3787" t="s">
        <v>1876</v>
      </c>
      <c r="B3787" t="s">
        <v>358</v>
      </c>
      <c r="C3787" t="s">
        <v>290</v>
      </c>
      <c r="D3787">
        <v>58875</v>
      </c>
      <c r="E3787">
        <v>63965</v>
      </c>
      <c r="F3787">
        <v>66524</v>
      </c>
      <c r="G3787">
        <v>67170</v>
      </c>
    </row>
    <row r="3788" spans="1:7">
      <c r="A3788" t="s">
        <v>1876</v>
      </c>
      <c r="B3788" t="s">
        <v>358</v>
      </c>
      <c r="C3788" t="s">
        <v>291</v>
      </c>
      <c r="D3788">
        <v>10414</v>
      </c>
      <c r="E3788">
        <v>10672</v>
      </c>
      <c r="F3788">
        <v>8859</v>
      </c>
      <c r="G3788">
        <v>9589</v>
      </c>
    </row>
    <row r="3789" spans="1:7">
      <c r="A3789" t="s">
        <v>1876</v>
      </c>
      <c r="B3789" t="s">
        <v>358</v>
      </c>
      <c r="C3789" t="s">
        <v>292</v>
      </c>
      <c r="D3789">
        <v>1793</v>
      </c>
      <c r="E3789">
        <v>1991</v>
      </c>
      <c r="F3789">
        <v>2002</v>
      </c>
      <c r="G3789">
        <v>2014</v>
      </c>
    </row>
    <row r="3790" spans="1:7">
      <c r="A3790" t="s">
        <v>1876</v>
      </c>
      <c r="B3790" t="s">
        <v>358</v>
      </c>
      <c r="C3790" t="s">
        <v>293</v>
      </c>
      <c r="D3790">
        <v>0</v>
      </c>
      <c r="E3790">
        <v>0</v>
      </c>
      <c r="F3790">
        <v>0</v>
      </c>
      <c r="G3790">
        <v>0</v>
      </c>
    </row>
    <row r="3791" spans="1:7">
      <c r="A3791" t="s">
        <v>1876</v>
      </c>
      <c r="B3791" t="s">
        <v>358</v>
      </c>
      <c r="C3791" t="s">
        <v>294</v>
      </c>
      <c r="D3791">
        <v>91</v>
      </c>
      <c r="E3791">
        <v>78</v>
      </c>
      <c r="F3791">
        <v>67</v>
      </c>
      <c r="G3791">
        <v>70</v>
      </c>
    </row>
    <row r="3792" spans="1:7">
      <c r="A3792" t="s">
        <v>1876</v>
      </c>
      <c r="B3792" t="s">
        <v>358</v>
      </c>
      <c r="C3792" t="s">
        <v>295</v>
      </c>
      <c r="D3792">
        <v>538</v>
      </c>
      <c r="E3792">
        <v>517</v>
      </c>
      <c r="F3792">
        <v>518</v>
      </c>
      <c r="G3792">
        <v>540</v>
      </c>
    </row>
    <row r="3793" spans="1:7">
      <c r="A3793" t="s">
        <v>1876</v>
      </c>
      <c r="B3793" t="s">
        <v>358</v>
      </c>
      <c r="C3793" t="s">
        <v>296</v>
      </c>
      <c r="D3793">
        <v>2422</v>
      </c>
      <c r="E3793">
        <v>2586</v>
      </c>
      <c r="F3793">
        <v>2587</v>
      </c>
      <c r="G3793">
        <v>2623</v>
      </c>
    </row>
    <row r="3794" spans="1:7">
      <c r="A3794" t="s">
        <v>1876</v>
      </c>
      <c r="B3794" t="s">
        <v>358</v>
      </c>
      <c r="C3794" t="s">
        <v>297</v>
      </c>
      <c r="D3794">
        <v>7932</v>
      </c>
      <c r="E3794">
        <v>7969</v>
      </c>
      <c r="F3794">
        <v>7812</v>
      </c>
      <c r="G3794">
        <v>7558</v>
      </c>
    </row>
    <row r="3795" spans="1:7">
      <c r="A3795" t="s">
        <v>1876</v>
      </c>
      <c r="B3795" t="s">
        <v>358</v>
      </c>
      <c r="C3795" t="s">
        <v>1952</v>
      </c>
      <c r="D3795">
        <v>0</v>
      </c>
      <c r="E3795">
        <v>0</v>
      </c>
      <c r="F3795">
        <v>0</v>
      </c>
      <c r="G3795">
        <v>0</v>
      </c>
    </row>
    <row r="3796" spans="1:7">
      <c r="A3796" t="s">
        <v>1876</v>
      </c>
      <c r="B3796" t="s">
        <v>358</v>
      </c>
      <c r="C3796" t="s">
        <v>298</v>
      </c>
      <c r="D3796">
        <v>0</v>
      </c>
      <c r="E3796">
        <v>0</v>
      </c>
      <c r="F3796">
        <v>0</v>
      </c>
      <c r="G3796">
        <v>0</v>
      </c>
    </row>
    <row r="3797" spans="1:7">
      <c r="A3797" t="s">
        <v>1876</v>
      </c>
      <c r="B3797" t="s">
        <v>358</v>
      </c>
      <c r="C3797" t="s">
        <v>299</v>
      </c>
      <c r="D3797">
        <v>1626</v>
      </c>
      <c r="E3797">
        <v>1682</v>
      </c>
      <c r="F3797">
        <v>1709</v>
      </c>
      <c r="G3797">
        <v>1767</v>
      </c>
    </row>
    <row r="3798" spans="1:7">
      <c r="A3798" t="s">
        <v>1876</v>
      </c>
      <c r="B3798" t="s">
        <v>358</v>
      </c>
      <c r="C3798" t="s">
        <v>300</v>
      </c>
      <c r="D3798">
        <v>1729</v>
      </c>
      <c r="E3798">
        <v>1879</v>
      </c>
      <c r="F3798">
        <v>2208</v>
      </c>
      <c r="G3798">
        <v>2391</v>
      </c>
    </row>
    <row r="3799" spans="1:7">
      <c r="A3799" t="s">
        <v>1876</v>
      </c>
      <c r="B3799" t="s">
        <v>358</v>
      </c>
      <c r="C3799" t="s">
        <v>1722</v>
      </c>
      <c r="D3799">
        <v>288</v>
      </c>
      <c r="E3799">
        <v>327</v>
      </c>
      <c r="F3799">
        <v>392</v>
      </c>
      <c r="G3799">
        <v>466</v>
      </c>
    </row>
    <row r="3800" spans="1:7">
      <c r="A3800" t="s">
        <v>1876</v>
      </c>
      <c r="B3800" t="s">
        <v>358</v>
      </c>
      <c r="C3800" t="s">
        <v>301</v>
      </c>
      <c r="D3800">
        <v>14</v>
      </c>
      <c r="E3800">
        <v>14</v>
      </c>
      <c r="F3800">
        <v>14</v>
      </c>
      <c r="G3800">
        <v>14</v>
      </c>
    </row>
    <row r="3801" spans="1:7">
      <c r="A3801" t="s">
        <v>1876</v>
      </c>
      <c r="B3801" t="s">
        <v>358</v>
      </c>
      <c r="C3801" t="s">
        <v>302</v>
      </c>
      <c r="D3801">
        <v>4629</v>
      </c>
      <c r="E3801">
        <v>4845</v>
      </c>
      <c r="F3801">
        <v>4995</v>
      </c>
      <c r="G3801">
        <v>5587</v>
      </c>
    </row>
    <row r="3802" spans="1:7">
      <c r="A3802" t="s">
        <v>1876</v>
      </c>
      <c r="B3802" t="s">
        <v>358</v>
      </c>
      <c r="C3802" t="s">
        <v>303</v>
      </c>
      <c r="D3802">
        <v>7998</v>
      </c>
      <c r="E3802">
        <v>8419</v>
      </c>
      <c r="F3802">
        <v>8925</v>
      </c>
      <c r="G3802">
        <v>9758</v>
      </c>
    </row>
    <row r="3803" spans="1:7">
      <c r="A3803" t="s">
        <v>1876</v>
      </c>
      <c r="B3803" t="s">
        <v>358</v>
      </c>
      <c r="C3803" t="s">
        <v>304</v>
      </c>
      <c r="D3803">
        <v>6268</v>
      </c>
      <c r="E3803">
        <v>6540</v>
      </c>
      <c r="F3803">
        <v>6717</v>
      </c>
      <c r="G3803">
        <v>7367</v>
      </c>
    </row>
    <row r="3804" spans="1:7">
      <c r="A3804" t="s">
        <v>1876</v>
      </c>
      <c r="B3804" t="s">
        <v>358</v>
      </c>
      <c r="C3804" t="s">
        <v>1953</v>
      </c>
      <c r="D3804">
        <v>20.3</v>
      </c>
      <c r="E3804">
        <v>20.8</v>
      </c>
      <c r="F3804">
        <v>19.399999999999999</v>
      </c>
      <c r="G3804">
        <v>18.3</v>
      </c>
    </row>
    <row r="3805" spans="1:7">
      <c r="A3805" t="s">
        <v>1876</v>
      </c>
      <c r="B3805" t="s">
        <v>358</v>
      </c>
      <c r="C3805" t="s">
        <v>305</v>
      </c>
      <c r="D3805">
        <v>142672</v>
      </c>
      <c r="E3805">
        <v>155979</v>
      </c>
      <c r="F3805">
        <v>160674</v>
      </c>
      <c r="G3805">
        <v>160947</v>
      </c>
    </row>
    <row r="3806" spans="1:7">
      <c r="A3806" t="s">
        <v>1876</v>
      </c>
      <c r="B3806" t="s">
        <v>358</v>
      </c>
      <c r="C3806" t="s">
        <v>306</v>
      </c>
      <c r="D3806">
        <v>98.6</v>
      </c>
      <c r="E3806">
        <v>108.5</v>
      </c>
      <c r="F3806">
        <v>112</v>
      </c>
      <c r="G3806">
        <v>112.2</v>
      </c>
    </row>
    <row r="3807" spans="1:7">
      <c r="A3807" t="s">
        <v>1876</v>
      </c>
      <c r="B3807" t="s">
        <v>358</v>
      </c>
      <c r="C3807" t="s">
        <v>307</v>
      </c>
      <c r="D3807">
        <v>36401</v>
      </c>
      <c r="E3807">
        <v>36798</v>
      </c>
      <c r="F3807">
        <v>35652</v>
      </c>
      <c r="G3807">
        <v>35704</v>
      </c>
    </row>
    <row r="3808" spans="1:7">
      <c r="A3808" t="s">
        <v>1876</v>
      </c>
      <c r="B3808" t="s">
        <v>358</v>
      </c>
      <c r="C3808" t="s">
        <v>308</v>
      </c>
      <c r="D3808">
        <v>25.2</v>
      </c>
      <c r="E3808">
        <v>25.6</v>
      </c>
      <c r="F3808">
        <v>24.8</v>
      </c>
      <c r="G3808">
        <v>24.9</v>
      </c>
    </row>
    <row r="3809" spans="1:7">
      <c r="A3809" t="s">
        <v>1876</v>
      </c>
      <c r="B3809" t="s">
        <v>358</v>
      </c>
      <c r="C3809" t="s">
        <v>309</v>
      </c>
      <c r="D3809">
        <v>80342</v>
      </c>
      <c r="E3809">
        <v>81434</v>
      </c>
      <c r="F3809">
        <v>79020</v>
      </c>
      <c r="G3809">
        <v>79102</v>
      </c>
    </row>
    <row r="3810" spans="1:7">
      <c r="A3810" t="s">
        <v>1876</v>
      </c>
      <c r="B3810" t="s">
        <v>358</v>
      </c>
      <c r="C3810" t="s">
        <v>310</v>
      </c>
      <c r="D3810">
        <v>46807</v>
      </c>
      <c r="E3810">
        <v>47950</v>
      </c>
      <c r="F3810">
        <v>46936</v>
      </c>
      <c r="G3810">
        <v>46239</v>
      </c>
    </row>
    <row r="3811" spans="1:7">
      <c r="A3811" t="s">
        <v>1876</v>
      </c>
      <c r="B3811" t="s">
        <v>358</v>
      </c>
      <c r="C3811" t="s">
        <v>311</v>
      </c>
      <c r="D3811">
        <v>32.299999999999997</v>
      </c>
      <c r="E3811">
        <v>33.299999999999997</v>
      </c>
      <c r="F3811">
        <v>32.700000000000003</v>
      </c>
      <c r="G3811">
        <v>32.200000000000003</v>
      </c>
    </row>
    <row r="3812" spans="1:7">
      <c r="A3812" t="s">
        <v>1876</v>
      </c>
      <c r="B3812" t="s">
        <v>358</v>
      </c>
      <c r="C3812" t="s">
        <v>312</v>
      </c>
      <c r="D3812">
        <v>30668</v>
      </c>
      <c r="E3812">
        <v>30230</v>
      </c>
      <c r="F3812">
        <v>29368</v>
      </c>
      <c r="G3812">
        <v>29544</v>
      </c>
    </row>
    <row r="3813" spans="1:7">
      <c r="A3813" t="s">
        <v>1876</v>
      </c>
      <c r="B3813" t="s">
        <v>358</v>
      </c>
      <c r="C3813" t="s">
        <v>313</v>
      </c>
      <c r="D3813">
        <v>21.2</v>
      </c>
      <c r="E3813">
        <v>21</v>
      </c>
      <c r="F3813">
        <v>20.5</v>
      </c>
      <c r="G3813">
        <v>20.6</v>
      </c>
    </row>
    <row r="3814" spans="1:7">
      <c r="A3814" t="s">
        <v>1876</v>
      </c>
      <c r="B3814" t="s">
        <v>358</v>
      </c>
      <c r="C3814" t="s">
        <v>314</v>
      </c>
      <c r="D3814">
        <v>255903</v>
      </c>
      <c r="E3814">
        <v>270404</v>
      </c>
      <c r="F3814">
        <v>271755</v>
      </c>
      <c r="G3814">
        <v>271819</v>
      </c>
    </row>
    <row r="3815" spans="1:7">
      <c r="A3815" t="s">
        <v>1876</v>
      </c>
      <c r="B3815" t="s">
        <v>358</v>
      </c>
      <c r="C3815" t="s">
        <v>315</v>
      </c>
      <c r="D3815">
        <v>3.03</v>
      </c>
      <c r="E3815">
        <v>3.09</v>
      </c>
      <c r="F3815">
        <v>3.03</v>
      </c>
      <c r="G3815">
        <v>2.96</v>
      </c>
    </row>
    <row r="3816" spans="1:7">
      <c r="A3816" t="s">
        <v>1876</v>
      </c>
      <c r="B3816" t="s">
        <v>358</v>
      </c>
      <c r="C3816" t="s">
        <v>316</v>
      </c>
      <c r="D3816">
        <v>176.9</v>
      </c>
      <c r="E3816">
        <v>188.1</v>
      </c>
      <c r="F3816">
        <v>189.4</v>
      </c>
      <c r="G3816">
        <v>189.4</v>
      </c>
    </row>
    <row r="3817" spans="1:7">
      <c r="A3817" t="s">
        <v>1876</v>
      </c>
      <c r="B3817" t="s">
        <v>358</v>
      </c>
      <c r="C3817" t="s">
        <v>317</v>
      </c>
      <c r="D3817">
        <v>256549</v>
      </c>
      <c r="E3817">
        <v>270957</v>
      </c>
      <c r="F3817">
        <v>272629</v>
      </c>
      <c r="G3817">
        <v>272435</v>
      </c>
    </row>
    <row r="3818" spans="1:7">
      <c r="A3818" t="s">
        <v>1876</v>
      </c>
      <c r="B3818" t="s">
        <v>358</v>
      </c>
      <c r="C3818" t="s">
        <v>318</v>
      </c>
      <c r="D3818">
        <v>142672</v>
      </c>
      <c r="E3818">
        <v>155979</v>
      </c>
      <c r="F3818">
        <v>160674</v>
      </c>
      <c r="G3818">
        <v>160947</v>
      </c>
    </row>
    <row r="3819" spans="1:7">
      <c r="A3819" t="s">
        <v>1876</v>
      </c>
      <c r="B3819" t="s">
        <v>358</v>
      </c>
      <c r="C3819" t="s">
        <v>319</v>
      </c>
      <c r="D3819">
        <v>20868</v>
      </c>
      <c r="E3819">
        <v>20915</v>
      </c>
      <c r="F3819">
        <v>20426</v>
      </c>
      <c r="G3819">
        <v>20353</v>
      </c>
    </row>
    <row r="3820" spans="1:7">
      <c r="A3820" t="s">
        <v>1876</v>
      </c>
      <c r="B3820" t="s">
        <v>358</v>
      </c>
      <c r="C3820" t="s">
        <v>320</v>
      </c>
      <c r="D3820">
        <v>28249</v>
      </c>
      <c r="E3820">
        <v>28625</v>
      </c>
      <c r="F3820">
        <v>28250</v>
      </c>
      <c r="G3820">
        <v>27416</v>
      </c>
    </row>
    <row r="3821" spans="1:7">
      <c r="A3821" t="s">
        <v>1876</v>
      </c>
      <c r="B3821" t="s">
        <v>358</v>
      </c>
      <c r="C3821" t="s">
        <v>321</v>
      </c>
      <c r="D3821">
        <v>14909</v>
      </c>
      <c r="E3821">
        <v>14846</v>
      </c>
      <c r="F3821">
        <v>14718</v>
      </c>
      <c r="G3821">
        <v>15161</v>
      </c>
    </row>
    <row r="3822" spans="1:7">
      <c r="A3822" t="s">
        <v>1876</v>
      </c>
      <c r="B3822" t="s">
        <v>358</v>
      </c>
      <c r="C3822" t="s">
        <v>1954</v>
      </c>
      <c r="D3822">
        <v>206699</v>
      </c>
      <c r="E3822">
        <v>220364</v>
      </c>
      <c r="F3822">
        <v>224069</v>
      </c>
      <c r="G3822">
        <v>223877</v>
      </c>
    </row>
    <row r="3823" spans="1:7">
      <c r="A3823" t="s">
        <v>1876</v>
      </c>
      <c r="B3823" t="s">
        <v>358</v>
      </c>
      <c r="C3823" t="s">
        <v>323</v>
      </c>
      <c r="D3823">
        <v>1447</v>
      </c>
      <c r="E3823">
        <v>1438</v>
      </c>
      <c r="F3823">
        <v>1435</v>
      </c>
      <c r="G3823">
        <v>1435</v>
      </c>
    </row>
    <row r="3824" spans="1:7">
      <c r="A3824" t="s">
        <v>1876</v>
      </c>
      <c r="B3824" t="s">
        <v>358</v>
      </c>
      <c r="C3824" t="s">
        <v>324</v>
      </c>
      <c r="D3824">
        <v>263</v>
      </c>
      <c r="E3824">
        <v>0</v>
      </c>
      <c r="F3824">
        <v>0</v>
      </c>
      <c r="G3824">
        <v>0</v>
      </c>
    </row>
    <row r="3825" spans="1:7">
      <c r="A3825" t="s">
        <v>1876</v>
      </c>
      <c r="B3825" t="s">
        <v>358</v>
      </c>
      <c r="C3825" t="s">
        <v>325</v>
      </c>
      <c r="D3825">
        <v>0</v>
      </c>
      <c r="E3825">
        <v>0</v>
      </c>
      <c r="F3825">
        <v>0</v>
      </c>
      <c r="G3825">
        <v>0</v>
      </c>
    </row>
    <row r="3826" spans="1:7">
      <c r="A3826" t="s">
        <v>1876</v>
      </c>
      <c r="B3826" t="s">
        <v>358</v>
      </c>
      <c r="C3826" t="s">
        <v>326</v>
      </c>
      <c r="D3826">
        <v>4</v>
      </c>
      <c r="E3826">
        <v>3</v>
      </c>
      <c r="F3826">
        <v>3</v>
      </c>
      <c r="G3826">
        <v>6</v>
      </c>
    </row>
    <row r="3827" spans="1:7">
      <c r="A3827" t="s">
        <v>1876</v>
      </c>
      <c r="B3827" t="s">
        <v>358</v>
      </c>
      <c r="C3827" t="s">
        <v>327</v>
      </c>
      <c r="D3827">
        <v>0</v>
      </c>
      <c r="E3827">
        <v>714</v>
      </c>
      <c r="F3827">
        <v>2</v>
      </c>
      <c r="G3827">
        <v>0</v>
      </c>
    </row>
    <row r="3828" spans="1:7">
      <c r="A3828" t="s">
        <v>1876</v>
      </c>
      <c r="B3828" t="s">
        <v>358</v>
      </c>
      <c r="C3828" t="s">
        <v>1723</v>
      </c>
      <c r="D3828">
        <v>0</v>
      </c>
      <c r="E3828">
        <v>8</v>
      </c>
      <c r="F3828">
        <v>8</v>
      </c>
      <c r="G3828">
        <v>0</v>
      </c>
    </row>
    <row r="3829" spans="1:7">
      <c r="A3829" t="s">
        <v>1876</v>
      </c>
      <c r="B3829" t="s">
        <v>358</v>
      </c>
      <c r="C3829" t="s">
        <v>328</v>
      </c>
      <c r="D3829">
        <v>67</v>
      </c>
      <c r="E3829">
        <v>64</v>
      </c>
      <c r="F3829">
        <v>64</v>
      </c>
      <c r="G3829">
        <v>64</v>
      </c>
    </row>
    <row r="3830" spans="1:7">
      <c r="A3830" t="s">
        <v>1876</v>
      </c>
      <c r="B3830" t="s">
        <v>358</v>
      </c>
      <c r="C3830" t="s">
        <v>329</v>
      </c>
      <c r="D3830">
        <v>22</v>
      </c>
      <c r="E3830">
        <v>21</v>
      </c>
      <c r="F3830">
        <v>18</v>
      </c>
      <c r="G3830">
        <v>29</v>
      </c>
    </row>
    <row r="3831" spans="1:7">
      <c r="A3831" t="s">
        <v>1876</v>
      </c>
      <c r="B3831" t="s">
        <v>358</v>
      </c>
      <c r="C3831" t="s">
        <v>330</v>
      </c>
      <c r="D3831">
        <v>93</v>
      </c>
      <c r="E3831">
        <v>803</v>
      </c>
      <c r="F3831">
        <v>87</v>
      </c>
      <c r="G3831">
        <v>99</v>
      </c>
    </row>
    <row r="3832" spans="1:7">
      <c r="A3832" t="s">
        <v>1876</v>
      </c>
      <c r="B3832" t="s">
        <v>358</v>
      </c>
      <c r="C3832" t="s">
        <v>331</v>
      </c>
      <c r="D3832">
        <v>3179</v>
      </c>
      <c r="E3832">
        <v>3205</v>
      </c>
      <c r="F3832">
        <v>2901</v>
      </c>
      <c r="G3832">
        <v>2991</v>
      </c>
    </row>
    <row r="3833" spans="1:7">
      <c r="A3833" t="s">
        <v>1876</v>
      </c>
      <c r="B3833" t="s">
        <v>358</v>
      </c>
      <c r="C3833" t="s">
        <v>332</v>
      </c>
      <c r="D3833">
        <v>1368</v>
      </c>
      <c r="E3833">
        <v>553</v>
      </c>
      <c r="F3833">
        <v>1645</v>
      </c>
      <c r="G3833">
        <v>734</v>
      </c>
    </row>
    <row r="3834" spans="1:7">
      <c r="A3834" t="s">
        <v>1876</v>
      </c>
      <c r="B3834" t="s">
        <v>358</v>
      </c>
      <c r="C3834" t="s">
        <v>1724</v>
      </c>
      <c r="D3834">
        <v>154</v>
      </c>
      <c r="E3834">
        <v>146</v>
      </c>
      <c r="F3834">
        <v>146</v>
      </c>
      <c r="G3834">
        <v>154</v>
      </c>
    </row>
    <row r="3835" spans="1:7">
      <c r="A3835" t="s">
        <v>1876</v>
      </c>
      <c r="B3835" t="s">
        <v>358</v>
      </c>
      <c r="C3835" t="s">
        <v>333</v>
      </c>
      <c r="D3835">
        <v>0</v>
      </c>
      <c r="E3835">
        <v>0</v>
      </c>
      <c r="F3835">
        <v>0</v>
      </c>
      <c r="G3835">
        <v>0</v>
      </c>
    </row>
    <row r="3836" spans="1:7">
      <c r="A3836" t="s">
        <v>1876</v>
      </c>
      <c r="B3836" t="s">
        <v>358</v>
      </c>
      <c r="C3836" t="s">
        <v>334</v>
      </c>
      <c r="D3836">
        <v>4547</v>
      </c>
      <c r="E3836">
        <v>3758</v>
      </c>
      <c r="F3836">
        <v>4546</v>
      </c>
      <c r="G3836">
        <v>3726</v>
      </c>
    </row>
    <row r="3837" spans="1:7">
      <c r="A3837" t="s">
        <v>1876</v>
      </c>
      <c r="B3837" t="s">
        <v>358</v>
      </c>
      <c r="C3837" t="s">
        <v>335</v>
      </c>
      <c r="D3837">
        <v>3183</v>
      </c>
      <c r="E3837">
        <v>3208</v>
      </c>
      <c r="F3837">
        <v>2904</v>
      </c>
      <c r="G3837">
        <v>2997</v>
      </c>
    </row>
    <row r="3838" spans="1:7">
      <c r="A3838" t="s">
        <v>1876</v>
      </c>
      <c r="B3838" t="s">
        <v>358</v>
      </c>
      <c r="C3838" t="s">
        <v>336</v>
      </c>
      <c r="D3838">
        <v>1368</v>
      </c>
      <c r="E3838">
        <v>1267</v>
      </c>
      <c r="F3838">
        <v>1647</v>
      </c>
      <c r="G3838">
        <v>734</v>
      </c>
    </row>
    <row r="3839" spans="1:7">
      <c r="A3839" t="s">
        <v>1876</v>
      </c>
      <c r="B3839" t="s">
        <v>358</v>
      </c>
      <c r="C3839" t="s">
        <v>337</v>
      </c>
      <c r="D3839">
        <v>68</v>
      </c>
      <c r="E3839">
        <v>64</v>
      </c>
      <c r="F3839">
        <v>64</v>
      </c>
      <c r="G3839">
        <v>64</v>
      </c>
    </row>
    <row r="3840" spans="1:7">
      <c r="A3840" t="s">
        <v>1876</v>
      </c>
      <c r="B3840" t="s">
        <v>358</v>
      </c>
      <c r="C3840" t="s">
        <v>338</v>
      </c>
      <c r="D3840">
        <v>4640</v>
      </c>
      <c r="E3840">
        <v>4561</v>
      </c>
      <c r="F3840">
        <v>4634</v>
      </c>
      <c r="G3840">
        <v>3824</v>
      </c>
    </row>
    <row r="3841" spans="1:7">
      <c r="A3841" t="s">
        <v>1876</v>
      </c>
      <c r="B3841" t="s">
        <v>358</v>
      </c>
      <c r="C3841" t="s">
        <v>339</v>
      </c>
      <c r="D3841">
        <v>3273</v>
      </c>
      <c r="E3841">
        <v>3294</v>
      </c>
      <c r="F3841">
        <v>2986</v>
      </c>
      <c r="G3841">
        <v>3090</v>
      </c>
    </row>
    <row r="3842" spans="1:7">
      <c r="A3842" t="s">
        <v>1876</v>
      </c>
      <c r="B3842" t="s">
        <v>358</v>
      </c>
      <c r="C3842" t="s">
        <v>340</v>
      </c>
      <c r="D3842">
        <v>0</v>
      </c>
      <c r="E3842">
        <v>0</v>
      </c>
      <c r="F3842">
        <v>0</v>
      </c>
      <c r="G3842">
        <v>0</v>
      </c>
    </row>
    <row r="3843" spans="1:7">
      <c r="A3843" t="s">
        <v>1876</v>
      </c>
      <c r="B3843" t="s">
        <v>358</v>
      </c>
      <c r="C3843" t="s">
        <v>1955</v>
      </c>
      <c r="D3843">
        <v>32.200000000000003</v>
      </c>
      <c r="E3843">
        <v>30.6</v>
      </c>
      <c r="F3843">
        <v>31</v>
      </c>
      <c r="G3843">
        <v>32.4</v>
      </c>
    </row>
    <row r="3844" spans="1:7">
      <c r="A3844" t="s">
        <v>1876</v>
      </c>
      <c r="B3844" t="s">
        <v>358</v>
      </c>
      <c r="C3844" t="s">
        <v>341</v>
      </c>
      <c r="D3844">
        <v>0</v>
      </c>
      <c r="E3844">
        <v>0</v>
      </c>
      <c r="F3844">
        <v>0</v>
      </c>
      <c r="G3844">
        <v>0</v>
      </c>
    </row>
    <row r="3845" spans="1:7">
      <c r="A3845" t="s">
        <v>1876</v>
      </c>
      <c r="B3845" t="s">
        <v>358</v>
      </c>
      <c r="C3845" t="s">
        <v>342</v>
      </c>
      <c r="D3845">
        <v>2245</v>
      </c>
      <c r="E3845">
        <v>2134</v>
      </c>
      <c r="F3845">
        <v>2164</v>
      </c>
      <c r="G3845">
        <v>2264</v>
      </c>
    </row>
    <row r="3846" spans="1:7">
      <c r="A3846" t="s">
        <v>1876</v>
      </c>
      <c r="B3846" t="s">
        <v>358</v>
      </c>
      <c r="C3846" t="s">
        <v>1725</v>
      </c>
      <c r="D3846">
        <v>233</v>
      </c>
      <c r="E3846">
        <v>233</v>
      </c>
      <c r="F3846">
        <v>233</v>
      </c>
      <c r="G3846">
        <v>233</v>
      </c>
    </row>
    <row r="3847" spans="1:7">
      <c r="A3847" t="s">
        <v>1876</v>
      </c>
      <c r="B3847" t="s">
        <v>358</v>
      </c>
      <c r="C3847" t="s">
        <v>343</v>
      </c>
      <c r="D3847">
        <v>0</v>
      </c>
      <c r="E3847">
        <v>0</v>
      </c>
      <c r="F3847">
        <v>0</v>
      </c>
      <c r="G3847">
        <v>0</v>
      </c>
    </row>
    <row r="3848" spans="1:7">
      <c r="A3848" t="s">
        <v>1876</v>
      </c>
      <c r="B3848" t="s">
        <v>358</v>
      </c>
      <c r="C3848" t="s">
        <v>344</v>
      </c>
      <c r="D3848">
        <v>2245</v>
      </c>
      <c r="E3848">
        <v>2134</v>
      </c>
      <c r="F3848">
        <v>2164</v>
      </c>
      <c r="G3848">
        <v>2264</v>
      </c>
    </row>
    <row r="3849" spans="1:7">
      <c r="A3849" t="s">
        <v>1876</v>
      </c>
      <c r="B3849" t="s">
        <v>358</v>
      </c>
      <c r="C3849" t="s">
        <v>345</v>
      </c>
      <c r="D3849">
        <v>0</v>
      </c>
      <c r="E3849">
        <v>0</v>
      </c>
      <c r="F3849">
        <v>0</v>
      </c>
      <c r="G3849">
        <v>0</v>
      </c>
    </row>
    <row r="3850" spans="1:7">
      <c r="A3850" t="s">
        <v>1876</v>
      </c>
      <c r="B3850" t="s">
        <v>358</v>
      </c>
      <c r="C3850" t="s">
        <v>1956</v>
      </c>
      <c r="D3850">
        <v>722</v>
      </c>
      <c r="E3850">
        <v>0</v>
      </c>
      <c r="F3850">
        <v>771</v>
      </c>
      <c r="G3850">
        <v>118</v>
      </c>
    </row>
    <row r="3851" spans="1:7">
      <c r="A3851" t="s">
        <v>1876</v>
      </c>
      <c r="B3851" t="s">
        <v>358</v>
      </c>
      <c r="C3851" t="s">
        <v>1957</v>
      </c>
      <c r="D3851">
        <v>3901</v>
      </c>
      <c r="E3851">
        <v>3205</v>
      </c>
      <c r="F3851">
        <v>3672</v>
      </c>
      <c r="G3851">
        <v>3110</v>
      </c>
    </row>
    <row r="3852" spans="1:7">
      <c r="A3852" t="s">
        <v>1876</v>
      </c>
      <c r="B3852" t="s">
        <v>358</v>
      </c>
      <c r="C3852" t="s">
        <v>346</v>
      </c>
      <c r="D3852">
        <v>4728</v>
      </c>
      <c r="E3852">
        <v>4775</v>
      </c>
      <c r="F3852">
        <v>4755</v>
      </c>
      <c r="G3852">
        <v>4388</v>
      </c>
    </row>
    <row r="3853" spans="1:7">
      <c r="A3853" t="s">
        <v>1876</v>
      </c>
      <c r="B3853" t="s">
        <v>358</v>
      </c>
      <c r="C3853" t="s">
        <v>347</v>
      </c>
      <c r="D3853">
        <v>13</v>
      </c>
      <c r="E3853">
        <v>0</v>
      </c>
      <c r="F3853">
        <v>0</v>
      </c>
      <c r="G3853">
        <v>0</v>
      </c>
    </row>
    <row r="3854" spans="1:7">
      <c r="A3854" t="s">
        <v>1876</v>
      </c>
      <c r="B3854" t="s">
        <v>359</v>
      </c>
      <c r="C3854" t="s">
        <v>133</v>
      </c>
      <c r="D3854">
        <v>0</v>
      </c>
      <c r="E3854">
        <v>0</v>
      </c>
      <c r="F3854">
        <v>0</v>
      </c>
      <c r="G3854">
        <v>0</v>
      </c>
    </row>
    <row r="3855" spans="1:7">
      <c r="A3855" t="s">
        <v>1876</v>
      </c>
      <c r="B3855" t="s">
        <v>359</v>
      </c>
      <c r="C3855" t="s">
        <v>134</v>
      </c>
      <c r="D3855">
        <v>10673</v>
      </c>
      <c r="E3855">
        <v>8560</v>
      </c>
      <c r="F3855">
        <v>11452</v>
      </c>
      <c r="G3855">
        <v>11720</v>
      </c>
    </row>
    <row r="3856" spans="1:7">
      <c r="A3856" t="s">
        <v>1876</v>
      </c>
      <c r="B3856" t="s">
        <v>359</v>
      </c>
      <c r="C3856" t="s">
        <v>135</v>
      </c>
      <c r="D3856">
        <v>10673</v>
      </c>
      <c r="E3856">
        <v>8560</v>
      </c>
      <c r="F3856">
        <v>11452</v>
      </c>
      <c r="G3856">
        <v>11720</v>
      </c>
    </row>
    <row r="3857" spans="1:7">
      <c r="A3857" t="s">
        <v>1876</v>
      </c>
      <c r="B3857" t="s">
        <v>359</v>
      </c>
      <c r="C3857" t="s">
        <v>136</v>
      </c>
      <c r="D3857">
        <v>10673</v>
      </c>
      <c r="E3857">
        <v>8560</v>
      </c>
      <c r="F3857">
        <v>11452</v>
      </c>
      <c r="G3857">
        <v>11720</v>
      </c>
    </row>
    <row r="3858" spans="1:7">
      <c r="A3858" t="s">
        <v>1876</v>
      </c>
      <c r="B3858" t="s">
        <v>359</v>
      </c>
      <c r="C3858" t="s">
        <v>137</v>
      </c>
      <c r="D3858">
        <v>227</v>
      </c>
      <c r="E3858">
        <v>235</v>
      </c>
      <c r="F3858">
        <v>223</v>
      </c>
      <c r="G3858">
        <v>240</v>
      </c>
    </row>
    <row r="3859" spans="1:7">
      <c r="A3859" t="s">
        <v>1876</v>
      </c>
      <c r="B3859" t="s">
        <v>359</v>
      </c>
      <c r="C3859" t="s">
        <v>138</v>
      </c>
      <c r="D3859">
        <v>227</v>
      </c>
      <c r="E3859">
        <v>235</v>
      </c>
      <c r="F3859">
        <v>223</v>
      </c>
      <c r="G3859">
        <v>240</v>
      </c>
    </row>
    <row r="3860" spans="1:7">
      <c r="A3860" t="s">
        <v>1876</v>
      </c>
      <c r="B3860" t="s">
        <v>359</v>
      </c>
      <c r="C3860" t="s">
        <v>139</v>
      </c>
      <c r="D3860">
        <v>227</v>
      </c>
      <c r="E3860">
        <v>235</v>
      </c>
      <c r="F3860">
        <v>223</v>
      </c>
      <c r="G3860">
        <v>240</v>
      </c>
    </row>
    <row r="3861" spans="1:7">
      <c r="A3861" t="s">
        <v>1876</v>
      </c>
      <c r="B3861" t="s">
        <v>359</v>
      </c>
      <c r="C3861" t="s">
        <v>1877</v>
      </c>
      <c r="D3861">
        <v>0</v>
      </c>
      <c r="E3861">
        <v>0</v>
      </c>
      <c r="F3861">
        <v>0</v>
      </c>
      <c r="G3861">
        <v>0</v>
      </c>
    </row>
    <row r="3862" spans="1:7">
      <c r="A3862" t="s">
        <v>1876</v>
      </c>
      <c r="B3862" t="s">
        <v>359</v>
      </c>
      <c r="C3862" t="s">
        <v>1700</v>
      </c>
      <c r="D3862">
        <v>0</v>
      </c>
      <c r="E3862">
        <v>0</v>
      </c>
      <c r="F3862">
        <v>0</v>
      </c>
      <c r="G3862">
        <v>0</v>
      </c>
    </row>
    <row r="3863" spans="1:7">
      <c r="A3863" t="s">
        <v>1876</v>
      </c>
      <c r="B3863" t="s">
        <v>359</v>
      </c>
      <c r="C3863" t="s">
        <v>1878</v>
      </c>
      <c r="D3863">
        <v>0</v>
      </c>
      <c r="E3863">
        <v>0</v>
      </c>
      <c r="F3863">
        <v>0</v>
      </c>
      <c r="G3863">
        <v>0</v>
      </c>
    </row>
    <row r="3864" spans="1:7">
      <c r="A3864" t="s">
        <v>1876</v>
      </c>
      <c r="B3864" t="s">
        <v>359</v>
      </c>
      <c r="C3864" t="s">
        <v>1879</v>
      </c>
      <c r="D3864">
        <v>0</v>
      </c>
      <c r="E3864">
        <v>0</v>
      </c>
      <c r="F3864">
        <v>0</v>
      </c>
      <c r="G3864">
        <v>0</v>
      </c>
    </row>
    <row r="3865" spans="1:7">
      <c r="A3865" t="s">
        <v>1876</v>
      </c>
      <c r="B3865" t="s">
        <v>359</v>
      </c>
      <c r="C3865" t="s">
        <v>1701</v>
      </c>
      <c r="D3865">
        <v>0</v>
      </c>
      <c r="E3865">
        <v>0</v>
      </c>
      <c r="F3865">
        <v>0</v>
      </c>
      <c r="G3865">
        <v>0</v>
      </c>
    </row>
    <row r="3866" spans="1:7">
      <c r="A3866" t="s">
        <v>1876</v>
      </c>
      <c r="B3866" t="s">
        <v>359</v>
      </c>
      <c r="C3866" t="s">
        <v>1880</v>
      </c>
      <c r="D3866">
        <v>3398</v>
      </c>
      <c r="E3866">
        <v>3541</v>
      </c>
      <c r="F3866">
        <v>3221</v>
      </c>
      <c r="G3866">
        <v>3604</v>
      </c>
    </row>
    <row r="3867" spans="1:7">
      <c r="A3867" t="s">
        <v>1876</v>
      </c>
      <c r="B3867" t="s">
        <v>359</v>
      </c>
      <c r="C3867" t="s">
        <v>140</v>
      </c>
      <c r="D3867">
        <v>7984</v>
      </c>
      <c r="E3867">
        <v>8559</v>
      </c>
      <c r="F3867">
        <v>8688</v>
      </c>
      <c r="G3867">
        <v>10275</v>
      </c>
    </row>
    <row r="3868" spans="1:7">
      <c r="A3868" t="s">
        <v>1876</v>
      </c>
      <c r="B3868" t="s">
        <v>359</v>
      </c>
      <c r="C3868" t="s">
        <v>1881</v>
      </c>
      <c r="D3868">
        <v>4586</v>
      </c>
      <c r="E3868">
        <v>5018</v>
      </c>
      <c r="F3868">
        <v>5467</v>
      </c>
      <c r="G3868">
        <v>6670</v>
      </c>
    </row>
    <row r="3869" spans="1:7">
      <c r="A3869" t="s">
        <v>1876</v>
      </c>
      <c r="B3869" t="s">
        <v>359</v>
      </c>
      <c r="C3869" t="s">
        <v>1882</v>
      </c>
      <c r="D3869">
        <v>0</v>
      </c>
      <c r="E3869">
        <v>0</v>
      </c>
      <c r="F3869">
        <v>0</v>
      </c>
      <c r="G3869">
        <v>0</v>
      </c>
    </row>
    <row r="3870" spans="1:7">
      <c r="A3870" t="s">
        <v>1876</v>
      </c>
      <c r="B3870" t="s">
        <v>359</v>
      </c>
      <c r="C3870" t="s">
        <v>1883</v>
      </c>
      <c r="D3870">
        <v>0</v>
      </c>
      <c r="E3870">
        <v>0</v>
      </c>
      <c r="F3870">
        <v>0</v>
      </c>
      <c r="G3870">
        <v>0</v>
      </c>
    </row>
    <row r="3871" spans="1:7">
      <c r="A3871" t="s">
        <v>1876</v>
      </c>
      <c r="B3871" t="s">
        <v>359</v>
      </c>
      <c r="C3871" t="s">
        <v>1884</v>
      </c>
      <c r="D3871">
        <v>0</v>
      </c>
      <c r="E3871">
        <v>0</v>
      </c>
      <c r="F3871">
        <v>0</v>
      </c>
      <c r="G3871">
        <v>0</v>
      </c>
    </row>
    <row r="3872" spans="1:7">
      <c r="A3872" t="s">
        <v>1876</v>
      </c>
      <c r="B3872" t="s">
        <v>359</v>
      </c>
      <c r="C3872" t="s">
        <v>1885</v>
      </c>
      <c r="D3872">
        <v>0</v>
      </c>
      <c r="E3872">
        <v>0</v>
      </c>
      <c r="F3872">
        <v>0</v>
      </c>
      <c r="G3872">
        <v>0</v>
      </c>
    </row>
    <row r="3873" spans="1:7">
      <c r="A3873" t="s">
        <v>1876</v>
      </c>
      <c r="B3873" t="s">
        <v>359</v>
      </c>
      <c r="C3873" t="s">
        <v>1886</v>
      </c>
      <c r="D3873">
        <v>0</v>
      </c>
      <c r="E3873">
        <v>0</v>
      </c>
      <c r="F3873">
        <v>0</v>
      </c>
      <c r="G3873">
        <v>0</v>
      </c>
    </row>
    <row r="3874" spans="1:7">
      <c r="A3874" t="s">
        <v>1876</v>
      </c>
      <c r="B3874" t="s">
        <v>359</v>
      </c>
      <c r="C3874" t="s">
        <v>141</v>
      </c>
      <c r="D3874">
        <v>599</v>
      </c>
      <c r="E3874">
        <v>615</v>
      </c>
      <c r="F3874">
        <v>617</v>
      </c>
      <c r="G3874">
        <v>622</v>
      </c>
    </row>
    <row r="3875" spans="1:7">
      <c r="A3875" t="s">
        <v>1876</v>
      </c>
      <c r="B3875" t="s">
        <v>359</v>
      </c>
      <c r="C3875" t="s">
        <v>1887</v>
      </c>
      <c r="D3875">
        <v>0</v>
      </c>
      <c r="E3875">
        <v>0</v>
      </c>
      <c r="F3875">
        <v>0</v>
      </c>
      <c r="G3875">
        <v>0</v>
      </c>
    </row>
    <row r="3876" spans="1:7">
      <c r="A3876" t="s">
        <v>1876</v>
      </c>
      <c r="B3876" t="s">
        <v>359</v>
      </c>
      <c r="C3876" t="s">
        <v>1888</v>
      </c>
      <c r="D3876">
        <v>0</v>
      </c>
      <c r="E3876">
        <v>0</v>
      </c>
      <c r="F3876">
        <v>0</v>
      </c>
      <c r="G3876">
        <v>0</v>
      </c>
    </row>
    <row r="3877" spans="1:7">
      <c r="A3877" t="s">
        <v>1876</v>
      </c>
      <c r="B3877" t="s">
        <v>359</v>
      </c>
      <c r="C3877" t="s">
        <v>1889</v>
      </c>
      <c r="D3877">
        <v>3398</v>
      </c>
      <c r="E3877">
        <v>3541</v>
      </c>
      <c r="F3877">
        <v>3221</v>
      </c>
      <c r="G3877">
        <v>3604</v>
      </c>
    </row>
    <row r="3878" spans="1:7">
      <c r="A3878" t="s">
        <v>1876</v>
      </c>
      <c r="B3878" t="s">
        <v>359</v>
      </c>
      <c r="C3878" t="s">
        <v>1890</v>
      </c>
      <c r="D3878">
        <v>0</v>
      </c>
      <c r="E3878">
        <v>0</v>
      </c>
      <c r="F3878">
        <v>0</v>
      </c>
      <c r="G3878">
        <v>0</v>
      </c>
    </row>
    <row r="3879" spans="1:7">
      <c r="A3879" t="s">
        <v>1876</v>
      </c>
      <c r="B3879" t="s">
        <v>359</v>
      </c>
      <c r="C3879" t="s">
        <v>1891</v>
      </c>
    </row>
    <row r="3880" spans="1:7">
      <c r="A3880" t="s">
        <v>1876</v>
      </c>
      <c r="B3880" t="s">
        <v>359</v>
      </c>
      <c r="C3880" t="s">
        <v>1892</v>
      </c>
      <c r="D3880">
        <v>4586</v>
      </c>
      <c r="E3880">
        <v>5018</v>
      </c>
      <c r="F3880">
        <v>5467</v>
      </c>
      <c r="G3880">
        <v>6670</v>
      </c>
    </row>
    <row r="3881" spans="1:7">
      <c r="A3881" t="s">
        <v>1876</v>
      </c>
      <c r="B3881" t="s">
        <v>359</v>
      </c>
      <c r="C3881" t="s">
        <v>142</v>
      </c>
      <c r="D3881">
        <v>7984</v>
      </c>
      <c r="E3881">
        <v>8559</v>
      </c>
      <c r="F3881">
        <v>8688</v>
      </c>
      <c r="G3881">
        <v>10275</v>
      </c>
    </row>
    <row r="3882" spans="1:7">
      <c r="A3882" t="s">
        <v>1876</v>
      </c>
      <c r="B3882" t="s">
        <v>359</v>
      </c>
      <c r="C3882" t="s">
        <v>1893</v>
      </c>
      <c r="D3882">
        <v>7984</v>
      </c>
      <c r="E3882">
        <v>8559</v>
      </c>
      <c r="F3882">
        <v>8688</v>
      </c>
      <c r="G3882">
        <v>10275</v>
      </c>
    </row>
    <row r="3883" spans="1:7">
      <c r="A3883" t="s">
        <v>1876</v>
      </c>
      <c r="B3883" t="s">
        <v>359</v>
      </c>
      <c r="C3883" t="s">
        <v>1894</v>
      </c>
      <c r="D3883">
        <v>4586</v>
      </c>
      <c r="E3883">
        <v>5018</v>
      </c>
      <c r="F3883">
        <v>5467</v>
      </c>
      <c r="G3883">
        <v>6670</v>
      </c>
    </row>
    <row r="3884" spans="1:7">
      <c r="A3884" t="s">
        <v>1876</v>
      </c>
      <c r="B3884" t="s">
        <v>359</v>
      </c>
      <c r="C3884" t="s">
        <v>143</v>
      </c>
      <c r="D3884">
        <v>214905</v>
      </c>
      <c r="E3884">
        <v>211032</v>
      </c>
      <c r="F3884">
        <v>219987</v>
      </c>
      <c r="G3884">
        <v>231562</v>
      </c>
    </row>
    <row r="3885" spans="1:7">
      <c r="A3885" t="s">
        <v>1876</v>
      </c>
      <c r="B3885" t="s">
        <v>359</v>
      </c>
      <c r="C3885" t="s">
        <v>144</v>
      </c>
      <c r="D3885">
        <v>237577</v>
      </c>
      <c r="E3885">
        <v>235228</v>
      </c>
      <c r="F3885">
        <v>243401</v>
      </c>
      <c r="G3885">
        <v>256692</v>
      </c>
    </row>
    <row r="3886" spans="1:7">
      <c r="A3886" t="s">
        <v>1876</v>
      </c>
      <c r="B3886" t="s">
        <v>359</v>
      </c>
      <c r="C3886" t="s">
        <v>1895</v>
      </c>
      <c r="D3886">
        <v>62.4</v>
      </c>
      <c r="E3886">
        <v>58.2</v>
      </c>
      <c r="F3886">
        <v>59.3</v>
      </c>
      <c r="G3886">
        <v>60.3</v>
      </c>
    </row>
    <row r="3887" spans="1:7">
      <c r="A3887" t="s">
        <v>1876</v>
      </c>
      <c r="B3887" t="s">
        <v>359</v>
      </c>
      <c r="C3887" t="s">
        <v>145</v>
      </c>
      <c r="D3887">
        <v>256935</v>
      </c>
      <c r="E3887">
        <v>260217</v>
      </c>
      <c r="F3887">
        <v>267458</v>
      </c>
      <c r="G3887">
        <v>280611</v>
      </c>
    </row>
    <row r="3888" spans="1:7">
      <c r="A3888" t="s">
        <v>1876</v>
      </c>
      <c r="B3888" t="s">
        <v>359</v>
      </c>
      <c r="C3888" t="s">
        <v>146</v>
      </c>
      <c r="D3888">
        <v>0</v>
      </c>
      <c r="E3888">
        <v>0</v>
      </c>
      <c r="F3888">
        <v>0</v>
      </c>
      <c r="G3888">
        <v>0</v>
      </c>
    </row>
    <row r="3889" spans="1:7">
      <c r="A3889" t="s">
        <v>1876</v>
      </c>
      <c r="B3889" t="s">
        <v>359</v>
      </c>
      <c r="C3889" t="s">
        <v>147</v>
      </c>
      <c r="D3889">
        <v>0</v>
      </c>
      <c r="E3889">
        <v>0</v>
      </c>
      <c r="F3889">
        <v>0</v>
      </c>
      <c r="G3889">
        <v>0</v>
      </c>
    </row>
    <row r="3890" spans="1:7">
      <c r="A3890" t="s">
        <v>1876</v>
      </c>
      <c r="B3890" t="s">
        <v>359</v>
      </c>
      <c r="C3890" t="s">
        <v>1896</v>
      </c>
      <c r="D3890">
        <v>1.6</v>
      </c>
      <c r="E3890">
        <v>0.4</v>
      </c>
      <c r="F3890">
        <v>0.2</v>
      </c>
      <c r="G3890">
        <v>2.1</v>
      </c>
    </row>
    <row r="3891" spans="1:7">
      <c r="A3891" t="s">
        <v>1876</v>
      </c>
      <c r="B3891" t="s">
        <v>359</v>
      </c>
      <c r="C3891" t="s">
        <v>1702</v>
      </c>
      <c r="D3891">
        <v>4</v>
      </c>
      <c r="E3891">
        <v>4</v>
      </c>
      <c r="F3891">
        <v>9</v>
      </c>
      <c r="G3891">
        <v>10</v>
      </c>
    </row>
    <row r="3892" spans="1:7">
      <c r="A3892" t="s">
        <v>1876</v>
      </c>
      <c r="B3892" t="s">
        <v>359</v>
      </c>
      <c r="C3892" t="s">
        <v>1897</v>
      </c>
      <c r="D3892">
        <v>3.6</v>
      </c>
      <c r="E3892">
        <v>5.2</v>
      </c>
      <c r="F3892">
        <v>8.6</v>
      </c>
      <c r="G3892">
        <v>11.3</v>
      </c>
    </row>
    <row r="3893" spans="1:7">
      <c r="A3893" t="s">
        <v>1876</v>
      </c>
      <c r="B3893" t="s">
        <v>359</v>
      </c>
      <c r="C3893" t="s">
        <v>1898</v>
      </c>
      <c r="D3893">
        <v>6</v>
      </c>
      <c r="E3893">
        <v>10</v>
      </c>
      <c r="F3893">
        <v>29</v>
      </c>
      <c r="G3893">
        <v>40</v>
      </c>
    </row>
    <row r="3894" spans="1:7">
      <c r="A3894" t="s">
        <v>1876</v>
      </c>
      <c r="B3894" t="s">
        <v>359</v>
      </c>
      <c r="C3894" t="s">
        <v>1899</v>
      </c>
      <c r="D3894">
        <v>4586</v>
      </c>
      <c r="E3894">
        <v>5018</v>
      </c>
      <c r="F3894">
        <v>5467</v>
      </c>
      <c r="G3894">
        <v>6670</v>
      </c>
    </row>
    <row r="3895" spans="1:7">
      <c r="A3895" t="s">
        <v>1876</v>
      </c>
      <c r="B3895" t="s">
        <v>359</v>
      </c>
      <c r="C3895" t="s">
        <v>148</v>
      </c>
      <c r="D3895">
        <v>0</v>
      </c>
      <c r="E3895">
        <v>0</v>
      </c>
      <c r="F3895">
        <v>0</v>
      </c>
      <c r="G3895">
        <v>0</v>
      </c>
    </row>
    <row r="3896" spans="1:7">
      <c r="A3896" t="s">
        <v>1876</v>
      </c>
      <c r="B3896" t="s">
        <v>359</v>
      </c>
      <c r="C3896" t="s">
        <v>149</v>
      </c>
      <c r="D3896">
        <v>0</v>
      </c>
      <c r="E3896">
        <v>0</v>
      </c>
      <c r="F3896">
        <v>0</v>
      </c>
      <c r="G3896">
        <v>0</v>
      </c>
    </row>
    <row r="3897" spans="1:7">
      <c r="A3897" t="s">
        <v>1876</v>
      </c>
      <c r="B3897" t="s">
        <v>359</v>
      </c>
      <c r="C3897" t="s">
        <v>150</v>
      </c>
      <c r="D3897">
        <v>0</v>
      </c>
      <c r="E3897">
        <v>0</v>
      </c>
      <c r="F3897">
        <v>0</v>
      </c>
      <c r="G3897">
        <v>0</v>
      </c>
    </row>
    <row r="3898" spans="1:7">
      <c r="A3898" t="s">
        <v>1876</v>
      </c>
      <c r="B3898" t="s">
        <v>359</v>
      </c>
      <c r="C3898" t="s">
        <v>1900</v>
      </c>
      <c r="D3898">
        <v>48.2</v>
      </c>
      <c r="E3898">
        <v>41.3</v>
      </c>
      <c r="F3898">
        <v>38.299999999999997</v>
      </c>
      <c r="G3898">
        <v>34.6</v>
      </c>
    </row>
    <row r="3899" spans="1:7">
      <c r="A3899" t="s">
        <v>1876</v>
      </c>
      <c r="B3899" t="s">
        <v>359</v>
      </c>
      <c r="C3899" t="s">
        <v>151</v>
      </c>
      <c r="D3899">
        <v>1846</v>
      </c>
      <c r="E3899">
        <v>2024</v>
      </c>
      <c r="F3899">
        <v>344</v>
      </c>
      <c r="G3899">
        <v>310</v>
      </c>
    </row>
    <row r="3900" spans="1:7">
      <c r="A3900" t="s">
        <v>1876</v>
      </c>
      <c r="B3900" t="s">
        <v>359</v>
      </c>
      <c r="C3900" t="s">
        <v>152</v>
      </c>
      <c r="D3900">
        <v>225293</v>
      </c>
      <c r="E3900">
        <v>183472</v>
      </c>
      <c r="F3900">
        <v>163031</v>
      </c>
      <c r="G3900">
        <v>141381</v>
      </c>
    </row>
    <row r="3901" spans="1:7">
      <c r="A3901" t="s">
        <v>1876</v>
      </c>
      <c r="B3901" t="s">
        <v>359</v>
      </c>
      <c r="C3901" t="s">
        <v>1703</v>
      </c>
      <c r="D3901">
        <v>5268</v>
      </c>
      <c r="E3901">
        <v>5069</v>
      </c>
      <c r="F3901">
        <v>4861</v>
      </c>
      <c r="G3901">
        <v>4833</v>
      </c>
    </row>
    <row r="3902" spans="1:7">
      <c r="A3902" t="s">
        <v>1876</v>
      </c>
      <c r="B3902" t="s">
        <v>359</v>
      </c>
      <c r="C3902" t="s">
        <v>153</v>
      </c>
      <c r="D3902">
        <v>37281</v>
      </c>
      <c r="E3902">
        <v>42370</v>
      </c>
      <c r="F3902">
        <v>37900</v>
      </c>
      <c r="G3902">
        <v>39030</v>
      </c>
    </row>
    <row r="3903" spans="1:7">
      <c r="A3903" t="s">
        <v>1876</v>
      </c>
      <c r="B3903" t="s">
        <v>359</v>
      </c>
      <c r="C3903" t="s">
        <v>154</v>
      </c>
      <c r="D3903">
        <v>0</v>
      </c>
      <c r="E3903">
        <v>0</v>
      </c>
      <c r="F3903">
        <v>0</v>
      </c>
      <c r="G3903">
        <v>0</v>
      </c>
    </row>
    <row r="3904" spans="1:7">
      <c r="A3904" t="s">
        <v>1876</v>
      </c>
      <c r="B3904" t="s">
        <v>359</v>
      </c>
      <c r="C3904" t="s">
        <v>155</v>
      </c>
      <c r="D3904">
        <v>37281</v>
      </c>
      <c r="E3904">
        <v>42370</v>
      </c>
      <c r="F3904">
        <v>37900</v>
      </c>
      <c r="G3904">
        <v>39030</v>
      </c>
    </row>
    <row r="3905" spans="1:7">
      <c r="A3905" t="s">
        <v>1876</v>
      </c>
      <c r="B3905" t="s">
        <v>359</v>
      </c>
      <c r="C3905" t="s">
        <v>156</v>
      </c>
      <c r="D3905">
        <v>0</v>
      </c>
      <c r="E3905">
        <v>0</v>
      </c>
      <c r="F3905">
        <v>0</v>
      </c>
      <c r="G3905">
        <v>0</v>
      </c>
    </row>
    <row r="3906" spans="1:7">
      <c r="A3906" t="s">
        <v>1876</v>
      </c>
      <c r="B3906" t="s">
        <v>359</v>
      </c>
      <c r="C3906" t="s">
        <v>157</v>
      </c>
      <c r="D3906">
        <v>264419</v>
      </c>
      <c r="E3906">
        <v>227866</v>
      </c>
      <c r="F3906">
        <v>201276</v>
      </c>
      <c r="G3906">
        <v>180721</v>
      </c>
    </row>
    <row r="3907" spans="1:7">
      <c r="A3907" t="s">
        <v>1876</v>
      </c>
      <c r="B3907" t="s">
        <v>359</v>
      </c>
      <c r="C3907" t="s">
        <v>158</v>
      </c>
      <c r="D3907">
        <v>39126</v>
      </c>
      <c r="E3907">
        <v>44394</v>
      </c>
      <c r="F3907">
        <v>38244</v>
      </c>
      <c r="G3907">
        <v>39340</v>
      </c>
    </row>
    <row r="3908" spans="1:7">
      <c r="A3908" t="s">
        <v>1876</v>
      </c>
      <c r="B3908" t="s">
        <v>359</v>
      </c>
      <c r="C3908" t="s">
        <v>159</v>
      </c>
      <c r="D3908">
        <v>0</v>
      </c>
      <c r="E3908">
        <v>0</v>
      </c>
      <c r="F3908">
        <v>0</v>
      </c>
      <c r="G3908">
        <v>0</v>
      </c>
    </row>
    <row r="3909" spans="1:7">
      <c r="A3909" t="s">
        <v>1876</v>
      </c>
      <c r="B3909" t="s">
        <v>359</v>
      </c>
      <c r="C3909" t="s">
        <v>1901</v>
      </c>
      <c r="D3909">
        <v>35</v>
      </c>
      <c r="E3909">
        <v>39.9</v>
      </c>
      <c r="F3909">
        <v>57.4</v>
      </c>
      <c r="G3909">
        <v>53.6</v>
      </c>
    </row>
    <row r="3910" spans="1:7">
      <c r="A3910" t="s">
        <v>1876</v>
      </c>
      <c r="B3910" t="s">
        <v>359</v>
      </c>
      <c r="C3910" t="s">
        <v>1902</v>
      </c>
      <c r="D3910">
        <v>103155</v>
      </c>
      <c r="E3910">
        <v>106264</v>
      </c>
      <c r="F3910">
        <v>101092</v>
      </c>
      <c r="G3910">
        <v>105262</v>
      </c>
    </row>
    <row r="3911" spans="1:7">
      <c r="A3911" t="s">
        <v>1876</v>
      </c>
      <c r="B3911" t="s">
        <v>359</v>
      </c>
      <c r="C3911" t="s">
        <v>1903</v>
      </c>
      <c r="D3911">
        <v>4904</v>
      </c>
      <c r="E3911">
        <v>5249</v>
      </c>
      <c r="F3911">
        <v>4802</v>
      </c>
      <c r="G3911">
        <v>4455</v>
      </c>
    </row>
    <row r="3912" spans="1:7">
      <c r="A3912" t="s">
        <v>1876</v>
      </c>
      <c r="B3912" t="s">
        <v>359</v>
      </c>
      <c r="C3912" t="s">
        <v>1904</v>
      </c>
      <c r="D3912">
        <v>1421</v>
      </c>
      <c r="E3912">
        <v>1342</v>
      </c>
      <c r="F3912">
        <v>852</v>
      </c>
      <c r="G3912">
        <v>777</v>
      </c>
    </row>
    <row r="3913" spans="1:7">
      <c r="A3913" t="s">
        <v>1876</v>
      </c>
      <c r="B3913" t="s">
        <v>359</v>
      </c>
      <c r="C3913" t="s">
        <v>1905</v>
      </c>
      <c r="D3913">
        <v>43784</v>
      </c>
      <c r="E3913">
        <v>44261</v>
      </c>
      <c r="F3913">
        <v>43199</v>
      </c>
      <c r="G3913">
        <v>41921</v>
      </c>
    </row>
    <row r="3914" spans="1:7">
      <c r="A3914" t="s">
        <v>1876</v>
      </c>
      <c r="B3914" t="s">
        <v>359</v>
      </c>
      <c r="C3914" t="s">
        <v>1906</v>
      </c>
      <c r="D3914">
        <v>840</v>
      </c>
      <c r="E3914">
        <v>911</v>
      </c>
      <c r="F3914">
        <v>833</v>
      </c>
      <c r="G3914">
        <v>756</v>
      </c>
    </row>
    <row r="3915" spans="1:7">
      <c r="A3915" t="s">
        <v>1876</v>
      </c>
      <c r="B3915" t="s">
        <v>359</v>
      </c>
      <c r="C3915" t="s">
        <v>1907</v>
      </c>
      <c r="D3915">
        <v>154104</v>
      </c>
      <c r="E3915">
        <v>158026</v>
      </c>
      <c r="F3915">
        <v>150778</v>
      </c>
      <c r="G3915">
        <v>153171</v>
      </c>
    </row>
    <row r="3916" spans="1:7">
      <c r="A3916" t="s">
        <v>1876</v>
      </c>
      <c r="B3916" t="s">
        <v>359</v>
      </c>
      <c r="C3916" t="s">
        <v>160</v>
      </c>
      <c r="D3916">
        <v>98569</v>
      </c>
      <c r="E3916">
        <v>101247</v>
      </c>
      <c r="F3916">
        <v>95625</v>
      </c>
      <c r="G3916">
        <v>98592</v>
      </c>
    </row>
    <row r="3917" spans="1:7">
      <c r="A3917" t="s">
        <v>1876</v>
      </c>
      <c r="B3917" t="s">
        <v>359</v>
      </c>
      <c r="C3917" t="s">
        <v>161</v>
      </c>
      <c r="D3917">
        <v>4904</v>
      </c>
      <c r="E3917">
        <v>5249</v>
      </c>
      <c r="F3917">
        <v>4802</v>
      </c>
      <c r="G3917">
        <v>4455</v>
      </c>
    </row>
    <row r="3918" spans="1:7">
      <c r="A3918" t="s">
        <v>1876</v>
      </c>
      <c r="B3918" t="s">
        <v>359</v>
      </c>
      <c r="C3918" t="s">
        <v>162</v>
      </c>
      <c r="D3918">
        <v>1421</v>
      </c>
      <c r="E3918">
        <v>1342</v>
      </c>
      <c r="F3918">
        <v>852</v>
      </c>
      <c r="G3918">
        <v>777</v>
      </c>
    </row>
    <row r="3919" spans="1:7">
      <c r="A3919" t="s">
        <v>1876</v>
      </c>
      <c r="B3919" t="s">
        <v>359</v>
      </c>
      <c r="C3919" t="s">
        <v>163</v>
      </c>
      <c r="D3919">
        <v>43784</v>
      </c>
      <c r="E3919">
        <v>44261</v>
      </c>
      <c r="F3919">
        <v>43199</v>
      </c>
      <c r="G3919">
        <v>41921</v>
      </c>
    </row>
    <row r="3920" spans="1:7">
      <c r="A3920" t="s">
        <v>1876</v>
      </c>
      <c r="B3920" t="s">
        <v>359</v>
      </c>
      <c r="C3920" t="s">
        <v>164</v>
      </c>
      <c r="D3920">
        <v>840</v>
      </c>
      <c r="E3920">
        <v>911</v>
      </c>
      <c r="F3920">
        <v>833</v>
      </c>
      <c r="G3920">
        <v>756</v>
      </c>
    </row>
    <row r="3921" spans="1:7">
      <c r="A3921" t="s">
        <v>1876</v>
      </c>
      <c r="B3921" t="s">
        <v>359</v>
      </c>
      <c r="C3921" t="s">
        <v>165</v>
      </c>
      <c r="D3921">
        <v>149518</v>
      </c>
      <c r="E3921">
        <v>153008</v>
      </c>
      <c r="F3921">
        <v>145311</v>
      </c>
      <c r="G3921">
        <v>146501</v>
      </c>
    </row>
    <row r="3922" spans="1:7">
      <c r="A3922" t="s">
        <v>1876</v>
      </c>
      <c r="B3922" t="s">
        <v>359</v>
      </c>
      <c r="C3922" t="s">
        <v>166</v>
      </c>
      <c r="D3922">
        <v>148097</v>
      </c>
      <c r="E3922">
        <v>151667</v>
      </c>
      <c r="F3922">
        <v>144460</v>
      </c>
      <c r="G3922">
        <v>145724</v>
      </c>
    </row>
    <row r="3923" spans="1:7">
      <c r="A3923" t="s">
        <v>1876</v>
      </c>
      <c r="B3923" t="s">
        <v>359</v>
      </c>
      <c r="C3923" t="s">
        <v>167</v>
      </c>
      <c r="D3923">
        <v>1421</v>
      </c>
      <c r="E3923">
        <v>1342</v>
      </c>
      <c r="F3923">
        <v>852</v>
      </c>
      <c r="G3923">
        <v>777</v>
      </c>
    </row>
    <row r="3924" spans="1:7">
      <c r="A3924" t="s">
        <v>1876</v>
      </c>
      <c r="B3924" t="s">
        <v>359</v>
      </c>
      <c r="C3924" t="s">
        <v>1908</v>
      </c>
      <c r="D3924">
        <v>95171</v>
      </c>
      <c r="E3924">
        <v>97705</v>
      </c>
      <c r="F3924">
        <v>92404</v>
      </c>
      <c r="G3924">
        <v>94988</v>
      </c>
    </row>
    <row r="3925" spans="1:7">
      <c r="A3925" t="s">
        <v>1876</v>
      </c>
      <c r="B3925" t="s">
        <v>359</v>
      </c>
      <c r="C3925" t="s">
        <v>1909</v>
      </c>
      <c r="D3925">
        <v>4904</v>
      </c>
      <c r="E3925">
        <v>5249</v>
      </c>
      <c r="F3925">
        <v>4802</v>
      </c>
      <c r="G3925">
        <v>4455</v>
      </c>
    </row>
    <row r="3926" spans="1:7">
      <c r="A3926" t="s">
        <v>1876</v>
      </c>
      <c r="B3926" t="s">
        <v>359</v>
      </c>
      <c r="C3926" t="s">
        <v>1910</v>
      </c>
      <c r="D3926">
        <v>1421</v>
      </c>
      <c r="E3926">
        <v>1342</v>
      </c>
      <c r="F3926">
        <v>852</v>
      </c>
      <c r="G3926">
        <v>777</v>
      </c>
    </row>
    <row r="3927" spans="1:7">
      <c r="A3927" t="s">
        <v>1876</v>
      </c>
      <c r="B3927" t="s">
        <v>359</v>
      </c>
      <c r="C3927" t="s">
        <v>1911</v>
      </c>
      <c r="D3927">
        <v>43784</v>
      </c>
      <c r="E3927">
        <v>44261</v>
      </c>
      <c r="F3927">
        <v>43199</v>
      </c>
      <c r="G3927">
        <v>41921</v>
      </c>
    </row>
    <row r="3928" spans="1:7">
      <c r="A3928" t="s">
        <v>1876</v>
      </c>
      <c r="B3928" t="s">
        <v>359</v>
      </c>
      <c r="C3928" t="s">
        <v>1912</v>
      </c>
      <c r="D3928">
        <v>840</v>
      </c>
      <c r="E3928">
        <v>911</v>
      </c>
      <c r="F3928">
        <v>833</v>
      </c>
      <c r="G3928">
        <v>756</v>
      </c>
    </row>
    <row r="3929" spans="1:7">
      <c r="A3929" t="s">
        <v>1876</v>
      </c>
      <c r="B3929" t="s">
        <v>359</v>
      </c>
      <c r="C3929" t="s">
        <v>168</v>
      </c>
      <c r="D3929">
        <v>146120</v>
      </c>
      <c r="E3929">
        <v>149467</v>
      </c>
      <c r="F3929">
        <v>142090</v>
      </c>
      <c r="G3929">
        <v>142896</v>
      </c>
    </row>
    <row r="3930" spans="1:7">
      <c r="A3930" t="s">
        <v>1876</v>
      </c>
      <c r="B3930" t="s">
        <v>359</v>
      </c>
      <c r="C3930" t="s">
        <v>169</v>
      </c>
      <c r="D3930">
        <v>0</v>
      </c>
      <c r="E3930">
        <v>0</v>
      </c>
      <c r="F3930">
        <v>0</v>
      </c>
      <c r="G3930">
        <v>0</v>
      </c>
    </row>
    <row r="3931" spans="1:7">
      <c r="A3931" t="s">
        <v>1876</v>
      </c>
      <c r="B3931" t="s">
        <v>359</v>
      </c>
      <c r="C3931" t="s">
        <v>1704</v>
      </c>
      <c r="D3931">
        <v>21771</v>
      </c>
      <c r="E3931">
        <v>22546</v>
      </c>
      <c r="F3931">
        <v>22706</v>
      </c>
      <c r="G3931">
        <v>23226</v>
      </c>
    </row>
    <row r="3932" spans="1:7">
      <c r="A3932" t="s">
        <v>1876</v>
      </c>
      <c r="B3932" t="s">
        <v>359</v>
      </c>
      <c r="C3932" t="s">
        <v>170</v>
      </c>
      <c r="D3932">
        <v>0</v>
      </c>
      <c r="E3932">
        <v>0</v>
      </c>
      <c r="F3932">
        <v>0</v>
      </c>
      <c r="G3932">
        <v>0</v>
      </c>
    </row>
    <row r="3933" spans="1:7">
      <c r="A3933" t="s">
        <v>1876</v>
      </c>
      <c r="B3933" t="s">
        <v>359</v>
      </c>
      <c r="C3933" t="s">
        <v>171</v>
      </c>
      <c r="D3933">
        <v>-60074</v>
      </c>
      <c r="E3933">
        <v>-80735</v>
      </c>
      <c r="F3933">
        <v>-61642</v>
      </c>
      <c r="G3933">
        <v>-57005</v>
      </c>
    </row>
    <row r="3934" spans="1:7">
      <c r="A3934" t="s">
        <v>1876</v>
      </c>
      <c r="B3934" t="s">
        <v>359</v>
      </c>
      <c r="C3934" t="s">
        <v>172</v>
      </c>
      <c r="D3934">
        <v>0</v>
      </c>
      <c r="E3934">
        <v>0</v>
      </c>
      <c r="F3934">
        <v>0</v>
      </c>
      <c r="G3934">
        <v>0</v>
      </c>
    </row>
    <row r="3935" spans="1:7">
      <c r="A3935" t="s">
        <v>1876</v>
      </c>
      <c r="B3935" t="s">
        <v>359</v>
      </c>
      <c r="C3935" t="s">
        <v>1913</v>
      </c>
      <c r="D3935">
        <v>7.1</v>
      </c>
      <c r="E3935">
        <v>9.6999999999999993</v>
      </c>
      <c r="F3935">
        <v>14</v>
      </c>
      <c r="G3935">
        <v>18.3</v>
      </c>
    </row>
    <row r="3936" spans="1:7">
      <c r="A3936" t="s">
        <v>1876</v>
      </c>
      <c r="B3936" t="s">
        <v>359</v>
      </c>
      <c r="C3936" t="s">
        <v>1914</v>
      </c>
      <c r="D3936">
        <v>0.2</v>
      </c>
      <c r="E3936">
        <v>0.3</v>
      </c>
      <c r="F3936">
        <v>0.5</v>
      </c>
      <c r="G3936">
        <v>0.6</v>
      </c>
    </row>
    <row r="3937" spans="1:7">
      <c r="A3937" t="s">
        <v>1876</v>
      </c>
      <c r="B3937" t="s">
        <v>359</v>
      </c>
      <c r="C3937" t="s">
        <v>173</v>
      </c>
      <c r="D3937">
        <v>14120</v>
      </c>
      <c r="E3937">
        <v>14108</v>
      </c>
      <c r="F3937">
        <v>14181</v>
      </c>
      <c r="G3937">
        <v>14231</v>
      </c>
    </row>
    <row r="3938" spans="1:7">
      <c r="A3938" t="s">
        <v>1876</v>
      </c>
      <c r="B3938" t="s">
        <v>359</v>
      </c>
      <c r="C3938" t="s">
        <v>174</v>
      </c>
      <c r="D3938">
        <v>234</v>
      </c>
      <c r="E3938">
        <v>1179</v>
      </c>
      <c r="F3938">
        <v>243</v>
      </c>
      <c r="G3938">
        <v>214</v>
      </c>
    </row>
    <row r="3939" spans="1:7">
      <c r="A3939" t="s">
        <v>1876</v>
      </c>
      <c r="B3939" t="s">
        <v>359</v>
      </c>
      <c r="C3939" t="s">
        <v>175</v>
      </c>
      <c r="D3939">
        <v>335</v>
      </c>
      <c r="E3939">
        <v>349</v>
      </c>
      <c r="F3939">
        <v>302</v>
      </c>
      <c r="G3939">
        <v>410</v>
      </c>
    </row>
    <row r="3940" spans="1:7">
      <c r="A3940" t="s">
        <v>1876</v>
      </c>
      <c r="B3940" t="s">
        <v>359</v>
      </c>
      <c r="C3940" t="s">
        <v>176</v>
      </c>
      <c r="D3940">
        <v>214306</v>
      </c>
      <c r="E3940">
        <v>210417</v>
      </c>
      <c r="F3940">
        <v>219370</v>
      </c>
      <c r="G3940">
        <v>230940</v>
      </c>
    </row>
    <row r="3941" spans="1:7">
      <c r="A3941" t="s">
        <v>1876</v>
      </c>
      <c r="B3941" t="s">
        <v>359</v>
      </c>
      <c r="C3941" t="s">
        <v>177</v>
      </c>
      <c r="D3941">
        <v>14689</v>
      </c>
      <c r="E3941">
        <v>15636</v>
      </c>
      <c r="F3941">
        <v>14726</v>
      </c>
      <c r="G3941">
        <v>14855</v>
      </c>
    </row>
    <row r="3942" spans="1:7">
      <c r="A3942" t="s">
        <v>1876</v>
      </c>
      <c r="B3942" t="s">
        <v>359</v>
      </c>
      <c r="C3942" t="s">
        <v>178</v>
      </c>
      <c r="D3942">
        <v>25141</v>
      </c>
      <c r="E3942">
        <v>25141</v>
      </c>
      <c r="F3942">
        <v>25141</v>
      </c>
      <c r="G3942">
        <v>25210</v>
      </c>
    </row>
    <row r="3943" spans="1:7">
      <c r="A3943" t="s">
        <v>1876</v>
      </c>
      <c r="B3943" t="s">
        <v>359</v>
      </c>
      <c r="C3943" t="s">
        <v>179</v>
      </c>
      <c r="D3943">
        <v>25141</v>
      </c>
      <c r="E3943">
        <v>25141</v>
      </c>
      <c r="F3943">
        <v>25141</v>
      </c>
      <c r="G3943">
        <v>25210</v>
      </c>
    </row>
    <row r="3944" spans="1:7">
      <c r="A3944" t="s">
        <v>1876</v>
      </c>
      <c r="B3944" t="s">
        <v>359</v>
      </c>
      <c r="C3944" t="s">
        <v>180</v>
      </c>
      <c r="D3944">
        <v>0</v>
      </c>
      <c r="E3944">
        <v>0</v>
      </c>
      <c r="F3944">
        <v>0</v>
      </c>
      <c r="G3944">
        <v>0</v>
      </c>
    </row>
    <row r="3945" spans="1:7">
      <c r="A3945" t="s">
        <v>1876</v>
      </c>
      <c r="B3945" t="s">
        <v>359</v>
      </c>
      <c r="C3945" t="s">
        <v>181</v>
      </c>
      <c r="D3945">
        <v>41405</v>
      </c>
      <c r="E3945">
        <v>42548</v>
      </c>
      <c r="F3945">
        <v>42994</v>
      </c>
      <c r="G3945">
        <v>43725</v>
      </c>
    </row>
    <row r="3946" spans="1:7">
      <c r="A3946" t="s">
        <v>1876</v>
      </c>
      <c r="B3946" t="s">
        <v>359</v>
      </c>
      <c r="C3946" t="s">
        <v>182</v>
      </c>
      <c r="D3946">
        <v>89075</v>
      </c>
      <c r="E3946">
        <v>90558</v>
      </c>
      <c r="F3946">
        <v>92866</v>
      </c>
      <c r="G3946">
        <v>94330</v>
      </c>
    </row>
    <row r="3947" spans="1:7">
      <c r="A3947" t="s">
        <v>1876</v>
      </c>
      <c r="B3947" t="s">
        <v>359</v>
      </c>
      <c r="C3947" t="s">
        <v>183</v>
      </c>
      <c r="D3947">
        <v>49992</v>
      </c>
      <c r="E3947">
        <v>51838</v>
      </c>
      <c r="F3947">
        <v>49753</v>
      </c>
      <c r="G3947">
        <v>49368</v>
      </c>
    </row>
    <row r="3948" spans="1:7">
      <c r="A3948" t="s">
        <v>1876</v>
      </c>
      <c r="B3948" t="s">
        <v>359</v>
      </c>
      <c r="C3948" t="s">
        <v>184</v>
      </c>
      <c r="D3948">
        <v>180472</v>
      </c>
      <c r="E3948">
        <v>184944</v>
      </c>
      <c r="F3948">
        <v>185614</v>
      </c>
      <c r="G3948">
        <v>187423</v>
      </c>
    </row>
    <row r="3949" spans="1:7">
      <c r="A3949" t="s">
        <v>1876</v>
      </c>
      <c r="B3949" t="s">
        <v>359</v>
      </c>
      <c r="C3949" t="s">
        <v>185</v>
      </c>
      <c r="D3949">
        <v>180472</v>
      </c>
      <c r="E3949">
        <v>184944</v>
      </c>
      <c r="F3949">
        <v>185614</v>
      </c>
      <c r="G3949">
        <v>187423</v>
      </c>
    </row>
    <row r="3950" spans="1:7">
      <c r="A3950" t="s">
        <v>1876</v>
      </c>
      <c r="B3950" t="s">
        <v>359</v>
      </c>
      <c r="C3950" t="s">
        <v>1915</v>
      </c>
      <c r="D3950">
        <v>13</v>
      </c>
      <c r="E3950">
        <v>20</v>
      </c>
      <c r="F3950">
        <v>45</v>
      </c>
      <c r="G3950">
        <v>60</v>
      </c>
    </row>
    <row r="3951" spans="1:7">
      <c r="A3951" t="s">
        <v>1876</v>
      </c>
      <c r="B3951" t="s">
        <v>359</v>
      </c>
      <c r="C3951" t="s">
        <v>1916</v>
      </c>
      <c r="D3951">
        <v>0</v>
      </c>
      <c r="E3951">
        <v>0</v>
      </c>
      <c r="F3951">
        <v>0</v>
      </c>
      <c r="G3951">
        <v>0</v>
      </c>
    </row>
    <row r="3952" spans="1:7">
      <c r="A3952" t="s">
        <v>1876</v>
      </c>
      <c r="B3952" t="s">
        <v>359</v>
      </c>
      <c r="C3952" t="s">
        <v>1917</v>
      </c>
      <c r="D3952">
        <v>27</v>
      </c>
      <c r="E3952">
        <v>4</v>
      </c>
      <c r="F3952">
        <v>4</v>
      </c>
      <c r="G3952">
        <v>4</v>
      </c>
    </row>
    <row r="3953" spans="1:7">
      <c r="A3953" t="s">
        <v>1876</v>
      </c>
      <c r="B3953" t="s">
        <v>359</v>
      </c>
      <c r="C3953" t="s">
        <v>1918</v>
      </c>
      <c r="D3953">
        <v>418</v>
      </c>
      <c r="E3953">
        <v>492</v>
      </c>
      <c r="F3953">
        <v>606</v>
      </c>
      <c r="G3953">
        <v>733</v>
      </c>
    </row>
    <row r="3954" spans="1:7">
      <c r="A3954" t="s">
        <v>1876</v>
      </c>
      <c r="B3954" t="s">
        <v>359</v>
      </c>
      <c r="C3954" t="s">
        <v>1919</v>
      </c>
      <c r="D3954">
        <v>2</v>
      </c>
      <c r="E3954">
        <v>2</v>
      </c>
      <c r="F3954">
        <v>2.11</v>
      </c>
      <c r="G3954">
        <v>2.14</v>
      </c>
    </row>
    <row r="3955" spans="1:7">
      <c r="A3955" t="s">
        <v>1876</v>
      </c>
      <c r="B3955" t="s">
        <v>359</v>
      </c>
      <c r="C3955" t="s">
        <v>1920</v>
      </c>
      <c r="D3955">
        <v>678</v>
      </c>
      <c r="E3955">
        <v>835</v>
      </c>
      <c r="F3955">
        <v>1044</v>
      </c>
      <c r="G3955">
        <v>1297</v>
      </c>
    </row>
    <row r="3956" spans="1:7">
      <c r="A3956" t="s">
        <v>1876</v>
      </c>
      <c r="B3956" t="s">
        <v>359</v>
      </c>
      <c r="C3956" t="s">
        <v>1921</v>
      </c>
      <c r="D3956">
        <v>277</v>
      </c>
      <c r="E3956">
        <v>325</v>
      </c>
      <c r="F3956">
        <v>389</v>
      </c>
      <c r="G3956">
        <v>481</v>
      </c>
    </row>
    <row r="3957" spans="1:7">
      <c r="A3957" t="s">
        <v>1876</v>
      </c>
      <c r="B3957" t="s">
        <v>359</v>
      </c>
      <c r="C3957" t="s">
        <v>1922</v>
      </c>
      <c r="D3957">
        <v>233</v>
      </c>
      <c r="E3957">
        <v>339</v>
      </c>
      <c r="F3957">
        <v>434</v>
      </c>
      <c r="G3957">
        <v>560</v>
      </c>
    </row>
    <row r="3958" spans="1:7">
      <c r="A3958" t="s">
        <v>1876</v>
      </c>
      <c r="B3958" t="s">
        <v>359</v>
      </c>
      <c r="C3958" t="s">
        <v>1923</v>
      </c>
      <c r="D3958">
        <v>4.0199999999999996</v>
      </c>
      <c r="E3958">
        <v>4.1900000000000004</v>
      </c>
      <c r="F3958">
        <v>4.09</v>
      </c>
      <c r="G3958">
        <v>3.84</v>
      </c>
    </row>
    <row r="3959" spans="1:7">
      <c r="A3959" t="s">
        <v>1876</v>
      </c>
      <c r="B3959" t="s">
        <v>359</v>
      </c>
      <c r="C3959" t="s">
        <v>1924</v>
      </c>
      <c r="D3959">
        <v>13</v>
      </c>
      <c r="E3959">
        <v>2</v>
      </c>
      <c r="F3959">
        <v>2</v>
      </c>
      <c r="G3959">
        <v>2</v>
      </c>
    </row>
    <row r="3960" spans="1:7">
      <c r="A3960" t="s">
        <v>1876</v>
      </c>
      <c r="B3960" t="s">
        <v>359</v>
      </c>
      <c r="C3960" t="s">
        <v>1925</v>
      </c>
      <c r="D3960">
        <v>70</v>
      </c>
      <c r="E3960">
        <v>57</v>
      </c>
      <c r="F3960">
        <v>59</v>
      </c>
      <c r="G3960">
        <v>58</v>
      </c>
    </row>
    <row r="3961" spans="1:7">
      <c r="A3961" t="s">
        <v>1876</v>
      </c>
      <c r="B3961" t="s">
        <v>359</v>
      </c>
      <c r="C3961" t="s">
        <v>1926</v>
      </c>
      <c r="D3961">
        <v>194</v>
      </c>
      <c r="E3961">
        <v>266</v>
      </c>
      <c r="F3961">
        <v>328</v>
      </c>
      <c r="G3961">
        <v>421</v>
      </c>
    </row>
    <row r="3962" spans="1:7">
      <c r="A3962" t="s">
        <v>1876</v>
      </c>
      <c r="B3962" t="s">
        <v>359</v>
      </c>
      <c r="C3962" t="s">
        <v>1927</v>
      </c>
      <c r="D3962">
        <v>9</v>
      </c>
      <c r="E3962">
        <v>8</v>
      </c>
      <c r="F3962">
        <v>8</v>
      </c>
      <c r="G3962">
        <v>8</v>
      </c>
    </row>
    <row r="3963" spans="1:7">
      <c r="A3963" t="s">
        <v>1876</v>
      </c>
      <c r="B3963" t="s">
        <v>359</v>
      </c>
      <c r="C3963" t="s">
        <v>1928</v>
      </c>
      <c r="D3963">
        <v>255</v>
      </c>
      <c r="E3963">
        <v>303</v>
      </c>
      <c r="F3963">
        <v>366</v>
      </c>
      <c r="G3963">
        <v>456</v>
      </c>
    </row>
    <row r="3964" spans="1:7">
      <c r="A3964" t="s">
        <v>1876</v>
      </c>
      <c r="B3964" t="s">
        <v>359</v>
      </c>
      <c r="C3964" t="s">
        <v>1929</v>
      </c>
      <c r="D3964">
        <v>13</v>
      </c>
      <c r="E3964">
        <v>14</v>
      </c>
      <c r="F3964">
        <v>15</v>
      </c>
      <c r="G3964">
        <v>17</v>
      </c>
    </row>
    <row r="3965" spans="1:7">
      <c r="A3965" t="s">
        <v>1876</v>
      </c>
      <c r="B3965" t="s">
        <v>359</v>
      </c>
      <c r="C3965" t="s">
        <v>186</v>
      </c>
      <c r="D3965">
        <v>9</v>
      </c>
      <c r="E3965">
        <v>9</v>
      </c>
      <c r="F3965">
        <v>18</v>
      </c>
      <c r="G3965">
        <v>-155</v>
      </c>
    </row>
    <row r="3966" spans="1:7">
      <c r="A3966" t="s">
        <v>1876</v>
      </c>
      <c r="B3966" t="s">
        <v>359</v>
      </c>
      <c r="C3966" t="s">
        <v>187</v>
      </c>
      <c r="D3966">
        <v>9</v>
      </c>
      <c r="E3966">
        <v>9</v>
      </c>
      <c r="F3966">
        <v>18</v>
      </c>
      <c r="G3966">
        <v>-155</v>
      </c>
    </row>
    <row r="3967" spans="1:7">
      <c r="A3967" t="s">
        <v>1876</v>
      </c>
      <c r="B3967" t="s">
        <v>359</v>
      </c>
      <c r="C3967" t="s">
        <v>1705</v>
      </c>
      <c r="D3967">
        <v>9682</v>
      </c>
      <c r="E3967">
        <v>9674</v>
      </c>
      <c r="F3967">
        <v>9402</v>
      </c>
      <c r="G3967">
        <v>9444</v>
      </c>
    </row>
    <row r="3968" spans="1:7">
      <c r="A3968" t="s">
        <v>1876</v>
      </c>
      <c r="B3968" t="s">
        <v>359</v>
      </c>
      <c r="C3968" t="s">
        <v>188</v>
      </c>
      <c r="D3968">
        <v>1056285</v>
      </c>
      <c r="E3968">
        <v>1085869</v>
      </c>
      <c r="F3968">
        <v>1048397</v>
      </c>
      <c r="G3968">
        <v>1015164</v>
      </c>
    </row>
    <row r="3969" spans="1:7">
      <c r="A3969" t="s">
        <v>1876</v>
      </c>
      <c r="B3969" t="s">
        <v>359</v>
      </c>
      <c r="C3969" t="s">
        <v>189</v>
      </c>
      <c r="D3969">
        <v>0</v>
      </c>
      <c r="E3969">
        <v>0</v>
      </c>
      <c r="F3969">
        <v>0</v>
      </c>
      <c r="G3969">
        <v>0</v>
      </c>
    </row>
    <row r="3970" spans="1:7">
      <c r="A3970" t="s">
        <v>1876</v>
      </c>
      <c r="B3970" t="s">
        <v>359</v>
      </c>
      <c r="C3970" t="s">
        <v>190</v>
      </c>
      <c r="D3970">
        <v>0</v>
      </c>
      <c r="E3970">
        <v>0</v>
      </c>
      <c r="F3970">
        <v>0</v>
      </c>
      <c r="G3970">
        <v>0</v>
      </c>
    </row>
    <row r="3971" spans="1:7">
      <c r="A3971" t="s">
        <v>1876</v>
      </c>
      <c r="B3971" t="s">
        <v>359</v>
      </c>
      <c r="C3971" t="s">
        <v>191</v>
      </c>
      <c r="D3971">
        <v>0</v>
      </c>
      <c r="E3971">
        <v>0</v>
      </c>
      <c r="F3971">
        <v>0</v>
      </c>
      <c r="G3971">
        <v>0</v>
      </c>
    </row>
    <row r="3972" spans="1:7">
      <c r="A3972" t="s">
        <v>1876</v>
      </c>
      <c r="B3972" t="s">
        <v>359</v>
      </c>
      <c r="C3972" t="s">
        <v>192</v>
      </c>
      <c r="D3972">
        <v>225055.3</v>
      </c>
      <c r="E3972">
        <v>244156.79999999999</v>
      </c>
      <c r="F3972">
        <v>253166.5</v>
      </c>
      <c r="G3972">
        <v>265794.5</v>
      </c>
    </row>
    <row r="3973" spans="1:7">
      <c r="A3973" t="s">
        <v>1876</v>
      </c>
      <c r="B3973" t="s">
        <v>359</v>
      </c>
      <c r="C3973" t="s">
        <v>193</v>
      </c>
      <c r="D3973">
        <v>202470.6</v>
      </c>
      <c r="E3973">
        <v>202672.5</v>
      </c>
      <c r="F3973">
        <v>201359.8</v>
      </c>
      <c r="G3973">
        <v>206438.9</v>
      </c>
    </row>
    <row r="3974" spans="1:7">
      <c r="A3974" t="s">
        <v>1876</v>
      </c>
      <c r="B3974" t="s">
        <v>359</v>
      </c>
      <c r="C3974" t="s">
        <v>1930</v>
      </c>
      <c r="D3974">
        <v>0</v>
      </c>
      <c r="E3974">
        <v>0</v>
      </c>
      <c r="F3974">
        <v>0</v>
      </c>
      <c r="G3974">
        <v>0</v>
      </c>
    </row>
    <row r="3975" spans="1:7">
      <c r="A3975" t="s">
        <v>1876</v>
      </c>
      <c r="B3975" t="s">
        <v>359</v>
      </c>
      <c r="C3975" t="s">
        <v>194</v>
      </c>
      <c r="D3975">
        <v>744</v>
      </c>
      <c r="E3975">
        <v>744</v>
      </c>
      <c r="F3975">
        <v>744</v>
      </c>
      <c r="G3975">
        <v>744</v>
      </c>
    </row>
    <row r="3976" spans="1:7">
      <c r="A3976" t="s">
        <v>1876</v>
      </c>
      <c r="B3976" t="s">
        <v>359</v>
      </c>
      <c r="C3976" t="s">
        <v>195</v>
      </c>
      <c r="D3976">
        <v>0</v>
      </c>
      <c r="E3976">
        <v>0</v>
      </c>
      <c r="F3976">
        <v>0</v>
      </c>
      <c r="G3976">
        <v>0</v>
      </c>
    </row>
    <row r="3977" spans="1:7">
      <c r="A3977" t="s">
        <v>1876</v>
      </c>
      <c r="B3977" t="s">
        <v>359</v>
      </c>
      <c r="C3977" t="s">
        <v>1706</v>
      </c>
      <c r="D3977">
        <v>0</v>
      </c>
      <c r="E3977">
        <v>0</v>
      </c>
      <c r="F3977">
        <v>0</v>
      </c>
      <c r="G3977">
        <v>0</v>
      </c>
    </row>
    <row r="3978" spans="1:7">
      <c r="A3978" t="s">
        <v>1876</v>
      </c>
      <c r="B3978" t="s">
        <v>359</v>
      </c>
      <c r="C3978" t="s">
        <v>196</v>
      </c>
      <c r="D3978">
        <v>0</v>
      </c>
      <c r="E3978">
        <v>0</v>
      </c>
      <c r="F3978">
        <v>0</v>
      </c>
      <c r="G3978">
        <v>0</v>
      </c>
    </row>
    <row r="3979" spans="1:7">
      <c r="A3979" t="s">
        <v>1876</v>
      </c>
      <c r="B3979" t="s">
        <v>359</v>
      </c>
      <c r="C3979" t="s">
        <v>197</v>
      </c>
      <c r="D3979">
        <v>538</v>
      </c>
      <c r="E3979">
        <v>538</v>
      </c>
      <c r="F3979">
        <v>538</v>
      </c>
      <c r="G3979">
        <v>538</v>
      </c>
    </row>
    <row r="3980" spans="1:7">
      <c r="A3980" t="s">
        <v>1876</v>
      </c>
      <c r="B3980" t="s">
        <v>359</v>
      </c>
      <c r="C3980" t="s">
        <v>198</v>
      </c>
      <c r="D3980">
        <v>1281</v>
      </c>
      <c r="E3980">
        <v>1281</v>
      </c>
      <c r="F3980">
        <v>1281</v>
      </c>
      <c r="G3980">
        <v>1281</v>
      </c>
    </row>
    <row r="3981" spans="1:7">
      <c r="A3981" t="s">
        <v>1876</v>
      </c>
      <c r="B3981" t="s">
        <v>359</v>
      </c>
      <c r="C3981" t="s">
        <v>199</v>
      </c>
      <c r="D3981">
        <v>1281</v>
      </c>
      <c r="E3981">
        <v>1281</v>
      </c>
      <c r="F3981">
        <v>1281</v>
      </c>
      <c r="G3981">
        <v>1281</v>
      </c>
    </row>
    <row r="3982" spans="1:7">
      <c r="A3982" t="s">
        <v>1876</v>
      </c>
      <c r="B3982" t="s">
        <v>359</v>
      </c>
      <c r="C3982" t="s">
        <v>200</v>
      </c>
      <c r="D3982">
        <v>110</v>
      </c>
      <c r="E3982">
        <v>123</v>
      </c>
      <c r="F3982">
        <v>94</v>
      </c>
      <c r="G3982">
        <v>77</v>
      </c>
    </row>
    <row r="3983" spans="1:7">
      <c r="A3983" t="s">
        <v>1876</v>
      </c>
      <c r="B3983" t="s">
        <v>359</v>
      </c>
      <c r="C3983" t="s">
        <v>201</v>
      </c>
      <c r="D3983">
        <v>2833</v>
      </c>
      <c r="E3983">
        <v>2566</v>
      </c>
      <c r="F3983">
        <v>2436</v>
      </c>
      <c r="G3983">
        <v>2341</v>
      </c>
    </row>
    <row r="3984" spans="1:7">
      <c r="A3984" t="s">
        <v>1876</v>
      </c>
      <c r="B3984" t="s">
        <v>359</v>
      </c>
      <c r="C3984" t="s">
        <v>202</v>
      </c>
      <c r="D3984">
        <v>45572</v>
      </c>
      <c r="E3984">
        <v>43597</v>
      </c>
      <c r="F3984">
        <v>42222</v>
      </c>
      <c r="G3984">
        <v>41037</v>
      </c>
    </row>
    <row r="3985" spans="1:7">
      <c r="A3985" t="s">
        <v>1876</v>
      </c>
      <c r="B3985" t="s">
        <v>359</v>
      </c>
      <c r="C3985" t="s">
        <v>203</v>
      </c>
      <c r="D3985">
        <v>20541</v>
      </c>
      <c r="E3985">
        <v>26494</v>
      </c>
      <c r="F3985">
        <v>21694</v>
      </c>
      <c r="G3985">
        <v>19580</v>
      </c>
    </row>
    <row r="3986" spans="1:7">
      <c r="A3986" t="s">
        <v>1876</v>
      </c>
      <c r="B3986" t="s">
        <v>359</v>
      </c>
      <c r="C3986" t="s">
        <v>204</v>
      </c>
      <c r="D3986">
        <v>69055</v>
      </c>
      <c r="E3986">
        <v>72781</v>
      </c>
      <c r="F3986">
        <v>66446</v>
      </c>
      <c r="G3986">
        <v>63035</v>
      </c>
    </row>
    <row r="3987" spans="1:7">
      <c r="A3987" t="s">
        <v>1876</v>
      </c>
      <c r="B3987" t="s">
        <v>359</v>
      </c>
      <c r="C3987" t="s">
        <v>205</v>
      </c>
      <c r="D3987">
        <v>69055</v>
      </c>
      <c r="E3987">
        <v>72781</v>
      </c>
      <c r="F3987">
        <v>66446</v>
      </c>
      <c r="G3987">
        <v>63035</v>
      </c>
    </row>
    <row r="3988" spans="1:7">
      <c r="A3988" t="s">
        <v>1876</v>
      </c>
      <c r="B3988" t="s">
        <v>359</v>
      </c>
      <c r="C3988" t="s">
        <v>1931</v>
      </c>
      <c r="D3988">
        <v>0</v>
      </c>
      <c r="E3988">
        <v>0</v>
      </c>
      <c r="F3988">
        <v>0</v>
      </c>
      <c r="G3988">
        <v>0</v>
      </c>
    </row>
    <row r="3989" spans="1:7">
      <c r="A3989" t="s">
        <v>1876</v>
      </c>
      <c r="B3989" t="s">
        <v>359</v>
      </c>
      <c r="C3989" t="s">
        <v>1707</v>
      </c>
      <c r="D3989">
        <v>0</v>
      </c>
      <c r="E3989">
        <v>0</v>
      </c>
      <c r="F3989">
        <v>0</v>
      </c>
      <c r="G3989">
        <v>0</v>
      </c>
    </row>
    <row r="3990" spans="1:7">
      <c r="A3990" t="s">
        <v>1876</v>
      </c>
      <c r="B3990" t="s">
        <v>359</v>
      </c>
      <c r="C3990" t="s">
        <v>1932</v>
      </c>
      <c r="D3990">
        <v>61.3</v>
      </c>
      <c r="E3990">
        <v>55.1</v>
      </c>
      <c r="F3990">
        <v>51.7</v>
      </c>
      <c r="G3990">
        <v>56</v>
      </c>
    </row>
    <row r="3991" spans="1:7">
      <c r="A3991" t="s">
        <v>1876</v>
      </c>
      <c r="B3991" t="s">
        <v>359</v>
      </c>
      <c r="C3991" t="s">
        <v>1708</v>
      </c>
      <c r="D3991">
        <v>205</v>
      </c>
      <c r="E3991">
        <v>209</v>
      </c>
      <c r="F3991">
        <v>209</v>
      </c>
      <c r="G3991">
        <v>209</v>
      </c>
    </row>
    <row r="3992" spans="1:7">
      <c r="A3992" t="s">
        <v>1876</v>
      </c>
      <c r="B3992" t="s">
        <v>359</v>
      </c>
      <c r="C3992" t="s">
        <v>206</v>
      </c>
      <c r="D3992">
        <v>0</v>
      </c>
      <c r="E3992">
        <v>0</v>
      </c>
      <c r="F3992">
        <v>0</v>
      </c>
      <c r="G3992">
        <v>0</v>
      </c>
    </row>
    <row r="3993" spans="1:7">
      <c r="A3993" t="s">
        <v>1876</v>
      </c>
      <c r="B3993" t="s">
        <v>359</v>
      </c>
      <c r="C3993" t="s">
        <v>207</v>
      </c>
      <c r="D3993">
        <v>3344</v>
      </c>
      <c r="E3993">
        <v>3446</v>
      </c>
      <c r="F3993">
        <v>3235</v>
      </c>
      <c r="G3993">
        <v>3516</v>
      </c>
    </row>
    <row r="3994" spans="1:7">
      <c r="A3994" t="s">
        <v>1876</v>
      </c>
      <c r="B3994" t="s">
        <v>359</v>
      </c>
      <c r="C3994" t="s">
        <v>208</v>
      </c>
      <c r="D3994">
        <v>0</v>
      </c>
      <c r="E3994">
        <v>0</v>
      </c>
      <c r="F3994">
        <v>0</v>
      </c>
      <c r="G3994">
        <v>0</v>
      </c>
    </row>
    <row r="3995" spans="1:7">
      <c r="A3995" t="s">
        <v>1876</v>
      </c>
      <c r="B3995" t="s">
        <v>359</v>
      </c>
      <c r="C3995" t="s">
        <v>209</v>
      </c>
      <c r="D3995">
        <v>3344</v>
      </c>
      <c r="E3995">
        <v>3446</v>
      </c>
      <c r="F3995">
        <v>3235</v>
      </c>
      <c r="G3995">
        <v>3516</v>
      </c>
    </row>
    <row r="3996" spans="1:7">
      <c r="A3996" t="s">
        <v>1876</v>
      </c>
      <c r="B3996" t="s">
        <v>359</v>
      </c>
      <c r="C3996" t="s">
        <v>210</v>
      </c>
      <c r="D3996">
        <v>0</v>
      </c>
      <c r="E3996">
        <v>0</v>
      </c>
      <c r="F3996">
        <v>0</v>
      </c>
      <c r="G3996">
        <v>0</v>
      </c>
    </row>
    <row r="3997" spans="1:7">
      <c r="A3997" t="s">
        <v>1876</v>
      </c>
      <c r="B3997" t="s">
        <v>359</v>
      </c>
      <c r="C3997" t="s">
        <v>211</v>
      </c>
      <c r="D3997">
        <v>0</v>
      </c>
      <c r="E3997">
        <v>0</v>
      </c>
      <c r="F3997">
        <v>0</v>
      </c>
      <c r="G3997">
        <v>0</v>
      </c>
    </row>
    <row r="3998" spans="1:7">
      <c r="A3998" t="s">
        <v>1876</v>
      </c>
      <c r="B3998" t="s">
        <v>359</v>
      </c>
      <c r="C3998" t="s">
        <v>212</v>
      </c>
      <c r="D3998">
        <v>0</v>
      </c>
      <c r="E3998">
        <v>0</v>
      </c>
      <c r="F3998">
        <v>0</v>
      </c>
      <c r="G3998">
        <v>0</v>
      </c>
    </row>
    <row r="3999" spans="1:7">
      <c r="A3999" t="s">
        <v>1876</v>
      </c>
      <c r="B3999" t="s">
        <v>359</v>
      </c>
      <c r="C3999" t="s">
        <v>213</v>
      </c>
      <c r="D3999">
        <v>0</v>
      </c>
      <c r="E3999">
        <v>0</v>
      </c>
      <c r="F3999">
        <v>0</v>
      </c>
      <c r="G3999">
        <v>0</v>
      </c>
    </row>
    <row r="4000" spans="1:7">
      <c r="A4000" t="s">
        <v>1876</v>
      </c>
      <c r="B4000" t="s">
        <v>359</v>
      </c>
      <c r="C4000" t="s">
        <v>214</v>
      </c>
      <c r="D4000">
        <v>0</v>
      </c>
      <c r="E4000">
        <v>0</v>
      </c>
      <c r="F4000">
        <v>0</v>
      </c>
      <c r="G4000">
        <v>0</v>
      </c>
    </row>
    <row r="4001" spans="1:7">
      <c r="A4001" t="s">
        <v>1876</v>
      </c>
      <c r="B4001" t="s">
        <v>359</v>
      </c>
      <c r="C4001" t="s">
        <v>215</v>
      </c>
      <c r="D4001">
        <v>5754</v>
      </c>
      <c r="E4001">
        <v>6388</v>
      </c>
      <c r="F4001">
        <v>6538</v>
      </c>
      <c r="G4001">
        <v>6075</v>
      </c>
    </row>
    <row r="4002" spans="1:7">
      <c r="A4002" t="s">
        <v>1876</v>
      </c>
      <c r="B4002" t="s">
        <v>359</v>
      </c>
      <c r="C4002" t="s">
        <v>216</v>
      </c>
      <c r="D4002">
        <v>5754</v>
      </c>
      <c r="E4002">
        <v>6388</v>
      </c>
      <c r="F4002">
        <v>6538</v>
      </c>
      <c r="G4002">
        <v>6075</v>
      </c>
    </row>
    <row r="4003" spans="1:7">
      <c r="A4003" t="s">
        <v>1876</v>
      </c>
      <c r="B4003" t="s">
        <v>359</v>
      </c>
      <c r="C4003" t="s">
        <v>217</v>
      </c>
      <c r="D4003">
        <v>5754</v>
      </c>
      <c r="E4003">
        <v>6388</v>
      </c>
      <c r="F4003">
        <v>6538</v>
      </c>
      <c r="G4003">
        <v>6075</v>
      </c>
    </row>
    <row r="4004" spans="1:7">
      <c r="A4004" t="s">
        <v>1876</v>
      </c>
      <c r="B4004" t="s">
        <v>359</v>
      </c>
      <c r="C4004" t="s">
        <v>218</v>
      </c>
      <c r="D4004">
        <v>6</v>
      </c>
      <c r="E4004">
        <v>6</v>
      </c>
      <c r="F4004">
        <v>10</v>
      </c>
      <c r="G4004">
        <v>7</v>
      </c>
    </row>
    <row r="4005" spans="1:7">
      <c r="A4005" t="s">
        <v>1876</v>
      </c>
      <c r="B4005" t="s">
        <v>359</v>
      </c>
      <c r="C4005" t="s">
        <v>219</v>
      </c>
      <c r="D4005">
        <v>11</v>
      </c>
      <c r="E4005">
        <v>8</v>
      </c>
      <c r="F4005">
        <v>33</v>
      </c>
      <c r="G4005">
        <v>18</v>
      </c>
    </row>
    <row r="4006" spans="1:7">
      <c r="A4006" t="s">
        <v>1876</v>
      </c>
      <c r="B4006" t="s">
        <v>359</v>
      </c>
      <c r="C4006" t="s">
        <v>220</v>
      </c>
      <c r="D4006">
        <v>21</v>
      </c>
      <c r="E4006">
        <v>20</v>
      </c>
      <c r="F4006">
        <v>34</v>
      </c>
      <c r="G4006">
        <v>24</v>
      </c>
    </row>
    <row r="4007" spans="1:7">
      <c r="A4007" t="s">
        <v>1876</v>
      </c>
      <c r="B4007" t="s">
        <v>359</v>
      </c>
      <c r="C4007" t="s">
        <v>221</v>
      </c>
      <c r="D4007">
        <v>38</v>
      </c>
      <c r="E4007">
        <v>34</v>
      </c>
      <c r="F4007">
        <v>77</v>
      </c>
      <c r="G4007">
        <v>50</v>
      </c>
    </row>
    <row r="4008" spans="1:7">
      <c r="A4008" t="s">
        <v>1876</v>
      </c>
      <c r="B4008" t="s">
        <v>359</v>
      </c>
      <c r="C4008" t="s">
        <v>222</v>
      </c>
      <c r="D4008">
        <v>38</v>
      </c>
      <c r="E4008">
        <v>34</v>
      </c>
      <c r="F4008">
        <v>77</v>
      </c>
      <c r="G4008">
        <v>50</v>
      </c>
    </row>
    <row r="4009" spans="1:7">
      <c r="A4009" t="s">
        <v>1876</v>
      </c>
      <c r="B4009" t="s">
        <v>359</v>
      </c>
      <c r="C4009" t="s">
        <v>1933</v>
      </c>
      <c r="D4009">
        <v>2906</v>
      </c>
      <c r="E4009">
        <v>2894.6</v>
      </c>
      <c r="F4009">
        <v>2907.7</v>
      </c>
      <c r="G4009">
        <v>2927.2</v>
      </c>
    </row>
    <row r="4010" spans="1:7">
      <c r="A4010" t="s">
        <v>1876</v>
      </c>
      <c r="B4010" t="s">
        <v>359</v>
      </c>
      <c r="C4010" t="s">
        <v>223</v>
      </c>
      <c r="D4010">
        <v>0</v>
      </c>
      <c r="E4010">
        <v>0</v>
      </c>
      <c r="F4010">
        <v>0</v>
      </c>
      <c r="G4010">
        <v>0</v>
      </c>
    </row>
    <row r="4011" spans="1:7">
      <c r="A4011" t="s">
        <v>1876</v>
      </c>
      <c r="B4011" t="s">
        <v>359</v>
      </c>
      <c r="C4011" t="s">
        <v>224</v>
      </c>
      <c r="D4011">
        <v>36858</v>
      </c>
      <c r="E4011">
        <v>31324</v>
      </c>
      <c r="F4011">
        <v>30799</v>
      </c>
      <c r="G4011">
        <v>27829</v>
      </c>
    </row>
    <row r="4012" spans="1:7">
      <c r="A4012" t="s">
        <v>1876</v>
      </c>
      <c r="B4012" t="s">
        <v>359</v>
      </c>
      <c r="C4012" t="s">
        <v>225</v>
      </c>
      <c r="D4012">
        <v>79292</v>
      </c>
      <c r="E4012">
        <v>66670</v>
      </c>
      <c r="F4012">
        <v>66525</v>
      </c>
      <c r="G4012">
        <v>60036</v>
      </c>
    </row>
    <row r="4013" spans="1:7">
      <c r="A4013" t="s">
        <v>1876</v>
      </c>
      <c r="B4013" t="s">
        <v>359</v>
      </c>
      <c r="C4013" t="s">
        <v>226</v>
      </c>
      <c r="D4013">
        <v>44501</v>
      </c>
      <c r="E4013">
        <v>38164</v>
      </c>
      <c r="F4013">
        <v>35641</v>
      </c>
      <c r="G4013">
        <v>31420</v>
      </c>
    </row>
    <row r="4014" spans="1:7">
      <c r="A4014" t="s">
        <v>1876</v>
      </c>
      <c r="B4014" t="s">
        <v>359</v>
      </c>
      <c r="C4014" t="s">
        <v>227</v>
      </c>
      <c r="D4014">
        <v>160651</v>
      </c>
      <c r="E4014">
        <v>136158</v>
      </c>
      <c r="F4014">
        <v>132965</v>
      </c>
      <c r="G4014">
        <v>119285</v>
      </c>
    </row>
    <row r="4015" spans="1:7">
      <c r="A4015" t="s">
        <v>1876</v>
      </c>
      <c r="B4015" t="s">
        <v>359</v>
      </c>
      <c r="C4015" t="s">
        <v>228</v>
      </c>
      <c r="D4015">
        <v>160651</v>
      </c>
      <c r="E4015">
        <v>136158</v>
      </c>
      <c r="F4015">
        <v>132965</v>
      </c>
      <c r="G4015">
        <v>119285</v>
      </c>
    </row>
    <row r="4016" spans="1:7">
      <c r="A4016" t="s">
        <v>1876</v>
      </c>
      <c r="B4016" t="s">
        <v>359</v>
      </c>
      <c r="C4016" t="s">
        <v>229</v>
      </c>
      <c r="D4016">
        <v>1610</v>
      </c>
      <c r="E4016">
        <v>1728</v>
      </c>
      <c r="F4016">
        <v>1218</v>
      </c>
      <c r="G4016">
        <v>1218</v>
      </c>
    </row>
    <row r="4017" spans="1:7">
      <c r="A4017" t="s">
        <v>1876</v>
      </c>
      <c r="B4017" t="s">
        <v>359</v>
      </c>
      <c r="C4017" t="s">
        <v>230</v>
      </c>
      <c r="D4017">
        <v>1296</v>
      </c>
      <c r="E4017">
        <v>1372</v>
      </c>
      <c r="F4017">
        <v>1015</v>
      </c>
      <c r="G4017">
        <v>939</v>
      </c>
    </row>
    <row r="4018" spans="1:7">
      <c r="A4018" t="s">
        <v>1876</v>
      </c>
      <c r="B4018" t="s">
        <v>359</v>
      </c>
      <c r="C4018" t="s">
        <v>231</v>
      </c>
      <c r="D4018">
        <v>2905</v>
      </c>
      <c r="E4018">
        <v>3100</v>
      </c>
      <c r="F4018">
        <v>2233</v>
      </c>
      <c r="G4018">
        <v>2157</v>
      </c>
    </row>
    <row r="4019" spans="1:7">
      <c r="A4019" t="s">
        <v>1876</v>
      </c>
      <c r="B4019" t="s">
        <v>359</v>
      </c>
      <c r="C4019" t="s">
        <v>232</v>
      </c>
      <c r="D4019">
        <v>2905</v>
      </c>
      <c r="E4019">
        <v>3100</v>
      </c>
      <c r="F4019">
        <v>2233</v>
      </c>
      <c r="G4019">
        <v>2157</v>
      </c>
    </row>
    <row r="4020" spans="1:7">
      <c r="A4020" t="s">
        <v>1876</v>
      </c>
      <c r="B4020" t="s">
        <v>359</v>
      </c>
      <c r="C4020" t="s">
        <v>233</v>
      </c>
      <c r="D4020">
        <v>0</v>
      </c>
      <c r="E4020">
        <v>0</v>
      </c>
      <c r="F4020">
        <v>0</v>
      </c>
      <c r="G4020">
        <v>0</v>
      </c>
    </row>
    <row r="4021" spans="1:7">
      <c r="A4021" t="s">
        <v>1876</v>
      </c>
      <c r="B4021" t="s">
        <v>359</v>
      </c>
      <c r="C4021" t="s">
        <v>234</v>
      </c>
      <c r="D4021">
        <v>176676</v>
      </c>
      <c r="E4021">
        <v>174887</v>
      </c>
      <c r="F4021">
        <v>175246</v>
      </c>
      <c r="G4021">
        <v>177630</v>
      </c>
    </row>
    <row r="4022" spans="1:7">
      <c r="A4022" t="s">
        <v>1876</v>
      </c>
      <c r="B4022" t="s">
        <v>359</v>
      </c>
      <c r="C4022" t="s">
        <v>235</v>
      </c>
      <c r="D4022">
        <v>2923</v>
      </c>
      <c r="E4022">
        <v>14617</v>
      </c>
      <c r="F4022">
        <v>3009</v>
      </c>
      <c r="G4022">
        <v>2674</v>
      </c>
    </row>
    <row r="4023" spans="1:7">
      <c r="A4023" t="s">
        <v>1876</v>
      </c>
      <c r="B4023" t="s">
        <v>359</v>
      </c>
      <c r="C4023" t="s">
        <v>236</v>
      </c>
      <c r="D4023">
        <v>4190</v>
      </c>
      <c r="E4023">
        <v>4330</v>
      </c>
      <c r="F4023">
        <v>3730</v>
      </c>
      <c r="G4023">
        <v>5118</v>
      </c>
    </row>
    <row r="4024" spans="1:7">
      <c r="A4024" t="s">
        <v>1876</v>
      </c>
      <c r="B4024" t="s">
        <v>359</v>
      </c>
      <c r="C4024" t="s">
        <v>237</v>
      </c>
      <c r="D4024">
        <v>183789</v>
      </c>
      <c r="E4024">
        <v>193834</v>
      </c>
      <c r="F4024">
        <v>181985</v>
      </c>
      <c r="G4024">
        <v>185422</v>
      </c>
    </row>
    <row r="4025" spans="1:7">
      <c r="A4025" t="s">
        <v>1876</v>
      </c>
      <c r="B4025" t="s">
        <v>359</v>
      </c>
      <c r="C4025" t="s">
        <v>238</v>
      </c>
      <c r="D4025">
        <v>183789</v>
      </c>
      <c r="E4025">
        <v>193834</v>
      </c>
      <c r="F4025">
        <v>181985</v>
      </c>
      <c r="G4025">
        <v>185422</v>
      </c>
    </row>
    <row r="4026" spans="1:7">
      <c r="A4026" t="s">
        <v>1876</v>
      </c>
      <c r="B4026" t="s">
        <v>359</v>
      </c>
      <c r="C4026" t="s">
        <v>1934</v>
      </c>
      <c r="D4026">
        <v>162556</v>
      </c>
      <c r="E4026">
        <v>160779</v>
      </c>
      <c r="F4026">
        <v>161065</v>
      </c>
      <c r="G4026">
        <v>163399</v>
      </c>
    </row>
    <row r="4027" spans="1:7">
      <c r="A4027" t="s">
        <v>1876</v>
      </c>
      <c r="B4027" t="s">
        <v>359</v>
      </c>
      <c r="C4027" t="s">
        <v>1935</v>
      </c>
      <c r="D4027">
        <v>2690</v>
      </c>
      <c r="E4027">
        <v>13438</v>
      </c>
      <c r="F4027">
        <v>2765</v>
      </c>
      <c r="G4027">
        <v>2460</v>
      </c>
    </row>
    <row r="4028" spans="1:7">
      <c r="A4028" t="s">
        <v>1876</v>
      </c>
      <c r="B4028" t="s">
        <v>359</v>
      </c>
      <c r="C4028" t="s">
        <v>1936</v>
      </c>
      <c r="D4028">
        <v>3855</v>
      </c>
      <c r="E4028">
        <v>3981</v>
      </c>
      <c r="F4028">
        <v>3428</v>
      </c>
      <c r="G4028">
        <v>4708</v>
      </c>
    </row>
    <row r="4029" spans="1:7">
      <c r="A4029" t="s">
        <v>1876</v>
      </c>
      <c r="B4029" t="s">
        <v>359</v>
      </c>
      <c r="C4029" t="s">
        <v>239</v>
      </c>
      <c r="D4029">
        <v>169101</v>
      </c>
      <c r="E4029">
        <v>178198</v>
      </c>
      <c r="F4029">
        <v>167258</v>
      </c>
      <c r="G4029">
        <v>170567</v>
      </c>
    </row>
    <row r="4030" spans="1:7">
      <c r="A4030" t="s">
        <v>1876</v>
      </c>
      <c r="B4030" t="s">
        <v>359</v>
      </c>
      <c r="C4030" t="s">
        <v>240</v>
      </c>
      <c r="D4030">
        <v>2043</v>
      </c>
      <c r="E4030">
        <v>2612</v>
      </c>
      <c r="F4030">
        <v>2510</v>
      </c>
      <c r="G4030">
        <v>2458</v>
      </c>
    </row>
    <row r="4031" spans="1:7">
      <c r="A4031" t="s">
        <v>1876</v>
      </c>
      <c r="B4031" t="s">
        <v>359</v>
      </c>
      <c r="C4031" t="s">
        <v>241</v>
      </c>
      <c r="D4031">
        <v>0</v>
      </c>
      <c r="E4031">
        <v>0</v>
      </c>
      <c r="F4031">
        <v>0</v>
      </c>
      <c r="G4031">
        <v>0</v>
      </c>
    </row>
    <row r="4032" spans="1:7">
      <c r="A4032" t="s">
        <v>1876</v>
      </c>
      <c r="B4032" t="s">
        <v>359</v>
      </c>
      <c r="C4032" t="s">
        <v>242</v>
      </c>
      <c r="D4032">
        <v>8098</v>
      </c>
      <c r="E4032">
        <v>9670</v>
      </c>
      <c r="F4032">
        <v>8837</v>
      </c>
      <c r="G4032">
        <v>9889</v>
      </c>
    </row>
    <row r="4033" spans="1:7">
      <c r="A4033" t="s">
        <v>1876</v>
      </c>
      <c r="B4033" t="s">
        <v>359</v>
      </c>
      <c r="C4033" t="s">
        <v>243</v>
      </c>
      <c r="D4033">
        <v>54403</v>
      </c>
      <c r="E4033">
        <v>61855</v>
      </c>
      <c r="F4033">
        <v>56255</v>
      </c>
      <c r="G4033">
        <v>52276</v>
      </c>
    </row>
    <row r="4034" spans="1:7">
      <c r="A4034" t="s">
        <v>1876</v>
      </c>
      <c r="B4034" t="s">
        <v>359</v>
      </c>
      <c r="C4034" t="s">
        <v>244</v>
      </c>
      <c r="D4034">
        <v>45860</v>
      </c>
      <c r="E4034">
        <v>58893</v>
      </c>
      <c r="F4034">
        <v>72488</v>
      </c>
      <c r="G4034">
        <v>67597</v>
      </c>
    </row>
    <row r="4035" spans="1:7">
      <c r="A4035" t="s">
        <v>1876</v>
      </c>
      <c r="B4035" t="s">
        <v>359</v>
      </c>
      <c r="C4035" t="s">
        <v>1709</v>
      </c>
      <c r="D4035">
        <v>3510</v>
      </c>
      <c r="E4035">
        <v>3633</v>
      </c>
      <c r="F4035">
        <v>3704</v>
      </c>
      <c r="G4035">
        <v>3779</v>
      </c>
    </row>
    <row r="4036" spans="1:7">
      <c r="A4036" t="s">
        <v>1876</v>
      </c>
      <c r="B4036" t="s">
        <v>359</v>
      </c>
      <c r="C4036" t="s">
        <v>245</v>
      </c>
      <c r="D4036">
        <v>243374</v>
      </c>
      <c r="E4036">
        <v>262147</v>
      </c>
      <c r="F4036">
        <v>270535</v>
      </c>
      <c r="G4036">
        <v>274131</v>
      </c>
    </row>
    <row r="4037" spans="1:7">
      <c r="A4037" t="s">
        <v>1876</v>
      </c>
      <c r="B4037" t="s">
        <v>359</v>
      </c>
      <c r="C4037" t="s">
        <v>246</v>
      </c>
      <c r="D4037">
        <v>66039</v>
      </c>
      <c r="E4037">
        <v>75519</v>
      </c>
      <c r="F4037">
        <v>64310</v>
      </c>
      <c r="G4037">
        <v>59464</v>
      </c>
    </row>
    <row r="4038" spans="1:7">
      <c r="A4038" t="s">
        <v>1876</v>
      </c>
      <c r="B4038" t="s">
        <v>359</v>
      </c>
      <c r="C4038" t="s">
        <v>247</v>
      </c>
      <c r="D4038">
        <v>417775</v>
      </c>
      <c r="E4038">
        <v>468085</v>
      </c>
      <c r="F4038">
        <v>472426</v>
      </c>
      <c r="G4038">
        <v>463358</v>
      </c>
    </row>
    <row r="4039" spans="1:7">
      <c r="A4039" t="s">
        <v>1876</v>
      </c>
      <c r="B4039" t="s">
        <v>359</v>
      </c>
      <c r="C4039" t="s">
        <v>248</v>
      </c>
      <c r="D4039">
        <v>130.6</v>
      </c>
      <c r="E4039">
        <v>146.19999999999999</v>
      </c>
      <c r="F4039">
        <v>147</v>
      </c>
      <c r="G4039">
        <v>143.4</v>
      </c>
    </row>
    <row r="4040" spans="1:7">
      <c r="A4040" t="s">
        <v>1876</v>
      </c>
      <c r="B4040" t="s">
        <v>359</v>
      </c>
      <c r="C4040" t="s">
        <v>249</v>
      </c>
      <c r="D4040">
        <v>371914</v>
      </c>
      <c r="E4040">
        <v>409192</v>
      </c>
      <c r="F4040">
        <v>399937</v>
      </c>
      <c r="G4040">
        <v>395761</v>
      </c>
    </row>
    <row r="4041" spans="1:7">
      <c r="A4041" t="s">
        <v>1876</v>
      </c>
      <c r="B4041" t="s">
        <v>359</v>
      </c>
      <c r="C4041" t="s">
        <v>250</v>
      </c>
      <c r="D4041">
        <v>383424</v>
      </c>
      <c r="E4041">
        <v>434374</v>
      </c>
      <c r="F4041">
        <v>446261</v>
      </c>
      <c r="G4041">
        <v>433602</v>
      </c>
    </row>
    <row r="4042" spans="1:7">
      <c r="A4042" t="s">
        <v>1876</v>
      </c>
      <c r="B4042" t="s">
        <v>359</v>
      </c>
      <c r="C4042" t="s">
        <v>1937</v>
      </c>
      <c r="D4042">
        <v>5.0999999999999996</v>
      </c>
      <c r="E4042">
        <v>3.4</v>
      </c>
      <c r="F4042">
        <v>7.2</v>
      </c>
      <c r="G4042">
        <v>7.2</v>
      </c>
    </row>
    <row r="4043" spans="1:7">
      <c r="A4043" t="s">
        <v>1876</v>
      </c>
      <c r="B4043" t="s">
        <v>359</v>
      </c>
      <c r="C4043" t="s">
        <v>1938</v>
      </c>
      <c r="D4043">
        <v>0</v>
      </c>
      <c r="E4043">
        <v>0</v>
      </c>
      <c r="F4043">
        <v>0</v>
      </c>
      <c r="G4043">
        <v>0</v>
      </c>
    </row>
    <row r="4044" spans="1:7">
      <c r="A4044" t="s">
        <v>1876</v>
      </c>
      <c r="B4044" t="s">
        <v>359</v>
      </c>
      <c r="C4044" t="s">
        <v>251</v>
      </c>
      <c r="D4044">
        <v>0</v>
      </c>
      <c r="E4044">
        <v>0</v>
      </c>
      <c r="F4044">
        <v>0</v>
      </c>
      <c r="G4044">
        <v>0</v>
      </c>
    </row>
    <row r="4045" spans="1:7">
      <c r="A4045" t="s">
        <v>1876</v>
      </c>
      <c r="B4045" t="s">
        <v>359</v>
      </c>
      <c r="C4045" t="s">
        <v>252</v>
      </c>
      <c r="D4045">
        <v>0</v>
      </c>
      <c r="E4045">
        <v>0</v>
      </c>
      <c r="F4045">
        <v>0</v>
      </c>
      <c r="G4045">
        <v>0</v>
      </c>
    </row>
    <row r="4046" spans="1:7">
      <c r="A4046" t="s">
        <v>1876</v>
      </c>
      <c r="B4046" t="s">
        <v>359</v>
      </c>
      <c r="C4046" t="s">
        <v>1710</v>
      </c>
      <c r="D4046">
        <v>0</v>
      </c>
      <c r="E4046">
        <v>0</v>
      </c>
      <c r="F4046">
        <v>0</v>
      </c>
      <c r="G4046">
        <v>0</v>
      </c>
    </row>
    <row r="4047" spans="1:7">
      <c r="A4047" t="s">
        <v>1876</v>
      </c>
      <c r="B4047" t="s">
        <v>359</v>
      </c>
      <c r="C4047" t="s">
        <v>1939</v>
      </c>
      <c r="D4047">
        <v>16.8</v>
      </c>
      <c r="E4047">
        <v>13.4</v>
      </c>
      <c r="F4047">
        <v>12.6</v>
      </c>
      <c r="G4047">
        <v>12.5</v>
      </c>
    </row>
    <row r="4048" spans="1:7">
      <c r="A4048" t="s">
        <v>1876</v>
      </c>
      <c r="B4048" t="s">
        <v>359</v>
      </c>
      <c r="C4048" t="s">
        <v>253</v>
      </c>
      <c r="D4048">
        <v>25150</v>
      </c>
      <c r="E4048">
        <v>25150</v>
      </c>
      <c r="F4048">
        <v>25159</v>
      </c>
      <c r="G4048">
        <v>25055</v>
      </c>
    </row>
    <row r="4049" spans="1:7">
      <c r="A4049" t="s">
        <v>1876</v>
      </c>
      <c r="B4049" t="s">
        <v>359</v>
      </c>
      <c r="C4049" t="s">
        <v>1711</v>
      </c>
      <c r="D4049">
        <v>0</v>
      </c>
      <c r="E4049">
        <v>0</v>
      </c>
      <c r="F4049">
        <v>0</v>
      </c>
      <c r="G4049">
        <v>0</v>
      </c>
    </row>
    <row r="4050" spans="1:7">
      <c r="A4050" t="s">
        <v>1876</v>
      </c>
      <c r="B4050" t="s">
        <v>359</v>
      </c>
      <c r="C4050" t="s">
        <v>1712</v>
      </c>
      <c r="D4050">
        <v>3159</v>
      </c>
      <c r="E4050">
        <v>3876</v>
      </c>
      <c r="F4050">
        <v>3718</v>
      </c>
      <c r="G4050">
        <v>3560</v>
      </c>
    </row>
    <row r="4051" spans="1:7">
      <c r="A4051" t="s">
        <v>1876</v>
      </c>
      <c r="B4051" t="s">
        <v>359</v>
      </c>
      <c r="C4051" t="s">
        <v>1713</v>
      </c>
      <c r="D4051">
        <v>4586</v>
      </c>
      <c r="E4051">
        <v>5018</v>
      </c>
      <c r="F4051">
        <v>5467</v>
      </c>
      <c r="G4051">
        <v>6670</v>
      </c>
    </row>
    <row r="4052" spans="1:7">
      <c r="A4052" t="s">
        <v>1876</v>
      </c>
      <c r="B4052" t="s">
        <v>359</v>
      </c>
      <c r="C4052" t="s">
        <v>1940</v>
      </c>
      <c r="D4052">
        <v>0</v>
      </c>
      <c r="E4052">
        <v>0</v>
      </c>
      <c r="F4052">
        <v>0</v>
      </c>
      <c r="G4052">
        <v>0</v>
      </c>
    </row>
    <row r="4053" spans="1:7">
      <c r="A4053" t="s">
        <v>1876</v>
      </c>
      <c r="B4053" t="s">
        <v>359</v>
      </c>
      <c r="C4053" t="s">
        <v>1941</v>
      </c>
      <c r="D4053">
        <v>0</v>
      </c>
      <c r="E4053">
        <v>0</v>
      </c>
      <c r="F4053">
        <v>0</v>
      </c>
      <c r="G4053">
        <v>0</v>
      </c>
    </row>
    <row r="4054" spans="1:7">
      <c r="A4054" t="s">
        <v>1876</v>
      </c>
      <c r="B4054" t="s">
        <v>359</v>
      </c>
      <c r="C4054" t="s">
        <v>254</v>
      </c>
      <c r="D4054">
        <v>3159</v>
      </c>
      <c r="E4054">
        <v>3876</v>
      </c>
      <c r="F4054">
        <v>3718</v>
      </c>
      <c r="G4054">
        <v>3560</v>
      </c>
    </row>
    <row r="4055" spans="1:7">
      <c r="A4055" t="s">
        <v>1876</v>
      </c>
      <c r="B4055" t="s">
        <v>359</v>
      </c>
      <c r="C4055" t="s">
        <v>1942</v>
      </c>
      <c r="D4055">
        <v>0</v>
      </c>
      <c r="E4055">
        <v>0</v>
      </c>
      <c r="F4055">
        <v>0</v>
      </c>
      <c r="G4055">
        <v>0</v>
      </c>
    </row>
    <row r="4056" spans="1:7">
      <c r="A4056" t="s">
        <v>1876</v>
      </c>
      <c r="B4056" t="s">
        <v>359</v>
      </c>
      <c r="C4056" t="s">
        <v>255</v>
      </c>
      <c r="D4056">
        <v>7745</v>
      </c>
      <c r="E4056">
        <v>8894</v>
      </c>
      <c r="F4056">
        <v>9184</v>
      </c>
      <c r="G4056">
        <v>10231</v>
      </c>
    </row>
    <row r="4057" spans="1:7">
      <c r="A4057" t="s">
        <v>1876</v>
      </c>
      <c r="B4057" t="s">
        <v>359</v>
      </c>
      <c r="C4057" t="s">
        <v>256</v>
      </c>
      <c r="D4057">
        <v>7745</v>
      </c>
      <c r="E4057">
        <v>8894</v>
      </c>
      <c r="F4057">
        <v>9184</v>
      </c>
      <c r="G4057">
        <v>10231</v>
      </c>
    </row>
    <row r="4058" spans="1:7">
      <c r="A4058" t="s">
        <v>1876</v>
      </c>
      <c r="B4058" t="s">
        <v>359</v>
      </c>
      <c r="C4058" t="s">
        <v>1714</v>
      </c>
      <c r="D4058">
        <v>0</v>
      </c>
      <c r="E4058">
        <v>0</v>
      </c>
      <c r="F4058">
        <v>0</v>
      </c>
      <c r="G4058">
        <v>0</v>
      </c>
    </row>
    <row r="4059" spans="1:7">
      <c r="A4059" t="s">
        <v>1876</v>
      </c>
      <c r="B4059" t="s">
        <v>359</v>
      </c>
      <c r="C4059" t="s">
        <v>257</v>
      </c>
      <c r="D4059">
        <v>16261</v>
      </c>
      <c r="E4059">
        <v>14244</v>
      </c>
      <c r="F4059">
        <v>16856</v>
      </c>
      <c r="G4059">
        <v>16518</v>
      </c>
    </row>
    <row r="4060" spans="1:7">
      <c r="A4060" t="s">
        <v>1876</v>
      </c>
      <c r="B4060" t="s">
        <v>359</v>
      </c>
      <c r="C4060" t="s">
        <v>258</v>
      </c>
      <c r="D4060">
        <v>22904</v>
      </c>
      <c r="E4060">
        <v>21717</v>
      </c>
      <c r="F4060">
        <v>23916</v>
      </c>
      <c r="G4060">
        <v>24853</v>
      </c>
    </row>
    <row r="4061" spans="1:7">
      <c r="A4061" t="s">
        <v>1876</v>
      </c>
      <c r="B4061" t="s">
        <v>359</v>
      </c>
      <c r="C4061" t="s">
        <v>259</v>
      </c>
      <c r="D4061">
        <v>22904</v>
      </c>
      <c r="E4061">
        <v>21717</v>
      </c>
      <c r="F4061">
        <v>23916</v>
      </c>
      <c r="G4061">
        <v>24853</v>
      </c>
    </row>
    <row r="4062" spans="1:7">
      <c r="A4062" t="s">
        <v>1876</v>
      </c>
      <c r="B4062" t="s">
        <v>359</v>
      </c>
      <c r="C4062" t="s">
        <v>260</v>
      </c>
      <c r="D4062">
        <v>287532</v>
      </c>
      <c r="E4062">
        <v>289625</v>
      </c>
      <c r="F4062">
        <v>284411</v>
      </c>
      <c r="G4062">
        <v>290502</v>
      </c>
    </row>
    <row r="4063" spans="1:7">
      <c r="A4063" t="s">
        <v>1876</v>
      </c>
      <c r="B4063" t="s">
        <v>359</v>
      </c>
      <c r="C4063" t="s">
        <v>1943</v>
      </c>
      <c r="D4063">
        <v>0.9</v>
      </c>
      <c r="E4063">
        <v>2.2999999999999998</v>
      </c>
      <c r="F4063">
        <v>0.2</v>
      </c>
      <c r="G4063">
        <v>0.1</v>
      </c>
    </row>
    <row r="4064" spans="1:7">
      <c r="A4064" t="s">
        <v>1876</v>
      </c>
      <c r="B4064" t="s">
        <v>359</v>
      </c>
      <c r="C4064" t="s">
        <v>261</v>
      </c>
      <c r="D4064">
        <v>10860</v>
      </c>
      <c r="E4064">
        <v>22906</v>
      </c>
      <c r="F4064">
        <v>10365</v>
      </c>
      <c r="G4064">
        <v>9652</v>
      </c>
    </row>
    <row r="4065" spans="1:7">
      <c r="A4065" t="s">
        <v>1876</v>
      </c>
      <c r="B4065" t="s">
        <v>359</v>
      </c>
      <c r="C4065" t="s">
        <v>262</v>
      </c>
      <c r="D4065">
        <v>1421</v>
      </c>
      <c r="E4065">
        <v>1342</v>
      </c>
      <c r="F4065">
        <v>852</v>
      </c>
      <c r="G4065">
        <v>777</v>
      </c>
    </row>
    <row r="4066" spans="1:7">
      <c r="A4066" t="s">
        <v>1876</v>
      </c>
      <c r="B4066" t="s">
        <v>359</v>
      </c>
      <c r="C4066" t="s">
        <v>1715</v>
      </c>
      <c r="D4066">
        <v>905</v>
      </c>
      <c r="E4066">
        <v>972</v>
      </c>
      <c r="F4066">
        <v>837</v>
      </c>
      <c r="G4066">
        <v>832</v>
      </c>
    </row>
    <row r="4067" spans="1:7">
      <c r="A4067" t="s">
        <v>1876</v>
      </c>
      <c r="B4067" t="s">
        <v>359</v>
      </c>
      <c r="C4067" t="s">
        <v>263</v>
      </c>
      <c r="D4067">
        <v>109900</v>
      </c>
      <c r="E4067">
        <v>106527</v>
      </c>
      <c r="F4067">
        <v>106086</v>
      </c>
      <c r="G4067">
        <v>104680</v>
      </c>
    </row>
    <row r="4068" spans="1:7">
      <c r="A4068" t="s">
        <v>1876</v>
      </c>
      <c r="B4068" t="s">
        <v>359</v>
      </c>
      <c r="C4068" t="s">
        <v>264</v>
      </c>
      <c r="D4068">
        <v>21402</v>
      </c>
      <c r="E4068">
        <v>27425</v>
      </c>
      <c r="F4068">
        <v>22561</v>
      </c>
      <c r="G4068">
        <v>20361</v>
      </c>
    </row>
    <row r="4069" spans="1:7">
      <c r="A4069" t="s">
        <v>1876</v>
      </c>
      <c r="B4069" t="s">
        <v>359</v>
      </c>
      <c r="C4069" t="s">
        <v>265</v>
      </c>
      <c r="D4069">
        <v>431115</v>
      </c>
      <c r="E4069">
        <v>447824</v>
      </c>
      <c r="F4069">
        <v>424274</v>
      </c>
      <c r="G4069">
        <v>425971</v>
      </c>
    </row>
    <row r="4070" spans="1:7">
      <c r="A4070" t="s">
        <v>1876</v>
      </c>
      <c r="B4070" t="s">
        <v>359</v>
      </c>
      <c r="C4070" t="s">
        <v>266</v>
      </c>
      <c r="D4070">
        <v>134.80000000000001</v>
      </c>
      <c r="E4070">
        <v>139.9</v>
      </c>
      <c r="F4070">
        <v>132</v>
      </c>
      <c r="G4070">
        <v>131.9</v>
      </c>
    </row>
    <row r="4071" spans="1:7">
      <c r="A4071" t="s">
        <v>1876</v>
      </c>
      <c r="B4071" t="s">
        <v>359</v>
      </c>
      <c r="C4071" t="s">
        <v>267</v>
      </c>
      <c r="D4071">
        <v>429694</v>
      </c>
      <c r="E4071">
        <v>446483</v>
      </c>
      <c r="F4071">
        <v>423423</v>
      </c>
      <c r="G4071">
        <v>425195</v>
      </c>
    </row>
    <row r="4072" spans="1:7">
      <c r="A4072" t="s">
        <v>1876</v>
      </c>
      <c r="B4072" t="s">
        <v>359</v>
      </c>
      <c r="C4072" t="s">
        <v>268</v>
      </c>
      <c r="D4072">
        <v>193</v>
      </c>
      <c r="E4072">
        <v>467</v>
      </c>
      <c r="F4072">
        <v>108</v>
      </c>
      <c r="G4072">
        <v>175</v>
      </c>
    </row>
    <row r="4073" spans="1:7">
      <c r="A4073" t="s">
        <v>1876</v>
      </c>
      <c r="B4073" t="s">
        <v>359</v>
      </c>
      <c r="C4073" t="s">
        <v>269</v>
      </c>
      <c r="D4073">
        <v>0</v>
      </c>
      <c r="E4073">
        <v>0</v>
      </c>
      <c r="F4073">
        <v>0</v>
      </c>
      <c r="G4073">
        <v>0</v>
      </c>
    </row>
    <row r="4074" spans="1:7">
      <c r="A4074" t="s">
        <v>1876</v>
      </c>
      <c r="B4074" t="s">
        <v>359</v>
      </c>
      <c r="C4074" t="s">
        <v>270</v>
      </c>
      <c r="D4074">
        <v>1123</v>
      </c>
      <c r="E4074">
        <v>427</v>
      </c>
      <c r="F4074">
        <v>640</v>
      </c>
      <c r="G4074">
        <v>282</v>
      </c>
    </row>
    <row r="4075" spans="1:7">
      <c r="A4075" t="s">
        <v>1876</v>
      </c>
      <c r="B4075" t="s">
        <v>359</v>
      </c>
      <c r="C4075" t="s">
        <v>271</v>
      </c>
      <c r="D4075">
        <v>1316</v>
      </c>
      <c r="E4075">
        <v>894</v>
      </c>
      <c r="F4075">
        <v>748</v>
      </c>
      <c r="G4075">
        <v>456</v>
      </c>
    </row>
    <row r="4076" spans="1:7">
      <c r="A4076" t="s">
        <v>1876</v>
      </c>
      <c r="B4076" t="s">
        <v>359</v>
      </c>
      <c r="C4076" t="s">
        <v>272</v>
      </c>
      <c r="D4076">
        <v>1316</v>
      </c>
      <c r="E4076">
        <v>894</v>
      </c>
      <c r="F4076">
        <v>748</v>
      </c>
      <c r="G4076">
        <v>456</v>
      </c>
    </row>
    <row r="4077" spans="1:7">
      <c r="A4077" t="s">
        <v>1876</v>
      </c>
      <c r="B4077" t="s">
        <v>359</v>
      </c>
      <c r="C4077" t="s">
        <v>1944</v>
      </c>
      <c r="D4077">
        <v>3.5</v>
      </c>
      <c r="E4077">
        <v>4.5</v>
      </c>
      <c r="F4077">
        <v>5.4</v>
      </c>
      <c r="G4077">
        <v>7</v>
      </c>
    </row>
    <row r="4078" spans="1:7">
      <c r="A4078" t="s">
        <v>1876</v>
      </c>
      <c r="B4078" t="s">
        <v>359</v>
      </c>
      <c r="C4078" t="s">
        <v>1945</v>
      </c>
      <c r="D4078">
        <v>7</v>
      </c>
      <c r="E4078">
        <v>10</v>
      </c>
      <c r="F4078">
        <v>16</v>
      </c>
      <c r="G4078">
        <v>19</v>
      </c>
    </row>
    <row r="4079" spans="1:7">
      <c r="A4079" t="s">
        <v>1876</v>
      </c>
      <c r="B4079" t="s">
        <v>359</v>
      </c>
      <c r="C4079" t="s">
        <v>273</v>
      </c>
      <c r="D4079">
        <v>0</v>
      </c>
      <c r="E4079">
        <v>0</v>
      </c>
      <c r="F4079">
        <v>0</v>
      </c>
      <c r="G4079">
        <v>0</v>
      </c>
    </row>
    <row r="4080" spans="1:7">
      <c r="A4080" t="s">
        <v>1876</v>
      </c>
      <c r="B4080" t="s">
        <v>359</v>
      </c>
      <c r="C4080" t="s">
        <v>1946</v>
      </c>
      <c r="D4080">
        <v>265428</v>
      </c>
      <c r="E4080">
        <v>266958</v>
      </c>
      <c r="F4080">
        <v>261542</v>
      </c>
      <c r="G4080">
        <v>265997</v>
      </c>
    </row>
    <row r="4081" spans="1:7">
      <c r="A4081" t="s">
        <v>1876</v>
      </c>
      <c r="B4081" t="s">
        <v>359</v>
      </c>
      <c r="C4081" t="s">
        <v>1947</v>
      </c>
      <c r="D4081">
        <v>10626</v>
      </c>
      <c r="E4081">
        <v>21727</v>
      </c>
      <c r="F4081">
        <v>10122</v>
      </c>
      <c r="G4081">
        <v>9438</v>
      </c>
    </row>
    <row r="4082" spans="1:7">
      <c r="A4082" t="s">
        <v>1876</v>
      </c>
      <c r="B4082" t="s">
        <v>359</v>
      </c>
      <c r="C4082" t="s">
        <v>1948</v>
      </c>
      <c r="D4082">
        <v>1421</v>
      </c>
      <c r="E4082">
        <v>1342</v>
      </c>
      <c r="F4082">
        <v>852</v>
      </c>
      <c r="G4082">
        <v>777</v>
      </c>
    </row>
    <row r="4083" spans="1:7">
      <c r="A4083" t="s">
        <v>1876</v>
      </c>
      <c r="B4083" t="s">
        <v>359</v>
      </c>
      <c r="C4083" t="s">
        <v>1949</v>
      </c>
      <c r="D4083">
        <v>109565</v>
      </c>
      <c r="E4083">
        <v>106178</v>
      </c>
      <c r="F4083">
        <v>105784</v>
      </c>
      <c r="G4083">
        <v>104270</v>
      </c>
    </row>
    <row r="4084" spans="1:7">
      <c r="A4084" t="s">
        <v>1876</v>
      </c>
      <c r="B4084" t="s">
        <v>359</v>
      </c>
      <c r="C4084" t="s">
        <v>1950</v>
      </c>
      <c r="D4084">
        <v>21402</v>
      </c>
      <c r="E4084">
        <v>27425</v>
      </c>
      <c r="F4084">
        <v>22561</v>
      </c>
      <c r="G4084">
        <v>20361</v>
      </c>
    </row>
    <row r="4085" spans="1:7">
      <c r="A4085" t="s">
        <v>1876</v>
      </c>
      <c r="B4085" t="s">
        <v>359</v>
      </c>
      <c r="C4085" t="s">
        <v>274</v>
      </c>
      <c r="D4085">
        <v>408442</v>
      </c>
      <c r="E4085">
        <v>423629</v>
      </c>
      <c r="F4085">
        <v>400860</v>
      </c>
      <c r="G4085">
        <v>400842</v>
      </c>
    </row>
    <row r="4086" spans="1:7">
      <c r="A4086" t="s">
        <v>1876</v>
      </c>
      <c r="B4086" t="s">
        <v>359</v>
      </c>
      <c r="C4086" t="s">
        <v>275</v>
      </c>
      <c r="D4086">
        <v>0</v>
      </c>
      <c r="E4086">
        <v>0</v>
      </c>
      <c r="F4086">
        <v>0</v>
      </c>
      <c r="G4086">
        <v>0</v>
      </c>
    </row>
    <row r="4087" spans="1:7">
      <c r="A4087" t="s">
        <v>1876</v>
      </c>
      <c r="B4087" t="s">
        <v>359</v>
      </c>
      <c r="C4087" t="s">
        <v>276</v>
      </c>
      <c r="D4087">
        <v>0</v>
      </c>
      <c r="E4087">
        <v>0</v>
      </c>
      <c r="F4087">
        <v>0</v>
      </c>
      <c r="G4087">
        <v>0</v>
      </c>
    </row>
    <row r="4088" spans="1:7">
      <c r="A4088" t="s">
        <v>1876</v>
      </c>
      <c r="B4088" t="s">
        <v>359</v>
      </c>
      <c r="C4088" t="s">
        <v>277</v>
      </c>
      <c r="D4088">
        <v>110</v>
      </c>
      <c r="E4088">
        <v>123</v>
      </c>
      <c r="F4088">
        <v>94</v>
      </c>
      <c r="G4088">
        <v>77</v>
      </c>
    </row>
    <row r="4089" spans="1:7">
      <c r="A4089" t="s">
        <v>1876</v>
      </c>
      <c r="B4089" t="s">
        <v>359</v>
      </c>
      <c r="C4089" t="s">
        <v>278</v>
      </c>
      <c r="D4089">
        <v>2833</v>
      </c>
      <c r="E4089">
        <v>2566</v>
      </c>
      <c r="F4089">
        <v>2436</v>
      </c>
      <c r="G4089">
        <v>2341</v>
      </c>
    </row>
    <row r="4090" spans="1:7">
      <c r="A4090" t="s">
        <v>1876</v>
      </c>
      <c r="B4090" t="s">
        <v>359</v>
      </c>
      <c r="C4090" t="s">
        <v>279</v>
      </c>
      <c r="D4090">
        <v>20421</v>
      </c>
      <c r="E4090">
        <v>18448</v>
      </c>
      <c r="F4090">
        <v>17063</v>
      </c>
      <c r="G4090">
        <v>15982</v>
      </c>
    </row>
    <row r="4091" spans="1:7">
      <c r="A4091" t="s">
        <v>1876</v>
      </c>
      <c r="B4091" t="s">
        <v>359</v>
      </c>
      <c r="C4091" t="s">
        <v>280</v>
      </c>
      <c r="D4091">
        <v>20541</v>
      </c>
      <c r="E4091">
        <v>26494</v>
      </c>
      <c r="F4091">
        <v>21694</v>
      </c>
      <c r="G4091">
        <v>19580</v>
      </c>
    </row>
    <row r="4092" spans="1:7">
      <c r="A4092" t="s">
        <v>1876</v>
      </c>
      <c r="B4092" t="s">
        <v>359</v>
      </c>
      <c r="C4092" t="s">
        <v>281</v>
      </c>
      <c r="D4092">
        <v>43905</v>
      </c>
      <c r="E4092">
        <v>47631</v>
      </c>
      <c r="F4092">
        <v>41287</v>
      </c>
      <c r="G4092">
        <v>37980</v>
      </c>
    </row>
    <row r="4093" spans="1:7">
      <c r="A4093" t="s">
        <v>1876</v>
      </c>
      <c r="B4093" t="s">
        <v>359</v>
      </c>
      <c r="C4093" t="s">
        <v>282</v>
      </c>
      <c r="D4093">
        <v>43905</v>
      </c>
      <c r="E4093">
        <v>47631</v>
      </c>
      <c r="F4093">
        <v>41287</v>
      </c>
      <c r="G4093">
        <v>37980</v>
      </c>
    </row>
    <row r="4094" spans="1:7">
      <c r="A4094" t="s">
        <v>1876</v>
      </c>
      <c r="B4094" t="s">
        <v>359</v>
      </c>
      <c r="C4094" t="s">
        <v>283</v>
      </c>
      <c r="D4094">
        <v>0</v>
      </c>
      <c r="E4094">
        <v>0</v>
      </c>
      <c r="F4094">
        <v>0</v>
      </c>
      <c r="G4094">
        <v>0</v>
      </c>
    </row>
    <row r="4095" spans="1:7">
      <c r="A4095" t="s">
        <v>1876</v>
      </c>
      <c r="B4095" t="s">
        <v>359</v>
      </c>
      <c r="C4095" t="s">
        <v>284</v>
      </c>
      <c r="D4095">
        <v>0</v>
      </c>
      <c r="E4095">
        <v>0</v>
      </c>
      <c r="F4095">
        <v>0</v>
      </c>
      <c r="G4095">
        <v>0</v>
      </c>
    </row>
    <row r="4096" spans="1:7">
      <c r="A4096" t="s">
        <v>1876</v>
      </c>
      <c r="B4096" t="s">
        <v>359</v>
      </c>
      <c r="C4096" t="s">
        <v>1716</v>
      </c>
      <c r="D4096">
        <v>22104</v>
      </c>
      <c r="E4096">
        <v>22667</v>
      </c>
      <c r="F4096">
        <v>22869</v>
      </c>
      <c r="G4096">
        <v>24505</v>
      </c>
    </row>
    <row r="4097" spans="1:7">
      <c r="A4097" t="s">
        <v>1876</v>
      </c>
      <c r="B4097" t="s">
        <v>359</v>
      </c>
      <c r="C4097" t="s">
        <v>1717</v>
      </c>
      <c r="D4097">
        <v>3348</v>
      </c>
      <c r="E4097">
        <v>4077</v>
      </c>
      <c r="F4097">
        <v>3142</v>
      </c>
      <c r="G4097">
        <v>3357</v>
      </c>
    </row>
    <row r="4098" spans="1:7">
      <c r="A4098" t="s">
        <v>1876</v>
      </c>
      <c r="B4098" t="s">
        <v>359</v>
      </c>
      <c r="C4098" t="s">
        <v>1718</v>
      </c>
      <c r="D4098">
        <v>132469</v>
      </c>
      <c r="E4098">
        <v>162461</v>
      </c>
      <c r="F4098">
        <v>147941</v>
      </c>
      <c r="G4098">
        <v>158393</v>
      </c>
    </row>
    <row r="4099" spans="1:7">
      <c r="A4099" t="s">
        <v>1876</v>
      </c>
      <c r="B4099" t="s">
        <v>359</v>
      </c>
      <c r="C4099" t="s">
        <v>1719</v>
      </c>
      <c r="D4099">
        <v>12084</v>
      </c>
      <c r="E4099">
        <v>12869</v>
      </c>
      <c r="F4099">
        <v>13296</v>
      </c>
      <c r="G4099">
        <v>13772</v>
      </c>
    </row>
    <row r="4100" spans="1:7">
      <c r="A4100" t="s">
        <v>1876</v>
      </c>
      <c r="B4100" t="s">
        <v>359</v>
      </c>
      <c r="C4100" t="s">
        <v>1720</v>
      </c>
      <c r="D4100">
        <v>226492</v>
      </c>
      <c r="E4100">
        <v>227536</v>
      </c>
      <c r="F4100">
        <v>236590</v>
      </c>
      <c r="G4100">
        <v>248869</v>
      </c>
    </row>
    <row r="4101" spans="1:7">
      <c r="A4101" t="s">
        <v>1876</v>
      </c>
      <c r="B4101" t="s">
        <v>359</v>
      </c>
      <c r="C4101" t="s">
        <v>1721</v>
      </c>
      <c r="D4101">
        <v>5374</v>
      </c>
      <c r="E4101">
        <v>6745</v>
      </c>
      <c r="F4101">
        <v>5969</v>
      </c>
      <c r="G4101">
        <v>5290</v>
      </c>
    </row>
    <row r="4102" spans="1:7">
      <c r="A4102" t="s">
        <v>1876</v>
      </c>
      <c r="B4102" t="s">
        <v>359</v>
      </c>
      <c r="C4102" t="s">
        <v>285</v>
      </c>
      <c r="D4102">
        <v>389786</v>
      </c>
      <c r="E4102">
        <v>423485</v>
      </c>
      <c r="F4102">
        <v>416511</v>
      </c>
      <c r="G4102">
        <v>440414</v>
      </c>
    </row>
    <row r="4103" spans="1:7">
      <c r="A4103" t="s">
        <v>1876</v>
      </c>
      <c r="B4103" t="s">
        <v>359</v>
      </c>
      <c r="C4103" t="s">
        <v>1951</v>
      </c>
      <c r="D4103">
        <v>28.1</v>
      </c>
      <c r="E4103">
        <v>29.6</v>
      </c>
      <c r="F4103">
        <v>29.7</v>
      </c>
      <c r="G4103">
        <v>31.5</v>
      </c>
    </row>
    <row r="4104" spans="1:7">
      <c r="A4104" t="s">
        <v>1876</v>
      </c>
      <c r="B4104" t="s">
        <v>359</v>
      </c>
      <c r="C4104" t="s">
        <v>286</v>
      </c>
      <c r="D4104">
        <v>0</v>
      </c>
      <c r="E4104">
        <v>0</v>
      </c>
      <c r="F4104">
        <v>0</v>
      </c>
      <c r="G4104">
        <v>0</v>
      </c>
    </row>
    <row r="4105" spans="1:7">
      <c r="A4105" t="s">
        <v>1876</v>
      </c>
      <c r="B4105" t="s">
        <v>359</v>
      </c>
      <c r="C4105" t="s">
        <v>287</v>
      </c>
      <c r="D4105">
        <v>0</v>
      </c>
      <c r="E4105">
        <v>0</v>
      </c>
      <c r="F4105">
        <v>0</v>
      </c>
      <c r="G4105">
        <v>0</v>
      </c>
    </row>
    <row r="4106" spans="1:7">
      <c r="A4106" t="s">
        <v>1876</v>
      </c>
      <c r="B4106" t="s">
        <v>359</v>
      </c>
      <c r="C4106" t="s">
        <v>288</v>
      </c>
      <c r="D4106">
        <v>0</v>
      </c>
      <c r="E4106">
        <v>0</v>
      </c>
      <c r="F4106">
        <v>0</v>
      </c>
      <c r="G4106">
        <v>0</v>
      </c>
    </row>
    <row r="4107" spans="1:7">
      <c r="A4107" t="s">
        <v>1876</v>
      </c>
      <c r="B4107" t="s">
        <v>359</v>
      </c>
      <c r="C4107" t="s">
        <v>289</v>
      </c>
      <c r="D4107">
        <v>93</v>
      </c>
      <c r="E4107">
        <v>95</v>
      </c>
      <c r="F4107">
        <v>79</v>
      </c>
      <c r="G4107">
        <v>86</v>
      </c>
    </row>
    <row r="4108" spans="1:7">
      <c r="A4108" t="s">
        <v>1876</v>
      </c>
      <c r="B4108" t="s">
        <v>359</v>
      </c>
      <c r="C4108" t="s">
        <v>290</v>
      </c>
      <c r="D4108">
        <v>93</v>
      </c>
      <c r="E4108">
        <v>95</v>
      </c>
      <c r="F4108">
        <v>79</v>
      </c>
      <c r="G4108">
        <v>86</v>
      </c>
    </row>
    <row r="4109" spans="1:7">
      <c r="A4109" t="s">
        <v>1876</v>
      </c>
      <c r="B4109" t="s">
        <v>359</v>
      </c>
      <c r="C4109" t="s">
        <v>291</v>
      </c>
      <c r="D4109">
        <v>93</v>
      </c>
      <c r="E4109">
        <v>95</v>
      </c>
      <c r="F4109">
        <v>79</v>
      </c>
      <c r="G4109">
        <v>86</v>
      </c>
    </row>
    <row r="4110" spans="1:7">
      <c r="A4110" t="s">
        <v>1876</v>
      </c>
      <c r="B4110" t="s">
        <v>359</v>
      </c>
      <c r="C4110" t="s">
        <v>292</v>
      </c>
      <c r="D4110">
        <v>4562</v>
      </c>
      <c r="E4110">
        <v>4549</v>
      </c>
      <c r="F4110">
        <v>3175</v>
      </c>
      <c r="G4110">
        <v>3430</v>
      </c>
    </row>
    <row r="4111" spans="1:7">
      <c r="A4111" t="s">
        <v>1876</v>
      </c>
      <c r="B4111" t="s">
        <v>359</v>
      </c>
      <c r="C4111" t="s">
        <v>293</v>
      </c>
      <c r="D4111">
        <v>3845</v>
      </c>
      <c r="E4111">
        <v>4331</v>
      </c>
      <c r="F4111">
        <v>4091</v>
      </c>
      <c r="G4111">
        <v>4436</v>
      </c>
    </row>
    <row r="4112" spans="1:7">
      <c r="A4112" t="s">
        <v>1876</v>
      </c>
      <c r="B4112" t="s">
        <v>359</v>
      </c>
      <c r="C4112" t="s">
        <v>294</v>
      </c>
      <c r="D4112">
        <v>20407</v>
      </c>
      <c r="E4112">
        <v>19278</v>
      </c>
      <c r="F4112">
        <v>15269</v>
      </c>
      <c r="G4112">
        <v>17988</v>
      </c>
    </row>
    <row r="4113" spans="1:7">
      <c r="A4113" t="s">
        <v>1876</v>
      </c>
      <c r="B4113" t="s">
        <v>359</v>
      </c>
      <c r="C4113" t="s">
        <v>295</v>
      </c>
      <c r="D4113">
        <v>5537</v>
      </c>
      <c r="E4113">
        <v>5554</v>
      </c>
      <c r="F4113">
        <v>3630</v>
      </c>
      <c r="G4113">
        <v>3902</v>
      </c>
    </row>
    <row r="4114" spans="1:7">
      <c r="A4114" t="s">
        <v>1876</v>
      </c>
      <c r="B4114" t="s">
        <v>359</v>
      </c>
      <c r="C4114" t="s">
        <v>296</v>
      </c>
      <c r="D4114">
        <v>34351</v>
      </c>
      <c r="E4114">
        <v>33712</v>
      </c>
      <c r="F4114">
        <v>26165</v>
      </c>
      <c r="G4114">
        <v>29756</v>
      </c>
    </row>
    <row r="4115" spans="1:7">
      <c r="A4115" t="s">
        <v>1876</v>
      </c>
      <c r="B4115" t="s">
        <v>359</v>
      </c>
      <c r="C4115" t="s">
        <v>297</v>
      </c>
      <c r="D4115">
        <v>0</v>
      </c>
      <c r="E4115">
        <v>0</v>
      </c>
      <c r="F4115">
        <v>0</v>
      </c>
      <c r="G4115">
        <v>0</v>
      </c>
    </row>
    <row r="4116" spans="1:7">
      <c r="A4116" t="s">
        <v>1876</v>
      </c>
      <c r="B4116" t="s">
        <v>359</v>
      </c>
      <c r="C4116" t="s">
        <v>1952</v>
      </c>
      <c r="D4116">
        <v>0</v>
      </c>
      <c r="E4116">
        <v>0</v>
      </c>
      <c r="F4116">
        <v>0</v>
      </c>
      <c r="G4116">
        <v>0</v>
      </c>
    </row>
    <row r="4117" spans="1:7">
      <c r="A4117" t="s">
        <v>1876</v>
      </c>
      <c r="B4117" t="s">
        <v>359</v>
      </c>
      <c r="C4117" t="s">
        <v>298</v>
      </c>
      <c r="D4117">
        <v>975</v>
      </c>
      <c r="E4117">
        <v>1075</v>
      </c>
      <c r="F4117">
        <v>1076</v>
      </c>
      <c r="G4117">
        <v>941</v>
      </c>
    </row>
    <row r="4118" spans="1:7">
      <c r="A4118" t="s">
        <v>1876</v>
      </c>
      <c r="B4118" t="s">
        <v>359</v>
      </c>
      <c r="C4118" t="s">
        <v>299</v>
      </c>
      <c r="D4118">
        <v>499</v>
      </c>
      <c r="E4118">
        <v>589</v>
      </c>
      <c r="F4118">
        <v>681</v>
      </c>
      <c r="G4118">
        <v>826</v>
      </c>
    </row>
    <row r="4119" spans="1:7">
      <c r="A4119" t="s">
        <v>1876</v>
      </c>
      <c r="B4119" t="s">
        <v>359</v>
      </c>
      <c r="C4119" t="s">
        <v>300</v>
      </c>
      <c r="D4119">
        <v>767</v>
      </c>
      <c r="E4119">
        <v>1316</v>
      </c>
      <c r="F4119">
        <v>1779</v>
      </c>
      <c r="G4119">
        <v>2264</v>
      </c>
    </row>
    <row r="4120" spans="1:7">
      <c r="A4120" t="s">
        <v>1876</v>
      </c>
      <c r="B4120" t="s">
        <v>359</v>
      </c>
      <c r="C4120" t="s">
        <v>1722</v>
      </c>
      <c r="D4120">
        <v>118</v>
      </c>
      <c r="E4120">
        <v>261</v>
      </c>
      <c r="F4120">
        <v>262</v>
      </c>
      <c r="G4120">
        <v>676</v>
      </c>
    </row>
    <row r="4121" spans="1:7">
      <c r="A4121" t="s">
        <v>1876</v>
      </c>
      <c r="B4121" t="s">
        <v>359</v>
      </c>
      <c r="C4121" t="s">
        <v>301</v>
      </c>
      <c r="D4121">
        <v>31</v>
      </c>
      <c r="E4121">
        <v>42</v>
      </c>
      <c r="F4121">
        <v>52</v>
      </c>
      <c r="G4121">
        <v>63</v>
      </c>
    </row>
    <row r="4122" spans="1:7">
      <c r="A4122" t="s">
        <v>1876</v>
      </c>
      <c r="B4122" t="s">
        <v>359</v>
      </c>
      <c r="C4122" t="s">
        <v>302</v>
      </c>
      <c r="D4122">
        <v>349</v>
      </c>
      <c r="E4122">
        <v>457</v>
      </c>
      <c r="F4122">
        <v>634</v>
      </c>
      <c r="G4122">
        <v>779</v>
      </c>
    </row>
    <row r="4123" spans="1:7">
      <c r="A4123" t="s">
        <v>1876</v>
      </c>
      <c r="B4123" t="s">
        <v>359</v>
      </c>
      <c r="C4123" t="s">
        <v>303</v>
      </c>
      <c r="D4123">
        <v>1646</v>
      </c>
      <c r="E4123">
        <v>2403</v>
      </c>
      <c r="F4123">
        <v>3145</v>
      </c>
      <c r="G4123">
        <v>3932</v>
      </c>
    </row>
    <row r="4124" spans="1:7">
      <c r="A4124" t="s">
        <v>1876</v>
      </c>
      <c r="B4124" t="s">
        <v>359</v>
      </c>
      <c r="C4124" t="s">
        <v>304</v>
      </c>
      <c r="D4124">
        <v>879</v>
      </c>
      <c r="E4124">
        <v>1087</v>
      </c>
      <c r="F4124">
        <v>1366</v>
      </c>
      <c r="G4124">
        <v>1668</v>
      </c>
    </row>
    <row r="4125" spans="1:7">
      <c r="A4125" t="s">
        <v>1876</v>
      </c>
      <c r="B4125" t="s">
        <v>359</v>
      </c>
      <c r="C4125" t="s">
        <v>1953</v>
      </c>
      <c r="D4125">
        <v>23.1</v>
      </c>
      <c r="E4125">
        <v>21.4</v>
      </c>
      <c r="F4125">
        <v>22.7</v>
      </c>
      <c r="G4125">
        <v>22.2</v>
      </c>
    </row>
    <row r="4126" spans="1:7">
      <c r="A4126" t="s">
        <v>1876</v>
      </c>
      <c r="B4126" t="s">
        <v>359</v>
      </c>
      <c r="C4126" t="s">
        <v>305</v>
      </c>
      <c r="D4126">
        <v>295630</v>
      </c>
      <c r="E4126">
        <v>299296</v>
      </c>
      <c r="F4126">
        <v>293248</v>
      </c>
      <c r="G4126">
        <v>300391</v>
      </c>
    </row>
    <row r="4127" spans="1:7">
      <c r="A4127" t="s">
        <v>1876</v>
      </c>
      <c r="B4127" t="s">
        <v>359</v>
      </c>
      <c r="C4127" t="s">
        <v>306</v>
      </c>
      <c r="D4127">
        <v>92.4</v>
      </c>
      <c r="E4127">
        <v>93.5</v>
      </c>
      <c r="F4127">
        <v>91.2</v>
      </c>
      <c r="G4127">
        <v>93</v>
      </c>
    </row>
    <row r="4128" spans="1:7">
      <c r="A4128" t="s">
        <v>1876</v>
      </c>
      <c r="B4128" t="s">
        <v>359</v>
      </c>
      <c r="C4128" t="s">
        <v>307</v>
      </c>
      <c r="D4128">
        <v>143924</v>
      </c>
      <c r="E4128">
        <v>159006</v>
      </c>
      <c r="F4128">
        <v>140482</v>
      </c>
      <c r="G4128">
        <v>133505</v>
      </c>
    </row>
    <row r="4129" spans="1:7">
      <c r="A4129" t="s">
        <v>1876</v>
      </c>
      <c r="B4129" t="s">
        <v>359</v>
      </c>
      <c r="C4129" t="s">
        <v>308</v>
      </c>
      <c r="D4129">
        <v>45</v>
      </c>
      <c r="E4129">
        <v>49.7</v>
      </c>
      <c r="F4129">
        <v>43.7</v>
      </c>
      <c r="G4129">
        <v>41.3</v>
      </c>
    </row>
    <row r="4130" spans="1:7">
      <c r="A4130" t="s">
        <v>1876</v>
      </c>
      <c r="B4130" t="s">
        <v>359</v>
      </c>
      <c r="C4130" t="s">
        <v>309</v>
      </c>
      <c r="D4130">
        <v>401197</v>
      </c>
      <c r="E4130">
        <v>401837</v>
      </c>
      <c r="F4130">
        <v>380221</v>
      </c>
      <c r="G4130">
        <v>363712</v>
      </c>
    </row>
    <row r="4131" spans="1:7">
      <c r="A4131" t="s">
        <v>1876</v>
      </c>
      <c r="B4131" t="s">
        <v>359</v>
      </c>
      <c r="C4131" t="s">
        <v>310</v>
      </c>
      <c r="D4131">
        <v>764671</v>
      </c>
      <c r="E4131">
        <v>776181</v>
      </c>
      <c r="F4131">
        <v>794931</v>
      </c>
      <c r="G4131">
        <v>802678</v>
      </c>
    </row>
    <row r="4132" spans="1:7">
      <c r="A4132" t="s">
        <v>1876</v>
      </c>
      <c r="B4132" t="s">
        <v>359</v>
      </c>
      <c r="C4132" t="s">
        <v>311</v>
      </c>
      <c r="D4132">
        <v>239</v>
      </c>
      <c r="E4132">
        <v>242.4</v>
      </c>
      <c r="F4132">
        <v>247.3</v>
      </c>
      <c r="G4132">
        <v>248.5</v>
      </c>
    </row>
    <row r="4133" spans="1:7">
      <c r="A4133" t="s">
        <v>1876</v>
      </c>
      <c r="B4133" t="s">
        <v>359</v>
      </c>
      <c r="C4133" t="s">
        <v>312</v>
      </c>
      <c r="D4133">
        <v>181771</v>
      </c>
      <c r="E4133">
        <v>194137</v>
      </c>
      <c r="F4133">
        <v>174604</v>
      </c>
      <c r="G4133">
        <v>162000</v>
      </c>
    </row>
    <row r="4134" spans="1:7">
      <c r="A4134" t="s">
        <v>1876</v>
      </c>
      <c r="B4134" t="s">
        <v>359</v>
      </c>
      <c r="C4134" t="s">
        <v>313</v>
      </c>
      <c r="D4134">
        <v>56.8</v>
      </c>
      <c r="E4134">
        <v>60.6</v>
      </c>
      <c r="F4134">
        <v>54.3</v>
      </c>
      <c r="G4134">
        <v>50.1</v>
      </c>
    </row>
    <row r="4135" spans="1:7">
      <c r="A4135" t="s">
        <v>1876</v>
      </c>
      <c r="B4135" t="s">
        <v>359</v>
      </c>
      <c r="C4135" t="s">
        <v>314</v>
      </c>
      <c r="D4135">
        <v>1385997</v>
      </c>
      <c r="E4135">
        <v>1428619</v>
      </c>
      <c r="F4135">
        <v>1403266</v>
      </c>
      <c r="G4135">
        <v>1398574</v>
      </c>
    </row>
    <row r="4136" spans="1:7">
      <c r="A4136" t="s">
        <v>1876</v>
      </c>
      <c r="B4136" t="s">
        <v>359</v>
      </c>
      <c r="C4136" t="s">
        <v>315</v>
      </c>
      <c r="D4136">
        <v>6.85</v>
      </c>
      <c r="E4136">
        <v>7.05</v>
      </c>
      <c r="F4136">
        <v>6.97</v>
      </c>
      <c r="G4136">
        <v>6.77</v>
      </c>
    </row>
    <row r="4137" spans="1:7">
      <c r="A4137" t="s">
        <v>1876</v>
      </c>
      <c r="B4137" t="s">
        <v>359</v>
      </c>
      <c r="C4137" t="s">
        <v>316</v>
      </c>
      <c r="D4137">
        <v>433.3</v>
      </c>
      <c r="E4137">
        <v>446.2</v>
      </c>
      <c r="F4137">
        <v>436.5</v>
      </c>
      <c r="G4137">
        <v>432.9</v>
      </c>
    </row>
    <row r="4138" spans="1:7">
      <c r="A4138" t="s">
        <v>1876</v>
      </c>
      <c r="B4138" t="s">
        <v>359</v>
      </c>
      <c r="C4138" t="s">
        <v>317</v>
      </c>
      <c r="D4138">
        <v>1385996</v>
      </c>
      <c r="E4138">
        <v>1428619</v>
      </c>
      <c r="F4138">
        <v>1403265</v>
      </c>
      <c r="G4138">
        <v>1398574</v>
      </c>
    </row>
    <row r="4139" spans="1:7">
      <c r="A4139" t="s">
        <v>1876</v>
      </c>
      <c r="B4139" t="s">
        <v>359</v>
      </c>
      <c r="C4139" t="s">
        <v>318</v>
      </c>
      <c r="D4139">
        <v>295630</v>
      </c>
      <c r="E4139">
        <v>299296</v>
      </c>
      <c r="F4139">
        <v>293248</v>
      </c>
      <c r="G4139">
        <v>300391</v>
      </c>
    </row>
    <row r="4140" spans="1:7">
      <c r="A4140" t="s">
        <v>1876</v>
      </c>
      <c r="B4140" t="s">
        <v>359</v>
      </c>
      <c r="C4140" t="s">
        <v>319</v>
      </c>
      <c r="D4140">
        <v>107066</v>
      </c>
      <c r="E4140">
        <v>127682</v>
      </c>
      <c r="F4140">
        <v>109682</v>
      </c>
      <c r="G4140">
        <v>105676</v>
      </c>
    </row>
    <row r="4141" spans="1:7">
      <c r="A4141" t="s">
        <v>1876</v>
      </c>
      <c r="B4141" t="s">
        <v>359</v>
      </c>
      <c r="C4141" t="s">
        <v>320</v>
      </c>
      <c r="D4141">
        <v>685379</v>
      </c>
      <c r="E4141">
        <v>709511</v>
      </c>
      <c r="F4141">
        <v>728406</v>
      </c>
      <c r="G4141">
        <v>742641</v>
      </c>
    </row>
    <row r="4142" spans="1:7">
      <c r="A4142" t="s">
        <v>1876</v>
      </c>
      <c r="B4142" t="s">
        <v>359</v>
      </c>
      <c r="C4142" t="s">
        <v>321</v>
      </c>
      <c r="D4142">
        <v>137270</v>
      </c>
      <c r="E4142">
        <v>155973</v>
      </c>
      <c r="F4142">
        <v>138963</v>
      </c>
      <c r="G4142">
        <v>130580</v>
      </c>
    </row>
    <row r="4143" spans="1:7">
      <c r="A4143" t="s">
        <v>1876</v>
      </c>
      <c r="B4143" t="s">
        <v>359</v>
      </c>
      <c r="C4143" t="s">
        <v>1954</v>
      </c>
      <c r="D4143">
        <v>1225345</v>
      </c>
      <c r="E4143">
        <v>1292461</v>
      </c>
      <c r="F4143">
        <v>1270300</v>
      </c>
      <c r="G4143">
        <v>1279289</v>
      </c>
    </row>
    <row r="4144" spans="1:7">
      <c r="A4144" t="s">
        <v>1876</v>
      </c>
      <c r="B4144" t="s">
        <v>359</v>
      </c>
      <c r="C4144" t="s">
        <v>323</v>
      </c>
      <c r="D4144">
        <v>3199</v>
      </c>
      <c r="E4144">
        <v>3202</v>
      </c>
      <c r="F4144">
        <v>3215</v>
      </c>
      <c r="G4144">
        <v>3230</v>
      </c>
    </row>
    <row r="4145" spans="1:7">
      <c r="A4145" t="s">
        <v>1876</v>
      </c>
      <c r="B4145" t="s">
        <v>359</v>
      </c>
      <c r="C4145" t="s">
        <v>324</v>
      </c>
      <c r="D4145">
        <v>0</v>
      </c>
      <c r="E4145">
        <v>0</v>
      </c>
      <c r="F4145">
        <v>0</v>
      </c>
      <c r="G4145">
        <v>0</v>
      </c>
    </row>
    <row r="4146" spans="1:7">
      <c r="A4146" t="s">
        <v>1876</v>
      </c>
      <c r="B4146" t="s">
        <v>359</v>
      </c>
      <c r="C4146" t="s">
        <v>325</v>
      </c>
      <c r="D4146">
        <v>0</v>
      </c>
      <c r="E4146">
        <v>0</v>
      </c>
      <c r="F4146">
        <v>0</v>
      </c>
      <c r="G4146">
        <v>0</v>
      </c>
    </row>
    <row r="4147" spans="1:7">
      <c r="A4147" t="s">
        <v>1876</v>
      </c>
      <c r="B4147" t="s">
        <v>359</v>
      </c>
      <c r="C4147" t="s">
        <v>326</v>
      </c>
      <c r="D4147">
        <v>1341</v>
      </c>
      <c r="E4147">
        <v>1209</v>
      </c>
      <c r="F4147">
        <v>1284</v>
      </c>
      <c r="G4147">
        <v>1206</v>
      </c>
    </row>
    <row r="4148" spans="1:7">
      <c r="A4148" t="s">
        <v>1876</v>
      </c>
      <c r="B4148" t="s">
        <v>359</v>
      </c>
      <c r="C4148" t="s">
        <v>327</v>
      </c>
      <c r="D4148">
        <v>0</v>
      </c>
      <c r="E4148">
        <v>0</v>
      </c>
      <c r="F4148">
        <v>0</v>
      </c>
      <c r="G4148">
        <v>0</v>
      </c>
    </row>
    <row r="4149" spans="1:7">
      <c r="A4149" t="s">
        <v>1876</v>
      </c>
      <c r="B4149" t="s">
        <v>359</v>
      </c>
      <c r="C4149" t="s">
        <v>1723</v>
      </c>
      <c r="D4149">
        <v>0</v>
      </c>
      <c r="E4149">
        <v>0</v>
      </c>
      <c r="F4149">
        <v>0</v>
      </c>
      <c r="G4149">
        <v>0</v>
      </c>
    </row>
    <row r="4150" spans="1:7">
      <c r="A4150" t="s">
        <v>1876</v>
      </c>
      <c r="B4150" t="s">
        <v>359</v>
      </c>
      <c r="C4150" t="s">
        <v>328</v>
      </c>
      <c r="D4150">
        <v>1226</v>
      </c>
      <c r="E4150">
        <v>3585</v>
      </c>
      <c r="F4150">
        <v>3585</v>
      </c>
      <c r="G4150">
        <v>3585</v>
      </c>
    </row>
    <row r="4151" spans="1:7">
      <c r="A4151" t="s">
        <v>1876</v>
      </c>
      <c r="B4151" t="s">
        <v>359</v>
      </c>
      <c r="C4151" t="s">
        <v>329</v>
      </c>
      <c r="D4151">
        <v>4488</v>
      </c>
      <c r="E4151">
        <v>5750</v>
      </c>
      <c r="F4151">
        <v>4797</v>
      </c>
      <c r="G4151">
        <v>3973</v>
      </c>
    </row>
    <row r="4152" spans="1:7">
      <c r="A4152" t="s">
        <v>1876</v>
      </c>
      <c r="B4152" t="s">
        <v>359</v>
      </c>
      <c r="C4152" t="s">
        <v>330</v>
      </c>
      <c r="D4152">
        <v>7056</v>
      </c>
      <c r="E4152">
        <v>10545</v>
      </c>
      <c r="F4152">
        <v>9666</v>
      </c>
      <c r="G4152">
        <v>8765</v>
      </c>
    </row>
    <row r="4153" spans="1:7">
      <c r="A4153" t="s">
        <v>1876</v>
      </c>
      <c r="B4153" t="s">
        <v>359</v>
      </c>
      <c r="C4153" t="s">
        <v>331</v>
      </c>
      <c r="D4153">
        <v>518</v>
      </c>
      <c r="E4153">
        <v>340</v>
      </c>
      <c r="F4153">
        <v>183</v>
      </c>
      <c r="G4153">
        <v>360</v>
      </c>
    </row>
    <row r="4154" spans="1:7">
      <c r="A4154" t="s">
        <v>1876</v>
      </c>
      <c r="B4154" t="s">
        <v>359</v>
      </c>
      <c r="C4154" t="s">
        <v>332</v>
      </c>
      <c r="D4154">
        <v>1790</v>
      </c>
      <c r="E4154">
        <v>1577</v>
      </c>
      <c r="F4154">
        <v>1544</v>
      </c>
      <c r="G4154">
        <v>1547</v>
      </c>
    </row>
    <row r="4155" spans="1:7">
      <c r="A4155" t="s">
        <v>1876</v>
      </c>
      <c r="B4155" t="s">
        <v>359</v>
      </c>
      <c r="C4155" t="s">
        <v>1724</v>
      </c>
      <c r="D4155">
        <v>21</v>
      </c>
      <c r="E4155">
        <v>21</v>
      </c>
      <c r="F4155">
        <v>21</v>
      </c>
      <c r="G4155">
        <v>21</v>
      </c>
    </row>
    <row r="4156" spans="1:7">
      <c r="A4156" t="s">
        <v>1876</v>
      </c>
      <c r="B4156" t="s">
        <v>359</v>
      </c>
      <c r="C4156" t="s">
        <v>333</v>
      </c>
      <c r="D4156">
        <v>9994</v>
      </c>
      <c r="E4156">
        <v>12527</v>
      </c>
      <c r="F4156">
        <v>12665</v>
      </c>
      <c r="G4156">
        <v>13248</v>
      </c>
    </row>
    <row r="4157" spans="1:7">
      <c r="A4157" t="s">
        <v>1876</v>
      </c>
      <c r="B4157" t="s">
        <v>359</v>
      </c>
      <c r="C4157" t="s">
        <v>334</v>
      </c>
      <c r="D4157">
        <v>12302</v>
      </c>
      <c r="E4157">
        <v>14445</v>
      </c>
      <c r="F4157">
        <v>14391</v>
      </c>
      <c r="G4157">
        <v>15155</v>
      </c>
    </row>
    <row r="4158" spans="1:7">
      <c r="A4158" t="s">
        <v>1876</v>
      </c>
      <c r="B4158" t="s">
        <v>359</v>
      </c>
      <c r="C4158" t="s">
        <v>335</v>
      </c>
      <c r="D4158">
        <v>1860</v>
      </c>
      <c r="E4158">
        <v>1549</v>
      </c>
      <c r="F4158">
        <v>1466</v>
      </c>
      <c r="G4158">
        <v>1566</v>
      </c>
    </row>
    <row r="4159" spans="1:7">
      <c r="A4159" t="s">
        <v>1876</v>
      </c>
      <c r="B4159" t="s">
        <v>359</v>
      </c>
      <c r="C4159" t="s">
        <v>336</v>
      </c>
      <c r="D4159">
        <v>1790</v>
      </c>
      <c r="E4159">
        <v>1577</v>
      </c>
      <c r="F4159">
        <v>1544</v>
      </c>
      <c r="G4159">
        <v>1547</v>
      </c>
    </row>
    <row r="4160" spans="1:7">
      <c r="A4160" t="s">
        <v>1876</v>
      </c>
      <c r="B4160" t="s">
        <v>359</v>
      </c>
      <c r="C4160" t="s">
        <v>337</v>
      </c>
      <c r="D4160">
        <v>11221</v>
      </c>
      <c r="E4160">
        <v>16113</v>
      </c>
      <c r="F4160">
        <v>16250</v>
      </c>
      <c r="G4160">
        <v>16833</v>
      </c>
    </row>
    <row r="4161" spans="1:7">
      <c r="A4161" t="s">
        <v>1876</v>
      </c>
      <c r="B4161" t="s">
        <v>359</v>
      </c>
      <c r="C4161" t="s">
        <v>338</v>
      </c>
      <c r="D4161">
        <v>19358</v>
      </c>
      <c r="E4161">
        <v>24990</v>
      </c>
      <c r="F4161">
        <v>24057</v>
      </c>
      <c r="G4161">
        <v>23920</v>
      </c>
    </row>
    <row r="4162" spans="1:7">
      <c r="A4162" t="s">
        <v>1876</v>
      </c>
      <c r="B4162" t="s">
        <v>359</v>
      </c>
      <c r="C4162" t="s">
        <v>339</v>
      </c>
      <c r="D4162">
        <v>17569</v>
      </c>
      <c r="E4162">
        <v>23412</v>
      </c>
      <c r="F4162">
        <v>22513</v>
      </c>
      <c r="G4162">
        <v>22372</v>
      </c>
    </row>
    <row r="4163" spans="1:7">
      <c r="A4163" t="s">
        <v>1876</v>
      </c>
      <c r="B4163" t="s">
        <v>359</v>
      </c>
      <c r="C4163" t="s">
        <v>340</v>
      </c>
      <c r="D4163">
        <v>141</v>
      </c>
      <c r="E4163">
        <v>189</v>
      </c>
      <c r="F4163">
        <v>131</v>
      </c>
      <c r="G4163">
        <v>161</v>
      </c>
    </row>
    <row r="4164" spans="1:7">
      <c r="A4164" t="s">
        <v>1876</v>
      </c>
      <c r="B4164" t="s">
        <v>359</v>
      </c>
      <c r="C4164" t="s">
        <v>1955</v>
      </c>
      <c r="D4164">
        <v>36.6</v>
      </c>
      <c r="E4164">
        <v>43.2</v>
      </c>
      <c r="F4164">
        <v>37.6</v>
      </c>
      <c r="G4164">
        <v>39.299999999999997</v>
      </c>
    </row>
    <row r="4165" spans="1:7">
      <c r="A4165" t="s">
        <v>1876</v>
      </c>
      <c r="B4165" t="s">
        <v>359</v>
      </c>
      <c r="C4165" t="s">
        <v>341</v>
      </c>
      <c r="D4165">
        <v>12</v>
      </c>
      <c r="E4165">
        <v>16</v>
      </c>
      <c r="F4165">
        <v>8</v>
      </c>
      <c r="G4165">
        <v>7</v>
      </c>
    </row>
    <row r="4166" spans="1:7">
      <c r="A4166" t="s">
        <v>1876</v>
      </c>
      <c r="B4166" t="s">
        <v>359</v>
      </c>
      <c r="C4166" t="s">
        <v>342</v>
      </c>
      <c r="D4166">
        <v>126568</v>
      </c>
      <c r="E4166">
        <v>156122</v>
      </c>
      <c r="F4166">
        <v>141384</v>
      </c>
      <c r="G4166">
        <v>151067</v>
      </c>
    </row>
    <row r="4167" spans="1:7">
      <c r="A4167" t="s">
        <v>1876</v>
      </c>
      <c r="B4167" t="s">
        <v>359</v>
      </c>
      <c r="C4167" t="s">
        <v>1725</v>
      </c>
      <c r="D4167">
        <v>11740</v>
      </c>
      <c r="E4167">
        <v>12379</v>
      </c>
      <c r="F4167">
        <v>12804</v>
      </c>
      <c r="G4167">
        <v>12866</v>
      </c>
    </row>
    <row r="4168" spans="1:7">
      <c r="A4168" t="s">
        <v>1876</v>
      </c>
      <c r="B4168" t="s">
        <v>359</v>
      </c>
      <c r="C4168" t="s">
        <v>343</v>
      </c>
      <c r="D4168">
        <v>0</v>
      </c>
      <c r="E4168">
        <v>0</v>
      </c>
      <c r="F4168">
        <v>0</v>
      </c>
      <c r="G4168">
        <v>0</v>
      </c>
    </row>
    <row r="4169" spans="1:7">
      <c r="A4169" t="s">
        <v>1876</v>
      </c>
      <c r="B4169" t="s">
        <v>359</v>
      </c>
      <c r="C4169" t="s">
        <v>344</v>
      </c>
      <c r="D4169">
        <v>126579</v>
      </c>
      <c r="E4169">
        <v>156138</v>
      </c>
      <c r="F4169">
        <v>141392</v>
      </c>
      <c r="G4169">
        <v>151074</v>
      </c>
    </row>
    <row r="4170" spans="1:7">
      <c r="A4170" t="s">
        <v>1876</v>
      </c>
      <c r="B4170" t="s">
        <v>359</v>
      </c>
      <c r="C4170" t="s">
        <v>345</v>
      </c>
      <c r="D4170">
        <v>12</v>
      </c>
      <c r="E4170">
        <v>16</v>
      </c>
      <c r="F4170">
        <v>8</v>
      </c>
      <c r="G4170">
        <v>7</v>
      </c>
    </row>
    <row r="4171" spans="1:7">
      <c r="A4171" t="s">
        <v>1876</v>
      </c>
      <c r="B4171" t="s">
        <v>359</v>
      </c>
      <c r="C4171" t="s">
        <v>1956</v>
      </c>
      <c r="D4171">
        <v>1790</v>
      </c>
      <c r="E4171">
        <v>1577</v>
      </c>
      <c r="F4171">
        <v>1544</v>
      </c>
      <c r="G4171">
        <v>1547</v>
      </c>
    </row>
    <row r="4172" spans="1:7">
      <c r="A4172" t="s">
        <v>1876</v>
      </c>
      <c r="B4172" t="s">
        <v>359</v>
      </c>
      <c r="C4172" t="s">
        <v>1957</v>
      </c>
      <c r="D4172">
        <v>12302</v>
      </c>
      <c r="E4172">
        <v>14445</v>
      </c>
      <c r="F4172">
        <v>14391</v>
      </c>
      <c r="G4172">
        <v>15155</v>
      </c>
    </row>
    <row r="4173" spans="1:7">
      <c r="A4173" t="s">
        <v>1876</v>
      </c>
      <c r="B4173" t="s">
        <v>359</v>
      </c>
      <c r="C4173" t="s">
        <v>346</v>
      </c>
      <c r="D4173">
        <v>977</v>
      </c>
      <c r="E4173">
        <v>902</v>
      </c>
      <c r="F4173">
        <v>907</v>
      </c>
      <c r="G4173">
        <v>895</v>
      </c>
    </row>
    <row r="4174" spans="1:7">
      <c r="A4174" t="s">
        <v>1876</v>
      </c>
      <c r="B4174" t="s">
        <v>359</v>
      </c>
      <c r="C4174" t="s">
        <v>347</v>
      </c>
      <c r="D4174">
        <v>6352</v>
      </c>
      <c r="E4174">
        <v>7209</v>
      </c>
      <c r="F4174">
        <v>6068</v>
      </c>
      <c r="G4174">
        <v>5748</v>
      </c>
    </row>
    <row r="4175" spans="1:7">
      <c r="A4175" t="s">
        <v>1876</v>
      </c>
      <c r="B4175" t="s">
        <v>360</v>
      </c>
      <c r="C4175" t="s">
        <v>133</v>
      </c>
      <c r="D4175">
        <v>0</v>
      </c>
      <c r="E4175">
        <v>0</v>
      </c>
      <c r="F4175">
        <v>0</v>
      </c>
      <c r="G4175">
        <v>0</v>
      </c>
    </row>
    <row r="4176" spans="1:7">
      <c r="A4176" t="s">
        <v>1876</v>
      </c>
      <c r="B4176" t="s">
        <v>360</v>
      </c>
      <c r="C4176" t="s">
        <v>134</v>
      </c>
      <c r="D4176">
        <v>5870</v>
      </c>
      <c r="E4176">
        <v>5350</v>
      </c>
      <c r="F4176">
        <v>5466</v>
      </c>
      <c r="G4176">
        <v>5990</v>
      </c>
    </row>
    <row r="4177" spans="1:7">
      <c r="A4177" t="s">
        <v>1876</v>
      </c>
      <c r="B4177" t="s">
        <v>360</v>
      </c>
      <c r="C4177" t="s">
        <v>135</v>
      </c>
      <c r="D4177">
        <v>5870</v>
      </c>
      <c r="E4177">
        <v>5350</v>
      </c>
      <c r="F4177">
        <v>5466</v>
      </c>
      <c r="G4177">
        <v>5990</v>
      </c>
    </row>
    <row r="4178" spans="1:7">
      <c r="A4178" t="s">
        <v>1876</v>
      </c>
      <c r="B4178" t="s">
        <v>360</v>
      </c>
      <c r="C4178" t="s">
        <v>136</v>
      </c>
      <c r="D4178">
        <v>5870</v>
      </c>
      <c r="E4178">
        <v>5350</v>
      </c>
      <c r="F4178">
        <v>5466</v>
      </c>
      <c r="G4178">
        <v>5990</v>
      </c>
    </row>
    <row r="4179" spans="1:7">
      <c r="A4179" t="s">
        <v>1876</v>
      </c>
      <c r="B4179" t="s">
        <v>360</v>
      </c>
      <c r="C4179" t="s">
        <v>137</v>
      </c>
      <c r="D4179">
        <v>263</v>
      </c>
      <c r="E4179">
        <v>272</v>
      </c>
      <c r="F4179">
        <v>258</v>
      </c>
      <c r="G4179">
        <v>278</v>
      </c>
    </row>
    <row r="4180" spans="1:7">
      <c r="A4180" t="s">
        <v>1876</v>
      </c>
      <c r="B4180" t="s">
        <v>360</v>
      </c>
      <c r="C4180" t="s">
        <v>138</v>
      </c>
      <c r="D4180">
        <v>263</v>
      </c>
      <c r="E4180">
        <v>272</v>
      </c>
      <c r="F4180">
        <v>258</v>
      </c>
      <c r="G4180">
        <v>278</v>
      </c>
    </row>
    <row r="4181" spans="1:7">
      <c r="A4181" t="s">
        <v>1876</v>
      </c>
      <c r="B4181" t="s">
        <v>360</v>
      </c>
      <c r="C4181" t="s">
        <v>139</v>
      </c>
      <c r="D4181">
        <v>263</v>
      </c>
      <c r="E4181">
        <v>272</v>
      </c>
      <c r="F4181">
        <v>258</v>
      </c>
      <c r="G4181">
        <v>278</v>
      </c>
    </row>
    <row r="4182" spans="1:7">
      <c r="A4182" t="s">
        <v>1876</v>
      </c>
      <c r="B4182" t="s">
        <v>360</v>
      </c>
      <c r="C4182" t="s">
        <v>1877</v>
      </c>
      <c r="D4182">
        <v>0</v>
      </c>
      <c r="E4182">
        <v>0</v>
      </c>
      <c r="F4182">
        <v>0</v>
      </c>
      <c r="G4182">
        <v>0</v>
      </c>
    </row>
    <row r="4183" spans="1:7">
      <c r="A4183" t="s">
        <v>1876</v>
      </c>
      <c r="B4183" t="s">
        <v>360</v>
      </c>
      <c r="C4183" t="s">
        <v>1700</v>
      </c>
      <c r="D4183">
        <v>0</v>
      </c>
      <c r="E4183">
        <v>0</v>
      </c>
      <c r="F4183">
        <v>0</v>
      </c>
      <c r="G4183">
        <v>0</v>
      </c>
    </row>
    <row r="4184" spans="1:7">
      <c r="A4184" t="s">
        <v>1876</v>
      </c>
      <c r="B4184" t="s">
        <v>360</v>
      </c>
      <c r="C4184" t="s">
        <v>1878</v>
      </c>
      <c r="D4184">
        <v>0</v>
      </c>
      <c r="E4184">
        <v>0</v>
      </c>
      <c r="F4184">
        <v>0</v>
      </c>
      <c r="G4184">
        <v>0</v>
      </c>
    </row>
    <row r="4185" spans="1:7">
      <c r="A4185" t="s">
        <v>1876</v>
      </c>
      <c r="B4185" t="s">
        <v>360</v>
      </c>
      <c r="C4185" t="s">
        <v>1879</v>
      </c>
      <c r="D4185">
        <v>0</v>
      </c>
      <c r="E4185">
        <v>0</v>
      </c>
      <c r="F4185">
        <v>0</v>
      </c>
      <c r="G4185">
        <v>0</v>
      </c>
    </row>
    <row r="4186" spans="1:7">
      <c r="A4186" t="s">
        <v>1876</v>
      </c>
      <c r="B4186" t="s">
        <v>360</v>
      </c>
      <c r="C4186" t="s">
        <v>1701</v>
      </c>
      <c r="D4186">
        <v>0</v>
      </c>
      <c r="E4186">
        <v>0</v>
      </c>
      <c r="F4186">
        <v>0</v>
      </c>
      <c r="G4186">
        <v>0</v>
      </c>
    </row>
    <row r="4187" spans="1:7">
      <c r="A4187" t="s">
        <v>1876</v>
      </c>
      <c r="B4187" t="s">
        <v>360</v>
      </c>
      <c r="C4187" t="s">
        <v>1880</v>
      </c>
      <c r="D4187">
        <v>227</v>
      </c>
      <c r="E4187">
        <v>141</v>
      </c>
      <c r="F4187">
        <v>161</v>
      </c>
      <c r="G4187">
        <v>52</v>
      </c>
    </row>
    <row r="4188" spans="1:7">
      <c r="A4188" t="s">
        <v>1876</v>
      </c>
      <c r="B4188" t="s">
        <v>360</v>
      </c>
      <c r="C4188" t="s">
        <v>140</v>
      </c>
      <c r="D4188">
        <v>534</v>
      </c>
      <c r="E4188">
        <v>340</v>
      </c>
      <c r="F4188">
        <v>435</v>
      </c>
      <c r="G4188">
        <v>149</v>
      </c>
    </row>
    <row r="4189" spans="1:7">
      <c r="A4189" t="s">
        <v>1876</v>
      </c>
      <c r="B4189" t="s">
        <v>360</v>
      </c>
      <c r="C4189" t="s">
        <v>1881</v>
      </c>
      <c r="D4189">
        <v>307</v>
      </c>
      <c r="E4189">
        <v>199</v>
      </c>
      <c r="F4189">
        <v>273</v>
      </c>
      <c r="G4189">
        <v>97</v>
      </c>
    </row>
    <row r="4190" spans="1:7">
      <c r="A4190" t="s">
        <v>1876</v>
      </c>
      <c r="B4190" t="s">
        <v>360</v>
      </c>
      <c r="C4190" t="s">
        <v>1882</v>
      </c>
      <c r="D4190">
        <v>0</v>
      </c>
      <c r="E4190">
        <v>0</v>
      </c>
      <c r="F4190">
        <v>0</v>
      </c>
      <c r="G4190">
        <v>0</v>
      </c>
    </row>
    <row r="4191" spans="1:7">
      <c r="A4191" t="s">
        <v>1876</v>
      </c>
      <c r="B4191" t="s">
        <v>360</v>
      </c>
      <c r="C4191" t="s">
        <v>1883</v>
      </c>
      <c r="D4191">
        <v>0</v>
      </c>
      <c r="E4191">
        <v>0</v>
      </c>
      <c r="F4191">
        <v>0</v>
      </c>
      <c r="G4191">
        <v>0</v>
      </c>
    </row>
    <row r="4192" spans="1:7">
      <c r="A4192" t="s">
        <v>1876</v>
      </c>
      <c r="B4192" t="s">
        <v>360</v>
      </c>
      <c r="C4192" t="s">
        <v>1884</v>
      </c>
      <c r="D4192">
        <v>0</v>
      </c>
      <c r="E4192">
        <v>0</v>
      </c>
      <c r="F4192">
        <v>0</v>
      </c>
      <c r="G4192">
        <v>0</v>
      </c>
    </row>
    <row r="4193" spans="1:7">
      <c r="A4193" t="s">
        <v>1876</v>
      </c>
      <c r="B4193" t="s">
        <v>360</v>
      </c>
      <c r="C4193" t="s">
        <v>1885</v>
      </c>
      <c r="D4193">
        <v>0</v>
      </c>
      <c r="E4193">
        <v>0</v>
      </c>
      <c r="F4193">
        <v>0</v>
      </c>
      <c r="G4193">
        <v>0</v>
      </c>
    </row>
    <row r="4194" spans="1:7">
      <c r="A4194" t="s">
        <v>1876</v>
      </c>
      <c r="B4194" t="s">
        <v>360</v>
      </c>
      <c r="C4194" t="s">
        <v>1886</v>
      </c>
      <c r="D4194">
        <v>0</v>
      </c>
      <c r="E4194">
        <v>0</v>
      </c>
      <c r="F4194">
        <v>0</v>
      </c>
      <c r="G4194">
        <v>0</v>
      </c>
    </row>
    <row r="4195" spans="1:7">
      <c r="A4195" t="s">
        <v>1876</v>
      </c>
      <c r="B4195" t="s">
        <v>360</v>
      </c>
      <c r="C4195" t="s">
        <v>141</v>
      </c>
      <c r="D4195">
        <v>0</v>
      </c>
      <c r="E4195">
        <v>0</v>
      </c>
      <c r="F4195">
        <v>0</v>
      </c>
      <c r="G4195">
        <v>0</v>
      </c>
    </row>
    <row r="4196" spans="1:7">
      <c r="A4196" t="s">
        <v>1876</v>
      </c>
      <c r="B4196" t="s">
        <v>360</v>
      </c>
      <c r="C4196" t="s">
        <v>1887</v>
      </c>
      <c r="D4196">
        <v>0</v>
      </c>
      <c r="E4196">
        <v>0</v>
      </c>
      <c r="F4196">
        <v>0</v>
      </c>
      <c r="G4196">
        <v>0</v>
      </c>
    </row>
    <row r="4197" spans="1:7">
      <c r="A4197" t="s">
        <v>1876</v>
      </c>
      <c r="B4197" t="s">
        <v>360</v>
      </c>
      <c r="C4197" t="s">
        <v>1888</v>
      </c>
      <c r="D4197">
        <v>0</v>
      </c>
      <c r="E4197">
        <v>0</v>
      </c>
      <c r="F4197">
        <v>0</v>
      </c>
      <c r="G4197">
        <v>0</v>
      </c>
    </row>
    <row r="4198" spans="1:7">
      <c r="A4198" t="s">
        <v>1876</v>
      </c>
      <c r="B4198" t="s">
        <v>360</v>
      </c>
      <c r="C4198" t="s">
        <v>1889</v>
      </c>
      <c r="D4198">
        <v>227</v>
      </c>
      <c r="E4198">
        <v>141</v>
      </c>
      <c r="F4198">
        <v>161</v>
      </c>
      <c r="G4198">
        <v>52</v>
      </c>
    </row>
    <row r="4199" spans="1:7">
      <c r="A4199" t="s">
        <v>1876</v>
      </c>
      <c r="B4199" t="s">
        <v>360</v>
      </c>
      <c r="C4199" t="s">
        <v>1890</v>
      </c>
      <c r="D4199">
        <v>0</v>
      </c>
      <c r="E4199">
        <v>0</v>
      </c>
      <c r="F4199">
        <v>0</v>
      </c>
      <c r="G4199">
        <v>0</v>
      </c>
    </row>
    <row r="4200" spans="1:7">
      <c r="A4200" t="s">
        <v>1876</v>
      </c>
      <c r="B4200" t="s">
        <v>360</v>
      </c>
      <c r="C4200" t="s">
        <v>1891</v>
      </c>
    </row>
    <row r="4201" spans="1:7">
      <c r="A4201" t="s">
        <v>1876</v>
      </c>
      <c r="B4201" t="s">
        <v>360</v>
      </c>
      <c r="C4201" t="s">
        <v>1892</v>
      </c>
      <c r="D4201">
        <v>307</v>
      </c>
      <c r="E4201">
        <v>199</v>
      </c>
      <c r="F4201">
        <v>273</v>
      </c>
      <c r="G4201">
        <v>97</v>
      </c>
    </row>
    <row r="4202" spans="1:7">
      <c r="A4202" t="s">
        <v>1876</v>
      </c>
      <c r="B4202" t="s">
        <v>360</v>
      </c>
      <c r="C4202" t="s">
        <v>142</v>
      </c>
      <c r="D4202">
        <v>534</v>
      </c>
      <c r="E4202">
        <v>340</v>
      </c>
      <c r="F4202">
        <v>435</v>
      </c>
      <c r="G4202">
        <v>149</v>
      </c>
    </row>
    <row r="4203" spans="1:7">
      <c r="A4203" t="s">
        <v>1876</v>
      </c>
      <c r="B4203" t="s">
        <v>360</v>
      </c>
      <c r="C4203" t="s">
        <v>1893</v>
      </c>
      <c r="D4203">
        <v>534</v>
      </c>
      <c r="E4203">
        <v>340</v>
      </c>
      <c r="F4203">
        <v>435</v>
      </c>
      <c r="G4203">
        <v>149</v>
      </c>
    </row>
    <row r="4204" spans="1:7">
      <c r="A4204" t="s">
        <v>1876</v>
      </c>
      <c r="B4204" t="s">
        <v>360</v>
      </c>
      <c r="C4204" t="s">
        <v>1894</v>
      </c>
      <c r="D4204">
        <v>307</v>
      </c>
      <c r="E4204">
        <v>199</v>
      </c>
      <c r="F4204">
        <v>273</v>
      </c>
      <c r="G4204">
        <v>97</v>
      </c>
    </row>
    <row r="4205" spans="1:7">
      <c r="A4205" t="s">
        <v>1876</v>
      </c>
      <c r="B4205" t="s">
        <v>360</v>
      </c>
      <c r="C4205" t="s">
        <v>143</v>
      </c>
      <c r="D4205">
        <v>531</v>
      </c>
      <c r="E4205">
        <v>3416</v>
      </c>
      <c r="F4205">
        <v>2381</v>
      </c>
      <c r="G4205">
        <v>1883</v>
      </c>
    </row>
    <row r="4206" spans="1:7">
      <c r="A4206" t="s">
        <v>1876</v>
      </c>
      <c r="B4206" t="s">
        <v>360</v>
      </c>
      <c r="C4206" t="s">
        <v>144</v>
      </c>
      <c r="D4206">
        <v>7898</v>
      </c>
      <c r="E4206">
        <v>10092</v>
      </c>
      <c r="F4206">
        <v>9167</v>
      </c>
      <c r="G4206">
        <v>7544</v>
      </c>
    </row>
    <row r="4207" spans="1:7">
      <c r="A4207" t="s">
        <v>1876</v>
      </c>
      <c r="B4207" t="s">
        <v>360</v>
      </c>
      <c r="C4207" t="s">
        <v>1895</v>
      </c>
      <c r="D4207">
        <v>72.2</v>
      </c>
      <c r="E4207">
        <v>68.2</v>
      </c>
      <c r="F4207">
        <v>67.400000000000006</v>
      </c>
      <c r="G4207">
        <v>65.099999999999994</v>
      </c>
    </row>
    <row r="4208" spans="1:7">
      <c r="A4208" t="s">
        <v>1876</v>
      </c>
      <c r="B4208" t="s">
        <v>360</v>
      </c>
      <c r="C4208" t="s">
        <v>145</v>
      </c>
      <c r="D4208">
        <v>33826</v>
      </c>
      <c r="E4208">
        <v>37955</v>
      </c>
      <c r="F4208">
        <v>35817</v>
      </c>
      <c r="G4208">
        <v>31099</v>
      </c>
    </row>
    <row r="4209" spans="1:7">
      <c r="A4209" t="s">
        <v>1876</v>
      </c>
      <c r="B4209" t="s">
        <v>360</v>
      </c>
      <c r="C4209" t="s">
        <v>146</v>
      </c>
      <c r="D4209">
        <v>0</v>
      </c>
      <c r="E4209">
        <v>0</v>
      </c>
      <c r="F4209">
        <v>0</v>
      </c>
      <c r="G4209">
        <v>0</v>
      </c>
    </row>
    <row r="4210" spans="1:7">
      <c r="A4210" t="s">
        <v>1876</v>
      </c>
      <c r="B4210" t="s">
        <v>360</v>
      </c>
      <c r="C4210" t="s">
        <v>147</v>
      </c>
      <c r="D4210">
        <v>0</v>
      </c>
      <c r="E4210">
        <v>0</v>
      </c>
      <c r="F4210">
        <v>0</v>
      </c>
      <c r="G4210">
        <v>0</v>
      </c>
    </row>
    <row r="4211" spans="1:7">
      <c r="A4211" t="s">
        <v>1876</v>
      </c>
      <c r="B4211" t="s">
        <v>360</v>
      </c>
      <c r="C4211" t="s">
        <v>1896</v>
      </c>
      <c r="D4211">
        <v>0</v>
      </c>
      <c r="E4211">
        <v>0</v>
      </c>
      <c r="F4211">
        <v>0</v>
      </c>
      <c r="G4211">
        <v>0</v>
      </c>
    </row>
    <row r="4212" spans="1:7">
      <c r="A4212" t="s">
        <v>1876</v>
      </c>
      <c r="B4212" t="s">
        <v>360</v>
      </c>
      <c r="C4212" t="s">
        <v>1702</v>
      </c>
      <c r="D4212">
        <v>0</v>
      </c>
      <c r="E4212">
        <v>0</v>
      </c>
      <c r="F4212">
        <v>0</v>
      </c>
      <c r="G4212">
        <v>40</v>
      </c>
    </row>
    <row r="4213" spans="1:7">
      <c r="A4213" t="s">
        <v>1876</v>
      </c>
      <c r="B4213" t="s">
        <v>360</v>
      </c>
      <c r="C4213" t="s">
        <v>1897</v>
      </c>
      <c r="D4213">
        <v>3.4</v>
      </c>
      <c r="E4213">
        <v>5</v>
      </c>
      <c r="F4213">
        <v>8.1</v>
      </c>
      <c r="G4213">
        <v>10.6</v>
      </c>
    </row>
    <row r="4214" spans="1:7">
      <c r="A4214" t="s">
        <v>1876</v>
      </c>
      <c r="B4214" t="s">
        <v>360</v>
      </c>
      <c r="C4214" t="s">
        <v>1898</v>
      </c>
      <c r="D4214">
        <v>5</v>
      </c>
      <c r="E4214">
        <v>10</v>
      </c>
      <c r="F4214">
        <v>27</v>
      </c>
      <c r="G4214">
        <v>37</v>
      </c>
    </row>
    <row r="4215" spans="1:7">
      <c r="A4215" t="s">
        <v>1876</v>
      </c>
      <c r="B4215" t="s">
        <v>360</v>
      </c>
      <c r="C4215" t="s">
        <v>1899</v>
      </c>
      <c r="D4215">
        <v>307</v>
      </c>
      <c r="E4215">
        <v>199</v>
      </c>
      <c r="F4215">
        <v>273</v>
      </c>
      <c r="G4215">
        <v>97</v>
      </c>
    </row>
    <row r="4216" spans="1:7">
      <c r="A4216" t="s">
        <v>1876</v>
      </c>
      <c r="B4216" t="s">
        <v>360</v>
      </c>
      <c r="C4216" t="s">
        <v>148</v>
      </c>
      <c r="D4216">
        <v>0</v>
      </c>
      <c r="E4216">
        <v>0</v>
      </c>
      <c r="F4216">
        <v>0</v>
      </c>
      <c r="G4216">
        <v>0</v>
      </c>
    </row>
    <row r="4217" spans="1:7">
      <c r="A4217" t="s">
        <v>1876</v>
      </c>
      <c r="B4217" t="s">
        <v>360</v>
      </c>
      <c r="C4217" t="s">
        <v>149</v>
      </c>
      <c r="D4217">
        <v>0</v>
      </c>
      <c r="E4217">
        <v>0</v>
      </c>
      <c r="F4217">
        <v>0</v>
      </c>
      <c r="G4217">
        <v>0</v>
      </c>
    </row>
    <row r="4218" spans="1:7">
      <c r="A4218" t="s">
        <v>1876</v>
      </c>
      <c r="B4218" t="s">
        <v>360</v>
      </c>
      <c r="C4218" t="s">
        <v>150</v>
      </c>
      <c r="D4218">
        <v>0</v>
      </c>
      <c r="E4218">
        <v>0</v>
      </c>
      <c r="F4218">
        <v>0</v>
      </c>
      <c r="G4218">
        <v>0</v>
      </c>
    </row>
    <row r="4219" spans="1:7">
      <c r="A4219" t="s">
        <v>1876</v>
      </c>
      <c r="B4219" t="s">
        <v>360</v>
      </c>
      <c r="C4219" t="s">
        <v>1900</v>
      </c>
      <c r="D4219">
        <v>67.7</v>
      </c>
      <c r="E4219">
        <v>0</v>
      </c>
      <c r="F4219">
        <v>0</v>
      </c>
      <c r="G4219">
        <v>0</v>
      </c>
    </row>
    <row r="4220" spans="1:7">
      <c r="A4220" t="s">
        <v>1876</v>
      </c>
      <c r="B4220" t="s">
        <v>360</v>
      </c>
      <c r="C4220" t="s">
        <v>151</v>
      </c>
      <c r="D4220">
        <v>0</v>
      </c>
      <c r="E4220">
        <v>0</v>
      </c>
      <c r="F4220">
        <v>0</v>
      </c>
      <c r="G4220">
        <v>0</v>
      </c>
    </row>
    <row r="4221" spans="1:7">
      <c r="A4221" t="s">
        <v>1876</v>
      </c>
      <c r="B4221" t="s">
        <v>360</v>
      </c>
      <c r="C4221" t="s">
        <v>152</v>
      </c>
      <c r="D4221">
        <v>0</v>
      </c>
      <c r="E4221">
        <v>0</v>
      </c>
      <c r="F4221">
        <v>0</v>
      </c>
      <c r="G4221">
        <v>0</v>
      </c>
    </row>
    <row r="4222" spans="1:7">
      <c r="A4222" t="s">
        <v>1876</v>
      </c>
      <c r="B4222" t="s">
        <v>360</v>
      </c>
      <c r="C4222" t="s">
        <v>1703</v>
      </c>
      <c r="D4222">
        <v>5</v>
      </c>
      <c r="E4222">
        <v>0</v>
      </c>
      <c r="F4222">
        <v>0</v>
      </c>
      <c r="G4222">
        <v>0</v>
      </c>
    </row>
    <row r="4223" spans="1:7">
      <c r="A4223" t="s">
        <v>1876</v>
      </c>
      <c r="B4223" t="s">
        <v>360</v>
      </c>
      <c r="C4223" t="s">
        <v>153</v>
      </c>
      <c r="D4223">
        <v>3051</v>
      </c>
      <c r="E4223">
        <v>1881</v>
      </c>
      <c r="F4223">
        <v>1144</v>
      </c>
      <c r="G4223">
        <v>932</v>
      </c>
    </row>
    <row r="4224" spans="1:7">
      <c r="A4224" t="s">
        <v>1876</v>
      </c>
      <c r="B4224" t="s">
        <v>360</v>
      </c>
      <c r="C4224" t="s">
        <v>154</v>
      </c>
      <c r="D4224">
        <v>0</v>
      </c>
      <c r="E4224">
        <v>0</v>
      </c>
      <c r="F4224">
        <v>0</v>
      </c>
      <c r="G4224">
        <v>0</v>
      </c>
    </row>
    <row r="4225" spans="1:7">
      <c r="A4225" t="s">
        <v>1876</v>
      </c>
      <c r="B4225" t="s">
        <v>360</v>
      </c>
      <c r="C4225" t="s">
        <v>155</v>
      </c>
      <c r="D4225">
        <v>3051</v>
      </c>
      <c r="E4225">
        <v>1881</v>
      </c>
      <c r="F4225">
        <v>1144</v>
      </c>
      <c r="G4225">
        <v>932</v>
      </c>
    </row>
    <row r="4226" spans="1:7">
      <c r="A4226" t="s">
        <v>1876</v>
      </c>
      <c r="B4226" t="s">
        <v>360</v>
      </c>
      <c r="C4226" t="s">
        <v>156</v>
      </c>
      <c r="D4226">
        <v>0</v>
      </c>
      <c r="E4226">
        <v>0</v>
      </c>
      <c r="F4226">
        <v>0</v>
      </c>
      <c r="G4226">
        <v>0</v>
      </c>
    </row>
    <row r="4227" spans="1:7">
      <c r="A4227" t="s">
        <v>1876</v>
      </c>
      <c r="B4227" t="s">
        <v>360</v>
      </c>
      <c r="C4227" t="s">
        <v>157</v>
      </c>
      <c r="D4227">
        <v>3051</v>
      </c>
      <c r="E4227">
        <v>1881</v>
      </c>
      <c r="F4227">
        <v>1144</v>
      </c>
      <c r="G4227">
        <v>932</v>
      </c>
    </row>
    <row r="4228" spans="1:7">
      <c r="A4228" t="s">
        <v>1876</v>
      </c>
      <c r="B4228" t="s">
        <v>360</v>
      </c>
      <c r="C4228" t="s">
        <v>158</v>
      </c>
      <c r="D4228">
        <v>3051</v>
      </c>
      <c r="E4228">
        <v>1881</v>
      </c>
      <c r="F4228">
        <v>1144</v>
      </c>
      <c r="G4228">
        <v>932</v>
      </c>
    </row>
    <row r="4229" spans="1:7">
      <c r="A4229" t="s">
        <v>1876</v>
      </c>
      <c r="B4229" t="s">
        <v>360</v>
      </c>
      <c r="C4229" t="s">
        <v>159</v>
      </c>
      <c r="D4229">
        <v>0</v>
      </c>
      <c r="E4229">
        <v>0</v>
      </c>
      <c r="F4229">
        <v>0</v>
      </c>
      <c r="G4229">
        <v>0</v>
      </c>
    </row>
    <row r="4230" spans="1:7">
      <c r="A4230" t="s">
        <v>1876</v>
      </c>
      <c r="B4230" t="s">
        <v>360</v>
      </c>
      <c r="C4230" t="s">
        <v>1901</v>
      </c>
      <c r="D4230">
        <v>77.900000000000006</v>
      </c>
      <c r="E4230">
        <v>61.5</v>
      </c>
      <c r="F4230">
        <v>64.2</v>
      </c>
      <c r="G4230">
        <v>70.7</v>
      </c>
    </row>
    <row r="4231" spans="1:7">
      <c r="A4231" t="s">
        <v>1876</v>
      </c>
      <c r="B4231" t="s">
        <v>360</v>
      </c>
      <c r="C4231" t="s">
        <v>1902</v>
      </c>
      <c r="D4231">
        <v>59291</v>
      </c>
      <c r="E4231">
        <v>58566</v>
      </c>
      <c r="F4231">
        <v>63040</v>
      </c>
      <c r="G4231">
        <v>57152</v>
      </c>
    </row>
    <row r="4232" spans="1:7">
      <c r="A4232" t="s">
        <v>1876</v>
      </c>
      <c r="B4232" t="s">
        <v>360</v>
      </c>
      <c r="C4232" t="s">
        <v>1903</v>
      </c>
      <c r="D4232">
        <v>2218</v>
      </c>
      <c r="E4232">
        <v>2357</v>
      </c>
      <c r="F4232">
        <v>2421</v>
      </c>
      <c r="G4232">
        <v>2226</v>
      </c>
    </row>
    <row r="4233" spans="1:7">
      <c r="A4233" t="s">
        <v>1876</v>
      </c>
      <c r="B4233" t="s">
        <v>360</v>
      </c>
      <c r="C4233" t="s">
        <v>1904</v>
      </c>
      <c r="D4233">
        <v>0</v>
      </c>
      <c r="E4233">
        <v>0</v>
      </c>
      <c r="F4233">
        <v>1</v>
      </c>
      <c r="G4233">
        <v>0</v>
      </c>
    </row>
    <row r="4234" spans="1:7">
      <c r="A4234" t="s">
        <v>1876</v>
      </c>
      <c r="B4234" t="s">
        <v>360</v>
      </c>
      <c r="C4234" t="s">
        <v>1905</v>
      </c>
      <c r="D4234">
        <v>12076</v>
      </c>
      <c r="E4234">
        <v>12208</v>
      </c>
      <c r="F4234">
        <v>11915</v>
      </c>
      <c r="G4234">
        <v>11562</v>
      </c>
    </row>
    <row r="4235" spans="1:7">
      <c r="A4235" t="s">
        <v>1876</v>
      </c>
      <c r="B4235" t="s">
        <v>360</v>
      </c>
      <c r="C4235" t="s">
        <v>1906</v>
      </c>
      <c r="D4235">
        <v>701</v>
      </c>
      <c r="E4235">
        <v>754</v>
      </c>
      <c r="F4235">
        <v>775</v>
      </c>
      <c r="G4235">
        <v>697</v>
      </c>
    </row>
    <row r="4236" spans="1:7">
      <c r="A4236" t="s">
        <v>1876</v>
      </c>
      <c r="B4236" t="s">
        <v>360</v>
      </c>
      <c r="C4236" t="s">
        <v>1907</v>
      </c>
      <c r="D4236">
        <v>74286</v>
      </c>
      <c r="E4236">
        <v>73885</v>
      </c>
      <c r="F4236">
        <v>78152</v>
      </c>
      <c r="G4236">
        <v>71638</v>
      </c>
    </row>
    <row r="4237" spans="1:7">
      <c r="A4237" t="s">
        <v>1876</v>
      </c>
      <c r="B4237" t="s">
        <v>360</v>
      </c>
      <c r="C4237" t="s">
        <v>160</v>
      </c>
      <c r="D4237">
        <v>58984</v>
      </c>
      <c r="E4237">
        <v>58366</v>
      </c>
      <c r="F4237">
        <v>62767</v>
      </c>
      <c r="G4237">
        <v>57055</v>
      </c>
    </row>
    <row r="4238" spans="1:7">
      <c r="A4238" t="s">
        <v>1876</v>
      </c>
      <c r="B4238" t="s">
        <v>360</v>
      </c>
      <c r="C4238" t="s">
        <v>161</v>
      </c>
      <c r="D4238">
        <v>2218</v>
      </c>
      <c r="E4238">
        <v>2357</v>
      </c>
      <c r="F4238">
        <v>2421</v>
      </c>
      <c r="G4238">
        <v>2226</v>
      </c>
    </row>
    <row r="4239" spans="1:7">
      <c r="A4239" t="s">
        <v>1876</v>
      </c>
      <c r="B4239" t="s">
        <v>360</v>
      </c>
      <c r="C4239" t="s">
        <v>162</v>
      </c>
      <c r="D4239">
        <v>0</v>
      </c>
      <c r="E4239">
        <v>0</v>
      </c>
      <c r="F4239">
        <v>1</v>
      </c>
      <c r="G4239">
        <v>0</v>
      </c>
    </row>
    <row r="4240" spans="1:7">
      <c r="A4240" t="s">
        <v>1876</v>
      </c>
      <c r="B4240" t="s">
        <v>360</v>
      </c>
      <c r="C4240" t="s">
        <v>163</v>
      </c>
      <c r="D4240">
        <v>12076</v>
      </c>
      <c r="E4240">
        <v>12208</v>
      </c>
      <c r="F4240">
        <v>11915</v>
      </c>
      <c r="G4240">
        <v>11562</v>
      </c>
    </row>
    <row r="4241" spans="1:7">
      <c r="A4241" t="s">
        <v>1876</v>
      </c>
      <c r="B4241" t="s">
        <v>360</v>
      </c>
      <c r="C4241" t="s">
        <v>164</v>
      </c>
      <c r="D4241">
        <v>701</v>
      </c>
      <c r="E4241">
        <v>754</v>
      </c>
      <c r="F4241">
        <v>775</v>
      </c>
      <c r="G4241">
        <v>697</v>
      </c>
    </row>
    <row r="4242" spans="1:7">
      <c r="A4242" t="s">
        <v>1876</v>
      </c>
      <c r="B4242" t="s">
        <v>360</v>
      </c>
      <c r="C4242" t="s">
        <v>165</v>
      </c>
      <c r="D4242">
        <v>73980</v>
      </c>
      <c r="E4242">
        <v>73686</v>
      </c>
      <c r="F4242">
        <v>77878</v>
      </c>
      <c r="G4242">
        <v>71541</v>
      </c>
    </row>
    <row r="4243" spans="1:7">
      <c r="A4243" t="s">
        <v>1876</v>
      </c>
      <c r="B4243" t="s">
        <v>360</v>
      </c>
      <c r="C4243" t="s">
        <v>166</v>
      </c>
      <c r="D4243">
        <v>73979</v>
      </c>
      <c r="E4243">
        <v>73686</v>
      </c>
      <c r="F4243">
        <v>77878</v>
      </c>
      <c r="G4243">
        <v>71540</v>
      </c>
    </row>
    <row r="4244" spans="1:7">
      <c r="A4244" t="s">
        <v>1876</v>
      </c>
      <c r="B4244" t="s">
        <v>360</v>
      </c>
      <c r="C4244" t="s">
        <v>167</v>
      </c>
      <c r="D4244">
        <v>0</v>
      </c>
      <c r="E4244">
        <v>0</v>
      </c>
      <c r="F4244">
        <v>1</v>
      </c>
      <c r="G4244">
        <v>0</v>
      </c>
    </row>
    <row r="4245" spans="1:7">
      <c r="A4245" t="s">
        <v>1876</v>
      </c>
      <c r="B4245" t="s">
        <v>360</v>
      </c>
      <c r="C4245" t="s">
        <v>1908</v>
      </c>
      <c r="D4245">
        <v>58756</v>
      </c>
      <c r="E4245">
        <v>58226</v>
      </c>
      <c r="F4245">
        <v>62606</v>
      </c>
      <c r="G4245">
        <v>57003</v>
      </c>
    </row>
    <row r="4246" spans="1:7">
      <c r="A4246" t="s">
        <v>1876</v>
      </c>
      <c r="B4246" t="s">
        <v>360</v>
      </c>
      <c r="C4246" t="s">
        <v>1909</v>
      </c>
      <c r="D4246">
        <v>2218</v>
      </c>
      <c r="E4246">
        <v>2357</v>
      </c>
      <c r="F4246">
        <v>2421</v>
      </c>
      <c r="G4246">
        <v>2226</v>
      </c>
    </row>
    <row r="4247" spans="1:7">
      <c r="A4247" t="s">
        <v>1876</v>
      </c>
      <c r="B4247" t="s">
        <v>360</v>
      </c>
      <c r="C4247" t="s">
        <v>1910</v>
      </c>
      <c r="D4247">
        <v>0</v>
      </c>
      <c r="E4247">
        <v>0</v>
      </c>
      <c r="F4247">
        <v>1</v>
      </c>
      <c r="G4247">
        <v>0</v>
      </c>
    </row>
    <row r="4248" spans="1:7">
      <c r="A4248" t="s">
        <v>1876</v>
      </c>
      <c r="B4248" t="s">
        <v>360</v>
      </c>
      <c r="C4248" t="s">
        <v>1911</v>
      </c>
      <c r="D4248">
        <v>12076</v>
      </c>
      <c r="E4248">
        <v>12208</v>
      </c>
      <c r="F4248">
        <v>11915</v>
      </c>
      <c r="G4248">
        <v>11562</v>
      </c>
    </row>
    <row r="4249" spans="1:7">
      <c r="A4249" t="s">
        <v>1876</v>
      </c>
      <c r="B4249" t="s">
        <v>360</v>
      </c>
      <c r="C4249" t="s">
        <v>1912</v>
      </c>
      <c r="D4249">
        <v>701</v>
      </c>
      <c r="E4249">
        <v>754</v>
      </c>
      <c r="F4249">
        <v>775</v>
      </c>
      <c r="G4249">
        <v>697</v>
      </c>
    </row>
    <row r="4250" spans="1:7">
      <c r="A4250" t="s">
        <v>1876</v>
      </c>
      <c r="B4250" t="s">
        <v>360</v>
      </c>
      <c r="C4250" t="s">
        <v>168</v>
      </c>
      <c r="D4250">
        <v>73752</v>
      </c>
      <c r="E4250">
        <v>73545</v>
      </c>
      <c r="F4250">
        <v>77717</v>
      </c>
      <c r="G4250">
        <v>71489</v>
      </c>
    </row>
    <row r="4251" spans="1:7">
      <c r="A4251" t="s">
        <v>1876</v>
      </c>
      <c r="B4251" t="s">
        <v>360</v>
      </c>
      <c r="C4251" t="s">
        <v>169</v>
      </c>
      <c r="D4251">
        <v>0</v>
      </c>
      <c r="E4251">
        <v>0</v>
      </c>
      <c r="F4251">
        <v>0</v>
      </c>
      <c r="G4251">
        <v>0</v>
      </c>
    </row>
    <row r="4252" spans="1:7">
      <c r="A4252" t="s">
        <v>1876</v>
      </c>
      <c r="B4252" t="s">
        <v>360</v>
      </c>
      <c r="C4252" t="s">
        <v>1704</v>
      </c>
      <c r="D4252">
        <v>5076</v>
      </c>
      <c r="E4252">
        <v>5355</v>
      </c>
      <c r="F4252">
        <v>5353</v>
      </c>
      <c r="G4252">
        <v>5548</v>
      </c>
    </row>
    <row r="4253" spans="1:7">
      <c r="A4253" t="s">
        <v>1876</v>
      </c>
      <c r="B4253" t="s">
        <v>360</v>
      </c>
      <c r="C4253" t="s">
        <v>170</v>
      </c>
      <c r="D4253">
        <v>0</v>
      </c>
      <c r="E4253">
        <v>0</v>
      </c>
      <c r="F4253">
        <v>0</v>
      </c>
      <c r="G4253">
        <v>0</v>
      </c>
    </row>
    <row r="4254" spans="1:7">
      <c r="A4254" t="s">
        <v>1876</v>
      </c>
      <c r="B4254" t="s">
        <v>360</v>
      </c>
      <c r="C4254" t="s">
        <v>171</v>
      </c>
      <c r="D4254">
        <v>89454</v>
      </c>
      <c r="E4254">
        <v>99821</v>
      </c>
      <c r="F4254">
        <v>83375</v>
      </c>
      <c r="G4254">
        <v>70916</v>
      </c>
    </row>
    <row r="4255" spans="1:7">
      <c r="A4255" t="s">
        <v>1876</v>
      </c>
      <c r="B4255" t="s">
        <v>360</v>
      </c>
      <c r="C4255" t="s">
        <v>172</v>
      </c>
      <c r="D4255">
        <v>0</v>
      </c>
      <c r="E4255">
        <v>0</v>
      </c>
      <c r="F4255">
        <v>0</v>
      </c>
      <c r="G4255">
        <v>0</v>
      </c>
    </row>
    <row r="4256" spans="1:7">
      <c r="A4256" t="s">
        <v>1876</v>
      </c>
      <c r="B4256" t="s">
        <v>360</v>
      </c>
      <c r="C4256" t="s">
        <v>1913</v>
      </c>
      <c r="D4256">
        <v>5.8</v>
      </c>
      <c r="E4256">
        <v>8.1999999999999993</v>
      </c>
      <c r="F4256">
        <v>12.2</v>
      </c>
      <c r="G4256">
        <v>16</v>
      </c>
    </row>
    <row r="4257" spans="1:7">
      <c r="A4257" t="s">
        <v>1876</v>
      </c>
      <c r="B4257" t="s">
        <v>360</v>
      </c>
      <c r="C4257" t="s">
        <v>1914</v>
      </c>
      <c r="D4257">
        <v>0.3</v>
      </c>
      <c r="E4257">
        <v>0.5</v>
      </c>
      <c r="F4257">
        <v>0.7</v>
      </c>
      <c r="G4257">
        <v>0.9</v>
      </c>
    </row>
    <row r="4258" spans="1:7">
      <c r="A4258" t="s">
        <v>1876</v>
      </c>
      <c r="B4258" t="s">
        <v>360</v>
      </c>
      <c r="C4258" t="s">
        <v>173</v>
      </c>
      <c r="D4258">
        <v>6514</v>
      </c>
      <c r="E4258">
        <v>5992</v>
      </c>
      <c r="F4258">
        <v>6051</v>
      </c>
      <c r="G4258">
        <v>5287</v>
      </c>
    </row>
    <row r="4259" spans="1:7">
      <c r="A4259" t="s">
        <v>1876</v>
      </c>
      <c r="B4259" t="s">
        <v>360</v>
      </c>
      <c r="C4259" t="s">
        <v>174</v>
      </c>
      <c r="D4259">
        <v>118</v>
      </c>
      <c r="E4259">
        <v>141</v>
      </c>
      <c r="F4259">
        <v>110</v>
      </c>
      <c r="G4259">
        <v>102</v>
      </c>
    </row>
    <row r="4260" spans="1:7">
      <c r="A4260" t="s">
        <v>1876</v>
      </c>
      <c r="B4260" t="s">
        <v>360</v>
      </c>
      <c r="C4260" t="s">
        <v>175</v>
      </c>
      <c r="D4260">
        <v>201</v>
      </c>
      <c r="E4260">
        <v>203</v>
      </c>
      <c r="F4260">
        <v>191</v>
      </c>
      <c r="G4260">
        <v>123</v>
      </c>
    </row>
    <row r="4261" spans="1:7">
      <c r="A4261" t="s">
        <v>1876</v>
      </c>
      <c r="B4261" t="s">
        <v>360</v>
      </c>
      <c r="C4261" t="s">
        <v>176</v>
      </c>
      <c r="D4261">
        <v>531</v>
      </c>
      <c r="E4261">
        <v>3416</v>
      </c>
      <c r="F4261">
        <v>2381</v>
      </c>
      <c r="G4261">
        <v>1883</v>
      </c>
    </row>
    <row r="4262" spans="1:7">
      <c r="A4262" t="s">
        <v>1876</v>
      </c>
      <c r="B4262" t="s">
        <v>360</v>
      </c>
      <c r="C4262" t="s">
        <v>177</v>
      </c>
      <c r="D4262">
        <v>6832</v>
      </c>
      <c r="E4262">
        <v>6336</v>
      </c>
      <c r="F4262">
        <v>6351</v>
      </c>
      <c r="G4262">
        <v>5512</v>
      </c>
    </row>
    <row r="4263" spans="1:7">
      <c r="A4263" t="s">
        <v>1876</v>
      </c>
      <c r="B4263" t="s">
        <v>360</v>
      </c>
      <c r="C4263" t="s">
        <v>178</v>
      </c>
      <c r="D4263">
        <v>0</v>
      </c>
      <c r="E4263">
        <v>0</v>
      </c>
      <c r="F4263">
        <v>0</v>
      </c>
      <c r="G4263">
        <v>0</v>
      </c>
    </row>
    <row r="4264" spans="1:7">
      <c r="A4264" t="s">
        <v>1876</v>
      </c>
      <c r="B4264" t="s">
        <v>360</v>
      </c>
      <c r="C4264" t="s">
        <v>179</v>
      </c>
      <c r="D4264">
        <v>0</v>
      </c>
      <c r="E4264">
        <v>0</v>
      </c>
      <c r="F4264">
        <v>0</v>
      </c>
      <c r="G4264">
        <v>0</v>
      </c>
    </row>
    <row r="4265" spans="1:7">
      <c r="A4265" t="s">
        <v>1876</v>
      </c>
      <c r="B4265" t="s">
        <v>360</v>
      </c>
      <c r="C4265" t="s">
        <v>180</v>
      </c>
      <c r="D4265">
        <v>0</v>
      </c>
      <c r="E4265">
        <v>0</v>
      </c>
      <c r="F4265">
        <v>0</v>
      </c>
      <c r="G4265">
        <v>0</v>
      </c>
    </row>
    <row r="4266" spans="1:7">
      <c r="A4266" t="s">
        <v>1876</v>
      </c>
      <c r="B4266" t="s">
        <v>360</v>
      </c>
      <c r="C4266" t="s">
        <v>181</v>
      </c>
      <c r="D4266">
        <v>22520</v>
      </c>
      <c r="E4266">
        <v>23327</v>
      </c>
      <c r="F4266">
        <v>23345</v>
      </c>
      <c r="G4266">
        <v>23760</v>
      </c>
    </row>
    <row r="4267" spans="1:7">
      <c r="A4267" t="s">
        <v>1876</v>
      </c>
      <c r="B4267" t="s">
        <v>360</v>
      </c>
      <c r="C4267" t="s">
        <v>182</v>
      </c>
      <c r="D4267">
        <v>32020</v>
      </c>
      <c r="E4267">
        <v>32075</v>
      </c>
      <c r="F4267">
        <v>30840</v>
      </c>
      <c r="G4267">
        <v>32665</v>
      </c>
    </row>
    <row r="4268" spans="1:7">
      <c r="A4268" t="s">
        <v>1876</v>
      </c>
      <c r="B4268" t="s">
        <v>360</v>
      </c>
      <c r="C4268" t="s">
        <v>183</v>
      </c>
      <c r="D4268">
        <v>31734</v>
      </c>
      <c r="E4268">
        <v>33996</v>
      </c>
      <c r="F4268">
        <v>33415</v>
      </c>
      <c r="G4268">
        <v>33548</v>
      </c>
    </row>
    <row r="4269" spans="1:7">
      <c r="A4269" t="s">
        <v>1876</v>
      </c>
      <c r="B4269" t="s">
        <v>360</v>
      </c>
      <c r="C4269" t="s">
        <v>184</v>
      </c>
      <c r="D4269">
        <v>86275</v>
      </c>
      <c r="E4269">
        <v>89398</v>
      </c>
      <c r="F4269">
        <v>87600</v>
      </c>
      <c r="G4269">
        <v>89973</v>
      </c>
    </row>
    <row r="4270" spans="1:7">
      <c r="A4270" t="s">
        <v>1876</v>
      </c>
      <c r="B4270" t="s">
        <v>360</v>
      </c>
      <c r="C4270" t="s">
        <v>185</v>
      </c>
      <c r="D4270">
        <v>86275</v>
      </c>
      <c r="E4270">
        <v>89398</v>
      </c>
      <c r="F4270">
        <v>87600</v>
      </c>
      <c r="G4270">
        <v>89973</v>
      </c>
    </row>
    <row r="4271" spans="1:7">
      <c r="A4271" t="s">
        <v>1876</v>
      </c>
      <c r="B4271" t="s">
        <v>360</v>
      </c>
      <c r="C4271" t="s">
        <v>1915</v>
      </c>
      <c r="D4271">
        <v>9</v>
      </c>
      <c r="E4271">
        <v>16</v>
      </c>
      <c r="F4271">
        <v>38</v>
      </c>
      <c r="G4271">
        <v>50</v>
      </c>
    </row>
    <row r="4272" spans="1:7">
      <c r="A4272" t="s">
        <v>1876</v>
      </c>
      <c r="B4272" t="s">
        <v>360</v>
      </c>
      <c r="C4272" t="s">
        <v>1916</v>
      </c>
      <c r="D4272">
        <v>0</v>
      </c>
      <c r="E4272">
        <v>0</v>
      </c>
      <c r="F4272">
        <v>0</v>
      </c>
      <c r="G4272">
        <v>0</v>
      </c>
    </row>
    <row r="4273" spans="1:7">
      <c r="A4273" t="s">
        <v>1876</v>
      </c>
      <c r="B4273" t="s">
        <v>360</v>
      </c>
      <c r="C4273" t="s">
        <v>1917</v>
      </c>
      <c r="D4273">
        <v>11</v>
      </c>
      <c r="E4273">
        <v>11</v>
      </c>
      <c r="F4273">
        <v>11</v>
      </c>
      <c r="G4273">
        <v>7</v>
      </c>
    </row>
    <row r="4274" spans="1:7">
      <c r="A4274" t="s">
        <v>1876</v>
      </c>
      <c r="B4274" t="s">
        <v>360</v>
      </c>
      <c r="C4274" t="s">
        <v>1918</v>
      </c>
      <c r="D4274">
        <v>376</v>
      </c>
      <c r="E4274">
        <v>423</v>
      </c>
      <c r="F4274">
        <v>408</v>
      </c>
      <c r="G4274">
        <v>458</v>
      </c>
    </row>
    <row r="4275" spans="1:7">
      <c r="A4275" t="s">
        <v>1876</v>
      </c>
      <c r="B4275" t="s">
        <v>360</v>
      </c>
      <c r="C4275" t="s">
        <v>1919</v>
      </c>
      <c r="D4275">
        <v>3.19</v>
      </c>
      <c r="E4275">
        <v>3.02</v>
      </c>
      <c r="F4275">
        <v>2.5</v>
      </c>
      <c r="G4275">
        <v>2.5</v>
      </c>
    </row>
    <row r="4276" spans="1:7">
      <c r="A4276" t="s">
        <v>1876</v>
      </c>
      <c r="B4276" t="s">
        <v>360</v>
      </c>
      <c r="C4276" t="s">
        <v>1920</v>
      </c>
      <c r="D4276">
        <v>470</v>
      </c>
      <c r="E4276">
        <v>534</v>
      </c>
      <c r="F4276">
        <v>575</v>
      </c>
      <c r="G4276">
        <v>668</v>
      </c>
    </row>
    <row r="4277" spans="1:7">
      <c r="A4277" t="s">
        <v>1876</v>
      </c>
      <c r="B4277" t="s">
        <v>360</v>
      </c>
      <c r="C4277" t="s">
        <v>1921</v>
      </c>
      <c r="D4277">
        <v>139</v>
      </c>
      <c r="E4277">
        <v>164</v>
      </c>
      <c r="F4277">
        <v>205</v>
      </c>
      <c r="G4277">
        <v>248</v>
      </c>
    </row>
    <row r="4278" spans="1:7">
      <c r="A4278" t="s">
        <v>1876</v>
      </c>
      <c r="B4278" t="s">
        <v>360</v>
      </c>
      <c r="C4278" t="s">
        <v>1922</v>
      </c>
      <c r="D4278">
        <v>83</v>
      </c>
      <c r="E4278">
        <v>100</v>
      </c>
      <c r="F4278">
        <v>156</v>
      </c>
      <c r="G4278">
        <v>203</v>
      </c>
    </row>
    <row r="4279" spans="1:7">
      <c r="A4279" t="s">
        <v>1876</v>
      </c>
      <c r="B4279" t="s">
        <v>360</v>
      </c>
      <c r="C4279" t="s">
        <v>1923</v>
      </c>
      <c r="D4279">
        <v>3.77</v>
      </c>
      <c r="E4279">
        <v>4</v>
      </c>
      <c r="F4279">
        <v>3.32</v>
      </c>
      <c r="G4279">
        <v>2.94</v>
      </c>
    </row>
    <row r="4280" spans="1:7">
      <c r="A4280" t="s">
        <v>1876</v>
      </c>
      <c r="B4280" t="s">
        <v>360</v>
      </c>
      <c r="C4280" t="s">
        <v>1924</v>
      </c>
      <c r="D4280">
        <v>11</v>
      </c>
      <c r="E4280">
        <v>5</v>
      </c>
      <c r="F4280">
        <v>5</v>
      </c>
      <c r="G4280">
        <v>5</v>
      </c>
    </row>
    <row r="4281" spans="1:7">
      <c r="A4281" t="s">
        <v>1876</v>
      </c>
      <c r="B4281" t="s">
        <v>360</v>
      </c>
      <c r="C4281" t="s">
        <v>1925</v>
      </c>
      <c r="D4281">
        <v>52</v>
      </c>
      <c r="E4281">
        <v>53</v>
      </c>
      <c r="F4281">
        <v>56</v>
      </c>
      <c r="G4281">
        <v>58</v>
      </c>
    </row>
    <row r="4282" spans="1:7">
      <c r="A4282" t="s">
        <v>1876</v>
      </c>
      <c r="B4282" t="s">
        <v>360</v>
      </c>
      <c r="C4282" t="s">
        <v>1926</v>
      </c>
      <c r="D4282">
        <v>76</v>
      </c>
      <c r="E4282">
        <v>106</v>
      </c>
      <c r="F4282">
        <v>144</v>
      </c>
      <c r="G4282">
        <v>185</v>
      </c>
    </row>
    <row r="4283" spans="1:7">
      <c r="A4283" t="s">
        <v>1876</v>
      </c>
      <c r="B4283" t="s">
        <v>360</v>
      </c>
      <c r="C4283" t="s">
        <v>1927</v>
      </c>
      <c r="D4283">
        <v>4</v>
      </c>
      <c r="E4283">
        <v>5</v>
      </c>
      <c r="F4283">
        <v>4</v>
      </c>
      <c r="G4283">
        <v>3</v>
      </c>
    </row>
    <row r="4284" spans="1:7">
      <c r="A4284" t="s">
        <v>1876</v>
      </c>
      <c r="B4284" t="s">
        <v>360</v>
      </c>
      <c r="C4284" t="s">
        <v>1928</v>
      </c>
      <c r="D4284">
        <v>107</v>
      </c>
      <c r="E4284">
        <v>129</v>
      </c>
      <c r="F4284">
        <v>171</v>
      </c>
      <c r="G4284">
        <v>214</v>
      </c>
    </row>
    <row r="4285" spans="1:7">
      <c r="A4285" t="s">
        <v>1876</v>
      </c>
      <c r="B4285" t="s">
        <v>360</v>
      </c>
      <c r="C4285" t="s">
        <v>1929</v>
      </c>
      <c r="D4285">
        <v>28</v>
      </c>
      <c r="E4285">
        <v>30</v>
      </c>
      <c r="F4285">
        <v>30</v>
      </c>
      <c r="G4285">
        <v>31</v>
      </c>
    </row>
    <row r="4286" spans="1:7">
      <c r="A4286" t="s">
        <v>1876</v>
      </c>
      <c r="B4286" t="s">
        <v>360</v>
      </c>
      <c r="C4286" t="s">
        <v>186</v>
      </c>
      <c r="D4286">
        <v>0</v>
      </c>
      <c r="E4286">
        <v>0</v>
      </c>
      <c r="F4286">
        <v>0</v>
      </c>
      <c r="G4286">
        <v>0</v>
      </c>
    </row>
    <row r="4287" spans="1:7">
      <c r="A4287" t="s">
        <v>1876</v>
      </c>
      <c r="B4287" t="s">
        <v>360</v>
      </c>
      <c r="C4287" t="s">
        <v>187</v>
      </c>
      <c r="D4287">
        <v>0</v>
      </c>
      <c r="E4287">
        <v>0</v>
      </c>
      <c r="F4287">
        <v>0</v>
      </c>
      <c r="G4287">
        <v>0</v>
      </c>
    </row>
    <row r="4288" spans="1:7">
      <c r="A4288" t="s">
        <v>1876</v>
      </c>
      <c r="B4288" t="s">
        <v>360</v>
      </c>
      <c r="C4288" t="s">
        <v>1705</v>
      </c>
      <c r="D4288">
        <v>1128</v>
      </c>
      <c r="E4288">
        <v>1245</v>
      </c>
      <c r="F4288">
        <v>1242</v>
      </c>
      <c r="G4288">
        <v>1112</v>
      </c>
    </row>
    <row r="4289" spans="1:7">
      <c r="A4289" t="s">
        <v>1876</v>
      </c>
      <c r="B4289" t="s">
        <v>360</v>
      </c>
      <c r="C4289" t="s">
        <v>188</v>
      </c>
      <c r="D4289">
        <v>326898</v>
      </c>
      <c r="E4289">
        <v>334900</v>
      </c>
      <c r="F4289">
        <v>351353</v>
      </c>
      <c r="G4289">
        <v>343655</v>
      </c>
    </row>
    <row r="4290" spans="1:7">
      <c r="A4290" t="s">
        <v>1876</v>
      </c>
      <c r="B4290" t="s">
        <v>360</v>
      </c>
      <c r="C4290" t="s">
        <v>189</v>
      </c>
      <c r="D4290">
        <v>0</v>
      </c>
      <c r="E4290">
        <v>0</v>
      </c>
      <c r="F4290">
        <v>0</v>
      </c>
      <c r="G4290">
        <v>0</v>
      </c>
    </row>
    <row r="4291" spans="1:7">
      <c r="A4291" t="s">
        <v>1876</v>
      </c>
      <c r="B4291" t="s">
        <v>360</v>
      </c>
      <c r="C4291" t="s">
        <v>190</v>
      </c>
      <c r="D4291">
        <v>0</v>
      </c>
      <c r="E4291">
        <v>0</v>
      </c>
      <c r="F4291">
        <v>0</v>
      </c>
      <c r="G4291">
        <v>0</v>
      </c>
    </row>
    <row r="4292" spans="1:7">
      <c r="A4292" t="s">
        <v>1876</v>
      </c>
      <c r="B4292" t="s">
        <v>360</v>
      </c>
      <c r="C4292" t="s">
        <v>191</v>
      </c>
      <c r="D4292">
        <v>0</v>
      </c>
      <c r="E4292">
        <v>0</v>
      </c>
      <c r="F4292">
        <v>0</v>
      </c>
      <c r="G4292">
        <v>0</v>
      </c>
    </row>
    <row r="4293" spans="1:7">
      <c r="A4293" t="s">
        <v>1876</v>
      </c>
      <c r="B4293" t="s">
        <v>360</v>
      </c>
      <c r="C4293" t="s">
        <v>192</v>
      </c>
      <c r="D4293">
        <v>99884.1</v>
      </c>
      <c r="E4293">
        <v>112609.7</v>
      </c>
      <c r="F4293">
        <v>120588.1</v>
      </c>
      <c r="G4293">
        <v>129018.2</v>
      </c>
    </row>
    <row r="4294" spans="1:7">
      <c r="A4294" t="s">
        <v>1876</v>
      </c>
      <c r="B4294" t="s">
        <v>360</v>
      </c>
      <c r="C4294" t="s">
        <v>193</v>
      </c>
      <c r="D4294">
        <v>88955.199999999997</v>
      </c>
      <c r="E4294">
        <v>92792.5</v>
      </c>
      <c r="F4294">
        <v>95286.5</v>
      </c>
      <c r="G4294">
        <v>99567.3</v>
      </c>
    </row>
    <row r="4295" spans="1:7">
      <c r="A4295" t="s">
        <v>1876</v>
      </c>
      <c r="B4295" t="s">
        <v>360</v>
      </c>
      <c r="C4295" t="s">
        <v>1930</v>
      </c>
      <c r="D4295">
        <v>106.1</v>
      </c>
      <c r="E4295">
        <v>104.4</v>
      </c>
      <c r="F4295">
        <v>101.1</v>
      </c>
      <c r="G4295">
        <v>104.8</v>
      </c>
    </row>
    <row r="4296" spans="1:7">
      <c r="A4296" t="s">
        <v>1876</v>
      </c>
      <c r="B4296" t="s">
        <v>360</v>
      </c>
      <c r="C4296" t="s">
        <v>194</v>
      </c>
      <c r="D4296">
        <v>613</v>
      </c>
      <c r="E4296">
        <v>613</v>
      </c>
      <c r="F4296">
        <v>613</v>
      </c>
      <c r="G4296">
        <v>613</v>
      </c>
    </row>
    <row r="4297" spans="1:7">
      <c r="A4297" t="s">
        <v>1876</v>
      </c>
      <c r="B4297" t="s">
        <v>360</v>
      </c>
      <c r="C4297" t="s">
        <v>195</v>
      </c>
      <c r="D4297">
        <v>317</v>
      </c>
      <c r="E4297">
        <v>312</v>
      </c>
      <c r="F4297">
        <v>302</v>
      </c>
      <c r="G4297">
        <v>314</v>
      </c>
    </row>
    <row r="4298" spans="1:7">
      <c r="A4298" t="s">
        <v>1876</v>
      </c>
      <c r="B4298" t="s">
        <v>360</v>
      </c>
      <c r="C4298" t="s">
        <v>1706</v>
      </c>
      <c r="D4298">
        <v>10</v>
      </c>
      <c r="E4298">
        <v>10</v>
      </c>
      <c r="F4298">
        <v>10</v>
      </c>
      <c r="G4298">
        <v>10</v>
      </c>
    </row>
    <row r="4299" spans="1:7">
      <c r="A4299" t="s">
        <v>1876</v>
      </c>
      <c r="B4299" t="s">
        <v>360</v>
      </c>
      <c r="C4299" t="s">
        <v>196</v>
      </c>
      <c r="D4299">
        <v>758</v>
      </c>
      <c r="E4299">
        <v>758</v>
      </c>
      <c r="F4299">
        <v>758</v>
      </c>
      <c r="G4299">
        <v>758</v>
      </c>
    </row>
    <row r="4300" spans="1:7">
      <c r="A4300" t="s">
        <v>1876</v>
      </c>
      <c r="B4300" t="s">
        <v>360</v>
      </c>
      <c r="C4300" t="s">
        <v>197</v>
      </c>
      <c r="D4300">
        <v>131</v>
      </c>
      <c r="E4300">
        <v>131</v>
      </c>
      <c r="F4300">
        <v>131</v>
      </c>
      <c r="G4300">
        <v>131</v>
      </c>
    </row>
    <row r="4301" spans="1:7">
      <c r="A4301" t="s">
        <v>1876</v>
      </c>
      <c r="B4301" t="s">
        <v>360</v>
      </c>
      <c r="C4301" t="s">
        <v>198</v>
      </c>
      <c r="D4301">
        <v>1819</v>
      </c>
      <c r="E4301">
        <v>1814</v>
      </c>
      <c r="F4301">
        <v>1804</v>
      </c>
      <c r="G4301">
        <v>1816</v>
      </c>
    </row>
    <row r="4302" spans="1:7">
      <c r="A4302" t="s">
        <v>1876</v>
      </c>
      <c r="B4302" t="s">
        <v>360</v>
      </c>
      <c r="C4302" t="s">
        <v>199</v>
      </c>
      <c r="D4302">
        <v>1502</v>
      </c>
      <c r="E4302">
        <v>1502</v>
      </c>
      <c r="F4302">
        <v>1502</v>
      </c>
      <c r="G4302">
        <v>1502</v>
      </c>
    </row>
    <row r="4303" spans="1:7">
      <c r="A4303" t="s">
        <v>1876</v>
      </c>
      <c r="B4303" t="s">
        <v>360</v>
      </c>
      <c r="C4303" t="s">
        <v>200</v>
      </c>
      <c r="D4303">
        <v>5</v>
      </c>
      <c r="E4303">
        <v>7</v>
      </c>
      <c r="F4303">
        <v>3</v>
      </c>
      <c r="G4303">
        <v>7</v>
      </c>
    </row>
    <row r="4304" spans="1:7">
      <c r="A4304" t="s">
        <v>1876</v>
      </c>
      <c r="B4304" t="s">
        <v>360</v>
      </c>
      <c r="C4304" t="s">
        <v>201</v>
      </c>
      <c r="D4304">
        <v>1588</v>
      </c>
      <c r="E4304">
        <v>1443</v>
      </c>
      <c r="F4304">
        <v>1295</v>
      </c>
      <c r="G4304">
        <v>1454</v>
      </c>
    </row>
    <row r="4305" spans="1:7">
      <c r="A4305" t="s">
        <v>1876</v>
      </c>
      <c r="B4305" t="s">
        <v>360</v>
      </c>
      <c r="C4305" t="s">
        <v>202</v>
      </c>
      <c r="D4305">
        <v>539</v>
      </c>
      <c r="E4305">
        <v>520</v>
      </c>
      <c r="F4305">
        <v>419</v>
      </c>
      <c r="G4305">
        <v>325</v>
      </c>
    </row>
    <row r="4306" spans="1:7">
      <c r="A4306" t="s">
        <v>1876</v>
      </c>
      <c r="B4306" t="s">
        <v>360</v>
      </c>
      <c r="C4306" t="s">
        <v>203</v>
      </c>
      <c r="D4306">
        <v>4937</v>
      </c>
      <c r="E4306">
        <v>5998</v>
      </c>
      <c r="F4306">
        <v>6121</v>
      </c>
      <c r="G4306">
        <v>6167</v>
      </c>
    </row>
    <row r="4307" spans="1:7">
      <c r="A4307" t="s">
        <v>1876</v>
      </c>
      <c r="B4307" t="s">
        <v>360</v>
      </c>
      <c r="C4307" t="s">
        <v>204</v>
      </c>
      <c r="D4307">
        <v>7068</v>
      </c>
      <c r="E4307">
        <v>7968</v>
      </c>
      <c r="F4307">
        <v>7838</v>
      </c>
      <c r="G4307">
        <v>7952</v>
      </c>
    </row>
    <row r="4308" spans="1:7">
      <c r="A4308" t="s">
        <v>1876</v>
      </c>
      <c r="B4308" t="s">
        <v>360</v>
      </c>
      <c r="C4308" t="s">
        <v>205</v>
      </c>
      <c r="D4308">
        <v>7068</v>
      </c>
      <c r="E4308">
        <v>7968</v>
      </c>
      <c r="F4308">
        <v>7838</v>
      </c>
      <c r="G4308">
        <v>7952</v>
      </c>
    </row>
    <row r="4309" spans="1:7">
      <c r="A4309" t="s">
        <v>1876</v>
      </c>
      <c r="B4309" t="s">
        <v>360</v>
      </c>
      <c r="C4309" t="s">
        <v>1931</v>
      </c>
      <c r="D4309">
        <v>0</v>
      </c>
      <c r="E4309">
        <v>0</v>
      </c>
      <c r="F4309">
        <v>0</v>
      </c>
      <c r="G4309">
        <v>0</v>
      </c>
    </row>
    <row r="4310" spans="1:7">
      <c r="A4310" t="s">
        <v>1876</v>
      </c>
      <c r="B4310" t="s">
        <v>360</v>
      </c>
      <c r="C4310" t="s">
        <v>1707</v>
      </c>
      <c r="D4310">
        <v>0</v>
      </c>
      <c r="E4310">
        <v>0</v>
      </c>
      <c r="F4310">
        <v>0</v>
      </c>
      <c r="G4310">
        <v>0</v>
      </c>
    </row>
    <row r="4311" spans="1:7">
      <c r="A4311" t="s">
        <v>1876</v>
      </c>
      <c r="B4311" t="s">
        <v>360</v>
      </c>
      <c r="C4311" t="s">
        <v>1932</v>
      </c>
      <c r="D4311">
        <v>34.799999999999997</v>
      </c>
      <c r="E4311">
        <v>35.700000000000003</v>
      </c>
      <c r="F4311">
        <v>36.4</v>
      </c>
      <c r="G4311">
        <v>39.299999999999997</v>
      </c>
    </row>
    <row r="4312" spans="1:7">
      <c r="A4312" t="s">
        <v>1876</v>
      </c>
      <c r="B4312" t="s">
        <v>360</v>
      </c>
      <c r="C4312" t="s">
        <v>1708</v>
      </c>
      <c r="D4312">
        <v>2624</v>
      </c>
      <c r="E4312">
        <v>2672</v>
      </c>
      <c r="F4312">
        <v>2631</v>
      </c>
      <c r="G4312">
        <v>2654</v>
      </c>
    </row>
    <row r="4313" spans="1:7">
      <c r="A4313" t="s">
        <v>1876</v>
      </c>
      <c r="B4313" t="s">
        <v>360</v>
      </c>
      <c r="C4313" t="s">
        <v>206</v>
      </c>
      <c r="D4313">
        <v>0</v>
      </c>
      <c r="E4313">
        <v>0</v>
      </c>
      <c r="F4313">
        <v>0</v>
      </c>
      <c r="G4313">
        <v>0</v>
      </c>
    </row>
    <row r="4314" spans="1:7">
      <c r="A4314" t="s">
        <v>1876</v>
      </c>
      <c r="B4314" t="s">
        <v>360</v>
      </c>
      <c r="C4314" t="s">
        <v>207</v>
      </c>
      <c r="D4314">
        <v>27280</v>
      </c>
      <c r="E4314">
        <v>28523</v>
      </c>
      <c r="F4314">
        <v>28585</v>
      </c>
      <c r="G4314">
        <v>31221</v>
      </c>
    </row>
    <row r="4315" spans="1:7">
      <c r="A4315" t="s">
        <v>1876</v>
      </c>
      <c r="B4315" t="s">
        <v>360</v>
      </c>
      <c r="C4315" t="s">
        <v>208</v>
      </c>
      <c r="D4315">
        <v>0</v>
      </c>
      <c r="E4315">
        <v>0</v>
      </c>
      <c r="F4315">
        <v>0</v>
      </c>
      <c r="G4315">
        <v>0</v>
      </c>
    </row>
    <row r="4316" spans="1:7">
      <c r="A4316" t="s">
        <v>1876</v>
      </c>
      <c r="B4316" t="s">
        <v>360</v>
      </c>
      <c r="C4316" t="s">
        <v>209</v>
      </c>
      <c r="D4316">
        <v>27280</v>
      </c>
      <c r="E4316">
        <v>28523</v>
      </c>
      <c r="F4316">
        <v>28585</v>
      </c>
      <c r="G4316">
        <v>31221</v>
      </c>
    </row>
    <row r="4317" spans="1:7">
      <c r="A4317" t="s">
        <v>1876</v>
      </c>
      <c r="B4317" t="s">
        <v>360</v>
      </c>
      <c r="C4317" t="s">
        <v>210</v>
      </c>
      <c r="D4317">
        <v>0</v>
      </c>
      <c r="E4317">
        <v>0</v>
      </c>
      <c r="F4317">
        <v>0</v>
      </c>
      <c r="G4317">
        <v>0</v>
      </c>
    </row>
    <row r="4318" spans="1:7">
      <c r="A4318" t="s">
        <v>1876</v>
      </c>
      <c r="B4318" t="s">
        <v>360</v>
      </c>
      <c r="C4318" t="s">
        <v>211</v>
      </c>
      <c r="D4318">
        <v>0</v>
      </c>
      <c r="E4318">
        <v>0</v>
      </c>
      <c r="F4318">
        <v>0</v>
      </c>
      <c r="G4318">
        <v>0</v>
      </c>
    </row>
    <row r="4319" spans="1:7">
      <c r="A4319" t="s">
        <v>1876</v>
      </c>
      <c r="B4319" t="s">
        <v>360</v>
      </c>
      <c r="C4319" t="s">
        <v>212</v>
      </c>
      <c r="D4319">
        <v>0</v>
      </c>
      <c r="E4319">
        <v>0</v>
      </c>
      <c r="F4319">
        <v>0</v>
      </c>
      <c r="G4319">
        <v>0</v>
      </c>
    </row>
    <row r="4320" spans="1:7">
      <c r="A4320" t="s">
        <v>1876</v>
      </c>
      <c r="B4320" t="s">
        <v>360</v>
      </c>
      <c r="C4320" t="s">
        <v>213</v>
      </c>
      <c r="D4320">
        <v>0</v>
      </c>
      <c r="E4320">
        <v>0</v>
      </c>
      <c r="F4320">
        <v>0</v>
      </c>
      <c r="G4320">
        <v>0</v>
      </c>
    </row>
    <row r="4321" spans="1:7">
      <c r="A4321" t="s">
        <v>1876</v>
      </c>
      <c r="B4321" t="s">
        <v>360</v>
      </c>
      <c r="C4321" t="s">
        <v>214</v>
      </c>
      <c r="D4321">
        <v>0</v>
      </c>
      <c r="E4321">
        <v>0</v>
      </c>
      <c r="F4321">
        <v>0</v>
      </c>
      <c r="G4321">
        <v>0</v>
      </c>
    </row>
    <row r="4322" spans="1:7">
      <c r="A4322" t="s">
        <v>1876</v>
      </c>
      <c r="B4322" t="s">
        <v>360</v>
      </c>
      <c r="C4322" t="s">
        <v>215</v>
      </c>
      <c r="D4322">
        <v>8661</v>
      </c>
      <c r="E4322">
        <v>10792</v>
      </c>
      <c r="F4322">
        <v>9312</v>
      </c>
      <c r="G4322">
        <v>9774</v>
      </c>
    </row>
    <row r="4323" spans="1:7">
      <c r="A4323" t="s">
        <v>1876</v>
      </c>
      <c r="B4323" t="s">
        <v>360</v>
      </c>
      <c r="C4323" t="s">
        <v>216</v>
      </c>
      <c r="D4323">
        <v>8661</v>
      </c>
      <c r="E4323">
        <v>10792</v>
      </c>
      <c r="F4323">
        <v>9312</v>
      </c>
      <c r="G4323">
        <v>9774</v>
      </c>
    </row>
    <row r="4324" spans="1:7">
      <c r="A4324" t="s">
        <v>1876</v>
      </c>
      <c r="B4324" t="s">
        <v>360</v>
      </c>
      <c r="C4324" t="s">
        <v>217</v>
      </c>
      <c r="D4324">
        <v>8661</v>
      </c>
      <c r="E4324">
        <v>10792</v>
      </c>
      <c r="F4324">
        <v>9312</v>
      </c>
      <c r="G4324">
        <v>9774</v>
      </c>
    </row>
    <row r="4325" spans="1:7">
      <c r="A4325" t="s">
        <v>1876</v>
      </c>
      <c r="B4325" t="s">
        <v>360</v>
      </c>
      <c r="C4325" t="s">
        <v>218</v>
      </c>
      <c r="D4325">
        <v>2</v>
      </c>
      <c r="E4325">
        <v>1</v>
      </c>
      <c r="F4325">
        <v>3</v>
      </c>
      <c r="G4325">
        <v>2</v>
      </c>
    </row>
    <row r="4326" spans="1:7">
      <c r="A4326" t="s">
        <v>1876</v>
      </c>
      <c r="B4326" t="s">
        <v>360</v>
      </c>
      <c r="C4326" t="s">
        <v>219</v>
      </c>
      <c r="D4326">
        <v>1</v>
      </c>
      <c r="E4326">
        <v>1</v>
      </c>
      <c r="F4326">
        <v>2</v>
      </c>
      <c r="G4326">
        <v>1</v>
      </c>
    </row>
    <row r="4327" spans="1:7">
      <c r="A4327" t="s">
        <v>1876</v>
      </c>
      <c r="B4327" t="s">
        <v>360</v>
      </c>
      <c r="C4327" t="s">
        <v>220</v>
      </c>
      <c r="D4327">
        <v>4</v>
      </c>
      <c r="E4327">
        <v>3</v>
      </c>
      <c r="F4327">
        <v>7</v>
      </c>
      <c r="G4327">
        <v>5</v>
      </c>
    </row>
    <row r="4328" spans="1:7">
      <c r="A4328" t="s">
        <v>1876</v>
      </c>
      <c r="B4328" t="s">
        <v>360</v>
      </c>
      <c r="C4328" t="s">
        <v>221</v>
      </c>
      <c r="D4328">
        <v>6</v>
      </c>
      <c r="E4328">
        <v>5</v>
      </c>
      <c r="F4328">
        <v>12</v>
      </c>
      <c r="G4328">
        <v>8</v>
      </c>
    </row>
    <row r="4329" spans="1:7">
      <c r="A4329" t="s">
        <v>1876</v>
      </c>
      <c r="B4329" t="s">
        <v>360</v>
      </c>
      <c r="C4329" t="s">
        <v>222</v>
      </c>
      <c r="D4329">
        <v>6</v>
      </c>
      <c r="E4329">
        <v>5</v>
      </c>
      <c r="F4329">
        <v>12</v>
      </c>
      <c r="G4329">
        <v>8</v>
      </c>
    </row>
    <row r="4330" spans="1:7">
      <c r="A4330" t="s">
        <v>1876</v>
      </c>
      <c r="B4330" t="s">
        <v>360</v>
      </c>
      <c r="C4330" t="s">
        <v>1933</v>
      </c>
      <c r="D4330">
        <v>1785.4</v>
      </c>
      <c r="E4330">
        <v>1795.5</v>
      </c>
      <c r="F4330">
        <v>1820.8</v>
      </c>
      <c r="G4330">
        <v>1861.6</v>
      </c>
    </row>
    <row r="4331" spans="1:7">
      <c r="A4331" t="s">
        <v>1876</v>
      </c>
      <c r="B4331" t="s">
        <v>360</v>
      </c>
      <c r="C4331" t="s">
        <v>223</v>
      </c>
      <c r="D4331">
        <v>0</v>
      </c>
      <c r="E4331">
        <v>0</v>
      </c>
      <c r="F4331">
        <v>0</v>
      </c>
      <c r="G4331">
        <v>0</v>
      </c>
    </row>
    <row r="4332" spans="1:7">
      <c r="A4332" t="s">
        <v>1876</v>
      </c>
      <c r="B4332" t="s">
        <v>360</v>
      </c>
      <c r="C4332" t="s">
        <v>224</v>
      </c>
      <c r="D4332">
        <v>21314</v>
      </c>
      <c r="E4332">
        <v>22064</v>
      </c>
      <c r="F4332">
        <v>22332</v>
      </c>
      <c r="G4332">
        <v>21597</v>
      </c>
    </row>
    <row r="4333" spans="1:7">
      <c r="A4333" t="s">
        <v>1876</v>
      </c>
      <c r="B4333" t="s">
        <v>360</v>
      </c>
      <c r="C4333" t="s">
        <v>225</v>
      </c>
      <c r="D4333">
        <v>30304</v>
      </c>
      <c r="E4333">
        <v>30339</v>
      </c>
      <c r="F4333">
        <v>29502</v>
      </c>
      <c r="G4333">
        <v>29692</v>
      </c>
    </row>
    <row r="4334" spans="1:7">
      <c r="A4334" t="s">
        <v>1876</v>
      </c>
      <c r="B4334" t="s">
        <v>360</v>
      </c>
      <c r="C4334" t="s">
        <v>226</v>
      </c>
      <c r="D4334">
        <v>30034</v>
      </c>
      <c r="E4334">
        <v>32156</v>
      </c>
      <c r="F4334">
        <v>31965</v>
      </c>
      <c r="G4334">
        <v>30494</v>
      </c>
    </row>
    <row r="4335" spans="1:7">
      <c r="A4335" t="s">
        <v>1876</v>
      </c>
      <c r="B4335" t="s">
        <v>360</v>
      </c>
      <c r="C4335" t="s">
        <v>227</v>
      </c>
      <c r="D4335">
        <v>81652</v>
      </c>
      <c r="E4335">
        <v>84559</v>
      </c>
      <c r="F4335">
        <v>83798</v>
      </c>
      <c r="G4335">
        <v>81784</v>
      </c>
    </row>
    <row r="4336" spans="1:7">
      <c r="A4336" t="s">
        <v>1876</v>
      </c>
      <c r="B4336" t="s">
        <v>360</v>
      </c>
      <c r="C4336" t="s">
        <v>228</v>
      </c>
      <c r="D4336">
        <v>81652</v>
      </c>
      <c r="E4336">
        <v>84559</v>
      </c>
      <c r="F4336">
        <v>83798</v>
      </c>
      <c r="G4336">
        <v>81784</v>
      </c>
    </row>
    <row r="4337" spans="1:7">
      <c r="A4337" t="s">
        <v>1876</v>
      </c>
      <c r="B4337" t="s">
        <v>360</v>
      </c>
      <c r="C4337" t="s">
        <v>229</v>
      </c>
      <c r="D4337">
        <v>895</v>
      </c>
      <c r="E4337">
        <v>933</v>
      </c>
      <c r="F4337">
        <v>728</v>
      </c>
      <c r="G4337">
        <v>645</v>
      </c>
    </row>
    <row r="4338" spans="1:7">
      <c r="A4338" t="s">
        <v>1876</v>
      </c>
      <c r="B4338" t="s">
        <v>360</v>
      </c>
      <c r="C4338" t="s">
        <v>230</v>
      </c>
      <c r="D4338">
        <v>446</v>
      </c>
      <c r="E4338">
        <v>487</v>
      </c>
      <c r="F4338">
        <v>376</v>
      </c>
      <c r="G4338">
        <v>363</v>
      </c>
    </row>
    <row r="4339" spans="1:7">
      <c r="A4339" t="s">
        <v>1876</v>
      </c>
      <c r="B4339" t="s">
        <v>360</v>
      </c>
      <c r="C4339" t="s">
        <v>231</v>
      </c>
      <c r="D4339">
        <v>1340</v>
      </c>
      <c r="E4339">
        <v>1421</v>
      </c>
      <c r="F4339">
        <v>1104</v>
      </c>
      <c r="G4339">
        <v>1008</v>
      </c>
    </row>
    <row r="4340" spans="1:7">
      <c r="A4340" t="s">
        <v>1876</v>
      </c>
      <c r="B4340" t="s">
        <v>360</v>
      </c>
      <c r="C4340" t="s">
        <v>232</v>
      </c>
      <c r="D4340">
        <v>1340</v>
      </c>
      <c r="E4340">
        <v>1421</v>
      </c>
      <c r="F4340">
        <v>1104</v>
      </c>
      <c r="G4340">
        <v>1008</v>
      </c>
    </row>
    <row r="4341" spans="1:7">
      <c r="A4341" t="s">
        <v>1876</v>
      </c>
      <c r="B4341" t="s">
        <v>360</v>
      </c>
      <c r="C4341" t="s">
        <v>233</v>
      </c>
      <c r="D4341">
        <v>0</v>
      </c>
      <c r="E4341">
        <v>0</v>
      </c>
      <c r="F4341">
        <v>0</v>
      </c>
      <c r="G4341">
        <v>0</v>
      </c>
    </row>
    <row r="4342" spans="1:7">
      <c r="A4342" t="s">
        <v>1876</v>
      </c>
      <c r="B4342" t="s">
        <v>360</v>
      </c>
      <c r="C4342" t="s">
        <v>234</v>
      </c>
      <c r="D4342">
        <v>93816</v>
      </c>
      <c r="E4342">
        <v>92469</v>
      </c>
      <c r="F4342">
        <v>95694</v>
      </c>
      <c r="G4342">
        <v>87123</v>
      </c>
    </row>
    <row r="4343" spans="1:7">
      <c r="A4343" t="s">
        <v>1876</v>
      </c>
      <c r="B4343" t="s">
        <v>360</v>
      </c>
      <c r="C4343" t="s">
        <v>235</v>
      </c>
      <c r="D4343">
        <v>1694</v>
      </c>
      <c r="E4343">
        <v>2173</v>
      </c>
      <c r="F4343">
        <v>1733</v>
      </c>
      <c r="G4343">
        <v>1681</v>
      </c>
    </row>
    <row r="4344" spans="1:7">
      <c r="A4344" t="s">
        <v>1876</v>
      </c>
      <c r="B4344" t="s">
        <v>360</v>
      </c>
      <c r="C4344" t="s">
        <v>236</v>
      </c>
      <c r="D4344">
        <v>2893</v>
      </c>
      <c r="E4344">
        <v>3129</v>
      </c>
      <c r="F4344">
        <v>3014</v>
      </c>
      <c r="G4344">
        <v>2026</v>
      </c>
    </row>
    <row r="4345" spans="1:7">
      <c r="A4345" t="s">
        <v>1876</v>
      </c>
      <c r="B4345" t="s">
        <v>360</v>
      </c>
      <c r="C4345" t="s">
        <v>237</v>
      </c>
      <c r="D4345">
        <v>98403</v>
      </c>
      <c r="E4345">
        <v>97771</v>
      </c>
      <c r="F4345">
        <v>100441</v>
      </c>
      <c r="G4345">
        <v>90831</v>
      </c>
    </row>
    <row r="4346" spans="1:7">
      <c r="A4346" t="s">
        <v>1876</v>
      </c>
      <c r="B4346" t="s">
        <v>360</v>
      </c>
      <c r="C4346" t="s">
        <v>238</v>
      </c>
      <c r="D4346">
        <v>98403</v>
      </c>
      <c r="E4346">
        <v>97771</v>
      </c>
      <c r="F4346">
        <v>100441</v>
      </c>
      <c r="G4346">
        <v>90831</v>
      </c>
    </row>
    <row r="4347" spans="1:7">
      <c r="A4347" t="s">
        <v>1876</v>
      </c>
      <c r="B4347" t="s">
        <v>360</v>
      </c>
      <c r="C4347" t="s">
        <v>1934</v>
      </c>
      <c r="D4347">
        <v>87302</v>
      </c>
      <c r="E4347">
        <v>86477</v>
      </c>
      <c r="F4347">
        <v>89643</v>
      </c>
      <c r="G4347">
        <v>81836</v>
      </c>
    </row>
    <row r="4348" spans="1:7">
      <c r="A4348" t="s">
        <v>1876</v>
      </c>
      <c r="B4348" t="s">
        <v>360</v>
      </c>
      <c r="C4348" t="s">
        <v>1935</v>
      </c>
      <c r="D4348">
        <v>1576</v>
      </c>
      <c r="E4348">
        <v>2032</v>
      </c>
      <c r="F4348">
        <v>1623</v>
      </c>
      <c r="G4348">
        <v>1579</v>
      </c>
    </row>
    <row r="4349" spans="1:7">
      <c r="A4349" t="s">
        <v>1876</v>
      </c>
      <c r="B4349" t="s">
        <v>360</v>
      </c>
      <c r="C4349" t="s">
        <v>1936</v>
      </c>
      <c r="D4349">
        <v>2692</v>
      </c>
      <c r="E4349">
        <v>2926</v>
      </c>
      <c r="F4349">
        <v>2824</v>
      </c>
      <c r="G4349">
        <v>1903</v>
      </c>
    </row>
    <row r="4350" spans="1:7">
      <c r="A4350" t="s">
        <v>1876</v>
      </c>
      <c r="B4350" t="s">
        <v>360</v>
      </c>
      <c r="C4350" t="s">
        <v>239</v>
      </c>
      <c r="D4350">
        <v>91570</v>
      </c>
      <c r="E4350">
        <v>91435</v>
      </c>
      <c r="F4350">
        <v>94090</v>
      </c>
      <c r="G4350">
        <v>85319</v>
      </c>
    </row>
    <row r="4351" spans="1:7">
      <c r="A4351" t="s">
        <v>1876</v>
      </c>
      <c r="B4351" t="s">
        <v>360</v>
      </c>
      <c r="C4351" t="s">
        <v>240</v>
      </c>
      <c r="D4351">
        <v>64</v>
      </c>
      <c r="E4351">
        <v>162</v>
      </c>
      <c r="F4351">
        <v>155</v>
      </c>
      <c r="G4351">
        <v>152</v>
      </c>
    </row>
    <row r="4352" spans="1:7">
      <c r="A4352" t="s">
        <v>1876</v>
      </c>
      <c r="B4352" t="s">
        <v>360</v>
      </c>
      <c r="C4352" t="s">
        <v>241</v>
      </c>
      <c r="D4352">
        <v>0</v>
      </c>
      <c r="E4352">
        <v>0</v>
      </c>
      <c r="F4352">
        <v>0</v>
      </c>
      <c r="G4352">
        <v>0</v>
      </c>
    </row>
    <row r="4353" spans="1:7">
      <c r="A4353" t="s">
        <v>1876</v>
      </c>
      <c r="B4353" t="s">
        <v>360</v>
      </c>
      <c r="C4353" t="s">
        <v>242</v>
      </c>
      <c r="D4353">
        <v>6400</v>
      </c>
      <c r="E4353">
        <v>7733</v>
      </c>
      <c r="F4353">
        <v>8011</v>
      </c>
      <c r="G4353">
        <v>8072</v>
      </c>
    </row>
    <row r="4354" spans="1:7">
      <c r="A4354" t="s">
        <v>1876</v>
      </c>
      <c r="B4354" t="s">
        <v>360</v>
      </c>
      <c r="C4354" t="s">
        <v>243</v>
      </c>
      <c r="D4354">
        <v>20803</v>
      </c>
      <c r="E4354">
        <v>23759</v>
      </c>
      <c r="F4354">
        <v>23390</v>
      </c>
      <c r="G4354">
        <v>26748</v>
      </c>
    </row>
    <row r="4355" spans="1:7">
      <c r="A4355" t="s">
        <v>1876</v>
      </c>
      <c r="B4355" t="s">
        <v>360</v>
      </c>
      <c r="C4355" t="s">
        <v>244</v>
      </c>
      <c r="D4355">
        <v>37854</v>
      </c>
      <c r="E4355">
        <v>33438</v>
      </c>
      <c r="F4355">
        <v>47161</v>
      </c>
      <c r="G4355">
        <v>54683</v>
      </c>
    </row>
    <row r="4356" spans="1:7">
      <c r="A4356" t="s">
        <v>1876</v>
      </c>
      <c r="B4356" t="s">
        <v>360</v>
      </c>
      <c r="C4356" t="s">
        <v>1709</v>
      </c>
      <c r="D4356">
        <v>1118</v>
      </c>
      <c r="E4356">
        <v>1239</v>
      </c>
      <c r="F4356">
        <v>1237</v>
      </c>
      <c r="G4356">
        <v>1106</v>
      </c>
    </row>
    <row r="4357" spans="1:7">
      <c r="A4357" t="s">
        <v>1876</v>
      </c>
      <c r="B4357" t="s">
        <v>360</v>
      </c>
      <c r="C4357" t="s">
        <v>245</v>
      </c>
      <c r="D4357">
        <v>38683</v>
      </c>
      <c r="E4357">
        <v>40085</v>
      </c>
      <c r="F4357">
        <v>40569</v>
      </c>
      <c r="G4357">
        <v>37707</v>
      </c>
    </row>
    <row r="4358" spans="1:7">
      <c r="A4358" t="s">
        <v>1876</v>
      </c>
      <c r="B4358" t="s">
        <v>360</v>
      </c>
      <c r="C4358" t="s">
        <v>246</v>
      </c>
      <c r="D4358">
        <v>31436</v>
      </c>
      <c r="E4358">
        <v>36910</v>
      </c>
      <c r="F4358">
        <v>35654</v>
      </c>
      <c r="G4358">
        <v>34217</v>
      </c>
    </row>
    <row r="4359" spans="1:7">
      <c r="A4359" t="s">
        <v>1876</v>
      </c>
      <c r="B4359" t="s">
        <v>360</v>
      </c>
      <c r="C4359" t="s">
        <v>247</v>
      </c>
      <c r="D4359">
        <v>135176</v>
      </c>
      <c r="E4359">
        <v>141924</v>
      </c>
      <c r="F4359">
        <v>154785</v>
      </c>
      <c r="G4359">
        <v>161427</v>
      </c>
    </row>
    <row r="4360" spans="1:7">
      <c r="A4360" t="s">
        <v>1876</v>
      </c>
      <c r="B4360" t="s">
        <v>360</v>
      </c>
      <c r="C4360" t="s">
        <v>248</v>
      </c>
      <c r="D4360">
        <v>71</v>
      </c>
      <c r="E4360">
        <v>73</v>
      </c>
      <c r="F4360">
        <v>78.599999999999994</v>
      </c>
      <c r="G4360">
        <v>80.7</v>
      </c>
    </row>
    <row r="4361" spans="1:7">
      <c r="A4361" t="s">
        <v>1876</v>
      </c>
      <c r="B4361" t="s">
        <v>360</v>
      </c>
      <c r="C4361" t="s">
        <v>249</v>
      </c>
      <c r="D4361">
        <v>97322</v>
      </c>
      <c r="E4361">
        <v>108486</v>
      </c>
      <c r="F4361">
        <v>107625</v>
      </c>
      <c r="G4361">
        <v>106744</v>
      </c>
    </row>
    <row r="4362" spans="1:7">
      <c r="A4362" t="s">
        <v>1876</v>
      </c>
      <c r="B4362" t="s">
        <v>360</v>
      </c>
      <c r="C4362" t="s">
        <v>250</v>
      </c>
      <c r="D4362">
        <v>135176</v>
      </c>
      <c r="E4362">
        <v>141924</v>
      </c>
      <c r="F4362">
        <v>154150</v>
      </c>
      <c r="G4362">
        <v>160631</v>
      </c>
    </row>
    <row r="4363" spans="1:7">
      <c r="A4363" t="s">
        <v>1876</v>
      </c>
      <c r="B4363" t="s">
        <v>360</v>
      </c>
      <c r="C4363" t="s">
        <v>1937</v>
      </c>
      <c r="D4363">
        <v>21.7</v>
      </c>
      <c r="E4363">
        <v>18.399999999999999</v>
      </c>
      <c r="F4363">
        <v>38.9</v>
      </c>
      <c r="G4363">
        <v>58</v>
      </c>
    </row>
    <row r="4364" spans="1:7">
      <c r="A4364" t="s">
        <v>1876</v>
      </c>
      <c r="B4364" t="s">
        <v>360</v>
      </c>
      <c r="C4364" t="s">
        <v>1938</v>
      </c>
      <c r="D4364">
        <v>0</v>
      </c>
      <c r="E4364">
        <v>0</v>
      </c>
      <c r="F4364">
        <v>0</v>
      </c>
      <c r="G4364">
        <v>0</v>
      </c>
    </row>
    <row r="4365" spans="1:7">
      <c r="A4365" t="s">
        <v>1876</v>
      </c>
      <c r="B4365" t="s">
        <v>360</v>
      </c>
      <c r="C4365" t="s">
        <v>251</v>
      </c>
      <c r="D4365">
        <v>0</v>
      </c>
      <c r="E4365">
        <v>0</v>
      </c>
      <c r="F4365">
        <v>0</v>
      </c>
      <c r="G4365">
        <v>0</v>
      </c>
    </row>
    <row r="4366" spans="1:7">
      <c r="A4366" t="s">
        <v>1876</v>
      </c>
      <c r="B4366" t="s">
        <v>360</v>
      </c>
      <c r="C4366" t="s">
        <v>252</v>
      </c>
      <c r="D4366">
        <v>0</v>
      </c>
      <c r="E4366">
        <v>0</v>
      </c>
      <c r="F4366">
        <v>0</v>
      </c>
      <c r="G4366">
        <v>0</v>
      </c>
    </row>
    <row r="4367" spans="1:7">
      <c r="A4367" t="s">
        <v>1876</v>
      </c>
      <c r="B4367" t="s">
        <v>360</v>
      </c>
      <c r="C4367" t="s">
        <v>1710</v>
      </c>
      <c r="D4367">
        <v>0</v>
      </c>
      <c r="E4367">
        <v>0</v>
      </c>
      <c r="F4367">
        <v>0</v>
      </c>
      <c r="G4367">
        <v>0</v>
      </c>
    </row>
    <row r="4368" spans="1:7">
      <c r="A4368" t="s">
        <v>1876</v>
      </c>
      <c r="B4368" t="s">
        <v>360</v>
      </c>
      <c r="C4368" t="s">
        <v>1939</v>
      </c>
      <c r="D4368">
        <v>55.6</v>
      </c>
      <c r="E4368">
        <v>51.3</v>
      </c>
      <c r="F4368">
        <v>58.7</v>
      </c>
      <c r="G4368">
        <v>54.8</v>
      </c>
    </row>
    <row r="4369" spans="1:7">
      <c r="A4369" t="s">
        <v>1876</v>
      </c>
      <c r="B4369" t="s">
        <v>360</v>
      </c>
      <c r="C4369" t="s">
        <v>253</v>
      </c>
      <c r="D4369">
        <v>0</v>
      </c>
      <c r="E4369">
        <v>0</v>
      </c>
      <c r="F4369">
        <v>0</v>
      </c>
      <c r="G4369">
        <v>0</v>
      </c>
    </row>
    <row r="4370" spans="1:7">
      <c r="A4370" t="s">
        <v>1876</v>
      </c>
      <c r="B4370" t="s">
        <v>360</v>
      </c>
      <c r="C4370" t="s">
        <v>1711</v>
      </c>
      <c r="D4370">
        <v>0</v>
      </c>
      <c r="E4370">
        <v>0</v>
      </c>
      <c r="F4370">
        <v>0</v>
      </c>
      <c r="G4370">
        <v>0</v>
      </c>
    </row>
    <row r="4371" spans="1:7">
      <c r="A4371" t="s">
        <v>1876</v>
      </c>
      <c r="B4371" t="s">
        <v>360</v>
      </c>
      <c r="C4371" t="s">
        <v>1712</v>
      </c>
      <c r="D4371">
        <v>129</v>
      </c>
      <c r="E4371">
        <v>294</v>
      </c>
      <c r="F4371">
        <v>252</v>
      </c>
      <c r="G4371">
        <v>265</v>
      </c>
    </row>
    <row r="4372" spans="1:7">
      <c r="A4372" t="s">
        <v>1876</v>
      </c>
      <c r="B4372" t="s">
        <v>360</v>
      </c>
      <c r="C4372" t="s">
        <v>1713</v>
      </c>
      <c r="D4372">
        <v>307</v>
      </c>
      <c r="E4372">
        <v>199</v>
      </c>
      <c r="F4372">
        <v>273</v>
      </c>
      <c r="G4372">
        <v>97</v>
      </c>
    </row>
    <row r="4373" spans="1:7">
      <c r="A4373" t="s">
        <v>1876</v>
      </c>
      <c r="B4373" t="s">
        <v>360</v>
      </c>
      <c r="C4373" t="s">
        <v>1940</v>
      </c>
      <c r="D4373">
        <v>0</v>
      </c>
      <c r="E4373">
        <v>0</v>
      </c>
      <c r="F4373">
        <v>0</v>
      </c>
      <c r="G4373">
        <v>0</v>
      </c>
    </row>
    <row r="4374" spans="1:7">
      <c r="A4374" t="s">
        <v>1876</v>
      </c>
      <c r="B4374" t="s">
        <v>360</v>
      </c>
      <c r="C4374" t="s">
        <v>1941</v>
      </c>
      <c r="D4374">
        <v>0</v>
      </c>
      <c r="E4374">
        <v>0</v>
      </c>
      <c r="F4374">
        <v>0</v>
      </c>
      <c r="G4374">
        <v>0</v>
      </c>
    </row>
    <row r="4375" spans="1:7">
      <c r="A4375" t="s">
        <v>1876</v>
      </c>
      <c r="B4375" t="s">
        <v>360</v>
      </c>
      <c r="C4375" t="s">
        <v>254</v>
      </c>
      <c r="D4375">
        <v>129</v>
      </c>
      <c r="E4375">
        <v>294</v>
      </c>
      <c r="F4375">
        <v>252</v>
      </c>
      <c r="G4375">
        <v>265</v>
      </c>
    </row>
    <row r="4376" spans="1:7">
      <c r="A4376" t="s">
        <v>1876</v>
      </c>
      <c r="B4376" t="s">
        <v>360</v>
      </c>
      <c r="C4376" t="s">
        <v>1942</v>
      </c>
      <c r="D4376">
        <v>0</v>
      </c>
      <c r="E4376">
        <v>0</v>
      </c>
      <c r="F4376">
        <v>0</v>
      </c>
      <c r="G4376">
        <v>0</v>
      </c>
    </row>
    <row r="4377" spans="1:7">
      <c r="A4377" t="s">
        <v>1876</v>
      </c>
      <c r="B4377" t="s">
        <v>360</v>
      </c>
      <c r="C4377" t="s">
        <v>255</v>
      </c>
      <c r="D4377">
        <v>436</v>
      </c>
      <c r="E4377">
        <v>493</v>
      </c>
      <c r="F4377">
        <v>526</v>
      </c>
      <c r="G4377">
        <v>362</v>
      </c>
    </row>
    <row r="4378" spans="1:7">
      <c r="A4378" t="s">
        <v>1876</v>
      </c>
      <c r="B4378" t="s">
        <v>360</v>
      </c>
      <c r="C4378" t="s">
        <v>256</v>
      </c>
      <c r="D4378">
        <v>436</v>
      </c>
      <c r="E4378">
        <v>493</v>
      </c>
      <c r="F4378">
        <v>526</v>
      </c>
      <c r="G4378">
        <v>362</v>
      </c>
    </row>
    <row r="4379" spans="1:7">
      <c r="A4379" t="s">
        <v>1876</v>
      </c>
      <c r="B4379" t="s">
        <v>360</v>
      </c>
      <c r="C4379" t="s">
        <v>1714</v>
      </c>
      <c r="D4379">
        <v>15</v>
      </c>
      <c r="E4379">
        <v>15</v>
      </c>
      <c r="F4379">
        <v>15</v>
      </c>
      <c r="G4379">
        <v>15</v>
      </c>
    </row>
    <row r="4380" spans="1:7">
      <c r="A4380" t="s">
        <v>1876</v>
      </c>
      <c r="B4380" t="s">
        <v>360</v>
      </c>
      <c r="C4380" t="s">
        <v>257</v>
      </c>
      <c r="D4380">
        <v>6445</v>
      </c>
      <c r="E4380">
        <v>6131</v>
      </c>
      <c r="F4380">
        <v>6097</v>
      </c>
      <c r="G4380">
        <v>6619</v>
      </c>
    </row>
    <row r="4381" spans="1:7">
      <c r="A4381" t="s">
        <v>1876</v>
      </c>
      <c r="B4381" t="s">
        <v>360</v>
      </c>
      <c r="C4381" t="s">
        <v>258</v>
      </c>
      <c r="D4381">
        <v>7915</v>
      </c>
      <c r="E4381">
        <v>7541</v>
      </c>
      <c r="F4381">
        <v>7365</v>
      </c>
      <c r="G4381">
        <v>7645</v>
      </c>
    </row>
    <row r="4382" spans="1:7">
      <c r="A4382" t="s">
        <v>1876</v>
      </c>
      <c r="B4382" t="s">
        <v>360</v>
      </c>
      <c r="C4382" t="s">
        <v>259</v>
      </c>
      <c r="D4382">
        <v>7915</v>
      </c>
      <c r="E4382">
        <v>7541</v>
      </c>
      <c r="F4382">
        <v>7365</v>
      </c>
      <c r="G4382">
        <v>7645</v>
      </c>
    </row>
    <row r="4383" spans="1:7">
      <c r="A4383" t="s">
        <v>1876</v>
      </c>
      <c r="B4383" t="s">
        <v>360</v>
      </c>
      <c r="C4383" t="s">
        <v>260</v>
      </c>
      <c r="D4383">
        <v>162930</v>
      </c>
      <c r="E4383">
        <v>163039</v>
      </c>
      <c r="F4383">
        <v>169037</v>
      </c>
      <c r="G4383">
        <v>154979</v>
      </c>
    </row>
    <row r="4384" spans="1:7">
      <c r="A4384" t="s">
        <v>1876</v>
      </c>
      <c r="B4384" t="s">
        <v>360</v>
      </c>
      <c r="C4384" t="s">
        <v>1943</v>
      </c>
      <c r="D4384">
        <v>0.1</v>
      </c>
      <c r="E4384">
        <v>0.1</v>
      </c>
      <c r="F4384">
        <v>0.1</v>
      </c>
      <c r="G4384">
        <v>0.1</v>
      </c>
    </row>
    <row r="4385" spans="1:7">
      <c r="A4385" t="s">
        <v>1876</v>
      </c>
      <c r="B4385" t="s">
        <v>360</v>
      </c>
      <c r="C4385" t="s">
        <v>261</v>
      </c>
      <c r="D4385">
        <v>5501</v>
      </c>
      <c r="E4385">
        <v>5974</v>
      </c>
      <c r="F4385">
        <v>5451</v>
      </c>
      <c r="G4385">
        <v>5362</v>
      </c>
    </row>
    <row r="4386" spans="1:7">
      <c r="A4386" t="s">
        <v>1876</v>
      </c>
      <c r="B4386" t="s">
        <v>360</v>
      </c>
      <c r="C4386" t="s">
        <v>262</v>
      </c>
      <c r="D4386">
        <v>0</v>
      </c>
      <c r="E4386">
        <v>0</v>
      </c>
      <c r="F4386">
        <v>1</v>
      </c>
      <c r="G4386">
        <v>0</v>
      </c>
    </row>
    <row r="4387" spans="1:7">
      <c r="A4387" t="s">
        <v>1876</v>
      </c>
      <c r="B4387" t="s">
        <v>360</v>
      </c>
      <c r="C4387" t="s">
        <v>1715</v>
      </c>
      <c r="D4387">
        <v>5</v>
      </c>
      <c r="E4387">
        <v>5</v>
      </c>
      <c r="F4387">
        <v>5</v>
      </c>
      <c r="G4387">
        <v>6</v>
      </c>
    </row>
    <row r="4388" spans="1:7">
      <c r="A4388" t="s">
        <v>1876</v>
      </c>
      <c r="B4388" t="s">
        <v>360</v>
      </c>
      <c r="C4388" t="s">
        <v>263</v>
      </c>
      <c r="D4388">
        <v>21964</v>
      </c>
      <c r="E4388">
        <v>22001</v>
      </c>
      <c r="F4388">
        <v>21455</v>
      </c>
      <c r="G4388">
        <v>20544</v>
      </c>
    </row>
    <row r="4389" spans="1:7">
      <c r="A4389" t="s">
        <v>1876</v>
      </c>
      <c r="B4389" t="s">
        <v>360</v>
      </c>
      <c r="C4389" t="s">
        <v>264</v>
      </c>
      <c r="D4389">
        <v>5642</v>
      </c>
      <c r="E4389">
        <v>6756</v>
      </c>
      <c r="F4389">
        <v>6902</v>
      </c>
      <c r="G4389">
        <v>6868</v>
      </c>
    </row>
    <row r="4390" spans="1:7">
      <c r="A4390" t="s">
        <v>1876</v>
      </c>
      <c r="B4390" t="s">
        <v>360</v>
      </c>
      <c r="C4390" t="s">
        <v>265</v>
      </c>
      <c r="D4390">
        <v>196037</v>
      </c>
      <c r="E4390">
        <v>197770</v>
      </c>
      <c r="F4390">
        <v>202845</v>
      </c>
      <c r="G4390">
        <v>187753</v>
      </c>
    </row>
    <row r="4391" spans="1:7">
      <c r="A4391" t="s">
        <v>1876</v>
      </c>
      <c r="B4391" t="s">
        <v>360</v>
      </c>
      <c r="C4391" t="s">
        <v>266</v>
      </c>
      <c r="D4391">
        <v>102.9</v>
      </c>
      <c r="E4391">
        <v>101.8</v>
      </c>
      <c r="F4391">
        <v>102.9</v>
      </c>
      <c r="G4391">
        <v>93.8</v>
      </c>
    </row>
    <row r="4392" spans="1:7">
      <c r="A4392" t="s">
        <v>1876</v>
      </c>
      <c r="B4392" t="s">
        <v>360</v>
      </c>
      <c r="C4392" t="s">
        <v>267</v>
      </c>
      <c r="D4392">
        <v>196037</v>
      </c>
      <c r="E4392">
        <v>197769</v>
      </c>
      <c r="F4392">
        <v>202845</v>
      </c>
      <c r="G4392">
        <v>187753</v>
      </c>
    </row>
    <row r="4393" spans="1:7">
      <c r="A4393" t="s">
        <v>1876</v>
      </c>
      <c r="B4393" t="s">
        <v>360</v>
      </c>
      <c r="C4393" t="s">
        <v>268</v>
      </c>
      <c r="D4393">
        <v>0</v>
      </c>
      <c r="E4393">
        <v>0</v>
      </c>
      <c r="F4393">
        <v>0</v>
      </c>
      <c r="G4393">
        <v>0</v>
      </c>
    </row>
    <row r="4394" spans="1:7">
      <c r="A4394" t="s">
        <v>1876</v>
      </c>
      <c r="B4394" t="s">
        <v>360</v>
      </c>
      <c r="C4394" t="s">
        <v>269</v>
      </c>
      <c r="D4394">
        <v>0</v>
      </c>
      <c r="E4394">
        <v>0</v>
      </c>
      <c r="F4394">
        <v>0</v>
      </c>
      <c r="G4394">
        <v>0</v>
      </c>
    </row>
    <row r="4395" spans="1:7">
      <c r="A4395" t="s">
        <v>1876</v>
      </c>
      <c r="B4395" t="s">
        <v>360</v>
      </c>
      <c r="C4395" t="s">
        <v>270</v>
      </c>
      <c r="D4395">
        <v>0</v>
      </c>
      <c r="E4395">
        <v>0</v>
      </c>
      <c r="F4395">
        <v>0</v>
      </c>
      <c r="G4395">
        <v>0</v>
      </c>
    </row>
    <row r="4396" spans="1:7">
      <c r="A4396" t="s">
        <v>1876</v>
      </c>
      <c r="B4396" t="s">
        <v>360</v>
      </c>
      <c r="C4396" t="s">
        <v>271</v>
      </c>
      <c r="D4396">
        <v>0</v>
      </c>
      <c r="E4396">
        <v>0</v>
      </c>
      <c r="F4396">
        <v>0</v>
      </c>
      <c r="G4396">
        <v>0</v>
      </c>
    </row>
    <row r="4397" spans="1:7">
      <c r="A4397" t="s">
        <v>1876</v>
      </c>
      <c r="B4397" t="s">
        <v>360</v>
      </c>
      <c r="C4397" t="s">
        <v>272</v>
      </c>
      <c r="D4397">
        <v>0</v>
      </c>
      <c r="E4397">
        <v>0</v>
      </c>
      <c r="F4397">
        <v>0</v>
      </c>
      <c r="G4397">
        <v>0</v>
      </c>
    </row>
    <row r="4398" spans="1:7">
      <c r="A4398" t="s">
        <v>1876</v>
      </c>
      <c r="B4398" t="s">
        <v>360</v>
      </c>
      <c r="C4398" t="s">
        <v>1944</v>
      </c>
      <c r="D4398">
        <v>2.4</v>
      </c>
      <c r="E4398">
        <v>3.2</v>
      </c>
      <c r="F4398">
        <v>4.0999999999999996</v>
      </c>
      <c r="G4398">
        <v>5.4</v>
      </c>
    </row>
    <row r="4399" spans="1:7">
      <c r="A4399" t="s">
        <v>1876</v>
      </c>
      <c r="B4399" t="s">
        <v>360</v>
      </c>
      <c r="C4399" t="s">
        <v>1945</v>
      </c>
      <c r="D4399">
        <v>4</v>
      </c>
      <c r="E4399">
        <v>6</v>
      </c>
      <c r="F4399">
        <v>11</v>
      </c>
      <c r="G4399">
        <v>13</v>
      </c>
    </row>
    <row r="4400" spans="1:7">
      <c r="A4400" t="s">
        <v>1876</v>
      </c>
      <c r="B4400" t="s">
        <v>360</v>
      </c>
      <c r="C4400" t="s">
        <v>273</v>
      </c>
      <c r="D4400">
        <v>0</v>
      </c>
      <c r="E4400">
        <v>0</v>
      </c>
      <c r="F4400">
        <v>0</v>
      </c>
      <c r="G4400">
        <v>0</v>
      </c>
    </row>
    <row r="4401" spans="1:7">
      <c r="A4401" t="s">
        <v>1876</v>
      </c>
      <c r="B4401" t="s">
        <v>360</v>
      </c>
      <c r="C4401" t="s">
        <v>1946</v>
      </c>
      <c r="D4401">
        <v>155882</v>
      </c>
      <c r="E4401">
        <v>156707</v>
      </c>
      <c r="F4401">
        <v>162551</v>
      </c>
      <c r="G4401">
        <v>149543</v>
      </c>
    </row>
    <row r="4402" spans="1:7">
      <c r="A4402" t="s">
        <v>1876</v>
      </c>
      <c r="B4402" t="s">
        <v>360</v>
      </c>
      <c r="C4402" t="s">
        <v>1947</v>
      </c>
      <c r="D4402">
        <v>5384</v>
      </c>
      <c r="E4402">
        <v>5833</v>
      </c>
      <c r="F4402">
        <v>5342</v>
      </c>
      <c r="G4402">
        <v>5260</v>
      </c>
    </row>
    <row r="4403" spans="1:7">
      <c r="A4403" t="s">
        <v>1876</v>
      </c>
      <c r="B4403" t="s">
        <v>360</v>
      </c>
      <c r="C4403" t="s">
        <v>1948</v>
      </c>
      <c r="D4403">
        <v>0</v>
      </c>
      <c r="E4403">
        <v>0</v>
      </c>
      <c r="F4403">
        <v>1</v>
      </c>
      <c r="G4403">
        <v>0</v>
      </c>
    </row>
    <row r="4404" spans="1:7">
      <c r="A4404" t="s">
        <v>1876</v>
      </c>
      <c r="B4404" t="s">
        <v>360</v>
      </c>
      <c r="C4404" t="s">
        <v>1949</v>
      </c>
      <c r="D4404">
        <v>21763</v>
      </c>
      <c r="E4404">
        <v>21798</v>
      </c>
      <c r="F4404">
        <v>21264</v>
      </c>
      <c r="G4404">
        <v>20421</v>
      </c>
    </row>
    <row r="4405" spans="1:7">
      <c r="A4405" t="s">
        <v>1876</v>
      </c>
      <c r="B4405" t="s">
        <v>360</v>
      </c>
      <c r="C4405" t="s">
        <v>1950</v>
      </c>
      <c r="D4405">
        <v>5642</v>
      </c>
      <c r="E4405">
        <v>6756</v>
      </c>
      <c r="F4405">
        <v>6902</v>
      </c>
      <c r="G4405">
        <v>6868</v>
      </c>
    </row>
    <row r="4406" spans="1:7">
      <c r="A4406" t="s">
        <v>1876</v>
      </c>
      <c r="B4406" t="s">
        <v>360</v>
      </c>
      <c r="C4406" t="s">
        <v>274</v>
      </c>
      <c r="D4406">
        <v>188671</v>
      </c>
      <c r="E4406">
        <v>191094</v>
      </c>
      <c r="F4406">
        <v>196059</v>
      </c>
      <c r="G4406">
        <v>182092</v>
      </c>
    </row>
    <row r="4407" spans="1:7">
      <c r="A4407" t="s">
        <v>1876</v>
      </c>
      <c r="B4407" t="s">
        <v>360</v>
      </c>
      <c r="C4407" t="s">
        <v>275</v>
      </c>
      <c r="D4407">
        <v>0</v>
      </c>
      <c r="E4407">
        <v>0</v>
      </c>
      <c r="F4407">
        <v>0</v>
      </c>
      <c r="G4407">
        <v>0</v>
      </c>
    </row>
    <row r="4408" spans="1:7">
      <c r="A4408" t="s">
        <v>1876</v>
      </c>
      <c r="B4408" t="s">
        <v>360</v>
      </c>
      <c r="C4408" t="s">
        <v>276</v>
      </c>
      <c r="D4408">
        <v>0</v>
      </c>
      <c r="E4408">
        <v>0</v>
      </c>
      <c r="F4408">
        <v>0</v>
      </c>
      <c r="G4408">
        <v>0</v>
      </c>
    </row>
    <row r="4409" spans="1:7">
      <c r="A4409" t="s">
        <v>1876</v>
      </c>
      <c r="B4409" t="s">
        <v>360</v>
      </c>
      <c r="C4409" t="s">
        <v>277</v>
      </c>
      <c r="D4409">
        <v>5</v>
      </c>
      <c r="E4409">
        <v>7</v>
      </c>
      <c r="F4409">
        <v>3</v>
      </c>
      <c r="G4409">
        <v>7</v>
      </c>
    </row>
    <row r="4410" spans="1:7">
      <c r="A4410" t="s">
        <v>1876</v>
      </c>
      <c r="B4410" t="s">
        <v>360</v>
      </c>
      <c r="C4410" t="s">
        <v>278</v>
      </c>
      <c r="D4410">
        <v>1588</v>
      </c>
      <c r="E4410">
        <v>1443</v>
      </c>
      <c r="F4410">
        <v>1295</v>
      </c>
      <c r="G4410">
        <v>1454</v>
      </c>
    </row>
    <row r="4411" spans="1:7">
      <c r="A4411" t="s">
        <v>1876</v>
      </c>
      <c r="B4411" t="s">
        <v>360</v>
      </c>
      <c r="C4411" t="s">
        <v>279</v>
      </c>
      <c r="D4411">
        <v>539</v>
      </c>
      <c r="E4411">
        <v>520</v>
      </c>
      <c r="F4411">
        <v>419</v>
      </c>
      <c r="G4411">
        <v>325</v>
      </c>
    </row>
    <row r="4412" spans="1:7">
      <c r="A4412" t="s">
        <v>1876</v>
      </c>
      <c r="B4412" t="s">
        <v>360</v>
      </c>
      <c r="C4412" t="s">
        <v>280</v>
      </c>
      <c r="D4412">
        <v>4937</v>
      </c>
      <c r="E4412">
        <v>5998</v>
      </c>
      <c r="F4412">
        <v>6121</v>
      </c>
      <c r="G4412">
        <v>6167</v>
      </c>
    </row>
    <row r="4413" spans="1:7">
      <c r="A4413" t="s">
        <v>1876</v>
      </c>
      <c r="B4413" t="s">
        <v>360</v>
      </c>
      <c r="C4413" t="s">
        <v>281</v>
      </c>
      <c r="D4413">
        <v>7068</v>
      </c>
      <c r="E4413">
        <v>7968</v>
      </c>
      <c r="F4413">
        <v>7838</v>
      </c>
      <c r="G4413">
        <v>7952</v>
      </c>
    </row>
    <row r="4414" spans="1:7">
      <c r="A4414" t="s">
        <v>1876</v>
      </c>
      <c r="B4414" t="s">
        <v>360</v>
      </c>
      <c r="C4414" t="s">
        <v>282</v>
      </c>
      <c r="D4414">
        <v>7068</v>
      </c>
      <c r="E4414">
        <v>7968</v>
      </c>
      <c r="F4414">
        <v>7838</v>
      </c>
      <c r="G4414">
        <v>7952</v>
      </c>
    </row>
    <row r="4415" spans="1:7">
      <c r="A4415" t="s">
        <v>1876</v>
      </c>
      <c r="B4415" t="s">
        <v>360</v>
      </c>
      <c r="C4415" t="s">
        <v>283</v>
      </c>
      <c r="D4415">
        <v>0</v>
      </c>
      <c r="E4415">
        <v>0</v>
      </c>
      <c r="F4415">
        <v>0</v>
      </c>
      <c r="G4415">
        <v>0</v>
      </c>
    </row>
    <row r="4416" spans="1:7">
      <c r="A4416" t="s">
        <v>1876</v>
      </c>
      <c r="B4416" t="s">
        <v>360</v>
      </c>
      <c r="C4416" t="s">
        <v>284</v>
      </c>
      <c r="D4416">
        <v>0</v>
      </c>
      <c r="E4416">
        <v>0</v>
      </c>
      <c r="F4416">
        <v>0</v>
      </c>
      <c r="G4416">
        <v>0</v>
      </c>
    </row>
    <row r="4417" spans="1:7">
      <c r="A4417" t="s">
        <v>1876</v>
      </c>
      <c r="B4417" t="s">
        <v>360</v>
      </c>
      <c r="C4417" t="s">
        <v>1716</v>
      </c>
      <c r="D4417">
        <v>7048</v>
      </c>
      <c r="E4417">
        <v>6332</v>
      </c>
      <c r="F4417">
        <v>6486</v>
      </c>
      <c r="G4417">
        <v>5436</v>
      </c>
    </row>
    <row r="4418" spans="1:7">
      <c r="A4418" t="s">
        <v>1876</v>
      </c>
      <c r="B4418" t="s">
        <v>360</v>
      </c>
      <c r="C4418" t="s">
        <v>1717</v>
      </c>
      <c r="D4418">
        <v>2052</v>
      </c>
      <c r="E4418">
        <v>2134</v>
      </c>
      <c r="F4418">
        <v>2122</v>
      </c>
      <c r="G4418">
        <v>2195</v>
      </c>
    </row>
    <row r="4419" spans="1:7">
      <c r="A4419" t="s">
        <v>1876</v>
      </c>
      <c r="B4419" t="s">
        <v>360</v>
      </c>
      <c r="C4419" t="s">
        <v>1718</v>
      </c>
      <c r="D4419">
        <v>40618</v>
      </c>
      <c r="E4419">
        <v>40698</v>
      </c>
      <c r="F4419">
        <v>41066</v>
      </c>
      <c r="G4419">
        <v>46441</v>
      </c>
    </row>
    <row r="4420" spans="1:7">
      <c r="A4420" t="s">
        <v>1876</v>
      </c>
      <c r="B4420" t="s">
        <v>360</v>
      </c>
      <c r="C4420" t="s">
        <v>1719</v>
      </c>
      <c r="D4420">
        <v>3933</v>
      </c>
      <c r="E4420">
        <v>4096</v>
      </c>
      <c r="F4420">
        <v>4096</v>
      </c>
      <c r="G4420">
        <v>4381</v>
      </c>
    </row>
    <row r="4421" spans="1:7">
      <c r="A4421" t="s">
        <v>1876</v>
      </c>
      <c r="B4421" t="s">
        <v>360</v>
      </c>
      <c r="C4421" t="s">
        <v>1720</v>
      </c>
      <c r="D4421">
        <v>18983</v>
      </c>
      <c r="E4421">
        <v>22681</v>
      </c>
      <c r="F4421">
        <v>21763</v>
      </c>
      <c r="G4421">
        <v>18591</v>
      </c>
    </row>
    <row r="4422" spans="1:7">
      <c r="A4422" t="s">
        <v>1876</v>
      </c>
      <c r="B4422" t="s">
        <v>360</v>
      </c>
      <c r="C4422" t="s">
        <v>1721</v>
      </c>
      <c r="D4422">
        <v>5726</v>
      </c>
      <c r="E4422">
        <v>7230</v>
      </c>
      <c r="F4422">
        <v>6432</v>
      </c>
      <c r="G4422">
        <v>6201</v>
      </c>
    </row>
    <row r="4423" spans="1:7">
      <c r="A4423" t="s">
        <v>1876</v>
      </c>
      <c r="B4423" t="s">
        <v>360</v>
      </c>
      <c r="C4423" t="s">
        <v>285</v>
      </c>
      <c r="D4423">
        <v>74428</v>
      </c>
      <c r="E4423">
        <v>79076</v>
      </c>
      <c r="F4423">
        <v>77869</v>
      </c>
      <c r="G4423">
        <v>78864</v>
      </c>
    </row>
    <row r="4424" spans="1:7">
      <c r="A4424" t="s">
        <v>1876</v>
      </c>
      <c r="B4424" t="s">
        <v>360</v>
      </c>
      <c r="C4424" t="s">
        <v>1951</v>
      </c>
      <c r="D4424">
        <v>15.2</v>
      </c>
      <c r="E4424">
        <v>15.4</v>
      </c>
      <c r="F4424">
        <v>15.2</v>
      </c>
      <c r="G4424">
        <v>16</v>
      </c>
    </row>
    <row r="4425" spans="1:7">
      <c r="A4425" t="s">
        <v>1876</v>
      </c>
      <c r="B4425" t="s">
        <v>360</v>
      </c>
      <c r="C4425" t="s">
        <v>286</v>
      </c>
      <c r="D4425">
        <v>0</v>
      </c>
      <c r="E4425">
        <v>0</v>
      </c>
      <c r="F4425">
        <v>0</v>
      </c>
      <c r="G4425">
        <v>0</v>
      </c>
    </row>
    <row r="4426" spans="1:7">
      <c r="A4426" t="s">
        <v>1876</v>
      </c>
      <c r="B4426" t="s">
        <v>360</v>
      </c>
      <c r="C4426" t="s">
        <v>287</v>
      </c>
      <c r="D4426">
        <v>0</v>
      </c>
      <c r="E4426">
        <v>0</v>
      </c>
      <c r="F4426">
        <v>0</v>
      </c>
      <c r="G4426">
        <v>0</v>
      </c>
    </row>
    <row r="4427" spans="1:7">
      <c r="A4427" t="s">
        <v>1876</v>
      </c>
      <c r="B4427" t="s">
        <v>360</v>
      </c>
      <c r="C4427" t="s">
        <v>288</v>
      </c>
      <c r="D4427">
        <v>0</v>
      </c>
      <c r="E4427">
        <v>0</v>
      </c>
      <c r="F4427">
        <v>0</v>
      </c>
      <c r="G4427">
        <v>0</v>
      </c>
    </row>
    <row r="4428" spans="1:7">
      <c r="A4428" t="s">
        <v>1876</v>
      </c>
      <c r="B4428" t="s">
        <v>360</v>
      </c>
      <c r="C4428" t="s">
        <v>289</v>
      </c>
      <c r="D4428">
        <v>12</v>
      </c>
      <c r="E4428">
        <v>12</v>
      </c>
      <c r="F4428">
        <v>10</v>
      </c>
      <c r="G4428">
        <v>11</v>
      </c>
    </row>
    <row r="4429" spans="1:7">
      <c r="A4429" t="s">
        <v>1876</v>
      </c>
      <c r="B4429" t="s">
        <v>360</v>
      </c>
      <c r="C4429" t="s">
        <v>290</v>
      </c>
      <c r="D4429">
        <v>12</v>
      </c>
      <c r="E4429">
        <v>12</v>
      </c>
      <c r="F4429">
        <v>10</v>
      </c>
      <c r="G4429">
        <v>11</v>
      </c>
    </row>
    <row r="4430" spans="1:7">
      <c r="A4430" t="s">
        <v>1876</v>
      </c>
      <c r="B4430" t="s">
        <v>360</v>
      </c>
      <c r="C4430" t="s">
        <v>291</v>
      </c>
      <c r="D4430">
        <v>12</v>
      </c>
      <c r="E4430">
        <v>12</v>
      </c>
      <c r="F4430">
        <v>10</v>
      </c>
      <c r="G4430">
        <v>11</v>
      </c>
    </row>
    <row r="4431" spans="1:7">
      <c r="A4431" t="s">
        <v>1876</v>
      </c>
      <c r="B4431" t="s">
        <v>360</v>
      </c>
      <c r="C4431" t="s">
        <v>292</v>
      </c>
      <c r="D4431">
        <v>0</v>
      </c>
      <c r="E4431">
        <v>0</v>
      </c>
      <c r="F4431">
        <v>101</v>
      </c>
      <c r="G4431">
        <v>139</v>
      </c>
    </row>
    <row r="4432" spans="1:7">
      <c r="A4432" t="s">
        <v>1876</v>
      </c>
      <c r="B4432" t="s">
        <v>360</v>
      </c>
      <c r="C4432" t="s">
        <v>293</v>
      </c>
      <c r="D4432">
        <v>0</v>
      </c>
      <c r="E4432">
        <v>0</v>
      </c>
      <c r="F4432">
        <v>204</v>
      </c>
      <c r="G4432">
        <v>284</v>
      </c>
    </row>
    <row r="4433" spans="1:7">
      <c r="A4433" t="s">
        <v>1876</v>
      </c>
      <c r="B4433" t="s">
        <v>360</v>
      </c>
      <c r="C4433" t="s">
        <v>294</v>
      </c>
      <c r="D4433">
        <v>0</v>
      </c>
      <c r="E4433">
        <v>0</v>
      </c>
      <c r="F4433">
        <v>176</v>
      </c>
      <c r="G4433">
        <v>196</v>
      </c>
    </row>
    <row r="4434" spans="1:7">
      <c r="A4434" t="s">
        <v>1876</v>
      </c>
      <c r="B4434" t="s">
        <v>360</v>
      </c>
      <c r="C4434" t="s">
        <v>295</v>
      </c>
      <c r="D4434">
        <v>0</v>
      </c>
      <c r="E4434">
        <v>0</v>
      </c>
      <c r="F4434">
        <v>154</v>
      </c>
      <c r="G4434">
        <v>178</v>
      </c>
    </row>
    <row r="4435" spans="1:7">
      <c r="A4435" t="s">
        <v>1876</v>
      </c>
      <c r="B4435" t="s">
        <v>360</v>
      </c>
      <c r="C4435" t="s">
        <v>296</v>
      </c>
      <c r="D4435">
        <v>0</v>
      </c>
      <c r="E4435">
        <v>0</v>
      </c>
      <c r="F4435">
        <v>635</v>
      </c>
      <c r="G4435">
        <v>796</v>
      </c>
    </row>
    <row r="4436" spans="1:7">
      <c r="A4436" t="s">
        <v>1876</v>
      </c>
      <c r="B4436" t="s">
        <v>360</v>
      </c>
      <c r="C4436" t="s">
        <v>297</v>
      </c>
      <c r="D4436">
        <v>0</v>
      </c>
      <c r="E4436">
        <v>0</v>
      </c>
      <c r="F4436">
        <v>0</v>
      </c>
      <c r="G4436">
        <v>0</v>
      </c>
    </row>
    <row r="4437" spans="1:7">
      <c r="A4437" t="s">
        <v>1876</v>
      </c>
      <c r="B4437" t="s">
        <v>360</v>
      </c>
      <c r="C4437" t="s">
        <v>1952</v>
      </c>
      <c r="D4437">
        <v>0</v>
      </c>
      <c r="E4437">
        <v>0</v>
      </c>
      <c r="F4437">
        <v>0</v>
      </c>
      <c r="G4437">
        <v>0</v>
      </c>
    </row>
    <row r="4438" spans="1:7">
      <c r="A4438" t="s">
        <v>1876</v>
      </c>
      <c r="B4438" t="s">
        <v>360</v>
      </c>
      <c r="C4438" t="s">
        <v>298</v>
      </c>
      <c r="D4438">
        <v>8</v>
      </c>
      <c r="E4438">
        <v>18</v>
      </c>
      <c r="F4438">
        <v>18</v>
      </c>
      <c r="G4438">
        <v>16</v>
      </c>
    </row>
    <row r="4439" spans="1:7">
      <c r="A4439" t="s">
        <v>1876</v>
      </c>
      <c r="B4439" t="s">
        <v>360</v>
      </c>
      <c r="C4439" t="s">
        <v>299</v>
      </c>
      <c r="D4439">
        <v>33</v>
      </c>
      <c r="E4439">
        <v>40</v>
      </c>
      <c r="F4439">
        <v>48</v>
      </c>
      <c r="G4439">
        <v>54</v>
      </c>
    </row>
    <row r="4440" spans="1:7">
      <c r="A4440" t="s">
        <v>1876</v>
      </c>
      <c r="B4440" t="s">
        <v>360</v>
      </c>
      <c r="C4440" t="s">
        <v>300</v>
      </c>
      <c r="D4440">
        <v>1918</v>
      </c>
      <c r="E4440">
        <v>1810</v>
      </c>
      <c r="F4440">
        <v>2904</v>
      </c>
      <c r="G4440">
        <v>3463</v>
      </c>
    </row>
    <row r="4441" spans="1:7">
      <c r="A4441" t="s">
        <v>1876</v>
      </c>
      <c r="B4441" t="s">
        <v>360</v>
      </c>
      <c r="C4441" t="s">
        <v>1722</v>
      </c>
      <c r="D4441">
        <v>242</v>
      </c>
      <c r="E4441">
        <v>362</v>
      </c>
      <c r="F4441">
        <v>402</v>
      </c>
      <c r="G4441">
        <v>502</v>
      </c>
    </row>
    <row r="4442" spans="1:7">
      <c r="A4442" t="s">
        <v>1876</v>
      </c>
      <c r="B4442" t="s">
        <v>360</v>
      </c>
      <c r="C4442" t="s">
        <v>301</v>
      </c>
      <c r="D4442">
        <v>51</v>
      </c>
      <c r="E4442">
        <v>106</v>
      </c>
      <c r="F4442">
        <v>107</v>
      </c>
      <c r="G4442">
        <v>112</v>
      </c>
    </row>
    <row r="4443" spans="1:7">
      <c r="A4443" t="s">
        <v>1876</v>
      </c>
      <c r="B4443" t="s">
        <v>360</v>
      </c>
      <c r="C4443" t="s">
        <v>302</v>
      </c>
      <c r="D4443">
        <v>355</v>
      </c>
      <c r="E4443">
        <v>497</v>
      </c>
      <c r="F4443">
        <v>689</v>
      </c>
      <c r="G4443">
        <v>809</v>
      </c>
    </row>
    <row r="4444" spans="1:7">
      <c r="A4444" t="s">
        <v>1876</v>
      </c>
      <c r="B4444" t="s">
        <v>360</v>
      </c>
      <c r="C4444" t="s">
        <v>303</v>
      </c>
      <c r="D4444">
        <v>2357</v>
      </c>
      <c r="E4444">
        <v>2452</v>
      </c>
      <c r="F4444">
        <v>3748</v>
      </c>
      <c r="G4444">
        <v>4439</v>
      </c>
    </row>
    <row r="4445" spans="1:7">
      <c r="A4445" t="s">
        <v>1876</v>
      </c>
      <c r="B4445" t="s">
        <v>360</v>
      </c>
      <c r="C4445" t="s">
        <v>304</v>
      </c>
      <c r="D4445">
        <v>439</v>
      </c>
      <c r="E4445">
        <v>643</v>
      </c>
      <c r="F4445">
        <v>844</v>
      </c>
      <c r="G4445">
        <v>975</v>
      </c>
    </row>
    <row r="4446" spans="1:7">
      <c r="A4446" t="s">
        <v>1876</v>
      </c>
      <c r="B4446" t="s">
        <v>360</v>
      </c>
      <c r="C4446" t="s">
        <v>1953</v>
      </c>
      <c r="D4446">
        <v>26.6</v>
      </c>
      <c r="E4446">
        <v>24.9</v>
      </c>
      <c r="F4446">
        <v>25.2</v>
      </c>
      <c r="G4446">
        <v>25.2</v>
      </c>
    </row>
    <row r="4447" spans="1:7">
      <c r="A4447" t="s">
        <v>1876</v>
      </c>
      <c r="B4447" t="s">
        <v>360</v>
      </c>
      <c r="C4447" t="s">
        <v>305</v>
      </c>
      <c r="D4447">
        <v>169330</v>
      </c>
      <c r="E4447">
        <v>170772</v>
      </c>
      <c r="F4447">
        <v>177048</v>
      </c>
      <c r="G4447">
        <v>163051</v>
      </c>
    </row>
    <row r="4448" spans="1:7">
      <c r="A4448" t="s">
        <v>1876</v>
      </c>
      <c r="B4448" t="s">
        <v>360</v>
      </c>
      <c r="C4448" t="s">
        <v>306</v>
      </c>
      <c r="D4448">
        <v>88.9</v>
      </c>
      <c r="E4448">
        <v>87.9</v>
      </c>
      <c r="F4448">
        <v>89.8</v>
      </c>
      <c r="G4448">
        <v>81.5</v>
      </c>
    </row>
    <row r="4449" spans="1:7">
      <c r="A4449" t="s">
        <v>1876</v>
      </c>
      <c r="B4449" t="s">
        <v>360</v>
      </c>
      <c r="C4449" t="s">
        <v>307</v>
      </c>
      <c r="D4449">
        <v>72073</v>
      </c>
      <c r="E4449">
        <v>77118</v>
      </c>
      <c r="F4449">
        <v>76431</v>
      </c>
      <c r="G4449">
        <v>79421</v>
      </c>
    </row>
    <row r="4450" spans="1:7">
      <c r="A4450" t="s">
        <v>1876</v>
      </c>
      <c r="B4450" t="s">
        <v>360</v>
      </c>
      <c r="C4450" t="s">
        <v>308</v>
      </c>
      <c r="D4450">
        <v>37.799999999999997</v>
      </c>
      <c r="E4450">
        <v>39.700000000000003</v>
      </c>
      <c r="F4450">
        <v>38.799999999999997</v>
      </c>
      <c r="G4450">
        <v>39.700000000000003</v>
      </c>
    </row>
    <row r="4451" spans="1:7">
      <c r="A4451" t="s">
        <v>1876</v>
      </c>
      <c r="B4451" t="s">
        <v>360</v>
      </c>
      <c r="C4451" t="s">
        <v>309</v>
      </c>
      <c r="D4451">
        <v>78473</v>
      </c>
      <c r="E4451">
        <v>74137</v>
      </c>
      <c r="F4451">
        <v>88023</v>
      </c>
      <c r="G4451">
        <v>100841</v>
      </c>
    </row>
    <row r="4452" spans="1:7">
      <c r="A4452" t="s">
        <v>1876</v>
      </c>
      <c r="B4452" t="s">
        <v>360</v>
      </c>
      <c r="C4452" t="s">
        <v>310</v>
      </c>
      <c r="D4452">
        <v>144804</v>
      </c>
      <c r="E4452">
        <v>148859</v>
      </c>
      <c r="F4452">
        <v>144906</v>
      </c>
      <c r="G4452">
        <v>139812</v>
      </c>
    </row>
    <row r="4453" spans="1:7">
      <c r="A4453" t="s">
        <v>1876</v>
      </c>
      <c r="B4453" t="s">
        <v>360</v>
      </c>
      <c r="C4453" t="s">
        <v>311</v>
      </c>
      <c r="D4453">
        <v>76</v>
      </c>
      <c r="E4453">
        <v>76.599999999999994</v>
      </c>
      <c r="F4453">
        <v>73.5</v>
      </c>
      <c r="G4453">
        <v>69.900000000000006</v>
      </c>
    </row>
    <row r="4454" spans="1:7">
      <c r="A4454" t="s">
        <v>1876</v>
      </c>
      <c r="B4454" t="s">
        <v>360</v>
      </c>
      <c r="C4454" t="s">
        <v>312</v>
      </c>
      <c r="D4454">
        <v>104573</v>
      </c>
      <c r="E4454">
        <v>117047</v>
      </c>
      <c r="F4454">
        <v>114213</v>
      </c>
      <c r="G4454">
        <v>111151</v>
      </c>
    </row>
    <row r="4455" spans="1:7">
      <c r="A4455" t="s">
        <v>1876</v>
      </c>
      <c r="B4455" t="s">
        <v>360</v>
      </c>
      <c r="C4455" t="s">
        <v>313</v>
      </c>
      <c r="D4455">
        <v>54.9</v>
      </c>
      <c r="E4455">
        <v>60.2</v>
      </c>
      <c r="F4455">
        <v>58</v>
      </c>
      <c r="G4455">
        <v>55.6</v>
      </c>
    </row>
    <row r="4456" spans="1:7">
      <c r="A4456" t="s">
        <v>1876</v>
      </c>
      <c r="B4456" t="s">
        <v>360</v>
      </c>
      <c r="C4456" t="s">
        <v>314</v>
      </c>
      <c r="D4456">
        <v>490781</v>
      </c>
      <c r="E4456">
        <v>513797</v>
      </c>
      <c r="F4456">
        <v>512597</v>
      </c>
      <c r="G4456">
        <v>493435</v>
      </c>
    </row>
    <row r="4457" spans="1:7">
      <c r="A4457" t="s">
        <v>1876</v>
      </c>
      <c r="B4457" t="s">
        <v>360</v>
      </c>
      <c r="C4457" t="s">
        <v>315</v>
      </c>
      <c r="D4457">
        <v>5.52</v>
      </c>
      <c r="E4457">
        <v>5.54</v>
      </c>
      <c r="F4457">
        <v>5.38</v>
      </c>
      <c r="G4457">
        <v>4.96</v>
      </c>
    </row>
    <row r="4458" spans="1:7">
      <c r="A4458" t="s">
        <v>1876</v>
      </c>
      <c r="B4458" t="s">
        <v>360</v>
      </c>
      <c r="C4458" t="s">
        <v>316</v>
      </c>
      <c r="D4458">
        <v>257.60000000000002</v>
      </c>
      <c r="E4458">
        <v>264.39999999999998</v>
      </c>
      <c r="F4458">
        <v>260.10000000000002</v>
      </c>
      <c r="G4458">
        <v>246.6</v>
      </c>
    </row>
    <row r="4459" spans="1:7">
      <c r="A4459" t="s">
        <v>1876</v>
      </c>
      <c r="B4459" t="s">
        <v>360</v>
      </c>
      <c r="C4459" t="s">
        <v>317</v>
      </c>
      <c r="D4459">
        <v>490780</v>
      </c>
      <c r="E4459">
        <v>513797</v>
      </c>
      <c r="F4459">
        <v>512597</v>
      </c>
      <c r="G4459">
        <v>493435</v>
      </c>
    </row>
    <row r="4460" spans="1:7">
      <c r="A4460" t="s">
        <v>1876</v>
      </c>
      <c r="B4460" t="s">
        <v>360</v>
      </c>
      <c r="C4460" t="s">
        <v>318</v>
      </c>
      <c r="D4460">
        <v>169330</v>
      </c>
      <c r="E4460">
        <v>170772</v>
      </c>
      <c r="F4460">
        <v>177048</v>
      </c>
      <c r="G4460">
        <v>163051</v>
      </c>
    </row>
    <row r="4461" spans="1:7">
      <c r="A4461" t="s">
        <v>1876</v>
      </c>
      <c r="B4461" t="s">
        <v>360</v>
      </c>
      <c r="C4461" t="s">
        <v>319</v>
      </c>
      <c r="D4461">
        <v>50760</v>
      </c>
      <c r="E4461">
        <v>55054</v>
      </c>
      <c r="F4461">
        <v>54098</v>
      </c>
      <c r="G4461">
        <v>57824</v>
      </c>
    </row>
    <row r="4462" spans="1:7">
      <c r="A4462" t="s">
        <v>1876</v>
      </c>
      <c r="B4462" t="s">
        <v>360</v>
      </c>
      <c r="C4462" t="s">
        <v>320</v>
      </c>
      <c r="D4462">
        <v>114500</v>
      </c>
      <c r="E4462">
        <v>118520</v>
      </c>
      <c r="F4462">
        <v>115404</v>
      </c>
      <c r="G4462">
        <v>110120</v>
      </c>
    </row>
    <row r="4463" spans="1:7">
      <c r="A4463" t="s">
        <v>1876</v>
      </c>
      <c r="B4463" t="s">
        <v>360</v>
      </c>
      <c r="C4463" t="s">
        <v>321</v>
      </c>
      <c r="D4463">
        <v>74538</v>
      </c>
      <c r="E4463">
        <v>84892</v>
      </c>
      <c r="F4463">
        <v>82248</v>
      </c>
      <c r="G4463">
        <v>80657</v>
      </c>
    </row>
    <row r="4464" spans="1:7">
      <c r="A4464" t="s">
        <v>1876</v>
      </c>
      <c r="B4464" t="s">
        <v>360</v>
      </c>
      <c r="C4464" t="s">
        <v>1954</v>
      </c>
      <c r="D4464">
        <v>409128</v>
      </c>
      <c r="E4464">
        <v>429238</v>
      </c>
      <c r="F4464">
        <v>428799</v>
      </c>
      <c r="G4464">
        <v>411652</v>
      </c>
    </row>
    <row r="4465" spans="1:7">
      <c r="A4465" t="s">
        <v>1876</v>
      </c>
      <c r="B4465" t="s">
        <v>360</v>
      </c>
      <c r="C4465" t="s">
        <v>323</v>
      </c>
      <c r="D4465">
        <v>1905</v>
      </c>
      <c r="E4465">
        <v>1943</v>
      </c>
      <c r="F4465">
        <v>1970</v>
      </c>
      <c r="G4465">
        <v>2001</v>
      </c>
    </row>
    <row r="4466" spans="1:7">
      <c r="A4466" t="s">
        <v>1876</v>
      </c>
      <c r="B4466" t="s">
        <v>360</v>
      </c>
      <c r="C4466" t="s">
        <v>324</v>
      </c>
      <c r="D4466">
        <v>0</v>
      </c>
      <c r="E4466">
        <v>0</v>
      </c>
      <c r="F4466">
        <v>0</v>
      </c>
      <c r="G4466">
        <v>0</v>
      </c>
    </row>
    <row r="4467" spans="1:7">
      <c r="A4467" t="s">
        <v>1876</v>
      </c>
      <c r="B4467" t="s">
        <v>360</v>
      </c>
      <c r="C4467" t="s">
        <v>325</v>
      </c>
      <c r="D4467">
        <v>0</v>
      </c>
      <c r="E4467">
        <v>0</v>
      </c>
      <c r="F4467">
        <v>0</v>
      </c>
      <c r="G4467">
        <v>0</v>
      </c>
    </row>
    <row r="4468" spans="1:7">
      <c r="A4468" t="s">
        <v>1876</v>
      </c>
      <c r="B4468" t="s">
        <v>360</v>
      </c>
      <c r="C4468" t="s">
        <v>326</v>
      </c>
      <c r="D4468">
        <v>1009</v>
      </c>
      <c r="E4468">
        <v>1009</v>
      </c>
      <c r="F4468">
        <v>1009</v>
      </c>
      <c r="G4468">
        <v>1009</v>
      </c>
    </row>
    <row r="4469" spans="1:7">
      <c r="A4469" t="s">
        <v>1876</v>
      </c>
      <c r="B4469" t="s">
        <v>360</v>
      </c>
      <c r="C4469" t="s">
        <v>327</v>
      </c>
      <c r="D4469">
        <v>1220</v>
      </c>
      <c r="E4469">
        <v>1025</v>
      </c>
      <c r="F4469">
        <v>678</v>
      </c>
      <c r="G4469">
        <v>447</v>
      </c>
    </row>
    <row r="4470" spans="1:7">
      <c r="A4470" t="s">
        <v>1876</v>
      </c>
      <c r="B4470" t="s">
        <v>360</v>
      </c>
      <c r="C4470" t="s">
        <v>1723</v>
      </c>
      <c r="D4470">
        <v>66</v>
      </c>
      <c r="E4470">
        <v>66</v>
      </c>
      <c r="F4470">
        <v>66</v>
      </c>
      <c r="G4470">
        <v>66</v>
      </c>
    </row>
    <row r="4471" spans="1:7">
      <c r="A4471" t="s">
        <v>1876</v>
      </c>
      <c r="B4471" t="s">
        <v>360</v>
      </c>
      <c r="C4471" t="s">
        <v>328</v>
      </c>
      <c r="D4471">
        <v>17172</v>
      </c>
      <c r="E4471">
        <v>18195</v>
      </c>
      <c r="F4471">
        <v>18323</v>
      </c>
      <c r="G4471">
        <v>15712</v>
      </c>
    </row>
    <row r="4472" spans="1:7">
      <c r="A4472" t="s">
        <v>1876</v>
      </c>
      <c r="B4472" t="s">
        <v>360</v>
      </c>
      <c r="C4472" t="s">
        <v>329</v>
      </c>
      <c r="D4472">
        <v>5240</v>
      </c>
      <c r="E4472">
        <v>6602</v>
      </c>
      <c r="F4472">
        <v>5612</v>
      </c>
      <c r="G4472">
        <v>5261</v>
      </c>
    </row>
    <row r="4473" spans="1:7">
      <c r="A4473" t="s">
        <v>1876</v>
      </c>
      <c r="B4473" t="s">
        <v>360</v>
      </c>
      <c r="C4473" t="s">
        <v>330</v>
      </c>
      <c r="D4473">
        <v>24641</v>
      </c>
      <c r="E4473">
        <v>26830</v>
      </c>
      <c r="F4473">
        <v>25622</v>
      </c>
      <c r="G4473">
        <v>22428</v>
      </c>
    </row>
    <row r="4474" spans="1:7">
      <c r="A4474" t="s">
        <v>1876</v>
      </c>
      <c r="B4474" t="s">
        <v>360</v>
      </c>
      <c r="C4474" t="s">
        <v>331</v>
      </c>
      <c r="D4474">
        <v>281</v>
      </c>
      <c r="E4474">
        <v>333</v>
      </c>
      <c r="F4474">
        <v>343</v>
      </c>
      <c r="G4474">
        <v>418</v>
      </c>
    </row>
    <row r="4475" spans="1:7">
      <c r="A4475" t="s">
        <v>1876</v>
      </c>
      <c r="B4475" t="s">
        <v>360</v>
      </c>
      <c r="C4475" t="s">
        <v>332</v>
      </c>
      <c r="D4475">
        <v>738</v>
      </c>
      <c r="E4475">
        <v>697</v>
      </c>
      <c r="F4475">
        <v>682</v>
      </c>
      <c r="G4475">
        <v>706</v>
      </c>
    </row>
    <row r="4476" spans="1:7">
      <c r="A4476" t="s">
        <v>1876</v>
      </c>
      <c r="B4476" t="s">
        <v>360</v>
      </c>
      <c r="C4476" t="s">
        <v>1724</v>
      </c>
      <c r="D4476">
        <v>20</v>
      </c>
      <c r="E4476">
        <v>17</v>
      </c>
      <c r="F4476">
        <v>18</v>
      </c>
      <c r="G4476">
        <v>22</v>
      </c>
    </row>
    <row r="4477" spans="1:7">
      <c r="A4477" t="s">
        <v>1876</v>
      </c>
      <c r="B4477" t="s">
        <v>360</v>
      </c>
      <c r="C4477" t="s">
        <v>333</v>
      </c>
      <c r="D4477">
        <v>269</v>
      </c>
      <c r="E4477">
        <v>3</v>
      </c>
      <c r="F4477">
        <v>3</v>
      </c>
      <c r="G4477">
        <v>3</v>
      </c>
    </row>
    <row r="4478" spans="1:7">
      <c r="A4478" t="s">
        <v>1876</v>
      </c>
      <c r="B4478" t="s">
        <v>360</v>
      </c>
      <c r="C4478" t="s">
        <v>334</v>
      </c>
      <c r="D4478">
        <v>1288</v>
      </c>
      <c r="E4478">
        <v>1033</v>
      </c>
      <c r="F4478">
        <v>1028</v>
      </c>
      <c r="G4478">
        <v>1127</v>
      </c>
    </row>
    <row r="4479" spans="1:7">
      <c r="A4479" t="s">
        <v>1876</v>
      </c>
      <c r="B4479" t="s">
        <v>360</v>
      </c>
      <c r="C4479" t="s">
        <v>335</v>
      </c>
      <c r="D4479">
        <v>1290</v>
      </c>
      <c r="E4479">
        <v>1341</v>
      </c>
      <c r="F4479">
        <v>1352</v>
      </c>
      <c r="G4479">
        <v>1426</v>
      </c>
    </row>
    <row r="4480" spans="1:7">
      <c r="A4480" t="s">
        <v>1876</v>
      </c>
      <c r="B4480" t="s">
        <v>360</v>
      </c>
      <c r="C4480" t="s">
        <v>336</v>
      </c>
      <c r="D4480">
        <v>1958</v>
      </c>
      <c r="E4480">
        <v>1722</v>
      </c>
      <c r="F4480">
        <v>1360</v>
      </c>
      <c r="G4480">
        <v>1153</v>
      </c>
    </row>
    <row r="4481" spans="1:7">
      <c r="A4481" t="s">
        <v>1876</v>
      </c>
      <c r="B4481" t="s">
        <v>360</v>
      </c>
      <c r="C4481" t="s">
        <v>337</v>
      </c>
      <c r="D4481">
        <v>17441</v>
      </c>
      <c r="E4481">
        <v>18198</v>
      </c>
      <c r="F4481">
        <v>18326</v>
      </c>
      <c r="G4481">
        <v>15714</v>
      </c>
    </row>
    <row r="4482" spans="1:7">
      <c r="A4482" t="s">
        <v>1876</v>
      </c>
      <c r="B4482" t="s">
        <v>360</v>
      </c>
      <c r="C4482" t="s">
        <v>338</v>
      </c>
      <c r="D4482">
        <v>25929</v>
      </c>
      <c r="E4482">
        <v>27863</v>
      </c>
      <c r="F4482">
        <v>26650</v>
      </c>
      <c r="G4482">
        <v>23555</v>
      </c>
    </row>
    <row r="4483" spans="1:7">
      <c r="A4483" t="s">
        <v>1876</v>
      </c>
      <c r="B4483" t="s">
        <v>360</v>
      </c>
      <c r="C4483" t="s">
        <v>339</v>
      </c>
      <c r="D4483">
        <v>23971</v>
      </c>
      <c r="E4483">
        <v>26141</v>
      </c>
      <c r="F4483">
        <v>25290</v>
      </c>
      <c r="G4483">
        <v>22402</v>
      </c>
    </row>
    <row r="4484" spans="1:7">
      <c r="A4484" t="s">
        <v>1876</v>
      </c>
      <c r="B4484" t="s">
        <v>360</v>
      </c>
      <c r="C4484" t="s">
        <v>340</v>
      </c>
      <c r="D4484">
        <v>57</v>
      </c>
      <c r="E4484">
        <v>114</v>
      </c>
      <c r="F4484">
        <v>79</v>
      </c>
      <c r="G4484">
        <v>97</v>
      </c>
    </row>
    <row r="4485" spans="1:7">
      <c r="A4485" t="s">
        <v>1876</v>
      </c>
      <c r="B4485" t="s">
        <v>360</v>
      </c>
      <c r="C4485" t="s">
        <v>1955</v>
      </c>
      <c r="D4485">
        <v>31.5</v>
      </c>
      <c r="E4485">
        <v>28.8</v>
      </c>
      <c r="F4485">
        <v>27.3</v>
      </c>
      <c r="G4485">
        <v>31.5</v>
      </c>
    </row>
    <row r="4486" spans="1:7">
      <c r="A4486" t="s">
        <v>1876</v>
      </c>
      <c r="B4486" t="s">
        <v>360</v>
      </c>
      <c r="C4486" t="s">
        <v>341</v>
      </c>
      <c r="D4486">
        <v>0</v>
      </c>
      <c r="E4486">
        <v>0</v>
      </c>
      <c r="F4486">
        <v>0</v>
      </c>
      <c r="G4486">
        <v>0</v>
      </c>
    </row>
    <row r="4487" spans="1:7">
      <c r="A4487" t="s">
        <v>1876</v>
      </c>
      <c r="B4487" t="s">
        <v>360</v>
      </c>
      <c r="C4487" t="s">
        <v>342</v>
      </c>
      <c r="D4487">
        <v>9145</v>
      </c>
      <c r="E4487">
        <v>8331</v>
      </c>
      <c r="F4487">
        <v>7915</v>
      </c>
      <c r="G4487">
        <v>10290</v>
      </c>
    </row>
    <row r="4488" spans="1:7">
      <c r="A4488" t="s">
        <v>1876</v>
      </c>
      <c r="B4488" t="s">
        <v>360</v>
      </c>
      <c r="C4488" t="s">
        <v>1725</v>
      </c>
      <c r="D4488">
        <v>970</v>
      </c>
      <c r="E4488">
        <v>968</v>
      </c>
      <c r="F4488">
        <v>968</v>
      </c>
      <c r="G4488">
        <v>1128</v>
      </c>
    </row>
    <row r="4489" spans="1:7">
      <c r="A4489" t="s">
        <v>1876</v>
      </c>
      <c r="B4489" t="s">
        <v>360</v>
      </c>
      <c r="C4489" t="s">
        <v>343</v>
      </c>
      <c r="D4489">
        <v>0</v>
      </c>
      <c r="E4489">
        <v>0</v>
      </c>
      <c r="F4489">
        <v>0</v>
      </c>
      <c r="G4489">
        <v>0</v>
      </c>
    </row>
    <row r="4490" spans="1:7">
      <c r="A4490" t="s">
        <v>1876</v>
      </c>
      <c r="B4490" t="s">
        <v>360</v>
      </c>
      <c r="C4490" t="s">
        <v>344</v>
      </c>
      <c r="D4490">
        <v>9145</v>
      </c>
      <c r="E4490">
        <v>8331</v>
      </c>
      <c r="F4490">
        <v>7915</v>
      </c>
      <c r="G4490">
        <v>10290</v>
      </c>
    </row>
    <row r="4491" spans="1:7">
      <c r="A4491" t="s">
        <v>1876</v>
      </c>
      <c r="B4491" t="s">
        <v>360</v>
      </c>
      <c r="C4491" t="s">
        <v>345</v>
      </c>
      <c r="D4491">
        <v>0</v>
      </c>
      <c r="E4491">
        <v>0</v>
      </c>
      <c r="F4491">
        <v>0</v>
      </c>
      <c r="G4491">
        <v>0</v>
      </c>
    </row>
    <row r="4492" spans="1:7">
      <c r="A4492" t="s">
        <v>1876</v>
      </c>
      <c r="B4492" t="s">
        <v>360</v>
      </c>
      <c r="C4492" t="s">
        <v>1956</v>
      </c>
      <c r="D4492">
        <v>738</v>
      </c>
      <c r="E4492">
        <v>697</v>
      </c>
      <c r="F4492">
        <v>682</v>
      </c>
      <c r="G4492">
        <v>706</v>
      </c>
    </row>
    <row r="4493" spans="1:7">
      <c r="A4493" t="s">
        <v>1876</v>
      </c>
      <c r="B4493" t="s">
        <v>360</v>
      </c>
      <c r="C4493" t="s">
        <v>1957</v>
      </c>
      <c r="D4493">
        <v>1288</v>
      </c>
      <c r="E4493">
        <v>1033</v>
      </c>
      <c r="F4493">
        <v>1028</v>
      </c>
      <c r="G4493">
        <v>1127</v>
      </c>
    </row>
    <row r="4494" spans="1:7">
      <c r="A4494" t="s">
        <v>1876</v>
      </c>
      <c r="B4494" t="s">
        <v>360</v>
      </c>
      <c r="C4494" t="s">
        <v>346</v>
      </c>
      <c r="D4494">
        <v>728</v>
      </c>
      <c r="E4494">
        <v>718</v>
      </c>
      <c r="F4494">
        <v>574</v>
      </c>
      <c r="G4494">
        <v>624</v>
      </c>
    </row>
    <row r="4495" spans="1:7">
      <c r="A4495" t="s">
        <v>1876</v>
      </c>
      <c r="B4495" t="s">
        <v>360</v>
      </c>
      <c r="C4495" t="s">
        <v>347</v>
      </c>
      <c r="D4495">
        <v>6479</v>
      </c>
      <c r="E4495">
        <v>7280</v>
      </c>
      <c r="F4495">
        <v>6898</v>
      </c>
      <c r="G4495">
        <v>6463</v>
      </c>
    </row>
    <row r="4496" spans="1:7">
      <c r="A4496" t="s">
        <v>1876</v>
      </c>
      <c r="B4496" t="s">
        <v>361</v>
      </c>
      <c r="C4496" t="s">
        <v>133</v>
      </c>
      <c r="D4496">
        <v>-49</v>
      </c>
      <c r="E4496">
        <v>-39</v>
      </c>
      <c r="F4496">
        <v>-37</v>
      </c>
      <c r="G4496">
        <v>-58</v>
      </c>
    </row>
    <row r="4497" spans="1:7">
      <c r="A4497" t="s">
        <v>1876</v>
      </c>
      <c r="B4497" t="s">
        <v>361</v>
      </c>
      <c r="C4497" t="s">
        <v>134</v>
      </c>
      <c r="D4497">
        <v>28817</v>
      </c>
      <c r="E4497">
        <v>27819</v>
      </c>
      <c r="F4497">
        <v>28629</v>
      </c>
      <c r="G4497">
        <v>27087</v>
      </c>
    </row>
    <row r="4498" spans="1:7">
      <c r="A4498" t="s">
        <v>1876</v>
      </c>
      <c r="B4498" t="s">
        <v>361</v>
      </c>
      <c r="C4498" t="s">
        <v>135</v>
      </c>
      <c r="D4498">
        <v>28817</v>
      </c>
      <c r="E4498">
        <v>27819</v>
      </c>
      <c r="F4498">
        <v>28629</v>
      </c>
      <c r="G4498">
        <v>27087</v>
      </c>
    </row>
    <row r="4499" spans="1:7">
      <c r="A4499" t="s">
        <v>1876</v>
      </c>
      <c r="B4499" t="s">
        <v>361</v>
      </c>
      <c r="C4499" t="s">
        <v>136</v>
      </c>
      <c r="D4499">
        <v>28817</v>
      </c>
      <c r="E4499">
        <v>27819</v>
      </c>
      <c r="F4499">
        <v>28629</v>
      </c>
      <c r="G4499">
        <v>27087</v>
      </c>
    </row>
    <row r="4500" spans="1:7">
      <c r="A4500" t="s">
        <v>1876</v>
      </c>
      <c r="B4500" t="s">
        <v>361</v>
      </c>
      <c r="C4500" t="s">
        <v>137</v>
      </c>
      <c r="D4500">
        <v>453</v>
      </c>
      <c r="E4500">
        <v>469</v>
      </c>
      <c r="F4500">
        <v>445</v>
      </c>
      <c r="G4500">
        <v>479</v>
      </c>
    </row>
    <row r="4501" spans="1:7">
      <c r="A4501" t="s">
        <v>1876</v>
      </c>
      <c r="B4501" t="s">
        <v>361</v>
      </c>
      <c r="C4501" t="s">
        <v>138</v>
      </c>
      <c r="D4501">
        <v>453</v>
      </c>
      <c r="E4501">
        <v>469</v>
      </c>
      <c r="F4501">
        <v>445</v>
      </c>
      <c r="G4501">
        <v>479</v>
      </c>
    </row>
    <row r="4502" spans="1:7">
      <c r="A4502" t="s">
        <v>1876</v>
      </c>
      <c r="B4502" t="s">
        <v>361</v>
      </c>
      <c r="C4502" t="s">
        <v>139</v>
      </c>
      <c r="D4502">
        <v>453</v>
      </c>
      <c r="E4502">
        <v>469</v>
      </c>
      <c r="F4502">
        <v>445</v>
      </c>
      <c r="G4502">
        <v>479</v>
      </c>
    </row>
    <row r="4503" spans="1:7">
      <c r="A4503" t="s">
        <v>1876</v>
      </c>
      <c r="B4503" t="s">
        <v>361</v>
      </c>
      <c r="C4503" t="s">
        <v>1877</v>
      </c>
      <c r="D4503">
        <v>0</v>
      </c>
      <c r="E4503">
        <v>0</v>
      </c>
      <c r="F4503">
        <v>0</v>
      </c>
      <c r="G4503">
        <v>0</v>
      </c>
    </row>
    <row r="4504" spans="1:7">
      <c r="A4504" t="s">
        <v>1876</v>
      </c>
      <c r="B4504" t="s">
        <v>361</v>
      </c>
      <c r="C4504" t="s">
        <v>1700</v>
      </c>
      <c r="D4504">
        <v>0</v>
      </c>
      <c r="E4504">
        <v>0</v>
      </c>
      <c r="F4504">
        <v>0</v>
      </c>
      <c r="G4504">
        <v>0</v>
      </c>
    </row>
    <row r="4505" spans="1:7">
      <c r="A4505" t="s">
        <v>1876</v>
      </c>
      <c r="B4505" t="s">
        <v>361</v>
      </c>
      <c r="C4505" t="s">
        <v>1878</v>
      </c>
      <c r="D4505">
        <v>0</v>
      </c>
      <c r="E4505">
        <v>0</v>
      </c>
      <c r="F4505">
        <v>0</v>
      </c>
      <c r="G4505">
        <v>0</v>
      </c>
    </row>
    <row r="4506" spans="1:7">
      <c r="A4506" t="s">
        <v>1876</v>
      </c>
      <c r="B4506" t="s">
        <v>361</v>
      </c>
      <c r="C4506" t="s">
        <v>1879</v>
      </c>
      <c r="D4506">
        <v>0</v>
      </c>
      <c r="E4506">
        <v>0</v>
      </c>
      <c r="F4506">
        <v>0</v>
      </c>
      <c r="G4506">
        <v>0</v>
      </c>
    </row>
    <row r="4507" spans="1:7">
      <c r="A4507" t="s">
        <v>1876</v>
      </c>
      <c r="B4507" t="s">
        <v>361</v>
      </c>
      <c r="C4507" t="s">
        <v>1701</v>
      </c>
      <c r="D4507">
        <v>0</v>
      </c>
      <c r="E4507">
        <v>0</v>
      </c>
      <c r="F4507">
        <v>0</v>
      </c>
      <c r="G4507">
        <v>0</v>
      </c>
    </row>
    <row r="4508" spans="1:7">
      <c r="A4508" t="s">
        <v>1876</v>
      </c>
      <c r="B4508" t="s">
        <v>361</v>
      </c>
      <c r="C4508" t="s">
        <v>1880</v>
      </c>
      <c r="D4508">
        <v>7267</v>
      </c>
      <c r="E4508">
        <v>7116</v>
      </c>
      <c r="F4508">
        <v>6153</v>
      </c>
      <c r="G4508">
        <v>5579</v>
      </c>
    </row>
    <row r="4509" spans="1:7">
      <c r="A4509" t="s">
        <v>1876</v>
      </c>
      <c r="B4509" t="s">
        <v>361</v>
      </c>
      <c r="C4509" t="s">
        <v>140</v>
      </c>
      <c r="D4509">
        <v>17075</v>
      </c>
      <c r="E4509">
        <v>17199</v>
      </c>
      <c r="F4509">
        <v>16594</v>
      </c>
      <c r="G4509">
        <v>15903</v>
      </c>
    </row>
    <row r="4510" spans="1:7">
      <c r="A4510" t="s">
        <v>1876</v>
      </c>
      <c r="B4510" t="s">
        <v>361</v>
      </c>
      <c r="C4510" t="s">
        <v>1881</v>
      </c>
      <c r="D4510">
        <v>9809</v>
      </c>
      <c r="E4510">
        <v>10083</v>
      </c>
      <c r="F4510">
        <v>10441</v>
      </c>
      <c r="G4510">
        <v>10324</v>
      </c>
    </row>
    <row r="4511" spans="1:7">
      <c r="A4511" t="s">
        <v>1876</v>
      </c>
      <c r="B4511" t="s">
        <v>361</v>
      </c>
      <c r="C4511" t="s">
        <v>1882</v>
      </c>
      <c r="D4511">
        <v>0</v>
      </c>
      <c r="E4511">
        <v>0</v>
      </c>
      <c r="F4511">
        <v>0</v>
      </c>
      <c r="G4511">
        <v>0</v>
      </c>
    </row>
    <row r="4512" spans="1:7">
      <c r="A4512" t="s">
        <v>1876</v>
      </c>
      <c r="B4512" t="s">
        <v>361</v>
      </c>
      <c r="C4512" t="s">
        <v>1883</v>
      </c>
      <c r="D4512">
        <v>0</v>
      </c>
      <c r="E4512">
        <v>0</v>
      </c>
      <c r="F4512">
        <v>0</v>
      </c>
      <c r="G4512">
        <v>0</v>
      </c>
    </row>
    <row r="4513" spans="1:7">
      <c r="A4513" t="s">
        <v>1876</v>
      </c>
      <c r="B4513" t="s">
        <v>361</v>
      </c>
      <c r="C4513" t="s">
        <v>1884</v>
      </c>
      <c r="D4513">
        <v>0</v>
      </c>
      <c r="E4513">
        <v>0</v>
      </c>
      <c r="F4513">
        <v>0</v>
      </c>
      <c r="G4513">
        <v>0</v>
      </c>
    </row>
    <row r="4514" spans="1:7">
      <c r="A4514" t="s">
        <v>1876</v>
      </c>
      <c r="B4514" t="s">
        <v>361</v>
      </c>
      <c r="C4514" t="s">
        <v>1885</v>
      </c>
      <c r="D4514">
        <v>0</v>
      </c>
      <c r="E4514">
        <v>0</v>
      </c>
      <c r="F4514">
        <v>0</v>
      </c>
      <c r="G4514">
        <v>0</v>
      </c>
    </row>
    <row r="4515" spans="1:7">
      <c r="A4515" t="s">
        <v>1876</v>
      </c>
      <c r="B4515" t="s">
        <v>361</v>
      </c>
      <c r="C4515" t="s">
        <v>1886</v>
      </c>
      <c r="D4515">
        <v>0</v>
      </c>
      <c r="E4515">
        <v>0</v>
      </c>
      <c r="F4515">
        <v>0</v>
      </c>
      <c r="G4515">
        <v>0</v>
      </c>
    </row>
    <row r="4516" spans="1:7">
      <c r="A4516" t="s">
        <v>1876</v>
      </c>
      <c r="B4516" t="s">
        <v>361</v>
      </c>
      <c r="C4516" t="s">
        <v>141</v>
      </c>
      <c r="D4516">
        <v>294</v>
      </c>
      <c r="E4516">
        <v>296</v>
      </c>
      <c r="F4516">
        <v>299</v>
      </c>
      <c r="G4516">
        <v>317</v>
      </c>
    </row>
    <row r="4517" spans="1:7">
      <c r="A4517" t="s">
        <v>1876</v>
      </c>
      <c r="B4517" t="s">
        <v>361</v>
      </c>
      <c r="C4517" t="s">
        <v>1887</v>
      </c>
      <c r="D4517">
        <v>0</v>
      </c>
      <c r="E4517">
        <v>0</v>
      </c>
      <c r="F4517">
        <v>0</v>
      </c>
      <c r="G4517">
        <v>0</v>
      </c>
    </row>
    <row r="4518" spans="1:7">
      <c r="A4518" t="s">
        <v>1876</v>
      </c>
      <c r="B4518" t="s">
        <v>361</v>
      </c>
      <c r="C4518" t="s">
        <v>1888</v>
      </c>
      <c r="D4518">
        <v>0</v>
      </c>
      <c r="E4518">
        <v>0</v>
      </c>
      <c r="F4518">
        <v>0</v>
      </c>
      <c r="G4518">
        <v>0</v>
      </c>
    </row>
    <row r="4519" spans="1:7">
      <c r="A4519" t="s">
        <v>1876</v>
      </c>
      <c r="B4519" t="s">
        <v>361</v>
      </c>
      <c r="C4519" t="s">
        <v>1889</v>
      </c>
      <c r="D4519">
        <v>7267</v>
      </c>
      <c r="E4519">
        <v>7116</v>
      </c>
      <c r="F4519">
        <v>6153</v>
      </c>
      <c r="G4519">
        <v>5579</v>
      </c>
    </row>
    <row r="4520" spans="1:7">
      <c r="A4520" t="s">
        <v>1876</v>
      </c>
      <c r="B4520" t="s">
        <v>361</v>
      </c>
      <c r="C4520" t="s">
        <v>1890</v>
      </c>
      <c r="D4520">
        <v>0</v>
      </c>
      <c r="E4520">
        <v>0</v>
      </c>
      <c r="F4520">
        <v>0</v>
      </c>
      <c r="G4520">
        <v>0</v>
      </c>
    </row>
    <row r="4521" spans="1:7">
      <c r="A4521" t="s">
        <v>1876</v>
      </c>
      <c r="B4521" t="s">
        <v>361</v>
      </c>
      <c r="C4521" t="s">
        <v>1891</v>
      </c>
    </row>
    <row r="4522" spans="1:7">
      <c r="A4522" t="s">
        <v>1876</v>
      </c>
      <c r="B4522" t="s">
        <v>361</v>
      </c>
      <c r="C4522" t="s">
        <v>1892</v>
      </c>
      <c r="D4522">
        <v>9809</v>
      </c>
      <c r="E4522">
        <v>10083</v>
      </c>
      <c r="F4522">
        <v>10441</v>
      </c>
      <c r="G4522">
        <v>10324</v>
      </c>
    </row>
    <row r="4523" spans="1:7">
      <c r="A4523" t="s">
        <v>1876</v>
      </c>
      <c r="B4523" t="s">
        <v>361</v>
      </c>
      <c r="C4523" t="s">
        <v>142</v>
      </c>
      <c r="D4523">
        <v>17075</v>
      </c>
      <c r="E4523">
        <v>17199</v>
      </c>
      <c r="F4523">
        <v>16594</v>
      </c>
      <c r="G4523">
        <v>15903</v>
      </c>
    </row>
    <row r="4524" spans="1:7">
      <c r="A4524" t="s">
        <v>1876</v>
      </c>
      <c r="B4524" t="s">
        <v>361</v>
      </c>
      <c r="C4524" t="s">
        <v>1893</v>
      </c>
      <c r="D4524">
        <v>17075</v>
      </c>
      <c r="E4524">
        <v>17199</v>
      </c>
      <c r="F4524">
        <v>16594</v>
      </c>
      <c r="G4524">
        <v>15903</v>
      </c>
    </row>
    <row r="4525" spans="1:7">
      <c r="A4525" t="s">
        <v>1876</v>
      </c>
      <c r="B4525" t="s">
        <v>361</v>
      </c>
      <c r="C4525" t="s">
        <v>1894</v>
      </c>
      <c r="D4525">
        <v>9809</v>
      </c>
      <c r="E4525">
        <v>10083</v>
      </c>
      <c r="F4525">
        <v>10441</v>
      </c>
      <c r="G4525">
        <v>10324</v>
      </c>
    </row>
    <row r="4526" spans="1:7">
      <c r="A4526" t="s">
        <v>1876</v>
      </c>
      <c r="B4526" t="s">
        <v>361</v>
      </c>
      <c r="C4526" t="s">
        <v>143</v>
      </c>
      <c r="D4526">
        <v>75270</v>
      </c>
      <c r="E4526">
        <v>78541</v>
      </c>
      <c r="F4526">
        <v>81621</v>
      </c>
      <c r="G4526">
        <v>81666</v>
      </c>
    </row>
    <row r="4527" spans="1:7">
      <c r="A4527" t="s">
        <v>1876</v>
      </c>
      <c r="B4527" t="s">
        <v>361</v>
      </c>
      <c r="C4527" t="s">
        <v>144</v>
      </c>
      <c r="D4527">
        <v>128295</v>
      </c>
      <c r="E4527">
        <v>131519</v>
      </c>
      <c r="F4527">
        <v>134248</v>
      </c>
      <c r="G4527">
        <v>133757</v>
      </c>
    </row>
    <row r="4528" spans="1:7">
      <c r="A4528" t="s">
        <v>1876</v>
      </c>
      <c r="B4528" t="s">
        <v>361</v>
      </c>
      <c r="C4528" t="s">
        <v>1895</v>
      </c>
      <c r="D4528">
        <v>56.9</v>
      </c>
      <c r="E4528">
        <v>52.4</v>
      </c>
      <c r="F4528">
        <v>50.3</v>
      </c>
      <c r="G4528">
        <v>46.6</v>
      </c>
    </row>
    <row r="4529" spans="1:7">
      <c r="A4529" t="s">
        <v>1876</v>
      </c>
      <c r="B4529" t="s">
        <v>361</v>
      </c>
      <c r="C4529" t="s">
        <v>145</v>
      </c>
      <c r="D4529">
        <v>150154</v>
      </c>
      <c r="E4529">
        <v>156177</v>
      </c>
      <c r="F4529">
        <v>156759</v>
      </c>
      <c r="G4529">
        <v>155462</v>
      </c>
    </row>
    <row r="4530" spans="1:7">
      <c r="A4530" t="s">
        <v>1876</v>
      </c>
      <c r="B4530" t="s">
        <v>361</v>
      </c>
      <c r="C4530" t="s">
        <v>146</v>
      </c>
      <c r="D4530">
        <v>0</v>
      </c>
      <c r="E4530">
        <v>0</v>
      </c>
      <c r="F4530">
        <v>0</v>
      </c>
      <c r="G4530">
        <v>0</v>
      </c>
    </row>
    <row r="4531" spans="1:7">
      <c r="A4531" t="s">
        <v>1876</v>
      </c>
      <c r="B4531" t="s">
        <v>361</v>
      </c>
      <c r="C4531" t="s">
        <v>147</v>
      </c>
      <c r="D4531">
        <v>0</v>
      </c>
      <c r="E4531">
        <v>0</v>
      </c>
      <c r="F4531">
        <v>0</v>
      </c>
      <c r="G4531">
        <v>0</v>
      </c>
    </row>
    <row r="4532" spans="1:7">
      <c r="A4532" t="s">
        <v>1876</v>
      </c>
      <c r="B4532" t="s">
        <v>361</v>
      </c>
      <c r="C4532" t="s">
        <v>1896</v>
      </c>
      <c r="D4532">
        <v>4.7</v>
      </c>
      <c r="E4532">
        <v>4.0999999999999996</v>
      </c>
      <c r="F4532">
        <v>3.9</v>
      </c>
      <c r="G4532">
        <v>2.5</v>
      </c>
    </row>
    <row r="4533" spans="1:7">
      <c r="A4533" t="s">
        <v>1876</v>
      </c>
      <c r="B4533" t="s">
        <v>361</v>
      </c>
      <c r="C4533" t="s">
        <v>1702</v>
      </c>
      <c r="D4533">
        <v>136</v>
      </c>
      <c r="E4533">
        <v>96</v>
      </c>
      <c r="F4533">
        <v>96</v>
      </c>
      <c r="G4533">
        <v>100</v>
      </c>
    </row>
    <row r="4534" spans="1:7">
      <c r="A4534" t="s">
        <v>1876</v>
      </c>
      <c r="B4534" t="s">
        <v>361</v>
      </c>
      <c r="C4534" t="s">
        <v>1897</v>
      </c>
      <c r="D4534">
        <v>35.299999999999997</v>
      </c>
      <c r="E4534">
        <v>56.1</v>
      </c>
      <c r="F4534">
        <v>95.3</v>
      </c>
      <c r="G4534">
        <v>121.3</v>
      </c>
    </row>
    <row r="4535" spans="1:7">
      <c r="A4535" t="s">
        <v>1876</v>
      </c>
      <c r="B4535" t="s">
        <v>361</v>
      </c>
      <c r="C4535" t="s">
        <v>1898</v>
      </c>
      <c r="D4535">
        <v>62</v>
      </c>
      <c r="E4535">
        <v>107</v>
      </c>
      <c r="F4535">
        <v>300</v>
      </c>
      <c r="G4535">
        <v>416</v>
      </c>
    </row>
    <row r="4536" spans="1:7">
      <c r="A4536" t="s">
        <v>1876</v>
      </c>
      <c r="B4536" t="s">
        <v>361</v>
      </c>
      <c r="C4536" t="s">
        <v>1899</v>
      </c>
      <c r="D4536">
        <v>9809</v>
      </c>
      <c r="E4536">
        <v>10083</v>
      </c>
      <c r="F4536">
        <v>10441</v>
      </c>
      <c r="G4536">
        <v>10324</v>
      </c>
    </row>
    <row r="4537" spans="1:7">
      <c r="A4537" t="s">
        <v>1876</v>
      </c>
      <c r="B4537" t="s">
        <v>361</v>
      </c>
      <c r="C4537" t="s">
        <v>148</v>
      </c>
      <c r="D4537">
        <v>0</v>
      </c>
      <c r="E4537">
        <v>0</v>
      </c>
      <c r="F4537">
        <v>0</v>
      </c>
      <c r="G4537">
        <v>0</v>
      </c>
    </row>
    <row r="4538" spans="1:7">
      <c r="A4538" t="s">
        <v>1876</v>
      </c>
      <c r="B4538" t="s">
        <v>361</v>
      </c>
      <c r="C4538" t="s">
        <v>149</v>
      </c>
      <c r="D4538">
        <v>0</v>
      </c>
      <c r="E4538">
        <v>0</v>
      </c>
      <c r="F4538">
        <v>0</v>
      </c>
      <c r="G4538">
        <v>0</v>
      </c>
    </row>
    <row r="4539" spans="1:7">
      <c r="A4539" t="s">
        <v>1876</v>
      </c>
      <c r="B4539" t="s">
        <v>361</v>
      </c>
      <c r="C4539" t="s">
        <v>150</v>
      </c>
      <c r="D4539">
        <v>0</v>
      </c>
      <c r="E4539">
        <v>0</v>
      </c>
      <c r="F4539">
        <v>0</v>
      </c>
      <c r="G4539">
        <v>0</v>
      </c>
    </row>
    <row r="4540" spans="1:7">
      <c r="A4540" t="s">
        <v>1876</v>
      </c>
      <c r="B4540" t="s">
        <v>361</v>
      </c>
      <c r="C4540" t="s">
        <v>1900</v>
      </c>
      <c r="D4540">
        <v>51.8</v>
      </c>
      <c r="E4540">
        <v>54.2</v>
      </c>
      <c r="F4540">
        <v>45.4</v>
      </c>
      <c r="G4540">
        <v>45.8</v>
      </c>
    </row>
    <row r="4541" spans="1:7">
      <c r="A4541" t="s">
        <v>1876</v>
      </c>
      <c r="B4541" t="s">
        <v>361</v>
      </c>
      <c r="C4541" t="s">
        <v>151</v>
      </c>
      <c r="D4541">
        <v>1843</v>
      </c>
      <c r="E4541">
        <v>1636</v>
      </c>
      <c r="F4541">
        <v>1554</v>
      </c>
      <c r="G4541">
        <v>1256</v>
      </c>
    </row>
    <row r="4542" spans="1:7">
      <c r="A4542" t="s">
        <v>1876</v>
      </c>
      <c r="B4542" t="s">
        <v>361</v>
      </c>
      <c r="C4542" t="s">
        <v>152</v>
      </c>
      <c r="D4542">
        <v>450026</v>
      </c>
      <c r="E4542">
        <v>427092</v>
      </c>
      <c r="F4542">
        <v>279383</v>
      </c>
      <c r="G4542">
        <v>283957</v>
      </c>
    </row>
    <row r="4543" spans="1:7">
      <c r="A4543" t="s">
        <v>1876</v>
      </c>
      <c r="B4543" t="s">
        <v>361</v>
      </c>
      <c r="C4543" t="s">
        <v>1703</v>
      </c>
      <c r="D4543">
        <v>9548</v>
      </c>
      <c r="E4543">
        <v>6854</v>
      </c>
      <c r="F4543">
        <v>6854</v>
      </c>
      <c r="G4543">
        <v>6695</v>
      </c>
    </row>
    <row r="4544" spans="1:7">
      <c r="A4544" t="s">
        <v>1876</v>
      </c>
      <c r="B4544" t="s">
        <v>361</v>
      </c>
      <c r="C4544" t="s">
        <v>153</v>
      </c>
      <c r="D4544">
        <v>70940</v>
      </c>
      <c r="E4544">
        <v>68254</v>
      </c>
      <c r="F4544">
        <v>61745</v>
      </c>
      <c r="G4544">
        <v>57614</v>
      </c>
    </row>
    <row r="4545" spans="1:7">
      <c r="A4545" t="s">
        <v>1876</v>
      </c>
      <c r="B4545" t="s">
        <v>361</v>
      </c>
      <c r="C4545" t="s">
        <v>154</v>
      </c>
      <c r="D4545">
        <v>29333</v>
      </c>
      <c r="E4545">
        <v>28617</v>
      </c>
      <c r="F4545">
        <v>27596</v>
      </c>
      <c r="G4545">
        <v>27904</v>
      </c>
    </row>
    <row r="4546" spans="1:7">
      <c r="A4546" t="s">
        <v>1876</v>
      </c>
      <c r="B4546" t="s">
        <v>361</v>
      </c>
      <c r="C4546" t="s">
        <v>155</v>
      </c>
      <c r="D4546">
        <v>41607</v>
      </c>
      <c r="E4546">
        <v>39637</v>
      </c>
      <c r="F4546">
        <v>34149</v>
      </c>
      <c r="G4546">
        <v>29710</v>
      </c>
    </row>
    <row r="4547" spans="1:7">
      <c r="A4547" t="s">
        <v>1876</v>
      </c>
      <c r="B4547" t="s">
        <v>361</v>
      </c>
      <c r="C4547" t="s">
        <v>156</v>
      </c>
      <c r="D4547">
        <v>0</v>
      </c>
      <c r="E4547">
        <v>0</v>
      </c>
      <c r="F4547">
        <v>0</v>
      </c>
      <c r="G4547">
        <v>0</v>
      </c>
    </row>
    <row r="4548" spans="1:7">
      <c r="A4548" t="s">
        <v>1876</v>
      </c>
      <c r="B4548" t="s">
        <v>361</v>
      </c>
      <c r="C4548" t="s">
        <v>157</v>
      </c>
      <c r="D4548">
        <v>522809</v>
      </c>
      <c r="E4548">
        <v>496983</v>
      </c>
      <c r="F4548">
        <v>342683</v>
      </c>
      <c r="G4548">
        <v>342827</v>
      </c>
    </row>
    <row r="4549" spans="1:7">
      <c r="A4549" t="s">
        <v>1876</v>
      </c>
      <c r="B4549" t="s">
        <v>361</v>
      </c>
      <c r="C4549" t="s">
        <v>158</v>
      </c>
      <c r="D4549">
        <v>72783</v>
      </c>
      <c r="E4549">
        <v>69891</v>
      </c>
      <c r="F4549">
        <v>63300</v>
      </c>
      <c r="G4549">
        <v>58871</v>
      </c>
    </row>
    <row r="4550" spans="1:7">
      <c r="A4550" t="s">
        <v>1876</v>
      </c>
      <c r="B4550" t="s">
        <v>361</v>
      </c>
      <c r="C4550" t="s">
        <v>159</v>
      </c>
      <c r="D4550">
        <v>0</v>
      </c>
      <c r="E4550">
        <v>0</v>
      </c>
      <c r="F4550">
        <v>0</v>
      </c>
      <c r="G4550">
        <v>0</v>
      </c>
    </row>
    <row r="4551" spans="1:7">
      <c r="A4551" t="s">
        <v>1876</v>
      </c>
      <c r="B4551" t="s">
        <v>361</v>
      </c>
      <c r="C4551" t="s">
        <v>1901</v>
      </c>
      <c r="D4551">
        <v>40.799999999999997</v>
      </c>
      <c r="E4551">
        <v>41</v>
      </c>
      <c r="F4551">
        <v>49.8</v>
      </c>
      <c r="G4551">
        <v>52.7</v>
      </c>
    </row>
    <row r="4552" spans="1:7">
      <c r="A4552" t="s">
        <v>1876</v>
      </c>
      <c r="B4552" t="s">
        <v>361</v>
      </c>
      <c r="C4552" t="s">
        <v>1902</v>
      </c>
      <c r="D4552">
        <v>239061</v>
      </c>
      <c r="E4552">
        <v>241014</v>
      </c>
      <c r="F4552">
        <v>233304</v>
      </c>
      <c r="G4552">
        <v>223929</v>
      </c>
    </row>
    <row r="4553" spans="1:7">
      <c r="A4553" t="s">
        <v>1876</v>
      </c>
      <c r="B4553" t="s">
        <v>361</v>
      </c>
      <c r="C4553" t="s">
        <v>1903</v>
      </c>
      <c r="D4553">
        <v>6011</v>
      </c>
      <c r="E4553">
        <v>6296</v>
      </c>
      <c r="F4553">
        <v>5768</v>
      </c>
      <c r="G4553">
        <v>5384</v>
      </c>
    </row>
    <row r="4554" spans="1:7">
      <c r="A4554" t="s">
        <v>1876</v>
      </c>
      <c r="B4554" t="s">
        <v>361</v>
      </c>
      <c r="C4554" t="s">
        <v>1904</v>
      </c>
      <c r="D4554">
        <v>644</v>
      </c>
      <c r="E4554">
        <v>484</v>
      </c>
      <c r="F4554">
        <v>366</v>
      </c>
      <c r="G4554">
        <v>304</v>
      </c>
    </row>
    <row r="4555" spans="1:7">
      <c r="A4555" t="s">
        <v>1876</v>
      </c>
      <c r="B4555" t="s">
        <v>361</v>
      </c>
      <c r="C4555" t="s">
        <v>1905</v>
      </c>
      <c r="D4555">
        <v>42841</v>
      </c>
      <c r="E4555">
        <v>43308</v>
      </c>
      <c r="F4555">
        <v>42269</v>
      </c>
      <c r="G4555">
        <v>41018</v>
      </c>
    </row>
    <row r="4556" spans="1:7">
      <c r="A4556" t="s">
        <v>1876</v>
      </c>
      <c r="B4556" t="s">
        <v>361</v>
      </c>
      <c r="C4556" t="s">
        <v>1906</v>
      </c>
      <c r="D4556">
        <v>445</v>
      </c>
      <c r="E4556">
        <v>472</v>
      </c>
      <c r="F4556">
        <v>432</v>
      </c>
      <c r="G4556">
        <v>394</v>
      </c>
    </row>
    <row r="4557" spans="1:7">
      <c r="A4557" t="s">
        <v>1876</v>
      </c>
      <c r="B4557" t="s">
        <v>361</v>
      </c>
      <c r="C4557" t="s">
        <v>1907</v>
      </c>
      <c r="D4557">
        <v>289002</v>
      </c>
      <c r="E4557">
        <v>291573</v>
      </c>
      <c r="F4557">
        <v>282139</v>
      </c>
      <c r="G4557">
        <v>271029</v>
      </c>
    </row>
    <row r="4558" spans="1:7">
      <c r="A4558" t="s">
        <v>1876</v>
      </c>
      <c r="B4558" t="s">
        <v>361</v>
      </c>
      <c r="C4558" t="s">
        <v>160</v>
      </c>
      <c r="D4558">
        <v>229252</v>
      </c>
      <c r="E4558">
        <v>230931</v>
      </c>
      <c r="F4558">
        <v>222863</v>
      </c>
      <c r="G4558">
        <v>213604</v>
      </c>
    </row>
    <row r="4559" spans="1:7">
      <c r="A4559" t="s">
        <v>1876</v>
      </c>
      <c r="B4559" t="s">
        <v>361</v>
      </c>
      <c r="C4559" t="s">
        <v>161</v>
      </c>
      <c r="D4559">
        <v>6011</v>
      </c>
      <c r="E4559">
        <v>6296</v>
      </c>
      <c r="F4559">
        <v>5768</v>
      </c>
      <c r="G4559">
        <v>5384</v>
      </c>
    </row>
    <row r="4560" spans="1:7">
      <c r="A4560" t="s">
        <v>1876</v>
      </c>
      <c r="B4560" t="s">
        <v>361</v>
      </c>
      <c r="C4560" t="s">
        <v>162</v>
      </c>
      <c r="D4560">
        <v>644</v>
      </c>
      <c r="E4560">
        <v>484</v>
      </c>
      <c r="F4560">
        <v>366</v>
      </c>
      <c r="G4560">
        <v>304</v>
      </c>
    </row>
    <row r="4561" spans="1:7">
      <c r="A4561" t="s">
        <v>1876</v>
      </c>
      <c r="B4561" t="s">
        <v>361</v>
      </c>
      <c r="C4561" t="s">
        <v>163</v>
      </c>
      <c r="D4561">
        <v>42841</v>
      </c>
      <c r="E4561">
        <v>43308</v>
      </c>
      <c r="F4561">
        <v>42269</v>
      </c>
      <c r="G4561">
        <v>41018</v>
      </c>
    </row>
    <row r="4562" spans="1:7">
      <c r="A4562" t="s">
        <v>1876</v>
      </c>
      <c r="B4562" t="s">
        <v>361</v>
      </c>
      <c r="C4562" t="s">
        <v>164</v>
      </c>
      <c r="D4562">
        <v>445</v>
      </c>
      <c r="E4562">
        <v>472</v>
      </c>
      <c r="F4562">
        <v>432</v>
      </c>
      <c r="G4562">
        <v>394</v>
      </c>
    </row>
    <row r="4563" spans="1:7">
      <c r="A4563" t="s">
        <v>1876</v>
      </c>
      <c r="B4563" t="s">
        <v>361</v>
      </c>
      <c r="C4563" t="s">
        <v>165</v>
      </c>
      <c r="D4563">
        <v>279193</v>
      </c>
      <c r="E4563">
        <v>281490</v>
      </c>
      <c r="F4563">
        <v>271697</v>
      </c>
      <c r="G4563">
        <v>260705</v>
      </c>
    </row>
    <row r="4564" spans="1:7">
      <c r="A4564" t="s">
        <v>1876</v>
      </c>
      <c r="B4564" t="s">
        <v>361</v>
      </c>
      <c r="C4564" t="s">
        <v>166</v>
      </c>
      <c r="D4564">
        <v>278549</v>
      </c>
      <c r="E4564">
        <v>281006</v>
      </c>
      <c r="F4564">
        <v>271331</v>
      </c>
      <c r="G4564">
        <v>260401</v>
      </c>
    </row>
    <row r="4565" spans="1:7">
      <c r="A4565" t="s">
        <v>1876</v>
      </c>
      <c r="B4565" t="s">
        <v>361</v>
      </c>
      <c r="C4565" t="s">
        <v>167</v>
      </c>
      <c r="D4565">
        <v>644</v>
      </c>
      <c r="E4565">
        <v>484</v>
      </c>
      <c r="F4565">
        <v>366</v>
      </c>
      <c r="G4565">
        <v>304</v>
      </c>
    </row>
    <row r="4566" spans="1:7">
      <c r="A4566" t="s">
        <v>1876</v>
      </c>
      <c r="B4566" t="s">
        <v>361</v>
      </c>
      <c r="C4566" t="s">
        <v>1908</v>
      </c>
      <c r="D4566">
        <v>221986</v>
      </c>
      <c r="E4566">
        <v>223815</v>
      </c>
      <c r="F4566">
        <v>216710</v>
      </c>
      <c r="G4566">
        <v>208026</v>
      </c>
    </row>
    <row r="4567" spans="1:7">
      <c r="A4567" t="s">
        <v>1876</v>
      </c>
      <c r="B4567" t="s">
        <v>361</v>
      </c>
      <c r="C4567" t="s">
        <v>1909</v>
      </c>
      <c r="D4567">
        <v>6011</v>
      </c>
      <c r="E4567">
        <v>6296</v>
      </c>
      <c r="F4567">
        <v>5768</v>
      </c>
      <c r="G4567">
        <v>5384</v>
      </c>
    </row>
    <row r="4568" spans="1:7">
      <c r="A4568" t="s">
        <v>1876</v>
      </c>
      <c r="B4568" t="s">
        <v>361</v>
      </c>
      <c r="C4568" t="s">
        <v>1910</v>
      </c>
      <c r="D4568">
        <v>644</v>
      </c>
      <c r="E4568">
        <v>484</v>
      </c>
      <c r="F4568">
        <v>366</v>
      </c>
      <c r="G4568">
        <v>304</v>
      </c>
    </row>
    <row r="4569" spans="1:7">
      <c r="A4569" t="s">
        <v>1876</v>
      </c>
      <c r="B4569" t="s">
        <v>361</v>
      </c>
      <c r="C4569" t="s">
        <v>1911</v>
      </c>
      <c r="D4569">
        <v>42841</v>
      </c>
      <c r="E4569">
        <v>43308</v>
      </c>
      <c r="F4569">
        <v>42269</v>
      </c>
      <c r="G4569">
        <v>41018</v>
      </c>
    </row>
    <row r="4570" spans="1:7">
      <c r="A4570" t="s">
        <v>1876</v>
      </c>
      <c r="B4570" t="s">
        <v>361</v>
      </c>
      <c r="C4570" t="s">
        <v>1912</v>
      </c>
      <c r="D4570">
        <v>445</v>
      </c>
      <c r="E4570">
        <v>472</v>
      </c>
      <c r="F4570">
        <v>432</v>
      </c>
      <c r="G4570">
        <v>394</v>
      </c>
    </row>
    <row r="4571" spans="1:7">
      <c r="A4571" t="s">
        <v>1876</v>
      </c>
      <c r="B4571" t="s">
        <v>361</v>
      </c>
      <c r="C4571" t="s">
        <v>168</v>
      </c>
      <c r="D4571">
        <v>271927</v>
      </c>
      <c r="E4571">
        <v>274374</v>
      </c>
      <c r="F4571">
        <v>265544</v>
      </c>
      <c r="G4571">
        <v>255126</v>
      </c>
    </row>
    <row r="4572" spans="1:7">
      <c r="A4572" t="s">
        <v>1876</v>
      </c>
      <c r="B4572" t="s">
        <v>361</v>
      </c>
      <c r="C4572" t="s">
        <v>169</v>
      </c>
      <c r="D4572">
        <v>0</v>
      </c>
      <c r="E4572">
        <v>0</v>
      </c>
      <c r="F4572">
        <v>0</v>
      </c>
      <c r="G4572">
        <v>0</v>
      </c>
    </row>
    <row r="4573" spans="1:7">
      <c r="A4573" t="s">
        <v>1876</v>
      </c>
      <c r="B4573" t="s">
        <v>361</v>
      </c>
      <c r="C4573" t="s">
        <v>1704</v>
      </c>
      <c r="D4573">
        <v>45879</v>
      </c>
      <c r="E4573">
        <v>44163</v>
      </c>
      <c r="F4573">
        <v>45419</v>
      </c>
      <c r="G4573">
        <v>46279</v>
      </c>
    </row>
    <row r="4574" spans="1:7">
      <c r="A4574" t="s">
        <v>1876</v>
      </c>
      <c r="B4574" t="s">
        <v>361</v>
      </c>
      <c r="C4574" t="s">
        <v>170</v>
      </c>
      <c r="D4574">
        <v>0</v>
      </c>
      <c r="E4574">
        <v>0</v>
      </c>
      <c r="F4574">
        <v>0</v>
      </c>
      <c r="G4574">
        <v>0</v>
      </c>
    </row>
    <row r="4575" spans="1:7">
      <c r="A4575" t="s">
        <v>1876</v>
      </c>
      <c r="B4575" t="s">
        <v>361</v>
      </c>
      <c r="C4575" t="s">
        <v>171</v>
      </c>
      <c r="D4575">
        <v>-347505</v>
      </c>
      <c r="E4575">
        <v>-375008</v>
      </c>
      <c r="F4575">
        <v>-356613</v>
      </c>
      <c r="G4575">
        <v>-392544</v>
      </c>
    </row>
    <row r="4576" spans="1:7">
      <c r="A4576" t="s">
        <v>1876</v>
      </c>
      <c r="B4576" t="s">
        <v>361</v>
      </c>
      <c r="C4576" t="s">
        <v>172</v>
      </c>
      <c r="D4576">
        <v>0</v>
      </c>
      <c r="E4576">
        <v>0</v>
      </c>
      <c r="F4576">
        <v>0</v>
      </c>
      <c r="G4576">
        <v>0</v>
      </c>
    </row>
    <row r="4577" spans="1:7">
      <c r="A4577" t="s">
        <v>1876</v>
      </c>
      <c r="B4577" t="s">
        <v>361</v>
      </c>
      <c r="C4577" t="s">
        <v>1913</v>
      </c>
      <c r="D4577">
        <v>53.1</v>
      </c>
      <c r="E4577">
        <v>79.900000000000006</v>
      </c>
      <c r="F4577">
        <v>124.7</v>
      </c>
      <c r="G4577">
        <v>160.19999999999999</v>
      </c>
    </row>
    <row r="4578" spans="1:7">
      <c r="A4578" t="s">
        <v>1876</v>
      </c>
      <c r="B4578" t="s">
        <v>361</v>
      </c>
      <c r="C4578" t="s">
        <v>1914</v>
      </c>
      <c r="D4578">
        <v>0.6</v>
      </c>
      <c r="E4578">
        <v>0.9</v>
      </c>
      <c r="F4578">
        <v>1.3</v>
      </c>
      <c r="G4578">
        <v>1.7</v>
      </c>
    </row>
    <row r="4579" spans="1:7">
      <c r="A4579" t="s">
        <v>1876</v>
      </c>
      <c r="B4579" t="s">
        <v>361</v>
      </c>
      <c r="C4579" t="s">
        <v>173</v>
      </c>
      <c r="D4579">
        <v>34224</v>
      </c>
      <c r="E4579">
        <v>33724</v>
      </c>
      <c r="F4579">
        <v>34299</v>
      </c>
      <c r="G4579">
        <v>34600</v>
      </c>
    </row>
    <row r="4580" spans="1:7">
      <c r="A4580" t="s">
        <v>1876</v>
      </c>
      <c r="B4580" t="s">
        <v>361</v>
      </c>
      <c r="C4580" t="s">
        <v>174</v>
      </c>
      <c r="D4580">
        <v>971</v>
      </c>
      <c r="E4580">
        <v>1277</v>
      </c>
      <c r="F4580">
        <v>992</v>
      </c>
      <c r="G4580">
        <v>884</v>
      </c>
    </row>
    <row r="4581" spans="1:7">
      <c r="A4581" t="s">
        <v>1876</v>
      </c>
      <c r="B4581" t="s">
        <v>361</v>
      </c>
      <c r="C4581" t="s">
        <v>175</v>
      </c>
      <c r="D4581">
        <v>754</v>
      </c>
      <c r="E4581">
        <v>778</v>
      </c>
      <c r="F4581">
        <v>743</v>
      </c>
      <c r="G4581">
        <v>704</v>
      </c>
    </row>
    <row r="4582" spans="1:7">
      <c r="A4582" t="s">
        <v>1876</v>
      </c>
      <c r="B4582" t="s">
        <v>361</v>
      </c>
      <c r="C4582" t="s">
        <v>176</v>
      </c>
      <c r="D4582">
        <v>74976</v>
      </c>
      <c r="E4582">
        <v>78245</v>
      </c>
      <c r="F4582">
        <v>81321</v>
      </c>
      <c r="G4582">
        <v>81349</v>
      </c>
    </row>
    <row r="4583" spans="1:7">
      <c r="A4583" t="s">
        <v>1876</v>
      </c>
      <c r="B4583" t="s">
        <v>361</v>
      </c>
      <c r="C4583" t="s">
        <v>177</v>
      </c>
      <c r="D4583">
        <v>35950</v>
      </c>
      <c r="E4583">
        <v>35779</v>
      </c>
      <c r="F4583">
        <v>36034</v>
      </c>
      <c r="G4583">
        <v>36189</v>
      </c>
    </row>
    <row r="4584" spans="1:7">
      <c r="A4584" t="s">
        <v>1876</v>
      </c>
      <c r="B4584" t="s">
        <v>361</v>
      </c>
      <c r="C4584" t="s">
        <v>178</v>
      </c>
      <c r="D4584">
        <v>30840</v>
      </c>
      <c r="E4584">
        <v>30840</v>
      </c>
      <c r="F4584">
        <v>30840</v>
      </c>
      <c r="G4584">
        <v>30924</v>
      </c>
    </row>
    <row r="4585" spans="1:7">
      <c r="A4585" t="s">
        <v>1876</v>
      </c>
      <c r="B4585" t="s">
        <v>361</v>
      </c>
      <c r="C4585" t="s">
        <v>179</v>
      </c>
      <c r="D4585">
        <v>30840</v>
      </c>
      <c r="E4585">
        <v>30840</v>
      </c>
      <c r="F4585">
        <v>30840</v>
      </c>
      <c r="G4585">
        <v>30924</v>
      </c>
    </row>
    <row r="4586" spans="1:7">
      <c r="A4586" t="s">
        <v>1876</v>
      </c>
      <c r="B4586" t="s">
        <v>361</v>
      </c>
      <c r="C4586" t="s">
        <v>180</v>
      </c>
      <c r="D4586">
        <v>1551</v>
      </c>
      <c r="E4586">
        <v>1552</v>
      </c>
      <c r="F4586">
        <v>1415</v>
      </c>
      <c r="G4586">
        <v>1508</v>
      </c>
    </row>
    <row r="4587" spans="1:7">
      <c r="A4587" t="s">
        <v>1876</v>
      </c>
      <c r="B4587" t="s">
        <v>361</v>
      </c>
      <c r="C4587" t="s">
        <v>181</v>
      </c>
      <c r="D4587">
        <v>160102</v>
      </c>
      <c r="E4587">
        <v>160773</v>
      </c>
      <c r="F4587">
        <v>155506</v>
      </c>
      <c r="G4587">
        <v>154360</v>
      </c>
    </row>
    <row r="4588" spans="1:7">
      <c r="A4588" t="s">
        <v>1876</v>
      </c>
      <c r="B4588" t="s">
        <v>361</v>
      </c>
      <c r="C4588" t="s">
        <v>182</v>
      </c>
      <c r="D4588">
        <v>141591</v>
      </c>
      <c r="E4588">
        <v>142683</v>
      </c>
      <c r="F4588">
        <v>140804</v>
      </c>
      <c r="G4588">
        <v>145672</v>
      </c>
    </row>
    <row r="4589" spans="1:7">
      <c r="A4589" t="s">
        <v>1876</v>
      </c>
      <c r="B4589" t="s">
        <v>361</v>
      </c>
      <c r="C4589" t="s">
        <v>183</v>
      </c>
      <c r="D4589">
        <v>159726</v>
      </c>
      <c r="E4589">
        <v>158587</v>
      </c>
      <c r="F4589">
        <v>147807</v>
      </c>
      <c r="G4589">
        <v>153031</v>
      </c>
    </row>
    <row r="4590" spans="1:7">
      <c r="A4590" t="s">
        <v>1876</v>
      </c>
      <c r="B4590" t="s">
        <v>361</v>
      </c>
      <c r="C4590" t="s">
        <v>184</v>
      </c>
      <c r="D4590">
        <v>462970</v>
      </c>
      <c r="E4590">
        <v>463594</v>
      </c>
      <c r="F4590">
        <v>445533</v>
      </c>
      <c r="G4590">
        <v>454570</v>
      </c>
    </row>
    <row r="4591" spans="1:7">
      <c r="A4591" t="s">
        <v>1876</v>
      </c>
      <c r="B4591" t="s">
        <v>361</v>
      </c>
      <c r="C4591" t="s">
        <v>185</v>
      </c>
      <c r="D4591">
        <v>462970</v>
      </c>
      <c r="E4591">
        <v>463594</v>
      </c>
      <c r="F4591">
        <v>445533</v>
      </c>
      <c r="G4591">
        <v>454570</v>
      </c>
    </row>
    <row r="4592" spans="1:7">
      <c r="A4592" t="s">
        <v>1876</v>
      </c>
      <c r="B4592" t="s">
        <v>361</v>
      </c>
      <c r="C4592" t="s">
        <v>1915</v>
      </c>
      <c r="D4592">
        <v>96</v>
      </c>
      <c r="E4592">
        <v>155</v>
      </c>
      <c r="F4592">
        <v>384</v>
      </c>
      <c r="G4592">
        <v>517</v>
      </c>
    </row>
    <row r="4593" spans="1:7">
      <c r="A4593" t="s">
        <v>1876</v>
      </c>
      <c r="B4593" t="s">
        <v>361</v>
      </c>
      <c r="C4593" t="s">
        <v>1916</v>
      </c>
      <c r="D4593">
        <v>0</v>
      </c>
      <c r="E4593">
        <v>0</v>
      </c>
      <c r="F4593">
        <v>0</v>
      </c>
      <c r="G4593">
        <v>0</v>
      </c>
    </row>
    <row r="4594" spans="1:7">
      <c r="A4594" t="s">
        <v>1876</v>
      </c>
      <c r="B4594" t="s">
        <v>361</v>
      </c>
      <c r="C4594" t="s">
        <v>1917</v>
      </c>
      <c r="D4594">
        <v>64</v>
      </c>
      <c r="E4594">
        <v>52</v>
      </c>
      <c r="F4594">
        <v>52</v>
      </c>
      <c r="G4594">
        <v>52</v>
      </c>
    </row>
    <row r="4595" spans="1:7">
      <c r="A4595" t="s">
        <v>1876</v>
      </c>
      <c r="B4595" t="s">
        <v>361</v>
      </c>
      <c r="C4595" t="s">
        <v>1918</v>
      </c>
      <c r="D4595">
        <v>2809</v>
      </c>
      <c r="E4595">
        <v>3467</v>
      </c>
      <c r="F4595">
        <v>3142</v>
      </c>
      <c r="G4595">
        <v>3371</v>
      </c>
    </row>
    <row r="4596" spans="1:7">
      <c r="A4596" t="s">
        <v>1876</v>
      </c>
      <c r="B4596" t="s">
        <v>361</v>
      </c>
      <c r="C4596" t="s">
        <v>1919</v>
      </c>
      <c r="D4596">
        <v>2.93</v>
      </c>
      <c r="E4596">
        <v>2.72</v>
      </c>
      <c r="F4596">
        <v>2.64</v>
      </c>
      <c r="G4596">
        <v>2.57</v>
      </c>
    </row>
    <row r="4597" spans="1:7">
      <c r="A4597" t="s">
        <v>1876</v>
      </c>
      <c r="B4597" t="s">
        <v>361</v>
      </c>
      <c r="C4597" t="s">
        <v>1920</v>
      </c>
      <c r="D4597">
        <v>3435</v>
      </c>
      <c r="E4597">
        <v>4270</v>
      </c>
      <c r="F4597">
        <v>4222</v>
      </c>
      <c r="G4597">
        <v>4833</v>
      </c>
    </row>
    <row r="4598" spans="1:7">
      <c r="A4598" t="s">
        <v>1876</v>
      </c>
      <c r="B4598" t="s">
        <v>361</v>
      </c>
      <c r="C4598" t="s">
        <v>1921</v>
      </c>
      <c r="D4598">
        <v>1060</v>
      </c>
      <c r="E4598">
        <v>1410</v>
      </c>
      <c r="F4598">
        <v>1388</v>
      </c>
      <c r="G4598">
        <v>1588</v>
      </c>
    </row>
    <row r="4599" spans="1:7">
      <c r="A4599" t="s">
        <v>1876</v>
      </c>
      <c r="B4599" t="s">
        <v>361</v>
      </c>
      <c r="C4599" t="s">
        <v>1922</v>
      </c>
      <c r="D4599">
        <v>562</v>
      </c>
      <c r="E4599">
        <v>751</v>
      </c>
      <c r="F4599">
        <v>1028</v>
      </c>
      <c r="G4599">
        <v>1410</v>
      </c>
    </row>
    <row r="4600" spans="1:7">
      <c r="A4600" t="s">
        <v>1876</v>
      </c>
      <c r="B4600" t="s">
        <v>361</v>
      </c>
      <c r="C4600" t="s">
        <v>1923</v>
      </c>
      <c r="D4600">
        <v>4.3600000000000003</v>
      </c>
      <c r="E4600">
        <v>4.34</v>
      </c>
      <c r="F4600">
        <v>4.3600000000000003</v>
      </c>
      <c r="G4600">
        <v>4.3099999999999996</v>
      </c>
    </row>
    <row r="4601" spans="1:7">
      <c r="A4601" t="s">
        <v>1876</v>
      </c>
      <c r="B4601" t="s">
        <v>361</v>
      </c>
      <c r="C4601" t="s">
        <v>1924</v>
      </c>
      <c r="D4601">
        <v>69</v>
      </c>
      <c r="E4601">
        <v>14</v>
      </c>
      <c r="F4601">
        <v>14</v>
      </c>
      <c r="G4601">
        <v>14</v>
      </c>
    </row>
    <row r="4602" spans="1:7">
      <c r="A4602" t="s">
        <v>1876</v>
      </c>
      <c r="B4602" t="s">
        <v>361</v>
      </c>
      <c r="C4602" t="s">
        <v>1925</v>
      </c>
      <c r="D4602">
        <v>213</v>
      </c>
      <c r="E4602">
        <v>203</v>
      </c>
      <c r="F4602">
        <v>176</v>
      </c>
      <c r="G4602">
        <v>172</v>
      </c>
    </row>
    <row r="4603" spans="1:7">
      <c r="A4603" t="s">
        <v>1876</v>
      </c>
      <c r="B4603" t="s">
        <v>361</v>
      </c>
      <c r="C4603" t="s">
        <v>1926</v>
      </c>
      <c r="D4603">
        <v>778</v>
      </c>
      <c r="E4603">
        <v>1193</v>
      </c>
      <c r="F4603">
        <v>1198</v>
      </c>
      <c r="G4603">
        <v>1402</v>
      </c>
    </row>
    <row r="4604" spans="1:7">
      <c r="A4604" t="s">
        <v>1876</v>
      </c>
      <c r="B4604" t="s">
        <v>361</v>
      </c>
      <c r="C4604" t="s">
        <v>1927</v>
      </c>
      <c r="D4604">
        <v>59</v>
      </c>
      <c r="E4604">
        <v>63</v>
      </c>
      <c r="F4604">
        <v>38</v>
      </c>
      <c r="G4604">
        <v>34</v>
      </c>
    </row>
    <row r="4605" spans="1:7">
      <c r="A4605" t="s">
        <v>1876</v>
      </c>
      <c r="B4605" t="s">
        <v>361</v>
      </c>
      <c r="C4605" t="s">
        <v>1928</v>
      </c>
      <c r="D4605">
        <v>928</v>
      </c>
      <c r="E4605">
        <v>1275</v>
      </c>
      <c r="F4605">
        <v>1283</v>
      </c>
      <c r="G4605">
        <v>1467</v>
      </c>
    </row>
    <row r="4606" spans="1:7">
      <c r="A4606" t="s">
        <v>1876</v>
      </c>
      <c r="B4606" t="s">
        <v>361</v>
      </c>
      <c r="C4606" t="s">
        <v>1929</v>
      </c>
      <c r="D4606">
        <v>73</v>
      </c>
      <c r="E4606">
        <v>72</v>
      </c>
      <c r="F4606">
        <v>67</v>
      </c>
      <c r="G4606">
        <v>87</v>
      </c>
    </row>
    <row r="4607" spans="1:7">
      <c r="A4607" t="s">
        <v>1876</v>
      </c>
      <c r="B4607" t="s">
        <v>361</v>
      </c>
      <c r="C4607" t="s">
        <v>186</v>
      </c>
      <c r="D4607">
        <v>11</v>
      </c>
      <c r="E4607">
        <v>11</v>
      </c>
      <c r="F4607">
        <v>22</v>
      </c>
      <c r="G4607">
        <v>-190</v>
      </c>
    </row>
    <row r="4608" spans="1:7">
      <c r="A4608" t="s">
        <v>1876</v>
      </c>
      <c r="B4608" t="s">
        <v>361</v>
      </c>
      <c r="C4608" t="s">
        <v>187</v>
      </c>
      <c r="D4608">
        <v>11</v>
      </c>
      <c r="E4608">
        <v>11</v>
      </c>
      <c r="F4608">
        <v>22</v>
      </c>
      <c r="G4608">
        <v>-190</v>
      </c>
    </row>
    <row r="4609" spans="1:7">
      <c r="A4609" t="s">
        <v>1876</v>
      </c>
      <c r="B4609" t="s">
        <v>361</v>
      </c>
      <c r="C4609" t="s">
        <v>1705</v>
      </c>
      <c r="D4609">
        <v>26157</v>
      </c>
      <c r="E4609">
        <v>24399</v>
      </c>
      <c r="F4609">
        <v>24467</v>
      </c>
      <c r="G4609">
        <v>23589</v>
      </c>
    </row>
    <row r="4610" spans="1:7">
      <c r="A4610" t="s">
        <v>1876</v>
      </c>
      <c r="B4610" t="s">
        <v>361</v>
      </c>
      <c r="C4610" t="s">
        <v>188</v>
      </c>
      <c r="D4610">
        <v>2739584</v>
      </c>
      <c r="E4610">
        <v>2761244</v>
      </c>
      <c r="F4610">
        <v>2569822</v>
      </c>
      <c r="G4610">
        <v>2530843</v>
      </c>
    </row>
    <row r="4611" spans="1:7">
      <c r="A4611" t="s">
        <v>1876</v>
      </c>
      <c r="B4611" t="s">
        <v>361</v>
      </c>
      <c r="C4611" t="s">
        <v>189</v>
      </c>
      <c r="D4611">
        <v>0</v>
      </c>
      <c r="E4611">
        <v>0</v>
      </c>
      <c r="F4611">
        <v>0</v>
      </c>
      <c r="G4611">
        <v>0</v>
      </c>
    </row>
    <row r="4612" spans="1:7">
      <c r="A4612" t="s">
        <v>1876</v>
      </c>
      <c r="B4612" t="s">
        <v>361</v>
      </c>
      <c r="C4612" t="s">
        <v>190</v>
      </c>
      <c r="D4612">
        <v>0</v>
      </c>
      <c r="E4612">
        <v>0</v>
      </c>
      <c r="F4612">
        <v>0</v>
      </c>
      <c r="G4612">
        <v>0</v>
      </c>
    </row>
    <row r="4613" spans="1:7">
      <c r="A4613" t="s">
        <v>1876</v>
      </c>
      <c r="B4613" t="s">
        <v>361</v>
      </c>
      <c r="C4613" t="s">
        <v>191</v>
      </c>
      <c r="D4613">
        <v>0</v>
      </c>
      <c r="E4613">
        <v>0</v>
      </c>
      <c r="F4613">
        <v>0</v>
      </c>
      <c r="G4613">
        <v>0</v>
      </c>
    </row>
    <row r="4614" spans="1:7">
      <c r="A4614" t="s">
        <v>1876</v>
      </c>
      <c r="B4614" t="s">
        <v>361</v>
      </c>
      <c r="C4614" t="s">
        <v>192</v>
      </c>
      <c r="D4614">
        <v>947223.9</v>
      </c>
      <c r="E4614">
        <v>1037735.9</v>
      </c>
      <c r="F4614">
        <v>1100794.1000000001</v>
      </c>
      <c r="G4614">
        <v>1148106.1000000001</v>
      </c>
    </row>
    <row r="4615" spans="1:7">
      <c r="A4615" t="s">
        <v>1876</v>
      </c>
      <c r="B4615" t="s">
        <v>361</v>
      </c>
      <c r="C4615" t="s">
        <v>193</v>
      </c>
      <c r="D4615">
        <v>857114.6</v>
      </c>
      <c r="E4615">
        <v>872907.5</v>
      </c>
      <c r="F4615">
        <v>884965.3</v>
      </c>
      <c r="G4615">
        <v>899125.9</v>
      </c>
    </row>
    <row r="4616" spans="1:7">
      <c r="A4616" t="s">
        <v>1876</v>
      </c>
      <c r="B4616" t="s">
        <v>361</v>
      </c>
      <c r="C4616" t="s">
        <v>1930</v>
      </c>
      <c r="D4616">
        <v>0</v>
      </c>
      <c r="E4616">
        <v>0</v>
      </c>
      <c r="F4616">
        <v>0</v>
      </c>
      <c r="G4616">
        <v>0</v>
      </c>
    </row>
    <row r="4617" spans="1:7">
      <c r="A4617" t="s">
        <v>1876</v>
      </c>
      <c r="B4617" t="s">
        <v>361</v>
      </c>
      <c r="C4617" t="s">
        <v>194</v>
      </c>
      <c r="D4617">
        <v>0</v>
      </c>
      <c r="E4617">
        <v>0</v>
      </c>
      <c r="F4617">
        <v>0</v>
      </c>
      <c r="G4617">
        <v>0</v>
      </c>
    </row>
    <row r="4618" spans="1:7">
      <c r="A4618" t="s">
        <v>1876</v>
      </c>
      <c r="B4618" t="s">
        <v>361</v>
      </c>
      <c r="C4618" t="s">
        <v>195</v>
      </c>
      <c r="D4618">
        <v>0</v>
      </c>
      <c r="E4618">
        <v>0</v>
      </c>
      <c r="F4618">
        <v>0</v>
      </c>
      <c r="G4618">
        <v>0</v>
      </c>
    </row>
    <row r="4619" spans="1:7">
      <c r="A4619" t="s">
        <v>1876</v>
      </c>
      <c r="B4619" t="s">
        <v>361</v>
      </c>
      <c r="C4619" t="s">
        <v>1706</v>
      </c>
      <c r="D4619">
        <v>0</v>
      </c>
      <c r="E4619">
        <v>0</v>
      </c>
      <c r="F4619">
        <v>0</v>
      </c>
      <c r="G4619">
        <v>0</v>
      </c>
    </row>
    <row r="4620" spans="1:7">
      <c r="A4620" t="s">
        <v>1876</v>
      </c>
      <c r="B4620" t="s">
        <v>361</v>
      </c>
      <c r="C4620" t="s">
        <v>196</v>
      </c>
      <c r="D4620">
        <v>0</v>
      </c>
      <c r="E4620">
        <v>0</v>
      </c>
      <c r="F4620">
        <v>0</v>
      </c>
      <c r="G4620">
        <v>0</v>
      </c>
    </row>
    <row r="4621" spans="1:7">
      <c r="A4621" t="s">
        <v>1876</v>
      </c>
      <c r="B4621" t="s">
        <v>361</v>
      </c>
      <c r="C4621" t="s">
        <v>197</v>
      </c>
      <c r="D4621">
        <v>2042</v>
      </c>
      <c r="E4621">
        <v>2042</v>
      </c>
      <c r="F4621">
        <v>2042</v>
      </c>
      <c r="G4621">
        <v>2042</v>
      </c>
    </row>
    <row r="4622" spans="1:7">
      <c r="A4622" t="s">
        <v>1876</v>
      </c>
      <c r="B4622" t="s">
        <v>361</v>
      </c>
      <c r="C4622" t="s">
        <v>198</v>
      </c>
      <c r="D4622">
        <v>2042</v>
      </c>
      <c r="E4622">
        <v>2042</v>
      </c>
      <c r="F4622">
        <v>2042</v>
      </c>
      <c r="G4622">
        <v>2042</v>
      </c>
    </row>
    <row r="4623" spans="1:7">
      <c r="A4623" t="s">
        <v>1876</v>
      </c>
      <c r="B4623" t="s">
        <v>361</v>
      </c>
      <c r="C4623" t="s">
        <v>199</v>
      </c>
      <c r="D4623">
        <v>2042</v>
      </c>
      <c r="E4623">
        <v>2042</v>
      </c>
      <c r="F4623">
        <v>2042</v>
      </c>
      <c r="G4623">
        <v>2042</v>
      </c>
    </row>
    <row r="4624" spans="1:7">
      <c r="A4624" t="s">
        <v>1876</v>
      </c>
      <c r="B4624" t="s">
        <v>361</v>
      </c>
      <c r="C4624" t="s">
        <v>200</v>
      </c>
      <c r="D4624">
        <v>178</v>
      </c>
      <c r="E4624">
        <v>283</v>
      </c>
      <c r="F4624">
        <v>316</v>
      </c>
      <c r="G4624">
        <v>289</v>
      </c>
    </row>
    <row r="4625" spans="1:7">
      <c r="A4625" t="s">
        <v>1876</v>
      </c>
      <c r="B4625" t="s">
        <v>361</v>
      </c>
      <c r="C4625" t="s">
        <v>201</v>
      </c>
      <c r="D4625">
        <v>7061</v>
      </c>
      <c r="E4625">
        <v>4061</v>
      </c>
      <c r="F4625">
        <v>3435</v>
      </c>
      <c r="G4625">
        <v>3289</v>
      </c>
    </row>
    <row r="4626" spans="1:7">
      <c r="A4626" t="s">
        <v>1876</v>
      </c>
      <c r="B4626" t="s">
        <v>361</v>
      </c>
      <c r="C4626" t="s">
        <v>202</v>
      </c>
      <c r="D4626">
        <v>50747</v>
      </c>
      <c r="E4626">
        <v>48554</v>
      </c>
      <c r="F4626">
        <v>48945</v>
      </c>
      <c r="G4626">
        <v>47613</v>
      </c>
    </row>
    <row r="4627" spans="1:7">
      <c r="A4627" t="s">
        <v>1876</v>
      </c>
      <c r="B4627" t="s">
        <v>361</v>
      </c>
      <c r="C4627" t="s">
        <v>203</v>
      </c>
      <c r="D4627">
        <v>27435</v>
      </c>
      <c r="E4627">
        <v>24866</v>
      </c>
      <c r="F4627">
        <v>27407</v>
      </c>
      <c r="G4627">
        <v>26733</v>
      </c>
    </row>
    <row r="4628" spans="1:7">
      <c r="A4628" t="s">
        <v>1876</v>
      </c>
      <c r="B4628" t="s">
        <v>361</v>
      </c>
      <c r="C4628" t="s">
        <v>204</v>
      </c>
      <c r="D4628">
        <v>85421</v>
      </c>
      <c r="E4628">
        <v>77764</v>
      </c>
      <c r="F4628">
        <v>80103</v>
      </c>
      <c r="G4628">
        <v>77924</v>
      </c>
    </row>
    <row r="4629" spans="1:7">
      <c r="A4629" t="s">
        <v>1876</v>
      </c>
      <c r="B4629" t="s">
        <v>361</v>
      </c>
      <c r="C4629" t="s">
        <v>205</v>
      </c>
      <c r="D4629">
        <v>85421</v>
      </c>
      <c r="E4629">
        <v>77764</v>
      </c>
      <c r="F4629">
        <v>80103</v>
      </c>
      <c r="G4629">
        <v>77924</v>
      </c>
    </row>
    <row r="4630" spans="1:7">
      <c r="A4630" t="s">
        <v>1876</v>
      </c>
      <c r="B4630" t="s">
        <v>361</v>
      </c>
      <c r="C4630" t="s">
        <v>1931</v>
      </c>
      <c r="D4630">
        <v>0</v>
      </c>
      <c r="E4630">
        <v>0</v>
      </c>
      <c r="F4630">
        <v>0</v>
      </c>
      <c r="G4630">
        <v>0</v>
      </c>
    </row>
    <row r="4631" spans="1:7">
      <c r="A4631" t="s">
        <v>1876</v>
      </c>
      <c r="B4631" t="s">
        <v>361</v>
      </c>
      <c r="C4631" t="s">
        <v>1707</v>
      </c>
      <c r="D4631">
        <v>0</v>
      </c>
      <c r="E4631">
        <v>0</v>
      </c>
      <c r="F4631">
        <v>0</v>
      </c>
      <c r="G4631">
        <v>0</v>
      </c>
    </row>
    <row r="4632" spans="1:7">
      <c r="A4632" t="s">
        <v>1876</v>
      </c>
      <c r="B4632" t="s">
        <v>361</v>
      </c>
      <c r="C4632" t="s">
        <v>1932</v>
      </c>
      <c r="D4632">
        <v>44.3</v>
      </c>
      <c r="E4632">
        <v>40</v>
      </c>
      <c r="F4632">
        <v>32</v>
      </c>
      <c r="G4632">
        <v>20.5</v>
      </c>
    </row>
    <row r="4633" spans="1:7">
      <c r="A4633" t="s">
        <v>1876</v>
      </c>
      <c r="B4633" t="s">
        <v>361</v>
      </c>
      <c r="C4633" t="s">
        <v>1708</v>
      </c>
      <c r="D4633">
        <v>33</v>
      </c>
      <c r="E4633">
        <v>33</v>
      </c>
      <c r="F4633">
        <v>33</v>
      </c>
      <c r="G4633">
        <v>33</v>
      </c>
    </row>
    <row r="4634" spans="1:7">
      <c r="A4634" t="s">
        <v>1876</v>
      </c>
      <c r="B4634" t="s">
        <v>361</v>
      </c>
      <c r="C4634" t="s">
        <v>206</v>
      </c>
      <c r="D4634">
        <v>3</v>
      </c>
      <c r="E4634">
        <v>0</v>
      </c>
      <c r="F4634">
        <v>0</v>
      </c>
      <c r="G4634">
        <v>0</v>
      </c>
    </row>
    <row r="4635" spans="1:7">
      <c r="A4635" t="s">
        <v>1876</v>
      </c>
      <c r="B4635" t="s">
        <v>361</v>
      </c>
      <c r="C4635" t="s">
        <v>207</v>
      </c>
      <c r="D4635">
        <v>436</v>
      </c>
      <c r="E4635">
        <v>393</v>
      </c>
      <c r="F4635">
        <v>314</v>
      </c>
      <c r="G4635">
        <v>256</v>
      </c>
    </row>
    <row r="4636" spans="1:7">
      <c r="A4636" t="s">
        <v>1876</v>
      </c>
      <c r="B4636" t="s">
        <v>361</v>
      </c>
      <c r="C4636" t="s">
        <v>208</v>
      </c>
      <c r="D4636">
        <v>0</v>
      </c>
      <c r="E4636">
        <v>0</v>
      </c>
      <c r="F4636">
        <v>0</v>
      </c>
      <c r="G4636">
        <v>0</v>
      </c>
    </row>
    <row r="4637" spans="1:7">
      <c r="A4637" t="s">
        <v>1876</v>
      </c>
      <c r="B4637" t="s">
        <v>361</v>
      </c>
      <c r="C4637" t="s">
        <v>209</v>
      </c>
      <c r="D4637">
        <v>439</v>
      </c>
      <c r="E4637">
        <v>393</v>
      </c>
      <c r="F4637">
        <v>314</v>
      </c>
      <c r="G4637">
        <v>256</v>
      </c>
    </row>
    <row r="4638" spans="1:7">
      <c r="A4638" t="s">
        <v>1876</v>
      </c>
      <c r="B4638" t="s">
        <v>361</v>
      </c>
      <c r="C4638" t="s">
        <v>210</v>
      </c>
      <c r="D4638">
        <v>3</v>
      </c>
      <c r="E4638">
        <v>0</v>
      </c>
      <c r="F4638">
        <v>0</v>
      </c>
      <c r="G4638">
        <v>0</v>
      </c>
    </row>
    <row r="4639" spans="1:7">
      <c r="A4639" t="s">
        <v>1876</v>
      </c>
      <c r="B4639" t="s">
        <v>361</v>
      </c>
      <c r="C4639" t="s">
        <v>211</v>
      </c>
      <c r="D4639">
        <v>0</v>
      </c>
      <c r="E4639">
        <v>0</v>
      </c>
      <c r="F4639">
        <v>0</v>
      </c>
      <c r="G4639">
        <v>0</v>
      </c>
    </row>
    <row r="4640" spans="1:7">
      <c r="A4640" t="s">
        <v>1876</v>
      </c>
      <c r="B4640" t="s">
        <v>361</v>
      </c>
      <c r="C4640" t="s">
        <v>212</v>
      </c>
      <c r="D4640">
        <v>0</v>
      </c>
      <c r="E4640">
        <v>0</v>
      </c>
      <c r="F4640">
        <v>0</v>
      </c>
      <c r="G4640">
        <v>0</v>
      </c>
    </row>
    <row r="4641" spans="1:7">
      <c r="A4641" t="s">
        <v>1876</v>
      </c>
      <c r="B4641" t="s">
        <v>361</v>
      </c>
      <c r="C4641" t="s">
        <v>213</v>
      </c>
      <c r="D4641">
        <v>0</v>
      </c>
      <c r="E4641">
        <v>0</v>
      </c>
      <c r="F4641">
        <v>0</v>
      </c>
      <c r="G4641">
        <v>0</v>
      </c>
    </row>
    <row r="4642" spans="1:7">
      <c r="A4642" t="s">
        <v>1876</v>
      </c>
      <c r="B4642" t="s">
        <v>361</v>
      </c>
      <c r="C4642" t="s">
        <v>214</v>
      </c>
      <c r="D4642">
        <v>0</v>
      </c>
      <c r="E4642">
        <v>0</v>
      </c>
      <c r="F4642">
        <v>0</v>
      </c>
      <c r="G4642">
        <v>0</v>
      </c>
    </row>
    <row r="4643" spans="1:7">
      <c r="A4643" t="s">
        <v>1876</v>
      </c>
      <c r="B4643" t="s">
        <v>361</v>
      </c>
      <c r="C4643" t="s">
        <v>215</v>
      </c>
      <c r="D4643">
        <v>138089</v>
      </c>
      <c r="E4643">
        <v>145748</v>
      </c>
      <c r="F4643">
        <v>152050</v>
      </c>
      <c r="G4643">
        <v>155477</v>
      </c>
    </row>
    <row r="4644" spans="1:7">
      <c r="A4644" t="s">
        <v>1876</v>
      </c>
      <c r="B4644" t="s">
        <v>361</v>
      </c>
      <c r="C4644" t="s">
        <v>216</v>
      </c>
      <c r="D4644">
        <v>138089</v>
      </c>
      <c r="E4644">
        <v>145748</v>
      </c>
      <c r="F4644">
        <v>152050</v>
      </c>
      <c r="G4644">
        <v>155477</v>
      </c>
    </row>
    <row r="4645" spans="1:7">
      <c r="A4645" t="s">
        <v>1876</v>
      </c>
      <c r="B4645" t="s">
        <v>361</v>
      </c>
      <c r="C4645" t="s">
        <v>217</v>
      </c>
      <c r="D4645">
        <v>138089</v>
      </c>
      <c r="E4645">
        <v>145748</v>
      </c>
      <c r="F4645">
        <v>152050</v>
      </c>
      <c r="G4645">
        <v>155477</v>
      </c>
    </row>
    <row r="4646" spans="1:7">
      <c r="A4646" t="s">
        <v>1876</v>
      </c>
      <c r="B4646" t="s">
        <v>361</v>
      </c>
      <c r="C4646" t="s">
        <v>218</v>
      </c>
      <c r="D4646">
        <v>22</v>
      </c>
      <c r="E4646">
        <v>20</v>
      </c>
      <c r="F4646">
        <v>34</v>
      </c>
      <c r="G4646">
        <v>25</v>
      </c>
    </row>
    <row r="4647" spans="1:7">
      <c r="A4647" t="s">
        <v>1876</v>
      </c>
      <c r="B4647" t="s">
        <v>361</v>
      </c>
      <c r="C4647" t="s">
        <v>219</v>
      </c>
      <c r="D4647">
        <v>21</v>
      </c>
      <c r="E4647">
        <v>16</v>
      </c>
      <c r="F4647">
        <v>64</v>
      </c>
      <c r="G4647">
        <v>35</v>
      </c>
    </row>
    <row r="4648" spans="1:7">
      <c r="A4648" t="s">
        <v>1876</v>
      </c>
      <c r="B4648" t="s">
        <v>361</v>
      </c>
      <c r="C4648" t="s">
        <v>220</v>
      </c>
      <c r="D4648">
        <v>65</v>
      </c>
      <c r="E4648">
        <v>61</v>
      </c>
      <c r="F4648">
        <v>102</v>
      </c>
      <c r="G4648">
        <v>74</v>
      </c>
    </row>
    <row r="4649" spans="1:7">
      <c r="A4649" t="s">
        <v>1876</v>
      </c>
      <c r="B4649" t="s">
        <v>361</v>
      </c>
      <c r="C4649" t="s">
        <v>221</v>
      </c>
      <c r="D4649">
        <v>108</v>
      </c>
      <c r="E4649">
        <v>97</v>
      </c>
      <c r="F4649">
        <v>201</v>
      </c>
      <c r="G4649">
        <v>134</v>
      </c>
    </row>
    <row r="4650" spans="1:7">
      <c r="A4650" t="s">
        <v>1876</v>
      </c>
      <c r="B4650" t="s">
        <v>361</v>
      </c>
      <c r="C4650" t="s">
        <v>222</v>
      </c>
      <c r="D4650">
        <v>108</v>
      </c>
      <c r="E4650">
        <v>97</v>
      </c>
      <c r="F4650">
        <v>201</v>
      </c>
      <c r="G4650">
        <v>134</v>
      </c>
    </row>
    <row r="4651" spans="1:7">
      <c r="A4651" t="s">
        <v>1876</v>
      </c>
      <c r="B4651" t="s">
        <v>361</v>
      </c>
      <c r="C4651" t="s">
        <v>1933</v>
      </c>
      <c r="D4651">
        <v>9368</v>
      </c>
      <c r="E4651">
        <v>9317.7999999999993</v>
      </c>
      <c r="F4651">
        <v>9260.9</v>
      </c>
      <c r="G4651">
        <v>9336.9</v>
      </c>
    </row>
    <row r="4652" spans="1:7">
      <c r="A4652" t="s">
        <v>1876</v>
      </c>
      <c r="B4652" t="s">
        <v>361</v>
      </c>
      <c r="C4652" t="s">
        <v>223</v>
      </c>
      <c r="D4652">
        <v>3014</v>
      </c>
      <c r="E4652">
        <v>2877</v>
      </c>
      <c r="F4652">
        <v>2509</v>
      </c>
      <c r="G4652">
        <v>2616</v>
      </c>
    </row>
    <row r="4653" spans="1:7">
      <c r="A4653" t="s">
        <v>1876</v>
      </c>
      <c r="B4653" t="s">
        <v>361</v>
      </c>
      <c r="C4653" t="s">
        <v>224</v>
      </c>
      <c r="D4653">
        <v>311139</v>
      </c>
      <c r="E4653">
        <v>298116</v>
      </c>
      <c r="F4653">
        <v>275654</v>
      </c>
      <c r="G4653">
        <v>267713</v>
      </c>
    </row>
    <row r="4654" spans="1:7">
      <c r="A4654" t="s">
        <v>1876</v>
      </c>
      <c r="B4654" t="s">
        <v>361</v>
      </c>
      <c r="C4654" t="s">
        <v>225</v>
      </c>
      <c r="D4654">
        <v>275166</v>
      </c>
      <c r="E4654">
        <v>264572</v>
      </c>
      <c r="F4654">
        <v>249593</v>
      </c>
      <c r="G4654">
        <v>252645</v>
      </c>
    </row>
    <row r="4655" spans="1:7">
      <c r="A4655" t="s">
        <v>1876</v>
      </c>
      <c r="B4655" t="s">
        <v>361</v>
      </c>
      <c r="C4655" t="s">
        <v>226</v>
      </c>
      <c r="D4655">
        <v>310409</v>
      </c>
      <c r="E4655">
        <v>294063</v>
      </c>
      <c r="F4655">
        <v>262006</v>
      </c>
      <c r="G4655">
        <v>265408</v>
      </c>
    </row>
    <row r="4656" spans="1:7">
      <c r="A4656" t="s">
        <v>1876</v>
      </c>
      <c r="B4656" t="s">
        <v>361</v>
      </c>
      <c r="C4656" t="s">
        <v>227</v>
      </c>
      <c r="D4656">
        <v>899728</v>
      </c>
      <c r="E4656">
        <v>859629</v>
      </c>
      <c r="F4656">
        <v>789762</v>
      </c>
      <c r="G4656">
        <v>788383</v>
      </c>
    </row>
    <row r="4657" spans="1:7">
      <c r="A4657" t="s">
        <v>1876</v>
      </c>
      <c r="B4657" t="s">
        <v>361</v>
      </c>
      <c r="C4657" t="s">
        <v>228</v>
      </c>
      <c r="D4657">
        <v>899728</v>
      </c>
      <c r="E4657">
        <v>859629</v>
      </c>
      <c r="F4657">
        <v>789762</v>
      </c>
      <c r="G4657">
        <v>788383</v>
      </c>
    </row>
    <row r="4658" spans="1:7">
      <c r="A4658" t="s">
        <v>1876</v>
      </c>
      <c r="B4658" t="s">
        <v>361</v>
      </c>
      <c r="C4658" t="s">
        <v>229</v>
      </c>
      <c r="D4658">
        <v>3962</v>
      </c>
      <c r="E4658">
        <v>4167</v>
      </c>
      <c r="F4658">
        <v>3016</v>
      </c>
      <c r="G4658">
        <v>2890</v>
      </c>
    </row>
    <row r="4659" spans="1:7">
      <c r="A4659" t="s">
        <v>1876</v>
      </c>
      <c r="B4659" t="s">
        <v>361</v>
      </c>
      <c r="C4659" t="s">
        <v>230</v>
      </c>
      <c r="D4659">
        <v>4263</v>
      </c>
      <c r="E4659">
        <v>4414</v>
      </c>
      <c r="F4659">
        <v>3218</v>
      </c>
      <c r="G4659">
        <v>3001</v>
      </c>
    </row>
    <row r="4660" spans="1:7">
      <c r="A4660" t="s">
        <v>1876</v>
      </c>
      <c r="B4660" t="s">
        <v>361</v>
      </c>
      <c r="C4660" t="s">
        <v>231</v>
      </c>
      <c r="D4660">
        <v>8224</v>
      </c>
      <c r="E4660">
        <v>8581</v>
      </c>
      <c r="F4660">
        <v>6234</v>
      </c>
      <c r="G4660">
        <v>5891</v>
      </c>
    </row>
    <row r="4661" spans="1:7">
      <c r="A4661" t="s">
        <v>1876</v>
      </c>
      <c r="B4661" t="s">
        <v>361</v>
      </c>
      <c r="C4661" t="s">
        <v>232</v>
      </c>
      <c r="D4661">
        <v>8224</v>
      </c>
      <c r="E4661">
        <v>8581</v>
      </c>
      <c r="F4661">
        <v>6234</v>
      </c>
      <c r="G4661">
        <v>5891</v>
      </c>
    </row>
    <row r="4662" spans="1:7">
      <c r="A4662" t="s">
        <v>1876</v>
      </c>
      <c r="B4662" t="s">
        <v>361</v>
      </c>
      <c r="C4662" t="s">
        <v>233</v>
      </c>
      <c r="D4662">
        <v>0</v>
      </c>
      <c r="E4662">
        <v>0</v>
      </c>
      <c r="F4662">
        <v>0</v>
      </c>
      <c r="G4662">
        <v>0</v>
      </c>
    </row>
    <row r="4663" spans="1:7">
      <c r="A4663" t="s">
        <v>1876</v>
      </c>
      <c r="B4663" t="s">
        <v>361</v>
      </c>
      <c r="C4663" t="s">
        <v>234</v>
      </c>
      <c r="D4663">
        <v>475387</v>
      </c>
      <c r="E4663">
        <v>467325</v>
      </c>
      <c r="F4663">
        <v>473110</v>
      </c>
      <c r="G4663">
        <v>481330</v>
      </c>
    </row>
    <row r="4664" spans="1:7">
      <c r="A4664" t="s">
        <v>1876</v>
      </c>
      <c r="B4664" t="s">
        <v>361</v>
      </c>
      <c r="C4664" t="s">
        <v>235</v>
      </c>
      <c r="D4664">
        <v>13491</v>
      </c>
      <c r="E4664">
        <v>17690</v>
      </c>
      <c r="F4664">
        <v>13681</v>
      </c>
      <c r="G4664">
        <v>12303</v>
      </c>
    </row>
    <row r="4665" spans="1:7">
      <c r="A4665" t="s">
        <v>1876</v>
      </c>
      <c r="B4665" t="s">
        <v>361</v>
      </c>
      <c r="C4665" t="s">
        <v>236</v>
      </c>
      <c r="D4665">
        <v>10476</v>
      </c>
      <c r="E4665">
        <v>10777</v>
      </c>
      <c r="F4665">
        <v>10250</v>
      </c>
      <c r="G4665">
        <v>9797</v>
      </c>
    </row>
    <row r="4666" spans="1:7">
      <c r="A4666" t="s">
        <v>1876</v>
      </c>
      <c r="B4666" t="s">
        <v>361</v>
      </c>
      <c r="C4666" t="s">
        <v>237</v>
      </c>
      <c r="D4666">
        <v>499354</v>
      </c>
      <c r="E4666">
        <v>495792</v>
      </c>
      <c r="F4666">
        <v>497041</v>
      </c>
      <c r="G4666">
        <v>503429</v>
      </c>
    </row>
    <row r="4667" spans="1:7">
      <c r="A4667" t="s">
        <v>1876</v>
      </c>
      <c r="B4667" t="s">
        <v>361</v>
      </c>
      <c r="C4667" t="s">
        <v>238</v>
      </c>
      <c r="D4667">
        <v>499354</v>
      </c>
      <c r="E4667">
        <v>495792</v>
      </c>
      <c r="F4667">
        <v>497041</v>
      </c>
      <c r="G4667">
        <v>503429</v>
      </c>
    </row>
    <row r="4668" spans="1:7">
      <c r="A4668" t="s">
        <v>1876</v>
      </c>
      <c r="B4668" t="s">
        <v>361</v>
      </c>
      <c r="C4668" t="s">
        <v>1934</v>
      </c>
      <c r="D4668">
        <v>441162</v>
      </c>
      <c r="E4668">
        <v>433600</v>
      </c>
      <c r="F4668">
        <v>438812</v>
      </c>
      <c r="G4668">
        <v>446730</v>
      </c>
    </row>
    <row r="4669" spans="1:7">
      <c r="A4669" t="s">
        <v>1876</v>
      </c>
      <c r="B4669" t="s">
        <v>361</v>
      </c>
      <c r="C4669" t="s">
        <v>1935</v>
      </c>
      <c r="D4669">
        <v>12520</v>
      </c>
      <c r="E4669">
        <v>16414</v>
      </c>
      <c r="F4669">
        <v>12689</v>
      </c>
      <c r="G4669">
        <v>11418</v>
      </c>
    </row>
    <row r="4670" spans="1:7">
      <c r="A4670" t="s">
        <v>1876</v>
      </c>
      <c r="B4670" t="s">
        <v>361</v>
      </c>
      <c r="C4670" t="s">
        <v>1936</v>
      </c>
      <c r="D4670">
        <v>9721</v>
      </c>
      <c r="E4670">
        <v>9999</v>
      </c>
      <c r="F4670">
        <v>9507</v>
      </c>
      <c r="G4670">
        <v>9093</v>
      </c>
    </row>
    <row r="4671" spans="1:7">
      <c r="A4671" t="s">
        <v>1876</v>
      </c>
      <c r="B4671" t="s">
        <v>361</v>
      </c>
      <c r="C4671" t="s">
        <v>239</v>
      </c>
      <c r="D4671">
        <v>463404</v>
      </c>
      <c r="E4671">
        <v>460013</v>
      </c>
      <c r="F4671">
        <v>461007</v>
      </c>
      <c r="G4671">
        <v>467241</v>
      </c>
    </row>
    <row r="4672" spans="1:7">
      <c r="A4672" t="s">
        <v>1876</v>
      </c>
      <c r="B4672" t="s">
        <v>361</v>
      </c>
      <c r="C4672" t="s">
        <v>240</v>
      </c>
      <c r="D4672">
        <v>2978</v>
      </c>
      <c r="E4672">
        <v>2639</v>
      </c>
      <c r="F4672">
        <v>2536</v>
      </c>
      <c r="G4672">
        <v>2483</v>
      </c>
    </row>
    <row r="4673" spans="1:7">
      <c r="A4673" t="s">
        <v>1876</v>
      </c>
      <c r="B4673" t="s">
        <v>361</v>
      </c>
      <c r="C4673" t="s">
        <v>241</v>
      </c>
      <c r="D4673">
        <v>0</v>
      </c>
      <c r="E4673">
        <v>0</v>
      </c>
      <c r="F4673">
        <v>0</v>
      </c>
      <c r="G4673">
        <v>0</v>
      </c>
    </row>
    <row r="4674" spans="1:7">
      <c r="A4674" t="s">
        <v>1876</v>
      </c>
      <c r="B4674" t="s">
        <v>361</v>
      </c>
      <c r="C4674" t="s">
        <v>242</v>
      </c>
      <c r="D4674">
        <v>19271</v>
      </c>
      <c r="E4674">
        <v>19814</v>
      </c>
      <c r="F4674">
        <v>17582</v>
      </c>
      <c r="G4674">
        <v>17287</v>
      </c>
    </row>
    <row r="4675" spans="1:7">
      <c r="A4675" t="s">
        <v>1876</v>
      </c>
      <c r="B4675" t="s">
        <v>361</v>
      </c>
      <c r="C4675" t="s">
        <v>243</v>
      </c>
      <c r="D4675">
        <v>230319</v>
      </c>
      <c r="E4675">
        <v>254675</v>
      </c>
      <c r="F4675">
        <v>227730</v>
      </c>
      <c r="G4675">
        <v>218212</v>
      </c>
    </row>
    <row r="4676" spans="1:7">
      <c r="A4676" t="s">
        <v>1876</v>
      </c>
      <c r="B4676" t="s">
        <v>361</v>
      </c>
      <c r="C4676" t="s">
        <v>244</v>
      </c>
      <c r="D4676">
        <v>177294</v>
      </c>
      <c r="E4676">
        <v>149104</v>
      </c>
      <c r="F4676">
        <v>209255</v>
      </c>
      <c r="G4676">
        <v>217988</v>
      </c>
    </row>
    <row r="4677" spans="1:7">
      <c r="A4677" t="s">
        <v>1876</v>
      </c>
      <c r="B4677" t="s">
        <v>361</v>
      </c>
      <c r="C4677" t="s">
        <v>1709</v>
      </c>
      <c r="D4677">
        <v>15798</v>
      </c>
      <c r="E4677">
        <v>16847</v>
      </c>
      <c r="F4677">
        <v>16917</v>
      </c>
      <c r="G4677">
        <v>16193</v>
      </c>
    </row>
    <row r="4678" spans="1:7">
      <c r="A4678" t="s">
        <v>1876</v>
      </c>
      <c r="B4678" t="s">
        <v>361</v>
      </c>
      <c r="C4678" t="s">
        <v>245</v>
      </c>
      <c r="D4678">
        <v>273601</v>
      </c>
      <c r="E4678">
        <v>282275</v>
      </c>
      <c r="F4678">
        <v>278419</v>
      </c>
      <c r="G4678">
        <v>272082</v>
      </c>
    </row>
    <row r="4679" spans="1:7">
      <c r="A4679" t="s">
        <v>1876</v>
      </c>
      <c r="B4679" t="s">
        <v>361</v>
      </c>
      <c r="C4679" t="s">
        <v>246</v>
      </c>
      <c r="D4679">
        <v>401106</v>
      </c>
      <c r="E4679">
        <v>441952</v>
      </c>
      <c r="F4679">
        <v>378223</v>
      </c>
      <c r="G4679">
        <v>359692</v>
      </c>
    </row>
    <row r="4680" spans="1:7">
      <c r="A4680" t="s">
        <v>1876</v>
      </c>
      <c r="B4680" t="s">
        <v>361</v>
      </c>
      <c r="C4680" t="s">
        <v>247</v>
      </c>
      <c r="D4680">
        <v>1101595</v>
      </c>
      <c r="E4680">
        <v>1147825</v>
      </c>
      <c r="F4680">
        <v>1111209</v>
      </c>
      <c r="G4680">
        <v>1085258</v>
      </c>
    </row>
    <row r="4681" spans="1:7">
      <c r="A4681" t="s">
        <v>1876</v>
      </c>
      <c r="B4681" t="s">
        <v>361</v>
      </c>
      <c r="C4681" t="s">
        <v>248</v>
      </c>
      <c r="D4681">
        <v>86.7</v>
      </c>
      <c r="E4681">
        <v>91</v>
      </c>
      <c r="F4681">
        <v>88</v>
      </c>
      <c r="G4681">
        <v>85.4</v>
      </c>
    </row>
    <row r="4682" spans="1:7">
      <c r="A4682" t="s">
        <v>1876</v>
      </c>
      <c r="B4682" t="s">
        <v>361</v>
      </c>
      <c r="C4682" t="s">
        <v>249</v>
      </c>
      <c r="D4682">
        <v>924297</v>
      </c>
      <c r="E4682">
        <v>998717</v>
      </c>
      <c r="F4682">
        <v>901955</v>
      </c>
      <c r="G4682">
        <v>867273</v>
      </c>
    </row>
    <row r="4683" spans="1:7">
      <c r="A4683" t="s">
        <v>1876</v>
      </c>
      <c r="B4683" t="s">
        <v>361</v>
      </c>
      <c r="C4683" t="s">
        <v>250</v>
      </c>
      <c r="D4683">
        <v>1088485</v>
      </c>
      <c r="E4683">
        <v>1134781</v>
      </c>
      <c r="F4683">
        <v>1101064</v>
      </c>
      <c r="G4683">
        <v>1073938</v>
      </c>
    </row>
    <row r="4684" spans="1:7">
      <c r="A4684" t="s">
        <v>1876</v>
      </c>
      <c r="B4684" t="s">
        <v>361</v>
      </c>
      <c r="C4684" t="s">
        <v>1937</v>
      </c>
      <c r="D4684">
        <v>7</v>
      </c>
      <c r="E4684">
        <v>2.7</v>
      </c>
      <c r="F4684">
        <v>4.0999999999999996</v>
      </c>
      <c r="G4684">
        <v>3.7</v>
      </c>
    </row>
    <row r="4685" spans="1:7">
      <c r="A4685" t="s">
        <v>1876</v>
      </c>
      <c r="B4685" t="s">
        <v>361</v>
      </c>
      <c r="C4685" t="s">
        <v>1938</v>
      </c>
      <c r="D4685">
        <v>95.6</v>
      </c>
      <c r="E4685">
        <v>97.6</v>
      </c>
      <c r="F4685">
        <v>96.3</v>
      </c>
      <c r="G4685">
        <v>97.4</v>
      </c>
    </row>
    <row r="4686" spans="1:7">
      <c r="A4686" t="s">
        <v>1876</v>
      </c>
      <c r="B4686" t="s">
        <v>361</v>
      </c>
      <c r="C4686" t="s">
        <v>251</v>
      </c>
      <c r="D4686">
        <v>1011555</v>
      </c>
      <c r="E4686">
        <v>1032989</v>
      </c>
      <c r="F4686">
        <v>1019691</v>
      </c>
      <c r="G4686">
        <v>1036069</v>
      </c>
    </row>
    <row r="4687" spans="1:7">
      <c r="A4687" t="s">
        <v>1876</v>
      </c>
      <c r="B4687" t="s">
        <v>361</v>
      </c>
      <c r="C4687" t="s">
        <v>252</v>
      </c>
      <c r="D4687">
        <v>1011555</v>
      </c>
      <c r="E4687">
        <v>1032989</v>
      </c>
      <c r="F4687">
        <v>1019691</v>
      </c>
      <c r="G4687">
        <v>1036069</v>
      </c>
    </row>
    <row r="4688" spans="1:7">
      <c r="A4688" t="s">
        <v>1876</v>
      </c>
      <c r="B4688" t="s">
        <v>361</v>
      </c>
      <c r="C4688" t="s">
        <v>1710</v>
      </c>
      <c r="D4688">
        <v>11582</v>
      </c>
      <c r="E4688">
        <v>11568</v>
      </c>
      <c r="F4688">
        <v>11568</v>
      </c>
      <c r="G4688">
        <v>11592</v>
      </c>
    </row>
    <row r="4689" spans="1:7">
      <c r="A4689" t="s">
        <v>1876</v>
      </c>
      <c r="B4689" t="s">
        <v>361</v>
      </c>
      <c r="C4689" t="s">
        <v>1939</v>
      </c>
      <c r="D4689">
        <v>10.199999999999999</v>
      </c>
      <c r="E4689">
        <v>8.3000000000000007</v>
      </c>
      <c r="F4689">
        <v>14.9</v>
      </c>
      <c r="G4689">
        <v>33.700000000000003</v>
      </c>
    </row>
    <row r="4690" spans="1:7">
      <c r="A4690" t="s">
        <v>1876</v>
      </c>
      <c r="B4690" t="s">
        <v>361</v>
      </c>
      <c r="C4690" t="s">
        <v>253</v>
      </c>
      <c r="D4690">
        <v>31986</v>
      </c>
      <c r="E4690">
        <v>31985</v>
      </c>
      <c r="F4690">
        <v>31996</v>
      </c>
      <c r="G4690">
        <v>31868</v>
      </c>
    </row>
    <row r="4691" spans="1:7">
      <c r="A4691" t="s">
        <v>1876</v>
      </c>
      <c r="B4691" t="s">
        <v>361</v>
      </c>
      <c r="C4691" t="s">
        <v>1711</v>
      </c>
      <c r="D4691">
        <v>37</v>
      </c>
      <c r="E4691">
        <v>37</v>
      </c>
      <c r="F4691">
        <v>37</v>
      </c>
      <c r="G4691">
        <v>37</v>
      </c>
    </row>
    <row r="4692" spans="1:7">
      <c r="A4692" t="s">
        <v>1876</v>
      </c>
      <c r="B4692" t="s">
        <v>361</v>
      </c>
      <c r="C4692" t="s">
        <v>1712</v>
      </c>
      <c r="D4692">
        <v>101712</v>
      </c>
      <c r="E4692">
        <v>102159</v>
      </c>
      <c r="F4692">
        <v>100420</v>
      </c>
      <c r="G4692">
        <v>94756</v>
      </c>
    </row>
    <row r="4693" spans="1:7">
      <c r="A4693" t="s">
        <v>1876</v>
      </c>
      <c r="B4693" t="s">
        <v>361</v>
      </c>
      <c r="C4693" t="s">
        <v>1713</v>
      </c>
      <c r="D4693">
        <v>9809</v>
      </c>
      <c r="E4693">
        <v>10083</v>
      </c>
      <c r="F4693">
        <v>10441</v>
      </c>
      <c r="G4693">
        <v>10324</v>
      </c>
    </row>
    <row r="4694" spans="1:7">
      <c r="A4694" t="s">
        <v>1876</v>
      </c>
      <c r="B4694" t="s">
        <v>361</v>
      </c>
      <c r="C4694" t="s">
        <v>1940</v>
      </c>
      <c r="D4694">
        <v>0</v>
      </c>
      <c r="E4694">
        <v>0</v>
      </c>
      <c r="F4694">
        <v>0</v>
      </c>
      <c r="G4694">
        <v>0</v>
      </c>
    </row>
    <row r="4695" spans="1:7">
      <c r="A4695" t="s">
        <v>1876</v>
      </c>
      <c r="B4695" t="s">
        <v>361</v>
      </c>
      <c r="C4695" t="s">
        <v>1941</v>
      </c>
      <c r="D4695">
        <v>0</v>
      </c>
      <c r="E4695">
        <v>0</v>
      </c>
      <c r="F4695">
        <v>0</v>
      </c>
      <c r="G4695">
        <v>0</v>
      </c>
    </row>
    <row r="4696" spans="1:7">
      <c r="A4696" t="s">
        <v>1876</v>
      </c>
      <c r="B4696" t="s">
        <v>361</v>
      </c>
      <c r="C4696" t="s">
        <v>254</v>
      </c>
      <c r="D4696">
        <v>101712</v>
      </c>
      <c r="E4696">
        <v>102159</v>
      </c>
      <c r="F4696">
        <v>100420</v>
      </c>
      <c r="G4696">
        <v>94756</v>
      </c>
    </row>
    <row r="4697" spans="1:7">
      <c r="A4697" t="s">
        <v>1876</v>
      </c>
      <c r="B4697" t="s">
        <v>361</v>
      </c>
      <c r="C4697" t="s">
        <v>1942</v>
      </c>
      <c r="D4697">
        <v>0</v>
      </c>
      <c r="E4697">
        <v>0</v>
      </c>
      <c r="F4697">
        <v>0</v>
      </c>
      <c r="G4697">
        <v>0</v>
      </c>
    </row>
    <row r="4698" spans="1:7">
      <c r="A4698" t="s">
        <v>1876</v>
      </c>
      <c r="B4698" t="s">
        <v>361</v>
      </c>
      <c r="C4698" t="s">
        <v>255</v>
      </c>
      <c r="D4698">
        <v>111521</v>
      </c>
      <c r="E4698">
        <v>112242</v>
      </c>
      <c r="F4698">
        <v>110861</v>
      </c>
      <c r="G4698">
        <v>105080</v>
      </c>
    </row>
    <row r="4699" spans="1:7">
      <c r="A4699" t="s">
        <v>1876</v>
      </c>
      <c r="B4699" t="s">
        <v>361</v>
      </c>
      <c r="C4699" t="s">
        <v>256</v>
      </c>
      <c r="D4699">
        <v>111521</v>
      </c>
      <c r="E4699">
        <v>112242</v>
      </c>
      <c r="F4699">
        <v>110861</v>
      </c>
      <c r="G4699">
        <v>105080</v>
      </c>
    </row>
    <row r="4700" spans="1:7">
      <c r="A4700" t="s">
        <v>1876</v>
      </c>
      <c r="B4700" t="s">
        <v>361</v>
      </c>
      <c r="C4700" t="s">
        <v>1714</v>
      </c>
      <c r="D4700">
        <v>78</v>
      </c>
      <c r="E4700">
        <v>78</v>
      </c>
      <c r="F4700">
        <v>78</v>
      </c>
      <c r="G4700">
        <v>78</v>
      </c>
    </row>
    <row r="4701" spans="1:7">
      <c r="A4701" t="s">
        <v>1876</v>
      </c>
      <c r="B4701" t="s">
        <v>361</v>
      </c>
      <c r="C4701" t="s">
        <v>257</v>
      </c>
      <c r="D4701">
        <v>163972</v>
      </c>
      <c r="E4701">
        <v>165863</v>
      </c>
      <c r="F4701">
        <v>162943</v>
      </c>
      <c r="G4701">
        <v>153943</v>
      </c>
    </row>
    <row r="4702" spans="1:7">
      <c r="A4702" t="s">
        <v>1876</v>
      </c>
      <c r="B4702" t="s">
        <v>361</v>
      </c>
      <c r="C4702" t="s">
        <v>258</v>
      </c>
      <c r="D4702">
        <v>178281</v>
      </c>
      <c r="E4702">
        <v>180662</v>
      </c>
      <c r="F4702">
        <v>176981</v>
      </c>
      <c r="G4702">
        <v>167735</v>
      </c>
    </row>
    <row r="4703" spans="1:7">
      <c r="A4703" t="s">
        <v>1876</v>
      </c>
      <c r="B4703" t="s">
        <v>361</v>
      </c>
      <c r="C4703" t="s">
        <v>259</v>
      </c>
      <c r="D4703">
        <v>178281</v>
      </c>
      <c r="E4703">
        <v>180662</v>
      </c>
      <c r="F4703">
        <v>176981</v>
      </c>
      <c r="G4703">
        <v>167735</v>
      </c>
    </row>
    <row r="4704" spans="1:7">
      <c r="A4704" t="s">
        <v>1876</v>
      </c>
      <c r="B4704" t="s">
        <v>361</v>
      </c>
      <c r="C4704" t="s">
        <v>260</v>
      </c>
      <c r="D4704">
        <v>857178</v>
      </c>
      <c r="E4704">
        <v>859056</v>
      </c>
      <c r="F4704">
        <v>862283</v>
      </c>
      <c r="G4704">
        <v>864438</v>
      </c>
    </row>
    <row r="4705" spans="1:7">
      <c r="A4705" t="s">
        <v>1876</v>
      </c>
      <c r="B4705" t="s">
        <v>361</v>
      </c>
      <c r="C4705" t="s">
        <v>1943</v>
      </c>
      <c r="D4705">
        <v>0.2</v>
      </c>
      <c r="E4705">
        <v>0.1</v>
      </c>
      <c r="F4705">
        <v>0.1</v>
      </c>
      <c r="G4705">
        <v>0.1</v>
      </c>
    </row>
    <row r="4706" spans="1:7">
      <c r="A4706" t="s">
        <v>1876</v>
      </c>
      <c r="B4706" t="s">
        <v>361</v>
      </c>
      <c r="C4706" t="s">
        <v>261</v>
      </c>
      <c r="D4706">
        <v>26585</v>
      </c>
      <c r="E4706">
        <v>28068</v>
      </c>
      <c r="F4706">
        <v>22918</v>
      </c>
      <c r="G4706">
        <v>21000</v>
      </c>
    </row>
    <row r="4707" spans="1:7">
      <c r="A4707" t="s">
        <v>1876</v>
      </c>
      <c r="B4707" t="s">
        <v>361</v>
      </c>
      <c r="C4707" t="s">
        <v>262</v>
      </c>
      <c r="D4707">
        <v>644</v>
      </c>
      <c r="E4707">
        <v>484</v>
      </c>
      <c r="F4707">
        <v>366</v>
      </c>
      <c r="G4707">
        <v>304</v>
      </c>
    </row>
    <row r="4708" spans="1:7">
      <c r="A4708" t="s">
        <v>1876</v>
      </c>
      <c r="B4708" t="s">
        <v>361</v>
      </c>
      <c r="C4708" t="s">
        <v>1715</v>
      </c>
      <c r="D4708">
        <v>774</v>
      </c>
      <c r="E4708">
        <v>662</v>
      </c>
      <c r="F4708">
        <v>660</v>
      </c>
      <c r="G4708">
        <v>665</v>
      </c>
    </row>
    <row r="4709" spans="1:7">
      <c r="A4709" t="s">
        <v>1876</v>
      </c>
      <c r="B4709" t="s">
        <v>361</v>
      </c>
      <c r="C4709" t="s">
        <v>263</v>
      </c>
      <c r="D4709">
        <v>268963</v>
      </c>
      <c r="E4709">
        <v>269451</v>
      </c>
      <c r="F4709">
        <v>265195</v>
      </c>
      <c r="G4709">
        <v>253225</v>
      </c>
    </row>
    <row r="4710" spans="1:7">
      <c r="A4710" t="s">
        <v>1876</v>
      </c>
      <c r="B4710" t="s">
        <v>361</v>
      </c>
      <c r="C4710" t="s">
        <v>264</v>
      </c>
      <c r="D4710">
        <v>27944</v>
      </c>
      <c r="E4710">
        <v>25399</v>
      </c>
      <c r="F4710">
        <v>27941</v>
      </c>
      <c r="G4710">
        <v>27202</v>
      </c>
    </row>
    <row r="4711" spans="1:7">
      <c r="A4711" t="s">
        <v>1876</v>
      </c>
      <c r="B4711" t="s">
        <v>361</v>
      </c>
      <c r="C4711" t="s">
        <v>265</v>
      </c>
      <c r="D4711">
        <v>1181315</v>
      </c>
      <c r="E4711">
        <v>1182458</v>
      </c>
      <c r="F4711">
        <v>1178703</v>
      </c>
      <c r="G4711">
        <v>1166169</v>
      </c>
    </row>
    <row r="4712" spans="1:7">
      <c r="A4712" t="s">
        <v>1876</v>
      </c>
      <c r="B4712" t="s">
        <v>361</v>
      </c>
      <c r="C4712" t="s">
        <v>266</v>
      </c>
      <c r="D4712">
        <v>93</v>
      </c>
      <c r="E4712">
        <v>93.8</v>
      </c>
      <c r="F4712">
        <v>93.3</v>
      </c>
      <c r="G4712">
        <v>91.8</v>
      </c>
    </row>
    <row r="4713" spans="1:7">
      <c r="A4713" t="s">
        <v>1876</v>
      </c>
      <c r="B4713" t="s">
        <v>361</v>
      </c>
      <c r="C4713" t="s">
        <v>267</v>
      </c>
      <c r="D4713">
        <v>1180671</v>
      </c>
      <c r="E4713">
        <v>1181974</v>
      </c>
      <c r="F4713">
        <v>1178337</v>
      </c>
      <c r="G4713">
        <v>1165865</v>
      </c>
    </row>
    <row r="4714" spans="1:7">
      <c r="A4714" t="s">
        <v>1876</v>
      </c>
      <c r="B4714" t="s">
        <v>361</v>
      </c>
      <c r="C4714" t="s">
        <v>268</v>
      </c>
      <c r="D4714">
        <v>0</v>
      </c>
      <c r="E4714">
        <v>0</v>
      </c>
      <c r="F4714">
        <v>0</v>
      </c>
      <c r="G4714">
        <v>0</v>
      </c>
    </row>
    <row r="4715" spans="1:7">
      <c r="A4715" t="s">
        <v>1876</v>
      </c>
      <c r="B4715" t="s">
        <v>361</v>
      </c>
      <c r="C4715" t="s">
        <v>269</v>
      </c>
      <c r="D4715">
        <v>0</v>
      </c>
      <c r="E4715">
        <v>0</v>
      </c>
      <c r="F4715">
        <v>0</v>
      </c>
      <c r="G4715">
        <v>0</v>
      </c>
    </row>
    <row r="4716" spans="1:7">
      <c r="A4716" t="s">
        <v>1876</v>
      </c>
      <c r="B4716" t="s">
        <v>361</v>
      </c>
      <c r="C4716" t="s">
        <v>270</v>
      </c>
      <c r="D4716">
        <v>29159</v>
      </c>
      <c r="E4716">
        <v>31454</v>
      </c>
      <c r="F4716">
        <v>30611</v>
      </c>
      <c r="G4716">
        <v>29065</v>
      </c>
    </row>
    <row r="4717" spans="1:7">
      <c r="A4717" t="s">
        <v>1876</v>
      </c>
      <c r="B4717" t="s">
        <v>361</v>
      </c>
      <c r="C4717" t="s">
        <v>271</v>
      </c>
      <c r="D4717">
        <v>29159</v>
      </c>
      <c r="E4717">
        <v>31454</v>
      </c>
      <c r="F4717">
        <v>30611</v>
      </c>
      <c r="G4717">
        <v>29065</v>
      </c>
    </row>
    <row r="4718" spans="1:7">
      <c r="A4718" t="s">
        <v>1876</v>
      </c>
      <c r="B4718" t="s">
        <v>361</v>
      </c>
      <c r="C4718" t="s">
        <v>272</v>
      </c>
      <c r="D4718">
        <v>29159</v>
      </c>
      <c r="E4718">
        <v>31454</v>
      </c>
      <c r="F4718">
        <v>30611</v>
      </c>
      <c r="G4718">
        <v>29065</v>
      </c>
    </row>
    <row r="4719" spans="1:7">
      <c r="A4719" t="s">
        <v>1876</v>
      </c>
      <c r="B4719" t="s">
        <v>361</v>
      </c>
      <c r="C4719" t="s">
        <v>1944</v>
      </c>
      <c r="D4719">
        <v>17.8</v>
      </c>
      <c r="E4719">
        <v>23.8</v>
      </c>
      <c r="F4719">
        <v>29.4</v>
      </c>
      <c r="G4719">
        <v>38.9</v>
      </c>
    </row>
    <row r="4720" spans="1:7">
      <c r="A4720" t="s">
        <v>1876</v>
      </c>
      <c r="B4720" t="s">
        <v>361</v>
      </c>
      <c r="C4720" t="s">
        <v>1945</v>
      </c>
      <c r="D4720">
        <v>34</v>
      </c>
      <c r="E4720">
        <v>49</v>
      </c>
      <c r="F4720">
        <v>84</v>
      </c>
      <c r="G4720">
        <v>101</v>
      </c>
    </row>
    <row r="4721" spans="1:7">
      <c r="A4721" t="s">
        <v>1876</v>
      </c>
      <c r="B4721" t="s">
        <v>361</v>
      </c>
      <c r="C4721" t="s">
        <v>273</v>
      </c>
      <c r="D4721">
        <v>0</v>
      </c>
      <c r="E4721">
        <v>0</v>
      </c>
      <c r="F4721">
        <v>0</v>
      </c>
      <c r="G4721">
        <v>0</v>
      </c>
    </row>
    <row r="4722" spans="1:7">
      <c r="A4722" t="s">
        <v>1876</v>
      </c>
      <c r="B4722" t="s">
        <v>361</v>
      </c>
      <c r="C4722" t="s">
        <v>1946</v>
      </c>
      <c r="D4722">
        <v>805879</v>
      </c>
      <c r="E4722">
        <v>808132</v>
      </c>
      <c r="F4722">
        <v>811390</v>
      </c>
      <c r="G4722">
        <v>813935</v>
      </c>
    </row>
    <row r="4723" spans="1:7">
      <c r="A4723" t="s">
        <v>1876</v>
      </c>
      <c r="B4723" t="s">
        <v>361</v>
      </c>
      <c r="C4723" t="s">
        <v>1947</v>
      </c>
      <c r="D4723">
        <v>25614</v>
      </c>
      <c r="E4723">
        <v>26792</v>
      </c>
      <c r="F4723">
        <v>21926</v>
      </c>
      <c r="G4723">
        <v>20116</v>
      </c>
    </row>
    <row r="4724" spans="1:7">
      <c r="A4724" t="s">
        <v>1876</v>
      </c>
      <c r="B4724" t="s">
        <v>361</v>
      </c>
      <c r="C4724" t="s">
        <v>1948</v>
      </c>
      <c r="D4724">
        <v>644</v>
      </c>
      <c r="E4724">
        <v>484</v>
      </c>
      <c r="F4724">
        <v>366</v>
      </c>
      <c r="G4724">
        <v>304</v>
      </c>
    </row>
    <row r="4725" spans="1:7">
      <c r="A4725" t="s">
        <v>1876</v>
      </c>
      <c r="B4725" t="s">
        <v>361</v>
      </c>
      <c r="C4725" t="s">
        <v>1949</v>
      </c>
      <c r="D4725">
        <v>268209</v>
      </c>
      <c r="E4725">
        <v>268673</v>
      </c>
      <c r="F4725">
        <v>264452</v>
      </c>
      <c r="G4725">
        <v>252521</v>
      </c>
    </row>
    <row r="4726" spans="1:7">
      <c r="A4726" t="s">
        <v>1876</v>
      </c>
      <c r="B4726" t="s">
        <v>361</v>
      </c>
      <c r="C4726" t="s">
        <v>1950</v>
      </c>
      <c r="D4726">
        <v>27944</v>
      </c>
      <c r="E4726">
        <v>25399</v>
      </c>
      <c r="F4726">
        <v>27941</v>
      </c>
      <c r="G4726">
        <v>27202</v>
      </c>
    </row>
    <row r="4727" spans="1:7">
      <c r="A4727" t="s">
        <v>1876</v>
      </c>
      <c r="B4727" t="s">
        <v>361</v>
      </c>
      <c r="C4727" t="s">
        <v>274</v>
      </c>
      <c r="D4727">
        <v>1128290</v>
      </c>
      <c r="E4727">
        <v>1129480</v>
      </c>
      <c r="F4727">
        <v>1126076</v>
      </c>
      <c r="G4727">
        <v>1114078</v>
      </c>
    </row>
    <row r="4728" spans="1:7">
      <c r="A4728" t="s">
        <v>1876</v>
      </c>
      <c r="B4728" t="s">
        <v>361</v>
      </c>
      <c r="C4728" t="s">
        <v>275</v>
      </c>
      <c r="D4728">
        <v>0</v>
      </c>
      <c r="E4728">
        <v>0</v>
      </c>
      <c r="F4728">
        <v>0</v>
      </c>
      <c r="G4728">
        <v>0</v>
      </c>
    </row>
    <row r="4729" spans="1:7">
      <c r="A4729" t="s">
        <v>1876</v>
      </c>
      <c r="B4729" t="s">
        <v>361</v>
      </c>
      <c r="C4729" t="s">
        <v>276</v>
      </c>
      <c r="D4729">
        <v>0</v>
      </c>
      <c r="E4729">
        <v>0</v>
      </c>
      <c r="F4729">
        <v>0</v>
      </c>
      <c r="G4729">
        <v>0</v>
      </c>
    </row>
    <row r="4730" spans="1:7">
      <c r="A4730" t="s">
        <v>1876</v>
      </c>
      <c r="B4730" t="s">
        <v>361</v>
      </c>
      <c r="C4730" t="s">
        <v>277</v>
      </c>
      <c r="D4730">
        <v>178</v>
      </c>
      <c r="E4730">
        <v>283</v>
      </c>
      <c r="F4730">
        <v>316</v>
      </c>
      <c r="G4730">
        <v>289</v>
      </c>
    </row>
    <row r="4731" spans="1:7">
      <c r="A4731" t="s">
        <v>1876</v>
      </c>
      <c r="B4731" t="s">
        <v>361</v>
      </c>
      <c r="C4731" t="s">
        <v>278</v>
      </c>
      <c r="D4731">
        <v>7061</v>
      </c>
      <c r="E4731">
        <v>4061</v>
      </c>
      <c r="F4731">
        <v>3435</v>
      </c>
      <c r="G4731">
        <v>3289</v>
      </c>
    </row>
    <row r="4732" spans="1:7">
      <c r="A4732" t="s">
        <v>1876</v>
      </c>
      <c r="B4732" t="s">
        <v>361</v>
      </c>
      <c r="C4732" t="s">
        <v>279</v>
      </c>
      <c r="D4732">
        <v>18762</v>
      </c>
      <c r="E4732">
        <v>16569</v>
      </c>
      <c r="F4732">
        <v>16949</v>
      </c>
      <c r="G4732">
        <v>15745</v>
      </c>
    </row>
    <row r="4733" spans="1:7">
      <c r="A4733" t="s">
        <v>1876</v>
      </c>
      <c r="B4733" t="s">
        <v>361</v>
      </c>
      <c r="C4733" t="s">
        <v>280</v>
      </c>
      <c r="D4733">
        <v>27435</v>
      </c>
      <c r="E4733">
        <v>24866</v>
      </c>
      <c r="F4733">
        <v>27407</v>
      </c>
      <c r="G4733">
        <v>26733</v>
      </c>
    </row>
    <row r="4734" spans="1:7">
      <c r="A4734" t="s">
        <v>1876</v>
      </c>
      <c r="B4734" t="s">
        <v>361</v>
      </c>
      <c r="C4734" t="s">
        <v>281</v>
      </c>
      <c r="D4734">
        <v>53436</v>
      </c>
      <c r="E4734">
        <v>45779</v>
      </c>
      <c r="F4734">
        <v>48107</v>
      </c>
      <c r="G4734">
        <v>46055</v>
      </c>
    </row>
    <row r="4735" spans="1:7">
      <c r="A4735" t="s">
        <v>1876</v>
      </c>
      <c r="B4735" t="s">
        <v>361</v>
      </c>
      <c r="C4735" t="s">
        <v>282</v>
      </c>
      <c r="D4735">
        <v>53436</v>
      </c>
      <c r="E4735">
        <v>45779</v>
      </c>
      <c r="F4735">
        <v>48107</v>
      </c>
      <c r="G4735">
        <v>46055</v>
      </c>
    </row>
    <row r="4736" spans="1:7">
      <c r="A4736" t="s">
        <v>1876</v>
      </c>
      <c r="B4736" t="s">
        <v>361</v>
      </c>
      <c r="C4736" t="s">
        <v>283</v>
      </c>
      <c r="D4736">
        <v>1135</v>
      </c>
      <c r="E4736">
        <v>1135</v>
      </c>
      <c r="F4736">
        <v>1135</v>
      </c>
      <c r="G4736">
        <v>1135</v>
      </c>
    </row>
    <row r="4737" spans="1:7">
      <c r="A4737" t="s">
        <v>1876</v>
      </c>
      <c r="B4737" t="s">
        <v>361</v>
      </c>
      <c r="C4737" t="s">
        <v>284</v>
      </c>
      <c r="D4737">
        <v>1135</v>
      </c>
      <c r="E4737">
        <v>1135</v>
      </c>
      <c r="F4737">
        <v>1135</v>
      </c>
      <c r="G4737">
        <v>1135</v>
      </c>
    </row>
    <row r="4738" spans="1:7">
      <c r="A4738" t="s">
        <v>1876</v>
      </c>
      <c r="B4738" t="s">
        <v>361</v>
      </c>
      <c r="C4738" t="s">
        <v>1716</v>
      </c>
      <c r="D4738">
        <v>51300</v>
      </c>
      <c r="E4738">
        <v>50924</v>
      </c>
      <c r="F4738">
        <v>50893</v>
      </c>
      <c r="G4738">
        <v>50503</v>
      </c>
    </row>
    <row r="4739" spans="1:7">
      <c r="A4739" t="s">
        <v>1876</v>
      </c>
      <c r="B4739" t="s">
        <v>361</v>
      </c>
      <c r="C4739" t="s">
        <v>1717</v>
      </c>
      <c r="D4739">
        <v>4653</v>
      </c>
      <c r="E4739">
        <v>5556</v>
      </c>
      <c r="F4739">
        <v>5512</v>
      </c>
      <c r="G4739">
        <v>4998</v>
      </c>
    </row>
    <row r="4740" spans="1:7">
      <c r="A4740" t="s">
        <v>1876</v>
      </c>
      <c r="B4740" t="s">
        <v>361</v>
      </c>
      <c r="C4740" t="s">
        <v>1718</v>
      </c>
      <c r="D4740">
        <v>72843</v>
      </c>
      <c r="E4740">
        <v>90295</v>
      </c>
      <c r="F4740">
        <v>85163</v>
      </c>
      <c r="G4740">
        <v>99502</v>
      </c>
    </row>
    <row r="4741" spans="1:7">
      <c r="A4741" t="s">
        <v>1876</v>
      </c>
      <c r="B4741" t="s">
        <v>361</v>
      </c>
      <c r="C4741" t="s">
        <v>1719</v>
      </c>
      <c r="D4741">
        <v>7926</v>
      </c>
      <c r="E4741">
        <v>8022</v>
      </c>
      <c r="F4741">
        <v>9211</v>
      </c>
      <c r="G4741">
        <v>10921</v>
      </c>
    </row>
    <row r="4742" spans="1:7">
      <c r="A4742" t="s">
        <v>1876</v>
      </c>
      <c r="B4742" t="s">
        <v>361</v>
      </c>
      <c r="C4742" t="s">
        <v>1720</v>
      </c>
      <c r="D4742">
        <v>81927</v>
      </c>
      <c r="E4742">
        <v>86641</v>
      </c>
      <c r="F4742">
        <v>89763</v>
      </c>
      <c r="G4742">
        <v>89685</v>
      </c>
    </row>
    <row r="4743" spans="1:7">
      <c r="A4743" t="s">
        <v>1876</v>
      </c>
      <c r="B4743" t="s">
        <v>361</v>
      </c>
      <c r="C4743" t="s">
        <v>1721</v>
      </c>
      <c r="D4743">
        <v>13353</v>
      </c>
      <c r="E4743">
        <v>16147</v>
      </c>
      <c r="F4743">
        <v>15184</v>
      </c>
      <c r="G4743">
        <v>15645</v>
      </c>
    </row>
    <row r="4744" spans="1:7">
      <c r="A4744" t="s">
        <v>1876</v>
      </c>
      <c r="B4744" t="s">
        <v>361</v>
      </c>
      <c r="C4744" t="s">
        <v>285</v>
      </c>
      <c r="D4744">
        <v>224076</v>
      </c>
      <c r="E4744">
        <v>249562</v>
      </c>
      <c r="F4744">
        <v>246514</v>
      </c>
      <c r="G4744">
        <v>260333</v>
      </c>
    </row>
    <row r="4745" spans="1:7">
      <c r="A4745" t="s">
        <v>1876</v>
      </c>
      <c r="B4745" t="s">
        <v>361</v>
      </c>
      <c r="C4745" t="s">
        <v>1951</v>
      </c>
      <c r="D4745">
        <v>6.2</v>
      </c>
      <c r="E4745">
        <v>6.8</v>
      </c>
      <c r="F4745">
        <v>7.1</v>
      </c>
      <c r="G4745">
        <v>7.6</v>
      </c>
    </row>
    <row r="4746" spans="1:7">
      <c r="A4746" t="s">
        <v>1876</v>
      </c>
      <c r="B4746" t="s">
        <v>361</v>
      </c>
      <c r="C4746" t="s">
        <v>286</v>
      </c>
      <c r="D4746">
        <v>49</v>
      </c>
      <c r="E4746">
        <v>50</v>
      </c>
      <c r="F4746">
        <v>42</v>
      </c>
      <c r="G4746">
        <v>45</v>
      </c>
    </row>
    <row r="4747" spans="1:7">
      <c r="A4747" t="s">
        <v>1876</v>
      </c>
      <c r="B4747" t="s">
        <v>361</v>
      </c>
      <c r="C4747" t="s">
        <v>287</v>
      </c>
      <c r="D4747">
        <v>0</v>
      </c>
      <c r="E4747">
        <v>0</v>
      </c>
      <c r="F4747">
        <v>0</v>
      </c>
      <c r="G4747">
        <v>0</v>
      </c>
    </row>
    <row r="4748" spans="1:7">
      <c r="A4748" t="s">
        <v>1876</v>
      </c>
      <c r="B4748" t="s">
        <v>361</v>
      </c>
      <c r="C4748" t="s">
        <v>288</v>
      </c>
      <c r="D4748">
        <v>0</v>
      </c>
      <c r="E4748">
        <v>0</v>
      </c>
      <c r="F4748">
        <v>0</v>
      </c>
      <c r="G4748">
        <v>0</v>
      </c>
    </row>
    <row r="4749" spans="1:7">
      <c r="A4749" t="s">
        <v>1876</v>
      </c>
      <c r="B4749" t="s">
        <v>361</v>
      </c>
      <c r="C4749" t="s">
        <v>289</v>
      </c>
      <c r="D4749">
        <v>927</v>
      </c>
      <c r="E4749">
        <v>950</v>
      </c>
      <c r="F4749">
        <v>789</v>
      </c>
      <c r="G4749">
        <v>854</v>
      </c>
    </row>
    <row r="4750" spans="1:7">
      <c r="A4750" t="s">
        <v>1876</v>
      </c>
      <c r="B4750" t="s">
        <v>361</v>
      </c>
      <c r="C4750" t="s">
        <v>290</v>
      </c>
      <c r="D4750">
        <v>977</v>
      </c>
      <c r="E4750">
        <v>1001</v>
      </c>
      <c r="F4750">
        <v>831</v>
      </c>
      <c r="G4750">
        <v>899</v>
      </c>
    </row>
    <row r="4751" spans="1:7">
      <c r="A4751" t="s">
        <v>1876</v>
      </c>
      <c r="B4751" t="s">
        <v>361</v>
      </c>
      <c r="C4751" t="s">
        <v>291</v>
      </c>
      <c r="D4751">
        <v>977</v>
      </c>
      <c r="E4751">
        <v>1001</v>
      </c>
      <c r="F4751">
        <v>831</v>
      </c>
      <c r="G4751">
        <v>899</v>
      </c>
    </row>
    <row r="4752" spans="1:7">
      <c r="A4752" t="s">
        <v>1876</v>
      </c>
      <c r="B4752" t="s">
        <v>361</v>
      </c>
      <c r="C4752" t="s">
        <v>292</v>
      </c>
      <c r="D4752">
        <v>2805</v>
      </c>
      <c r="E4752">
        <v>2961</v>
      </c>
      <c r="F4752">
        <v>2124</v>
      </c>
      <c r="G4752">
        <v>2326</v>
      </c>
    </row>
    <row r="4753" spans="1:7">
      <c r="A4753" t="s">
        <v>1876</v>
      </c>
      <c r="B4753" t="s">
        <v>361</v>
      </c>
      <c r="C4753" t="s">
        <v>293</v>
      </c>
      <c r="D4753">
        <v>2160</v>
      </c>
      <c r="E4753">
        <v>1734</v>
      </c>
      <c r="F4753">
        <v>1952</v>
      </c>
      <c r="G4753">
        <v>2323</v>
      </c>
    </row>
    <row r="4754" spans="1:7">
      <c r="A4754" t="s">
        <v>1876</v>
      </c>
      <c r="B4754" t="s">
        <v>361</v>
      </c>
      <c r="C4754" t="s">
        <v>294</v>
      </c>
      <c r="D4754">
        <v>3259</v>
      </c>
      <c r="E4754">
        <v>3211</v>
      </c>
      <c r="F4754">
        <v>2541</v>
      </c>
      <c r="G4754">
        <v>2837</v>
      </c>
    </row>
    <row r="4755" spans="1:7">
      <c r="A4755" t="s">
        <v>1876</v>
      </c>
      <c r="B4755" t="s">
        <v>361</v>
      </c>
      <c r="C4755" t="s">
        <v>295</v>
      </c>
      <c r="D4755">
        <v>4886</v>
      </c>
      <c r="E4755">
        <v>5139</v>
      </c>
      <c r="F4755">
        <v>3528</v>
      </c>
      <c r="G4755">
        <v>3833</v>
      </c>
    </row>
    <row r="4756" spans="1:7">
      <c r="A4756" t="s">
        <v>1876</v>
      </c>
      <c r="B4756" t="s">
        <v>361</v>
      </c>
      <c r="C4756" t="s">
        <v>296</v>
      </c>
      <c r="D4756">
        <v>13110</v>
      </c>
      <c r="E4756">
        <v>13044</v>
      </c>
      <c r="F4756">
        <v>10146</v>
      </c>
      <c r="G4756">
        <v>11319</v>
      </c>
    </row>
    <row r="4757" spans="1:7">
      <c r="A4757" t="s">
        <v>1876</v>
      </c>
      <c r="B4757" t="s">
        <v>361</v>
      </c>
      <c r="C4757" t="s">
        <v>297</v>
      </c>
      <c r="D4757">
        <v>86454</v>
      </c>
      <c r="E4757">
        <v>88641</v>
      </c>
      <c r="F4757">
        <v>87192</v>
      </c>
      <c r="G4757">
        <v>82789</v>
      </c>
    </row>
    <row r="4758" spans="1:7">
      <c r="A4758" t="s">
        <v>1876</v>
      </c>
      <c r="B4758" t="s">
        <v>361</v>
      </c>
      <c r="C4758" t="s">
        <v>1952</v>
      </c>
      <c r="D4758">
        <v>0</v>
      </c>
      <c r="E4758">
        <v>0</v>
      </c>
      <c r="F4758">
        <v>0</v>
      </c>
      <c r="G4758">
        <v>0</v>
      </c>
    </row>
    <row r="4759" spans="1:7">
      <c r="A4759" t="s">
        <v>1876</v>
      </c>
      <c r="B4759" t="s">
        <v>361</v>
      </c>
      <c r="C4759" t="s">
        <v>298</v>
      </c>
      <c r="D4759">
        <v>8767</v>
      </c>
      <c r="E4759">
        <v>10270</v>
      </c>
      <c r="F4759">
        <v>10281</v>
      </c>
      <c r="G4759">
        <v>8991</v>
      </c>
    </row>
    <row r="4760" spans="1:7">
      <c r="A4760" t="s">
        <v>1876</v>
      </c>
      <c r="B4760" t="s">
        <v>361</v>
      </c>
      <c r="C4760" t="s">
        <v>299</v>
      </c>
      <c r="D4760">
        <v>1956</v>
      </c>
      <c r="E4760">
        <v>2557</v>
      </c>
      <c r="F4760">
        <v>2810</v>
      </c>
      <c r="G4760">
        <v>2394</v>
      </c>
    </row>
    <row r="4761" spans="1:7">
      <c r="A4761" t="s">
        <v>1876</v>
      </c>
      <c r="B4761" t="s">
        <v>361</v>
      </c>
      <c r="C4761" t="s">
        <v>300</v>
      </c>
      <c r="D4761">
        <v>1751</v>
      </c>
      <c r="E4761">
        <v>5282</v>
      </c>
      <c r="F4761">
        <v>6514</v>
      </c>
      <c r="G4761">
        <v>10416</v>
      </c>
    </row>
    <row r="4762" spans="1:7">
      <c r="A4762" t="s">
        <v>1876</v>
      </c>
      <c r="B4762" t="s">
        <v>361</v>
      </c>
      <c r="C4762" t="s">
        <v>1722</v>
      </c>
      <c r="D4762">
        <v>647</v>
      </c>
      <c r="E4762">
        <v>899</v>
      </c>
      <c r="F4762">
        <v>1249</v>
      </c>
      <c r="G4762">
        <v>2959</v>
      </c>
    </row>
    <row r="4763" spans="1:7">
      <c r="A4763" t="s">
        <v>1876</v>
      </c>
      <c r="B4763" t="s">
        <v>361</v>
      </c>
      <c r="C4763" t="s">
        <v>301</v>
      </c>
      <c r="D4763">
        <v>6</v>
      </c>
      <c r="E4763">
        <v>14</v>
      </c>
      <c r="F4763">
        <v>19</v>
      </c>
      <c r="G4763">
        <v>66</v>
      </c>
    </row>
    <row r="4764" spans="1:7">
      <c r="A4764" t="s">
        <v>1876</v>
      </c>
      <c r="B4764" t="s">
        <v>361</v>
      </c>
      <c r="C4764" t="s">
        <v>302</v>
      </c>
      <c r="D4764">
        <v>2447</v>
      </c>
      <c r="E4764">
        <v>2937</v>
      </c>
      <c r="F4764">
        <v>3648</v>
      </c>
      <c r="G4764">
        <v>4704</v>
      </c>
    </row>
    <row r="4765" spans="1:7">
      <c r="A4765" t="s">
        <v>1876</v>
      </c>
      <c r="B4765" t="s">
        <v>361</v>
      </c>
      <c r="C4765" t="s">
        <v>303</v>
      </c>
      <c r="D4765">
        <v>6159</v>
      </c>
      <c r="E4765">
        <v>10789</v>
      </c>
      <c r="F4765">
        <v>12991</v>
      </c>
      <c r="G4765">
        <v>17579</v>
      </c>
    </row>
    <row r="4766" spans="1:7">
      <c r="A4766" t="s">
        <v>1876</v>
      </c>
      <c r="B4766" t="s">
        <v>361</v>
      </c>
      <c r="C4766" t="s">
        <v>304</v>
      </c>
      <c r="D4766">
        <v>4409</v>
      </c>
      <c r="E4766">
        <v>5508</v>
      </c>
      <c r="F4766">
        <v>6477</v>
      </c>
      <c r="G4766">
        <v>7164</v>
      </c>
    </row>
    <row r="4767" spans="1:7">
      <c r="A4767" t="s">
        <v>1876</v>
      </c>
      <c r="B4767" t="s">
        <v>361</v>
      </c>
      <c r="C4767" t="s">
        <v>1953</v>
      </c>
      <c r="D4767">
        <v>17.899999999999999</v>
      </c>
      <c r="E4767">
        <v>22.6</v>
      </c>
      <c r="F4767">
        <v>22.9</v>
      </c>
      <c r="G4767">
        <v>20.8</v>
      </c>
    </row>
    <row r="4768" spans="1:7">
      <c r="A4768" t="s">
        <v>1876</v>
      </c>
      <c r="B4768" t="s">
        <v>361</v>
      </c>
      <c r="C4768" t="s">
        <v>305</v>
      </c>
      <c r="D4768">
        <v>881014</v>
      </c>
      <c r="E4768">
        <v>883298</v>
      </c>
      <c r="F4768">
        <v>883789</v>
      </c>
      <c r="G4768">
        <v>885849</v>
      </c>
    </row>
    <row r="4769" spans="1:7">
      <c r="A4769" t="s">
        <v>1876</v>
      </c>
      <c r="B4769" t="s">
        <v>361</v>
      </c>
      <c r="C4769" t="s">
        <v>306</v>
      </c>
      <c r="D4769">
        <v>69.400000000000006</v>
      </c>
      <c r="E4769">
        <v>70</v>
      </c>
      <c r="F4769">
        <v>70</v>
      </c>
      <c r="G4769">
        <v>69.7</v>
      </c>
    </row>
    <row r="4770" spans="1:7">
      <c r="A4770" t="s">
        <v>1876</v>
      </c>
      <c r="B4770" t="s">
        <v>361</v>
      </c>
      <c r="C4770" t="s">
        <v>307</v>
      </c>
      <c r="D4770">
        <v>730864</v>
      </c>
      <c r="E4770">
        <v>744587</v>
      </c>
      <c r="F4770">
        <v>685758</v>
      </c>
      <c r="G4770">
        <v>664329</v>
      </c>
    </row>
    <row r="4771" spans="1:7">
      <c r="A4771" t="s">
        <v>1876</v>
      </c>
      <c r="B4771" t="s">
        <v>361</v>
      </c>
      <c r="C4771" t="s">
        <v>308</v>
      </c>
      <c r="D4771">
        <v>57.5</v>
      </c>
      <c r="E4771">
        <v>59</v>
      </c>
      <c r="F4771">
        <v>54.3</v>
      </c>
      <c r="G4771">
        <v>52.3</v>
      </c>
    </row>
    <row r="4772" spans="1:7">
      <c r="A4772" t="s">
        <v>1876</v>
      </c>
      <c r="B4772" t="s">
        <v>361</v>
      </c>
      <c r="C4772" t="s">
        <v>309</v>
      </c>
      <c r="D4772">
        <v>1710203</v>
      </c>
      <c r="E4772">
        <v>1698231</v>
      </c>
      <c r="F4772">
        <v>1591908</v>
      </c>
      <c r="G4772">
        <v>1635497</v>
      </c>
    </row>
    <row r="4773" spans="1:7">
      <c r="A4773" t="s">
        <v>1876</v>
      </c>
      <c r="B4773" t="s">
        <v>361</v>
      </c>
      <c r="C4773" t="s">
        <v>310</v>
      </c>
      <c r="D4773">
        <v>1108176</v>
      </c>
      <c r="E4773">
        <v>1109888</v>
      </c>
      <c r="F4773">
        <v>1082236</v>
      </c>
      <c r="G4773">
        <v>1067382</v>
      </c>
    </row>
    <row r="4774" spans="1:7">
      <c r="A4774" t="s">
        <v>1876</v>
      </c>
      <c r="B4774" t="s">
        <v>361</v>
      </c>
      <c r="C4774" t="s">
        <v>311</v>
      </c>
      <c r="D4774">
        <v>87.2</v>
      </c>
      <c r="E4774">
        <v>88</v>
      </c>
      <c r="F4774">
        <v>85.7</v>
      </c>
      <c r="G4774">
        <v>84</v>
      </c>
    </row>
    <row r="4775" spans="1:7">
      <c r="A4775" t="s">
        <v>1876</v>
      </c>
      <c r="B4775" t="s">
        <v>361</v>
      </c>
      <c r="C4775" t="s">
        <v>312</v>
      </c>
      <c r="D4775">
        <v>907653</v>
      </c>
      <c r="E4775">
        <v>931009</v>
      </c>
      <c r="F4775">
        <v>827634</v>
      </c>
      <c r="G4775">
        <v>817145</v>
      </c>
    </row>
    <row r="4776" spans="1:7">
      <c r="A4776" t="s">
        <v>1876</v>
      </c>
      <c r="B4776" t="s">
        <v>361</v>
      </c>
      <c r="C4776" t="s">
        <v>313</v>
      </c>
      <c r="D4776">
        <v>71.400000000000006</v>
      </c>
      <c r="E4776">
        <v>73.8</v>
      </c>
      <c r="F4776">
        <v>65.5</v>
      </c>
      <c r="G4776">
        <v>64.3</v>
      </c>
    </row>
    <row r="4777" spans="1:7">
      <c r="A4777" t="s">
        <v>1876</v>
      </c>
      <c r="B4777" t="s">
        <v>361</v>
      </c>
      <c r="C4777" t="s">
        <v>314</v>
      </c>
      <c r="D4777">
        <v>3627711</v>
      </c>
      <c r="E4777">
        <v>3668788</v>
      </c>
      <c r="F4777">
        <v>3479416</v>
      </c>
      <c r="G4777">
        <v>3434701</v>
      </c>
    </row>
    <row r="4778" spans="1:7">
      <c r="A4778" t="s">
        <v>1876</v>
      </c>
      <c r="B4778" t="s">
        <v>361</v>
      </c>
      <c r="C4778" t="s">
        <v>315</v>
      </c>
      <c r="D4778">
        <v>4.2300000000000004</v>
      </c>
      <c r="E4778">
        <v>4.2</v>
      </c>
      <c r="F4778">
        <v>3.93</v>
      </c>
      <c r="G4778">
        <v>3.82</v>
      </c>
    </row>
    <row r="4779" spans="1:7">
      <c r="A4779" t="s">
        <v>1876</v>
      </c>
      <c r="B4779" t="s">
        <v>361</v>
      </c>
      <c r="C4779" t="s">
        <v>316</v>
      </c>
      <c r="D4779">
        <v>285.60000000000002</v>
      </c>
      <c r="E4779">
        <v>291</v>
      </c>
      <c r="F4779">
        <v>275.39999999999998</v>
      </c>
      <c r="G4779">
        <v>270.39999999999998</v>
      </c>
    </row>
    <row r="4780" spans="1:7">
      <c r="A4780" t="s">
        <v>1876</v>
      </c>
      <c r="B4780" t="s">
        <v>361</v>
      </c>
      <c r="C4780" t="s">
        <v>317</v>
      </c>
      <c r="D4780">
        <v>3627707</v>
      </c>
      <c r="E4780">
        <v>3668783</v>
      </c>
      <c r="F4780">
        <v>3479417</v>
      </c>
      <c r="G4780">
        <v>3434705</v>
      </c>
    </row>
    <row r="4781" spans="1:7">
      <c r="A4781" t="s">
        <v>1876</v>
      </c>
      <c r="B4781" t="s">
        <v>361</v>
      </c>
      <c r="C4781" t="s">
        <v>318</v>
      </c>
      <c r="D4781">
        <v>878000</v>
      </c>
      <c r="E4781">
        <v>880421</v>
      </c>
      <c r="F4781">
        <v>881280</v>
      </c>
      <c r="G4781">
        <v>883233</v>
      </c>
    </row>
    <row r="4782" spans="1:7">
      <c r="A4782" t="s">
        <v>1876</v>
      </c>
      <c r="B4782" t="s">
        <v>361</v>
      </c>
      <c r="C4782" t="s">
        <v>319</v>
      </c>
      <c r="D4782">
        <v>419725</v>
      </c>
      <c r="E4782">
        <v>446471</v>
      </c>
      <c r="F4782">
        <v>410104</v>
      </c>
      <c r="G4782">
        <v>396616</v>
      </c>
    </row>
    <row r="4783" spans="1:7">
      <c r="A4783" t="s">
        <v>1876</v>
      </c>
      <c r="B4783" t="s">
        <v>361</v>
      </c>
      <c r="C4783" t="s">
        <v>320</v>
      </c>
      <c r="D4783">
        <v>833010</v>
      </c>
      <c r="E4783">
        <v>845316</v>
      </c>
      <c r="F4783">
        <v>832642</v>
      </c>
      <c r="G4783">
        <v>814737</v>
      </c>
    </row>
    <row r="4784" spans="1:7">
      <c r="A4784" t="s">
        <v>1876</v>
      </c>
      <c r="B4784" t="s">
        <v>361</v>
      </c>
      <c r="C4784" t="s">
        <v>321</v>
      </c>
      <c r="D4784">
        <v>597244</v>
      </c>
      <c r="E4784">
        <v>636946</v>
      </c>
      <c r="F4784">
        <v>565628</v>
      </c>
      <c r="G4784">
        <v>551736</v>
      </c>
    </row>
    <row r="4785" spans="1:7">
      <c r="A4785" t="s">
        <v>1876</v>
      </c>
      <c r="B4785" t="s">
        <v>361</v>
      </c>
      <c r="C4785" t="s">
        <v>1954</v>
      </c>
      <c r="D4785">
        <v>2727979</v>
      </c>
      <c r="E4785">
        <v>2809154</v>
      </c>
      <c r="F4785">
        <v>2689654</v>
      </c>
      <c r="G4785">
        <v>2646323</v>
      </c>
    </row>
    <row r="4786" spans="1:7">
      <c r="A4786" t="s">
        <v>1876</v>
      </c>
      <c r="B4786" t="s">
        <v>361</v>
      </c>
      <c r="C4786" t="s">
        <v>323</v>
      </c>
      <c r="D4786">
        <v>12703</v>
      </c>
      <c r="E4786">
        <v>12610</v>
      </c>
      <c r="F4786">
        <v>12633</v>
      </c>
      <c r="G4786">
        <v>12703</v>
      </c>
    </row>
    <row r="4787" spans="1:7">
      <c r="A4787" t="s">
        <v>1876</v>
      </c>
      <c r="B4787" t="s">
        <v>361</v>
      </c>
      <c r="C4787" t="s">
        <v>324</v>
      </c>
      <c r="D4787">
        <v>2871</v>
      </c>
      <c r="E4787">
        <v>0</v>
      </c>
      <c r="F4787">
        <v>0</v>
      </c>
      <c r="G4787">
        <v>0</v>
      </c>
    </row>
    <row r="4788" spans="1:7">
      <c r="A4788" t="s">
        <v>1876</v>
      </c>
      <c r="B4788" t="s">
        <v>361</v>
      </c>
      <c r="C4788" t="s">
        <v>325</v>
      </c>
      <c r="D4788">
        <v>0</v>
      </c>
      <c r="E4788">
        <v>0</v>
      </c>
      <c r="F4788">
        <v>0</v>
      </c>
      <c r="G4788">
        <v>0</v>
      </c>
    </row>
    <row r="4789" spans="1:7">
      <c r="A4789" t="s">
        <v>1876</v>
      </c>
      <c r="B4789" t="s">
        <v>361</v>
      </c>
      <c r="C4789" t="s">
        <v>326</v>
      </c>
      <c r="D4789">
        <v>1706</v>
      </c>
      <c r="E4789">
        <v>1706</v>
      </c>
      <c r="F4789">
        <v>1706</v>
      </c>
      <c r="G4789">
        <v>1706</v>
      </c>
    </row>
    <row r="4790" spans="1:7">
      <c r="A4790" t="s">
        <v>1876</v>
      </c>
      <c r="B4790" t="s">
        <v>361</v>
      </c>
      <c r="C4790" t="s">
        <v>327</v>
      </c>
      <c r="D4790">
        <v>0</v>
      </c>
      <c r="E4790">
        <v>0</v>
      </c>
      <c r="F4790">
        <v>0</v>
      </c>
      <c r="G4790">
        <v>0</v>
      </c>
    </row>
    <row r="4791" spans="1:7">
      <c r="A4791" t="s">
        <v>1876</v>
      </c>
      <c r="B4791" t="s">
        <v>361</v>
      </c>
      <c r="C4791" t="s">
        <v>1723</v>
      </c>
      <c r="D4791">
        <v>0</v>
      </c>
      <c r="E4791">
        <v>0</v>
      </c>
      <c r="F4791">
        <v>0</v>
      </c>
      <c r="G4791">
        <v>0</v>
      </c>
    </row>
    <row r="4792" spans="1:7">
      <c r="A4792" t="s">
        <v>1876</v>
      </c>
      <c r="B4792" t="s">
        <v>361</v>
      </c>
      <c r="C4792" t="s">
        <v>328</v>
      </c>
      <c r="D4792">
        <v>2101</v>
      </c>
      <c r="E4792">
        <v>3186</v>
      </c>
      <c r="F4792">
        <v>3186</v>
      </c>
      <c r="G4792">
        <v>3186</v>
      </c>
    </row>
    <row r="4793" spans="1:7">
      <c r="A4793" t="s">
        <v>1876</v>
      </c>
      <c r="B4793" t="s">
        <v>361</v>
      </c>
      <c r="C4793" t="s">
        <v>329</v>
      </c>
      <c r="D4793">
        <v>8865</v>
      </c>
      <c r="E4793">
        <v>11168</v>
      </c>
      <c r="F4793">
        <v>9494</v>
      </c>
      <c r="G4793">
        <v>8900</v>
      </c>
    </row>
    <row r="4794" spans="1:7">
      <c r="A4794" t="s">
        <v>1876</v>
      </c>
      <c r="B4794" t="s">
        <v>361</v>
      </c>
      <c r="C4794" t="s">
        <v>330</v>
      </c>
      <c r="D4794">
        <v>12671</v>
      </c>
      <c r="E4794">
        <v>16061</v>
      </c>
      <c r="F4794">
        <v>14387</v>
      </c>
      <c r="G4794">
        <v>13793</v>
      </c>
    </row>
    <row r="4795" spans="1:7">
      <c r="A4795" t="s">
        <v>1876</v>
      </c>
      <c r="B4795" t="s">
        <v>361</v>
      </c>
      <c r="C4795" t="s">
        <v>331</v>
      </c>
      <c r="D4795">
        <v>0</v>
      </c>
      <c r="E4795">
        <v>0</v>
      </c>
      <c r="F4795">
        <v>0</v>
      </c>
      <c r="G4795">
        <v>0</v>
      </c>
    </row>
    <row r="4796" spans="1:7">
      <c r="A4796" t="s">
        <v>1876</v>
      </c>
      <c r="B4796" t="s">
        <v>361</v>
      </c>
      <c r="C4796" t="s">
        <v>332</v>
      </c>
      <c r="D4796">
        <v>5390</v>
      </c>
      <c r="E4796">
        <v>4475</v>
      </c>
      <c r="F4796">
        <v>3929</v>
      </c>
      <c r="G4796">
        <v>3850</v>
      </c>
    </row>
    <row r="4797" spans="1:7">
      <c r="A4797" t="s">
        <v>1876</v>
      </c>
      <c r="B4797" t="s">
        <v>361</v>
      </c>
      <c r="C4797" t="s">
        <v>1724</v>
      </c>
      <c r="D4797">
        <v>73</v>
      </c>
      <c r="E4797">
        <v>56</v>
      </c>
      <c r="F4797">
        <v>55</v>
      </c>
      <c r="G4797">
        <v>55</v>
      </c>
    </row>
    <row r="4798" spans="1:7">
      <c r="A4798" t="s">
        <v>1876</v>
      </c>
      <c r="B4798" t="s">
        <v>361</v>
      </c>
      <c r="C4798" t="s">
        <v>333</v>
      </c>
      <c r="D4798">
        <v>3797</v>
      </c>
      <c r="E4798">
        <v>4122</v>
      </c>
      <c r="F4798">
        <v>4194</v>
      </c>
      <c r="G4798">
        <v>4063</v>
      </c>
    </row>
    <row r="4799" spans="1:7">
      <c r="A4799" t="s">
        <v>1876</v>
      </c>
      <c r="B4799" t="s">
        <v>361</v>
      </c>
      <c r="C4799" t="s">
        <v>334</v>
      </c>
      <c r="D4799">
        <v>9187</v>
      </c>
      <c r="E4799">
        <v>8597</v>
      </c>
      <c r="F4799">
        <v>8123</v>
      </c>
      <c r="G4799">
        <v>7912</v>
      </c>
    </row>
    <row r="4800" spans="1:7">
      <c r="A4800" t="s">
        <v>1876</v>
      </c>
      <c r="B4800" t="s">
        <v>361</v>
      </c>
      <c r="C4800" t="s">
        <v>335</v>
      </c>
      <c r="D4800">
        <v>1706</v>
      </c>
      <c r="E4800">
        <v>1706</v>
      </c>
      <c r="F4800">
        <v>1706</v>
      </c>
      <c r="G4800">
        <v>1706</v>
      </c>
    </row>
    <row r="4801" spans="1:7">
      <c r="A4801" t="s">
        <v>1876</v>
      </c>
      <c r="B4801" t="s">
        <v>361</v>
      </c>
      <c r="C4801" t="s">
        <v>336</v>
      </c>
      <c r="D4801">
        <v>5390</v>
      </c>
      <c r="E4801">
        <v>4475</v>
      </c>
      <c r="F4801">
        <v>3929</v>
      </c>
      <c r="G4801">
        <v>3850</v>
      </c>
    </row>
    <row r="4802" spans="1:7">
      <c r="A4802" t="s">
        <v>1876</v>
      </c>
      <c r="B4802" t="s">
        <v>361</v>
      </c>
      <c r="C4802" t="s">
        <v>337</v>
      </c>
      <c r="D4802">
        <v>5898</v>
      </c>
      <c r="E4802">
        <v>7308</v>
      </c>
      <c r="F4802">
        <v>7380</v>
      </c>
      <c r="G4802">
        <v>7249</v>
      </c>
    </row>
    <row r="4803" spans="1:7">
      <c r="A4803" t="s">
        <v>1876</v>
      </c>
      <c r="B4803" t="s">
        <v>361</v>
      </c>
      <c r="C4803" t="s">
        <v>338</v>
      </c>
      <c r="D4803">
        <v>21859</v>
      </c>
      <c r="E4803">
        <v>24658</v>
      </c>
      <c r="F4803">
        <v>22510</v>
      </c>
      <c r="G4803">
        <v>21705</v>
      </c>
    </row>
    <row r="4804" spans="1:7">
      <c r="A4804" t="s">
        <v>1876</v>
      </c>
      <c r="B4804" t="s">
        <v>361</v>
      </c>
      <c r="C4804" t="s">
        <v>339</v>
      </c>
      <c r="D4804">
        <v>16468</v>
      </c>
      <c r="E4804">
        <v>20183</v>
      </c>
      <c r="F4804">
        <v>18581</v>
      </c>
      <c r="G4804">
        <v>17855</v>
      </c>
    </row>
    <row r="4805" spans="1:7">
      <c r="A4805" t="s">
        <v>1876</v>
      </c>
      <c r="B4805" t="s">
        <v>361</v>
      </c>
      <c r="C4805" t="s">
        <v>340</v>
      </c>
      <c r="D4805">
        <v>690</v>
      </c>
      <c r="E4805">
        <v>647</v>
      </c>
      <c r="F4805">
        <v>449</v>
      </c>
      <c r="G4805">
        <v>552</v>
      </c>
    </row>
    <row r="4806" spans="1:7">
      <c r="A4806" t="s">
        <v>1876</v>
      </c>
      <c r="B4806" t="s">
        <v>361</v>
      </c>
      <c r="C4806" t="s">
        <v>1955</v>
      </c>
      <c r="D4806">
        <v>33.9</v>
      </c>
      <c r="E4806">
        <v>38.200000000000003</v>
      </c>
      <c r="F4806">
        <v>33.299999999999997</v>
      </c>
      <c r="G4806">
        <v>36</v>
      </c>
    </row>
    <row r="4807" spans="1:7">
      <c r="A4807" t="s">
        <v>1876</v>
      </c>
      <c r="B4807" t="s">
        <v>361</v>
      </c>
      <c r="C4807" t="s">
        <v>341</v>
      </c>
      <c r="D4807">
        <v>16</v>
      </c>
      <c r="E4807">
        <v>16</v>
      </c>
      <c r="F4807">
        <v>3</v>
      </c>
      <c r="G4807">
        <v>13</v>
      </c>
    </row>
    <row r="4808" spans="1:7">
      <c r="A4808" t="s">
        <v>1876</v>
      </c>
      <c r="B4808" t="s">
        <v>361</v>
      </c>
      <c r="C4808" t="s">
        <v>342</v>
      </c>
      <c r="D4808">
        <v>65266</v>
      </c>
      <c r="E4808">
        <v>80145</v>
      </c>
      <c r="F4808">
        <v>74406</v>
      </c>
      <c r="G4808">
        <v>84981</v>
      </c>
    </row>
    <row r="4809" spans="1:7">
      <c r="A4809" t="s">
        <v>1876</v>
      </c>
      <c r="B4809" t="s">
        <v>361</v>
      </c>
      <c r="C4809" t="s">
        <v>1725</v>
      </c>
      <c r="D4809">
        <v>7173</v>
      </c>
      <c r="E4809">
        <v>7035</v>
      </c>
      <c r="F4809">
        <v>7874</v>
      </c>
      <c r="G4809">
        <v>7874</v>
      </c>
    </row>
    <row r="4810" spans="1:7">
      <c r="A4810" t="s">
        <v>1876</v>
      </c>
      <c r="B4810" t="s">
        <v>361</v>
      </c>
      <c r="C4810" t="s">
        <v>343</v>
      </c>
      <c r="D4810">
        <v>0</v>
      </c>
      <c r="E4810">
        <v>0</v>
      </c>
      <c r="F4810">
        <v>0</v>
      </c>
      <c r="G4810">
        <v>0</v>
      </c>
    </row>
    <row r="4811" spans="1:7">
      <c r="A4811" t="s">
        <v>1876</v>
      </c>
      <c r="B4811" t="s">
        <v>361</v>
      </c>
      <c r="C4811" t="s">
        <v>344</v>
      </c>
      <c r="D4811">
        <v>65282</v>
      </c>
      <c r="E4811">
        <v>80161</v>
      </c>
      <c r="F4811">
        <v>74409</v>
      </c>
      <c r="G4811">
        <v>84994</v>
      </c>
    </row>
    <row r="4812" spans="1:7">
      <c r="A4812" t="s">
        <v>1876</v>
      </c>
      <c r="B4812" t="s">
        <v>361</v>
      </c>
      <c r="C4812" t="s">
        <v>345</v>
      </c>
      <c r="D4812">
        <v>16</v>
      </c>
      <c r="E4812">
        <v>16</v>
      </c>
      <c r="F4812">
        <v>3</v>
      </c>
      <c r="G4812">
        <v>13</v>
      </c>
    </row>
    <row r="4813" spans="1:7">
      <c r="A4813" t="s">
        <v>1876</v>
      </c>
      <c r="B4813" t="s">
        <v>361</v>
      </c>
      <c r="C4813" t="s">
        <v>1956</v>
      </c>
      <c r="D4813">
        <v>5390</v>
      </c>
      <c r="E4813">
        <v>4475</v>
      </c>
      <c r="F4813">
        <v>3929</v>
      </c>
      <c r="G4813">
        <v>3850</v>
      </c>
    </row>
    <row r="4814" spans="1:7">
      <c r="A4814" t="s">
        <v>1876</v>
      </c>
      <c r="B4814" t="s">
        <v>361</v>
      </c>
      <c r="C4814" t="s">
        <v>1957</v>
      </c>
      <c r="D4814">
        <v>9187</v>
      </c>
      <c r="E4814">
        <v>8597</v>
      </c>
      <c r="F4814">
        <v>8123</v>
      </c>
      <c r="G4814">
        <v>7912</v>
      </c>
    </row>
    <row r="4815" spans="1:7">
      <c r="A4815" t="s">
        <v>1876</v>
      </c>
      <c r="B4815" t="s">
        <v>361</v>
      </c>
      <c r="C4815" t="s">
        <v>346</v>
      </c>
      <c r="D4815">
        <v>1063</v>
      </c>
      <c r="E4815">
        <v>929</v>
      </c>
      <c r="F4815">
        <v>881</v>
      </c>
      <c r="G4815">
        <v>1024</v>
      </c>
    </row>
    <row r="4816" spans="1:7">
      <c r="A4816" t="s">
        <v>1876</v>
      </c>
      <c r="B4816" t="s">
        <v>361</v>
      </c>
      <c r="C4816" t="s">
        <v>347</v>
      </c>
      <c r="D4816">
        <v>5684</v>
      </c>
      <c r="E4816">
        <v>6325</v>
      </c>
      <c r="F4816">
        <v>5320</v>
      </c>
      <c r="G4816">
        <v>5080</v>
      </c>
    </row>
    <row r="4817" spans="1:7">
      <c r="A4817" t="s">
        <v>1876</v>
      </c>
      <c r="B4817" t="s">
        <v>362</v>
      </c>
      <c r="C4817" t="s">
        <v>133</v>
      </c>
      <c r="D4817">
        <v>-22</v>
      </c>
      <c r="E4817">
        <v>-17</v>
      </c>
      <c r="F4817">
        <v>-17</v>
      </c>
      <c r="G4817">
        <v>-23</v>
      </c>
    </row>
    <row r="4818" spans="1:7">
      <c r="A4818" t="s">
        <v>1876</v>
      </c>
      <c r="B4818" t="s">
        <v>362</v>
      </c>
      <c r="C4818" t="s">
        <v>134</v>
      </c>
      <c r="D4818">
        <v>28550</v>
      </c>
      <c r="E4818">
        <v>29424</v>
      </c>
      <c r="F4818">
        <v>27588</v>
      </c>
      <c r="G4818">
        <v>26045</v>
      </c>
    </row>
    <row r="4819" spans="1:7">
      <c r="A4819" t="s">
        <v>1876</v>
      </c>
      <c r="B4819" t="s">
        <v>362</v>
      </c>
      <c r="C4819" t="s">
        <v>135</v>
      </c>
      <c r="D4819">
        <v>28550</v>
      </c>
      <c r="E4819">
        <v>29424</v>
      </c>
      <c r="F4819">
        <v>27588</v>
      </c>
      <c r="G4819">
        <v>26045</v>
      </c>
    </row>
    <row r="4820" spans="1:7">
      <c r="A4820" t="s">
        <v>1876</v>
      </c>
      <c r="B4820" t="s">
        <v>362</v>
      </c>
      <c r="C4820" t="s">
        <v>136</v>
      </c>
      <c r="D4820">
        <v>28550</v>
      </c>
      <c r="E4820">
        <v>29424</v>
      </c>
      <c r="F4820">
        <v>27588</v>
      </c>
      <c r="G4820">
        <v>26045</v>
      </c>
    </row>
    <row r="4821" spans="1:7">
      <c r="A4821" t="s">
        <v>1876</v>
      </c>
      <c r="B4821" t="s">
        <v>362</v>
      </c>
      <c r="C4821" t="s">
        <v>137</v>
      </c>
      <c r="D4821">
        <v>355</v>
      </c>
      <c r="E4821">
        <v>367</v>
      </c>
      <c r="F4821">
        <v>349</v>
      </c>
      <c r="G4821">
        <v>375</v>
      </c>
    </row>
    <row r="4822" spans="1:7">
      <c r="A4822" t="s">
        <v>1876</v>
      </c>
      <c r="B4822" t="s">
        <v>362</v>
      </c>
      <c r="C4822" t="s">
        <v>138</v>
      </c>
      <c r="D4822">
        <v>355</v>
      </c>
      <c r="E4822">
        <v>367</v>
      </c>
      <c r="F4822">
        <v>349</v>
      </c>
      <c r="G4822">
        <v>375</v>
      </c>
    </row>
    <row r="4823" spans="1:7">
      <c r="A4823" t="s">
        <v>1876</v>
      </c>
      <c r="B4823" t="s">
        <v>362</v>
      </c>
      <c r="C4823" t="s">
        <v>139</v>
      </c>
      <c r="D4823">
        <v>355</v>
      </c>
      <c r="E4823">
        <v>367</v>
      </c>
      <c r="F4823">
        <v>349</v>
      </c>
      <c r="G4823">
        <v>375</v>
      </c>
    </row>
    <row r="4824" spans="1:7">
      <c r="A4824" t="s">
        <v>1876</v>
      </c>
      <c r="B4824" t="s">
        <v>362</v>
      </c>
      <c r="C4824" t="s">
        <v>1877</v>
      </c>
      <c r="D4824">
        <v>0</v>
      </c>
      <c r="E4824">
        <v>0</v>
      </c>
      <c r="F4824">
        <v>0</v>
      </c>
      <c r="G4824">
        <v>0</v>
      </c>
    </row>
    <row r="4825" spans="1:7">
      <c r="A4825" t="s">
        <v>1876</v>
      </c>
      <c r="B4825" t="s">
        <v>362</v>
      </c>
      <c r="C4825" t="s">
        <v>1700</v>
      </c>
      <c r="D4825">
        <v>0</v>
      </c>
      <c r="E4825">
        <v>0</v>
      </c>
      <c r="F4825">
        <v>0</v>
      </c>
      <c r="G4825">
        <v>0</v>
      </c>
    </row>
    <row r="4826" spans="1:7">
      <c r="A4826" t="s">
        <v>1876</v>
      </c>
      <c r="B4826" t="s">
        <v>362</v>
      </c>
      <c r="C4826" t="s">
        <v>1878</v>
      </c>
      <c r="D4826">
        <v>0</v>
      </c>
      <c r="E4826">
        <v>0</v>
      </c>
      <c r="F4826">
        <v>0</v>
      </c>
      <c r="G4826">
        <v>0</v>
      </c>
    </row>
    <row r="4827" spans="1:7">
      <c r="A4827" t="s">
        <v>1876</v>
      </c>
      <c r="B4827" t="s">
        <v>362</v>
      </c>
      <c r="C4827" t="s">
        <v>1879</v>
      </c>
      <c r="D4827">
        <v>0</v>
      </c>
      <c r="E4827">
        <v>0</v>
      </c>
      <c r="F4827">
        <v>0</v>
      </c>
      <c r="G4827">
        <v>0</v>
      </c>
    </row>
    <row r="4828" spans="1:7">
      <c r="A4828" t="s">
        <v>1876</v>
      </c>
      <c r="B4828" t="s">
        <v>362</v>
      </c>
      <c r="C4828" t="s">
        <v>1701</v>
      </c>
      <c r="D4828">
        <v>0</v>
      </c>
      <c r="E4828">
        <v>0</v>
      </c>
      <c r="F4828">
        <v>0</v>
      </c>
      <c r="G4828">
        <v>0</v>
      </c>
    </row>
    <row r="4829" spans="1:7">
      <c r="A4829" t="s">
        <v>1876</v>
      </c>
      <c r="B4829" t="s">
        <v>362</v>
      </c>
      <c r="C4829" t="s">
        <v>1880</v>
      </c>
      <c r="D4829">
        <v>1907</v>
      </c>
      <c r="E4829">
        <v>1709</v>
      </c>
      <c r="F4829">
        <v>2012</v>
      </c>
      <c r="G4829">
        <v>1959</v>
      </c>
    </row>
    <row r="4830" spans="1:7">
      <c r="A4830" t="s">
        <v>1876</v>
      </c>
      <c r="B4830" t="s">
        <v>362</v>
      </c>
      <c r="C4830" t="s">
        <v>140</v>
      </c>
      <c r="D4830">
        <v>4481</v>
      </c>
      <c r="E4830">
        <v>4129</v>
      </c>
      <c r="F4830">
        <v>5427</v>
      </c>
      <c r="G4830">
        <v>5586</v>
      </c>
    </row>
    <row r="4831" spans="1:7">
      <c r="A4831" t="s">
        <v>1876</v>
      </c>
      <c r="B4831" t="s">
        <v>362</v>
      </c>
      <c r="C4831" t="s">
        <v>1881</v>
      </c>
      <c r="D4831">
        <v>2574</v>
      </c>
      <c r="E4831">
        <v>2421</v>
      </c>
      <c r="F4831">
        <v>3415</v>
      </c>
      <c r="G4831">
        <v>3626</v>
      </c>
    </row>
    <row r="4832" spans="1:7">
      <c r="A4832" t="s">
        <v>1876</v>
      </c>
      <c r="B4832" t="s">
        <v>362</v>
      </c>
      <c r="C4832" t="s">
        <v>1882</v>
      </c>
      <c r="D4832">
        <v>0</v>
      </c>
      <c r="E4832">
        <v>0</v>
      </c>
      <c r="F4832">
        <v>0</v>
      </c>
      <c r="G4832">
        <v>0</v>
      </c>
    </row>
    <row r="4833" spans="1:7">
      <c r="A4833" t="s">
        <v>1876</v>
      </c>
      <c r="B4833" t="s">
        <v>362</v>
      </c>
      <c r="C4833" t="s">
        <v>1883</v>
      </c>
      <c r="D4833">
        <v>0</v>
      </c>
      <c r="E4833">
        <v>0</v>
      </c>
      <c r="F4833">
        <v>0</v>
      </c>
      <c r="G4833">
        <v>0</v>
      </c>
    </row>
    <row r="4834" spans="1:7">
      <c r="A4834" t="s">
        <v>1876</v>
      </c>
      <c r="B4834" t="s">
        <v>362</v>
      </c>
      <c r="C4834" t="s">
        <v>1884</v>
      </c>
      <c r="D4834">
        <v>0</v>
      </c>
      <c r="E4834">
        <v>0</v>
      </c>
      <c r="F4834">
        <v>0</v>
      </c>
      <c r="G4834">
        <v>0</v>
      </c>
    </row>
    <row r="4835" spans="1:7">
      <c r="A4835" t="s">
        <v>1876</v>
      </c>
      <c r="B4835" t="s">
        <v>362</v>
      </c>
      <c r="C4835" t="s">
        <v>1885</v>
      </c>
      <c r="D4835">
        <v>0</v>
      </c>
      <c r="E4835">
        <v>0</v>
      </c>
      <c r="F4835">
        <v>0</v>
      </c>
      <c r="G4835">
        <v>0</v>
      </c>
    </row>
    <row r="4836" spans="1:7">
      <c r="A4836" t="s">
        <v>1876</v>
      </c>
      <c r="B4836" t="s">
        <v>362</v>
      </c>
      <c r="C4836" t="s">
        <v>1886</v>
      </c>
      <c r="D4836">
        <v>0</v>
      </c>
      <c r="E4836">
        <v>0</v>
      </c>
      <c r="F4836">
        <v>0</v>
      </c>
      <c r="G4836">
        <v>0</v>
      </c>
    </row>
    <row r="4837" spans="1:7">
      <c r="A4837" t="s">
        <v>1876</v>
      </c>
      <c r="B4837" t="s">
        <v>362</v>
      </c>
      <c r="C4837" t="s">
        <v>141</v>
      </c>
      <c r="D4837">
        <v>157</v>
      </c>
      <c r="E4837">
        <v>153</v>
      </c>
      <c r="F4837">
        <v>154</v>
      </c>
      <c r="G4837">
        <v>154</v>
      </c>
    </row>
    <row r="4838" spans="1:7">
      <c r="A4838" t="s">
        <v>1876</v>
      </c>
      <c r="B4838" t="s">
        <v>362</v>
      </c>
      <c r="C4838" t="s">
        <v>1887</v>
      </c>
      <c r="D4838">
        <v>0</v>
      </c>
      <c r="E4838">
        <v>0</v>
      </c>
      <c r="F4838">
        <v>0</v>
      </c>
      <c r="G4838">
        <v>0</v>
      </c>
    </row>
    <row r="4839" spans="1:7">
      <c r="A4839" t="s">
        <v>1876</v>
      </c>
      <c r="B4839" t="s">
        <v>362</v>
      </c>
      <c r="C4839" t="s">
        <v>1888</v>
      </c>
      <c r="D4839">
        <v>0</v>
      </c>
      <c r="E4839">
        <v>0</v>
      </c>
      <c r="F4839">
        <v>0</v>
      </c>
      <c r="G4839">
        <v>0</v>
      </c>
    </row>
    <row r="4840" spans="1:7">
      <c r="A4840" t="s">
        <v>1876</v>
      </c>
      <c r="B4840" t="s">
        <v>362</v>
      </c>
      <c r="C4840" t="s">
        <v>1889</v>
      </c>
      <c r="D4840">
        <v>1907</v>
      </c>
      <c r="E4840">
        <v>1709</v>
      </c>
      <c r="F4840">
        <v>2012</v>
      </c>
      <c r="G4840">
        <v>1959</v>
      </c>
    </row>
    <row r="4841" spans="1:7">
      <c r="A4841" t="s">
        <v>1876</v>
      </c>
      <c r="B4841" t="s">
        <v>362</v>
      </c>
      <c r="C4841" t="s">
        <v>1890</v>
      </c>
      <c r="D4841">
        <v>0</v>
      </c>
      <c r="E4841">
        <v>0</v>
      </c>
      <c r="F4841">
        <v>0</v>
      </c>
      <c r="G4841">
        <v>0</v>
      </c>
    </row>
    <row r="4842" spans="1:7">
      <c r="A4842" t="s">
        <v>1876</v>
      </c>
      <c r="B4842" t="s">
        <v>362</v>
      </c>
      <c r="C4842" t="s">
        <v>1891</v>
      </c>
    </row>
    <row r="4843" spans="1:7">
      <c r="A4843" t="s">
        <v>1876</v>
      </c>
      <c r="B4843" t="s">
        <v>362</v>
      </c>
      <c r="C4843" t="s">
        <v>1892</v>
      </c>
      <c r="D4843">
        <v>2574</v>
      </c>
      <c r="E4843">
        <v>2421</v>
      </c>
      <c r="F4843">
        <v>3415</v>
      </c>
      <c r="G4843">
        <v>3626</v>
      </c>
    </row>
    <row r="4844" spans="1:7">
      <c r="A4844" t="s">
        <v>1876</v>
      </c>
      <c r="B4844" t="s">
        <v>362</v>
      </c>
      <c r="C4844" t="s">
        <v>142</v>
      </c>
      <c r="D4844">
        <v>4481</v>
      </c>
      <c r="E4844">
        <v>4129</v>
      </c>
      <c r="F4844">
        <v>5427</v>
      </c>
      <c r="G4844">
        <v>5586</v>
      </c>
    </row>
    <row r="4845" spans="1:7">
      <c r="A4845" t="s">
        <v>1876</v>
      </c>
      <c r="B4845" t="s">
        <v>362</v>
      </c>
      <c r="C4845" t="s">
        <v>1893</v>
      </c>
      <c r="D4845">
        <v>4481</v>
      </c>
      <c r="E4845">
        <v>4129</v>
      </c>
      <c r="F4845">
        <v>5427</v>
      </c>
      <c r="G4845">
        <v>5586</v>
      </c>
    </row>
    <row r="4846" spans="1:7">
      <c r="A4846" t="s">
        <v>1876</v>
      </c>
      <c r="B4846" t="s">
        <v>362</v>
      </c>
      <c r="C4846" t="s">
        <v>1894</v>
      </c>
      <c r="D4846">
        <v>2574</v>
      </c>
      <c r="E4846">
        <v>2421</v>
      </c>
      <c r="F4846">
        <v>3415</v>
      </c>
      <c r="G4846">
        <v>3626</v>
      </c>
    </row>
    <row r="4847" spans="1:7">
      <c r="A4847" t="s">
        <v>1876</v>
      </c>
      <c r="B4847" t="s">
        <v>362</v>
      </c>
      <c r="C4847" t="s">
        <v>143</v>
      </c>
      <c r="D4847">
        <v>60697</v>
      </c>
      <c r="E4847">
        <v>63618</v>
      </c>
      <c r="F4847">
        <v>66070</v>
      </c>
      <c r="G4847">
        <v>71286</v>
      </c>
    </row>
    <row r="4848" spans="1:7">
      <c r="A4848" t="s">
        <v>1876</v>
      </c>
      <c r="B4848" t="s">
        <v>362</v>
      </c>
      <c r="C4848" t="s">
        <v>144</v>
      </c>
      <c r="D4848">
        <v>90760</v>
      </c>
      <c r="E4848">
        <v>93002</v>
      </c>
      <c r="F4848">
        <v>97073</v>
      </c>
      <c r="G4848">
        <v>101942</v>
      </c>
    </row>
    <row r="4849" spans="1:7">
      <c r="A4849" t="s">
        <v>1876</v>
      </c>
      <c r="B4849" t="s">
        <v>362</v>
      </c>
      <c r="C4849" t="s">
        <v>1895</v>
      </c>
      <c r="D4849">
        <v>69.900000000000006</v>
      </c>
      <c r="E4849">
        <v>61.7</v>
      </c>
      <c r="F4849">
        <v>45.2</v>
      </c>
      <c r="G4849">
        <v>39.700000000000003</v>
      </c>
    </row>
    <row r="4850" spans="1:7">
      <c r="A4850" t="s">
        <v>1876</v>
      </c>
      <c r="B4850" t="s">
        <v>362</v>
      </c>
      <c r="C4850" t="s">
        <v>145</v>
      </c>
      <c r="D4850">
        <v>121697</v>
      </c>
      <c r="E4850">
        <v>128646</v>
      </c>
      <c r="F4850">
        <v>131105</v>
      </c>
      <c r="G4850">
        <v>135354</v>
      </c>
    </row>
    <row r="4851" spans="1:7">
      <c r="A4851" t="s">
        <v>1876</v>
      </c>
      <c r="B4851" t="s">
        <v>362</v>
      </c>
      <c r="C4851" t="s">
        <v>146</v>
      </c>
      <c r="D4851">
        <v>0</v>
      </c>
      <c r="E4851">
        <v>0</v>
      </c>
      <c r="F4851">
        <v>0</v>
      </c>
      <c r="G4851">
        <v>0</v>
      </c>
    </row>
    <row r="4852" spans="1:7">
      <c r="A4852" t="s">
        <v>1876</v>
      </c>
      <c r="B4852" t="s">
        <v>362</v>
      </c>
      <c r="C4852" t="s">
        <v>147</v>
      </c>
      <c r="D4852">
        <v>0</v>
      </c>
      <c r="E4852">
        <v>0</v>
      </c>
      <c r="F4852">
        <v>0</v>
      </c>
      <c r="G4852">
        <v>0</v>
      </c>
    </row>
    <row r="4853" spans="1:7">
      <c r="A4853" t="s">
        <v>1876</v>
      </c>
      <c r="B4853" t="s">
        <v>362</v>
      </c>
      <c r="C4853" t="s">
        <v>1896</v>
      </c>
      <c r="D4853">
        <v>0.5</v>
      </c>
      <c r="E4853">
        <v>0.6</v>
      </c>
      <c r="F4853">
        <v>0.1</v>
      </c>
      <c r="G4853">
        <v>7.6</v>
      </c>
    </row>
    <row r="4854" spans="1:7">
      <c r="A4854" t="s">
        <v>1876</v>
      </c>
      <c r="B4854" t="s">
        <v>362</v>
      </c>
      <c r="C4854" t="s">
        <v>1702</v>
      </c>
      <c r="D4854">
        <v>36</v>
      </c>
      <c r="E4854">
        <v>36</v>
      </c>
      <c r="F4854">
        <v>36</v>
      </c>
      <c r="G4854">
        <v>81</v>
      </c>
    </row>
    <row r="4855" spans="1:7">
      <c r="A4855" t="s">
        <v>1876</v>
      </c>
      <c r="B4855" t="s">
        <v>362</v>
      </c>
      <c r="C4855" t="s">
        <v>1897</v>
      </c>
      <c r="D4855">
        <v>10.1</v>
      </c>
      <c r="E4855">
        <v>14.9</v>
      </c>
      <c r="F4855">
        <v>25</v>
      </c>
      <c r="G4855">
        <v>33.4</v>
      </c>
    </row>
    <row r="4856" spans="1:7">
      <c r="A4856" t="s">
        <v>1876</v>
      </c>
      <c r="B4856" t="s">
        <v>362</v>
      </c>
      <c r="C4856" t="s">
        <v>1898</v>
      </c>
      <c r="D4856">
        <v>16</v>
      </c>
      <c r="E4856">
        <v>28</v>
      </c>
      <c r="F4856">
        <v>76</v>
      </c>
      <c r="G4856">
        <v>112</v>
      </c>
    </row>
    <row r="4857" spans="1:7">
      <c r="A4857" t="s">
        <v>1876</v>
      </c>
      <c r="B4857" t="s">
        <v>362</v>
      </c>
      <c r="C4857" t="s">
        <v>1899</v>
      </c>
      <c r="D4857">
        <v>2574</v>
      </c>
      <c r="E4857">
        <v>2421</v>
      </c>
      <c r="F4857">
        <v>3415</v>
      </c>
      <c r="G4857">
        <v>3626</v>
      </c>
    </row>
    <row r="4858" spans="1:7">
      <c r="A4858" t="s">
        <v>1876</v>
      </c>
      <c r="B4858" t="s">
        <v>362</v>
      </c>
      <c r="C4858" t="s">
        <v>148</v>
      </c>
      <c r="D4858">
        <v>0</v>
      </c>
      <c r="E4858">
        <v>0</v>
      </c>
      <c r="F4858">
        <v>0</v>
      </c>
      <c r="G4858">
        <v>0</v>
      </c>
    </row>
    <row r="4859" spans="1:7">
      <c r="A4859" t="s">
        <v>1876</v>
      </c>
      <c r="B4859" t="s">
        <v>362</v>
      </c>
      <c r="C4859" t="s">
        <v>149</v>
      </c>
      <c r="D4859">
        <v>0</v>
      </c>
      <c r="E4859">
        <v>0</v>
      </c>
      <c r="F4859">
        <v>0</v>
      </c>
      <c r="G4859">
        <v>0</v>
      </c>
    </row>
    <row r="4860" spans="1:7">
      <c r="A4860" t="s">
        <v>1876</v>
      </c>
      <c r="B4860" t="s">
        <v>362</v>
      </c>
      <c r="C4860" t="s">
        <v>150</v>
      </c>
      <c r="D4860">
        <v>0</v>
      </c>
      <c r="E4860">
        <v>0</v>
      </c>
      <c r="F4860">
        <v>0</v>
      </c>
      <c r="G4860">
        <v>0</v>
      </c>
    </row>
    <row r="4861" spans="1:7">
      <c r="A4861" t="s">
        <v>1876</v>
      </c>
      <c r="B4861" t="s">
        <v>362</v>
      </c>
      <c r="C4861" t="s">
        <v>1900</v>
      </c>
      <c r="D4861">
        <v>43.3</v>
      </c>
      <c r="E4861">
        <v>43.4</v>
      </c>
      <c r="F4861">
        <v>36.1</v>
      </c>
      <c r="G4861">
        <v>34.5</v>
      </c>
    </row>
    <row r="4862" spans="1:7">
      <c r="A4862" t="s">
        <v>1876</v>
      </c>
      <c r="B4862" t="s">
        <v>362</v>
      </c>
      <c r="C4862" t="s">
        <v>151</v>
      </c>
      <c r="D4862">
        <v>1079</v>
      </c>
      <c r="E4862">
        <v>1261</v>
      </c>
      <c r="F4862">
        <v>530</v>
      </c>
      <c r="G4862">
        <v>438</v>
      </c>
    </row>
    <row r="4863" spans="1:7">
      <c r="A4863" t="s">
        <v>1876</v>
      </c>
      <c r="B4863" t="s">
        <v>362</v>
      </c>
      <c r="C4863" t="s">
        <v>152</v>
      </c>
      <c r="D4863">
        <v>597509</v>
      </c>
      <c r="E4863">
        <v>580043</v>
      </c>
      <c r="F4863">
        <v>464526</v>
      </c>
      <c r="G4863">
        <v>451038</v>
      </c>
    </row>
    <row r="4864" spans="1:7">
      <c r="A4864" t="s">
        <v>1876</v>
      </c>
      <c r="B4864" t="s">
        <v>362</v>
      </c>
      <c r="C4864" t="s">
        <v>1703</v>
      </c>
      <c r="D4864">
        <v>13835</v>
      </c>
      <c r="E4864">
        <v>13843</v>
      </c>
      <c r="F4864">
        <v>12847</v>
      </c>
      <c r="G4864">
        <v>12721</v>
      </c>
    </row>
    <row r="4865" spans="1:7">
      <c r="A4865" t="s">
        <v>1876</v>
      </c>
      <c r="B4865" t="s">
        <v>362</v>
      </c>
      <c r="C4865" t="s">
        <v>153</v>
      </c>
      <c r="D4865">
        <v>154968</v>
      </c>
      <c r="E4865">
        <v>137935</v>
      </c>
      <c r="F4865">
        <v>148478</v>
      </c>
      <c r="G4865">
        <v>144975</v>
      </c>
    </row>
    <row r="4866" spans="1:7">
      <c r="A4866" t="s">
        <v>1876</v>
      </c>
      <c r="B4866" t="s">
        <v>362</v>
      </c>
      <c r="C4866" t="s">
        <v>154</v>
      </c>
      <c r="D4866">
        <v>119216</v>
      </c>
      <c r="E4866">
        <v>105783</v>
      </c>
      <c r="F4866">
        <v>117648</v>
      </c>
      <c r="G4866">
        <v>115025</v>
      </c>
    </row>
    <row r="4867" spans="1:7">
      <c r="A4867" t="s">
        <v>1876</v>
      </c>
      <c r="B4867" t="s">
        <v>362</v>
      </c>
      <c r="C4867" t="s">
        <v>155</v>
      </c>
      <c r="D4867">
        <v>35753</v>
      </c>
      <c r="E4867">
        <v>32152</v>
      </c>
      <c r="F4867">
        <v>30830</v>
      </c>
      <c r="G4867">
        <v>29950</v>
      </c>
    </row>
    <row r="4868" spans="1:7">
      <c r="A4868" t="s">
        <v>1876</v>
      </c>
      <c r="B4868" t="s">
        <v>362</v>
      </c>
      <c r="C4868" t="s">
        <v>156</v>
      </c>
      <c r="D4868">
        <v>0</v>
      </c>
      <c r="E4868">
        <v>0</v>
      </c>
      <c r="F4868">
        <v>0</v>
      </c>
      <c r="G4868">
        <v>0</v>
      </c>
    </row>
    <row r="4869" spans="1:7">
      <c r="A4869" t="s">
        <v>1876</v>
      </c>
      <c r="B4869" t="s">
        <v>362</v>
      </c>
      <c r="C4869" t="s">
        <v>157</v>
      </c>
      <c r="D4869">
        <v>753557</v>
      </c>
      <c r="E4869">
        <v>719238</v>
      </c>
      <c r="F4869">
        <v>613533</v>
      </c>
      <c r="G4869">
        <v>596451</v>
      </c>
    </row>
    <row r="4870" spans="1:7">
      <c r="A4870" t="s">
        <v>1876</v>
      </c>
      <c r="B4870" t="s">
        <v>362</v>
      </c>
      <c r="C4870" t="s">
        <v>158</v>
      </c>
      <c r="D4870">
        <v>156047</v>
      </c>
      <c r="E4870">
        <v>139195</v>
      </c>
      <c r="F4870">
        <v>149008</v>
      </c>
      <c r="G4870">
        <v>145413</v>
      </c>
    </row>
    <row r="4871" spans="1:7">
      <c r="A4871" t="s">
        <v>1876</v>
      </c>
      <c r="B4871" t="s">
        <v>362</v>
      </c>
      <c r="C4871" t="s">
        <v>159</v>
      </c>
      <c r="D4871">
        <v>0</v>
      </c>
      <c r="E4871">
        <v>0</v>
      </c>
      <c r="F4871">
        <v>0</v>
      </c>
      <c r="G4871">
        <v>0</v>
      </c>
    </row>
    <row r="4872" spans="1:7">
      <c r="A4872" t="s">
        <v>1876</v>
      </c>
      <c r="B4872" t="s">
        <v>362</v>
      </c>
      <c r="C4872" t="s">
        <v>1901</v>
      </c>
      <c r="D4872">
        <v>61</v>
      </c>
      <c r="E4872">
        <v>74.2</v>
      </c>
      <c r="F4872">
        <v>76.3</v>
      </c>
      <c r="G4872">
        <v>83.1</v>
      </c>
    </row>
    <row r="4873" spans="1:7">
      <c r="A4873" t="s">
        <v>1876</v>
      </c>
      <c r="B4873" t="s">
        <v>362</v>
      </c>
      <c r="C4873" t="s">
        <v>1902</v>
      </c>
      <c r="D4873">
        <v>184896</v>
      </c>
      <c r="E4873">
        <v>184429</v>
      </c>
      <c r="F4873">
        <v>176791</v>
      </c>
      <c r="G4873">
        <v>173823</v>
      </c>
    </row>
    <row r="4874" spans="1:7">
      <c r="A4874" t="s">
        <v>1876</v>
      </c>
      <c r="B4874" t="s">
        <v>362</v>
      </c>
      <c r="C4874" t="s">
        <v>1903</v>
      </c>
      <c r="D4874">
        <v>4029</v>
      </c>
      <c r="E4874">
        <v>4145</v>
      </c>
      <c r="F4874">
        <v>3777</v>
      </c>
      <c r="G4874">
        <v>3626</v>
      </c>
    </row>
    <row r="4875" spans="1:7">
      <c r="A4875" t="s">
        <v>1876</v>
      </c>
      <c r="B4875" t="s">
        <v>362</v>
      </c>
      <c r="C4875" t="s">
        <v>1904</v>
      </c>
      <c r="D4875">
        <v>1610</v>
      </c>
      <c r="E4875">
        <v>1345</v>
      </c>
      <c r="F4875">
        <v>1178</v>
      </c>
      <c r="G4875">
        <v>1093</v>
      </c>
    </row>
    <row r="4876" spans="1:7">
      <c r="A4876" t="s">
        <v>1876</v>
      </c>
      <c r="B4876" t="s">
        <v>362</v>
      </c>
      <c r="C4876" t="s">
        <v>1905</v>
      </c>
      <c r="D4876">
        <v>33308</v>
      </c>
      <c r="E4876">
        <v>33671</v>
      </c>
      <c r="F4876">
        <v>32863</v>
      </c>
      <c r="G4876">
        <v>31891</v>
      </c>
    </row>
    <row r="4877" spans="1:7">
      <c r="A4877" t="s">
        <v>1876</v>
      </c>
      <c r="B4877" t="s">
        <v>362</v>
      </c>
      <c r="C4877" t="s">
        <v>1906</v>
      </c>
      <c r="D4877">
        <v>1177</v>
      </c>
      <c r="E4877">
        <v>1226</v>
      </c>
      <c r="F4877">
        <v>1117</v>
      </c>
      <c r="G4877">
        <v>1049</v>
      </c>
    </row>
    <row r="4878" spans="1:7">
      <c r="A4878" t="s">
        <v>1876</v>
      </c>
      <c r="B4878" t="s">
        <v>362</v>
      </c>
      <c r="C4878" t="s">
        <v>1907</v>
      </c>
      <c r="D4878">
        <v>225020</v>
      </c>
      <c r="E4878">
        <v>224816</v>
      </c>
      <c r="F4878">
        <v>215724</v>
      </c>
      <c r="G4878">
        <v>211482</v>
      </c>
    </row>
    <row r="4879" spans="1:7">
      <c r="A4879" t="s">
        <v>1876</v>
      </c>
      <c r="B4879" t="s">
        <v>362</v>
      </c>
      <c r="C4879" t="s">
        <v>160</v>
      </c>
      <c r="D4879">
        <v>182322</v>
      </c>
      <c r="E4879">
        <v>182008</v>
      </c>
      <c r="F4879">
        <v>173376</v>
      </c>
      <c r="G4879">
        <v>170197</v>
      </c>
    </row>
    <row r="4880" spans="1:7">
      <c r="A4880" t="s">
        <v>1876</v>
      </c>
      <c r="B4880" t="s">
        <v>362</v>
      </c>
      <c r="C4880" t="s">
        <v>161</v>
      </c>
      <c r="D4880">
        <v>4029</v>
      </c>
      <c r="E4880">
        <v>4145</v>
      </c>
      <c r="F4880">
        <v>3777</v>
      </c>
      <c r="G4880">
        <v>3626</v>
      </c>
    </row>
    <row r="4881" spans="1:7">
      <c r="A4881" t="s">
        <v>1876</v>
      </c>
      <c r="B4881" t="s">
        <v>362</v>
      </c>
      <c r="C4881" t="s">
        <v>162</v>
      </c>
      <c r="D4881">
        <v>1610</v>
      </c>
      <c r="E4881">
        <v>1345</v>
      </c>
      <c r="F4881">
        <v>1178</v>
      </c>
      <c r="G4881">
        <v>1093</v>
      </c>
    </row>
    <row r="4882" spans="1:7">
      <c r="A4882" t="s">
        <v>1876</v>
      </c>
      <c r="B4882" t="s">
        <v>362</v>
      </c>
      <c r="C4882" t="s">
        <v>163</v>
      </c>
      <c r="D4882">
        <v>33308</v>
      </c>
      <c r="E4882">
        <v>33671</v>
      </c>
      <c r="F4882">
        <v>32863</v>
      </c>
      <c r="G4882">
        <v>31891</v>
      </c>
    </row>
    <row r="4883" spans="1:7">
      <c r="A4883" t="s">
        <v>1876</v>
      </c>
      <c r="B4883" t="s">
        <v>362</v>
      </c>
      <c r="C4883" t="s">
        <v>164</v>
      </c>
      <c r="D4883">
        <v>1177</v>
      </c>
      <c r="E4883">
        <v>1226</v>
      </c>
      <c r="F4883">
        <v>1117</v>
      </c>
      <c r="G4883">
        <v>1049</v>
      </c>
    </row>
    <row r="4884" spans="1:7">
      <c r="A4884" t="s">
        <v>1876</v>
      </c>
      <c r="B4884" t="s">
        <v>362</v>
      </c>
      <c r="C4884" t="s">
        <v>165</v>
      </c>
      <c r="D4884">
        <v>222446</v>
      </c>
      <c r="E4884">
        <v>222395</v>
      </c>
      <c r="F4884">
        <v>212309</v>
      </c>
      <c r="G4884">
        <v>207856</v>
      </c>
    </row>
    <row r="4885" spans="1:7">
      <c r="A4885" t="s">
        <v>1876</v>
      </c>
      <c r="B4885" t="s">
        <v>362</v>
      </c>
      <c r="C4885" t="s">
        <v>166</v>
      </c>
      <c r="D4885">
        <v>220836</v>
      </c>
      <c r="E4885">
        <v>221050</v>
      </c>
      <c r="F4885">
        <v>211132</v>
      </c>
      <c r="G4885">
        <v>206762</v>
      </c>
    </row>
    <row r="4886" spans="1:7">
      <c r="A4886" t="s">
        <v>1876</v>
      </c>
      <c r="B4886" t="s">
        <v>362</v>
      </c>
      <c r="C4886" t="s">
        <v>167</v>
      </c>
      <c r="D4886">
        <v>1610</v>
      </c>
      <c r="E4886">
        <v>1345</v>
      </c>
      <c r="F4886">
        <v>1178</v>
      </c>
      <c r="G4886">
        <v>1093</v>
      </c>
    </row>
    <row r="4887" spans="1:7">
      <c r="A4887" t="s">
        <v>1876</v>
      </c>
      <c r="B4887" t="s">
        <v>362</v>
      </c>
      <c r="C4887" t="s">
        <v>1908</v>
      </c>
      <c r="D4887">
        <v>180415</v>
      </c>
      <c r="E4887">
        <v>180300</v>
      </c>
      <c r="F4887">
        <v>171363</v>
      </c>
      <c r="G4887">
        <v>168238</v>
      </c>
    </row>
    <row r="4888" spans="1:7">
      <c r="A4888" t="s">
        <v>1876</v>
      </c>
      <c r="B4888" t="s">
        <v>362</v>
      </c>
      <c r="C4888" t="s">
        <v>1909</v>
      </c>
      <c r="D4888">
        <v>4029</v>
      </c>
      <c r="E4888">
        <v>4145</v>
      </c>
      <c r="F4888">
        <v>3777</v>
      </c>
      <c r="G4888">
        <v>3626</v>
      </c>
    </row>
    <row r="4889" spans="1:7">
      <c r="A4889" t="s">
        <v>1876</v>
      </c>
      <c r="B4889" t="s">
        <v>362</v>
      </c>
      <c r="C4889" t="s">
        <v>1910</v>
      </c>
      <c r="D4889">
        <v>1610</v>
      </c>
      <c r="E4889">
        <v>1345</v>
      </c>
      <c r="F4889">
        <v>1178</v>
      </c>
      <c r="G4889">
        <v>1093</v>
      </c>
    </row>
    <row r="4890" spans="1:7">
      <c r="A4890" t="s">
        <v>1876</v>
      </c>
      <c r="B4890" t="s">
        <v>362</v>
      </c>
      <c r="C4890" t="s">
        <v>1911</v>
      </c>
      <c r="D4890">
        <v>33308</v>
      </c>
      <c r="E4890">
        <v>33671</v>
      </c>
      <c r="F4890">
        <v>32863</v>
      </c>
      <c r="G4890">
        <v>31891</v>
      </c>
    </row>
    <row r="4891" spans="1:7">
      <c r="A4891" t="s">
        <v>1876</v>
      </c>
      <c r="B4891" t="s">
        <v>362</v>
      </c>
      <c r="C4891" t="s">
        <v>1912</v>
      </c>
      <c r="D4891">
        <v>1177</v>
      </c>
      <c r="E4891">
        <v>1226</v>
      </c>
      <c r="F4891">
        <v>1117</v>
      </c>
      <c r="G4891">
        <v>1049</v>
      </c>
    </row>
    <row r="4892" spans="1:7">
      <c r="A4892" t="s">
        <v>1876</v>
      </c>
      <c r="B4892" t="s">
        <v>362</v>
      </c>
      <c r="C4892" t="s">
        <v>168</v>
      </c>
      <c r="D4892">
        <v>220539</v>
      </c>
      <c r="E4892">
        <v>220687</v>
      </c>
      <c r="F4892">
        <v>210297</v>
      </c>
      <c r="G4892">
        <v>205896</v>
      </c>
    </row>
    <row r="4893" spans="1:7">
      <c r="A4893" t="s">
        <v>1876</v>
      </c>
      <c r="B4893" t="s">
        <v>362</v>
      </c>
      <c r="C4893" t="s">
        <v>169</v>
      </c>
      <c r="D4893">
        <v>0</v>
      </c>
      <c r="E4893">
        <v>0</v>
      </c>
      <c r="F4893">
        <v>0</v>
      </c>
      <c r="G4893">
        <v>0</v>
      </c>
    </row>
    <row r="4894" spans="1:7">
      <c r="A4894" t="s">
        <v>1876</v>
      </c>
      <c r="B4894" t="s">
        <v>362</v>
      </c>
      <c r="C4894" t="s">
        <v>1704</v>
      </c>
      <c r="D4894">
        <v>26842</v>
      </c>
      <c r="E4894">
        <v>26903</v>
      </c>
      <c r="F4894">
        <v>26578</v>
      </c>
      <c r="G4894">
        <v>27837</v>
      </c>
    </row>
    <row r="4895" spans="1:7">
      <c r="A4895" t="s">
        <v>1876</v>
      </c>
      <c r="B4895" t="s">
        <v>362</v>
      </c>
      <c r="C4895" t="s">
        <v>170</v>
      </c>
      <c r="D4895">
        <v>0</v>
      </c>
      <c r="E4895">
        <v>0</v>
      </c>
      <c r="F4895">
        <v>0</v>
      </c>
      <c r="G4895">
        <v>0</v>
      </c>
    </row>
    <row r="4896" spans="1:7">
      <c r="A4896" t="s">
        <v>1876</v>
      </c>
      <c r="B4896" t="s">
        <v>362</v>
      </c>
      <c r="C4896" t="s">
        <v>171</v>
      </c>
      <c r="D4896">
        <v>157072</v>
      </c>
      <c r="E4896">
        <v>119706</v>
      </c>
      <c r="F4896">
        <v>151961</v>
      </c>
      <c r="G4896">
        <v>125599</v>
      </c>
    </row>
    <row r="4897" spans="1:7">
      <c r="A4897" t="s">
        <v>1876</v>
      </c>
      <c r="B4897" t="s">
        <v>362</v>
      </c>
      <c r="C4897" t="s">
        <v>172</v>
      </c>
      <c r="D4897">
        <v>0</v>
      </c>
      <c r="E4897">
        <v>0</v>
      </c>
      <c r="F4897">
        <v>0</v>
      </c>
      <c r="G4897">
        <v>0</v>
      </c>
    </row>
    <row r="4898" spans="1:7">
      <c r="A4898" t="s">
        <v>1876</v>
      </c>
      <c r="B4898" t="s">
        <v>362</v>
      </c>
      <c r="C4898" t="s">
        <v>1913</v>
      </c>
      <c r="D4898">
        <v>17.399999999999999</v>
      </c>
      <c r="E4898">
        <v>24.2</v>
      </c>
      <c r="F4898">
        <v>36.299999999999997</v>
      </c>
      <c r="G4898">
        <v>48.2</v>
      </c>
    </row>
    <row r="4899" spans="1:7">
      <c r="A4899" t="s">
        <v>1876</v>
      </c>
      <c r="B4899" t="s">
        <v>362</v>
      </c>
      <c r="C4899" t="s">
        <v>1914</v>
      </c>
      <c r="D4899">
        <v>0.3</v>
      </c>
      <c r="E4899">
        <v>0.4</v>
      </c>
      <c r="F4899">
        <v>0.6</v>
      </c>
      <c r="G4899">
        <v>0.8</v>
      </c>
    </row>
    <row r="4900" spans="1:7">
      <c r="A4900" t="s">
        <v>1876</v>
      </c>
      <c r="B4900" t="s">
        <v>362</v>
      </c>
      <c r="C4900" t="s">
        <v>173</v>
      </c>
      <c r="D4900">
        <v>24682</v>
      </c>
      <c r="E4900">
        <v>24260</v>
      </c>
      <c r="F4900">
        <v>24643</v>
      </c>
      <c r="G4900">
        <v>24075</v>
      </c>
    </row>
    <row r="4901" spans="1:7">
      <c r="A4901" t="s">
        <v>1876</v>
      </c>
      <c r="B4901" t="s">
        <v>362</v>
      </c>
      <c r="C4901" t="s">
        <v>174</v>
      </c>
      <c r="D4901">
        <v>525</v>
      </c>
      <c r="E4901">
        <v>608</v>
      </c>
      <c r="F4901">
        <v>546</v>
      </c>
      <c r="G4901">
        <v>455</v>
      </c>
    </row>
    <row r="4902" spans="1:7">
      <c r="A4902" t="s">
        <v>1876</v>
      </c>
      <c r="B4902" t="s">
        <v>362</v>
      </c>
      <c r="C4902" t="s">
        <v>175</v>
      </c>
      <c r="D4902">
        <v>375</v>
      </c>
      <c r="E4902">
        <v>387</v>
      </c>
      <c r="F4902">
        <v>387</v>
      </c>
      <c r="G4902">
        <v>541</v>
      </c>
    </row>
    <row r="4903" spans="1:7">
      <c r="A4903" t="s">
        <v>1876</v>
      </c>
      <c r="B4903" t="s">
        <v>362</v>
      </c>
      <c r="C4903" t="s">
        <v>176</v>
      </c>
      <c r="D4903">
        <v>60540</v>
      </c>
      <c r="E4903">
        <v>63465</v>
      </c>
      <c r="F4903">
        <v>65916</v>
      </c>
      <c r="G4903">
        <v>71132</v>
      </c>
    </row>
    <row r="4904" spans="1:7">
      <c r="A4904" t="s">
        <v>1876</v>
      </c>
      <c r="B4904" t="s">
        <v>362</v>
      </c>
      <c r="C4904" t="s">
        <v>177</v>
      </c>
      <c r="D4904">
        <v>25582</v>
      </c>
      <c r="E4904">
        <v>25255</v>
      </c>
      <c r="F4904">
        <v>25576</v>
      </c>
      <c r="G4904">
        <v>25071</v>
      </c>
    </row>
    <row r="4905" spans="1:7">
      <c r="A4905" t="s">
        <v>1876</v>
      </c>
      <c r="B4905" t="s">
        <v>362</v>
      </c>
      <c r="C4905" t="s">
        <v>178</v>
      </c>
      <c r="D4905">
        <v>0</v>
      </c>
      <c r="E4905">
        <v>0</v>
      </c>
      <c r="F4905">
        <v>0</v>
      </c>
      <c r="G4905">
        <v>0</v>
      </c>
    </row>
    <row r="4906" spans="1:7">
      <c r="A4906" t="s">
        <v>1876</v>
      </c>
      <c r="B4906" t="s">
        <v>362</v>
      </c>
      <c r="C4906" t="s">
        <v>179</v>
      </c>
      <c r="D4906">
        <v>0</v>
      </c>
      <c r="E4906">
        <v>0</v>
      </c>
      <c r="F4906">
        <v>0</v>
      </c>
      <c r="G4906">
        <v>0</v>
      </c>
    </row>
    <row r="4907" spans="1:7">
      <c r="A4907" t="s">
        <v>1876</v>
      </c>
      <c r="B4907" t="s">
        <v>362</v>
      </c>
      <c r="C4907" t="s">
        <v>180</v>
      </c>
      <c r="D4907">
        <v>60</v>
      </c>
      <c r="E4907">
        <v>43</v>
      </c>
      <c r="F4907">
        <v>37</v>
      </c>
      <c r="G4907">
        <v>61</v>
      </c>
    </row>
    <row r="4908" spans="1:7">
      <c r="A4908" t="s">
        <v>1876</v>
      </c>
      <c r="B4908" t="s">
        <v>362</v>
      </c>
      <c r="C4908" t="s">
        <v>181</v>
      </c>
      <c r="D4908">
        <v>78206</v>
      </c>
      <c r="E4908">
        <v>80161</v>
      </c>
      <c r="F4908">
        <v>78532</v>
      </c>
      <c r="G4908">
        <v>80741</v>
      </c>
    </row>
    <row r="4909" spans="1:7">
      <c r="A4909" t="s">
        <v>1876</v>
      </c>
      <c r="B4909" t="s">
        <v>362</v>
      </c>
      <c r="C4909" t="s">
        <v>182</v>
      </c>
      <c r="D4909">
        <v>147840</v>
      </c>
      <c r="E4909">
        <v>144940</v>
      </c>
      <c r="F4909">
        <v>140672</v>
      </c>
      <c r="G4909">
        <v>144973</v>
      </c>
    </row>
    <row r="4910" spans="1:7">
      <c r="A4910" t="s">
        <v>1876</v>
      </c>
      <c r="B4910" t="s">
        <v>362</v>
      </c>
      <c r="C4910" t="s">
        <v>183</v>
      </c>
      <c r="D4910">
        <v>114206</v>
      </c>
      <c r="E4910">
        <v>116208</v>
      </c>
      <c r="F4910">
        <v>108294</v>
      </c>
      <c r="G4910">
        <v>112762</v>
      </c>
    </row>
    <row r="4911" spans="1:7">
      <c r="A4911" t="s">
        <v>1876</v>
      </c>
      <c r="B4911" t="s">
        <v>362</v>
      </c>
      <c r="C4911" t="s">
        <v>184</v>
      </c>
      <c r="D4911">
        <v>340313</v>
      </c>
      <c r="E4911">
        <v>341351</v>
      </c>
      <c r="F4911">
        <v>327536</v>
      </c>
      <c r="G4911">
        <v>338537</v>
      </c>
    </row>
    <row r="4912" spans="1:7">
      <c r="A4912" t="s">
        <v>1876</v>
      </c>
      <c r="B4912" t="s">
        <v>362</v>
      </c>
      <c r="C4912" t="s">
        <v>185</v>
      </c>
      <c r="D4912">
        <v>340313</v>
      </c>
      <c r="E4912">
        <v>341351</v>
      </c>
      <c r="F4912">
        <v>327536</v>
      </c>
      <c r="G4912">
        <v>338537</v>
      </c>
    </row>
    <row r="4913" spans="1:7">
      <c r="A4913" t="s">
        <v>1876</v>
      </c>
      <c r="B4913" t="s">
        <v>362</v>
      </c>
      <c r="C4913" t="s">
        <v>1915</v>
      </c>
      <c r="D4913">
        <v>29</v>
      </c>
      <c r="E4913">
        <v>46</v>
      </c>
      <c r="F4913">
        <v>107</v>
      </c>
      <c r="G4913">
        <v>148</v>
      </c>
    </row>
    <row r="4914" spans="1:7">
      <c r="A4914" t="s">
        <v>1876</v>
      </c>
      <c r="B4914" t="s">
        <v>362</v>
      </c>
      <c r="C4914" t="s">
        <v>1916</v>
      </c>
      <c r="D4914">
        <v>0</v>
      </c>
      <c r="E4914">
        <v>0</v>
      </c>
      <c r="F4914">
        <v>0</v>
      </c>
      <c r="G4914">
        <v>0</v>
      </c>
    </row>
    <row r="4915" spans="1:7">
      <c r="A4915" t="s">
        <v>1876</v>
      </c>
      <c r="B4915" t="s">
        <v>362</v>
      </c>
      <c r="C4915" t="s">
        <v>1917</v>
      </c>
      <c r="D4915">
        <v>8</v>
      </c>
      <c r="E4915">
        <v>8</v>
      </c>
      <c r="F4915">
        <v>8</v>
      </c>
      <c r="G4915">
        <v>8</v>
      </c>
    </row>
    <row r="4916" spans="1:7">
      <c r="A4916" t="s">
        <v>1876</v>
      </c>
      <c r="B4916" t="s">
        <v>362</v>
      </c>
      <c r="C4916" t="s">
        <v>1918</v>
      </c>
      <c r="D4916">
        <v>740</v>
      </c>
      <c r="E4916">
        <v>885</v>
      </c>
      <c r="F4916">
        <v>1151</v>
      </c>
      <c r="G4916">
        <v>1231</v>
      </c>
    </row>
    <row r="4917" spans="1:7">
      <c r="A4917" t="s">
        <v>1876</v>
      </c>
      <c r="B4917" t="s">
        <v>362</v>
      </c>
      <c r="C4917" t="s">
        <v>1919</v>
      </c>
      <c r="D4917">
        <v>2.5099999999999998</v>
      </c>
      <c r="E4917">
        <v>2.35</v>
      </c>
      <c r="F4917">
        <v>2.38</v>
      </c>
      <c r="G4917">
        <v>2.25</v>
      </c>
    </row>
    <row r="4918" spans="1:7">
      <c r="A4918" t="s">
        <v>1876</v>
      </c>
      <c r="B4918" t="s">
        <v>362</v>
      </c>
      <c r="C4918" t="s">
        <v>1920</v>
      </c>
      <c r="D4918">
        <v>1036</v>
      </c>
      <c r="E4918">
        <v>1243</v>
      </c>
      <c r="F4918">
        <v>1706</v>
      </c>
      <c r="G4918">
        <v>2021</v>
      </c>
    </row>
    <row r="4919" spans="1:7">
      <c r="A4919" t="s">
        <v>1876</v>
      </c>
      <c r="B4919" t="s">
        <v>362</v>
      </c>
      <c r="C4919" t="s">
        <v>1921</v>
      </c>
      <c r="D4919">
        <v>336</v>
      </c>
      <c r="E4919">
        <v>430</v>
      </c>
      <c r="F4919">
        <v>576</v>
      </c>
      <c r="G4919">
        <v>707</v>
      </c>
    </row>
    <row r="4920" spans="1:7">
      <c r="A4920" t="s">
        <v>1876</v>
      </c>
      <c r="B4920" t="s">
        <v>362</v>
      </c>
      <c r="C4920" t="s">
        <v>1922</v>
      </c>
      <c r="D4920">
        <v>288</v>
      </c>
      <c r="E4920">
        <v>350</v>
      </c>
      <c r="F4920">
        <v>547</v>
      </c>
      <c r="G4920">
        <v>782</v>
      </c>
    </row>
    <row r="4921" spans="1:7">
      <c r="A4921" t="s">
        <v>1876</v>
      </c>
      <c r="B4921" t="s">
        <v>362</v>
      </c>
      <c r="C4921" t="s">
        <v>1923</v>
      </c>
      <c r="D4921">
        <v>5.14</v>
      </c>
      <c r="E4921">
        <v>5.07</v>
      </c>
      <c r="F4921">
        <v>4.72</v>
      </c>
      <c r="G4921">
        <v>4.07</v>
      </c>
    </row>
    <row r="4922" spans="1:7">
      <c r="A4922" t="s">
        <v>1876</v>
      </c>
      <c r="B4922" t="s">
        <v>362</v>
      </c>
      <c r="C4922" t="s">
        <v>1924</v>
      </c>
      <c r="D4922">
        <v>28</v>
      </c>
      <c r="E4922">
        <v>3</v>
      </c>
      <c r="F4922">
        <v>15</v>
      </c>
      <c r="G4922">
        <v>2</v>
      </c>
    </row>
    <row r="4923" spans="1:7">
      <c r="A4923" t="s">
        <v>1876</v>
      </c>
      <c r="B4923" t="s">
        <v>362</v>
      </c>
      <c r="C4923" t="s">
        <v>1925</v>
      </c>
      <c r="D4923">
        <v>101</v>
      </c>
      <c r="E4923">
        <v>106</v>
      </c>
      <c r="F4923">
        <v>106</v>
      </c>
      <c r="G4923">
        <v>101</v>
      </c>
    </row>
    <row r="4924" spans="1:7">
      <c r="A4924" t="s">
        <v>1876</v>
      </c>
      <c r="B4924" t="s">
        <v>362</v>
      </c>
      <c r="C4924" t="s">
        <v>1926</v>
      </c>
      <c r="D4924">
        <v>207</v>
      </c>
      <c r="E4924">
        <v>321</v>
      </c>
      <c r="F4924">
        <v>455</v>
      </c>
      <c r="G4924">
        <v>604</v>
      </c>
    </row>
    <row r="4925" spans="1:7">
      <c r="A4925" t="s">
        <v>1876</v>
      </c>
      <c r="B4925" t="s">
        <v>362</v>
      </c>
      <c r="C4925" t="s">
        <v>1927</v>
      </c>
      <c r="D4925">
        <v>26</v>
      </c>
      <c r="E4925">
        <v>26</v>
      </c>
      <c r="F4925">
        <v>22</v>
      </c>
      <c r="G4925">
        <v>20</v>
      </c>
    </row>
    <row r="4926" spans="1:7">
      <c r="A4926" t="s">
        <v>1876</v>
      </c>
      <c r="B4926" t="s">
        <v>362</v>
      </c>
      <c r="C4926" t="s">
        <v>1928</v>
      </c>
      <c r="D4926">
        <v>289</v>
      </c>
      <c r="E4926">
        <v>375</v>
      </c>
      <c r="F4926">
        <v>517</v>
      </c>
      <c r="G4926">
        <v>644</v>
      </c>
    </row>
    <row r="4927" spans="1:7">
      <c r="A4927" t="s">
        <v>1876</v>
      </c>
      <c r="B4927" t="s">
        <v>362</v>
      </c>
      <c r="C4927" t="s">
        <v>1929</v>
      </c>
      <c r="D4927">
        <v>21</v>
      </c>
      <c r="E4927">
        <v>29</v>
      </c>
      <c r="F4927">
        <v>37</v>
      </c>
      <c r="G4927">
        <v>43</v>
      </c>
    </row>
    <row r="4928" spans="1:7">
      <c r="A4928" t="s">
        <v>1876</v>
      </c>
      <c r="B4928" t="s">
        <v>362</v>
      </c>
      <c r="C4928" t="s">
        <v>186</v>
      </c>
      <c r="D4928">
        <v>0</v>
      </c>
      <c r="E4928">
        <v>0</v>
      </c>
      <c r="F4928">
        <v>0</v>
      </c>
      <c r="G4928">
        <v>0</v>
      </c>
    </row>
    <row r="4929" spans="1:7">
      <c r="A4929" t="s">
        <v>1876</v>
      </c>
      <c r="B4929" t="s">
        <v>362</v>
      </c>
      <c r="C4929" t="s">
        <v>187</v>
      </c>
      <c r="D4929">
        <v>0</v>
      </c>
      <c r="E4929">
        <v>0</v>
      </c>
      <c r="F4929">
        <v>0</v>
      </c>
      <c r="G4929">
        <v>0</v>
      </c>
    </row>
    <row r="4930" spans="1:7">
      <c r="A4930" t="s">
        <v>1876</v>
      </c>
      <c r="B4930" t="s">
        <v>362</v>
      </c>
      <c r="C4930" t="s">
        <v>1705</v>
      </c>
      <c r="D4930">
        <v>22517</v>
      </c>
      <c r="E4930">
        <v>22553</v>
      </c>
      <c r="F4930">
        <v>21605</v>
      </c>
      <c r="G4930">
        <v>21418</v>
      </c>
    </row>
    <row r="4931" spans="1:7">
      <c r="A4931" t="s">
        <v>1876</v>
      </c>
      <c r="B4931" t="s">
        <v>362</v>
      </c>
      <c r="C4931" t="s">
        <v>188</v>
      </c>
      <c r="D4931">
        <v>2335351</v>
      </c>
      <c r="E4931">
        <v>2331691</v>
      </c>
      <c r="F4931">
        <v>2226548</v>
      </c>
      <c r="G4931">
        <v>2226357</v>
      </c>
    </row>
    <row r="4932" spans="1:7">
      <c r="A4932" t="s">
        <v>1876</v>
      </c>
      <c r="B4932" t="s">
        <v>362</v>
      </c>
      <c r="C4932" t="s">
        <v>189</v>
      </c>
      <c r="D4932">
        <v>0</v>
      </c>
      <c r="E4932">
        <v>0</v>
      </c>
      <c r="F4932">
        <v>0</v>
      </c>
      <c r="G4932">
        <v>0</v>
      </c>
    </row>
    <row r="4933" spans="1:7">
      <c r="A4933" t="s">
        <v>1876</v>
      </c>
      <c r="B4933" t="s">
        <v>362</v>
      </c>
      <c r="C4933" t="s">
        <v>190</v>
      </c>
      <c r="D4933">
        <v>0</v>
      </c>
      <c r="E4933">
        <v>0</v>
      </c>
      <c r="F4933">
        <v>0</v>
      </c>
      <c r="G4933">
        <v>0</v>
      </c>
    </row>
    <row r="4934" spans="1:7">
      <c r="A4934" t="s">
        <v>1876</v>
      </c>
      <c r="B4934" t="s">
        <v>362</v>
      </c>
      <c r="C4934" t="s">
        <v>191</v>
      </c>
      <c r="D4934">
        <v>0</v>
      </c>
      <c r="E4934">
        <v>0</v>
      </c>
      <c r="F4934">
        <v>0</v>
      </c>
      <c r="G4934">
        <v>0</v>
      </c>
    </row>
    <row r="4935" spans="1:7">
      <c r="A4935" t="s">
        <v>1876</v>
      </c>
      <c r="B4935" t="s">
        <v>362</v>
      </c>
      <c r="C4935" t="s">
        <v>192</v>
      </c>
      <c r="D4935">
        <v>425270.9</v>
      </c>
      <c r="E4935">
        <v>467679.6</v>
      </c>
      <c r="F4935">
        <v>496849.5</v>
      </c>
      <c r="G4935">
        <v>519516.5</v>
      </c>
    </row>
    <row r="4936" spans="1:7">
      <c r="A4936" t="s">
        <v>1876</v>
      </c>
      <c r="B4936" t="s">
        <v>362</v>
      </c>
      <c r="C4936" t="s">
        <v>193</v>
      </c>
      <c r="D4936">
        <v>386872.8</v>
      </c>
      <c r="E4936">
        <v>393481.5</v>
      </c>
      <c r="F4936">
        <v>400369.5</v>
      </c>
      <c r="G4936">
        <v>412003.4</v>
      </c>
    </row>
    <row r="4937" spans="1:7">
      <c r="A4937" t="s">
        <v>1876</v>
      </c>
      <c r="B4937" t="s">
        <v>362</v>
      </c>
      <c r="C4937" t="s">
        <v>1930</v>
      </c>
      <c r="D4937">
        <v>0</v>
      </c>
      <c r="E4937">
        <v>0</v>
      </c>
      <c r="F4937">
        <v>0</v>
      </c>
      <c r="G4937">
        <v>0</v>
      </c>
    </row>
    <row r="4938" spans="1:7">
      <c r="A4938" t="s">
        <v>1876</v>
      </c>
      <c r="B4938" t="s">
        <v>362</v>
      </c>
      <c r="C4938" t="s">
        <v>194</v>
      </c>
      <c r="D4938">
        <v>816</v>
      </c>
      <c r="E4938">
        <v>816</v>
      </c>
      <c r="F4938">
        <v>816</v>
      </c>
      <c r="G4938">
        <v>816</v>
      </c>
    </row>
    <row r="4939" spans="1:7">
      <c r="A4939" t="s">
        <v>1876</v>
      </c>
      <c r="B4939" t="s">
        <v>362</v>
      </c>
      <c r="C4939" t="s">
        <v>195</v>
      </c>
      <c r="D4939">
        <v>0</v>
      </c>
      <c r="E4939">
        <v>0</v>
      </c>
      <c r="F4939">
        <v>0</v>
      </c>
      <c r="G4939">
        <v>0</v>
      </c>
    </row>
    <row r="4940" spans="1:7">
      <c r="A4940" t="s">
        <v>1876</v>
      </c>
      <c r="B4940" t="s">
        <v>362</v>
      </c>
      <c r="C4940" t="s">
        <v>1706</v>
      </c>
      <c r="D4940">
        <v>0</v>
      </c>
      <c r="E4940">
        <v>0</v>
      </c>
      <c r="F4940">
        <v>0</v>
      </c>
      <c r="G4940">
        <v>0</v>
      </c>
    </row>
    <row r="4941" spans="1:7">
      <c r="A4941" t="s">
        <v>1876</v>
      </c>
      <c r="B4941" t="s">
        <v>362</v>
      </c>
      <c r="C4941" t="s">
        <v>196</v>
      </c>
      <c r="D4941">
        <v>0</v>
      </c>
      <c r="E4941">
        <v>0</v>
      </c>
      <c r="F4941">
        <v>0</v>
      </c>
      <c r="G4941">
        <v>0</v>
      </c>
    </row>
    <row r="4942" spans="1:7">
      <c r="A4942" t="s">
        <v>1876</v>
      </c>
      <c r="B4942" t="s">
        <v>362</v>
      </c>
      <c r="C4942" t="s">
        <v>197</v>
      </c>
      <c r="D4942">
        <v>3831</v>
      </c>
      <c r="E4942">
        <v>3831</v>
      </c>
      <c r="F4942">
        <v>3831</v>
      </c>
      <c r="G4942">
        <v>3831</v>
      </c>
    </row>
    <row r="4943" spans="1:7">
      <c r="A4943" t="s">
        <v>1876</v>
      </c>
      <c r="B4943" t="s">
        <v>362</v>
      </c>
      <c r="C4943" t="s">
        <v>198</v>
      </c>
      <c r="D4943">
        <v>4647</v>
      </c>
      <c r="E4943">
        <v>4647</v>
      </c>
      <c r="F4943">
        <v>4647</v>
      </c>
      <c r="G4943">
        <v>4647</v>
      </c>
    </row>
    <row r="4944" spans="1:7">
      <c r="A4944" t="s">
        <v>1876</v>
      </c>
      <c r="B4944" t="s">
        <v>362</v>
      </c>
      <c r="C4944" t="s">
        <v>199</v>
      </c>
      <c r="D4944">
        <v>4647</v>
      </c>
      <c r="E4944">
        <v>4647</v>
      </c>
      <c r="F4944">
        <v>4647</v>
      </c>
      <c r="G4944">
        <v>4647</v>
      </c>
    </row>
    <row r="4945" spans="1:7">
      <c r="A4945" t="s">
        <v>1876</v>
      </c>
      <c r="B4945" t="s">
        <v>362</v>
      </c>
      <c r="C4945" t="s">
        <v>200</v>
      </c>
      <c r="D4945">
        <v>125</v>
      </c>
      <c r="E4945">
        <v>321</v>
      </c>
      <c r="F4945">
        <v>340</v>
      </c>
      <c r="G4945">
        <v>334</v>
      </c>
    </row>
    <row r="4946" spans="1:7">
      <c r="A4946" t="s">
        <v>1876</v>
      </c>
      <c r="B4946" t="s">
        <v>362</v>
      </c>
      <c r="C4946" t="s">
        <v>201</v>
      </c>
      <c r="D4946">
        <v>3821</v>
      </c>
      <c r="E4946">
        <v>3984</v>
      </c>
      <c r="F4946">
        <v>2697</v>
      </c>
      <c r="G4946">
        <v>2478</v>
      </c>
    </row>
    <row r="4947" spans="1:7">
      <c r="A4947" t="s">
        <v>1876</v>
      </c>
      <c r="B4947" t="s">
        <v>362</v>
      </c>
      <c r="C4947" t="s">
        <v>202</v>
      </c>
      <c r="D4947">
        <v>5078</v>
      </c>
      <c r="E4947">
        <v>6071</v>
      </c>
      <c r="F4947">
        <v>6235</v>
      </c>
      <c r="G4947">
        <v>7108</v>
      </c>
    </row>
    <row r="4948" spans="1:7">
      <c r="A4948" t="s">
        <v>1876</v>
      </c>
      <c r="B4948" t="s">
        <v>362</v>
      </c>
      <c r="C4948" t="s">
        <v>203</v>
      </c>
      <c r="D4948">
        <v>12162</v>
      </c>
      <c r="E4948">
        <v>12029</v>
      </c>
      <c r="F4948">
        <v>12293</v>
      </c>
      <c r="G4948">
        <v>12830</v>
      </c>
    </row>
    <row r="4949" spans="1:7">
      <c r="A4949" t="s">
        <v>1876</v>
      </c>
      <c r="B4949" t="s">
        <v>362</v>
      </c>
      <c r="C4949" t="s">
        <v>204</v>
      </c>
      <c r="D4949">
        <v>21186</v>
      </c>
      <c r="E4949">
        <v>22406</v>
      </c>
      <c r="F4949">
        <v>21565</v>
      </c>
      <c r="G4949">
        <v>22749</v>
      </c>
    </row>
    <row r="4950" spans="1:7">
      <c r="A4950" t="s">
        <v>1876</v>
      </c>
      <c r="B4950" t="s">
        <v>362</v>
      </c>
      <c r="C4950" t="s">
        <v>205</v>
      </c>
      <c r="D4950">
        <v>21186</v>
      </c>
      <c r="E4950">
        <v>22406</v>
      </c>
      <c r="F4950">
        <v>21565</v>
      </c>
      <c r="G4950">
        <v>22749</v>
      </c>
    </row>
    <row r="4951" spans="1:7">
      <c r="A4951" t="s">
        <v>1876</v>
      </c>
      <c r="B4951" t="s">
        <v>362</v>
      </c>
      <c r="C4951" t="s">
        <v>1931</v>
      </c>
      <c r="D4951">
        <v>0</v>
      </c>
      <c r="E4951">
        <v>0</v>
      </c>
      <c r="F4951">
        <v>0</v>
      </c>
      <c r="G4951">
        <v>0</v>
      </c>
    </row>
    <row r="4952" spans="1:7">
      <c r="A4952" t="s">
        <v>1876</v>
      </c>
      <c r="B4952" t="s">
        <v>362</v>
      </c>
      <c r="C4952" t="s">
        <v>1707</v>
      </c>
      <c r="D4952">
        <v>0</v>
      </c>
      <c r="E4952">
        <v>0</v>
      </c>
      <c r="F4952">
        <v>0</v>
      </c>
      <c r="G4952">
        <v>0</v>
      </c>
    </row>
    <row r="4953" spans="1:7">
      <c r="A4953" t="s">
        <v>1876</v>
      </c>
      <c r="B4953" t="s">
        <v>362</v>
      </c>
      <c r="C4953" t="s">
        <v>1932</v>
      </c>
      <c r="D4953">
        <v>64.8</v>
      </c>
      <c r="E4953">
        <v>59.9</v>
      </c>
      <c r="F4953">
        <v>73.900000000000006</v>
      </c>
      <c r="G4953">
        <v>59.7</v>
      </c>
    </row>
    <row r="4954" spans="1:7">
      <c r="A4954" t="s">
        <v>1876</v>
      </c>
      <c r="B4954" t="s">
        <v>362</v>
      </c>
      <c r="C4954" t="s">
        <v>1708</v>
      </c>
      <c r="D4954">
        <v>69</v>
      </c>
      <c r="E4954">
        <v>72</v>
      </c>
      <c r="F4954">
        <v>72</v>
      </c>
      <c r="G4954">
        <v>72</v>
      </c>
    </row>
    <row r="4955" spans="1:7">
      <c r="A4955" t="s">
        <v>1876</v>
      </c>
      <c r="B4955" t="s">
        <v>362</v>
      </c>
      <c r="C4955" t="s">
        <v>206</v>
      </c>
      <c r="D4955">
        <v>0</v>
      </c>
      <c r="E4955">
        <v>12</v>
      </c>
      <c r="F4955">
        <v>19</v>
      </c>
      <c r="G4955">
        <v>23</v>
      </c>
    </row>
    <row r="4956" spans="1:7">
      <c r="A4956" t="s">
        <v>1876</v>
      </c>
      <c r="B4956" t="s">
        <v>362</v>
      </c>
      <c r="C4956" t="s">
        <v>207</v>
      </c>
      <c r="D4956">
        <v>1321</v>
      </c>
      <c r="E4956">
        <v>1253</v>
      </c>
      <c r="F4956">
        <v>1563</v>
      </c>
      <c r="G4956">
        <v>1257</v>
      </c>
    </row>
    <row r="4957" spans="1:7">
      <c r="A4957" t="s">
        <v>1876</v>
      </c>
      <c r="B4957" t="s">
        <v>362</v>
      </c>
      <c r="C4957" t="s">
        <v>208</v>
      </c>
      <c r="D4957">
        <v>0</v>
      </c>
      <c r="E4957">
        <v>0</v>
      </c>
      <c r="F4957">
        <v>0</v>
      </c>
      <c r="G4957">
        <v>0</v>
      </c>
    </row>
    <row r="4958" spans="1:7">
      <c r="A4958" t="s">
        <v>1876</v>
      </c>
      <c r="B4958" t="s">
        <v>362</v>
      </c>
      <c r="C4958" t="s">
        <v>209</v>
      </c>
      <c r="D4958">
        <v>1321</v>
      </c>
      <c r="E4958">
        <v>1265</v>
      </c>
      <c r="F4958">
        <v>1582</v>
      </c>
      <c r="G4958">
        <v>1280</v>
      </c>
    </row>
    <row r="4959" spans="1:7">
      <c r="A4959" t="s">
        <v>1876</v>
      </c>
      <c r="B4959" t="s">
        <v>362</v>
      </c>
      <c r="C4959" t="s">
        <v>210</v>
      </c>
      <c r="D4959">
        <v>0</v>
      </c>
      <c r="E4959">
        <v>12</v>
      </c>
      <c r="F4959">
        <v>19</v>
      </c>
      <c r="G4959">
        <v>23</v>
      </c>
    </row>
    <row r="4960" spans="1:7">
      <c r="A4960" t="s">
        <v>1876</v>
      </c>
      <c r="B4960" t="s">
        <v>362</v>
      </c>
      <c r="C4960" t="s">
        <v>211</v>
      </c>
      <c r="D4960">
        <v>0</v>
      </c>
      <c r="E4960">
        <v>0</v>
      </c>
      <c r="F4960">
        <v>0</v>
      </c>
      <c r="G4960">
        <v>0</v>
      </c>
    </row>
    <row r="4961" spans="1:7">
      <c r="A4961" t="s">
        <v>1876</v>
      </c>
      <c r="B4961" t="s">
        <v>362</v>
      </c>
      <c r="C4961" t="s">
        <v>212</v>
      </c>
      <c r="D4961">
        <v>0</v>
      </c>
      <c r="E4961">
        <v>0</v>
      </c>
      <c r="F4961">
        <v>0</v>
      </c>
      <c r="G4961">
        <v>0</v>
      </c>
    </row>
    <row r="4962" spans="1:7">
      <c r="A4962" t="s">
        <v>1876</v>
      </c>
      <c r="B4962" t="s">
        <v>362</v>
      </c>
      <c r="C4962" t="s">
        <v>213</v>
      </c>
      <c r="D4962">
        <v>0</v>
      </c>
      <c r="E4962">
        <v>0</v>
      </c>
      <c r="F4962">
        <v>0</v>
      </c>
      <c r="G4962">
        <v>0</v>
      </c>
    </row>
    <row r="4963" spans="1:7">
      <c r="A4963" t="s">
        <v>1876</v>
      </c>
      <c r="B4963" t="s">
        <v>362</v>
      </c>
      <c r="C4963" t="s">
        <v>214</v>
      </c>
      <c r="D4963">
        <v>0</v>
      </c>
      <c r="E4963">
        <v>0</v>
      </c>
      <c r="F4963">
        <v>0</v>
      </c>
      <c r="G4963">
        <v>0</v>
      </c>
    </row>
    <row r="4964" spans="1:7">
      <c r="A4964" t="s">
        <v>1876</v>
      </c>
      <c r="B4964" t="s">
        <v>362</v>
      </c>
      <c r="C4964" t="s">
        <v>215</v>
      </c>
      <c r="D4964">
        <v>25015</v>
      </c>
      <c r="E4964">
        <v>22390</v>
      </c>
      <c r="F4964">
        <v>22618</v>
      </c>
      <c r="G4964">
        <v>21776</v>
      </c>
    </row>
    <row r="4965" spans="1:7">
      <c r="A4965" t="s">
        <v>1876</v>
      </c>
      <c r="B4965" t="s">
        <v>362</v>
      </c>
      <c r="C4965" t="s">
        <v>216</v>
      </c>
      <c r="D4965">
        <v>25015</v>
      </c>
      <c r="E4965">
        <v>22390</v>
      </c>
      <c r="F4965">
        <v>22618</v>
      </c>
      <c r="G4965">
        <v>21776</v>
      </c>
    </row>
    <row r="4966" spans="1:7">
      <c r="A4966" t="s">
        <v>1876</v>
      </c>
      <c r="B4966" t="s">
        <v>362</v>
      </c>
      <c r="C4966" t="s">
        <v>217</v>
      </c>
      <c r="D4966">
        <v>25015</v>
      </c>
      <c r="E4966">
        <v>22390</v>
      </c>
      <c r="F4966">
        <v>22618</v>
      </c>
      <c r="G4966">
        <v>21776</v>
      </c>
    </row>
    <row r="4967" spans="1:7">
      <c r="A4967" t="s">
        <v>1876</v>
      </c>
      <c r="B4967" t="s">
        <v>362</v>
      </c>
      <c r="C4967" t="s">
        <v>218</v>
      </c>
      <c r="D4967">
        <v>54</v>
      </c>
      <c r="E4967">
        <v>50</v>
      </c>
      <c r="F4967">
        <v>84</v>
      </c>
      <c r="G4967">
        <v>63</v>
      </c>
    </row>
    <row r="4968" spans="1:7">
      <c r="A4968" t="s">
        <v>1876</v>
      </c>
      <c r="B4968" t="s">
        <v>362</v>
      </c>
      <c r="C4968" t="s">
        <v>219</v>
      </c>
      <c r="D4968">
        <v>34</v>
      </c>
      <c r="E4968">
        <v>25</v>
      </c>
      <c r="F4968">
        <v>101</v>
      </c>
      <c r="G4968">
        <v>55</v>
      </c>
    </row>
    <row r="4969" spans="1:7">
      <c r="A4969" t="s">
        <v>1876</v>
      </c>
      <c r="B4969" t="s">
        <v>362</v>
      </c>
      <c r="C4969" t="s">
        <v>220</v>
      </c>
      <c r="D4969">
        <v>142</v>
      </c>
      <c r="E4969">
        <v>132</v>
      </c>
      <c r="F4969">
        <v>220</v>
      </c>
      <c r="G4969">
        <v>164</v>
      </c>
    </row>
    <row r="4970" spans="1:7">
      <c r="A4970" t="s">
        <v>1876</v>
      </c>
      <c r="B4970" t="s">
        <v>362</v>
      </c>
      <c r="C4970" t="s">
        <v>221</v>
      </c>
      <c r="D4970">
        <v>231</v>
      </c>
      <c r="E4970">
        <v>207</v>
      </c>
      <c r="F4970">
        <v>405</v>
      </c>
      <c r="G4970">
        <v>282</v>
      </c>
    </row>
    <row r="4971" spans="1:7">
      <c r="A4971" t="s">
        <v>1876</v>
      </c>
      <c r="B4971" t="s">
        <v>362</v>
      </c>
      <c r="C4971" t="s">
        <v>222</v>
      </c>
      <c r="D4971">
        <v>231</v>
      </c>
      <c r="E4971">
        <v>207</v>
      </c>
      <c r="F4971">
        <v>405</v>
      </c>
      <c r="G4971">
        <v>282</v>
      </c>
    </row>
    <row r="4972" spans="1:7">
      <c r="A4972" t="s">
        <v>1876</v>
      </c>
      <c r="B4972" t="s">
        <v>362</v>
      </c>
      <c r="C4972" t="s">
        <v>1933</v>
      </c>
      <c r="D4972">
        <v>5696</v>
      </c>
      <c r="E4972">
        <v>5657.4</v>
      </c>
      <c r="F4972">
        <v>5691.3</v>
      </c>
      <c r="G4972">
        <v>5730.5</v>
      </c>
    </row>
    <row r="4973" spans="1:7">
      <c r="A4973" t="s">
        <v>1876</v>
      </c>
      <c r="B4973" t="s">
        <v>362</v>
      </c>
      <c r="C4973" t="s">
        <v>223</v>
      </c>
      <c r="D4973">
        <v>118</v>
      </c>
      <c r="E4973">
        <v>81</v>
      </c>
      <c r="F4973">
        <v>69</v>
      </c>
      <c r="G4973">
        <v>106</v>
      </c>
    </row>
    <row r="4974" spans="1:7">
      <c r="A4974" t="s">
        <v>1876</v>
      </c>
      <c r="B4974" t="s">
        <v>362</v>
      </c>
      <c r="C4974" t="s">
        <v>224</v>
      </c>
      <c r="D4974">
        <v>153063</v>
      </c>
      <c r="E4974">
        <v>151730</v>
      </c>
      <c r="F4974">
        <v>145263</v>
      </c>
      <c r="G4974">
        <v>140797</v>
      </c>
    </row>
    <row r="4975" spans="1:7">
      <c r="A4975" t="s">
        <v>1876</v>
      </c>
      <c r="B4975" t="s">
        <v>362</v>
      </c>
      <c r="C4975" t="s">
        <v>225</v>
      </c>
      <c r="D4975">
        <v>289349</v>
      </c>
      <c r="E4975">
        <v>274346</v>
      </c>
      <c r="F4975">
        <v>260206</v>
      </c>
      <c r="G4975">
        <v>252804</v>
      </c>
    </row>
    <row r="4976" spans="1:7">
      <c r="A4976" t="s">
        <v>1876</v>
      </c>
      <c r="B4976" t="s">
        <v>362</v>
      </c>
      <c r="C4976" t="s">
        <v>226</v>
      </c>
      <c r="D4976">
        <v>223522</v>
      </c>
      <c r="E4976">
        <v>219960</v>
      </c>
      <c r="F4976">
        <v>200315</v>
      </c>
      <c r="G4976">
        <v>196634</v>
      </c>
    </row>
    <row r="4977" spans="1:7">
      <c r="A4977" t="s">
        <v>1876</v>
      </c>
      <c r="B4977" t="s">
        <v>362</v>
      </c>
      <c r="C4977" t="s">
        <v>227</v>
      </c>
      <c r="D4977">
        <v>666053</v>
      </c>
      <c r="E4977">
        <v>646117</v>
      </c>
      <c r="F4977">
        <v>605854</v>
      </c>
      <c r="G4977">
        <v>590341</v>
      </c>
    </row>
    <row r="4978" spans="1:7">
      <c r="A4978" t="s">
        <v>1876</v>
      </c>
      <c r="B4978" t="s">
        <v>362</v>
      </c>
      <c r="C4978" t="s">
        <v>228</v>
      </c>
      <c r="D4978">
        <v>666053</v>
      </c>
      <c r="E4978">
        <v>646117</v>
      </c>
      <c r="F4978">
        <v>605854</v>
      </c>
      <c r="G4978">
        <v>590341</v>
      </c>
    </row>
    <row r="4979" spans="1:7">
      <c r="A4979" t="s">
        <v>1876</v>
      </c>
      <c r="B4979" t="s">
        <v>362</v>
      </c>
      <c r="C4979" t="s">
        <v>229</v>
      </c>
      <c r="D4979">
        <v>3075</v>
      </c>
      <c r="E4979">
        <v>3223</v>
      </c>
      <c r="F4979">
        <v>2296</v>
      </c>
      <c r="G4979">
        <v>2209</v>
      </c>
    </row>
    <row r="4980" spans="1:7">
      <c r="A4980" t="s">
        <v>1876</v>
      </c>
      <c r="B4980" t="s">
        <v>362</v>
      </c>
      <c r="C4980" t="s">
        <v>230</v>
      </c>
      <c r="D4980">
        <v>3930</v>
      </c>
      <c r="E4980">
        <v>4123</v>
      </c>
      <c r="F4980">
        <v>3128</v>
      </c>
      <c r="G4980">
        <v>2946</v>
      </c>
    </row>
    <row r="4981" spans="1:7">
      <c r="A4981" t="s">
        <v>1876</v>
      </c>
      <c r="B4981" t="s">
        <v>362</v>
      </c>
      <c r="C4981" t="s">
        <v>231</v>
      </c>
      <c r="D4981">
        <v>7006</v>
      </c>
      <c r="E4981">
        <v>7345</v>
      </c>
      <c r="F4981">
        <v>5424</v>
      </c>
      <c r="G4981">
        <v>5155</v>
      </c>
    </row>
    <row r="4982" spans="1:7">
      <c r="A4982" t="s">
        <v>1876</v>
      </c>
      <c r="B4982" t="s">
        <v>362</v>
      </c>
      <c r="C4982" t="s">
        <v>232</v>
      </c>
      <c r="D4982">
        <v>7006</v>
      </c>
      <c r="E4982">
        <v>7345</v>
      </c>
      <c r="F4982">
        <v>5424</v>
      </c>
      <c r="G4982">
        <v>5155</v>
      </c>
    </row>
    <row r="4983" spans="1:7">
      <c r="A4983" t="s">
        <v>1876</v>
      </c>
      <c r="B4983" t="s">
        <v>362</v>
      </c>
      <c r="C4983" t="s">
        <v>233</v>
      </c>
      <c r="D4983">
        <v>0</v>
      </c>
      <c r="E4983">
        <v>0</v>
      </c>
      <c r="F4983">
        <v>0</v>
      </c>
      <c r="G4983">
        <v>0</v>
      </c>
    </row>
    <row r="4984" spans="1:7">
      <c r="A4984" t="s">
        <v>1876</v>
      </c>
      <c r="B4984" t="s">
        <v>362</v>
      </c>
      <c r="C4984" t="s">
        <v>234</v>
      </c>
      <c r="D4984">
        <v>353220</v>
      </c>
      <c r="E4984">
        <v>345681</v>
      </c>
      <c r="F4984">
        <v>347359</v>
      </c>
      <c r="G4984">
        <v>344991</v>
      </c>
    </row>
    <row r="4985" spans="1:7">
      <c r="A4985" t="s">
        <v>1876</v>
      </c>
      <c r="B4985" t="s">
        <v>362</v>
      </c>
      <c r="C4985" t="s">
        <v>235</v>
      </c>
      <c r="D4985">
        <v>7513</v>
      </c>
      <c r="E4985">
        <v>8660</v>
      </c>
      <c r="F4985">
        <v>7695</v>
      </c>
      <c r="G4985">
        <v>6523</v>
      </c>
    </row>
    <row r="4986" spans="1:7">
      <c r="A4986" t="s">
        <v>1876</v>
      </c>
      <c r="B4986" t="s">
        <v>362</v>
      </c>
      <c r="C4986" t="s">
        <v>236</v>
      </c>
      <c r="D4986">
        <v>5373</v>
      </c>
      <c r="E4986">
        <v>5516</v>
      </c>
      <c r="F4986">
        <v>5450</v>
      </c>
      <c r="G4986">
        <v>7754</v>
      </c>
    </row>
    <row r="4987" spans="1:7">
      <c r="A4987" t="s">
        <v>1876</v>
      </c>
      <c r="B4987" t="s">
        <v>362</v>
      </c>
      <c r="C4987" t="s">
        <v>237</v>
      </c>
      <c r="D4987">
        <v>366105</v>
      </c>
      <c r="E4987">
        <v>359858</v>
      </c>
      <c r="F4987">
        <v>360504</v>
      </c>
      <c r="G4987">
        <v>359269</v>
      </c>
    </row>
    <row r="4988" spans="1:7">
      <c r="A4988" t="s">
        <v>1876</v>
      </c>
      <c r="B4988" t="s">
        <v>362</v>
      </c>
      <c r="C4988" t="s">
        <v>238</v>
      </c>
      <c r="D4988">
        <v>366105</v>
      </c>
      <c r="E4988">
        <v>359858</v>
      </c>
      <c r="F4988">
        <v>360504</v>
      </c>
      <c r="G4988">
        <v>359269</v>
      </c>
    </row>
    <row r="4989" spans="1:7">
      <c r="A4989" t="s">
        <v>1876</v>
      </c>
      <c r="B4989" t="s">
        <v>362</v>
      </c>
      <c r="C4989" t="s">
        <v>1934</v>
      </c>
      <c r="D4989">
        <v>328538</v>
      </c>
      <c r="E4989">
        <v>321421</v>
      </c>
      <c r="F4989">
        <v>322716</v>
      </c>
      <c r="G4989">
        <v>320917</v>
      </c>
    </row>
    <row r="4990" spans="1:7">
      <c r="A4990" t="s">
        <v>1876</v>
      </c>
      <c r="B4990" t="s">
        <v>362</v>
      </c>
      <c r="C4990" t="s">
        <v>1935</v>
      </c>
      <c r="D4990">
        <v>6988</v>
      </c>
      <c r="E4990">
        <v>8053</v>
      </c>
      <c r="F4990">
        <v>7149</v>
      </c>
      <c r="G4990">
        <v>6068</v>
      </c>
    </row>
    <row r="4991" spans="1:7">
      <c r="A4991" t="s">
        <v>1876</v>
      </c>
      <c r="B4991" t="s">
        <v>362</v>
      </c>
      <c r="C4991" t="s">
        <v>1936</v>
      </c>
      <c r="D4991">
        <v>4997</v>
      </c>
      <c r="E4991">
        <v>5129</v>
      </c>
      <c r="F4991">
        <v>5063</v>
      </c>
      <c r="G4991">
        <v>7213</v>
      </c>
    </row>
    <row r="4992" spans="1:7">
      <c r="A4992" t="s">
        <v>1876</v>
      </c>
      <c r="B4992" t="s">
        <v>362</v>
      </c>
      <c r="C4992" t="s">
        <v>239</v>
      </c>
      <c r="D4992">
        <v>340523</v>
      </c>
      <c r="E4992">
        <v>334603</v>
      </c>
      <c r="F4992">
        <v>334929</v>
      </c>
      <c r="G4992">
        <v>334198</v>
      </c>
    </row>
    <row r="4993" spans="1:7">
      <c r="A4993" t="s">
        <v>1876</v>
      </c>
      <c r="B4993" t="s">
        <v>362</v>
      </c>
      <c r="C4993" t="s">
        <v>240</v>
      </c>
      <c r="D4993">
        <v>1069</v>
      </c>
      <c r="E4993">
        <v>1078</v>
      </c>
      <c r="F4993">
        <v>1036</v>
      </c>
      <c r="G4993">
        <v>1014</v>
      </c>
    </row>
    <row r="4994" spans="1:7">
      <c r="A4994" t="s">
        <v>1876</v>
      </c>
      <c r="B4994" t="s">
        <v>362</v>
      </c>
      <c r="C4994" t="s">
        <v>241</v>
      </c>
      <c r="D4994">
        <v>0</v>
      </c>
      <c r="E4994">
        <v>0</v>
      </c>
      <c r="F4994">
        <v>0</v>
      </c>
      <c r="G4994">
        <v>0</v>
      </c>
    </row>
    <row r="4995" spans="1:7">
      <c r="A4995" t="s">
        <v>1876</v>
      </c>
      <c r="B4995" t="s">
        <v>362</v>
      </c>
      <c r="C4995" t="s">
        <v>242</v>
      </c>
      <c r="D4995">
        <v>12606</v>
      </c>
      <c r="E4995">
        <v>11692</v>
      </c>
      <c r="F4995">
        <v>12268</v>
      </c>
      <c r="G4995">
        <v>12874</v>
      </c>
    </row>
    <row r="4996" spans="1:7">
      <c r="A4996" t="s">
        <v>1876</v>
      </c>
      <c r="B4996" t="s">
        <v>362</v>
      </c>
      <c r="C4996" t="s">
        <v>243</v>
      </c>
      <c r="D4996">
        <v>93203</v>
      </c>
      <c r="E4996">
        <v>100656</v>
      </c>
      <c r="F4996">
        <v>89224</v>
      </c>
      <c r="G4996">
        <v>88619</v>
      </c>
    </row>
    <row r="4997" spans="1:7">
      <c r="A4997" t="s">
        <v>1876</v>
      </c>
      <c r="B4997" t="s">
        <v>362</v>
      </c>
      <c r="C4997" t="s">
        <v>244</v>
      </c>
      <c r="D4997">
        <v>216759</v>
      </c>
      <c r="E4997">
        <v>244743</v>
      </c>
      <c r="F4997">
        <v>276119</v>
      </c>
      <c r="G4997">
        <v>303880</v>
      </c>
    </row>
    <row r="4998" spans="1:7">
      <c r="A4998" t="s">
        <v>1876</v>
      </c>
      <c r="B4998" t="s">
        <v>362</v>
      </c>
      <c r="C4998" t="s">
        <v>1709</v>
      </c>
      <c r="D4998">
        <v>7966</v>
      </c>
      <c r="E4998">
        <v>8070</v>
      </c>
      <c r="F4998">
        <v>8117</v>
      </c>
      <c r="G4998">
        <v>8228</v>
      </c>
    </row>
    <row r="4999" spans="1:7">
      <c r="A4999" t="s">
        <v>1876</v>
      </c>
      <c r="B4999" t="s">
        <v>362</v>
      </c>
      <c r="C4999" t="s">
        <v>245</v>
      </c>
      <c r="D4999">
        <v>411761</v>
      </c>
      <c r="E4999">
        <v>408712</v>
      </c>
      <c r="F4999">
        <v>417757</v>
      </c>
      <c r="G4999">
        <v>418654</v>
      </c>
    </row>
    <row r="5000" spans="1:7">
      <c r="A5000" t="s">
        <v>1876</v>
      </c>
      <c r="B5000" t="s">
        <v>362</v>
      </c>
      <c r="C5000" t="s">
        <v>246</v>
      </c>
      <c r="D5000">
        <v>138280</v>
      </c>
      <c r="E5000">
        <v>150827</v>
      </c>
      <c r="F5000">
        <v>129630</v>
      </c>
      <c r="G5000">
        <v>140946</v>
      </c>
    </row>
    <row r="5001" spans="1:7">
      <c r="A5001" t="s">
        <v>1876</v>
      </c>
      <c r="B5001" t="s">
        <v>362</v>
      </c>
      <c r="C5001" t="s">
        <v>247</v>
      </c>
      <c r="D5001">
        <v>872610</v>
      </c>
      <c r="E5001">
        <v>916631</v>
      </c>
      <c r="F5001">
        <v>924997</v>
      </c>
      <c r="G5001">
        <v>964974</v>
      </c>
    </row>
    <row r="5002" spans="1:7">
      <c r="A5002" t="s">
        <v>1876</v>
      </c>
      <c r="B5002" t="s">
        <v>362</v>
      </c>
      <c r="C5002" t="s">
        <v>248</v>
      </c>
      <c r="D5002">
        <v>128.1</v>
      </c>
      <c r="E5002">
        <v>134</v>
      </c>
      <c r="F5002">
        <v>134.4</v>
      </c>
      <c r="G5002">
        <v>139.19999999999999</v>
      </c>
    </row>
    <row r="5003" spans="1:7">
      <c r="A5003" t="s">
        <v>1876</v>
      </c>
      <c r="B5003" t="s">
        <v>362</v>
      </c>
      <c r="C5003" t="s">
        <v>249</v>
      </c>
      <c r="D5003">
        <v>655849</v>
      </c>
      <c r="E5003">
        <v>671886</v>
      </c>
      <c r="F5003">
        <v>648878</v>
      </c>
      <c r="G5003">
        <v>661094</v>
      </c>
    </row>
    <row r="5004" spans="1:7">
      <c r="A5004" t="s">
        <v>1876</v>
      </c>
      <c r="B5004" t="s">
        <v>362</v>
      </c>
      <c r="C5004" t="s">
        <v>250</v>
      </c>
      <c r="D5004">
        <v>869328</v>
      </c>
      <c r="E5004">
        <v>913401</v>
      </c>
      <c r="F5004">
        <v>921778</v>
      </c>
      <c r="G5004">
        <v>961122</v>
      </c>
    </row>
    <row r="5005" spans="1:7">
      <c r="A5005" t="s">
        <v>1876</v>
      </c>
      <c r="B5005" t="s">
        <v>362</v>
      </c>
      <c r="C5005" t="s">
        <v>1937</v>
      </c>
      <c r="D5005">
        <v>9.9</v>
      </c>
      <c r="E5005">
        <v>10.8</v>
      </c>
      <c r="F5005">
        <v>11.7</v>
      </c>
      <c r="G5005">
        <v>18.2</v>
      </c>
    </row>
    <row r="5006" spans="1:7">
      <c r="A5006" t="s">
        <v>1876</v>
      </c>
      <c r="B5006" t="s">
        <v>362</v>
      </c>
      <c r="C5006" t="s">
        <v>1938</v>
      </c>
      <c r="D5006">
        <v>0</v>
      </c>
      <c r="E5006">
        <v>0</v>
      </c>
      <c r="F5006">
        <v>0</v>
      </c>
      <c r="G5006">
        <v>0</v>
      </c>
    </row>
    <row r="5007" spans="1:7">
      <c r="A5007" t="s">
        <v>1876</v>
      </c>
      <c r="B5007" t="s">
        <v>362</v>
      </c>
      <c r="C5007" t="s">
        <v>251</v>
      </c>
      <c r="D5007">
        <v>0</v>
      </c>
      <c r="E5007">
        <v>0</v>
      </c>
      <c r="F5007">
        <v>0</v>
      </c>
      <c r="G5007">
        <v>0</v>
      </c>
    </row>
    <row r="5008" spans="1:7">
      <c r="A5008" t="s">
        <v>1876</v>
      </c>
      <c r="B5008" t="s">
        <v>362</v>
      </c>
      <c r="C5008" t="s">
        <v>252</v>
      </c>
      <c r="D5008">
        <v>0</v>
      </c>
      <c r="E5008">
        <v>0</v>
      </c>
      <c r="F5008">
        <v>0</v>
      </c>
      <c r="G5008">
        <v>0</v>
      </c>
    </row>
    <row r="5009" spans="1:7">
      <c r="A5009" t="s">
        <v>1876</v>
      </c>
      <c r="B5009" t="s">
        <v>362</v>
      </c>
      <c r="C5009" t="s">
        <v>1710</v>
      </c>
      <c r="D5009">
        <v>0</v>
      </c>
      <c r="E5009">
        <v>0</v>
      </c>
      <c r="F5009">
        <v>0</v>
      </c>
      <c r="G5009">
        <v>0</v>
      </c>
    </row>
    <row r="5010" spans="1:7">
      <c r="A5010" t="s">
        <v>1876</v>
      </c>
      <c r="B5010" t="s">
        <v>362</v>
      </c>
      <c r="C5010" t="s">
        <v>1939</v>
      </c>
      <c r="D5010">
        <v>24.9</v>
      </c>
      <c r="E5010">
        <v>23.3</v>
      </c>
      <c r="F5010">
        <v>45.5</v>
      </c>
      <c r="G5010">
        <v>55.7</v>
      </c>
    </row>
    <row r="5011" spans="1:7">
      <c r="A5011" t="s">
        <v>1876</v>
      </c>
      <c r="B5011" t="s">
        <v>362</v>
      </c>
      <c r="C5011" t="s">
        <v>253</v>
      </c>
      <c r="D5011">
        <v>0</v>
      </c>
      <c r="E5011">
        <v>0</v>
      </c>
      <c r="F5011">
        <v>0</v>
      </c>
      <c r="G5011">
        <v>0</v>
      </c>
    </row>
    <row r="5012" spans="1:7">
      <c r="A5012" t="s">
        <v>1876</v>
      </c>
      <c r="B5012" t="s">
        <v>362</v>
      </c>
      <c r="C5012" t="s">
        <v>1711</v>
      </c>
      <c r="D5012">
        <v>619</v>
      </c>
      <c r="E5012">
        <v>545</v>
      </c>
      <c r="F5012">
        <v>545</v>
      </c>
      <c r="G5012">
        <v>384</v>
      </c>
    </row>
    <row r="5013" spans="1:7">
      <c r="A5013" t="s">
        <v>1876</v>
      </c>
      <c r="B5013" t="s">
        <v>362</v>
      </c>
      <c r="C5013" t="s">
        <v>1712</v>
      </c>
      <c r="D5013">
        <v>44118</v>
      </c>
      <c r="E5013">
        <v>43827</v>
      </c>
      <c r="F5013">
        <v>42994</v>
      </c>
      <c r="G5013">
        <v>35641</v>
      </c>
    </row>
    <row r="5014" spans="1:7">
      <c r="A5014" t="s">
        <v>1876</v>
      </c>
      <c r="B5014" t="s">
        <v>362</v>
      </c>
      <c r="C5014" t="s">
        <v>1713</v>
      </c>
      <c r="D5014">
        <v>2574</v>
      </c>
      <c r="E5014">
        <v>2421</v>
      </c>
      <c r="F5014">
        <v>3415</v>
      </c>
      <c r="G5014">
        <v>3626</v>
      </c>
    </row>
    <row r="5015" spans="1:7">
      <c r="A5015" t="s">
        <v>1876</v>
      </c>
      <c r="B5015" t="s">
        <v>362</v>
      </c>
      <c r="C5015" t="s">
        <v>1940</v>
      </c>
      <c r="D5015">
        <v>0</v>
      </c>
      <c r="E5015">
        <v>0</v>
      </c>
      <c r="F5015">
        <v>0</v>
      </c>
      <c r="G5015">
        <v>0</v>
      </c>
    </row>
    <row r="5016" spans="1:7">
      <c r="A5016" t="s">
        <v>1876</v>
      </c>
      <c r="B5016" t="s">
        <v>362</v>
      </c>
      <c r="C5016" t="s">
        <v>1941</v>
      </c>
      <c r="D5016">
        <v>0</v>
      </c>
      <c r="E5016">
        <v>0</v>
      </c>
      <c r="F5016">
        <v>0</v>
      </c>
      <c r="G5016">
        <v>0</v>
      </c>
    </row>
    <row r="5017" spans="1:7">
      <c r="A5017" t="s">
        <v>1876</v>
      </c>
      <c r="B5017" t="s">
        <v>362</v>
      </c>
      <c r="C5017" t="s">
        <v>254</v>
      </c>
      <c r="D5017">
        <v>44118</v>
      </c>
      <c r="E5017">
        <v>43827</v>
      </c>
      <c r="F5017">
        <v>42994</v>
      </c>
      <c r="G5017">
        <v>35641</v>
      </c>
    </row>
    <row r="5018" spans="1:7">
      <c r="A5018" t="s">
        <v>1876</v>
      </c>
      <c r="B5018" t="s">
        <v>362</v>
      </c>
      <c r="C5018" t="s">
        <v>1942</v>
      </c>
      <c r="D5018">
        <v>0</v>
      </c>
      <c r="E5018">
        <v>0</v>
      </c>
      <c r="F5018">
        <v>0</v>
      </c>
      <c r="G5018">
        <v>0</v>
      </c>
    </row>
    <row r="5019" spans="1:7">
      <c r="A5019" t="s">
        <v>1876</v>
      </c>
      <c r="B5019" t="s">
        <v>362</v>
      </c>
      <c r="C5019" t="s">
        <v>255</v>
      </c>
      <c r="D5019">
        <v>46692</v>
      </c>
      <c r="E5019">
        <v>46248</v>
      </c>
      <c r="F5019">
        <v>46409</v>
      </c>
      <c r="G5019">
        <v>39267</v>
      </c>
    </row>
    <row r="5020" spans="1:7">
      <c r="A5020" t="s">
        <v>1876</v>
      </c>
      <c r="B5020" t="s">
        <v>362</v>
      </c>
      <c r="C5020" t="s">
        <v>256</v>
      </c>
      <c r="D5020">
        <v>46692</v>
      </c>
      <c r="E5020">
        <v>46248</v>
      </c>
      <c r="F5020">
        <v>46409</v>
      </c>
      <c r="G5020">
        <v>39267</v>
      </c>
    </row>
    <row r="5021" spans="1:7">
      <c r="A5021" t="s">
        <v>1876</v>
      </c>
      <c r="B5021" t="s">
        <v>362</v>
      </c>
      <c r="C5021" t="s">
        <v>1714</v>
      </c>
      <c r="D5021">
        <v>88</v>
      </c>
      <c r="E5021">
        <v>88</v>
      </c>
      <c r="F5021">
        <v>88</v>
      </c>
      <c r="G5021">
        <v>88</v>
      </c>
    </row>
    <row r="5022" spans="1:7">
      <c r="A5022" t="s">
        <v>1876</v>
      </c>
      <c r="B5022" t="s">
        <v>362</v>
      </c>
      <c r="C5022" t="s">
        <v>257</v>
      </c>
      <c r="D5022">
        <v>99297</v>
      </c>
      <c r="E5022">
        <v>92858</v>
      </c>
      <c r="F5022">
        <v>96942</v>
      </c>
      <c r="G5022">
        <v>79256</v>
      </c>
    </row>
    <row r="5023" spans="1:7">
      <c r="A5023" t="s">
        <v>1876</v>
      </c>
      <c r="B5023" t="s">
        <v>362</v>
      </c>
      <c r="C5023" t="s">
        <v>258</v>
      </c>
      <c r="D5023">
        <v>105498</v>
      </c>
      <c r="E5023">
        <v>99051</v>
      </c>
      <c r="F5023">
        <v>103305</v>
      </c>
      <c r="G5023">
        <v>85693</v>
      </c>
    </row>
    <row r="5024" spans="1:7">
      <c r="A5024" t="s">
        <v>1876</v>
      </c>
      <c r="B5024" t="s">
        <v>362</v>
      </c>
      <c r="C5024" t="s">
        <v>259</v>
      </c>
      <c r="D5024">
        <v>105498</v>
      </c>
      <c r="E5024">
        <v>99051</v>
      </c>
      <c r="F5024">
        <v>103305</v>
      </c>
      <c r="G5024">
        <v>85693</v>
      </c>
    </row>
    <row r="5025" spans="1:7">
      <c r="A5025" t="s">
        <v>1876</v>
      </c>
      <c r="B5025" t="s">
        <v>362</v>
      </c>
      <c r="C5025" t="s">
        <v>260</v>
      </c>
      <c r="D5025">
        <v>568349</v>
      </c>
      <c r="E5025">
        <v>558115</v>
      </c>
      <c r="F5025">
        <v>551166</v>
      </c>
      <c r="G5025">
        <v>545039</v>
      </c>
    </row>
    <row r="5026" spans="1:7">
      <c r="A5026" t="s">
        <v>1876</v>
      </c>
      <c r="B5026" t="s">
        <v>362</v>
      </c>
      <c r="C5026" t="s">
        <v>1943</v>
      </c>
      <c r="D5026">
        <v>4.7</v>
      </c>
      <c r="E5026">
        <v>4.5</v>
      </c>
      <c r="F5026">
        <v>4.9000000000000004</v>
      </c>
      <c r="G5026">
        <v>7.2</v>
      </c>
    </row>
    <row r="5027" spans="1:7">
      <c r="A5027" t="s">
        <v>1876</v>
      </c>
      <c r="B5027" t="s">
        <v>362</v>
      </c>
      <c r="C5027" t="s">
        <v>261</v>
      </c>
      <c r="D5027">
        <v>15437</v>
      </c>
      <c r="E5027">
        <v>16861</v>
      </c>
      <c r="F5027">
        <v>14270</v>
      </c>
      <c r="G5027">
        <v>12708</v>
      </c>
    </row>
    <row r="5028" spans="1:7">
      <c r="A5028" t="s">
        <v>1876</v>
      </c>
      <c r="B5028" t="s">
        <v>362</v>
      </c>
      <c r="C5028" t="s">
        <v>262</v>
      </c>
      <c r="D5028">
        <v>1610</v>
      </c>
      <c r="E5028">
        <v>1345</v>
      </c>
      <c r="F5028">
        <v>1178</v>
      </c>
      <c r="G5028">
        <v>1093</v>
      </c>
    </row>
    <row r="5029" spans="1:7">
      <c r="A5029" t="s">
        <v>1876</v>
      </c>
      <c r="B5029" t="s">
        <v>362</v>
      </c>
      <c r="C5029" t="s">
        <v>1715</v>
      </c>
      <c r="D5029">
        <v>96</v>
      </c>
      <c r="E5029">
        <v>96</v>
      </c>
      <c r="F5029">
        <v>96</v>
      </c>
      <c r="G5029">
        <v>85</v>
      </c>
    </row>
    <row r="5030" spans="1:7">
      <c r="A5030" t="s">
        <v>1876</v>
      </c>
      <c r="B5030" t="s">
        <v>362</v>
      </c>
      <c r="C5030" t="s">
        <v>263</v>
      </c>
      <c r="D5030">
        <v>143652</v>
      </c>
      <c r="E5030">
        <v>138728</v>
      </c>
      <c r="F5030">
        <v>141998</v>
      </c>
      <c r="G5030">
        <v>126558</v>
      </c>
    </row>
    <row r="5031" spans="1:7">
      <c r="A5031" t="s">
        <v>1876</v>
      </c>
      <c r="B5031" t="s">
        <v>362</v>
      </c>
      <c r="C5031" t="s">
        <v>264</v>
      </c>
      <c r="D5031">
        <v>13481</v>
      </c>
      <c r="E5031">
        <v>13387</v>
      </c>
      <c r="F5031">
        <v>13629</v>
      </c>
      <c r="G5031">
        <v>14043</v>
      </c>
    </row>
    <row r="5032" spans="1:7">
      <c r="A5032" t="s">
        <v>1876</v>
      </c>
      <c r="B5032" t="s">
        <v>362</v>
      </c>
      <c r="C5032" t="s">
        <v>265</v>
      </c>
      <c r="D5032">
        <v>742529</v>
      </c>
      <c r="E5032">
        <v>728435</v>
      </c>
      <c r="F5032">
        <v>722240</v>
      </c>
      <c r="G5032">
        <v>699440</v>
      </c>
    </row>
    <row r="5033" spans="1:7">
      <c r="A5033" t="s">
        <v>1876</v>
      </c>
      <c r="B5033" t="s">
        <v>362</v>
      </c>
      <c r="C5033" t="s">
        <v>266</v>
      </c>
      <c r="D5033">
        <v>109</v>
      </c>
      <c r="E5033">
        <v>106.5</v>
      </c>
      <c r="F5033">
        <v>105</v>
      </c>
      <c r="G5033">
        <v>100.9</v>
      </c>
    </row>
    <row r="5034" spans="1:7">
      <c r="A5034" t="s">
        <v>1876</v>
      </c>
      <c r="B5034" t="s">
        <v>362</v>
      </c>
      <c r="C5034" t="s">
        <v>267</v>
      </c>
      <c r="D5034">
        <v>740920</v>
      </c>
      <c r="E5034">
        <v>727091</v>
      </c>
      <c r="F5034">
        <v>721062</v>
      </c>
      <c r="G5034">
        <v>698347</v>
      </c>
    </row>
    <row r="5035" spans="1:7">
      <c r="A5035" t="s">
        <v>1876</v>
      </c>
      <c r="B5035" t="s">
        <v>362</v>
      </c>
      <c r="C5035" t="s">
        <v>268</v>
      </c>
      <c r="D5035">
        <v>0</v>
      </c>
      <c r="E5035">
        <v>0</v>
      </c>
      <c r="F5035">
        <v>0</v>
      </c>
      <c r="G5035">
        <v>0</v>
      </c>
    </row>
    <row r="5036" spans="1:7">
      <c r="A5036" t="s">
        <v>1876</v>
      </c>
      <c r="B5036" t="s">
        <v>362</v>
      </c>
      <c r="C5036" t="s">
        <v>269</v>
      </c>
      <c r="D5036">
        <v>0</v>
      </c>
      <c r="E5036">
        <v>0</v>
      </c>
      <c r="F5036">
        <v>0</v>
      </c>
      <c r="G5036">
        <v>0</v>
      </c>
    </row>
    <row r="5037" spans="1:7">
      <c r="A5037" t="s">
        <v>1876</v>
      </c>
      <c r="B5037" t="s">
        <v>362</v>
      </c>
      <c r="C5037" t="s">
        <v>270</v>
      </c>
      <c r="D5037">
        <v>22665</v>
      </c>
      <c r="E5037">
        <v>15458</v>
      </c>
      <c r="F5037">
        <v>23130</v>
      </c>
      <c r="G5037">
        <v>14569</v>
      </c>
    </row>
    <row r="5038" spans="1:7">
      <c r="A5038" t="s">
        <v>1876</v>
      </c>
      <c r="B5038" t="s">
        <v>362</v>
      </c>
      <c r="C5038" t="s">
        <v>271</v>
      </c>
      <c r="D5038">
        <v>22665</v>
      </c>
      <c r="E5038">
        <v>15458</v>
      </c>
      <c r="F5038">
        <v>23130</v>
      </c>
      <c r="G5038">
        <v>14569</v>
      </c>
    </row>
    <row r="5039" spans="1:7">
      <c r="A5039" t="s">
        <v>1876</v>
      </c>
      <c r="B5039" t="s">
        <v>362</v>
      </c>
      <c r="C5039" t="s">
        <v>272</v>
      </c>
      <c r="D5039">
        <v>22665</v>
      </c>
      <c r="E5039">
        <v>15458</v>
      </c>
      <c r="F5039">
        <v>23130</v>
      </c>
      <c r="G5039">
        <v>14569</v>
      </c>
    </row>
    <row r="5040" spans="1:7">
      <c r="A5040" t="s">
        <v>1876</v>
      </c>
      <c r="B5040" t="s">
        <v>362</v>
      </c>
      <c r="C5040" t="s">
        <v>1944</v>
      </c>
      <c r="D5040">
        <v>7.3</v>
      </c>
      <c r="E5040">
        <v>9.3000000000000007</v>
      </c>
      <c r="F5040">
        <v>11.4</v>
      </c>
      <c r="G5040">
        <v>14.7</v>
      </c>
    </row>
    <row r="5041" spans="1:7">
      <c r="A5041" t="s">
        <v>1876</v>
      </c>
      <c r="B5041" t="s">
        <v>362</v>
      </c>
      <c r="C5041" t="s">
        <v>1945</v>
      </c>
      <c r="D5041">
        <v>13</v>
      </c>
      <c r="E5041">
        <v>18</v>
      </c>
      <c r="F5041">
        <v>30</v>
      </c>
      <c r="G5041">
        <v>37</v>
      </c>
    </row>
    <row r="5042" spans="1:7">
      <c r="A5042" t="s">
        <v>1876</v>
      </c>
      <c r="B5042" t="s">
        <v>362</v>
      </c>
      <c r="C5042" t="s">
        <v>273</v>
      </c>
      <c r="D5042">
        <v>0</v>
      </c>
      <c r="E5042">
        <v>0</v>
      </c>
      <c r="F5042">
        <v>0</v>
      </c>
      <c r="G5042">
        <v>0</v>
      </c>
    </row>
    <row r="5043" spans="1:7">
      <c r="A5043" t="s">
        <v>1876</v>
      </c>
      <c r="B5043" t="s">
        <v>362</v>
      </c>
      <c r="C5043" t="s">
        <v>1946</v>
      </c>
      <c r="D5043">
        <v>539186</v>
      </c>
      <c r="E5043">
        <v>529725</v>
      </c>
      <c r="F5043">
        <v>521096</v>
      </c>
      <c r="G5043">
        <v>515379</v>
      </c>
    </row>
    <row r="5044" spans="1:7">
      <c r="A5044" t="s">
        <v>1876</v>
      </c>
      <c r="B5044" t="s">
        <v>362</v>
      </c>
      <c r="C5044" t="s">
        <v>1947</v>
      </c>
      <c r="D5044">
        <v>14912</v>
      </c>
      <c r="E5044">
        <v>16253</v>
      </c>
      <c r="F5044">
        <v>13724</v>
      </c>
      <c r="G5044">
        <v>12252</v>
      </c>
    </row>
    <row r="5045" spans="1:7">
      <c r="A5045" t="s">
        <v>1876</v>
      </c>
      <c r="B5045" t="s">
        <v>362</v>
      </c>
      <c r="C5045" t="s">
        <v>1948</v>
      </c>
      <c r="D5045">
        <v>1610</v>
      </c>
      <c r="E5045">
        <v>1345</v>
      </c>
      <c r="F5045">
        <v>1178</v>
      </c>
      <c r="G5045">
        <v>1093</v>
      </c>
    </row>
    <row r="5046" spans="1:7">
      <c r="A5046" t="s">
        <v>1876</v>
      </c>
      <c r="B5046" t="s">
        <v>362</v>
      </c>
      <c r="C5046" t="s">
        <v>1949</v>
      </c>
      <c r="D5046">
        <v>143277</v>
      </c>
      <c r="E5046">
        <v>138341</v>
      </c>
      <c r="F5046">
        <v>141611</v>
      </c>
      <c r="G5046">
        <v>126017</v>
      </c>
    </row>
    <row r="5047" spans="1:7">
      <c r="A5047" t="s">
        <v>1876</v>
      </c>
      <c r="B5047" t="s">
        <v>362</v>
      </c>
      <c r="C5047" t="s">
        <v>1950</v>
      </c>
      <c r="D5047">
        <v>13481</v>
      </c>
      <c r="E5047">
        <v>13387</v>
      </c>
      <c r="F5047">
        <v>13629</v>
      </c>
      <c r="G5047">
        <v>14043</v>
      </c>
    </row>
    <row r="5048" spans="1:7">
      <c r="A5048" t="s">
        <v>1876</v>
      </c>
      <c r="B5048" t="s">
        <v>362</v>
      </c>
      <c r="C5048" t="s">
        <v>274</v>
      </c>
      <c r="D5048">
        <v>712466</v>
      </c>
      <c r="E5048">
        <v>699051</v>
      </c>
      <c r="F5048">
        <v>691237</v>
      </c>
      <c r="G5048">
        <v>668784</v>
      </c>
    </row>
    <row r="5049" spans="1:7">
      <c r="A5049" t="s">
        <v>1876</v>
      </c>
      <c r="B5049" t="s">
        <v>362</v>
      </c>
      <c r="C5049" t="s">
        <v>275</v>
      </c>
      <c r="D5049">
        <v>0</v>
      </c>
      <c r="E5049">
        <v>0</v>
      </c>
      <c r="F5049">
        <v>0</v>
      </c>
      <c r="G5049">
        <v>0</v>
      </c>
    </row>
    <row r="5050" spans="1:7">
      <c r="A5050" t="s">
        <v>1876</v>
      </c>
      <c r="B5050" t="s">
        <v>362</v>
      </c>
      <c r="C5050" t="s">
        <v>276</v>
      </c>
      <c r="D5050">
        <v>0</v>
      </c>
      <c r="E5050">
        <v>0</v>
      </c>
      <c r="F5050">
        <v>0</v>
      </c>
      <c r="G5050">
        <v>0</v>
      </c>
    </row>
    <row r="5051" spans="1:7">
      <c r="A5051" t="s">
        <v>1876</v>
      </c>
      <c r="B5051" t="s">
        <v>362</v>
      </c>
      <c r="C5051" t="s">
        <v>277</v>
      </c>
      <c r="D5051">
        <v>125</v>
      </c>
      <c r="E5051">
        <v>321</v>
      </c>
      <c r="F5051">
        <v>340</v>
      </c>
      <c r="G5051">
        <v>334</v>
      </c>
    </row>
    <row r="5052" spans="1:7">
      <c r="A5052" t="s">
        <v>1876</v>
      </c>
      <c r="B5052" t="s">
        <v>362</v>
      </c>
      <c r="C5052" t="s">
        <v>278</v>
      </c>
      <c r="D5052">
        <v>3821</v>
      </c>
      <c r="E5052">
        <v>3984</v>
      </c>
      <c r="F5052">
        <v>2697</v>
      </c>
      <c r="G5052">
        <v>2478</v>
      </c>
    </row>
    <row r="5053" spans="1:7">
      <c r="A5053" t="s">
        <v>1876</v>
      </c>
      <c r="B5053" t="s">
        <v>362</v>
      </c>
      <c r="C5053" t="s">
        <v>279</v>
      </c>
      <c r="D5053">
        <v>5078</v>
      </c>
      <c r="E5053">
        <v>6071</v>
      </c>
      <c r="F5053">
        <v>6235</v>
      </c>
      <c r="G5053">
        <v>7108</v>
      </c>
    </row>
    <row r="5054" spans="1:7">
      <c r="A5054" t="s">
        <v>1876</v>
      </c>
      <c r="B5054" t="s">
        <v>362</v>
      </c>
      <c r="C5054" t="s">
        <v>280</v>
      </c>
      <c r="D5054">
        <v>12162</v>
      </c>
      <c r="E5054">
        <v>12029</v>
      </c>
      <c r="F5054">
        <v>12293</v>
      </c>
      <c r="G5054">
        <v>12830</v>
      </c>
    </row>
    <row r="5055" spans="1:7">
      <c r="A5055" t="s">
        <v>1876</v>
      </c>
      <c r="B5055" t="s">
        <v>362</v>
      </c>
      <c r="C5055" t="s">
        <v>281</v>
      </c>
      <c r="D5055">
        <v>21186</v>
      </c>
      <c r="E5055">
        <v>22406</v>
      </c>
      <c r="F5055">
        <v>21565</v>
      </c>
      <c r="G5055">
        <v>22749</v>
      </c>
    </row>
    <row r="5056" spans="1:7">
      <c r="A5056" t="s">
        <v>1876</v>
      </c>
      <c r="B5056" t="s">
        <v>362</v>
      </c>
      <c r="C5056" t="s">
        <v>282</v>
      </c>
      <c r="D5056">
        <v>21186</v>
      </c>
      <c r="E5056">
        <v>22406</v>
      </c>
      <c r="F5056">
        <v>21565</v>
      </c>
      <c r="G5056">
        <v>22749</v>
      </c>
    </row>
    <row r="5057" spans="1:7">
      <c r="A5057" t="s">
        <v>1876</v>
      </c>
      <c r="B5057" t="s">
        <v>362</v>
      </c>
      <c r="C5057" t="s">
        <v>283</v>
      </c>
      <c r="D5057">
        <v>0</v>
      </c>
      <c r="E5057">
        <v>0</v>
      </c>
      <c r="F5057">
        <v>0</v>
      </c>
      <c r="G5057">
        <v>0</v>
      </c>
    </row>
    <row r="5058" spans="1:7">
      <c r="A5058" t="s">
        <v>1876</v>
      </c>
      <c r="B5058" t="s">
        <v>362</v>
      </c>
      <c r="C5058" t="s">
        <v>284</v>
      </c>
      <c r="D5058">
        <v>0</v>
      </c>
      <c r="E5058">
        <v>0</v>
      </c>
      <c r="F5058">
        <v>0</v>
      </c>
      <c r="G5058">
        <v>0</v>
      </c>
    </row>
    <row r="5059" spans="1:7">
      <c r="A5059" t="s">
        <v>1876</v>
      </c>
      <c r="B5059" t="s">
        <v>362</v>
      </c>
      <c r="C5059" t="s">
        <v>1716</v>
      </c>
      <c r="D5059">
        <v>29163</v>
      </c>
      <c r="E5059">
        <v>28389</v>
      </c>
      <c r="F5059">
        <v>30070</v>
      </c>
      <c r="G5059">
        <v>29660</v>
      </c>
    </row>
    <row r="5060" spans="1:7">
      <c r="A5060" t="s">
        <v>1876</v>
      </c>
      <c r="B5060" t="s">
        <v>362</v>
      </c>
      <c r="C5060" t="s">
        <v>1717</v>
      </c>
      <c r="D5060">
        <v>6385</v>
      </c>
      <c r="E5060">
        <v>6754</v>
      </c>
      <c r="F5060">
        <v>6842</v>
      </c>
      <c r="G5060">
        <v>6871</v>
      </c>
    </row>
    <row r="5061" spans="1:7">
      <c r="A5061" t="s">
        <v>1876</v>
      </c>
      <c r="B5061" t="s">
        <v>362</v>
      </c>
      <c r="C5061" t="s">
        <v>1718</v>
      </c>
      <c r="D5061">
        <v>34243</v>
      </c>
      <c r="E5061">
        <v>42506</v>
      </c>
      <c r="F5061">
        <v>40581</v>
      </c>
      <c r="G5061">
        <v>48499</v>
      </c>
    </row>
    <row r="5062" spans="1:7">
      <c r="A5062" t="s">
        <v>1876</v>
      </c>
      <c r="B5062" t="s">
        <v>362</v>
      </c>
      <c r="C5062" t="s">
        <v>1719</v>
      </c>
      <c r="D5062">
        <v>4201</v>
      </c>
      <c r="E5062">
        <v>4226</v>
      </c>
      <c r="F5062">
        <v>4849</v>
      </c>
      <c r="G5062">
        <v>6249</v>
      </c>
    </row>
    <row r="5063" spans="1:7">
      <c r="A5063" t="s">
        <v>1876</v>
      </c>
      <c r="B5063" t="s">
        <v>362</v>
      </c>
      <c r="C5063" t="s">
        <v>1720</v>
      </c>
      <c r="D5063">
        <v>75986</v>
      </c>
      <c r="E5063">
        <v>82339</v>
      </c>
      <c r="F5063">
        <v>85489</v>
      </c>
      <c r="G5063">
        <v>91693</v>
      </c>
    </row>
    <row r="5064" spans="1:7">
      <c r="A5064" t="s">
        <v>1876</v>
      </c>
      <c r="B5064" t="s">
        <v>362</v>
      </c>
      <c r="C5064" t="s">
        <v>1721</v>
      </c>
      <c r="D5064">
        <v>11545</v>
      </c>
      <c r="E5064">
        <v>13440</v>
      </c>
      <c r="F5064">
        <v>12193</v>
      </c>
      <c r="G5064">
        <v>11759</v>
      </c>
    </row>
    <row r="5065" spans="1:7">
      <c r="A5065" t="s">
        <v>1876</v>
      </c>
      <c r="B5065" t="s">
        <v>362</v>
      </c>
      <c r="C5065" t="s">
        <v>285</v>
      </c>
      <c r="D5065">
        <v>157321</v>
      </c>
      <c r="E5065">
        <v>173429</v>
      </c>
      <c r="F5065">
        <v>175175</v>
      </c>
      <c r="G5065">
        <v>188482</v>
      </c>
    </row>
    <row r="5066" spans="1:7">
      <c r="A5066" t="s">
        <v>1876</v>
      </c>
      <c r="B5066" t="s">
        <v>362</v>
      </c>
      <c r="C5066" t="s">
        <v>1951</v>
      </c>
      <c r="D5066">
        <v>5.9</v>
      </c>
      <c r="E5066">
        <v>6.6</v>
      </c>
      <c r="F5066">
        <v>6.9</v>
      </c>
      <c r="G5066">
        <v>7.4</v>
      </c>
    </row>
    <row r="5067" spans="1:7">
      <c r="A5067" t="s">
        <v>1876</v>
      </c>
      <c r="B5067" t="s">
        <v>362</v>
      </c>
      <c r="C5067" t="s">
        <v>286</v>
      </c>
      <c r="D5067">
        <v>1663</v>
      </c>
      <c r="E5067">
        <v>1704</v>
      </c>
      <c r="F5067">
        <v>1414</v>
      </c>
      <c r="G5067">
        <v>1531</v>
      </c>
    </row>
    <row r="5068" spans="1:7">
      <c r="A5068" t="s">
        <v>1876</v>
      </c>
      <c r="B5068" t="s">
        <v>362</v>
      </c>
      <c r="C5068" t="s">
        <v>287</v>
      </c>
      <c r="D5068">
        <v>20</v>
      </c>
      <c r="E5068">
        <v>20</v>
      </c>
      <c r="F5068">
        <v>17</v>
      </c>
      <c r="G5068">
        <v>18</v>
      </c>
    </row>
    <row r="5069" spans="1:7">
      <c r="A5069" t="s">
        <v>1876</v>
      </c>
      <c r="B5069" t="s">
        <v>362</v>
      </c>
      <c r="C5069" t="s">
        <v>288</v>
      </c>
      <c r="D5069">
        <v>0</v>
      </c>
      <c r="E5069">
        <v>0</v>
      </c>
      <c r="F5069">
        <v>0</v>
      </c>
      <c r="G5069">
        <v>0</v>
      </c>
    </row>
    <row r="5070" spans="1:7">
      <c r="A5070" t="s">
        <v>1876</v>
      </c>
      <c r="B5070" t="s">
        <v>362</v>
      </c>
      <c r="C5070" t="s">
        <v>289</v>
      </c>
      <c r="D5070">
        <v>597</v>
      </c>
      <c r="E5070">
        <v>612</v>
      </c>
      <c r="F5070">
        <v>508</v>
      </c>
      <c r="G5070">
        <v>550</v>
      </c>
    </row>
    <row r="5071" spans="1:7">
      <c r="A5071" t="s">
        <v>1876</v>
      </c>
      <c r="B5071" t="s">
        <v>362</v>
      </c>
      <c r="C5071" t="s">
        <v>290</v>
      </c>
      <c r="D5071">
        <v>2279</v>
      </c>
      <c r="E5071">
        <v>2336</v>
      </c>
      <c r="F5071">
        <v>1939</v>
      </c>
      <c r="G5071">
        <v>2099</v>
      </c>
    </row>
    <row r="5072" spans="1:7">
      <c r="A5072" t="s">
        <v>1876</v>
      </c>
      <c r="B5072" t="s">
        <v>362</v>
      </c>
      <c r="C5072" t="s">
        <v>291</v>
      </c>
      <c r="D5072">
        <v>2279</v>
      </c>
      <c r="E5072">
        <v>2336</v>
      </c>
      <c r="F5072">
        <v>1939</v>
      </c>
      <c r="G5072">
        <v>2099</v>
      </c>
    </row>
    <row r="5073" spans="1:7">
      <c r="A5073" t="s">
        <v>1876</v>
      </c>
      <c r="B5073" t="s">
        <v>362</v>
      </c>
      <c r="C5073" t="s">
        <v>292</v>
      </c>
      <c r="D5073">
        <v>356</v>
      </c>
      <c r="E5073">
        <v>359</v>
      </c>
      <c r="F5073">
        <v>315</v>
      </c>
      <c r="G5073">
        <v>359</v>
      </c>
    </row>
    <row r="5074" spans="1:7">
      <c r="A5074" t="s">
        <v>1876</v>
      </c>
      <c r="B5074" t="s">
        <v>362</v>
      </c>
      <c r="C5074" t="s">
        <v>293</v>
      </c>
      <c r="D5074">
        <v>827</v>
      </c>
      <c r="E5074">
        <v>874</v>
      </c>
      <c r="F5074">
        <v>974</v>
      </c>
      <c r="G5074">
        <v>1230</v>
      </c>
    </row>
    <row r="5075" spans="1:7">
      <c r="A5075" t="s">
        <v>1876</v>
      </c>
      <c r="B5075" t="s">
        <v>362</v>
      </c>
      <c r="C5075" t="s">
        <v>294</v>
      </c>
      <c r="D5075">
        <v>1571</v>
      </c>
      <c r="E5075">
        <v>1458</v>
      </c>
      <c r="F5075">
        <v>1473</v>
      </c>
      <c r="G5075">
        <v>1693</v>
      </c>
    </row>
    <row r="5076" spans="1:7">
      <c r="A5076" t="s">
        <v>1876</v>
      </c>
      <c r="B5076" t="s">
        <v>362</v>
      </c>
      <c r="C5076" t="s">
        <v>295</v>
      </c>
      <c r="D5076">
        <v>528</v>
      </c>
      <c r="E5076">
        <v>538</v>
      </c>
      <c r="F5076">
        <v>457</v>
      </c>
      <c r="G5076">
        <v>570</v>
      </c>
    </row>
    <row r="5077" spans="1:7">
      <c r="A5077" t="s">
        <v>1876</v>
      </c>
      <c r="B5077" t="s">
        <v>362</v>
      </c>
      <c r="C5077" t="s">
        <v>296</v>
      </c>
      <c r="D5077">
        <v>3282</v>
      </c>
      <c r="E5077">
        <v>3230</v>
      </c>
      <c r="F5077">
        <v>3219</v>
      </c>
      <c r="G5077">
        <v>3852</v>
      </c>
    </row>
    <row r="5078" spans="1:7">
      <c r="A5078" t="s">
        <v>1876</v>
      </c>
      <c r="B5078" t="s">
        <v>362</v>
      </c>
      <c r="C5078" t="s">
        <v>297</v>
      </c>
      <c r="D5078">
        <v>39453</v>
      </c>
      <c r="E5078">
        <v>39826</v>
      </c>
      <c r="F5078">
        <v>39225</v>
      </c>
      <c r="G5078">
        <v>32090</v>
      </c>
    </row>
    <row r="5079" spans="1:7">
      <c r="A5079" t="s">
        <v>1876</v>
      </c>
      <c r="B5079" t="s">
        <v>362</v>
      </c>
      <c r="C5079" t="s">
        <v>1952</v>
      </c>
      <c r="D5079">
        <v>0</v>
      </c>
      <c r="E5079">
        <v>0</v>
      </c>
      <c r="F5079">
        <v>0</v>
      </c>
      <c r="G5079">
        <v>0</v>
      </c>
    </row>
    <row r="5080" spans="1:7">
      <c r="A5080" t="s">
        <v>1876</v>
      </c>
      <c r="B5080" t="s">
        <v>362</v>
      </c>
      <c r="C5080" t="s">
        <v>298</v>
      </c>
      <c r="D5080">
        <v>1686</v>
      </c>
      <c r="E5080">
        <v>2311</v>
      </c>
      <c r="F5080">
        <v>2313</v>
      </c>
      <c r="G5080">
        <v>2023</v>
      </c>
    </row>
    <row r="5081" spans="1:7">
      <c r="A5081" t="s">
        <v>1876</v>
      </c>
      <c r="B5081" t="s">
        <v>362</v>
      </c>
      <c r="C5081" t="s">
        <v>299</v>
      </c>
      <c r="D5081">
        <v>370</v>
      </c>
      <c r="E5081">
        <v>564</v>
      </c>
      <c r="F5081">
        <v>658</v>
      </c>
      <c r="G5081">
        <v>726</v>
      </c>
    </row>
    <row r="5082" spans="1:7">
      <c r="A5082" t="s">
        <v>1876</v>
      </c>
      <c r="B5082" t="s">
        <v>362</v>
      </c>
      <c r="C5082" t="s">
        <v>300</v>
      </c>
      <c r="D5082">
        <v>1947</v>
      </c>
      <c r="E5082">
        <v>3688</v>
      </c>
      <c r="F5082">
        <v>6319</v>
      </c>
      <c r="G5082">
        <v>10542</v>
      </c>
    </row>
    <row r="5083" spans="1:7">
      <c r="A5083" t="s">
        <v>1876</v>
      </c>
      <c r="B5083" t="s">
        <v>362</v>
      </c>
      <c r="C5083" t="s">
        <v>1722</v>
      </c>
      <c r="D5083">
        <v>607</v>
      </c>
      <c r="E5083">
        <v>629</v>
      </c>
      <c r="F5083">
        <v>1289</v>
      </c>
      <c r="G5083">
        <v>2490</v>
      </c>
    </row>
    <row r="5084" spans="1:7">
      <c r="A5084" t="s">
        <v>1876</v>
      </c>
      <c r="B5084" t="s">
        <v>362</v>
      </c>
      <c r="C5084" t="s">
        <v>301</v>
      </c>
      <c r="D5084">
        <v>28</v>
      </c>
      <c r="E5084">
        <v>25</v>
      </c>
      <c r="F5084">
        <v>48</v>
      </c>
      <c r="G5084">
        <v>60</v>
      </c>
    </row>
    <row r="5085" spans="1:7">
      <c r="A5085" t="s">
        <v>1876</v>
      </c>
      <c r="B5085" t="s">
        <v>362</v>
      </c>
      <c r="C5085" t="s">
        <v>302</v>
      </c>
      <c r="D5085">
        <v>503</v>
      </c>
      <c r="E5085">
        <v>525</v>
      </c>
      <c r="F5085">
        <v>639</v>
      </c>
      <c r="G5085">
        <v>689</v>
      </c>
    </row>
    <row r="5086" spans="1:7">
      <c r="A5086" t="s">
        <v>1876</v>
      </c>
      <c r="B5086" t="s">
        <v>362</v>
      </c>
      <c r="C5086" t="s">
        <v>303</v>
      </c>
      <c r="D5086">
        <v>2849</v>
      </c>
      <c r="E5086">
        <v>4801</v>
      </c>
      <c r="F5086">
        <v>7664</v>
      </c>
      <c r="G5086">
        <v>12016</v>
      </c>
    </row>
    <row r="5087" spans="1:7">
      <c r="A5087" t="s">
        <v>1876</v>
      </c>
      <c r="B5087" t="s">
        <v>362</v>
      </c>
      <c r="C5087" t="s">
        <v>304</v>
      </c>
      <c r="D5087">
        <v>901</v>
      </c>
      <c r="E5087">
        <v>1114</v>
      </c>
      <c r="F5087">
        <v>1345</v>
      </c>
      <c r="G5087">
        <v>1474</v>
      </c>
    </row>
    <row r="5088" spans="1:7">
      <c r="A5088" t="s">
        <v>1876</v>
      </c>
      <c r="B5088" t="s">
        <v>362</v>
      </c>
      <c r="C5088" t="s">
        <v>1953</v>
      </c>
      <c r="D5088">
        <v>17.100000000000001</v>
      </c>
      <c r="E5088">
        <v>20.100000000000001</v>
      </c>
      <c r="F5088">
        <v>19.7</v>
      </c>
      <c r="G5088">
        <v>20.2</v>
      </c>
    </row>
    <row r="5089" spans="1:7">
      <c r="A5089" t="s">
        <v>1876</v>
      </c>
      <c r="B5089" t="s">
        <v>362</v>
      </c>
      <c r="C5089" t="s">
        <v>305</v>
      </c>
      <c r="D5089">
        <v>581133</v>
      </c>
      <c r="E5089">
        <v>569930</v>
      </c>
      <c r="F5089">
        <v>563541</v>
      </c>
      <c r="G5089">
        <v>558081</v>
      </c>
    </row>
    <row r="5090" spans="1:7">
      <c r="A5090" t="s">
        <v>1876</v>
      </c>
      <c r="B5090" t="s">
        <v>362</v>
      </c>
      <c r="C5090" t="s">
        <v>306</v>
      </c>
      <c r="D5090">
        <v>85.3</v>
      </c>
      <c r="E5090">
        <v>83.3</v>
      </c>
      <c r="F5090">
        <v>81.900000000000006</v>
      </c>
      <c r="G5090">
        <v>80.5</v>
      </c>
    </row>
    <row r="5091" spans="1:7">
      <c r="A5091" t="s">
        <v>1876</v>
      </c>
      <c r="B5091" t="s">
        <v>362</v>
      </c>
      <c r="C5091" t="s">
        <v>307</v>
      </c>
      <c r="D5091">
        <v>346493</v>
      </c>
      <c r="E5091">
        <v>356454</v>
      </c>
      <c r="F5091">
        <v>333800</v>
      </c>
      <c r="G5091">
        <v>329360</v>
      </c>
    </row>
    <row r="5092" spans="1:7">
      <c r="A5092" t="s">
        <v>1876</v>
      </c>
      <c r="B5092" t="s">
        <v>362</v>
      </c>
      <c r="C5092" t="s">
        <v>308</v>
      </c>
      <c r="D5092">
        <v>50.8</v>
      </c>
      <c r="E5092">
        <v>52.1</v>
      </c>
      <c r="F5092">
        <v>48.5</v>
      </c>
      <c r="G5092">
        <v>47.5</v>
      </c>
    </row>
    <row r="5093" spans="1:7">
      <c r="A5093" t="s">
        <v>1876</v>
      </c>
      <c r="B5093" t="s">
        <v>362</v>
      </c>
      <c r="C5093" t="s">
        <v>309</v>
      </c>
      <c r="D5093">
        <v>849294</v>
      </c>
      <c r="E5093">
        <v>867763</v>
      </c>
      <c r="F5093">
        <v>781430</v>
      </c>
      <c r="G5093">
        <v>803280</v>
      </c>
    </row>
    <row r="5094" spans="1:7">
      <c r="A5094" t="s">
        <v>1876</v>
      </c>
      <c r="B5094" t="s">
        <v>362</v>
      </c>
      <c r="C5094" t="s">
        <v>310</v>
      </c>
      <c r="D5094">
        <v>1221611</v>
      </c>
      <c r="E5094">
        <v>1185155</v>
      </c>
      <c r="F5094">
        <v>1192741</v>
      </c>
      <c r="G5094">
        <v>1177424</v>
      </c>
    </row>
    <row r="5095" spans="1:7">
      <c r="A5095" t="s">
        <v>1876</v>
      </c>
      <c r="B5095" t="s">
        <v>362</v>
      </c>
      <c r="C5095" t="s">
        <v>311</v>
      </c>
      <c r="D5095">
        <v>179.3</v>
      </c>
      <c r="E5095">
        <v>173.2</v>
      </c>
      <c r="F5095">
        <v>173.3</v>
      </c>
      <c r="G5095">
        <v>169.8</v>
      </c>
    </row>
    <row r="5096" spans="1:7">
      <c r="A5096" t="s">
        <v>1876</v>
      </c>
      <c r="B5096" t="s">
        <v>362</v>
      </c>
      <c r="C5096" t="s">
        <v>312</v>
      </c>
      <c r="D5096">
        <v>500506</v>
      </c>
      <c r="E5096">
        <v>513283</v>
      </c>
      <c r="F5096">
        <v>463604</v>
      </c>
      <c r="G5096">
        <v>475574</v>
      </c>
    </row>
    <row r="5097" spans="1:7">
      <c r="A5097" t="s">
        <v>1876</v>
      </c>
      <c r="B5097" t="s">
        <v>362</v>
      </c>
      <c r="C5097" t="s">
        <v>313</v>
      </c>
      <c r="D5097">
        <v>73.5</v>
      </c>
      <c r="E5097">
        <v>75</v>
      </c>
      <c r="F5097">
        <v>67.400000000000006</v>
      </c>
      <c r="G5097">
        <v>68.599999999999994</v>
      </c>
    </row>
    <row r="5098" spans="1:7">
      <c r="A5098" t="s">
        <v>1876</v>
      </c>
      <c r="B5098" t="s">
        <v>362</v>
      </c>
      <c r="C5098" t="s">
        <v>314</v>
      </c>
      <c r="D5098">
        <v>2649744</v>
      </c>
      <c r="E5098">
        <v>2624825</v>
      </c>
      <c r="F5098">
        <v>2553684</v>
      </c>
      <c r="G5098">
        <v>2540438</v>
      </c>
    </row>
    <row r="5099" spans="1:7">
      <c r="A5099" t="s">
        <v>1876</v>
      </c>
      <c r="B5099" t="s">
        <v>362</v>
      </c>
      <c r="C5099" t="s">
        <v>315</v>
      </c>
      <c r="D5099">
        <v>6.85</v>
      </c>
      <c r="E5099">
        <v>6.67</v>
      </c>
      <c r="F5099">
        <v>6.38</v>
      </c>
      <c r="G5099">
        <v>6.17</v>
      </c>
    </row>
    <row r="5100" spans="1:7">
      <c r="A5100" t="s">
        <v>1876</v>
      </c>
      <c r="B5100" t="s">
        <v>362</v>
      </c>
      <c r="C5100" t="s">
        <v>316</v>
      </c>
      <c r="D5100">
        <v>388.9</v>
      </c>
      <c r="E5100">
        <v>383.7</v>
      </c>
      <c r="F5100">
        <v>371.1</v>
      </c>
      <c r="G5100">
        <v>366.3</v>
      </c>
    </row>
    <row r="5101" spans="1:7">
      <c r="A5101" t="s">
        <v>1876</v>
      </c>
      <c r="B5101" t="s">
        <v>362</v>
      </c>
      <c r="C5101" t="s">
        <v>317</v>
      </c>
      <c r="D5101">
        <v>2649742</v>
      </c>
      <c r="E5101">
        <v>2624823</v>
      </c>
      <c r="F5101">
        <v>2553685</v>
      </c>
      <c r="G5101">
        <v>2540438</v>
      </c>
    </row>
    <row r="5102" spans="1:7">
      <c r="A5102" t="s">
        <v>1876</v>
      </c>
      <c r="B5102" t="s">
        <v>362</v>
      </c>
      <c r="C5102" t="s">
        <v>318</v>
      </c>
      <c r="D5102">
        <v>581015</v>
      </c>
      <c r="E5102">
        <v>569849</v>
      </c>
      <c r="F5102">
        <v>563472</v>
      </c>
      <c r="G5102">
        <v>557974</v>
      </c>
    </row>
    <row r="5103" spans="1:7">
      <c r="A5103" t="s">
        <v>1876</v>
      </c>
      <c r="B5103" t="s">
        <v>362</v>
      </c>
      <c r="C5103" t="s">
        <v>319</v>
      </c>
      <c r="D5103">
        <v>193430</v>
      </c>
      <c r="E5103">
        <v>204724</v>
      </c>
      <c r="F5103">
        <v>188536</v>
      </c>
      <c r="G5103">
        <v>188564</v>
      </c>
    </row>
    <row r="5104" spans="1:7">
      <c r="A5104" t="s">
        <v>1876</v>
      </c>
      <c r="B5104" t="s">
        <v>362</v>
      </c>
      <c r="C5104" t="s">
        <v>320</v>
      </c>
      <c r="D5104">
        <v>932261</v>
      </c>
      <c r="E5104">
        <v>910809</v>
      </c>
      <c r="F5104">
        <v>932534</v>
      </c>
      <c r="G5104">
        <v>924620</v>
      </c>
    </row>
    <row r="5105" spans="1:7">
      <c r="A5105" t="s">
        <v>1876</v>
      </c>
      <c r="B5105" t="s">
        <v>362</v>
      </c>
      <c r="C5105" t="s">
        <v>321</v>
      </c>
      <c r="D5105">
        <v>276984</v>
      </c>
      <c r="E5105">
        <v>293323</v>
      </c>
      <c r="F5105">
        <v>263288</v>
      </c>
      <c r="G5105">
        <v>278939</v>
      </c>
    </row>
    <row r="5106" spans="1:7">
      <c r="A5106" t="s">
        <v>1876</v>
      </c>
      <c r="B5106" t="s">
        <v>362</v>
      </c>
      <c r="C5106" t="s">
        <v>1954</v>
      </c>
      <c r="D5106">
        <v>1983690</v>
      </c>
      <c r="E5106">
        <v>1978706</v>
      </c>
      <c r="F5106">
        <v>1947831</v>
      </c>
      <c r="G5106">
        <v>1950097</v>
      </c>
    </row>
    <row r="5107" spans="1:7">
      <c r="A5107" t="s">
        <v>1876</v>
      </c>
      <c r="B5107" t="s">
        <v>362</v>
      </c>
      <c r="C5107" t="s">
        <v>323</v>
      </c>
      <c r="D5107">
        <v>6814</v>
      </c>
      <c r="E5107">
        <v>6841</v>
      </c>
      <c r="F5107">
        <v>6881</v>
      </c>
      <c r="G5107">
        <v>6935</v>
      </c>
    </row>
    <row r="5108" spans="1:7">
      <c r="A5108" t="s">
        <v>1876</v>
      </c>
      <c r="B5108" t="s">
        <v>362</v>
      </c>
      <c r="C5108" t="s">
        <v>324</v>
      </c>
      <c r="D5108">
        <v>1310</v>
      </c>
      <c r="E5108">
        <v>0</v>
      </c>
      <c r="F5108">
        <v>0</v>
      </c>
      <c r="G5108">
        <v>0</v>
      </c>
    </row>
    <row r="5109" spans="1:7">
      <c r="A5109" t="s">
        <v>1876</v>
      </c>
      <c r="B5109" t="s">
        <v>362</v>
      </c>
      <c r="C5109" t="s">
        <v>325</v>
      </c>
      <c r="D5109">
        <v>0</v>
      </c>
      <c r="E5109">
        <v>0</v>
      </c>
      <c r="F5109">
        <v>0</v>
      </c>
      <c r="G5109">
        <v>0</v>
      </c>
    </row>
    <row r="5110" spans="1:7">
      <c r="A5110" t="s">
        <v>1876</v>
      </c>
      <c r="B5110" t="s">
        <v>362</v>
      </c>
      <c r="C5110" t="s">
        <v>326</v>
      </c>
      <c r="D5110">
        <v>1388</v>
      </c>
      <c r="E5110">
        <v>1388</v>
      </c>
      <c r="F5110">
        <v>1388</v>
      </c>
      <c r="G5110">
        <v>1388</v>
      </c>
    </row>
    <row r="5111" spans="1:7">
      <c r="A5111" t="s">
        <v>1876</v>
      </c>
      <c r="B5111" t="s">
        <v>362</v>
      </c>
      <c r="C5111" t="s">
        <v>327</v>
      </c>
      <c r="D5111">
        <v>0</v>
      </c>
      <c r="E5111">
        <v>0</v>
      </c>
      <c r="F5111">
        <v>0</v>
      </c>
      <c r="G5111">
        <v>0</v>
      </c>
    </row>
    <row r="5112" spans="1:7">
      <c r="A5112" t="s">
        <v>1876</v>
      </c>
      <c r="B5112" t="s">
        <v>362</v>
      </c>
      <c r="C5112" t="s">
        <v>1723</v>
      </c>
      <c r="D5112">
        <v>0</v>
      </c>
      <c r="E5112">
        <v>0</v>
      </c>
      <c r="F5112">
        <v>0</v>
      </c>
      <c r="G5112">
        <v>0</v>
      </c>
    </row>
    <row r="5113" spans="1:7">
      <c r="A5113" t="s">
        <v>1876</v>
      </c>
      <c r="B5113" t="s">
        <v>362</v>
      </c>
      <c r="C5113" t="s">
        <v>328</v>
      </c>
      <c r="D5113">
        <v>5612</v>
      </c>
      <c r="E5113">
        <v>8320</v>
      </c>
      <c r="F5113">
        <v>8320</v>
      </c>
      <c r="G5113">
        <v>8320</v>
      </c>
    </row>
    <row r="5114" spans="1:7">
      <c r="A5114" t="s">
        <v>1876</v>
      </c>
      <c r="B5114" t="s">
        <v>362</v>
      </c>
      <c r="C5114" t="s">
        <v>329</v>
      </c>
      <c r="D5114">
        <v>7211</v>
      </c>
      <c r="E5114">
        <v>9084</v>
      </c>
      <c r="F5114">
        <v>7723</v>
      </c>
      <c r="G5114">
        <v>7239</v>
      </c>
    </row>
    <row r="5115" spans="1:7">
      <c r="A5115" t="s">
        <v>1876</v>
      </c>
      <c r="B5115" t="s">
        <v>362</v>
      </c>
      <c r="C5115" t="s">
        <v>330</v>
      </c>
      <c r="D5115">
        <v>14211</v>
      </c>
      <c r="E5115">
        <v>18792</v>
      </c>
      <c r="F5115">
        <v>17431</v>
      </c>
      <c r="G5115">
        <v>16948</v>
      </c>
    </row>
    <row r="5116" spans="1:7">
      <c r="A5116" t="s">
        <v>1876</v>
      </c>
      <c r="B5116" t="s">
        <v>362</v>
      </c>
      <c r="C5116" t="s">
        <v>331</v>
      </c>
      <c r="D5116">
        <v>3286</v>
      </c>
      <c r="E5116">
        <v>3366</v>
      </c>
      <c r="F5116">
        <v>3416</v>
      </c>
      <c r="G5116">
        <v>3463</v>
      </c>
    </row>
    <row r="5117" spans="1:7">
      <c r="A5117" t="s">
        <v>1876</v>
      </c>
      <c r="B5117" t="s">
        <v>362</v>
      </c>
      <c r="C5117" t="s">
        <v>332</v>
      </c>
      <c r="D5117">
        <v>4167</v>
      </c>
      <c r="E5117">
        <v>3496</v>
      </c>
      <c r="F5117">
        <v>2521</v>
      </c>
      <c r="G5117">
        <v>1515</v>
      </c>
    </row>
    <row r="5118" spans="1:7">
      <c r="A5118" t="s">
        <v>1876</v>
      </c>
      <c r="B5118" t="s">
        <v>362</v>
      </c>
      <c r="C5118" t="s">
        <v>1724</v>
      </c>
      <c r="D5118">
        <v>72</v>
      </c>
      <c r="E5118">
        <v>72</v>
      </c>
      <c r="F5118">
        <v>50</v>
      </c>
      <c r="G5118">
        <v>49</v>
      </c>
    </row>
    <row r="5119" spans="1:7">
      <c r="A5119" t="s">
        <v>1876</v>
      </c>
      <c r="B5119" t="s">
        <v>362</v>
      </c>
      <c r="C5119" t="s">
        <v>333</v>
      </c>
      <c r="D5119">
        <v>9273</v>
      </c>
      <c r="E5119">
        <v>9989</v>
      </c>
      <c r="F5119">
        <v>10664</v>
      </c>
      <c r="G5119">
        <v>11486</v>
      </c>
    </row>
    <row r="5120" spans="1:7">
      <c r="A5120" t="s">
        <v>1876</v>
      </c>
      <c r="B5120" t="s">
        <v>362</v>
      </c>
      <c r="C5120" t="s">
        <v>334</v>
      </c>
      <c r="D5120">
        <v>16726</v>
      </c>
      <c r="E5120">
        <v>16852</v>
      </c>
      <c r="F5120">
        <v>16601</v>
      </c>
      <c r="G5120">
        <v>16465</v>
      </c>
    </row>
    <row r="5121" spans="1:7">
      <c r="A5121" t="s">
        <v>1876</v>
      </c>
      <c r="B5121" t="s">
        <v>362</v>
      </c>
      <c r="C5121" t="s">
        <v>335</v>
      </c>
      <c r="D5121">
        <v>4674</v>
      </c>
      <c r="E5121">
        <v>4754</v>
      </c>
      <c r="F5121">
        <v>4804</v>
      </c>
      <c r="G5121">
        <v>4851</v>
      </c>
    </row>
    <row r="5122" spans="1:7">
      <c r="A5122" t="s">
        <v>1876</v>
      </c>
      <c r="B5122" t="s">
        <v>362</v>
      </c>
      <c r="C5122" t="s">
        <v>336</v>
      </c>
      <c r="D5122">
        <v>4167</v>
      </c>
      <c r="E5122">
        <v>3496</v>
      </c>
      <c r="F5122">
        <v>2521</v>
      </c>
      <c r="G5122">
        <v>1515</v>
      </c>
    </row>
    <row r="5123" spans="1:7">
      <c r="A5123" t="s">
        <v>1876</v>
      </c>
      <c r="B5123" t="s">
        <v>362</v>
      </c>
      <c r="C5123" t="s">
        <v>337</v>
      </c>
      <c r="D5123">
        <v>14885</v>
      </c>
      <c r="E5123">
        <v>18309</v>
      </c>
      <c r="F5123">
        <v>18984</v>
      </c>
      <c r="G5123">
        <v>19807</v>
      </c>
    </row>
    <row r="5124" spans="1:7">
      <c r="A5124" t="s">
        <v>1876</v>
      </c>
      <c r="B5124" t="s">
        <v>362</v>
      </c>
      <c r="C5124" t="s">
        <v>338</v>
      </c>
      <c r="D5124">
        <v>30937</v>
      </c>
      <c r="E5124">
        <v>35644</v>
      </c>
      <c r="F5124">
        <v>34032</v>
      </c>
      <c r="G5124">
        <v>33412</v>
      </c>
    </row>
    <row r="5125" spans="1:7">
      <c r="A5125" t="s">
        <v>1876</v>
      </c>
      <c r="B5125" t="s">
        <v>362</v>
      </c>
      <c r="C5125" t="s">
        <v>339</v>
      </c>
      <c r="D5125">
        <v>26770</v>
      </c>
      <c r="E5125">
        <v>32148</v>
      </c>
      <c r="F5125">
        <v>31511</v>
      </c>
      <c r="G5125">
        <v>31897</v>
      </c>
    </row>
    <row r="5126" spans="1:7">
      <c r="A5126" t="s">
        <v>1876</v>
      </c>
      <c r="B5126" t="s">
        <v>362</v>
      </c>
      <c r="C5126" t="s">
        <v>340</v>
      </c>
      <c r="D5126">
        <v>622</v>
      </c>
      <c r="E5126">
        <v>629</v>
      </c>
      <c r="F5126">
        <v>437</v>
      </c>
      <c r="G5126">
        <v>537</v>
      </c>
    </row>
    <row r="5127" spans="1:7">
      <c r="A5127" t="s">
        <v>1876</v>
      </c>
      <c r="B5127" t="s">
        <v>362</v>
      </c>
      <c r="C5127" t="s">
        <v>1955</v>
      </c>
      <c r="D5127">
        <v>29</v>
      </c>
      <c r="E5127">
        <v>33</v>
      </c>
      <c r="F5127">
        <v>29.8</v>
      </c>
      <c r="G5127">
        <v>32.4</v>
      </c>
    </row>
    <row r="5128" spans="1:7">
      <c r="A5128" t="s">
        <v>1876</v>
      </c>
      <c r="B5128" t="s">
        <v>362</v>
      </c>
      <c r="C5128" t="s">
        <v>341</v>
      </c>
      <c r="D5128">
        <v>0</v>
      </c>
      <c r="E5128">
        <v>0</v>
      </c>
      <c r="F5128">
        <v>0</v>
      </c>
      <c r="G5128">
        <v>0</v>
      </c>
    </row>
    <row r="5129" spans="1:7">
      <c r="A5129" t="s">
        <v>1876</v>
      </c>
      <c r="B5129" t="s">
        <v>362</v>
      </c>
      <c r="C5129" t="s">
        <v>342</v>
      </c>
      <c r="D5129">
        <v>26808</v>
      </c>
      <c r="E5129">
        <v>34070</v>
      </c>
      <c r="F5129">
        <v>30177</v>
      </c>
      <c r="G5129">
        <v>35185</v>
      </c>
    </row>
    <row r="5130" spans="1:7">
      <c r="A5130" t="s">
        <v>1876</v>
      </c>
      <c r="B5130" t="s">
        <v>362</v>
      </c>
      <c r="C5130" t="s">
        <v>1725</v>
      </c>
      <c r="D5130">
        <v>3453</v>
      </c>
      <c r="E5130">
        <v>3453</v>
      </c>
      <c r="F5130">
        <v>3439</v>
      </c>
      <c r="G5130">
        <v>3639</v>
      </c>
    </row>
    <row r="5131" spans="1:7">
      <c r="A5131" t="s">
        <v>1876</v>
      </c>
      <c r="B5131" t="s">
        <v>362</v>
      </c>
      <c r="C5131" t="s">
        <v>343</v>
      </c>
      <c r="D5131">
        <v>0</v>
      </c>
      <c r="E5131">
        <v>0</v>
      </c>
      <c r="F5131">
        <v>0</v>
      </c>
      <c r="G5131">
        <v>0</v>
      </c>
    </row>
    <row r="5132" spans="1:7">
      <c r="A5132" t="s">
        <v>1876</v>
      </c>
      <c r="B5132" t="s">
        <v>362</v>
      </c>
      <c r="C5132" t="s">
        <v>344</v>
      </c>
      <c r="D5132">
        <v>26808</v>
      </c>
      <c r="E5132">
        <v>34070</v>
      </c>
      <c r="F5132">
        <v>30177</v>
      </c>
      <c r="G5132">
        <v>35185</v>
      </c>
    </row>
    <row r="5133" spans="1:7">
      <c r="A5133" t="s">
        <v>1876</v>
      </c>
      <c r="B5133" t="s">
        <v>362</v>
      </c>
      <c r="C5133" t="s">
        <v>345</v>
      </c>
      <c r="D5133">
        <v>0</v>
      </c>
      <c r="E5133">
        <v>0</v>
      </c>
      <c r="F5133">
        <v>0</v>
      </c>
      <c r="G5133">
        <v>0</v>
      </c>
    </row>
    <row r="5134" spans="1:7">
      <c r="A5134" t="s">
        <v>1876</v>
      </c>
      <c r="B5134" t="s">
        <v>362</v>
      </c>
      <c r="C5134" t="s">
        <v>1956</v>
      </c>
      <c r="D5134">
        <v>4167</v>
      </c>
      <c r="E5134">
        <v>3496</v>
      </c>
      <c r="F5134">
        <v>2521</v>
      </c>
      <c r="G5134">
        <v>1515</v>
      </c>
    </row>
    <row r="5135" spans="1:7">
      <c r="A5135" t="s">
        <v>1876</v>
      </c>
      <c r="B5135" t="s">
        <v>362</v>
      </c>
      <c r="C5135" t="s">
        <v>1957</v>
      </c>
      <c r="D5135">
        <v>16726</v>
      </c>
      <c r="E5135">
        <v>16852</v>
      </c>
      <c r="F5135">
        <v>16601</v>
      </c>
      <c r="G5135">
        <v>16465</v>
      </c>
    </row>
    <row r="5136" spans="1:7">
      <c r="A5136" t="s">
        <v>1876</v>
      </c>
      <c r="B5136" t="s">
        <v>362</v>
      </c>
      <c r="C5136" t="s">
        <v>346</v>
      </c>
      <c r="D5136">
        <v>1028</v>
      </c>
      <c r="E5136">
        <v>986</v>
      </c>
      <c r="F5136">
        <v>836</v>
      </c>
      <c r="G5136">
        <v>1038</v>
      </c>
    </row>
    <row r="5137" spans="1:7">
      <c r="A5137" t="s">
        <v>1876</v>
      </c>
      <c r="B5137" t="s">
        <v>362</v>
      </c>
      <c r="C5137" t="s">
        <v>347</v>
      </c>
      <c r="D5137">
        <v>5273</v>
      </c>
      <c r="E5137">
        <v>5746</v>
      </c>
      <c r="F5137">
        <v>4821</v>
      </c>
      <c r="G5137">
        <v>4731</v>
      </c>
    </row>
    <row r="5138" spans="1:7">
      <c r="A5138" t="s">
        <v>1876</v>
      </c>
      <c r="B5138" t="s">
        <v>363</v>
      </c>
      <c r="C5138" t="s">
        <v>133</v>
      </c>
      <c r="D5138">
        <v>-19</v>
      </c>
      <c r="E5138">
        <v>-15</v>
      </c>
      <c r="F5138">
        <v>-15</v>
      </c>
      <c r="G5138">
        <v>-23</v>
      </c>
    </row>
    <row r="5139" spans="1:7">
      <c r="A5139" t="s">
        <v>1876</v>
      </c>
      <c r="B5139" t="s">
        <v>363</v>
      </c>
      <c r="C5139" t="s">
        <v>134</v>
      </c>
      <c r="D5139">
        <v>8005</v>
      </c>
      <c r="E5139">
        <v>7757</v>
      </c>
      <c r="F5139">
        <v>6549</v>
      </c>
      <c r="G5139">
        <v>7103</v>
      </c>
    </row>
    <row r="5140" spans="1:7">
      <c r="A5140" t="s">
        <v>1876</v>
      </c>
      <c r="B5140" t="s">
        <v>363</v>
      </c>
      <c r="C5140" t="s">
        <v>135</v>
      </c>
      <c r="D5140">
        <v>8005</v>
      </c>
      <c r="E5140">
        <v>7757</v>
      </c>
      <c r="F5140">
        <v>6549</v>
      </c>
      <c r="G5140">
        <v>7103</v>
      </c>
    </row>
    <row r="5141" spans="1:7">
      <c r="A5141" t="s">
        <v>1876</v>
      </c>
      <c r="B5141" t="s">
        <v>363</v>
      </c>
      <c r="C5141" t="s">
        <v>136</v>
      </c>
      <c r="D5141">
        <v>8005</v>
      </c>
      <c r="E5141">
        <v>7757</v>
      </c>
      <c r="F5141">
        <v>6549</v>
      </c>
      <c r="G5141">
        <v>7103</v>
      </c>
    </row>
    <row r="5142" spans="1:7">
      <c r="A5142" t="s">
        <v>1876</v>
      </c>
      <c r="B5142" t="s">
        <v>363</v>
      </c>
      <c r="C5142" t="s">
        <v>137</v>
      </c>
      <c r="D5142">
        <v>294</v>
      </c>
      <c r="E5142">
        <v>304</v>
      </c>
      <c r="F5142">
        <v>288</v>
      </c>
      <c r="G5142">
        <v>310</v>
      </c>
    </row>
    <row r="5143" spans="1:7">
      <c r="A5143" t="s">
        <v>1876</v>
      </c>
      <c r="B5143" t="s">
        <v>363</v>
      </c>
      <c r="C5143" t="s">
        <v>138</v>
      </c>
      <c r="D5143">
        <v>294</v>
      </c>
      <c r="E5143">
        <v>304</v>
      </c>
      <c r="F5143">
        <v>288</v>
      </c>
      <c r="G5143">
        <v>310</v>
      </c>
    </row>
    <row r="5144" spans="1:7">
      <c r="A5144" t="s">
        <v>1876</v>
      </c>
      <c r="B5144" t="s">
        <v>363</v>
      </c>
      <c r="C5144" t="s">
        <v>139</v>
      </c>
      <c r="D5144">
        <v>294</v>
      </c>
      <c r="E5144">
        <v>304</v>
      </c>
      <c r="F5144">
        <v>288</v>
      </c>
      <c r="G5144">
        <v>310</v>
      </c>
    </row>
    <row r="5145" spans="1:7">
      <c r="A5145" t="s">
        <v>1876</v>
      </c>
      <c r="B5145" t="s">
        <v>363</v>
      </c>
      <c r="C5145" t="s">
        <v>1877</v>
      </c>
      <c r="D5145">
        <v>0</v>
      </c>
      <c r="E5145">
        <v>0</v>
      </c>
      <c r="F5145">
        <v>0</v>
      </c>
      <c r="G5145">
        <v>0</v>
      </c>
    </row>
    <row r="5146" spans="1:7">
      <c r="A5146" t="s">
        <v>1876</v>
      </c>
      <c r="B5146" t="s">
        <v>363</v>
      </c>
      <c r="C5146" t="s">
        <v>1700</v>
      </c>
      <c r="D5146">
        <v>0</v>
      </c>
      <c r="E5146">
        <v>0</v>
      </c>
      <c r="F5146">
        <v>0</v>
      </c>
      <c r="G5146">
        <v>0</v>
      </c>
    </row>
    <row r="5147" spans="1:7">
      <c r="A5147" t="s">
        <v>1876</v>
      </c>
      <c r="B5147" t="s">
        <v>363</v>
      </c>
      <c r="C5147" t="s">
        <v>1878</v>
      </c>
      <c r="D5147">
        <v>0</v>
      </c>
      <c r="E5147">
        <v>0</v>
      </c>
      <c r="F5147">
        <v>0</v>
      </c>
      <c r="G5147">
        <v>0</v>
      </c>
    </row>
    <row r="5148" spans="1:7">
      <c r="A5148" t="s">
        <v>1876</v>
      </c>
      <c r="B5148" t="s">
        <v>363</v>
      </c>
      <c r="C5148" t="s">
        <v>1879</v>
      </c>
      <c r="D5148">
        <v>0</v>
      </c>
      <c r="E5148">
        <v>0</v>
      </c>
      <c r="F5148">
        <v>0</v>
      </c>
      <c r="G5148">
        <v>0</v>
      </c>
    </row>
    <row r="5149" spans="1:7">
      <c r="A5149" t="s">
        <v>1876</v>
      </c>
      <c r="B5149" t="s">
        <v>363</v>
      </c>
      <c r="C5149" t="s">
        <v>1701</v>
      </c>
      <c r="D5149">
        <v>0</v>
      </c>
      <c r="E5149">
        <v>0</v>
      </c>
      <c r="F5149">
        <v>0</v>
      </c>
      <c r="G5149">
        <v>0</v>
      </c>
    </row>
    <row r="5150" spans="1:7">
      <c r="A5150" t="s">
        <v>1876</v>
      </c>
      <c r="B5150" t="s">
        <v>363</v>
      </c>
      <c r="C5150" t="s">
        <v>1880</v>
      </c>
      <c r="D5150">
        <v>938</v>
      </c>
      <c r="E5150">
        <v>964</v>
      </c>
      <c r="F5150">
        <v>999</v>
      </c>
      <c r="G5150">
        <v>1066</v>
      </c>
    </row>
    <row r="5151" spans="1:7">
      <c r="A5151" t="s">
        <v>1876</v>
      </c>
      <c r="B5151" t="s">
        <v>363</v>
      </c>
      <c r="C5151" t="s">
        <v>140</v>
      </c>
      <c r="D5151">
        <v>2204</v>
      </c>
      <c r="E5151">
        <v>2329</v>
      </c>
      <c r="F5151">
        <v>2695</v>
      </c>
      <c r="G5151">
        <v>3039</v>
      </c>
    </row>
    <row r="5152" spans="1:7">
      <c r="A5152" t="s">
        <v>1876</v>
      </c>
      <c r="B5152" t="s">
        <v>363</v>
      </c>
      <c r="C5152" t="s">
        <v>1881</v>
      </c>
      <c r="D5152">
        <v>1266</v>
      </c>
      <c r="E5152">
        <v>1366</v>
      </c>
      <c r="F5152">
        <v>1696</v>
      </c>
      <c r="G5152">
        <v>1973</v>
      </c>
    </row>
    <row r="5153" spans="1:7">
      <c r="A5153" t="s">
        <v>1876</v>
      </c>
      <c r="B5153" t="s">
        <v>363</v>
      </c>
      <c r="C5153" t="s">
        <v>1882</v>
      </c>
      <c r="D5153">
        <v>0</v>
      </c>
      <c r="E5153">
        <v>0</v>
      </c>
      <c r="F5153">
        <v>0</v>
      </c>
      <c r="G5153">
        <v>0</v>
      </c>
    </row>
    <row r="5154" spans="1:7">
      <c r="A5154" t="s">
        <v>1876</v>
      </c>
      <c r="B5154" t="s">
        <v>363</v>
      </c>
      <c r="C5154" t="s">
        <v>1883</v>
      </c>
      <c r="D5154">
        <v>0</v>
      </c>
      <c r="E5154">
        <v>0</v>
      </c>
      <c r="F5154">
        <v>0</v>
      </c>
      <c r="G5154">
        <v>0</v>
      </c>
    </row>
    <row r="5155" spans="1:7">
      <c r="A5155" t="s">
        <v>1876</v>
      </c>
      <c r="B5155" t="s">
        <v>363</v>
      </c>
      <c r="C5155" t="s">
        <v>1884</v>
      </c>
      <c r="D5155">
        <v>0</v>
      </c>
      <c r="E5155">
        <v>0</v>
      </c>
      <c r="F5155">
        <v>0</v>
      </c>
      <c r="G5155">
        <v>0</v>
      </c>
    </row>
    <row r="5156" spans="1:7">
      <c r="A5156" t="s">
        <v>1876</v>
      </c>
      <c r="B5156" t="s">
        <v>363</v>
      </c>
      <c r="C5156" t="s">
        <v>1885</v>
      </c>
      <c r="D5156">
        <v>0</v>
      </c>
      <c r="E5156">
        <v>0</v>
      </c>
      <c r="F5156">
        <v>0</v>
      </c>
      <c r="G5156">
        <v>0</v>
      </c>
    </row>
    <row r="5157" spans="1:7">
      <c r="A5157" t="s">
        <v>1876</v>
      </c>
      <c r="B5157" t="s">
        <v>363</v>
      </c>
      <c r="C5157" t="s">
        <v>1886</v>
      </c>
      <c r="D5157">
        <v>0</v>
      </c>
      <c r="E5157">
        <v>0</v>
      </c>
      <c r="F5157">
        <v>0</v>
      </c>
      <c r="G5157">
        <v>0</v>
      </c>
    </row>
    <row r="5158" spans="1:7">
      <c r="A5158" t="s">
        <v>1876</v>
      </c>
      <c r="B5158" t="s">
        <v>363</v>
      </c>
      <c r="C5158" t="s">
        <v>141</v>
      </c>
      <c r="D5158">
        <v>110</v>
      </c>
      <c r="E5158">
        <v>139</v>
      </c>
      <c r="F5158">
        <v>146</v>
      </c>
      <c r="G5158">
        <v>148</v>
      </c>
    </row>
    <row r="5159" spans="1:7">
      <c r="A5159" t="s">
        <v>1876</v>
      </c>
      <c r="B5159" t="s">
        <v>363</v>
      </c>
      <c r="C5159" t="s">
        <v>1887</v>
      </c>
      <c r="D5159">
        <v>0</v>
      </c>
      <c r="E5159">
        <v>0</v>
      </c>
      <c r="F5159">
        <v>0</v>
      </c>
      <c r="G5159">
        <v>0</v>
      </c>
    </row>
    <row r="5160" spans="1:7">
      <c r="A5160" t="s">
        <v>1876</v>
      </c>
      <c r="B5160" t="s">
        <v>363</v>
      </c>
      <c r="C5160" t="s">
        <v>1888</v>
      </c>
      <c r="D5160">
        <v>0</v>
      </c>
      <c r="E5160">
        <v>0</v>
      </c>
      <c r="F5160">
        <v>0</v>
      </c>
      <c r="G5160">
        <v>0</v>
      </c>
    </row>
    <row r="5161" spans="1:7">
      <c r="A5161" t="s">
        <v>1876</v>
      </c>
      <c r="B5161" t="s">
        <v>363</v>
      </c>
      <c r="C5161" t="s">
        <v>1889</v>
      </c>
      <c r="D5161">
        <v>938</v>
      </c>
      <c r="E5161">
        <v>964</v>
      </c>
      <c r="F5161">
        <v>999</v>
      </c>
      <c r="G5161">
        <v>1066</v>
      </c>
    </row>
    <row r="5162" spans="1:7">
      <c r="A5162" t="s">
        <v>1876</v>
      </c>
      <c r="B5162" t="s">
        <v>363</v>
      </c>
      <c r="C5162" t="s">
        <v>1890</v>
      </c>
      <c r="D5162">
        <v>0</v>
      </c>
      <c r="E5162">
        <v>0</v>
      </c>
      <c r="F5162">
        <v>0</v>
      </c>
      <c r="G5162">
        <v>0</v>
      </c>
    </row>
    <row r="5163" spans="1:7">
      <c r="A5163" t="s">
        <v>1876</v>
      </c>
      <c r="B5163" t="s">
        <v>363</v>
      </c>
      <c r="C5163" t="s">
        <v>1891</v>
      </c>
    </row>
    <row r="5164" spans="1:7">
      <c r="A5164" t="s">
        <v>1876</v>
      </c>
      <c r="B5164" t="s">
        <v>363</v>
      </c>
      <c r="C5164" t="s">
        <v>1892</v>
      </c>
      <c r="D5164">
        <v>1266</v>
      </c>
      <c r="E5164">
        <v>1366</v>
      </c>
      <c r="F5164">
        <v>1696</v>
      </c>
      <c r="G5164">
        <v>1973</v>
      </c>
    </row>
    <row r="5165" spans="1:7">
      <c r="A5165" t="s">
        <v>1876</v>
      </c>
      <c r="B5165" t="s">
        <v>363</v>
      </c>
      <c r="C5165" t="s">
        <v>142</v>
      </c>
      <c r="D5165">
        <v>2204</v>
      </c>
      <c r="E5165">
        <v>2329</v>
      </c>
      <c r="F5165">
        <v>2695</v>
      </c>
      <c r="G5165">
        <v>3039</v>
      </c>
    </row>
    <row r="5166" spans="1:7">
      <c r="A5166" t="s">
        <v>1876</v>
      </c>
      <c r="B5166" t="s">
        <v>363</v>
      </c>
      <c r="C5166" t="s">
        <v>1893</v>
      </c>
      <c r="D5166">
        <v>2204</v>
      </c>
      <c r="E5166">
        <v>2329</v>
      </c>
      <c r="F5166">
        <v>2695</v>
      </c>
      <c r="G5166">
        <v>3039</v>
      </c>
    </row>
    <row r="5167" spans="1:7">
      <c r="A5167" t="s">
        <v>1876</v>
      </c>
      <c r="B5167" t="s">
        <v>363</v>
      </c>
      <c r="C5167" t="s">
        <v>1894</v>
      </c>
      <c r="D5167">
        <v>1266</v>
      </c>
      <c r="E5167">
        <v>1366</v>
      </c>
      <c r="F5167">
        <v>1696</v>
      </c>
      <c r="G5167">
        <v>1973</v>
      </c>
    </row>
    <row r="5168" spans="1:7">
      <c r="A5168" t="s">
        <v>1876</v>
      </c>
      <c r="B5168" t="s">
        <v>363</v>
      </c>
      <c r="C5168" t="s">
        <v>143</v>
      </c>
      <c r="D5168">
        <v>27983</v>
      </c>
      <c r="E5168">
        <v>30176</v>
      </c>
      <c r="F5168">
        <v>27062</v>
      </c>
      <c r="G5168">
        <v>29019</v>
      </c>
    </row>
    <row r="5169" spans="1:7">
      <c r="A5169" t="s">
        <v>1876</v>
      </c>
      <c r="B5169" t="s">
        <v>363</v>
      </c>
      <c r="C5169" t="s">
        <v>144</v>
      </c>
      <c r="D5169">
        <v>40296</v>
      </c>
      <c r="E5169">
        <v>42288</v>
      </c>
      <c r="F5169">
        <v>40141</v>
      </c>
      <c r="G5169">
        <v>43047</v>
      </c>
    </row>
    <row r="5170" spans="1:7">
      <c r="A5170" t="s">
        <v>1876</v>
      </c>
      <c r="B5170" t="s">
        <v>363</v>
      </c>
      <c r="C5170" t="s">
        <v>1895</v>
      </c>
      <c r="D5170">
        <v>74.5</v>
      </c>
      <c r="E5170">
        <v>77.2</v>
      </c>
      <c r="F5170">
        <v>83.2</v>
      </c>
      <c r="G5170">
        <v>70.3</v>
      </c>
    </row>
    <row r="5171" spans="1:7">
      <c r="A5171" t="s">
        <v>1876</v>
      </c>
      <c r="B5171" t="s">
        <v>363</v>
      </c>
      <c r="C5171" t="s">
        <v>145</v>
      </c>
      <c r="D5171">
        <v>46363</v>
      </c>
      <c r="E5171">
        <v>48891</v>
      </c>
      <c r="F5171">
        <v>45035</v>
      </c>
      <c r="G5171">
        <v>48345</v>
      </c>
    </row>
    <row r="5172" spans="1:7">
      <c r="A5172" t="s">
        <v>1876</v>
      </c>
      <c r="B5172" t="s">
        <v>363</v>
      </c>
      <c r="C5172" t="s">
        <v>146</v>
      </c>
      <c r="D5172">
        <v>0</v>
      </c>
      <c r="E5172">
        <v>0</v>
      </c>
      <c r="F5172">
        <v>0</v>
      </c>
      <c r="G5172">
        <v>0</v>
      </c>
    </row>
    <row r="5173" spans="1:7">
      <c r="A5173" t="s">
        <v>1876</v>
      </c>
      <c r="B5173" t="s">
        <v>363</v>
      </c>
      <c r="C5173" t="s">
        <v>147</v>
      </c>
      <c r="D5173">
        <v>0</v>
      </c>
      <c r="E5173">
        <v>0</v>
      </c>
      <c r="F5173">
        <v>0</v>
      </c>
      <c r="G5173">
        <v>0</v>
      </c>
    </row>
    <row r="5174" spans="1:7">
      <c r="A5174" t="s">
        <v>1876</v>
      </c>
      <c r="B5174" t="s">
        <v>363</v>
      </c>
      <c r="C5174" t="s">
        <v>1896</v>
      </c>
      <c r="D5174">
        <v>0</v>
      </c>
      <c r="E5174">
        <v>0</v>
      </c>
      <c r="F5174">
        <v>0</v>
      </c>
      <c r="G5174">
        <v>0</v>
      </c>
    </row>
    <row r="5175" spans="1:7">
      <c r="A5175" t="s">
        <v>1876</v>
      </c>
      <c r="B5175" t="s">
        <v>363</v>
      </c>
      <c r="C5175" t="s">
        <v>1702</v>
      </c>
      <c r="D5175">
        <v>0</v>
      </c>
      <c r="E5175">
        <v>0</v>
      </c>
      <c r="F5175">
        <v>0</v>
      </c>
      <c r="G5175">
        <v>0</v>
      </c>
    </row>
    <row r="5176" spans="1:7">
      <c r="A5176" t="s">
        <v>1876</v>
      </c>
      <c r="B5176" t="s">
        <v>363</v>
      </c>
      <c r="C5176" t="s">
        <v>1897</v>
      </c>
      <c r="D5176">
        <v>4.3</v>
      </c>
      <c r="E5176">
        <v>6.4</v>
      </c>
      <c r="F5176">
        <v>10.8</v>
      </c>
      <c r="G5176">
        <v>14</v>
      </c>
    </row>
    <row r="5177" spans="1:7">
      <c r="A5177" t="s">
        <v>1876</v>
      </c>
      <c r="B5177" t="s">
        <v>363</v>
      </c>
      <c r="C5177" t="s">
        <v>1898</v>
      </c>
      <c r="D5177">
        <v>7</v>
      </c>
      <c r="E5177">
        <v>12</v>
      </c>
      <c r="F5177">
        <v>34</v>
      </c>
      <c r="G5177">
        <v>47</v>
      </c>
    </row>
    <row r="5178" spans="1:7">
      <c r="A5178" t="s">
        <v>1876</v>
      </c>
      <c r="B5178" t="s">
        <v>363</v>
      </c>
      <c r="C5178" t="s">
        <v>1899</v>
      </c>
      <c r="D5178">
        <v>1266</v>
      </c>
      <c r="E5178">
        <v>1366</v>
      </c>
      <c r="F5178">
        <v>1696</v>
      </c>
      <c r="G5178">
        <v>1973</v>
      </c>
    </row>
    <row r="5179" spans="1:7">
      <c r="A5179" t="s">
        <v>1876</v>
      </c>
      <c r="B5179" t="s">
        <v>363</v>
      </c>
      <c r="C5179" t="s">
        <v>148</v>
      </c>
      <c r="D5179">
        <v>0</v>
      </c>
      <c r="E5179">
        <v>0</v>
      </c>
      <c r="F5179">
        <v>0</v>
      </c>
      <c r="G5179">
        <v>0</v>
      </c>
    </row>
    <row r="5180" spans="1:7">
      <c r="A5180" t="s">
        <v>1876</v>
      </c>
      <c r="B5180" t="s">
        <v>363</v>
      </c>
      <c r="C5180" t="s">
        <v>149</v>
      </c>
      <c r="D5180">
        <v>0</v>
      </c>
      <c r="E5180">
        <v>0</v>
      </c>
      <c r="F5180">
        <v>0</v>
      </c>
      <c r="G5180">
        <v>0</v>
      </c>
    </row>
    <row r="5181" spans="1:7">
      <c r="A5181" t="s">
        <v>1876</v>
      </c>
      <c r="B5181" t="s">
        <v>363</v>
      </c>
      <c r="C5181" t="s">
        <v>150</v>
      </c>
      <c r="D5181">
        <v>0</v>
      </c>
      <c r="E5181">
        <v>0</v>
      </c>
      <c r="F5181">
        <v>0</v>
      </c>
      <c r="G5181">
        <v>0</v>
      </c>
    </row>
    <row r="5182" spans="1:7">
      <c r="A5182" t="s">
        <v>1876</v>
      </c>
      <c r="B5182" t="s">
        <v>363</v>
      </c>
      <c r="C5182" t="s">
        <v>1900</v>
      </c>
      <c r="D5182">
        <v>49.2</v>
      </c>
      <c r="E5182">
        <v>51.4</v>
      </c>
      <c r="F5182">
        <v>41.6</v>
      </c>
      <c r="G5182">
        <v>33.200000000000003</v>
      </c>
    </row>
    <row r="5183" spans="1:7">
      <c r="A5183" t="s">
        <v>1876</v>
      </c>
      <c r="B5183" t="s">
        <v>363</v>
      </c>
      <c r="C5183" t="s">
        <v>151</v>
      </c>
      <c r="D5183">
        <v>0</v>
      </c>
      <c r="E5183">
        <v>0</v>
      </c>
      <c r="F5183">
        <v>0</v>
      </c>
      <c r="G5183">
        <v>0</v>
      </c>
    </row>
    <row r="5184" spans="1:7">
      <c r="A5184" t="s">
        <v>1876</v>
      </c>
      <c r="B5184" t="s">
        <v>363</v>
      </c>
      <c r="C5184" t="s">
        <v>152</v>
      </c>
      <c r="D5184">
        <v>217821</v>
      </c>
      <c r="E5184">
        <v>224906</v>
      </c>
      <c r="F5184">
        <v>182057</v>
      </c>
      <c r="G5184">
        <v>150152</v>
      </c>
    </row>
    <row r="5185" spans="1:7">
      <c r="A5185" t="s">
        <v>1876</v>
      </c>
      <c r="B5185" t="s">
        <v>363</v>
      </c>
      <c r="C5185" t="s">
        <v>1703</v>
      </c>
      <c r="D5185">
        <v>4525</v>
      </c>
      <c r="E5185">
        <v>4521</v>
      </c>
      <c r="F5185">
        <v>4525</v>
      </c>
      <c r="G5185">
        <v>4695</v>
      </c>
    </row>
    <row r="5186" spans="1:7">
      <c r="A5186" t="s">
        <v>1876</v>
      </c>
      <c r="B5186" t="s">
        <v>363</v>
      </c>
      <c r="C5186" t="s">
        <v>153</v>
      </c>
      <c r="D5186">
        <v>1210</v>
      </c>
      <c r="E5186">
        <v>1806</v>
      </c>
      <c r="F5186">
        <v>2557</v>
      </c>
      <c r="G5186">
        <v>1857</v>
      </c>
    </row>
    <row r="5187" spans="1:7">
      <c r="A5187" t="s">
        <v>1876</v>
      </c>
      <c r="B5187" t="s">
        <v>363</v>
      </c>
      <c r="C5187" t="s">
        <v>154</v>
      </c>
      <c r="D5187">
        <v>0</v>
      </c>
      <c r="E5187">
        <v>0</v>
      </c>
      <c r="F5187">
        <v>0</v>
      </c>
      <c r="G5187">
        <v>0</v>
      </c>
    </row>
    <row r="5188" spans="1:7">
      <c r="A5188" t="s">
        <v>1876</v>
      </c>
      <c r="B5188" t="s">
        <v>363</v>
      </c>
      <c r="C5188" t="s">
        <v>155</v>
      </c>
      <c r="D5188">
        <v>1210</v>
      </c>
      <c r="E5188">
        <v>1806</v>
      </c>
      <c r="F5188">
        <v>2557</v>
      </c>
      <c r="G5188">
        <v>1857</v>
      </c>
    </row>
    <row r="5189" spans="1:7">
      <c r="A5189" t="s">
        <v>1876</v>
      </c>
      <c r="B5189" t="s">
        <v>363</v>
      </c>
      <c r="C5189" t="s">
        <v>156</v>
      </c>
      <c r="D5189">
        <v>0</v>
      </c>
      <c r="E5189">
        <v>0</v>
      </c>
      <c r="F5189">
        <v>0</v>
      </c>
      <c r="G5189">
        <v>0</v>
      </c>
    </row>
    <row r="5190" spans="1:7">
      <c r="A5190" t="s">
        <v>1876</v>
      </c>
      <c r="B5190" t="s">
        <v>363</v>
      </c>
      <c r="C5190" t="s">
        <v>157</v>
      </c>
      <c r="D5190">
        <v>219031</v>
      </c>
      <c r="E5190">
        <v>226712</v>
      </c>
      <c r="F5190">
        <v>184614</v>
      </c>
      <c r="G5190">
        <v>152009</v>
      </c>
    </row>
    <row r="5191" spans="1:7">
      <c r="A5191" t="s">
        <v>1876</v>
      </c>
      <c r="B5191" t="s">
        <v>363</v>
      </c>
      <c r="C5191" t="s">
        <v>158</v>
      </c>
      <c r="D5191">
        <v>1210</v>
      </c>
      <c r="E5191">
        <v>1806</v>
      </c>
      <c r="F5191">
        <v>2557</v>
      </c>
      <c r="G5191">
        <v>1857</v>
      </c>
    </row>
    <row r="5192" spans="1:7">
      <c r="A5192" t="s">
        <v>1876</v>
      </c>
      <c r="B5192" t="s">
        <v>363</v>
      </c>
      <c r="C5192" t="s">
        <v>159</v>
      </c>
      <c r="D5192">
        <v>0</v>
      </c>
      <c r="E5192">
        <v>0</v>
      </c>
      <c r="F5192">
        <v>0</v>
      </c>
      <c r="G5192">
        <v>0</v>
      </c>
    </row>
    <row r="5193" spans="1:7">
      <c r="A5193" t="s">
        <v>1876</v>
      </c>
      <c r="B5193" t="s">
        <v>363</v>
      </c>
      <c r="C5193" t="s">
        <v>1901</v>
      </c>
      <c r="D5193">
        <v>57.2</v>
      </c>
      <c r="E5193">
        <v>62.9</v>
      </c>
      <c r="F5193">
        <v>53</v>
      </c>
      <c r="G5193">
        <v>57.7</v>
      </c>
    </row>
    <row r="5194" spans="1:7">
      <c r="A5194" t="s">
        <v>1876</v>
      </c>
      <c r="B5194" t="s">
        <v>363</v>
      </c>
      <c r="C5194" t="s">
        <v>1902</v>
      </c>
      <c r="D5194">
        <v>90947</v>
      </c>
      <c r="E5194">
        <v>104032</v>
      </c>
      <c r="F5194">
        <v>87788</v>
      </c>
      <c r="G5194">
        <v>94586</v>
      </c>
    </row>
    <row r="5195" spans="1:7">
      <c r="A5195" t="s">
        <v>1876</v>
      </c>
      <c r="B5195" t="s">
        <v>363</v>
      </c>
      <c r="C5195" t="s">
        <v>1903</v>
      </c>
      <c r="D5195">
        <v>1946</v>
      </c>
      <c r="E5195">
        <v>2045</v>
      </c>
      <c r="F5195">
        <v>1925</v>
      </c>
      <c r="G5195">
        <v>1787</v>
      </c>
    </row>
    <row r="5196" spans="1:7">
      <c r="A5196" t="s">
        <v>1876</v>
      </c>
      <c r="B5196" t="s">
        <v>363</v>
      </c>
      <c r="C5196" t="s">
        <v>1904</v>
      </c>
      <c r="D5196">
        <v>2094</v>
      </c>
      <c r="E5196">
        <v>1305</v>
      </c>
      <c r="F5196">
        <v>900</v>
      </c>
      <c r="G5196">
        <v>1431</v>
      </c>
    </row>
    <row r="5197" spans="1:7">
      <c r="A5197" t="s">
        <v>1876</v>
      </c>
      <c r="B5197" t="s">
        <v>363</v>
      </c>
      <c r="C5197" t="s">
        <v>1905</v>
      </c>
      <c r="D5197">
        <v>28298</v>
      </c>
      <c r="E5197">
        <v>28606</v>
      </c>
      <c r="F5197">
        <v>27920</v>
      </c>
      <c r="G5197">
        <v>27093</v>
      </c>
    </row>
    <row r="5198" spans="1:7">
      <c r="A5198" t="s">
        <v>1876</v>
      </c>
      <c r="B5198" t="s">
        <v>363</v>
      </c>
      <c r="C5198" t="s">
        <v>1906</v>
      </c>
      <c r="D5198">
        <v>18</v>
      </c>
      <c r="E5198">
        <v>19</v>
      </c>
      <c r="F5198">
        <v>18</v>
      </c>
      <c r="G5198">
        <v>16</v>
      </c>
    </row>
    <row r="5199" spans="1:7">
      <c r="A5199" t="s">
        <v>1876</v>
      </c>
      <c r="B5199" t="s">
        <v>363</v>
      </c>
      <c r="C5199" t="s">
        <v>1907</v>
      </c>
      <c r="D5199">
        <v>123303</v>
      </c>
      <c r="E5199">
        <v>136006</v>
      </c>
      <c r="F5199">
        <v>118551</v>
      </c>
      <c r="G5199">
        <v>124914</v>
      </c>
    </row>
    <row r="5200" spans="1:7">
      <c r="A5200" t="s">
        <v>1876</v>
      </c>
      <c r="B5200" t="s">
        <v>363</v>
      </c>
      <c r="C5200" t="s">
        <v>160</v>
      </c>
      <c r="D5200">
        <v>89681</v>
      </c>
      <c r="E5200">
        <v>102666</v>
      </c>
      <c r="F5200">
        <v>86092</v>
      </c>
      <c r="G5200">
        <v>92613</v>
      </c>
    </row>
    <row r="5201" spans="1:7">
      <c r="A5201" t="s">
        <v>1876</v>
      </c>
      <c r="B5201" t="s">
        <v>363</v>
      </c>
      <c r="C5201" t="s">
        <v>161</v>
      </c>
      <c r="D5201">
        <v>1946</v>
      </c>
      <c r="E5201">
        <v>2045</v>
      </c>
      <c r="F5201">
        <v>1925</v>
      </c>
      <c r="G5201">
        <v>1787</v>
      </c>
    </row>
    <row r="5202" spans="1:7">
      <c r="A5202" t="s">
        <v>1876</v>
      </c>
      <c r="B5202" t="s">
        <v>363</v>
      </c>
      <c r="C5202" t="s">
        <v>162</v>
      </c>
      <c r="D5202">
        <v>2094</v>
      </c>
      <c r="E5202">
        <v>1305</v>
      </c>
      <c r="F5202">
        <v>900</v>
      </c>
      <c r="G5202">
        <v>1431</v>
      </c>
    </row>
    <row r="5203" spans="1:7">
      <c r="A5203" t="s">
        <v>1876</v>
      </c>
      <c r="B5203" t="s">
        <v>363</v>
      </c>
      <c r="C5203" t="s">
        <v>163</v>
      </c>
      <c r="D5203">
        <v>28298</v>
      </c>
      <c r="E5203">
        <v>28606</v>
      </c>
      <c r="F5203">
        <v>27920</v>
      </c>
      <c r="G5203">
        <v>27093</v>
      </c>
    </row>
    <row r="5204" spans="1:7">
      <c r="A5204" t="s">
        <v>1876</v>
      </c>
      <c r="B5204" t="s">
        <v>363</v>
      </c>
      <c r="C5204" t="s">
        <v>164</v>
      </c>
      <c r="D5204">
        <v>18</v>
      </c>
      <c r="E5204">
        <v>19</v>
      </c>
      <c r="F5204">
        <v>18</v>
      </c>
      <c r="G5204">
        <v>16</v>
      </c>
    </row>
    <row r="5205" spans="1:7">
      <c r="A5205" t="s">
        <v>1876</v>
      </c>
      <c r="B5205" t="s">
        <v>363</v>
      </c>
      <c r="C5205" t="s">
        <v>165</v>
      </c>
      <c r="D5205">
        <v>122037</v>
      </c>
      <c r="E5205">
        <v>134641</v>
      </c>
      <c r="F5205">
        <v>116855</v>
      </c>
      <c r="G5205">
        <v>122941</v>
      </c>
    </row>
    <row r="5206" spans="1:7">
      <c r="A5206" t="s">
        <v>1876</v>
      </c>
      <c r="B5206" t="s">
        <v>363</v>
      </c>
      <c r="C5206" t="s">
        <v>166</v>
      </c>
      <c r="D5206">
        <v>119943</v>
      </c>
      <c r="E5206">
        <v>133336</v>
      </c>
      <c r="F5206">
        <v>115955</v>
      </c>
      <c r="G5206">
        <v>121510</v>
      </c>
    </row>
    <row r="5207" spans="1:7">
      <c r="A5207" t="s">
        <v>1876</v>
      </c>
      <c r="B5207" t="s">
        <v>363</v>
      </c>
      <c r="C5207" t="s">
        <v>167</v>
      </c>
      <c r="D5207">
        <v>2094</v>
      </c>
      <c r="E5207">
        <v>1305</v>
      </c>
      <c r="F5207">
        <v>900</v>
      </c>
      <c r="G5207">
        <v>1431</v>
      </c>
    </row>
    <row r="5208" spans="1:7">
      <c r="A5208" t="s">
        <v>1876</v>
      </c>
      <c r="B5208" t="s">
        <v>363</v>
      </c>
      <c r="C5208" t="s">
        <v>1908</v>
      </c>
      <c r="D5208">
        <v>88743</v>
      </c>
      <c r="E5208">
        <v>101703</v>
      </c>
      <c r="F5208">
        <v>85093</v>
      </c>
      <c r="G5208">
        <v>91547</v>
      </c>
    </row>
    <row r="5209" spans="1:7">
      <c r="A5209" t="s">
        <v>1876</v>
      </c>
      <c r="B5209" t="s">
        <v>363</v>
      </c>
      <c r="C5209" t="s">
        <v>1909</v>
      </c>
      <c r="D5209">
        <v>1946</v>
      </c>
      <c r="E5209">
        <v>2045</v>
      </c>
      <c r="F5209">
        <v>1925</v>
      </c>
      <c r="G5209">
        <v>1787</v>
      </c>
    </row>
    <row r="5210" spans="1:7">
      <c r="A5210" t="s">
        <v>1876</v>
      </c>
      <c r="B5210" t="s">
        <v>363</v>
      </c>
      <c r="C5210" t="s">
        <v>1910</v>
      </c>
      <c r="D5210">
        <v>2094</v>
      </c>
      <c r="E5210">
        <v>1305</v>
      </c>
      <c r="F5210">
        <v>900</v>
      </c>
      <c r="G5210">
        <v>1431</v>
      </c>
    </row>
    <row r="5211" spans="1:7">
      <c r="A5211" t="s">
        <v>1876</v>
      </c>
      <c r="B5211" t="s">
        <v>363</v>
      </c>
      <c r="C5211" t="s">
        <v>1911</v>
      </c>
      <c r="D5211">
        <v>28298</v>
      </c>
      <c r="E5211">
        <v>28606</v>
      </c>
      <c r="F5211">
        <v>27920</v>
      </c>
      <c r="G5211">
        <v>27093</v>
      </c>
    </row>
    <row r="5212" spans="1:7">
      <c r="A5212" t="s">
        <v>1876</v>
      </c>
      <c r="B5212" t="s">
        <v>363</v>
      </c>
      <c r="C5212" t="s">
        <v>1912</v>
      </c>
      <c r="D5212">
        <v>18</v>
      </c>
      <c r="E5212">
        <v>19</v>
      </c>
      <c r="F5212">
        <v>18</v>
      </c>
      <c r="G5212">
        <v>16</v>
      </c>
    </row>
    <row r="5213" spans="1:7">
      <c r="A5213" t="s">
        <v>1876</v>
      </c>
      <c r="B5213" t="s">
        <v>363</v>
      </c>
      <c r="C5213" t="s">
        <v>168</v>
      </c>
      <c r="D5213">
        <v>121099</v>
      </c>
      <c r="E5213">
        <v>133677</v>
      </c>
      <c r="F5213">
        <v>115856</v>
      </c>
      <c r="G5213">
        <v>121875</v>
      </c>
    </row>
    <row r="5214" spans="1:7">
      <c r="A5214" t="s">
        <v>1876</v>
      </c>
      <c r="B5214" t="s">
        <v>363</v>
      </c>
      <c r="C5214" t="s">
        <v>169</v>
      </c>
      <c r="D5214">
        <v>0</v>
      </c>
      <c r="E5214">
        <v>0</v>
      </c>
      <c r="F5214">
        <v>0</v>
      </c>
      <c r="G5214">
        <v>0</v>
      </c>
    </row>
    <row r="5215" spans="1:7">
      <c r="A5215" t="s">
        <v>1876</v>
      </c>
      <c r="B5215" t="s">
        <v>363</v>
      </c>
      <c r="C5215" t="s">
        <v>1704</v>
      </c>
      <c r="D5215">
        <v>18432</v>
      </c>
      <c r="E5215">
        <v>18427</v>
      </c>
      <c r="F5215">
        <v>19197</v>
      </c>
      <c r="G5215">
        <v>19356</v>
      </c>
    </row>
    <row r="5216" spans="1:7">
      <c r="A5216" t="s">
        <v>1876</v>
      </c>
      <c r="B5216" t="s">
        <v>363</v>
      </c>
      <c r="C5216" t="s">
        <v>170</v>
      </c>
      <c r="D5216">
        <v>0</v>
      </c>
      <c r="E5216">
        <v>0</v>
      </c>
      <c r="F5216">
        <v>0</v>
      </c>
      <c r="G5216">
        <v>0</v>
      </c>
    </row>
    <row r="5217" spans="1:7">
      <c r="A5217" t="s">
        <v>1876</v>
      </c>
      <c r="B5217" t="s">
        <v>363</v>
      </c>
      <c r="C5217" t="s">
        <v>171</v>
      </c>
      <c r="D5217">
        <v>-106542</v>
      </c>
      <c r="E5217">
        <v>-135261</v>
      </c>
      <c r="F5217">
        <v>-114435</v>
      </c>
      <c r="G5217">
        <v>-101510</v>
      </c>
    </row>
    <row r="5218" spans="1:7">
      <c r="A5218" t="s">
        <v>1876</v>
      </c>
      <c r="B5218" t="s">
        <v>363</v>
      </c>
      <c r="C5218" t="s">
        <v>172</v>
      </c>
      <c r="D5218">
        <v>0</v>
      </c>
      <c r="E5218">
        <v>0</v>
      </c>
      <c r="F5218">
        <v>0</v>
      </c>
      <c r="G5218">
        <v>0</v>
      </c>
    </row>
    <row r="5219" spans="1:7">
      <c r="A5219" t="s">
        <v>1876</v>
      </c>
      <c r="B5219" t="s">
        <v>363</v>
      </c>
      <c r="C5219" t="s">
        <v>1913</v>
      </c>
      <c r="D5219">
        <v>7.6</v>
      </c>
      <c r="E5219">
        <v>10.4</v>
      </c>
      <c r="F5219">
        <v>15.7</v>
      </c>
      <c r="G5219">
        <v>20.399999999999999</v>
      </c>
    </row>
    <row r="5220" spans="1:7">
      <c r="A5220" t="s">
        <v>1876</v>
      </c>
      <c r="B5220" t="s">
        <v>363</v>
      </c>
      <c r="C5220" t="s">
        <v>1914</v>
      </c>
      <c r="D5220">
        <v>0.3</v>
      </c>
      <c r="E5220">
        <v>0.4</v>
      </c>
      <c r="F5220">
        <v>0.7</v>
      </c>
      <c r="G5220">
        <v>0.8</v>
      </c>
    </row>
    <row r="5221" spans="1:7">
      <c r="A5221" t="s">
        <v>1876</v>
      </c>
      <c r="B5221" t="s">
        <v>363</v>
      </c>
      <c r="C5221" t="s">
        <v>173</v>
      </c>
      <c r="D5221">
        <v>9590</v>
      </c>
      <c r="E5221">
        <v>9232</v>
      </c>
      <c r="F5221">
        <v>9871</v>
      </c>
      <c r="G5221">
        <v>10585</v>
      </c>
    </row>
    <row r="5222" spans="1:7">
      <c r="A5222" t="s">
        <v>1876</v>
      </c>
      <c r="B5222" t="s">
        <v>363</v>
      </c>
      <c r="C5222" t="s">
        <v>174</v>
      </c>
      <c r="D5222">
        <v>205</v>
      </c>
      <c r="E5222">
        <v>212</v>
      </c>
      <c r="F5222">
        <v>213</v>
      </c>
      <c r="G5222">
        <v>176</v>
      </c>
    </row>
    <row r="5223" spans="1:7">
      <c r="A5223" t="s">
        <v>1876</v>
      </c>
      <c r="B5223" t="s">
        <v>363</v>
      </c>
      <c r="C5223" t="s">
        <v>175</v>
      </c>
      <c r="D5223">
        <v>315</v>
      </c>
      <c r="E5223">
        <v>338</v>
      </c>
      <c r="F5223">
        <v>299</v>
      </c>
      <c r="G5223">
        <v>228</v>
      </c>
    </row>
    <row r="5224" spans="1:7">
      <c r="A5224" t="s">
        <v>1876</v>
      </c>
      <c r="B5224" t="s">
        <v>363</v>
      </c>
      <c r="C5224" t="s">
        <v>176</v>
      </c>
      <c r="D5224">
        <v>27873</v>
      </c>
      <c r="E5224">
        <v>30038</v>
      </c>
      <c r="F5224">
        <v>26916</v>
      </c>
      <c r="G5224">
        <v>28871</v>
      </c>
    </row>
    <row r="5225" spans="1:7">
      <c r="A5225" t="s">
        <v>1876</v>
      </c>
      <c r="B5225" t="s">
        <v>363</v>
      </c>
      <c r="C5225" t="s">
        <v>177</v>
      </c>
      <c r="D5225">
        <v>10109</v>
      </c>
      <c r="E5225">
        <v>9782</v>
      </c>
      <c r="F5225">
        <v>10384</v>
      </c>
      <c r="G5225">
        <v>10989</v>
      </c>
    </row>
    <row r="5226" spans="1:7">
      <c r="A5226" t="s">
        <v>1876</v>
      </c>
      <c r="B5226" t="s">
        <v>363</v>
      </c>
      <c r="C5226" t="s">
        <v>178</v>
      </c>
      <c r="D5226">
        <v>0</v>
      </c>
      <c r="E5226">
        <v>0</v>
      </c>
      <c r="F5226">
        <v>0</v>
      </c>
      <c r="G5226">
        <v>0</v>
      </c>
    </row>
    <row r="5227" spans="1:7">
      <c r="A5227" t="s">
        <v>1876</v>
      </c>
      <c r="B5227" t="s">
        <v>363</v>
      </c>
      <c r="C5227" t="s">
        <v>179</v>
      </c>
      <c r="D5227">
        <v>0</v>
      </c>
      <c r="E5227">
        <v>0</v>
      </c>
      <c r="F5227">
        <v>0</v>
      </c>
      <c r="G5227">
        <v>0</v>
      </c>
    </row>
    <row r="5228" spans="1:7">
      <c r="A5228" t="s">
        <v>1876</v>
      </c>
      <c r="B5228" t="s">
        <v>363</v>
      </c>
      <c r="C5228" t="s">
        <v>180</v>
      </c>
      <c r="D5228">
        <v>0</v>
      </c>
      <c r="E5228">
        <v>0</v>
      </c>
      <c r="F5228">
        <v>0</v>
      </c>
      <c r="G5228">
        <v>0</v>
      </c>
    </row>
    <row r="5229" spans="1:7">
      <c r="A5229" t="s">
        <v>1876</v>
      </c>
      <c r="B5229" t="s">
        <v>363</v>
      </c>
      <c r="C5229" t="s">
        <v>181</v>
      </c>
      <c r="D5229">
        <v>52396</v>
      </c>
      <c r="E5229">
        <v>53846</v>
      </c>
      <c r="F5229">
        <v>53661</v>
      </c>
      <c r="G5229">
        <v>53878</v>
      </c>
    </row>
    <row r="5230" spans="1:7">
      <c r="A5230" t="s">
        <v>1876</v>
      </c>
      <c r="B5230" t="s">
        <v>363</v>
      </c>
      <c r="C5230" t="s">
        <v>182</v>
      </c>
      <c r="D5230">
        <v>38781</v>
      </c>
      <c r="E5230">
        <v>40044</v>
      </c>
      <c r="F5230">
        <v>39270</v>
      </c>
      <c r="G5230">
        <v>39673</v>
      </c>
    </row>
    <row r="5231" spans="1:7">
      <c r="A5231" t="s">
        <v>1876</v>
      </c>
      <c r="B5231" t="s">
        <v>363</v>
      </c>
      <c r="C5231" t="s">
        <v>183</v>
      </c>
      <c r="D5231">
        <v>46981</v>
      </c>
      <c r="E5231">
        <v>49281</v>
      </c>
      <c r="F5231">
        <v>47138</v>
      </c>
      <c r="G5231">
        <v>47222</v>
      </c>
    </row>
    <row r="5232" spans="1:7">
      <c r="A5232" t="s">
        <v>1876</v>
      </c>
      <c r="B5232" t="s">
        <v>363</v>
      </c>
      <c r="C5232" t="s">
        <v>184</v>
      </c>
      <c r="D5232">
        <v>138158</v>
      </c>
      <c r="E5232">
        <v>143171</v>
      </c>
      <c r="F5232">
        <v>140069</v>
      </c>
      <c r="G5232">
        <v>140773</v>
      </c>
    </row>
    <row r="5233" spans="1:7">
      <c r="A5233" t="s">
        <v>1876</v>
      </c>
      <c r="B5233" t="s">
        <v>363</v>
      </c>
      <c r="C5233" t="s">
        <v>185</v>
      </c>
      <c r="D5233">
        <v>138158</v>
      </c>
      <c r="E5233">
        <v>143171</v>
      </c>
      <c r="F5233">
        <v>140069</v>
      </c>
      <c r="G5233">
        <v>140773</v>
      </c>
    </row>
    <row r="5234" spans="1:7">
      <c r="A5234" t="s">
        <v>1876</v>
      </c>
      <c r="B5234" t="s">
        <v>363</v>
      </c>
      <c r="C5234" t="s">
        <v>1915</v>
      </c>
      <c r="D5234">
        <v>13</v>
      </c>
      <c r="E5234">
        <v>21</v>
      </c>
      <c r="F5234">
        <v>48</v>
      </c>
      <c r="G5234">
        <v>63</v>
      </c>
    </row>
    <row r="5235" spans="1:7">
      <c r="A5235" t="s">
        <v>1876</v>
      </c>
      <c r="B5235" t="s">
        <v>363</v>
      </c>
      <c r="C5235" t="s">
        <v>1916</v>
      </c>
      <c r="D5235">
        <v>0</v>
      </c>
      <c r="E5235">
        <v>0</v>
      </c>
      <c r="F5235">
        <v>0</v>
      </c>
      <c r="G5235">
        <v>0</v>
      </c>
    </row>
    <row r="5236" spans="1:7">
      <c r="A5236" t="s">
        <v>1876</v>
      </c>
      <c r="B5236" t="s">
        <v>363</v>
      </c>
      <c r="C5236" t="s">
        <v>1917</v>
      </c>
      <c r="D5236">
        <v>16</v>
      </c>
      <c r="E5236">
        <v>14</v>
      </c>
      <c r="F5236">
        <v>14</v>
      </c>
      <c r="G5236">
        <v>14</v>
      </c>
    </row>
    <row r="5237" spans="1:7">
      <c r="A5237" t="s">
        <v>1876</v>
      </c>
      <c r="B5237" t="s">
        <v>363</v>
      </c>
      <c r="C5237" t="s">
        <v>1918</v>
      </c>
      <c r="D5237">
        <v>905</v>
      </c>
      <c r="E5237">
        <v>920</v>
      </c>
      <c r="F5237">
        <v>1004</v>
      </c>
      <c r="G5237">
        <v>1054</v>
      </c>
    </row>
    <row r="5238" spans="1:7">
      <c r="A5238" t="s">
        <v>1876</v>
      </c>
      <c r="B5238" t="s">
        <v>363</v>
      </c>
      <c r="C5238" t="s">
        <v>1919</v>
      </c>
      <c r="D5238">
        <v>2.5499999999999998</v>
      </c>
      <c r="E5238">
        <v>2.4900000000000002</v>
      </c>
      <c r="F5238">
        <v>2.42</v>
      </c>
      <c r="G5238">
        <v>2.34</v>
      </c>
    </row>
    <row r="5239" spans="1:7">
      <c r="A5239" t="s">
        <v>1876</v>
      </c>
      <c r="B5239" t="s">
        <v>363</v>
      </c>
      <c r="C5239" t="s">
        <v>1920</v>
      </c>
      <c r="D5239">
        <v>1031</v>
      </c>
      <c r="E5239">
        <v>1091</v>
      </c>
      <c r="F5239">
        <v>1253</v>
      </c>
      <c r="G5239">
        <v>1348</v>
      </c>
    </row>
    <row r="5240" spans="1:7">
      <c r="A5240" t="s">
        <v>1876</v>
      </c>
      <c r="B5240" t="s">
        <v>363</v>
      </c>
      <c r="C5240" t="s">
        <v>1921</v>
      </c>
      <c r="D5240">
        <v>387</v>
      </c>
      <c r="E5240">
        <v>403</v>
      </c>
      <c r="F5240">
        <v>471</v>
      </c>
      <c r="G5240">
        <v>524</v>
      </c>
    </row>
    <row r="5241" spans="1:7">
      <c r="A5241" t="s">
        <v>1876</v>
      </c>
      <c r="B5241" t="s">
        <v>363</v>
      </c>
      <c r="C5241" t="s">
        <v>1922</v>
      </c>
      <c r="D5241">
        <v>110</v>
      </c>
      <c r="E5241">
        <v>157</v>
      </c>
      <c r="F5241">
        <v>235</v>
      </c>
      <c r="G5241">
        <v>280</v>
      </c>
    </row>
    <row r="5242" spans="1:7">
      <c r="A5242" t="s">
        <v>1876</v>
      </c>
      <c r="B5242" t="s">
        <v>363</v>
      </c>
      <c r="C5242" t="s">
        <v>1923</v>
      </c>
      <c r="D5242">
        <v>3.44</v>
      </c>
      <c r="E5242">
        <v>4.62</v>
      </c>
      <c r="F5242">
        <v>4.12</v>
      </c>
      <c r="G5242">
        <v>3.73</v>
      </c>
    </row>
    <row r="5243" spans="1:7">
      <c r="A5243" t="s">
        <v>1876</v>
      </c>
      <c r="B5243" t="s">
        <v>363</v>
      </c>
      <c r="C5243" t="s">
        <v>1924</v>
      </c>
      <c r="D5243">
        <v>9</v>
      </c>
      <c r="E5243">
        <v>2</v>
      </c>
      <c r="F5243">
        <v>2</v>
      </c>
      <c r="G5243">
        <v>2</v>
      </c>
    </row>
    <row r="5244" spans="1:7">
      <c r="A5244" t="s">
        <v>1876</v>
      </c>
      <c r="B5244" t="s">
        <v>363</v>
      </c>
      <c r="C5244" t="s">
        <v>1925</v>
      </c>
      <c r="D5244">
        <v>50</v>
      </c>
      <c r="E5244">
        <v>55</v>
      </c>
      <c r="F5244">
        <v>58</v>
      </c>
      <c r="G5244">
        <v>55</v>
      </c>
    </row>
    <row r="5245" spans="1:7">
      <c r="A5245" t="s">
        <v>1876</v>
      </c>
      <c r="B5245" t="s">
        <v>363</v>
      </c>
      <c r="C5245" t="s">
        <v>1926</v>
      </c>
      <c r="D5245">
        <v>328</v>
      </c>
      <c r="E5245">
        <v>346</v>
      </c>
      <c r="F5245">
        <v>411</v>
      </c>
      <c r="G5245">
        <v>467</v>
      </c>
    </row>
    <row r="5246" spans="1:7">
      <c r="A5246" t="s">
        <v>1876</v>
      </c>
      <c r="B5246" t="s">
        <v>363</v>
      </c>
      <c r="C5246" t="s">
        <v>1927</v>
      </c>
      <c r="D5246">
        <v>16</v>
      </c>
      <c r="E5246">
        <v>18</v>
      </c>
      <c r="F5246">
        <v>16</v>
      </c>
      <c r="G5246">
        <v>14</v>
      </c>
    </row>
    <row r="5247" spans="1:7">
      <c r="A5247" t="s">
        <v>1876</v>
      </c>
      <c r="B5247" t="s">
        <v>363</v>
      </c>
      <c r="C5247" t="s">
        <v>1928</v>
      </c>
      <c r="D5247">
        <v>356</v>
      </c>
      <c r="E5247">
        <v>370</v>
      </c>
      <c r="F5247">
        <v>438</v>
      </c>
      <c r="G5247">
        <v>492</v>
      </c>
    </row>
    <row r="5248" spans="1:7">
      <c r="A5248" t="s">
        <v>1876</v>
      </c>
      <c r="B5248" t="s">
        <v>363</v>
      </c>
      <c r="C5248" t="s">
        <v>1929</v>
      </c>
      <c r="D5248">
        <v>15</v>
      </c>
      <c r="E5248">
        <v>15</v>
      </c>
      <c r="F5248">
        <v>17</v>
      </c>
      <c r="G5248">
        <v>18</v>
      </c>
    </row>
    <row r="5249" spans="1:7">
      <c r="A5249" t="s">
        <v>1876</v>
      </c>
      <c r="B5249" t="s">
        <v>363</v>
      </c>
      <c r="C5249" t="s">
        <v>186</v>
      </c>
      <c r="D5249">
        <v>0</v>
      </c>
      <c r="E5249">
        <v>0</v>
      </c>
      <c r="F5249">
        <v>0</v>
      </c>
      <c r="G5249">
        <v>0</v>
      </c>
    </row>
    <row r="5250" spans="1:7">
      <c r="A5250" t="s">
        <v>1876</v>
      </c>
      <c r="B5250" t="s">
        <v>363</v>
      </c>
      <c r="C5250" t="s">
        <v>187</v>
      </c>
      <c r="D5250">
        <v>0</v>
      </c>
      <c r="E5250">
        <v>0</v>
      </c>
      <c r="F5250">
        <v>0</v>
      </c>
      <c r="G5250">
        <v>0</v>
      </c>
    </row>
    <row r="5251" spans="1:7">
      <c r="A5251" t="s">
        <v>1876</v>
      </c>
      <c r="B5251" t="s">
        <v>363</v>
      </c>
      <c r="C5251" t="s">
        <v>1705</v>
      </c>
      <c r="D5251">
        <v>8922</v>
      </c>
      <c r="E5251">
        <v>8910</v>
      </c>
      <c r="F5251">
        <v>8921</v>
      </c>
      <c r="G5251">
        <v>9054</v>
      </c>
    </row>
    <row r="5252" spans="1:7">
      <c r="A5252" t="s">
        <v>1876</v>
      </c>
      <c r="B5252" t="s">
        <v>363</v>
      </c>
      <c r="C5252" t="s">
        <v>188</v>
      </c>
      <c r="D5252">
        <v>849850</v>
      </c>
      <c r="E5252">
        <v>892409</v>
      </c>
      <c r="F5252">
        <v>826413</v>
      </c>
      <c r="G5252">
        <v>812669</v>
      </c>
    </row>
    <row r="5253" spans="1:7">
      <c r="A5253" t="s">
        <v>1876</v>
      </c>
      <c r="B5253" t="s">
        <v>363</v>
      </c>
      <c r="C5253" t="s">
        <v>189</v>
      </c>
      <c r="D5253">
        <v>0</v>
      </c>
      <c r="E5253">
        <v>0</v>
      </c>
      <c r="F5253">
        <v>0</v>
      </c>
      <c r="G5253">
        <v>0</v>
      </c>
    </row>
    <row r="5254" spans="1:7">
      <c r="A5254" t="s">
        <v>1876</v>
      </c>
      <c r="B5254" t="s">
        <v>363</v>
      </c>
      <c r="C5254" t="s">
        <v>190</v>
      </c>
      <c r="D5254">
        <v>0</v>
      </c>
      <c r="E5254">
        <v>0</v>
      </c>
      <c r="F5254">
        <v>0</v>
      </c>
      <c r="G5254">
        <v>0</v>
      </c>
    </row>
    <row r="5255" spans="1:7">
      <c r="A5255" t="s">
        <v>1876</v>
      </c>
      <c r="B5255" t="s">
        <v>363</v>
      </c>
      <c r="C5255" t="s">
        <v>191</v>
      </c>
      <c r="D5255">
        <v>0</v>
      </c>
      <c r="E5255">
        <v>0</v>
      </c>
      <c r="F5255">
        <v>0</v>
      </c>
      <c r="G5255">
        <v>0</v>
      </c>
    </row>
    <row r="5256" spans="1:7">
      <c r="A5256" t="s">
        <v>1876</v>
      </c>
      <c r="B5256" t="s">
        <v>363</v>
      </c>
      <c r="C5256" t="s">
        <v>192</v>
      </c>
      <c r="D5256">
        <v>188993.3</v>
      </c>
      <c r="E5256">
        <v>213368.8</v>
      </c>
      <c r="F5256">
        <v>224851.3</v>
      </c>
      <c r="G5256">
        <v>230522.1</v>
      </c>
    </row>
    <row r="5257" spans="1:7">
      <c r="A5257" t="s">
        <v>1876</v>
      </c>
      <c r="B5257" t="s">
        <v>363</v>
      </c>
      <c r="C5257" t="s">
        <v>193</v>
      </c>
      <c r="D5257">
        <v>170401.2</v>
      </c>
      <c r="E5257">
        <v>177776.1</v>
      </c>
      <c r="F5257">
        <v>180267.5</v>
      </c>
      <c r="G5257">
        <v>181599.6</v>
      </c>
    </row>
    <row r="5258" spans="1:7">
      <c r="A5258" t="s">
        <v>1876</v>
      </c>
      <c r="B5258" t="s">
        <v>363</v>
      </c>
      <c r="C5258" t="s">
        <v>1930</v>
      </c>
      <c r="D5258">
        <v>0</v>
      </c>
      <c r="E5258">
        <v>0</v>
      </c>
      <c r="F5258">
        <v>0</v>
      </c>
      <c r="G5258">
        <v>0</v>
      </c>
    </row>
    <row r="5259" spans="1:7">
      <c r="A5259" t="s">
        <v>1876</v>
      </c>
      <c r="B5259" t="s">
        <v>363</v>
      </c>
      <c r="C5259" t="s">
        <v>194</v>
      </c>
      <c r="D5259">
        <v>672</v>
      </c>
      <c r="E5259">
        <v>672</v>
      </c>
      <c r="F5259">
        <v>672</v>
      </c>
      <c r="G5259">
        <v>672</v>
      </c>
    </row>
    <row r="5260" spans="1:7">
      <c r="A5260" t="s">
        <v>1876</v>
      </c>
      <c r="B5260" t="s">
        <v>363</v>
      </c>
      <c r="C5260" t="s">
        <v>195</v>
      </c>
      <c r="D5260">
        <v>0</v>
      </c>
      <c r="E5260">
        <v>0</v>
      </c>
      <c r="F5260">
        <v>0</v>
      </c>
      <c r="G5260">
        <v>0</v>
      </c>
    </row>
    <row r="5261" spans="1:7">
      <c r="A5261" t="s">
        <v>1876</v>
      </c>
      <c r="B5261" t="s">
        <v>363</v>
      </c>
      <c r="C5261" t="s">
        <v>1706</v>
      </c>
      <c r="D5261">
        <v>0</v>
      </c>
      <c r="E5261">
        <v>0</v>
      </c>
      <c r="F5261">
        <v>0</v>
      </c>
      <c r="G5261">
        <v>0</v>
      </c>
    </row>
    <row r="5262" spans="1:7">
      <c r="A5262" t="s">
        <v>1876</v>
      </c>
      <c r="B5262" t="s">
        <v>363</v>
      </c>
      <c r="C5262" t="s">
        <v>196</v>
      </c>
      <c r="D5262">
        <v>0</v>
      </c>
      <c r="E5262">
        <v>0</v>
      </c>
      <c r="F5262">
        <v>0</v>
      </c>
      <c r="G5262">
        <v>0</v>
      </c>
    </row>
    <row r="5263" spans="1:7">
      <c r="A5263" t="s">
        <v>1876</v>
      </c>
      <c r="B5263" t="s">
        <v>363</v>
      </c>
      <c r="C5263" t="s">
        <v>197</v>
      </c>
      <c r="D5263">
        <v>302</v>
      </c>
      <c r="E5263">
        <v>302</v>
      </c>
      <c r="F5263">
        <v>302</v>
      </c>
      <c r="G5263">
        <v>302</v>
      </c>
    </row>
    <row r="5264" spans="1:7">
      <c r="A5264" t="s">
        <v>1876</v>
      </c>
      <c r="B5264" t="s">
        <v>363</v>
      </c>
      <c r="C5264" t="s">
        <v>198</v>
      </c>
      <c r="D5264">
        <v>974</v>
      </c>
      <c r="E5264">
        <v>974</v>
      </c>
      <c r="F5264">
        <v>974</v>
      </c>
      <c r="G5264">
        <v>974</v>
      </c>
    </row>
    <row r="5265" spans="1:7">
      <c r="A5265" t="s">
        <v>1876</v>
      </c>
      <c r="B5265" t="s">
        <v>363</v>
      </c>
      <c r="C5265" t="s">
        <v>199</v>
      </c>
      <c r="D5265">
        <v>974</v>
      </c>
      <c r="E5265">
        <v>974</v>
      </c>
      <c r="F5265">
        <v>974</v>
      </c>
      <c r="G5265">
        <v>974</v>
      </c>
    </row>
    <row r="5266" spans="1:7">
      <c r="A5266" t="s">
        <v>1876</v>
      </c>
      <c r="B5266" t="s">
        <v>363</v>
      </c>
      <c r="C5266" t="s">
        <v>200</v>
      </c>
      <c r="D5266">
        <v>221</v>
      </c>
      <c r="E5266">
        <v>37</v>
      </c>
      <c r="F5266">
        <v>26</v>
      </c>
      <c r="G5266">
        <v>5</v>
      </c>
    </row>
    <row r="5267" spans="1:7">
      <c r="A5267" t="s">
        <v>1876</v>
      </c>
      <c r="B5267" t="s">
        <v>363</v>
      </c>
      <c r="C5267" t="s">
        <v>201</v>
      </c>
      <c r="D5267">
        <v>1567</v>
      </c>
      <c r="E5267">
        <v>1570</v>
      </c>
      <c r="F5267">
        <v>1256</v>
      </c>
      <c r="G5267">
        <v>1121</v>
      </c>
    </row>
    <row r="5268" spans="1:7">
      <c r="A5268" t="s">
        <v>1876</v>
      </c>
      <c r="B5268" t="s">
        <v>363</v>
      </c>
      <c r="C5268" t="s">
        <v>202</v>
      </c>
      <c r="D5268">
        <v>1733</v>
      </c>
      <c r="E5268">
        <v>1717</v>
      </c>
      <c r="F5268">
        <v>1556</v>
      </c>
      <c r="G5268">
        <v>1148</v>
      </c>
    </row>
    <row r="5269" spans="1:7">
      <c r="A5269" t="s">
        <v>1876</v>
      </c>
      <c r="B5269" t="s">
        <v>363</v>
      </c>
      <c r="C5269" t="s">
        <v>203</v>
      </c>
      <c r="D5269">
        <v>7712</v>
      </c>
      <c r="E5269">
        <v>8778</v>
      </c>
      <c r="F5269">
        <v>7513</v>
      </c>
      <c r="G5269">
        <v>7071</v>
      </c>
    </row>
    <row r="5270" spans="1:7">
      <c r="A5270" t="s">
        <v>1876</v>
      </c>
      <c r="B5270" t="s">
        <v>363</v>
      </c>
      <c r="C5270" t="s">
        <v>204</v>
      </c>
      <c r="D5270">
        <v>11233</v>
      </c>
      <c r="E5270">
        <v>12102</v>
      </c>
      <c r="F5270">
        <v>10351</v>
      </c>
      <c r="G5270">
        <v>9345</v>
      </c>
    </row>
    <row r="5271" spans="1:7">
      <c r="A5271" t="s">
        <v>1876</v>
      </c>
      <c r="B5271" t="s">
        <v>363</v>
      </c>
      <c r="C5271" t="s">
        <v>205</v>
      </c>
      <c r="D5271">
        <v>11233</v>
      </c>
      <c r="E5271">
        <v>12102</v>
      </c>
      <c r="F5271">
        <v>10351</v>
      </c>
      <c r="G5271">
        <v>9345</v>
      </c>
    </row>
    <row r="5272" spans="1:7">
      <c r="A5272" t="s">
        <v>1876</v>
      </c>
      <c r="B5272" t="s">
        <v>363</v>
      </c>
      <c r="C5272" t="s">
        <v>1931</v>
      </c>
      <c r="D5272">
        <v>0</v>
      </c>
      <c r="E5272">
        <v>0</v>
      </c>
      <c r="F5272">
        <v>0</v>
      </c>
      <c r="G5272">
        <v>0</v>
      </c>
    </row>
    <row r="5273" spans="1:7">
      <c r="A5273" t="s">
        <v>1876</v>
      </c>
      <c r="B5273" t="s">
        <v>363</v>
      </c>
      <c r="C5273" t="s">
        <v>1707</v>
      </c>
      <c r="D5273">
        <v>0</v>
      </c>
      <c r="E5273">
        <v>0</v>
      </c>
      <c r="F5273">
        <v>0</v>
      </c>
      <c r="G5273">
        <v>0</v>
      </c>
    </row>
    <row r="5274" spans="1:7">
      <c r="A5274" t="s">
        <v>1876</v>
      </c>
      <c r="B5274" t="s">
        <v>363</v>
      </c>
      <c r="C5274" t="s">
        <v>1932</v>
      </c>
      <c r="D5274">
        <v>48.8</v>
      </c>
      <c r="E5274">
        <v>38.6</v>
      </c>
      <c r="F5274">
        <v>21.9</v>
      </c>
      <c r="G5274">
        <v>32.6</v>
      </c>
    </row>
    <row r="5275" spans="1:7">
      <c r="A5275" t="s">
        <v>1876</v>
      </c>
      <c r="B5275" t="s">
        <v>363</v>
      </c>
      <c r="C5275" t="s">
        <v>1708</v>
      </c>
      <c r="D5275">
        <v>7</v>
      </c>
      <c r="E5275">
        <v>7</v>
      </c>
      <c r="F5275">
        <v>7</v>
      </c>
      <c r="G5275">
        <v>7</v>
      </c>
    </row>
    <row r="5276" spans="1:7">
      <c r="A5276" t="s">
        <v>1876</v>
      </c>
      <c r="B5276" t="s">
        <v>363</v>
      </c>
      <c r="C5276" t="s">
        <v>206</v>
      </c>
      <c r="D5276">
        <v>0</v>
      </c>
      <c r="E5276">
        <v>0</v>
      </c>
      <c r="F5276">
        <v>0</v>
      </c>
      <c r="G5276">
        <v>0</v>
      </c>
    </row>
    <row r="5277" spans="1:7">
      <c r="A5277" t="s">
        <v>1876</v>
      </c>
      <c r="B5277" t="s">
        <v>363</v>
      </c>
      <c r="C5277" t="s">
        <v>207</v>
      </c>
      <c r="D5277">
        <v>102</v>
      </c>
      <c r="E5277">
        <v>81</v>
      </c>
      <c r="F5277">
        <v>46</v>
      </c>
      <c r="G5277">
        <v>68</v>
      </c>
    </row>
    <row r="5278" spans="1:7">
      <c r="A5278" t="s">
        <v>1876</v>
      </c>
      <c r="B5278" t="s">
        <v>363</v>
      </c>
      <c r="C5278" t="s">
        <v>208</v>
      </c>
      <c r="D5278">
        <v>0</v>
      </c>
      <c r="E5278">
        <v>0</v>
      </c>
      <c r="F5278">
        <v>0</v>
      </c>
      <c r="G5278">
        <v>0</v>
      </c>
    </row>
    <row r="5279" spans="1:7">
      <c r="A5279" t="s">
        <v>1876</v>
      </c>
      <c r="B5279" t="s">
        <v>363</v>
      </c>
      <c r="C5279" t="s">
        <v>209</v>
      </c>
      <c r="D5279">
        <v>102</v>
      </c>
      <c r="E5279">
        <v>81</v>
      </c>
      <c r="F5279">
        <v>46</v>
      </c>
      <c r="G5279">
        <v>68</v>
      </c>
    </row>
    <row r="5280" spans="1:7">
      <c r="A5280" t="s">
        <v>1876</v>
      </c>
      <c r="B5280" t="s">
        <v>363</v>
      </c>
      <c r="C5280" t="s">
        <v>210</v>
      </c>
      <c r="D5280">
        <v>0</v>
      </c>
      <c r="E5280">
        <v>0</v>
      </c>
      <c r="F5280">
        <v>0</v>
      </c>
      <c r="G5280">
        <v>0</v>
      </c>
    </row>
    <row r="5281" spans="1:7">
      <c r="A5281" t="s">
        <v>1876</v>
      </c>
      <c r="B5281" t="s">
        <v>363</v>
      </c>
      <c r="C5281" t="s">
        <v>211</v>
      </c>
      <c r="D5281">
        <v>0</v>
      </c>
      <c r="E5281">
        <v>0</v>
      </c>
      <c r="F5281">
        <v>0</v>
      </c>
      <c r="G5281">
        <v>0</v>
      </c>
    </row>
    <row r="5282" spans="1:7">
      <c r="A5282" t="s">
        <v>1876</v>
      </c>
      <c r="B5282" t="s">
        <v>363</v>
      </c>
      <c r="C5282" t="s">
        <v>212</v>
      </c>
      <c r="D5282">
        <v>0</v>
      </c>
      <c r="E5282">
        <v>0</v>
      </c>
      <c r="F5282">
        <v>0</v>
      </c>
      <c r="G5282">
        <v>0</v>
      </c>
    </row>
    <row r="5283" spans="1:7">
      <c r="A5283" t="s">
        <v>1876</v>
      </c>
      <c r="B5283" t="s">
        <v>363</v>
      </c>
      <c r="C5283" t="s">
        <v>213</v>
      </c>
      <c r="D5283">
        <v>0</v>
      </c>
      <c r="E5283">
        <v>0</v>
      </c>
      <c r="F5283">
        <v>0</v>
      </c>
      <c r="G5283">
        <v>0</v>
      </c>
    </row>
    <row r="5284" spans="1:7">
      <c r="A5284" t="s">
        <v>1876</v>
      </c>
      <c r="B5284" t="s">
        <v>363</v>
      </c>
      <c r="C5284" t="s">
        <v>214</v>
      </c>
      <c r="D5284">
        <v>0</v>
      </c>
      <c r="E5284">
        <v>0</v>
      </c>
      <c r="F5284">
        <v>0</v>
      </c>
      <c r="G5284">
        <v>0</v>
      </c>
    </row>
    <row r="5285" spans="1:7">
      <c r="A5285" t="s">
        <v>1876</v>
      </c>
      <c r="B5285" t="s">
        <v>363</v>
      </c>
      <c r="C5285" t="s">
        <v>215</v>
      </c>
      <c r="D5285">
        <v>7373</v>
      </c>
      <c r="E5285">
        <v>8154</v>
      </c>
      <c r="F5285">
        <v>8766</v>
      </c>
      <c r="G5285">
        <v>10615</v>
      </c>
    </row>
    <row r="5286" spans="1:7">
      <c r="A5286" t="s">
        <v>1876</v>
      </c>
      <c r="B5286" t="s">
        <v>363</v>
      </c>
      <c r="C5286" t="s">
        <v>216</v>
      </c>
      <c r="D5286">
        <v>7373</v>
      </c>
      <c r="E5286">
        <v>8154</v>
      </c>
      <c r="F5286">
        <v>8766</v>
      </c>
      <c r="G5286">
        <v>10615</v>
      </c>
    </row>
    <row r="5287" spans="1:7">
      <c r="A5287" t="s">
        <v>1876</v>
      </c>
      <c r="B5287" t="s">
        <v>363</v>
      </c>
      <c r="C5287" t="s">
        <v>217</v>
      </c>
      <c r="D5287">
        <v>7373</v>
      </c>
      <c r="E5287">
        <v>8154</v>
      </c>
      <c r="F5287">
        <v>8766</v>
      </c>
      <c r="G5287">
        <v>10615</v>
      </c>
    </row>
    <row r="5288" spans="1:7">
      <c r="A5288" t="s">
        <v>1876</v>
      </c>
      <c r="B5288" t="s">
        <v>363</v>
      </c>
      <c r="C5288" t="s">
        <v>218</v>
      </c>
      <c r="D5288">
        <v>2</v>
      </c>
      <c r="E5288">
        <v>2</v>
      </c>
      <c r="F5288">
        <v>3</v>
      </c>
      <c r="G5288">
        <v>2</v>
      </c>
    </row>
    <row r="5289" spans="1:7">
      <c r="A5289" t="s">
        <v>1876</v>
      </c>
      <c r="B5289" t="s">
        <v>363</v>
      </c>
      <c r="C5289" t="s">
        <v>219</v>
      </c>
      <c r="D5289">
        <v>4</v>
      </c>
      <c r="E5289">
        <v>3</v>
      </c>
      <c r="F5289">
        <v>11</v>
      </c>
      <c r="G5289">
        <v>6</v>
      </c>
    </row>
    <row r="5290" spans="1:7">
      <c r="A5290" t="s">
        <v>1876</v>
      </c>
      <c r="B5290" t="s">
        <v>363</v>
      </c>
      <c r="C5290" t="s">
        <v>220</v>
      </c>
      <c r="D5290">
        <v>11</v>
      </c>
      <c r="E5290">
        <v>10</v>
      </c>
      <c r="F5290">
        <v>17</v>
      </c>
      <c r="G5290">
        <v>13</v>
      </c>
    </row>
    <row r="5291" spans="1:7">
      <c r="A5291" t="s">
        <v>1876</v>
      </c>
      <c r="B5291" t="s">
        <v>363</v>
      </c>
      <c r="C5291" t="s">
        <v>221</v>
      </c>
      <c r="D5291">
        <v>17</v>
      </c>
      <c r="E5291">
        <v>15</v>
      </c>
      <c r="F5291">
        <v>32</v>
      </c>
      <c r="G5291">
        <v>21</v>
      </c>
    </row>
    <row r="5292" spans="1:7">
      <c r="A5292" t="s">
        <v>1876</v>
      </c>
      <c r="B5292" t="s">
        <v>363</v>
      </c>
      <c r="C5292" t="s">
        <v>222</v>
      </c>
      <c r="D5292">
        <v>17</v>
      </c>
      <c r="E5292">
        <v>15</v>
      </c>
      <c r="F5292">
        <v>32</v>
      </c>
      <c r="G5292">
        <v>21</v>
      </c>
    </row>
    <row r="5293" spans="1:7">
      <c r="A5293" t="s">
        <v>1876</v>
      </c>
      <c r="B5293" t="s">
        <v>363</v>
      </c>
      <c r="C5293" t="s">
        <v>1933</v>
      </c>
      <c r="D5293">
        <v>2422.1999999999998</v>
      </c>
      <c r="E5293">
        <v>2417.8000000000002</v>
      </c>
      <c r="F5293">
        <v>2416.9</v>
      </c>
      <c r="G5293">
        <v>2442.6</v>
      </c>
    </row>
    <row r="5294" spans="1:7">
      <c r="A5294" t="s">
        <v>1876</v>
      </c>
      <c r="B5294" t="s">
        <v>363</v>
      </c>
      <c r="C5294" t="s">
        <v>223</v>
      </c>
      <c r="D5294">
        <v>0</v>
      </c>
      <c r="E5294">
        <v>0</v>
      </c>
      <c r="F5294">
        <v>0</v>
      </c>
      <c r="G5294">
        <v>0</v>
      </c>
    </row>
    <row r="5295" spans="1:7">
      <c r="A5295" t="s">
        <v>1876</v>
      </c>
      <c r="B5295" t="s">
        <v>363</v>
      </c>
      <c r="C5295" t="s">
        <v>224</v>
      </c>
      <c r="D5295">
        <v>66873</v>
      </c>
      <c r="E5295">
        <v>65812</v>
      </c>
      <c r="F5295">
        <v>65628</v>
      </c>
      <c r="G5295">
        <v>61049</v>
      </c>
    </row>
    <row r="5296" spans="1:7">
      <c r="A5296" t="s">
        <v>1876</v>
      </c>
      <c r="B5296" t="s">
        <v>363</v>
      </c>
      <c r="C5296" t="s">
        <v>225</v>
      </c>
      <c r="D5296">
        <v>49496</v>
      </c>
      <c r="E5296">
        <v>48942</v>
      </c>
      <c r="F5296">
        <v>48027</v>
      </c>
      <c r="G5296">
        <v>44953</v>
      </c>
    </row>
    <row r="5297" spans="1:7">
      <c r="A5297" t="s">
        <v>1876</v>
      </c>
      <c r="B5297" t="s">
        <v>363</v>
      </c>
      <c r="C5297" t="s">
        <v>226</v>
      </c>
      <c r="D5297">
        <v>59962</v>
      </c>
      <c r="E5297">
        <v>60233</v>
      </c>
      <c r="F5297">
        <v>57650</v>
      </c>
      <c r="G5297">
        <v>53507</v>
      </c>
    </row>
    <row r="5298" spans="1:7">
      <c r="A5298" t="s">
        <v>1876</v>
      </c>
      <c r="B5298" t="s">
        <v>363</v>
      </c>
      <c r="C5298" t="s">
        <v>227</v>
      </c>
      <c r="D5298">
        <v>176331</v>
      </c>
      <c r="E5298">
        <v>174987</v>
      </c>
      <c r="F5298">
        <v>171305</v>
      </c>
      <c r="G5298">
        <v>159509</v>
      </c>
    </row>
    <row r="5299" spans="1:7">
      <c r="A5299" t="s">
        <v>1876</v>
      </c>
      <c r="B5299" t="s">
        <v>363</v>
      </c>
      <c r="C5299" t="s">
        <v>228</v>
      </c>
      <c r="D5299">
        <v>176331</v>
      </c>
      <c r="E5299">
        <v>174987</v>
      </c>
      <c r="F5299">
        <v>171305</v>
      </c>
      <c r="G5299">
        <v>159509</v>
      </c>
    </row>
    <row r="5300" spans="1:7">
      <c r="A5300" t="s">
        <v>1876</v>
      </c>
      <c r="B5300" t="s">
        <v>363</v>
      </c>
      <c r="C5300" t="s">
        <v>229</v>
      </c>
      <c r="D5300">
        <v>1357</v>
      </c>
      <c r="E5300">
        <v>1534</v>
      </c>
      <c r="F5300">
        <v>1037</v>
      </c>
      <c r="G5300">
        <v>1092</v>
      </c>
    </row>
    <row r="5301" spans="1:7">
      <c r="A5301" t="s">
        <v>1876</v>
      </c>
      <c r="B5301" t="s">
        <v>363</v>
      </c>
      <c r="C5301" t="s">
        <v>230</v>
      </c>
      <c r="D5301">
        <v>964</v>
      </c>
      <c r="E5301">
        <v>1100</v>
      </c>
      <c r="F5301">
        <v>808</v>
      </c>
      <c r="G5301">
        <v>763</v>
      </c>
    </row>
    <row r="5302" spans="1:7">
      <c r="A5302" t="s">
        <v>1876</v>
      </c>
      <c r="B5302" t="s">
        <v>363</v>
      </c>
      <c r="C5302" t="s">
        <v>231</v>
      </c>
      <c r="D5302">
        <v>2321</v>
      </c>
      <c r="E5302">
        <v>2634</v>
      </c>
      <c r="F5302">
        <v>1845</v>
      </c>
      <c r="G5302">
        <v>1856</v>
      </c>
    </row>
    <row r="5303" spans="1:7">
      <c r="A5303" t="s">
        <v>1876</v>
      </c>
      <c r="B5303" t="s">
        <v>363</v>
      </c>
      <c r="C5303" t="s">
        <v>232</v>
      </c>
      <c r="D5303">
        <v>2321</v>
      </c>
      <c r="E5303">
        <v>2634</v>
      </c>
      <c r="F5303">
        <v>1845</v>
      </c>
      <c r="G5303">
        <v>1856</v>
      </c>
    </row>
    <row r="5304" spans="1:7">
      <c r="A5304" t="s">
        <v>1876</v>
      </c>
      <c r="B5304" t="s">
        <v>363</v>
      </c>
      <c r="C5304" t="s">
        <v>233</v>
      </c>
      <c r="D5304">
        <v>0</v>
      </c>
      <c r="E5304">
        <v>0</v>
      </c>
      <c r="F5304">
        <v>0</v>
      </c>
      <c r="G5304">
        <v>0</v>
      </c>
    </row>
    <row r="5305" spans="1:7">
      <c r="A5305" t="s">
        <v>1876</v>
      </c>
      <c r="B5305" t="s">
        <v>363</v>
      </c>
      <c r="C5305" t="s">
        <v>234</v>
      </c>
      <c r="D5305">
        <v>143986</v>
      </c>
      <c r="E5305">
        <v>137337</v>
      </c>
      <c r="F5305">
        <v>146388</v>
      </c>
      <c r="G5305">
        <v>158551</v>
      </c>
    </row>
    <row r="5306" spans="1:7">
      <c r="A5306" t="s">
        <v>1876</v>
      </c>
      <c r="B5306" t="s">
        <v>363</v>
      </c>
      <c r="C5306" t="s">
        <v>235</v>
      </c>
      <c r="D5306">
        <v>3075</v>
      </c>
      <c r="E5306">
        <v>3155</v>
      </c>
      <c r="F5306">
        <v>3159</v>
      </c>
      <c r="G5306">
        <v>2633</v>
      </c>
    </row>
    <row r="5307" spans="1:7">
      <c r="A5307" t="s">
        <v>1876</v>
      </c>
      <c r="B5307" t="s">
        <v>363</v>
      </c>
      <c r="C5307" t="s">
        <v>236</v>
      </c>
      <c r="D5307">
        <v>4726</v>
      </c>
      <c r="E5307">
        <v>5022</v>
      </c>
      <c r="F5307">
        <v>4439</v>
      </c>
      <c r="G5307">
        <v>3412</v>
      </c>
    </row>
    <row r="5308" spans="1:7">
      <c r="A5308" t="s">
        <v>1876</v>
      </c>
      <c r="B5308" t="s">
        <v>363</v>
      </c>
      <c r="C5308" t="s">
        <v>237</v>
      </c>
      <c r="D5308">
        <v>151787</v>
      </c>
      <c r="E5308">
        <v>145513</v>
      </c>
      <c r="F5308">
        <v>153986</v>
      </c>
      <c r="G5308">
        <v>164596</v>
      </c>
    </row>
    <row r="5309" spans="1:7">
      <c r="A5309" t="s">
        <v>1876</v>
      </c>
      <c r="B5309" t="s">
        <v>363</v>
      </c>
      <c r="C5309" t="s">
        <v>238</v>
      </c>
      <c r="D5309">
        <v>151787</v>
      </c>
      <c r="E5309">
        <v>145513</v>
      </c>
      <c r="F5309">
        <v>153986</v>
      </c>
      <c r="G5309">
        <v>164596</v>
      </c>
    </row>
    <row r="5310" spans="1:7">
      <c r="A5310" t="s">
        <v>1876</v>
      </c>
      <c r="B5310" t="s">
        <v>363</v>
      </c>
      <c r="C5310" t="s">
        <v>1934</v>
      </c>
      <c r="D5310">
        <v>134396</v>
      </c>
      <c r="E5310">
        <v>128104</v>
      </c>
      <c r="F5310">
        <v>136516</v>
      </c>
      <c r="G5310">
        <v>147966</v>
      </c>
    </row>
    <row r="5311" spans="1:7">
      <c r="A5311" t="s">
        <v>1876</v>
      </c>
      <c r="B5311" t="s">
        <v>363</v>
      </c>
      <c r="C5311" t="s">
        <v>1935</v>
      </c>
      <c r="D5311">
        <v>2871</v>
      </c>
      <c r="E5311">
        <v>2943</v>
      </c>
      <c r="F5311">
        <v>2946</v>
      </c>
      <c r="G5311">
        <v>2457</v>
      </c>
    </row>
    <row r="5312" spans="1:7">
      <c r="A5312" t="s">
        <v>1876</v>
      </c>
      <c r="B5312" t="s">
        <v>363</v>
      </c>
      <c r="C5312" t="s">
        <v>1936</v>
      </c>
      <c r="D5312">
        <v>4411</v>
      </c>
      <c r="E5312">
        <v>4684</v>
      </c>
      <c r="F5312">
        <v>4140</v>
      </c>
      <c r="G5312">
        <v>3185</v>
      </c>
    </row>
    <row r="5313" spans="1:7">
      <c r="A5313" t="s">
        <v>1876</v>
      </c>
      <c r="B5313" t="s">
        <v>363</v>
      </c>
      <c r="C5313" t="s">
        <v>239</v>
      </c>
      <c r="D5313">
        <v>141678</v>
      </c>
      <c r="E5313">
        <v>135731</v>
      </c>
      <c r="F5313">
        <v>143602</v>
      </c>
      <c r="G5313">
        <v>153607</v>
      </c>
    </row>
    <row r="5314" spans="1:7">
      <c r="A5314" t="s">
        <v>1876</v>
      </c>
      <c r="B5314" t="s">
        <v>363</v>
      </c>
      <c r="C5314" t="s">
        <v>240</v>
      </c>
      <c r="D5314">
        <v>646</v>
      </c>
      <c r="E5314">
        <v>927</v>
      </c>
      <c r="F5314">
        <v>891</v>
      </c>
      <c r="G5314">
        <v>872</v>
      </c>
    </row>
    <row r="5315" spans="1:7">
      <c r="A5315" t="s">
        <v>1876</v>
      </c>
      <c r="B5315" t="s">
        <v>363</v>
      </c>
      <c r="C5315" t="s">
        <v>241</v>
      </c>
      <c r="D5315">
        <v>0</v>
      </c>
      <c r="E5315">
        <v>0</v>
      </c>
      <c r="F5315">
        <v>0</v>
      </c>
      <c r="G5315">
        <v>0</v>
      </c>
    </row>
    <row r="5316" spans="1:7">
      <c r="A5316" t="s">
        <v>1876</v>
      </c>
      <c r="B5316" t="s">
        <v>363</v>
      </c>
      <c r="C5316" t="s">
        <v>242</v>
      </c>
      <c r="D5316">
        <v>14080</v>
      </c>
      <c r="E5316">
        <v>16521</v>
      </c>
      <c r="F5316">
        <v>15777</v>
      </c>
      <c r="G5316">
        <v>15252</v>
      </c>
    </row>
    <row r="5317" spans="1:7">
      <c r="A5317" t="s">
        <v>1876</v>
      </c>
      <c r="B5317" t="s">
        <v>363</v>
      </c>
      <c r="C5317" t="s">
        <v>243</v>
      </c>
      <c r="D5317">
        <v>42461</v>
      </c>
      <c r="E5317">
        <v>47552</v>
      </c>
      <c r="F5317">
        <v>44270</v>
      </c>
      <c r="G5317">
        <v>41246</v>
      </c>
    </row>
    <row r="5318" spans="1:7">
      <c r="A5318" t="s">
        <v>1876</v>
      </c>
      <c r="B5318" t="s">
        <v>363</v>
      </c>
      <c r="C5318" t="s">
        <v>244</v>
      </c>
      <c r="D5318">
        <v>23084</v>
      </c>
      <c r="E5318">
        <v>31202</v>
      </c>
      <c r="F5318">
        <v>41367</v>
      </c>
      <c r="G5318">
        <v>51754</v>
      </c>
    </row>
    <row r="5319" spans="1:7">
      <c r="A5319" t="s">
        <v>1876</v>
      </c>
      <c r="B5319" t="s">
        <v>363</v>
      </c>
      <c r="C5319" t="s">
        <v>1709</v>
      </c>
      <c r="D5319">
        <v>3802</v>
      </c>
      <c r="E5319">
        <v>3851</v>
      </c>
      <c r="F5319">
        <v>3852</v>
      </c>
      <c r="G5319">
        <v>3819</v>
      </c>
    </row>
    <row r="5320" spans="1:7">
      <c r="A5320" t="s">
        <v>1876</v>
      </c>
      <c r="B5320" t="s">
        <v>363</v>
      </c>
      <c r="C5320" t="s">
        <v>245</v>
      </c>
      <c r="D5320">
        <v>149900</v>
      </c>
      <c r="E5320">
        <v>156654</v>
      </c>
      <c r="F5320">
        <v>148821</v>
      </c>
      <c r="G5320">
        <v>149729</v>
      </c>
    </row>
    <row r="5321" spans="1:7">
      <c r="A5321" t="s">
        <v>1876</v>
      </c>
      <c r="B5321" t="s">
        <v>363</v>
      </c>
      <c r="C5321" t="s">
        <v>246</v>
      </c>
      <c r="D5321">
        <v>62273</v>
      </c>
      <c r="E5321">
        <v>67587</v>
      </c>
      <c r="F5321">
        <v>61215</v>
      </c>
      <c r="G5321">
        <v>55841</v>
      </c>
    </row>
    <row r="5322" spans="1:7">
      <c r="A5322" t="s">
        <v>1876</v>
      </c>
      <c r="B5322" t="s">
        <v>363</v>
      </c>
      <c r="C5322" t="s">
        <v>247</v>
      </c>
      <c r="D5322">
        <v>291797</v>
      </c>
      <c r="E5322">
        <v>319515</v>
      </c>
      <c r="F5322">
        <v>311450</v>
      </c>
      <c r="G5322">
        <v>313822</v>
      </c>
    </row>
    <row r="5323" spans="1:7">
      <c r="A5323" t="s">
        <v>1876</v>
      </c>
      <c r="B5323" t="s">
        <v>363</v>
      </c>
      <c r="C5323" t="s">
        <v>248</v>
      </c>
      <c r="D5323">
        <v>99.3</v>
      </c>
      <c r="E5323">
        <v>108.8</v>
      </c>
      <c r="F5323">
        <v>105.6</v>
      </c>
      <c r="G5323">
        <v>105.8</v>
      </c>
    </row>
    <row r="5324" spans="1:7">
      <c r="A5324" t="s">
        <v>1876</v>
      </c>
      <c r="B5324" t="s">
        <v>363</v>
      </c>
      <c r="C5324" t="s">
        <v>249</v>
      </c>
      <c r="D5324">
        <v>268714</v>
      </c>
      <c r="E5324">
        <v>288314</v>
      </c>
      <c r="F5324">
        <v>270084</v>
      </c>
      <c r="G5324">
        <v>262068</v>
      </c>
    </row>
    <row r="5325" spans="1:7">
      <c r="A5325" t="s">
        <v>1876</v>
      </c>
      <c r="B5325" t="s">
        <v>363</v>
      </c>
      <c r="C5325" t="s">
        <v>250</v>
      </c>
      <c r="D5325">
        <v>291797</v>
      </c>
      <c r="E5325">
        <v>318779</v>
      </c>
      <c r="F5325">
        <v>309735</v>
      </c>
      <c r="G5325">
        <v>311742</v>
      </c>
    </row>
    <row r="5326" spans="1:7">
      <c r="A5326" t="s">
        <v>1876</v>
      </c>
      <c r="B5326" t="s">
        <v>363</v>
      </c>
      <c r="C5326" t="s">
        <v>1937</v>
      </c>
      <c r="D5326">
        <v>5.7</v>
      </c>
      <c r="E5326">
        <v>7.4</v>
      </c>
      <c r="F5326">
        <v>13.3</v>
      </c>
      <c r="G5326">
        <v>15.7</v>
      </c>
    </row>
    <row r="5327" spans="1:7">
      <c r="A5327" t="s">
        <v>1876</v>
      </c>
      <c r="B5327" t="s">
        <v>363</v>
      </c>
      <c r="C5327" t="s">
        <v>1938</v>
      </c>
      <c r="D5327">
        <v>79.900000000000006</v>
      </c>
      <c r="E5327">
        <v>83.7</v>
      </c>
      <c r="F5327">
        <v>99.9</v>
      </c>
      <c r="G5327">
        <v>89.1</v>
      </c>
    </row>
    <row r="5328" spans="1:7">
      <c r="A5328" t="s">
        <v>1876</v>
      </c>
      <c r="B5328" t="s">
        <v>363</v>
      </c>
      <c r="C5328" t="s">
        <v>251</v>
      </c>
      <c r="D5328">
        <v>89426</v>
      </c>
      <c r="E5328">
        <v>93844</v>
      </c>
      <c r="F5328">
        <v>107675</v>
      </c>
      <c r="G5328">
        <v>96120</v>
      </c>
    </row>
    <row r="5329" spans="1:7">
      <c r="A5329" t="s">
        <v>1876</v>
      </c>
      <c r="B5329" t="s">
        <v>363</v>
      </c>
      <c r="C5329" t="s">
        <v>252</v>
      </c>
      <c r="D5329">
        <v>89426</v>
      </c>
      <c r="E5329">
        <v>93844</v>
      </c>
      <c r="F5329">
        <v>107675</v>
      </c>
      <c r="G5329">
        <v>96120</v>
      </c>
    </row>
    <row r="5330" spans="1:7">
      <c r="A5330" t="s">
        <v>1876</v>
      </c>
      <c r="B5330" t="s">
        <v>363</v>
      </c>
      <c r="C5330" t="s">
        <v>1710</v>
      </c>
      <c r="D5330">
        <v>1225</v>
      </c>
      <c r="E5330">
        <v>1225</v>
      </c>
      <c r="F5330">
        <v>1177</v>
      </c>
      <c r="G5330">
        <v>1177</v>
      </c>
    </row>
    <row r="5331" spans="1:7">
      <c r="A5331" t="s">
        <v>1876</v>
      </c>
      <c r="B5331" t="s">
        <v>363</v>
      </c>
      <c r="C5331" t="s">
        <v>1939</v>
      </c>
      <c r="D5331">
        <v>0.4</v>
      </c>
      <c r="E5331">
        <v>0.7</v>
      </c>
      <c r="F5331">
        <v>3.4</v>
      </c>
      <c r="G5331">
        <v>4.5</v>
      </c>
    </row>
    <row r="5332" spans="1:7">
      <c r="A5332" t="s">
        <v>1876</v>
      </c>
      <c r="B5332" t="s">
        <v>363</v>
      </c>
      <c r="C5332" t="s">
        <v>253</v>
      </c>
      <c r="D5332">
        <v>0</v>
      </c>
      <c r="E5332">
        <v>0</v>
      </c>
      <c r="F5332">
        <v>0</v>
      </c>
      <c r="G5332">
        <v>0</v>
      </c>
    </row>
    <row r="5333" spans="1:7">
      <c r="A5333" t="s">
        <v>1876</v>
      </c>
      <c r="B5333" t="s">
        <v>363</v>
      </c>
      <c r="C5333" t="s">
        <v>1711</v>
      </c>
      <c r="D5333">
        <v>0</v>
      </c>
      <c r="E5333">
        <v>0</v>
      </c>
      <c r="F5333">
        <v>0</v>
      </c>
      <c r="G5333">
        <v>0</v>
      </c>
    </row>
    <row r="5334" spans="1:7">
      <c r="A5334" t="s">
        <v>1876</v>
      </c>
      <c r="B5334" t="s">
        <v>363</v>
      </c>
      <c r="C5334" t="s">
        <v>1712</v>
      </c>
      <c r="D5334">
        <v>36548</v>
      </c>
      <c r="E5334">
        <v>36038</v>
      </c>
      <c r="F5334">
        <v>35330</v>
      </c>
      <c r="G5334">
        <v>34434</v>
      </c>
    </row>
    <row r="5335" spans="1:7">
      <c r="A5335" t="s">
        <v>1876</v>
      </c>
      <c r="B5335" t="s">
        <v>363</v>
      </c>
      <c r="C5335" t="s">
        <v>1713</v>
      </c>
      <c r="D5335">
        <v>1266</v>
      </c>
      <c r="E5335">
        <v>1366</v>
      </c>
      <c r="F5335">
        <v>1696</v>
      </c>
      <c r="G5335">
        <v>1973</v>
      </c>
    </row>
    <row r="5336" spans="1:7">
      <c r="A5336" t="s">
        <v>1876</v>
      </c>
      <c r="B5336" t="s">
        <v>363</v>
      </c>
      <c r="C5336" t="s">
        <v>1940</v>
      </c>
      <c r="D5336">
        <v>0</v>
      </c>
      <c r="E5336">
        <v>0</v>
      </c>
      <c r="F5336">
        <v>0</v>
      </c>
      <c r="G5336">
        <v>0</v>
      </c>
    </row>
    <row r="5337" spans="1:7">
      <c r="A5337" t="s">
        <v>1876</v>
      </c>
      <c r="B5337" t="s">
        <v>363</v>
      </c>
      <c r="C5337" t="s">
        <v>1941</v>
      </c>
      <c r="D5337">
        <v>0</v>
      </c>
      <c r="E5337">
        <v>0</v>
      </c>
      <c r="F5337">
        <v>0</v>
      </c>
      <c r="G5337">
        <v>0</v>
      </c>
    </row>
    <row r="5338" spans="1:7">
      <c r="A5338" t="s">
        <v>1876</v>
      </c>
      <c r="B5338" t="s">
        <v>363</v>
      </c>
      <c r="C5338" t="s">
        <v>254</v>
      </c>
      <c r="D5338">
        <v>36548</v>
      </c>
      <c r="E5338">
        <v>36038</v>
      </c>
      <c r="F5338">
        <v>35330</v>
      </c>
      <c r="G5338">
        <v>34434</v>
      </c>
    </row>
    <row r="5339" spans="1:7">
      <c r="A5339" t="s">
        <v>1876</v>
      </c>
      <c r="B5339" t="s">
        <v>363</v>
      </c>
      <c r="C5339" t="s">
        <v>1942</v>
      </c>
      <c r="D5339">
        <v>0</v>
      </c>
      <c r="E5339">
        <v>0</v>
      </c>
      <c r="F5339">
        <v>0</v>
      </c>
      <c r="G5339">
        <v>0</v>
      </c>
    </row>
    <row r="5340" spans="1:7">
      <c r="A5340" t="s">
        <v>1876</v>
      </c>
      <c r="B5340" t="s">
        <v>363</v>
      </c>
      <c r="C5340" t="s">
        <v>255</v>
      </c>
      <c r="D5340">
        <v>37814</v>
      </c>
      <c r="E5340">
        <v>37403</v>
      </c>
      <c r="F5340">
        <v>37025</v>
      </c>
      <c r="G5340">
        <v>36408</v>
      </c>
    </row>
    <row r="5341" spans="1:7">
      <c r="A5341" t="s">
        <v>1876</v>
      </c>
      <c r="B5341" t="s">
        <v>363</v>
      </c>
      <c r="C5341" t="s">
        <v>256</v>
      </c>
      <c r="D5341">
        <v>37814</v>
      </c>
      <c r="E5341">
        <v>37403</v>
      </c>
      <c r="F5341">
        <v>37025</v>
      </c>
      <c r="G5341">
        <v>36408</v>
      </c>
    </row>
    <row r="5342" spans="1:7">
      <c r="A5342" t="s">
        <v>1876</v>
      </c>
      <c r="B5342" t="s">
        <v>363</v>
      </c>
      <c r="C5342" t="s">
        <v>1714</v>
      </c>
      <c r="D5342">
        <v>1</v>
      </c>
      <c r="E5342">
        <v>1</v>
      </c>
      <c r="F5342">
        <v>1</v>
      </c>
      <c r="G5342">
        <v>1</v>
      </c>
    </row>
    <row r="5343" spans="1:7">
      <c r="A5343" t="s">
        <v>1876</v>
      </c>
      <c r="B5343" t="s">
        <v>363</v>
      </c>
      <c r="C5343" t="s">
        <v>257</v>
      </c>
      <c r="D5343">
        <v>52877</v>
      </c>
      <c r="E5343">
        <v>52228</v>
      </c>
      <c r="F5343">
        <v>49507</v>
      </c>
      <c r="G5343">
        <v>49204</v>
      </c>
    </row>
    <row r="5344" spans="1:7">
      <c r="A5344" t="s">
        <v>1876</v>
      </c>
      <c r="B5344" t="s">
        <v>363</v>
      </c>
      <c r="C5344" t="s">
        <v>258</v>
      </c>
      <c r="D5344">
        <v>55806</v>
      </c>
      <c r="E5344">
        <v>55444</v>
      </c>
      <c r="F5344">
        <v>52549</v>
      </c>
      <c r="G5344">
        <v>52595</v>
      </c>
    </row>
    <row r="5345" spans="1:7">
      <c r="A5345" t="s">
        <v>1876</v>
      </c>
      <c r="B5345" t="s">
        <v>363</v>
      </c>
      <c r="C5345" t="s">
        <v>259</v>
      </c>
      <c r="D5345">
        <v>55806</v>
      </c>
      <c r="E5345">
        <v>55444</v>
      </c>
      <c r="F5345">
        <v>52549</v>
      </c>
      <c r="G5345">
        <v>52595</v>
      </c>
    </row>
    <row r="5346" spans="1:7">
      <c r="A5346" t="s">
        <v>1876</v>
      </c>
      <c r="B5346" t="s">
        <v>363</v>
      </c>
      <c r="C5346" t="s">
        <v>260</v>
      </c>
      <c r="D5346">
        <v>244176</v>
      </c>
      <c r="E5346">
        <v>251398</v>
      </c>
      <c r="F5346">
        <v>244292</v>
      </c>
      <c r="G5346">
        <v>265160</v>
      </c>
    </row>
    <row r="5347" spans="1:7">
      <c r="A5347" t="s">
        <v>1876</v>
      </c>
      <c r="B5347" t="s">
        <v>363</v>
      </c>
      <c r="C5347" t="s">
        <v>1943</v>
      </c>
      <c r="D5347">
        <v>0.9</v>
      </c>
      <c r="E5347">
        <v>0.8</v>
      </c>
      <c r="F5347">
        <v>0.7</v>
      </c>
      <c r="G5347">
        <v>0.6</v>
      </c>
    </row>
    <row r="5348" spans="1:7">
      <c r="A5348" t="s">
        <v>1876</v>
      </c>
      <c r="B5348" t="s">
        <v>363</v>
      </c>
      <c r="C5348" t="s">
        <v>261</v>
      </c>
      <c r="D5348">
        <v>6591</v>
      </c>
      <c r="E5348">
        <v>6772</v>
      </c>
      <c r="F5348">
        <v>6344</v>
      </c>
      <c r="G5348">
        <v>5543</v>
      </c>
    </row>
    <row r="5349" spans="1:7">
      <c r="A5349" t="s">
        <v>1876</v>
      </c>
      <c r="B5349" t="s">
        <v>363</v>
      </c>
      <c r="C5349" t="s">
        <v>262</v>
      </c>
      <c r="D5349">
        <v>2094</v>
      </c>
      <c r="E5349">
        <v>1305</v>
      </c>
      <c r="F5349">
        <v>900</v>
      </c>
      <c r="G5349">
        <v>1431</v>
      </c>
    </row>
    <row r="5350" spans="1:7">
      <c r="A5350" t="s">
        <v>1876</v>
      </c>
      <c r="B5350" t="s">
        <v>363</v>
      </c>
      <c r="C5350" t="s">
        <v>1715</v>
      </c>
      <c r="D5350">
        <v>596</v>
      </c>
      <c r="E5350">
        <v>538</v>
      </c>
      <c r="F5350">
        <v>545</v>
      </c>
      <c r="G5350">
        <v>540</v>
      </c>
    </row>
    <row r="5351" spans="1:7">
      <c r="A5351" t="s">
        <v>1876</v>
      </c>
      <c r="B5351" t="s">
        <v>363</v>
      </c>
      <c r="C5351" t="s">
        <v>263</v>
      </c>
      <c r="D5351">
        <v>90733</v>
      </c>
      <c r="E5351">
        <v>90749</v>
      </c>
      <c r="F5351">
        <v>86058</v>
      </c>
      <c r="G5351">
        <v>83711</v>
      </c>
    </row>
    <row r="5352" spans="1:7">
      <c r="A5352" t="s">
        <v>1876</v>
      </c>
      <c r="B5352" t="s">
        <v>363</v>
      </c>
      <c r="C5352" t="s">
        <v>264</v>
      </c>
      <c r="D5352">
        <v>7741</v>
      </c>
      <c r="E5352">
        <v>8807</v>
      </c>
      <c r="F5352">
        <v>7548</v>
      </c>
      <c r="G5352">
        <v>7100</v>
      </c>
    </row>
    <row r="5353" spans="1:7">
      <c r="A5353" t="s">
        <v>1876</v>
      </c>
      <c r="B5353" t="s">
        <v>363</v>
      </c>
      <c r="C5353" t="s">
        <v>265</v>
      </c>
      <c r="D5353">
        <v>351335</v>
      </c>
      <c r="E5353">
        <v>359030</v>
      </c>
      <c r="F5353">
        <v>345143</v>
      </c>
      <c r="G5353">
        <v>362946</v>
      </c>
    </row>
    <row r="5354" spans="1:7">
      <c r="A5354" t="s">
        <v>1876</v>
      </c>
      <c r="B5354" t="s">
        <v>363</v>
      </c>
      <c r="C5354" t="s">
        <v>266</v>
      </c>
      <c r="D5354">
        <v>119.5</v>
      </c>
      <c r="E5354">
        <v>122.2</v>
      </c>
      <c r="F5354">
        <v>117</v>
      </c>
      <c r="G5354">
        <v>122.4</v>
      </c>
    </row>
    <row r="5355" spans="1:7">
      <c r="A5355" t="s">
        <v>1876</v>
      </c>
      <c r="B5355" t="s">
        <v>363</v>
      </c>
      <c r="C5355" t="s">
        <v>267</v>
      </c>
      <c r="D5355">
        <v>349241</v>
      </c>
      <c r="E5355">
        <v>357726</v>
      </c>
      <c r="F5355">
        <v>344242</v>
      </c>
      <c r="G5355">
        <v>361515</v>
      </c>
    </row>
    <row r="5356" spans="1:7">
      <c r="A5356" t="s">
        <v>1876</v>
      </c>
      <c r="B5356" t="s">
        <v>363</v>
      </c>
      <c r="C5356" t="s">
        <v>268</v>
      </c>
      <c r="D5356">
        <v>0</v>
      </c>
      <c r="E5356">
        <v>0</v>
      </c>
      <c r="F5356">
        <v>0</v>
      </c>
      <c r="G5356">
        <v>0</v>
      </c>
    </row>
    <row r="5357" spans="1:7">
      <c r="A5357" t="s">
        <v>1876</v>
      </c>
      <c r="B5357" t="s">
        <v>363</v>
      </c>
      <c r="C5357" t="s">
        <v>269</v>
      </c>
      <c r="D5357">
        <v>0</v>
      </c>
      <c r="E5357">
        <v>0</v>
      </c>
      <c r="F5357">
        <v>0</v>
      </c>
      <c r="G5357">
        <v>0</v>
      </c>
    </row>
    <row r="5358" spans="1:7">
      <c r="A5358" t="s">
        <v>1876</v>
      </c>
      <c r="B5358" t="s">
        <v>363</v>
      </c>
      <c r="C5358" t="s">
        <v>270</v>
      </c>
      <c r="D5358">
        <v>7356</v>
      </c>
      <c r="E5358">
        <v>7331</v>
      </c>
      <c r="F5358">
        <v>6809</v>
      </c>
      <c r="G5358">
        <v>6897</v>
      </c>
    </row>
    <row r="5359" spans="1:7">
      <c r="A5359" t="s">
        <v>1876</v>
      </c>
      <c r="B5359" t="s">
        <v>363</v>
      </c>
      <c r="C5359" t="s">
        <v>271</v>
      </c>
      <c r="D5359">
        <v>7356</v>
      </c>
      <c r="E5359">
        <v>7331</v>
      </c>
      <c r="F5359">
        <v>6809</v>
      </c>
      <c r="G5359">
        <v>6897</v>
      </c>
    </row>
    <row r="5360" spans="1:7">
      <c r="A5360" t="s">
        <v>1876</v>
      </c>
      <c r="B5360" t="s">
        <v>363</v>
      </c>
      <c r="C5360" t="s">
        <v>272</v>
      </c>
      <c r="D5360">
        <v>7356</v>
      </c>
      <c r="E5360">
        <v>7331</v>
      </c>
      <c r="F5360">
        <v>6809</v>
      </c>
      <c r="G5360">
        <v>6897</v>
      </c>
    </row>
    <row r="5361" spans="1:7">
      <c r="A5361" t="s">
        <v>1876</v>
      </c>
      <c r="B5361" t="s">
        <v>363</v>
      </c>
      <c r="C5361" t="s">
        <v>1944</v>
      </c>
      <c r="D5361">
        <v>3.2</v>
      </c>
      <c r="E5361">
        <v>4</v>
      </c>
      <c r="F5361">
        <v>4.9000000000000004</v>
      </c>
      <c r="G5361">
        <v>6.4</v>
      </c>
    </row>
    <row r="5362" spans="1:7">
      <c r="A5362" t="s">
        <v>1876</v>
      </c>
      <c r="B5362" t="s">
        <v>363</v>
      </c>
      <c r="C5362" t="s">
        <v>1945</v>
      </c>
      <c r="D5362">
        <v>6</v>
      </c>
      <c r="E5362">
        <v>8</v>
      </c>
      <c r="F5362">
        <v>14</v>
      </c>
      <c r="G5362">
        <v>16</v>
      </c>
    </row>
    <row r="5363" spans="1:7">
      <c r="A5363" t="s">
        <v>1876</v>
      </c>
      <c r="B5363" t="s">
        <v>363</v>
      </c>
      <c r="C5363" t="s">
        <v>273</v>
      </c>
      <c r="D5363">
        <v>0</v>
      </c>
      <c r="E5363">
        <v>0</v>
      </c>
      <c r="F5363">
        <v>0</v>
      </c>
      <c r="G5363">
        <v>0</v>
      </c>
    </row>
    <row r="5364" spans="1:7">
      <c r="A5364" t="s">
        <v>1876</v>
      </c>
      <c r="B5364" t="s">
        <v>363</v>
      </c>
      <c r="C5364" t="s">
        <v>1946</v>
      </c>
      <c r="D5364">
        <v>232383</v>
      </c>
      <c r="E5364">
        <v>239837</v>
      </c>
      <c r="F5364">
        <v>231726</v>
      </c>
      <c r="G5364">
        <v>251535</v>
      </c>
    </row>
    <row r="5365" spans="1:7">
      <c r="A5365" t="s">
        <v>1876</v>
      </c>
      <c r="B5365" t="s">
        <v>363</v>
      </c>
      <c r="C5365" t="s">
        <v>1947</v>
      </c>
      <c r="D5365">
        <v>6386</v>
      </c>
      <c r="E5365">
        <v>6559</v>
      </c>
      <c r="F5365">
        <v>6131</v>
      </c>
      <c r="G5365">
        <v>5367</v>
      </c>
    </row>
    <row r="5366" spans="1:7">
      <c r="A5366" t="s">
        <v>1876</v>
      </c>
      <c r="B5366" t="s">
        <v>363</v>
      </c>
      <c r="C5366" t="s">
        <v>1948</v>
      </c>
      <c r="D5366">
        <v>2094</v>
      </c>
      <c r="E5366">
        <v>1305</v>
      </c>
      <c r="F5366">
        <v>900</v>
      </c>
      <c r="G5366">
        <v>1431</v>
      </c>
    </row>
    <row r="5367" spans="1:7">
      <c r="A5367" t="s">
        <v>1876</v>
      </c>
      <c r="B5367" t="s">
        <v>363</v>
      </c>
      <c r="C5367" t="s">
        <v>1949</v>
      </c>
      <c r="D5367">
        <v>90418</v>
      </c>
      <c r="E5367">
        <v>90411</v>
      </c>
      <c r="F5367">
        <v>85759</v>
      </c>
      <c r="G5367">
        <v>83484</v>
      </c>
    </row>
    <row r="5368" spans="1:7">
      <c r="A5368" t="s">
        <v>1876</v>
      </c>
      <c r="B5368" t="s">
        <v>363</v>
      </c>
      <c r="C5368" t="s">
        <v>1950</v>
      </c>
      <c r="D5368">
        <v>7741</v>
      </c>
      <c r="E5368">
        <v>8807</v>
      </c>
      <c r="F5368">
        <v>7548</v>
      </c>
      <c r="G5368">
        <v>7100</v>
      </c>
    </row>
    <row r="5369" spans="1:7">
      <c r="A5369" t="s">
        <v>1876</v>
      </c>
      <c r="B5369" t="s">
        <v>363</v>
      </c>
      <c r="C5369" t="s">
        <v>274</v>
      </c>
      <c r="D5369">
        <v>339022</v>
      </c>
      <c r="E5369">
        <v>346919</v>
      </c>
      <c r="F5369">
        <v>332064</v>
      </c>
      <c r="G5369">
        <v>348918</v>
      </c>
    </row>
    <row r="5370" spans="1:7">
      <c r="A5370" t="s">
        <v>1876</v>
      </c>
      <c r="B5370" t="s">
        <v>363</v>
      </c>
      <c r="C5370" t="s">
        <v>275</v>
      </c>
      <c r="D5370">
        <v>0</v>
      </c>
      <c r="E5370">
        <v>0</v>
      </c>
      <c r="F5370">
        <v>0</v>
      </c>
      <c r="G5370">
        <v>0</v>
      </c>
    </row>
    <row r="5371" spans="1:7">
      <c r="A5371" t="s">
        <v>1876</v>
      </c>
      <c r="B5371" t="s">
        <v>363</v>
      </c>
      <c r="C5371" t="s">
        <v>276</v>
      </c>
      <c r="D5371">
        <v>0</v>
      </c>
      <c r="E5371">
        <v>0</v>
      </c>
      <c r="F5371">
        <v>0</v>
      </c>
      <c r="G5371">
        <v>0</v>
      </c>
    </row>
    <row r="5372" spans="1:7">
      <c r="A5372" t="s">
        <v>1876</v>
      </c>
      <c r="B5372" t="s">
        <v>363</v>
      </c>
      <c r="C5372" t="s">
        <v>277</v>
      </c>
      <c r="D5372">
        <v>221</v>
      </c>
      <c r="E5372">
        <v>37</v>
      </c>
      <c r="F5372">
        <v>26</v>
      </c>
      <c r="G5372">
        <v>5</v>
      </c>
    </row>
    <row r="5373" spans="1:7">
      <c r="A5373" t="s">
        <v>1876</v>
      </c>
      <c r="B5373" t="s">
        <v>363</v>
      </c>
      <c r="C5373" t="s">
        <v>278</v>
      </c>
      <c r="D5373">
        <v>1567</v>
      </c>
      <c r="E5373">
        <v>1570</v>
      </c>
      <c r="F5373">
        <v>1256</v>
      </c>
      <c r="G5373">
        <v>1121</v>
      </c>
    </row>
    <row r="5374" spans="1:7">
      <c r="A5374" t="s">
        <v>1876</v>
      </c>
      <c r="B5374" t="s">
        <v>363</v>
      </c>
      <c r="C5374" t="s">
        <v>279</v>
      </c>
      <c r="D5374">
        <v>1733</v>
      </c>
      <c r="E5374">
        <v>1717</v>
      </c>
      <c r="F5374">
        <v>1556</v>
      </c>
      <c r="G5374">
        <v>1148</v>
      </c>
    </row>
    <row r="5375" spans="1:7">
      <c r="A5375" t="s">
        <v>1876</v>
      </c>
      <c r="B5375" t="s">
        <v>363</v>
      </c>
      <c r="C5375" t="s">
        <v>280</v>
      </c>
      <c r="D5375">
        <v>7712</v>
      </c>
      <c r="E5375">
        <v>8778</v>
      </c>
      <c r="F5375">
        <v>7513</v>
      </c>
      <c r="G5375">
        <v>7071</v>
      </c>
    </row>
    <row r="5376" spans="1:7">
      <c r="A5376" t="s">
        <v>1876</v>
      </c>
      <c r="B5376" t="s">
        <v>363</v>
      </c>
      <c r="C5376" t="s">
        <v>281</v>
      </c>
      <c r="D5376">
        <v>11233</v>
      </c>
      <c r="E5376">
        <v>12102</v>
      </c>
      <c r="F5376">
        <v>10351</v>
      </c>
      <c r="G5376">
        <v>9345</v>
      </c>
    </row>
    <row r="5377" spans="1:7">
      <c r="A5377" t="s">
        <v>1876</v>
      </c>
      <c r="B5377" t="s">
        <v>363</v>
      </c>
      <c r="C5377" t="s">
        <v>282</v>
      </c>
      <c r="D5377">
        <v>11233</v>
      </c>
      <c r="E5377">
        <v>12102</v>
      </c>
      <c r="F5377">
        <v>10351</v>
      </c>
      <c r="G5377">
        <v>9345</v>
      </c>
    </row>
    <row r="5378" spans="1:7">
      <c r="A5378" t="s">
        <v>1876</v>
      </c>
      <c r="B5378" t="s">
        <v>363</v>
      </c>
      <c r="C5378" t="s">
        <v>283</v>
      </c>
      <c r="D5378">
        <v>0</v>
      </c>
      <c r="E5378">
        <v>0</v>
      </c>
      <c r="F5378">
        <v>0</v>
      </c>
      <c r="G5378">
        <v>0</v>
      </c>
    </row>
    <row r="5379" spans="1:7">
      <c r="A5379" t="s">
        <v>1876</v>
      </c>
      <c r="B5379" t="s">
        <v>363</v>
      </c>
      <c r="C5379" t="s">
        <v>284</v>
      </c>
      <c r="D5379">
        <v>0</v>
      </c>
      <c r="E5379">
        <v>0</v>
      </c>
      <c r="F5379">
        <v>0</v>
      </c>
      <c r="G5379">
        <v>0</v>
      </c>
    </row>
    <row r="5380" spans="1:7">
      <c r="A5380" t="s">
        <v>1876</v>
      </c>
      <c r="B5380" t="s">
        <v>363</v>
      </c>
      <c r="C5380" t="s">
        <v>1716</v>
      </c>
      <c r="D5380">
        <v>11794</v>
      </c>
      <c r="E5380">
        <v>11562</v>
      </c>
      <c r="F5380">
        <v>12567</v>
      </c>
      <c r="G5380">
        <v>13625</v>
      </c>
    </row>
    <row r="5381" spans="1:7">
      <c r="A5381" t="s">
        <v>1876</v>
      </c>
      <c r="B5381" t="s">
        <v>363</v>
      </c>
      <c r="C5381" t="s">
        <v>1717</v>
      </c>
      <c r="D5381">
        <v>1476</v>
      </c>
      <c r="E5381">
        <v>1500</v>
      </c>
      <c r="F5381">
        <v>1533</v>
      </c>
      <c r="G5381">
        <v>1530</v>
      </c>
    </row>
    <row r="5382" spans="1:7">
      <c r="A5382" t="s">
        <v>1876</v>
      </c>
      <c r="B5382" t="s">
        <v>363</v>
      </c>
      <c r="C5382" t="s">
        <v>1718</v>
      </c>
      <c r="D5382">
        <v>88605</v>
      </c>
      <c r="E5382">
        <v>102241</v>
      </c>
      <c r="F5382">
        <v>94057</v>
      </c>
      <c r="G5382">
        <v>102706</v>
      </c>
    </row>
    <row r="5383" spans="1:7">
      <c r="A5383" t="s">
        <v>1876</v>
      </c>
      <c r="B5383" t="s">
        <v>363</v>
      </c>
      <c r="C5383" t="s">
        <v>1719</v>
      </c>
      <c r="D5383">
        <v>8284</v>
      </c>
      <c r="E5383">
        <v>8291</v>
      </c>
      <c r="F5383">
        <v>9099</v>
      </c>
      <c r="G5383">
        <v>9125</v>
      </c>
    </row>
    <row r="5384" spans="1:7">
      <c r="A5384" t="s">
        <v>1876</v>
      </c>
      <c r="B5384" t="s">
        <v>363</v>
      </c>
      <c r="C5384" t="s">
        <v>1720</v>
      </c>
      <c r="D5384">
        <v>30778</v>
      </c>
      <c r="E5384">
        <v>32914</v>
      </c>
      <c r="F5384">
        <v>28457</v>
      </c>
      <c r="G5384">
        <v>31034</v>
      </c>
    </row>
    <row r="5385" spans="1:7">
      <c r="A5385" t="s">
        <v>1876</v>
      </c>
      <c r="B5385" t="s">
        <v>363</v>
      </c>
      <c r="C5385" t="s">
        <v>1721</v>
      </c>
      <c r="D5385">
        <v>2897</v>
      </c>
      <c r="E5385">
        <v>3602</v>
      </c>
      <c r="F5385">
        <v>3240</v>
      </c>
      <c r="G5385">
        <v>3164</v>
      </c>
    </row>
    <row r="5386" spans="1:7">
      <c r="A5386" t="s">
        <v>1876</v>
      </c>
      <c r="B5386" t="s">
        <v>363</v>
      </c>
      <c r="C5386" t="s">
        <v>285</v>
      </c>
      <c r="D5386">
        <v>135550</v>
      </c>
      <c r="E5386">
        <v>151818</v>
      </c>
      <c r="F5386">
        <v>139853</v>
      </c>
      <c r="G5386">
        <v>152059</v>
      </c>
    </row>
    <row r="5387" spans="1:7">
      <c r="A5387" t="s">
        <v>1876</v>
      </c>
      <c r="B5387" t="s">
        <v>363</v>
      </c>
      <c r="C5387" t="s">
        <v>1951</v>
      </c>
      <c r="D5387">
        <v>14</v>
      </c>
      <c r="E5387">
        <v>15.1</v>
      </c>
      <c r="F5387">
        <v>14.6</v>
      </c>
      <c r="G5387">
        <v>15.9</v>
      </c>
    </row>
    <row r="5388" spans="1:7">
      <c r="A5388" t="s">
        <v>1876</v>
      </c>
      <c r="B5388" t="s">
        <v>363</v>
      </c>
      <c r="C5388" t="s">
        <v>286</v>
      </c>
      <c r="D5388">
        <v>0</v>
      </c>
      <c r="E5388">
        <v>0</v>
      </c>
      <c r="F5388">
        <v>0</v>
      </c>
      <c r="G5388">
        <v>0</v>
      </c>
    </row>
    <row r="5389" spans="1:7">
      <c r="A5389" t="s">
        <v>1876</v>
      </c>
      <c r="B5389" t="s">
        <v>363</v>
      </c>
      <c r="C5389" t="s">
        <v>287</v>
      </c>
      <c r="D5389">
        <v>0</v>
      </c>
      <c r="E5389">
        <v>0</v>
      </c>
      <c r="F5389">
        <v>0</v>
      </c>
      <c r="G5389">
        <v>0</v>
      </c>
    </row>
    <row r="5390" spans="1:7">
      <c r="A5390" t="s">
        <v>1876</v>
      </c>
      <c r="B5390" t="s">
        <v>363</v>
      </c>
      <c r="C5390" t="s">
        <v>288</v>
      </c>
      <c r="D5390">
        <v>0</v>
      </c>
      <c r="E5390">
        <v>0</v>
      </c>
      <c r="F5390">
        <v>0</v>
      </c>
      <c r="G5390">
        <v>0</v>
      </c>
    </row>
    <row r="5391" spans="1:7">
      <c r="A5391" t="s">
        <v>1876</v>
      </c>
      <c r="B5391" t="s">
        <v>363</v>
      </c>
      <c r="C5391" t="s">
        <v>289</v>
      </c>
      <c r="D5391">
        <v>3100</v>
      </c>
      <c r="E5391">
        <v>3176</v>
      </c>
      <c r="F5391">
        <v>2637</v>
      </c>
      <c r="G5391">
        <v>2854</v>
      </c>
    </row>
    <row r="5392" spans="1:7">
      <c r="A5392" t="s">
        <v>1876</v>
      </c>
      <c r="B5392" t="s">
        <v>363</v>
      </c>
      <c r="C5392" t="s">
        <v>290</v>
      </c>
      <c r="D5392">
        <v>3100</v>
      </c>
      <c r="E5392">
        <v>3176</v>
      </c>
      <c r="F5392">
        <v>2637</v>
      </c>
      <c r="G5392">
        <v>2854</v>
      </c>
    </row>
    <row r="5393" spans="1:7">
      <c r="A5393" t="s">
        <v>1876</v>
      </c>
      <c r="B5393" t="s">
        <v>363</v>
      </c>
      <c r="C5393" t="s">
        <v>291</v>
      </c>
      <c r="D5393">
        <v>3100</v>
      </c>
      <c r="E5393">
        <v>3176</v>
      </c>
      <c r="F5393">
        <v>2637</v>
      </c>
      <c r="G5393">
        <v>2854</v>
      </c>
    </row>
    <row r="5394" spans="1:7">
      <c r="A5394" t="s">
        <v>1876</v>
      </c>
      <c r="B5394" t="s">
        <v>363</v>
      </c>
      <c r="C5394" t="s">
        <v>292</v>
      </c>
      <c r="D5394">
        <v>0</v>
      </c>
      <c r="E5394">
        <v>119</v>
      </c>
      <c r="F5394">
        <v>264</v>
      </c>
      <c r="G5394">
        <v>295</v>
      </c>
    </row>
    <row r="5395" spans="1:7">
      <c r="A5395" t="s">
        <v>1876</v>
      </c>
      <c r="B5395" t="s">
        <v>363</v>
      </c>
      <c r="C5395" t="s">
        <v>293</v>
      </c>
      <c r="D5395">
        <v>0</v>
      </c>
      <c r="E5395">
        <v>78</v>
      </c>
      <c r="F5395">
        <v>247</v>
      </c>
      <c r="G5395">
        <v>370</v>
      </c>
    </row>
    <row r="5396" spans="1:7">
      <c r="A5396" t="s">
        <v>1876</v>
      </c>
      <c r="B5396" t="s">
        <v>363</v>
      </c>
      <c r="C5396" t="s">
        <v>294</v>
      </c>
      <c r="D5396">
        <v>0</v>
      </c>
      <c r="E5396">
        <v>369</v>
      </c>
      <c r="F5396">
        <v>838</v>
      </c>
      <c r="G5396">
        <v>1015</v>
      </c>
    </row>
    <row r="5397" spans="1:7">
      <c r="A5397" t="s">
        <v>1876</v>
      </c>
      <c r="B5397" t="s">
        <v>363</v>
      </c>
      <c r="C5397" t="s">
        <v>295</v>
      </c>
      <c r="D5397">
        <v>0</v>
      </c>
      <c r="E5397">
        <v>169</v>
      </c>
      <c r="F5397">
        <v>366</v>
      </c>
      <c r="G5397">
        <v>400</v>
      </c>
    </row>
    <row r="5398" spans="1:7">
      <c r="A5398" t="s">
        <v>1876</v>
      </c>
      <c r="B5398" t="s">
        <v>363</v>
      </c>
      <c r="C5398" t="s">
        <v>296</v>
      </c>
      <c r="D5398">
        <v>0</v>
      </c>
      <c r="E5398">
        <v>736</v>
      </c>
      <c r="F5398">
        <v>1714</v>
      </c>
      <c r="G5398">
        <v>2080</v>
      </c>
    </row>
    <row r="5399" spans="1:7">
      <c r="A5399" t="s">
        <v>1876</v>
      </c>
      <c r="B5399" t="s">
        <v>363</v>
      </c>
      <c r="C5399" t="s">
        <v>297</v>
      </c>
      <c r="D5399">
        <v>34256</v>
      </c>
      <c r="E5399">
        <v>34449</v>
      </c>
      <c r="F5399">
        <v>33803</v>
      </c>
      <c r="G5399">
        <v>32995</v>
      </c>
    </row>
    <row r="5400" spans="1:7">
      <c r="A5400" t="s">
        <v>1876</v>
      </c>
      <c r="B5400" t="s">
        <v>363</v>
      </c>
      <c r="C5400" t="s">
        <v>1952</v>
      </c>
      <c r="D5400">
        <v>0</v>
      </c>
      <c r="E5400">
        <v>0</v>
      </c>
      <c r="F5400">
        <v>0</v>
      </c>
      <c r="G5400">
        <v>0</v>
      </c>
    </row>
    <row r="5401" spans="1:7">
      <c r="A5401" t="s">
        <v>1876</v>
      </c>
      <c r="B5401" t="s">
        <v>363</v>
      </c>
      <c r="C5401" t="s">
        <v>298</v>
      </c>
      <c r="D5401">
        <v>460</v>
      </c>
      <c r="E5401">
        <v>588</v>
      </c>
      <c r="F5401">
        <v>588</v>
      </c>
      <c r="G5401">
        <v>515</v>
      </c>
    </row>
    <row r="5402" spans="1:7">
      <c r="A5402" t="s">
        <v>1876</v>
      </c>
      <c r="B5402" t="s">
        <v>363</v>
      </c>
      <c r="C5402" t="s">
        <v>299</v>
      </c>
      <c r="D5402">
        <v>76</v>
      </c>
      <c r="E5402">
        <v>92</v>
      </c>
      <c r="F5402">
        <v>136</v>
      </c>
      <c r="G5402">
        <v>170</v>
      </c>
    </row>
    <row r="5403" spans="1:7">
      <c r="A5403" t="s">
        <v>1876</v>
      </c>
      <c r="B5403" t="s">
        <v>363</v>
      </c>
      <c r="C5403" t="s">
        <v>300</v>
      </c>
      <c r="D5403">
        <v>208</v>
      </c>
      <c r="E5403">
        <v>254</v>
      </c>
      <c r="F5403">
        <v>277</v>
      </c>
      <c r="G5403">
        <v>415</v>
      </c>
    </row>
    <row r="5404" spans="1:7">
      <c r="A5404" t="s">
        <v>1876</v>
      </c>
      <c r="B5404" t="s">
        <v>363</v>
      </c>
      <c r="C5404" t="s">
        <v>1722</v>
      </c>
      <c r="D5404">
        <v>30</v>
      </c>
      <c r="E5404">
        <v>37</v>
      </c>
      <c r="F5404">
        <v>40</v>
      </c>
      <c r="G5404">
        <v>66</v>
      </c>
    </row>
    <row r="5405" spans="1:7">
      <c r="A5405" t="s">
        <v>1876</v>
      </c>
      <c r="B5405" t="s">
        <v>363</v>
      </c>
      <c r="C5405" t="s">
        <v>301</v>
      </c>
      <c r="D5405">
        <v>1</v>
      </c>
      <c r="E5405">
        <v>3</v>
      </c>
      <c r="F5405">
        <v>4</v>
      </c>
      <c r="G5405">
        <v>11</v>
      </c>
    </row>
    <row r="5406" spans="1:7">
      <c r="A5406" t="s">
        <v>1876</v>
      </c>
      <c r="B5406" t="s">
        <v>363</v>
      </c>
      <c r="C5406" t="s">
        <v>302</v>
      </c>
      <c r="D5406">
        <v>158</v>
      </c>
      <c r="E5406">
        <v>229</v>
      </c>
      <c r="F5406">
        <v>327</v>
      </c>
      <c r="G5406">
        <v>415</v>
      </c>
    </row>
    <row r="5407" spans="1:7">
      <c r="A5407" t="s">
        <v>1876</v>
      </c>
      <c r="B5407" t="s">
        <v>363</v>
      </c>
      <c r="C5407" t="s">
        <v>303</v>
      </c>
      <c r="D5407">
        <v>443</v>
      </c>
      <c r="E5407">
        <v>578</v>
      </c>
      <c r="F5407">
        <v>745</v>
      </c>
      <c r="G5407">
        <v>1011</v>
      </c>
    </row>
    <row r="5408" spans="1:7">
      <c r="A5408" t="s">
        <v>1876</v>
      </c>
      <c r="B5408" t="s">
        <v>363</v>
      </c>
      <c r="C5408" t="s">
        <v>304</v>
      </c>
      <c r="D5408">
        <v>235</v>
      </c>
      <c r="E5408">
        <v>324</v>
      </c>
      <c r="F5408">
        <v>467</v>
      </c>
      <c r="G5408">
        <v>596</v>
      </c>
    </row>
    <row r="5409" spans="1:7">
      <c r="A5409" t="s">
        <v>1876</v>
      </c>
      <c r="B5409" t="s">
        <v>363</v>
      </c>
      <c r="C5409" t="s">
        <v>1953</v>
      </c>
      <c r="D5409">
        <v>23.1</v>
      </c>
      <c r="E5409">
        <v>23.8</v>
      </c>
      <c r="F5409">
        <v>24</v>
      </c>
      <c r="G5409">
        <v>23.6</v>
      </c>
    </row>
    <row r="5410" spans="1:7">
      <c r="A5410" t="s">
        <v>1876</v>
      </c>
      <c r="B5410" t="s">
        <v>363</v>
      </c>
      <c r="C5410" t="s">
        <v>305</v>
      </c>
      <c r="D5410">
        <v>258257</v>
      </c>
      <c r="E5410">
        <v>267919</v>
      </c>
      <c r="F5410">
        <v>260069</v>
      </c>
      <c r="G5410">
        <v>280412</v>
      </c>
    </row>
    <row r="5411" spans="1:7">
      <c r="A5411" t="s">
        <v>1876</v>
      </c>
      <c r="B5411" t="s">
        <v>363</v>
      </c>
      <c r="C5411" t="s">
        <v>306</v>
      </c>
      <c r="D5411">
        <v>87.9</v>
      </c>
      <c r="E5411">
        <v>91.2</v>
      </c>
      <c r="F5411">
        <v>88.2</v>
      </c>
      <c r="G5411">
        <v>94.6</v>
      </c>
    </row>
    <row r="5412" spans="1:7">
      <c r="A5412" t="s">
        <v>1876</v>
      </c>
      <c r="B5412" t="s">
        <v>363</v>
      </c>
      <c r="C5412" t="s">
        <v>307</v>
      </c>
      <c r="D5412">
        <v>169592</v>
      </c>
      <c r="E5412">
        <v>175150</v>
      </c>
      <c r="F5412">
        <v>170959</v>
      </c>
      <c r="G5412">
        <v>162775</v>
      </c>
    </row>
    <row r="5413" spans="1:7">
      <c r="A5413" t="s">
        <v>1876</v>
      </c>
      <c r="B5413" t="s">
        <v>363</v>
      </c>
      <c r="C5413" t="s">
        <v>308</v>
      </c>
      <c r="D5413">
        <v>57.7</v>
      </c>
      <c r="E5413">
        <v>59.6</v>
      </c>
      <c r="F5413">
        <v>58</v>
      </c>
      <c r="G5413">
        <v>54.9</v>
      </c>
    </row>
    <row r="5414" spans="1:7">
      <c r="A5414" t="s">
        <v>1876</v>
      </c>
      <c r="B5414" t="s">
        <v>363</v>
      </c>
      <c r="C5414" t="s">
        <v>309</v>
      </c>
      <c r="D5414">
        <v>421030</v>
      </c>
      <c r="E5414">
        <v>453419</v>
      </c>
      <c r="F5414">
        <v>425809</v>
      </c>
      <c r="G5414">
        <v>401793</v>
      </c>
    </row>
    <row r="5415" spans="1:7">
      <c r="A5415" t="s">
        <v>1876</v>
      </c>
      <c r="B5415" t="s">
        <v>363</v>
      </c>
      <c r="C5415" t="s">
        <v>310</v>
      </c>
      <c r="D5415">
        <v>360581</v>
      </c>
      <c r="E5415">
        <v>370401</v>
      </c>
      <c r="F5415">
        <v>352054</v>
      </c>
      <c r="G5415">
        <v>349716</v>
      </c>
    </row>
    <row r="5416" spans="1:7">
      <c r="A5416" t="s">
        <v>1876</v>
      </c>
      <c r="B5416" t="s">
        <v>363</v>
      </c>
      <c r="C5416" t="s">
        <v>311</v>
      </c>
      <c r="D5416">
        <v>122.7</v>
      </c>
      <c r="E5416">
        <v>126.1</v>
      </c>
      <c r="F5416">
        <v>119.4</v>
      </c>
      <c r="G5416">
        <v>117.9</v>
      </c>
    </row>
    <row r="5417" spans="1:7">
      <c r="A5417" t="s">
        <v>1876</v>
      </c>
      <c r="B5417" t="s">
        <v>363</v>
      </c>
      <c r="C5417" t="s">
        <v>312</v>
      </c>
      <c r="D5417">
        <v>179855</v>
      </c>
      <c r="E5417">
        <v>189341</v>
      </c>
      <c r="F5417">
        <v>176426</v>
      </c>
      <c r="G5417">
        <v>166435</v>
      </c>
    </row>
    <row r="5418" spans="1:7">
      <c r="A5418" t="s">
        <v>1876</v>
      </c>
      <c r="B5418" t="s">
        <v>363</v>
      </c>
      <c r="C5418" t="s">
        <v>313</v>
      </c>
      <c r="D5418">
        <v>61.2</v>
      </c>
      <c r="E5418">
        <v>64.400000000000006</v>
      </c>
      <c r="F5418">
        <v>59.8</v>
      </c>
      <c r="G5418">
        <v>56.1</v>
      </c>
    </row>
    <row r="5419" spans="1:7">
      <c r="A5419" t="s">
        <v>1876</v>
      </c>
      <c r="B5419" t="s">
        <v>363</v>
      </c>
      <c r="C5419" t="s">
        <v>314</v>
      </c>
      <c r="D5419">
        <v>968284</v>
      </c>
      <c r="E5419">
        <v>1002810</v>
      </c>
      <c r="F5419">
        <v>959507</v>
      </c>
      <c r="G5419">
        <v>959338</v>
      </c>
    </row>
    <row r="5420" spans="1:7">
      <c r="A5420" t="s">
        <v>1876</v>
      </c>
      <c r="B5420" t="s">
        <v>363</v>
      </c>
      <c r="C5420" t="s">
        <v>315</v>
      </c>
      <c r="D5420">
        <v>5.68</v>
      </c>
      <c r="E5420">
        <v>5.64</v>
      </c>
      <c r="F5420">
        <v>5.32</v>
      </c>
      <c r="G5420">
        <v>5.28</v>
      </c>
    </row>
    <row r="5421" spans="1:7">
      <c r="A5421" t="s">
        <v>1876</v>
      </c>
      <c r="B5421" t="s">
        <v>363</v>
      </c>
      <c r="C5421" t="s">
        <v>316</v>
      </c>
      <c r="D5421">
        <v>329.5</v>
      </c>
      <c r="E5421">
        <v>341.3</v>
      </c>
      <c r="F5421">
        <v>325.3</v>
      </c>
      <c r="G5421">
        <v>323.5</v>
      </c>
    </row>
    <row r="5422" spans="1:7">
      <c r="A5422" t="s">
        <v>1876</v>
      </c>
      <c r="B5422" t="s">
        <v>363</v>
      </c>
      <c r="C5422" t="s">
        <v>317</v>
      </c>
      <c r="D5422">
        <v>968285</v>
      </c>
      <c r="E5422">
        <v>1002811</v>
      </c>
      <c r="F5422">
        <v>959508</v>
      </c>
      <c r="G5422">
        <v>959339</v>
      </c>
    </row>
    <row r="5423" spans="1:7">
      <c r="A5423" t="s">
        <v>1876</v>
      </c>
      <c r="B5423" t="s">
        <v>363</v>
      </c>
      <c r="C5423" t="s">
        <v>318</v>
      </c>
      <c r="D5423">
        <v>258257</v>
      </c>
      <c r="E5423">
        <v>267919</v>
      </c>
      <c r="F5423">
        <v>260069</v>
      </c>
      <c r="G5423">
        <v>280412</v>
      </c>
    </row>
    <row r="5424" spans="1:7">
      <c r="A5424" t="s">
        <v>1876</v>
      </c>
      <c r="B5424" t="s">
        <v>363</v>
      </c>
      <c r="C5424" t="s">
        <v>319</v>
      </c>
      <c r="D5424">
        <v>102719</v>
      </c>
      <c r="E5424">
        <v>109338</v>
      </c>
      <c r="F5424">
        <v>105331</v>
      </c>
      <c r="G5424">
        <v>101726</v>
      </c>
    </row>
    <row r="5425" spans="1:7">
      <c r="A5425" t="s">
        <v>1876</v>
      </c>
      <c r="B5425" t="s">
        <v>363</v>
      </c>
      <c r="C5425" t="s">
        <v>320</v>
      </c>
      <c r="D5425">
        <v>311086</v>
      </c>
      <c r="E5425">
        <v>321459</v>
      </c>
      <c r="F5425">
        <v>304027</v>
      </c>
      <c r="G5425">
        <v>304763</v>
      </c>
    </row>
    <row r="5426" spans="1:7">
      <c r="A5426" t="s">
        <v>1876</v>
      </c>
      <c r="B5426" t="s">
        <v>363</v>
      </c>
      <c r="C5426" t="s">
        <v>321</v>
      </c>
      <c r="D5426">
        <v>119893</v>
      </c>
      <c r="E5426">
        <v>129108</v>
      </c>
      <c r="F5426">
        <v>118776</v>
      </c>
      <c r="G5426">
        <v>112928</v>
      </c>
    </row>
    <row r="5427" spans="1:7">
      <c r="A5427" t="s">
        <v>1876</v>
      </c>
      <c r="B5427" t="s">
        <v>363</v>
      </c>
      <c r="C5427" t="s">
        <v>1954</v>
      </c>
      <c r="D5427">
        <v>791955</v>
      </c>
      <c r="E5427">
        <v>827824</v>
      </c>
      <c r="F5427">
        <v>788203</v>
      </c>
      <c r="G5427">
        <v>799829</v>
      </c>
    </row>
    <row r="5428" spans="1:7">
      <c r="A5428" t="s">
        <v>1876</v>
      </c>
      <c r="B5428" t="s">
        <v>363</v>
      </c>
      <c r="C5428" t="s">
        <v>323</v>
      </c>
      <c r="D5428">
        <v>2939</v>
      </c>
      <c r="E5428">
        <v>2938</v>
      </c>
      <c r="F5428">
        <v>2950</v>
      </c>
      <c r="G5428">
        <v>2965</v>
      </c>
    </row>
    <row r="5429" spans="1:7">
      <c r="A5429" t="s">
        <v>1876</v>
      </c>
      <c r="B5429" t="s">
        <v>363</v>
      </c>
      <c r="C5429" t="s">
        <v>324</v>
      </c>
      <c r="D5429">
        <v>1138</v>
      </c>
      <c r="E5429">
        <v>0</v>
      </c>
      <c r="F5429">
        <v>0</v>
      </c>
      <c r="G5429">
        <v>0</v>
      </c>
    </row>
    <row r="5430" spans="1:7">
      <c r="A5430" t="s">
        <v>1876</v>
      </c>
      <c r="B5430" t="s">
        <v>363</v>
      </c>
      <c r="C5430" t="s">
        <v>325</v>
      </c>
      <c r="D5430">
        <v>0</v>
      </c>
      <c r="E5430">
        <v>0</v>
      </c>
      <c r="F5430">
        <v>0</v>
      </c>
      <c r="G5430">
        <v>0</v>
      </c>
    </row>
    <row r="5431" spans="1:7">
      <c r="A5431" t="s">
        <v>1876</v>
      </c>
      <c r="B5431" t="s">
        <v>363</v>
      </c>
      <c r="C5431" t="s">
        <v>326</v>
      </c>
      <c r="D5431">
        <v>469</v>
      </c>
      <c r="E5431">
        <v>469</v>
      </c>
      <c r="F5431">
        <v>469</v>
      </c>
      <c r="G5431">
        <v>469</v>
      </c>
    </row>
    <row r="5432" spans="1:7">
      <c r="A5432" t="s">
        <v>1876</v>
      </c>
      <c r="B5432" t="s">
        <v>363</v>
      </c>
      <c r="C5432" t="s">
        <v>327</v>
      </c>
      <c r="D5432">
        <v>0</v>
      </c>
      <c r="E5432">
        <v>0</v>
      </c>
      <c r="F5432">
        <v>0</v>
      </c>
      <c r="G5432">
        <v>0</v>
      </c>
    </row>
    <row r="5433" spans="1:7">
      <c r="A5433" t="s">
        <v>1876</v>
      </c>
      <c r="B5433" t="s">
        <v>363</v>
      </c>
      <c r="C5433" t="s">
        <v>1723</v>
      </c>
      <c r="D5433">
        <v>0</v>
      </c>
      <c r="E5433">
        <v>0</v>
      </c>
      <c r="F5433">
        <v>0</v>
      </c>
      <c r="G5433">
        <v>0</v>
      </c>
    </row>
    <row r="5434" spans="1:7">
      <c r="A5434" t="s">
        <v>1876</v>
      </c>
      <c r="B5434" t="s">
        <v>363</v>
      </c>
      <c r="C5434" t="s">
        <v>328</v>
      </c>
      <c r="D5434">
        <v>101</v>
      </c>
      <c r="E5434">
        <v>158</v>
      </c>
      <c r="F5434">
        <v>158</v>
      </c>
      <c r="G5434">
        <v>158</v>
      </c>
    </row>
    <row r="5435" spans="1:7">
      <c r="A5435" t="s">
        <v>1876</v>
      </c>
      <c r="B5435" t="s">
        <v>363</v>
      </c>
      <c r="C5435" t="s">
        <v>329</v>
      </c>
      <c r="D5435">
        <v>2437</v>
      </c>
      <c r="E5435">
        <v>3071</v>
      </c>
      <c r="F5435">
        <v>2610</v>
      </c>
      <c r="G5435">
        <v>2447</v>
      </c>
    </row>
    <row r="5436" spans="1:7">
      <c r="A5436" t="s">
        <v>1876</v>
      </c>
      <c r="B5436" t="s">
        <v>363</v>
      </c>
      <c r="C5436" t="s">
        <v>330</v>
      </c>
      <c r="D5436">
        <v>3007</v>
      </c>
      <c r="E5436">
        <v>3698</v>
      </c>
      <c r="F5436">
        <v>3237</v>
      </c>
      <c r="G5436">
        <v>3074</v>
      </c>
    </row>
    <row r="5437" spans="1:7">
      <c r="A5437" t="s">
        <v>1876</v>
      </c>
      <c r="B5437" t="s">
        <v>363</v>
      </c>
      <c r="C5437" t="s">
        <v>331</v>
      </c>
      <c r="D5437">
        <v>0</v>
      </c>
      <c r="E5437">
        <v>0</v>
      </c>
      <c r="F5437">
        <v>0</v>
      </c>
      <c r="G5437">
        <v>0</v>
      </c>
    </row>
    <row r="5438" spans="1:7">
      <c r="A5438" t="s">
        <v>1876</v>
      </c>
      <c r="B5438" t="s">
        <v>363</v>
      </c>
      <c r="C5438" t="s">
        <v>332</v>
      </c>
      <c r="D5438">
        <v>690</v>
      </c>
      <c r="E5438">
        <v>712</v>
      </c>
      <c r="F5438">
        <v>761</v>
      </c>
      <c r="G5438">
        <v>646</v>
      </c>
    </row>
    <row r="5439" spans="1:7">
      <c r="A5439" t="s">
        <v>1876</v>
      </c>
      <c r="B5439" t="s">
        <v>363</v>
      </c>
      <c r="C5439" t="s">
        <v>1724</v>
      </c>
      <c r="D5439">
        <v>9</v>
      </c>
      <c r="E5439">
        <v>9</v>
      </c>
      <c r="F5439">
        <v>9</v>
      </c>
      <c r="G5439">
        <v>9</v>
      </c>
    </row>
    <row r="5440" spans="1:7">
      <c r="A5440" t="s">
        <v>1876</v>
      </c>
      <c r="B5440" t="s">
        <v>363</v>
      </c>
      <c r="C5440" t="s">
        <v>333</v>
      </c>
      <c r="D5440">
        <v>2369</v>
      </c>
      <c r="E5440">
        <v>2193</v>
      </c>
      <c r="F5440">
        <v>896</v>
      </c>
      <c r="G5440">
        <v>1578</v>
      </c>
    </row>
    <row r="5441" spans="1:7">
      <c r="A5441" t="s">
        <v>1876</v>
      </c>
      <c r="B5441" t="s">
        <v>363</v>
      </c>
      <c r="C5441" t="s">
        <v>334</v>
      </c>
      <c r="D5441">
        <v>3060</v>
      </c>
      <c r="E5441">
        <v>2905</v>
      </c>
      <c r="F5441">
        <v>1656</v>
      </c>
      <c r="G5441">
        <v>2224</v>
      </c>
    </row>
    <row r="5442" spans="1:7">
      <c r="A5442" t="s">
        <v>1876</v>
      </c>
      <c r="B5442" t="s">
        <v>363</v>
      </c>
      <c r="C5442" t="s">
        <v>335</v>
      </c>
      <c r="D5442">
        <v>469</v>
      </c>
      <c r="E5442">
        <v>469</v>
      </c>
      <c r="F5442">
        <v>469</v>
      </c>
      <c r="G5442">
        <v>469</v>
      </c>
    </row>
    <row r="5443" spans="1:7">
      <c r="A5443" t="s">
        <v>1876</v>
      </c>
      <c r="B5443" t="s">
        <v>363</v>
      </c>
      <c r="C5443" t="s">
        <v>336</v>
      </c>
      <c r="D5443">
        <v>690</v>
      </c>
      <c r="E5443">
        <v>712</v>
      </c>
      <c r="F5443">
        <v>761</v>
      </c>
      <c r="G5443">
        <v>646</v>
      </c>
    </row>
    <row r="5444" spans="1:7">
      <c r="A5444" t="s">
        <v>1876</v>
      </c>
      <c r="B5444" t="s">
        <v>363</v>
      </c>
      <c r="C5444" t="s">
        <v>337</v>
      </c>
      <c r="D5444">
        <v>2470</v>
      </c>
      <c r="E5444">
        <v>2351</v>
      </c>
      <c r="F5444">
        <v>1054</v>
      </c>
      <c r="G5444">
        <v>1735</v>
      </c>
    </row>
    <row r="5445" spans="1:7">
      <c r="A5445" t="s">
        <v>1876</v>
      </c>
      <c r="B5445" t="s">
        <v>363</v>
      </c>
      <c r="C5445" t="s">
        <v>338</v>
      </c>
      <c r="D5445">
        <v>6067</v>
      </c>
      <c r="E5445">
        <v>6603</v>
      </c>
      <c r="F5445">
        <v>4894</v>
      </c>
      <c r="G5445">
        <v>5298</v>
      </c>
    </row>
    <row r="5446" spans="1:7">
      <c r="A5446" t="s">
        <v>1876</v>
      </c>
      <c r="B5446" t="s">
        <v>363</v>
      </c>
      <c r="C5446" t="s">
        <v>339</v>
      </c>
      <c r="D5446">
        <v>5377</v>
      </c>
      <c r="E5446">
        <v>5891</v>
      </c>
      <c r="F5446">
        <v>4133</v>
      </c>
      <c r="G5446">
        <v>4652</v>
      </c>
    </row>
    <row r="5447" spans="1:7">
      <c r="A5447" t="s">
        <v>1876</v>
      </c>
      <c r="B5447" t="s">
        <v>363</v>
      </c>
      <c r="C5447" t="s">
        <v>340</v>
      </c>
      <c r="D5447">
        <v>68</v>
      </c>
      <c r="E5447">
        <v>89</v>
      </c>
      <c r="F5447">
        <v>62</v>
      </c>
      <c r="G5447">
        <v>76</v>
      </c>
    </row>
    <row r="5448" spans="1:7">
      <c r="A5448" t="s">
        <v>1876</v>
      </c>
      <c r="B5448" t="s">
        <v>363</v>
      </c>
      <c r="C5448" t="s">
        <v>1955</v>
      </c>
      <c r="D5448">
        <v>40.299999999999997</v>
      </c>
      <c r="E5448">
        <v>41.2</v>
      </c>
      <c r="F5448">
        <v>36.9</v>
      </c>
      <c r="G5448">
        <v>37.5</v>
      </c>
    </row>
    <row r="5449" spans="1:7">
      <c r="A5449" t="s">
        <v>1876</v>
      </c>
      <c r="B5449" t="s">
        <v>363</v>
      </c>
      <c r="C5449" t="s">
        <v>341</v>
      </c>
      <c r="D5449">
        <v>54</v>
      </c>
      <c r="E5449">
        <v>54</v>
      </c>
      <c r="F5449">
        <v>43</v>
      </c>
      <c r="G5449">
        <v>43</v>
      </c>
    </row>
    <row r="5450" spans="1:7">
      <c r="A5450" t="s">
        <v>1876</v>
      </c>
      <c r="B5450" t="s">
        <v>363</v>
      </c>
      <c r="C5450" t="s">
        <v>342</v>
      </c>
      <c r="D5450">
        <v>87605</v>
      </c>
      <c r="E5450">
        <v>101194</v>
      </c>
      <c r="F5450">
        <v>92973</v>
      </c>
      <c r="G5450">
        <v>101576</v>
      </c>
    </row>
    <row r="5451" spans="1:7">
      <c r="A5451" t="s">
        <v>1876</v>
      </c>
      <c r="B5451" t="s">
        <v>363</v>
      </c>
      <c r="C5451" t="s">
        <v>1725</v>
      </c>
      <c r="D5451">
        <v>8238</v>
      </c>
      <c r="E5451">
        <v>8238</v>
      </c>
      <c r="F5451">
        <v>9043</v>
      </c>
      <c r="G5451">
        <v>9043</v>
      </c>
    </row>
    <row r="5452" spans="1:7">
      <c r="A5452" t="s">
        <v>1876</v>
      </c>
      <c r="B5452" t="s">
        <v>363</v>
      </c>
      <c r="C5452" t="s">
        <v>343</v>
      </c>
      <c r="D5452">
        <v>9</v>
      </c>
      <c r="E5452">
        <v>45</v>
      </c>
      <c r="F5452">
        <v>38</v>
      </c>
      <c r="G5452">
        <v>42</v>
      </c>
    </row>
    <row r="5453" spans="1:7">
      <c r="A5453" t="s">
        <v>1876</v>
      </c>
      <c r="B5453" t="s">
        <v>363</v>
      </c>
      <c r="C5453" t="s">
        <v>344</v>
      </c>
      <c r="D5453">
        <v>87667</v>
      </c>
      <c r="E5453">
        <v>101294</v>
      </c>
      <c r="F5453">
        <v>93054</v>
      </c>
      <c r="G5453">
        <v>101661</v>
      </c>
    </row>
    <row r="5454" spans="1:7">
      <c r="A5454" t="s">
        <v>1876</v>
      </c>
      <c r="B5454" t="s">
        <v>363</v>
      </c>
      <c r="C5454" t="s">
        <v>345</v>
      </c>
      <c r="D5454">
        <v>62</v>
      </c>
      <c r="E5454">
        <v>99</v>
      </c>
      <c r="F5454">
        <v>81</v>
      </c>
      <c r="G5454">
        <v>85</v>
      </c>
    </row>
    <row r="5455" spans="1:7">
      <c r="A5455" t="s">
        <v>1876</v>
      </c>
      <c r="B5455" t="s">
        <v>363</v>
      </c>
      <c r="C5455" t="s">
        <v>1956</v>
      </c>
      <c r="D5455">
        <v>690</v>
      </c>
      <c r="E5455">
        <v>712</v>
      </c>
      <c r="F5455">
        <v>761</v>
      </c>
      <c r="G5455">
        <v>646</v>
      </c>
    </row>
    <row r="5456" spans="1:7">
      <c r="A5456" t="s">
        <v>1876</v>
      </c>
      <c r="B5456" t="s">
        <v>363</v>
      </c>
      <c r="C5456" t="s">
        <v>1957</v>
      </c>
      <c r="D5456">
        <v>3060</v>
      </c>
      <c r="E5456">
        <v>2905</v>
      </c>
      <c r="F5456">
        <v>1656</v>
      </c>
      <c r="G5456">
        <v>2224</v>
      </c>
    </row>
    <row r="5457" spans="1:7">
      <c r="A5457" t="s">
        <v>1876</v>
      </c>
      <c r="B5457" t="s">
        <v>363</v>
      </c>
      <c r="C5457" t="s">
        <v>346</v>
      </c>
      <c r="D5457">
        <v>1590</v>
      </c>
      <c r="E5457">
        <v>1671</v>
      </c>
      <c r="F5457">
        <v>1601</v>
      </c>
      <c r="G5457">
        <v>1640</v>
      </c>
    </row>
    <row r="5458" spans="1:7">
      <c r="A5458" t="s">
        <v>1876</v>
      </c>
      <c r="B5458" t="s">
        <v>363</v>
      </c>
      <c r="C5458" t="s">
        <v>347</v>
      </c>
      <c r="D5458">
        <v>4532</v>
      </c>
      <c r="E5458">
        <v>5040</v>
      </c>
      <c r="F5458">
        <v>4373</v>
      </c>
      <c r="G5458">
        <v>4140</v>
      </c>
    </row>
    <row r="5459" spans="1:7">
      <c r="A5459" t="s">
        <v>1876</v>
      </c>
      <c r="B5459" t="s">
        <v>364</v>
      </c>
      <c r="C5459" t="s">
        <v>133</v>
      </c>
      <c r="D5459">
        <v>-14</v>
      </c>
      <c r="E5459">
        <v>-11</v>
      </c>
      <c r="F5459">
        <v>-10</v>
      </c>
      <c r="G5459">
        <v>-17</v>
      </c>
    </row>
    <row r="5460" spans="1:7">
      <c r="A5460" t="s">
        <v>1876</v>
      </c>
      <c r="B5460" t="s">
        <v>364</v>
      </c>
      <c r="C5460" t="s">
        <v>134</v>
      </c>
      <c r="D5460">
        <v>16543</v>
      </c>
      <c r="E5460">
        <v>15247</v>
      </c>
      <c r="F5460">
        <v>14315</v>
      </c>
      <c r="G5460">
        <v>14064</v>
      </c>
    </row>
    <row r="5461" spans="1:7">
      <c r="A5461" t="s">
        <v>1876</v>
      </c>
      <c r="B5461" t="s">
        <v>364</v>
      </c>
      <c r="C5461" t="s">
        <v>135</v>
      </c>
      <c r="D5461">
        <v>16543</v>
      </c>
      <c r="E5461">
        <v>15247</v>
      </c>
      <c r="F5461">
        <v>14315</v>
      </c>
      <c r="G5461">
        <v>14064</v>
      </c>
    </row>
    <row r="5462" spans="1:7">
      <c r="A5462" t="s">
        <v>1876</v>
      </c>
      <c r="B5462" t="s">
        <v>364</v>
      </c>
      <c r="C5462" t="s">
        <v>136</v>
      </c>
      <c r="D5462">
        <v>16543</v>
      </c>
      <c r="E5462">
        <v>15247</v>
      </c>
      <c r="F5462">
        <v>14315</v>
      </c>
      <c r="G5462">
        <v>14064</v>
      </c>
    </row>
    <row r="5463" spans="1:7">
      <c r="A5463" t="s">
        <v>1876</v>
      </c>
      <c r="B5463" t="s">
        <v>364</v>
      </c>
      <c r="C5463" t="s">
        <v>137</v>
      </c>
      <c r="D5463">
        <v>208</v>
      </c>
      <c r="E5463">
        <v>215</v>
      </c>
      <c r="F5463">
        <v>204</v>
      </c>
      <c r="G5463">
        <v>220</v>
      </c>
    </row>
    <row r="5464" spans="1:7">
      <c r="A5464" t="s">
        <v>1876</v>
      </c>
      <c r="B5464" t="s">
        <v>364</v>
      </c>
      <c r="C5464" t="s">
        <v>138</v>
      </c>
      <c r="D5464">
        <v>208</v>
      </c>
      <c r="E5464">
        <v>215</v>
      </c>
      <c r="F5464">
        <v>204</v>
      </c>
      <c r="G5464">
        <v>220</v>
      </c>
    </row>
    <row r="5465" spans="1:7">
      <c r="A5465" t="s">
        <v>1876</v>
      </c>
      <c r="B5465" t="s">
        <v>364</v>
      </c>
      <c r="C5465" t="s">
        <v>139</v>
      </c>
      <c r="D5465">
        <v>208</v>
      </c>
      <c r="E5465">
        <v>215</v>
      </c>
      <c r="F5465">
        <v>204</v>
      </c>
      <c r="G5465">
        <v>220</v>
      </c>
    </row>
    <row r="5466" spans="1:7">
      <c r="A5466" t="s">
        <v>1876</v>
      </c>
      <c r="B5466" t="s">
        <v>364</v>
      </c>
      <c r="C5466" t="s">
        <v>1877</v>
      </c>
      <c r="D5466">
        <v>0</v>
      </c>
      <c r="E5466">
        <v>0</v>
      </c>
      <c r="F5466">
        <v>0</v>
      </c>
      <c r="G5466">
        <v>0</v>
      </c>
    </row>
    <row r="5467" spans="1:7">
      <c r="A5467" t="s">
        <v>1876</v>
      </c>
      <c r="B5467" t="s">
        <v>364</v>
      </c>
      <c r="C5467" t="s">
        <v>1700</v>
      </c>
      <c r="D5467">
        <v>0</v>
      </c>
      <c r="E5467">
        <v>0</v>
      </c>
      <c r="F5467">
        <v>0</v>
      </c>
      <c r="G5467">
        <v>0</v>
      </c>
    </row>
    <row r="5468" spans="1:7">
      <c r="A5468" t="s">
        <v>1876</v>
      </c>
      <c r="B5468" t="s">
        <v>364</v>
      </c>
      <c r="C5468" t="s">
        <v>1878</v>
      </c>
      <c r="D5468">
        <v>0</v>
      </c>
      <c r="E5468">
        <v>0</v>
      </c>
      <c r="F5468">
        <v>0</v>
      </c>
      <c r="G5468">
        <v>0</v>
      </c>
    </row>
    <row r="5469" spans="1:7">
      <c r="A5469" t="s">
        <v>1876</v>
      </c>
      <c r="B5469" t="s">
        <v>364</v>
      </c>
      <c r="C5469" t="s">
        <v>1879</v>
      </c>
      <c r="D5469">
        <v>0</v>
      </c>
      <c r="E5469">
        <v>0</v>
      </c>
      <c r="F5469">
        <v>0</v>
      </c>
      <c r="G5469">
        <v>0</v>
      </c>
    </row>
    <row r="5470" spans="1:7">
      <c r="A5470" t="s">
        <v>1876</v>
      </c>
      <c r="B5470" t="s">
        <v>364</v>
      </c>
      <c r="C5470" t="s">
        <v>1701</v>
      </c>
      <c r="D5470">
        <v>0</v>
      </c>
      <c r="E5470">
        <v>0</v>
      </c>
      <c r="F5470">
        <v>0</v>
      </c>
      <c r="G5470">
        <v>0</v>
      </c>
    </row>
    <row r="5471" spans="1:7">
      <c r="A5471" t="s">
        <v>1876</v>
      </c>
      <c r="B5471" t="s">
        <v>364</v>
      </c>
      <c r="C5471" t="s">
        <v>1880</v>
      </c>
      <c r="D5471">
        <v>1310</v>
      </c>
      <c r="E5471">
        <v>1212</v>
      </c>
      <c r="F5471">
        <v>1420</v>
      </c>
      <c r="G5471">
        <v>1365</v>
      </c>
    </row>
    <row r="5472" spans="1:7">
      <c r="A5472" t="s">
        <v>1876</v>
      </c>
      <c r="B5472" t="s">
        <v>364</v>
      </c>
      <c r="C5472" t="s">
        <v>140</v>
      </c>
      <c r="D5472">
        <v>3078</v>
      </c>
      <c r="E5472">
        <v>2929</v>
      </c>
      <c r="F5472">
        <v>3830</v>
      </c>
      <c r="G5472">
        <v>3892</v>
      </c>
    </row>
    <row r="5473" spans="1:7">
      <c r="A5473" t="s">
        <v>1876</v>
      </c>
      <c r="B5473" t="s">
        <v>364</v>
      </c>
      <c r="C5473" t="s">
        <v>1881</v>
      </c>
      <c r="D5473">
        <v>1768</v>
      </c>
      <c r="E5473">
        <v>1717</v>
      </c>
      <c r="F5473">
        <v>2410</v>
      </c>
      <c r="G5473">
        <v>2526</v>
      </c>
    </row>
    <row r="5474" spans="1:7">
      <c r="A5474" t="s">
        <v>1876</v>
      </c>
      <c r="B5474" t="s">
        <v>364</v>
      </c>
      <c r="C5474" t="s">
        <v>1882</v>
      </c>
      <c r="D5474">
        <v>0</v>
      </c>
      <c r="E5474">
        <v>0</v>
      </c>
      <c r="F5474">
        <v>0</v>
      </c>
      <c r="G5474">
        <v>0</v>
      </c>
    </row>
    <row r="5475" spans="1:7">
      <c r="A5475" t="s">
        <v>1876</v>
      </c>
      <c r="B5475" t="s">
        <v>364</v>
      </c>
      <c r="C5475" t="s">
        <v>1883</v>
      </c>
      <c r="D5475">
        <v>0</v>
      </c>
      <c r="E5475">
        <v>0</v>
      </c>
      <c r="F5475">
        <v>0</v>
      </c>
      <c r="G5475">
        <v>0</v>
      </c>
    </row>
    <row r="5476" spans="1:7">
      <c r="A5476" t="s">
        <v>1876</v>
      </c>
      <c r="B5476" t="s">
        <v>364</v>
      </c>
      <c r="C5476" t="s">
        <v>1884</v>
      </c>
      <c r="D5476">
        <v>0</v>
      </c>
      <c r="E5476">
        <v>0</v>
      </c>
      <c r="F5476">
        <v>0</v>
      </c>
      <c r="G5476">
        <v>0</v>
      </c>
    </row>
    <row r="5477" spans="1:7">
      <c r="A5477" t="s">
        <v>1876</v>
      </c>
      <c r="B5477" t="s">
        <v>364</v>
      </c>
      <c r="C5477" t="s">
        <v>1885</v>
      </c>
      <c r="D5477">
        <v>0</v>
      </c>
      <c r="E5477">
        <v>0</v>
      </c>
      <c r="F5477">
        <v>0</v>
      </c>
      <c r="G5477">
        <v>0</v>
      </c>
    </row>
    <row r="5478" spans="1:7">
      <c r="A5478" t="s">
        <v>1876</v>
      </c>
      <c r="B5478" t="s">
        <v>364</v>
      </c>
      <c r="C5478" t="s">
        <v>1886</v>
      </c>
      <c r="D5478">
        <v>0</v>
      </c>
      <c r="E5478">
        <v>0</v>
      </c>
      <c r="F5478">
        <v>0</v>
      </c>
      <c r="G5478">
        <v>0</v>
      </c>
    </row>
    <row r="5479" spans="1:7">
      <c r="A5479" t="s">
        <v>1876</v>
      </c>
      <c r="B5479" t="s">
        <v>364</v>
      </c>
      <c r="C5479" t="s">
        <v>141</v>
      </c>
      <c r="D5479">
        <v>85</v>
      </c>
      <c r="E5479">
        <v>83</v>
      </c>
      <c r="F5479">
        <v>93</v>
      </c>
      <c r="G5479">
        <v>98</v>
      </c>
    </row>
    <row r="5480" spans="1:7">
      <c r="A5480" t="s">
        <v>1876</v>
      </c>
      <c r="B5480" t="s">
        <v>364</v>
      </c>
      <c r="C5480" t="s">
        <v>1887</v>
      </c>
      <c r="D5480">
        <v>0</v>
      </c>
      <c r="E5480">
        <v>0</v>
      </c>
      <c r="F5480">
        <v>0</v>
      </c>
      <c r="G5480">
        <v>0</v>
      </c>
    </row>
    <row r="5481" spans="1:7">
      <c r="A5481" t="s">
        <v>1876</v>
      </c>
      <c r="B5481" t="s">
        <v>364</v>
      </c>
      <c r="C5481" t="s">
        <v>1888</v>
      </c>
      <c r="D5481">
        <v>0</v>
      </c>
      <c r="E5481">
        <v>0</v>
      </c>
      <c r="F5481">
        <v>0</v>
      </c>
      <c r="G5481">
        <v>0</v>
      </c>
    </row>
    <row r="5482" spans="1:7">
      <c r="A5482" t="s">
        <v>1876</v>
      </c>
      <c r="B5482" t="s">
        <v>364</v>
      </c>
      <c r="C5482" t="s">
        <v>1889</v>
      </c>
      <c r="D5482">
        <v>1310</v>
      </c>
      <c r="E5482">
        <v>1212</v>
      </c>
      <c r="F5482">
        <v>1420</v>
      </c>
      <c r="G5482">
        <v>1365</v>
      </c>
    </row>
    <row r="5483" spans="1:7">
      <c r="A5483" t="s">
        <v>1876</v>
      </c>
      <c r="B5483" t="s">
        <v>364</v>
      </c>
      <c r="C5483" t="s">
        <v>1890</v>
      </c>
      <c r="D5483">
        <v>0</v>
      </c>
      <c r="E5483">
        <v>0</v>
      </c>
      <c r="F5483">
        <v>0</v>
      </c>
      <c r="G5483">
        <v>0</v>
      </c>
    </row>
    <row r="5484" spans="1:7">
      <c r="A5484" t="s">
        <v>1876</v>
      </c>
      <c r="B5484" t="s">
        <v>364</v>
      </c>
      <c r="C5484" t="s">
        <v>1891</v>
      </c>
    </row>
    <row r="5485" spans="1:7">
      <c r="A5485" t="s">
        <v>1876</v>
      </c>
      <c r="B5485" t="s">
        <v>364</v>
      </c>
      <c r="C5485" t="s">
        <v>1892</v>
      </c>
      <c r="D5485">
        <v>1768</v>
      </c>
      <c r="E5485">
        <v>1717</v>
      </c>
      <c r="F5485">
        <v>2410</v>
      </c>
      <c r="G5485">
        <v>2526</v>
      </c>
    </row>
    <row r="5486" spans="1:7">
      <c r="A5486" t="s">
        <v>1876</v>
      </c>
      <c r="B5486" t="s">
        <v>364</v>
      </c>
      <c r="C5486" t="s">
        <v>142</v>
      </c>
      <c r="D5486">
        <v>3078</v>
      </c>
      <c r="E5486">
        <v>2929</v>
      </c>
      <c r="F5486">
        <v>3830</v>
      </c>
      <c r="G5486">
        <v>3892</v>
      </c>
    </row>
    <row r="5487" spans="1:7">
      <c r="A5487" t="s">
        <v>1876</v>
      </c>
      <c r="B5487" t="s">
        <v>364</v>
      </c>
      <c r="C5487" t="s">
        <v>1893</v>
      </c>
      <c r="D5487">
        <v>3078</v>
      </c>
      <c r="E5487">
        <v>2929</v>
      </c>
      <c r="F5487">
        <v>3830</v>
      </c>
      <c r="G5487">
        <v>3892</v>
      </c>
    </row>
    <row r="5488" spans="1:7">
      <c r="A5488" t="s">
        <v>1876</v>
      </c>
      <c r="B5488" t="s">
        <v>364</v>
      </c>
      <c r="C5488" t="s">
        <v>1894</v>
      </c>
      <c r="D5488">
        <v>1768</v>
      </c>
      <c r="E5488">
        <v>1717</v>
      </c>
      <c r="F5488">
        <v>2410</v>
      </c>
      <c r="G5488">
        <v>2526</v>
      </c>
    </row>
    <row r="5489" spans="1:7">
      <c r="A5489" t="s">
        <v>1876</v>
      </c>
      <c r="B5489" t="s">
        <v>364</v>
      </c>
      <c r="C5489" t="s">
        <v>143</v>
      </c>
      <c r="D5489">
        <v>2151</v>
      </c>
      <c r="E5489">
        <v>1978</v>
      </c>
      <c r="F5489">
        <v>1904</v>
      </c>
      <c r="G5489">
        <v>1966</v>
      </c>
    </row>
    <row r="5490" spans="1:7">
      <c r="A5490" t="s">
        <v>1876</v>
      </c>
      <c r="B5490" t="s">
        <v>364</v>
      </c>
      <c r="C5490" t="s">
        <v>144</v>
      </c>
      <c r="D5490">
        <v>23229</v>
      </c>
      <c r="E5490">
        <v>22959</v>
      </c>
      <c r="F5490">
        <v>24260</v>
      </c>
      <c r="G5490">
        <v>24303</v>
      </c>
    </row>
    <row r="5491" spans="1:7">
      <c r="A5491" t="s">
        <v>1876</v>
      </c>
      <c r="B5491" t="s">
        <v>364</v>
      </c>
      <c r="C5491" t="s">
        <v>1895</v>
      </c>
      <c r="D5491">
        <v>70.099999999999994</v>
      </c>
      <c r="E5491">
        <v>68.599999999999994</v>
      </c>
      <c r="F5491">
        <v>65.5</v>
      </c>
      <c r="G5491">
        <v>63.6</v>
      </c>
    </row>
    <row r="5492" spans="1:7">
      <c r="A5492" t="s">
        <v>1876</v>
      </c>
      <c r="B5492" t="s">
        <v>364</v>
      </c>
      <c r="C5492" t="s">
        <v>145</v>
      </c>
      <c r="D5492">
        <v>51928</v>
      </c>
      <c r="E5492">
        <v>61098</v>
      </c>
      <c r="F5492">
        <v>57551</v>
      </c>
      <c r="G5492">
        <v>56492</v>
      </c>
    </row>
    <row r="5493" spans="1:7">
      <c r="A5493" t="s">
        <v>1876</v>
      </c>
      <c r="B5493" t="s">
        <v>364</v>
      </c>
      <c r="C5493" t="s">
        <v>146</v>
      </c>
      <c r="D5493">
        <v>0</v>
      </c>
      <c r="E5493">
        <v>0</v>
      </c>
      <c r="F5493">
        <v>0</v>
      </c>
      <c r="G5493">
        <v>0</v>
      </c>
    </row>
    <row r="5494" spans="1:7">
      <c r="A5494" t="s">
        <v>1876</v>
      </c>
      <c r="B5494" t="s">
        <v>364</v>
      </c>
      <c r="C5494" t="s">
        <v>147</v>
      </c>
      <c r="D5494">
        <v>0</v>
      </c>
      <c r="E5494">
        <v>0</v>
      </c>
      <c r="F5494">
        <v>0</v>
      </c>
      <c r="G5494">
        <v>0</v>
      </c>
    </row>
    <row r="5495" spans="1:7">
      <c r="A5495" t="s">
        <v>1876</v>
      </c>
      <c r="B5495" t="s">
        <v>364</v>
      </c>
      <c r="C5495" t="s">
        <v>1896</v>
      </c>
      <c r="D5495">
        <v>0</v>
      </c>
      <c r="E5495">
        <v>0</v>
      </c>
      <c r="F5495">
        <v>0</v>
      </c>
      <c r="G5495">
        <v>0</v>
      </c>
    </row>
    <row r="5496" spans="1:7">
      <c r="A5496" t="s">
        <v>1876</v>
      </c>
      <c r="B5496" t="s">
        <v>364</v>
      </c>
      <c r="C5496" t="s">
        <v>1702</v>
      </c>
      <c r="D5496">
        <v>0</v>
      </c>
      <c r="E5496">
        <v>0</v>
      </c>
      <c r="F5496">
        <v>0</v>
      </c>
      <c r="G5496">
        <v>0</v>
      </c>
    </row>
    <row r="5497" spans="1:7">
      <c r="A5497" t="s">
        <v>1876</v>
      </c>
      <c r="B5497" t="s">
        <v>364</v>
      </c>
      <c r="C5497" t="s">
        <v>1897</v>
      </c>
      <c r="D5497">
        <v>4.0999999999999996</v>
      </c>
      <c r="E5497">
        <v>6.4</v>
      </c>
      <c r="F5497">
        <v>11.1</v>
      </c>
      <c r="G5497">
        <v>14.5</v>
      </c>
    </row>
    <row r="5498" spans="1:7">
      <c r="A5498" t="s">
        <v>1876</v>
      </c>
      <c r="B5498" t="s">
        <v>364</v>
      </c>
      <c r="C5498" t="s">
        <v>1898</v>
      </c>
      <c r="D5498">
        <v>7</v>
      </c>
      <c r="E5498">
        <v>12</v>
      </c>
      <c r="F5498">
        <v>34</v>
      </c>
      <c r="G5498">
        <v>50</v>
      </c>
    </row>
    <row r="5499" spans="1:7">
      <c r="A5499" t="s">
        <v>1876</v>
      </c>
      <c r="B5499" t="s">
        <v>364</v>
      </c>
      <c r="C5499" t="s">
        <v>1899</v>
      </c>
      <c r="D5499">
        <v>1768</v>
      </c>
      <c r="E5499">
        <v>1717</v>
      </c>
      <c r="F5499">
        <v>2410</v>
      </c>
      <c r="G5499">
        <v>2526</v>
      </c>
    </row>
    <row r="5500" spans="1:7">
      <c r="A5500" t="s">
        <v>1876</v>
      </c>
      <c r="B5500" t="s">
        <v>364</v>
      </c>
      <c r="C5500" t="s">
        <v>148</v>
      </c>
      <c r="D5500">
        <v>0</v>
      </c>
      <c r="E5500">
        <v>0</v>
      </c>
      <c r="F5500">
        <v>0</v>
      </c>
      <c r="G5500">
        <v>0</v>
      </c>
    </row>
    <row r="5501" spans="1:7">
      <c r="A5501" t="s">
        <v>1876</v>
      </c>
      <c r="B5501" t="s">
        <v>364</v>
      </c>
      <c r="C5501" t="s">
        <v>149</v>
      </c>
      <c r="D5501">
        <v>0</v>
      </c>
      <c r="E5501">
        <v>0</v>
      </c>
      <c r="F5501">
        <v>0</v>
      </c>
      <c r="G5501">
        <v>0</v>
      </c>
    </row>
    <row r="5502" spans="1:7">
      <c r="A5502" t="s">
        <v>1876</v>
      </c>
      <c r="B5502" t="s">
        <v>364</v>
      </c>
      <c r="C5502" t="s">
        <v>150</v>
      </c>
      <c r="D5502">
        <v>0</v>
      </c>
      <c r="E5502">
        <v>0</v>
      </c>
      <c r="F5502">
        <v>0</v>
      </c>
      <c r="G5502">
        <v>0</v>
      </c>
    </row>
    <row r="5503" spans="1:7">
      <c r="A5503" t="s">
        <v>1876</v>
      </c>
      <c r="B5503" t="s">
        <v>364</v>
      </c>
      <c r="C5503" t="s">
        <v>1900</v>
      </c>
      <c r="D5503">
        <v>60.8</v>
      </c>
      <c r="E5503">
        <v>58.9</v>
      </c>
      <c r="F5503">
        <v>54.6</v>
      </c>
      <c r="G5503">
        <v>57.4</v>
      </c>
    </row>
    <row r="5504" spans="1:7">
      <c r="A5504" t="s">
        <v>1876</v>
      </c>
      <c r="B5504" t="s">
        <v>364</v>
      </c>
      <c r="C5504" t="s">
        <v>151</v>
      </c>
      <c r="D5504">
        <v>83</v>
      </c>
      <c r="E5504">
        <v>20</v>
      </c>
      <c r="F5504">
        <v>0</v>
      </c>
      <c r="G5504">
        <v>0</v>
      </c>
    </row>
    <row r="5505" spans="1:7">
      <c r="A5505" t="s">
        <v>1876</v>
      </c>
      <c r="B5505" t="s">
        <v>364</v>
      </c>
      <c r="C5505" t="s">
        <v>152</v>
      </c>
      <c r="D5505">
        <v>530974</v>
      </c>
      <c r="E5505">
        <v>502529</v>
      </c>
      <c r="F5505">
        <v>464316</v>
      </c>
      <c r="G5505">
        <v>480489</v>
      </c>
    </row>
    <row r="5506" spans="1:7">
      <c r="A5506" t="s">
        <v>1876</v>
      </c>
      <c r="B5506" t="s">
        <v>364</v>
      </c>
      <c r="C5506" t="s">
        <v>1703</v>
      </c>
      <c r="D5506">
        <v>9403</v>
      </c>
      <c r="E5506">
        <v>9180</v>
      </c>
      <c r="F5506">
        <v>9162</v>
      </c>
      <c r="G5506">
        <v>8631</v>
      </c>
    </row>
    <row r="5507" spans="1:7">
      <c r="A5507" t="s">
        <v>1876</v>
      </c>
      <c r="B5507" t="s">
        <v>364</v>
      </c>
      <c r="C5507" t="s">
        <v>153</v>
      </c>
      <c r="D5507">
        <v>17386</v>
      </c>
      <c r="E5507">
        <v>20728</v>
      </c>
      <c r="F5507">
        <v>17499</v>
      </c>
      <c r="G5507">
        <v>15051</v>
      </c>
    </row>
    <row r="5508" spans="1:7">
      <c r="A5508" t="s">
        <v>1876</v>
      </c>
      <c r="B5508" t="s">
        <v>364</v>
      </c>
      <c r="C5508" t="s">
        <v>154</v>
      </c>
      <c r="D5508">
        <v>0</v>
      </c>
      <c r="E5508">
        <v>0</v>
      </c>
      <c r="F5508">
        <v>0</v>
      </c>
      <c r="G5508">
        <v>0</v>
      </c>
    </row>
    <row r="5509" spans="1:7">
      <c r="A5509" t="s">
        <v>1876</v>
      </c>
      <c r="B5509" t="s">
        <v>364</v>
      </c>
      <c r="C5509" t="s">
        <v>155</v>
      </c>
      <c r="D5509">
        <v>17386</v>
      </c>
      <c r="E5509">
        <v>20728</v>
      </c>
      <c r="F5509">
        <v>17499</v>
      </c>
      <c r="G5509">
        <v>15051</v>
      </c>
    </row>
    <row r="5510" spans="1:7">
      <c r="A5510" t="s">
        <v>1876</v>
      </c>
      <c r="B5510" t="s">
        <v>364</v>
      </c>
      <c r="C5510" t="s">
        <v>156</v>
      </c>
      <c r="D5510">
        <v>0</v>
      </c>
      <c r="E5510">
        <v>0</v>
      </c>
      <c r="F5510">
        <v>0</v>
      </c>
      <c r="G5510">
        <v>0</v>
      </c>
    </row>
    <row r="5511" spans="1:7">
      <c r="A5511" t="s">
        <v>1876</v>
      </c>
      <c r="B5511" t="s">
        <v>364</v>
      </c>
      <c r="C5511" t="s">
        <v>157</v>
      </c>
      <c r="D5511">
        <v>548443</v>
      </c>
      <c r="E5511">
        <v>523276</v>
      </c>
      <c r="F5511">
        <v>481815</v>
      </c>
      <c r="G5511">
        <v>495540</v>
      </c>
    </row>
    <row r="5512" spans="1:7">
      <c r="A5512" t="s">
        <v>1876</v>
      </c>
      <c r="B5512" t="s">
        <v>364</v>
      </c>
      <c r="C5512" t="s">
        <v>158</v>
      </c>
      <c r="D5512">
        <v>17469</v>
      </c>
      <c r="E5512">
        <v>20747</v>
      </c>
      <c r="F5512">
        <v>17499</v>
      </c>
      <c r="G5512">
        <v>15051</v>
      </c>
    </row>
    <row r="5513" spans="1:7">
      <c r="A5513" t="s">
        <v>1876</v>
      </c>
      <c r="B5513" t="s">
        <v>364</v>
      </c>
      <c r="C5513" t="s">
        <v>159</v>
      </c>
      <c r="D5513">
        <v>0</v>
      </c>
      <c r="E5513">
        <v>0</v>
      </c>
      <c r="F5513">
        <v>0</v>
      </c>
      <c r="G5513">
        <v>0</v>
      </c>
    </row>
    <row r="5514" spans="1:7">
      <c r="A5514" t="s">
        <v>1876</v>
      </c>
      <c r="B5514" t="s">
        <v>364</v>
      </c>
      <c r="C5514" t="s">
        <v>1901</v>
      </c>
      <c r="D5514">
        <v>73.3</v>
      </c>
      <c r="E5514">
        <v>73.2</v>
      </c>
      <c r="F5514">
        <v>74.8</v>
      </c>
      <c r="G5514">
        <v>65.400000000000006</v>
      </c>
    </row>
    <row r="5515" spans="1:7">
      <c r="A5515" t="s">
        <v>1876</v>
      </c>
      <c r="B5515" t="s">
        <v>364</v>
      </c>
      <c r="C5515" t="s">
        <v>1902</v>
      </c>
      <c r="D5515">
        <v>126997</v>
      </c>
      <c r="E5515">
        <v>130821</v>
      </c>
      <c r="F5515">
        <v>124748</v>
      </c>
      <c r="G5515">
        <v>121109</v>
      </c>
    </row>
    <row r="5516" spans="1:7">
      <c r="A5516" t="s">
        <v>1876</v>
      </c>
      <c r="B5516" t="s">
        <v>364</v>
      </c>
      <c r="C5516" t="s">
        <v>1903</v>
      </c>
      <c r="D5516">
        <v>3402</v>
      </c>
      <c r="E5516">
        <v>3449</v>
      </c>
      <c r="F5516">
        <v>3082</v>
      </c>
      <c r="G5516">
        <v>3014</v>
      </c>
    </row>
    <row r="5517" spans="1:7">
      <c r="A5517" t="s">
        <v>1876</v>
      </c>
      <c r="B5517" t="s">
        <v>364</v>
      </c>
      <c r="C5517" t="s">
        <v>1904</v>
      </c>
      <c r="D5517">
        <v>913</v>
      </c>
      <c r="E5517">
        <v>1220</v>
      </c>
      <c r="F5517">
        <v>712</v>
      </c>
      <c r="G5517">
        <v>734</v>
      </c>
    </row>
    <row r="5518" spans="1:7">
      <c r="A5518" t="s">
        <v>1876</v>
      </c>
      <c r="B5518" t="s">
        <v>364</v>
      </c>
      <c r="C5518" t="s">
        <v>1905</v>
      </c>
      <c r="D5518">
        <v>19428</v>
      </c>
      <c r="E5518">
        <v>19640</v>
      </c>
      <c r="F5518">
        <v>19169</v>
      </c>
      <c r="G5518">
        <v>18602</v>
      </c>
    </row>
    <row r="5519" spans="1:7">
      <c r="A5519" t="s">
        <v>1876</v>
      </c>
      <c r="B5519" t="s">
        <v>364</v>
      </c>
      <c r="C5519" t="s">
        <v>1906</v>
      </c>
      <c r="D5519">
        <v>622</v>
      </c>
      <c r="E5519">
        <v>639</v>
      </c>
      <c r="F5519">
        <v>571</v>
      </c>
      <c r="G5519">
        <v>546</v>
      </c>
    </row>
    <row r="5520" spans="1:7">
      <c r="A5520" t="s">
        <v>1876</v>
      </c>
      <c r="B5520" t="s">
        <v>364</v>
      </c>
      <c r="C5520" t="s">
        <v>1907</v>
      </c>
      <c r="D5520">
        <v>151362</v>
      </c>
      <c r="E5520">
        <v>155768</v>
      </c>
      <c r="F5520">
        <v>148282</v>
      </c>
      <c r="G5520">
        <v>144004</v>
      </c>
    </row>
    <row r="5521" spans="1:7">
      <c r="A5521" t="s">
        <v>1876</v>
      </c>
      <c r="B5521" t="s">
        <v>364</v>
      </c>
      <c r="C5521" t="s">
        <v>160</v>
      </c>
      <c r="D5521">
        <v>125229</v>
      </c>
      <c r="E5521">
        <v>129103</v>
      </c>
      <c r="F5521">
        <v>122338</v>
      </c>
      <c r="G5521">
        <v>118582</v>
      </c>
    </row>
    <row r="5522" spans="1:7">
      <c r="A5522" t="s">
        <v>1876</v>
      </c>
      <c r="B5522" t="s">
        <v>364</v>
      </c>
      <c r="C5522" t="s">
        <v>161</v>
      </c>
      <c r="D5522">
        <v>3402</v>
      </c>
      <c r="E5522">
        <v>3449</v>
      </c>
      <c r="F5522">
        <v>3082</v>
      </c>
      <c r="G5522">
        <v>3014</v>
      </c>
    </row>
    <row r="5523" spans="1:7">
      <c r="A5523" t="s">
        <v>1876</v>
      </c>
      <c r="B5523" t="s">
        <v>364</v>
      </c>
      <c r="C5523" t="s">
        <v>162</v>
      </c>
      <c r="D5523">
        <v>913</v>
      </c>
      <c r="E5523">
        <v>1220</v>
      </c>
      <c r="F5523">
        <v>712</v>
      </c>
      <c r="G5523">
        <v>734</v>
      </c>
    </row>
    <row r="5524" spans="1:7">
      <c r="A5524" t="s">
        <v>1876</v>
      </c>
      <c r="B5524" t="s">
        <v>364</v>
      </c>
      <c r="C5524" t="s">
        <v>163</v>
      </c>
      <c r="D5524">
        <v>19428</v>
      </c>
      <c r="E5524">
        <v>19640</v>
      </c>
      <c r="F5524">
        <v>19169</v>
      </c>
      <c r="G5524">
        <v>18602</v>
      </c>
    </row>
    <row r="5525" spans="1:7">
      <c r="A5525" t="s">
        <v>1876</v>
      </c>
      <c r="B5525" t="s">
        <v>364</v>
      </c>
      <c r="C5525" t="s">
        <v>164</v>
      </c>
      <c r="D5525">
        <v>622</v>
      </c>
      <c r="E5525">
        <v>639</v>
      </c>
      <c r="F5525">
        <v>571</v>
      </c>
      <c r="G5525">
        <v>546</v>
      </c>
    </row>
    <row r="5526" spans="1:7">
      <c r="A5526" t="s">
        <v>1876</v>
      </c>
      <c r="B5526" t="s">
        <v>364</v>
      </c>
      <c r="C5526" t="s">
        <v>165</v>
      </c>
      <c r="D5526">
        <v>149594</v>
      </c>
      <c r="E5526">
        <v>154051</v>
      </c>
      <c r="F5526">
        <v>145872</v>
      </c>
      <c r="G5526">
        <v>141477</v>
      </c>
    </row>
    <row r="5527" spans="1:7">
      <c r="A5527" t="s">
        <v>1876</v>
      </c>
      <c r="B5527" t="s">
        <v>364</v>
      </c>
      <c r="C5527" t="s">
        <v>166</v>
      </c>
      <c r="D5527">
        <v>148682</v>
      </c>
      <c r="E5527">
        <v>152831</v>
      </c>
      <c r="F5527">
        <v>145160</v>
      </c>
      <c r="G5527">
        <v>140744</v>
      </c>
    </row>
    <row r="5528" spans="1:7">
      <c r="A5528" t="s">
        <v>1876</v>
      </c>
      <c r="B5528" t="s">
        <v>364</v>
      </c>
      <c r="C5528" t="s">
        <v>167</v>
      </c>
      <c r="D5528">
        <v>913</v>
      </c>
      <c r="E5528">
        <v>1220</v>
      </c>
      <c r="F5528">
        <v>712</v>
      </c>
      <c r="G5528">
        <v>734</v>
      </c>
    </row>
    <row r="5529" spans="1:7">
      <c r="A5529" t="s">
        <v>1876</v>
      </c>
      <c r="B5529" t="s">
        <v>364</v>
      </c>
      <c r="C5529" t="s">
        <v>1908</v>
      </c>
      <c r="D5529">
        <v>123919</v>
      </c>
      <c r="E5529">
        <v>127891</v>
      </c>
      <c r="F5529">
        <v>120918</v>
      </c>
      <c r="G5529">
        <v>117217</v>
      </c>
    </row>
    <row r="5530" spans="1:7">
      <c r="A5530" t="s">
        <v>1876</v>
      </c>
      <c r="B5530" t="s">
        <v>364</v>
      </c>
      <c r="C5530" t="s">
        <v>1909</v>
      </c>
      <c r="D5530">
        <v>3402</v>
      </c>
      <c r="E5530">
        <v>3449</v>
      </c>
      <c r="F5530">
        <v>3082</v>
      </c>
      <c r="G5530">
        <v>3014</v>
      </c>
    </row>
    <row r="5531" spans="1:7">
      <c r="A5531" t="s">
        <v>1876</v>
      </c>
      <c r="B5531" t="s">
        <v>364</v>
      </c>
      <c r="C5531" t="s">
        <v>1910</v>
      </c>
      <c r="D5531">
        <v>913</v>
      </c>
      <c r="E5531">
        <v>1220</v>
      </c>
      <c r="F5531">
        <v>712</v>
      </c>
      <c r="G5531">
        <v>734</v>
      </c>
    </row>
    <row r="5532" spans="1:7">
      <c r="A5532" t="s">
        <v>1876</v>
      </c>
      <c r="B5532" t="s">
        <v>364</v>
      </c>
      <c r="C5532" t="s">
        <v>1911</v>
      </c>
      <c r="D5532">
        <v>19428</v>
      </c>
      <c r="E5532">
        <v>19640</v>
      </c>
      <c r="F5532">
        <v>19169</v>
      </c>
      <c r="G5532">
        <v>18602</v>
      </c>
    </row>
    <row r="5533" spans="1:7">
      <c r="A5533" t="s">
        <v>1876</v>
      </c>
      <c r="B5533" t="s">
        <v>364</v>
      </c>
      <c r="C5533" t="s">
        <v>1912</v>
      </c>
      <c r="D5533">
        <v>622</v>
      </c>
      <c r="E5533">
        <v>639</v>
      </c>
      <c r="F5533">
        <v>571</v>
      </c>
      <c r="G5533">
        <v>546</v>
      </c>
    </row>
    <row r="5534" spans="1:7">
      <c r="A5534" t="s">
        <v>1876</v>
      </c>
      <c r="B5534" t="s">
        <v>364</v>
      </c>
      <c r="C5534" t="s">
        <v>168</v>
      </c>
      <c r="D5534">
        <v>148285</v>
      </c>
      <c r="E5534">
        <v>152839</v>
      </c>
      <c r="F5534">
        <v>144452</v>
      </c>
      <c r="G5534">
        <v>140112</v>
      </c>
    </row>
    <row r="5535" spans="1:7">
      <c r="A5535" t="s">
        <v>1876</v>
      </c>
      <c r="B5535" t="s">
        <v>364</v>
      </c>
      <c r="C5535" t="s">
        <v>169</v>
      </c>
      <c r="D5535">
        <v>0</v>
      </c>
      <c r="E5535">
        <v>0</v>
      </c>
      <c r="F5535">
        <v>0</v>
      </c>
      <c r="G5535">
        <v>0</v>
      </c>
    </row>
    <row r="5536" spans="1:7">
      <c r="A5536" t="s">
        <v>1876</v>
      </c>
      <c r="B5536" t="s">
        <v>364</v>
      </c>
      <c r="C5536" t="s">
        <v>1704</v>
      </c>
      <c r="D5536">
        <v>17583</v>
      </c>
      <c r="E5536">
        <v>17633</v>
      </c>
      <c r="F5536">
        <v>18336</v>
      </c>
      <c r="G5536">
        <v>18380</v>
      </c>
    </row>
    <row r="5537" spans="1:7">
      <c r="A5537" t="s">
        <v>1876</v>
      </c>
      <c r="B5537" t="s">
        <v>364</v>
      </c>
      <c r="C5537" t="s">
        <v>170</v>
      </c>
      <c r="D5537">
        <v>0</v>
      </c>
      <c r="E5537">
        <v>0</v>
      </c>
      <c r="F5537">
        <v>0</v>
      </c>
      <c r="G5537">
        <v>0</v>
      </c>
    </row>
    <row r="5538" spans="1:7">
      <c r="A5538" t="s">
        <v>1876</v>
      </c>
      <c r="B5538" t="s">
        <v>364</v>
      </c>
      <c r="C5538" t="s">
        <v>171</v>
      </c>
      <c r="D5538">
        <v>76797</v>
      </c>
      <c r="E5538">
        <v>88151</v>
      </c>
      <c r="F5538">
        <v>102011</v>
      </c>
      <c r="G5538">
        <v>100090</v>
      </c>
    </row>
    <row r="5539" spans="1:7">
      <c r="A5539" t="s">
        <v>1876</v>
      </c>
      <c r="B5539" t="s">
        <v>364</v>
      </c>
      <c r="C5539" t="s">
        <v>172</v>
      </c>
      <c r="D5539">
        <v>0</v>
      </c>
      <c r="E5539">
        <v>0</v>
      </c>
      <c r="F5539">
        <v>0</v>
      </c>
      <c r="G5539">
        <v>0</v>
      </c>
    </row>
    <row r="5540" spans="1:7">
      <c r="A5540" t="s">
        <v>1876</v>
      </c>
      <c r="B5540" t="s">
        <v>364</v>
      </c>
      <c r="C5540" t="s">
        <v>1913</v>
      </c>
      <c r="D5540">
        <v>7.1</v>
      </c>
      <c r="E5540">
        <v>10.4</v>
      </c>
      <c r="F5540">
        <v>16</v>
      </c>
      <c r="G5540">
        <v>20.7</v>
      </c>
    </row>
    <row r="5541" spans="1:7">
      <c r="A5541" t="s">
        <v>1876</v>
      </c>
      <c r="B5541" t="s">
        <v>364</v>
      </c>
      <c r="C5541" t="s">
        <v>1914</v>
      </c>
      <c r="D5541">
        <v>0.2</v>
      </c>
      <c r="E5541">
        <v>0.3</v>
      </c>
      <c r="F5541">
        <v>0.4</v>
      </c>
      <c r="G5541">
        <v>0.6</v>
      </c>
    </row>
    <row r="5542" spans="1:7">
      <c r="A5542" t="s">
        <v>1876</v>
      </c>
      <c r="B5542" t="s">
        <v>364</v>
      </c>
      <c r="C5542" t="s">
        <v>173</v>
      </c>
      <c r="D5542">
        <v>17513</v>
      </c>
      <c r="E5542">
        <v>17549</v>
      </c>
      <c r="F5542">
        <v>18029</v>
      </c>
      <c r="G5542">
        <v>18048</v>
      </c>
    </row>
    <row r="5543" spans="1:7">
      <c r="A5543" t="s">
        <v>1876</v>
      </c>
      <c r="B5543" t="s">
        <v>364</v>
      </c>
      <c r="C5543" t="s">
        <v>174</v>
      </c>
      <c r="D5543">
        <v>287</v>
      </c>
      <c r="E5543">
        <v>296</v>
      </c>
      <c r="F5543">
        <v>299</v>
      </c>
      <c r="G5543">
        <v>216</v>
      </c>
    </row>
    <row r="5544" spans="1:7">
      <c r="A5544" t="s">
        <v>1876</v>
      </c>
      <c r="B5544" t="s">
        <v>364</v>
      </c>
      <c r="C5544" t="s">
        <v>175</v>
      </c>
      <c r="D5544">
        <v>199</v>
      </c>
      <c r="E5544">
        <v>206</v>
      </c>
      <c r="F5544">
        <v>198</v>
      </c>
      <c r="G5544">
        <v>181</v>
      </c>
    </row>
    <row r="5545" spans="1:7">
      <c r="A5545" t="s">
        <v>1876</v>
      </c>
      <c r="B5545" t="s">
        <v>364</v>
      </c>
      <c r="C5545" t="s">
        <v>176</v>
      </c>
      <c r="D5545">
        <v>2066</v>
      </c>
      <c r="E5545">
        <v>1895</v>
      </c>
      <c r="F5545">
        <v>1811</v>
      </c>
      <c r="G5545">
        <v>1868</v>
      </c>
    </row>
    <row r="5546" spans="1:7">
      <c r="A5546" t="s">
        <v>1876</v>
      </c>
      <c r="B5546" t="s">
        <v>364</v>
      </c>
      <c r="C5546" t="s">
        <v>177</v>
      </c>
      <c r="D5546">
        <v>18000</v>
      </c>
      <c r="E5546">
        <v>18051</v>
      </c>
      <c r="F5546">
        <v>18526</v>
      </c>
      <c r="G5546">
        <v>18445</v>
      </c>
    </row>
    <row r="5547" spans="1:7">
      <c r="A5547" t="s">
        <v>1876</v>
      </c>
      <c r="B5547" t="s">
        <v>364</v>
      </c>
      <c r="C5547" t="s">
        <v>178</v>
      </c>
      <c r="D5547">
        <v>20181</v>
      </c>
      <c r="E5547">
        <v>20181</v>
      </c>
      <c r="F5547">
        <v>20181</v>
      </c>
      <c r="G5547">
        <v>20236</v>
      </c>
    </row>
    <row r="5548" spans="1:7">
      <c r="A5548" t="s">
        <v>1876</v>
      </c>
      <c r="B5548" t="s">
        <v>364</v>
      </c>
      <c r="C5548" t="s">
        <v>179</v>
      </c>
      <c r="D5548">
        <v>20181</v>
      </c>
      <c r="E5548">
        <v>20181</v>
      </c>
      <c r="F5548">
        <v>20181</v>
      </c>
      <c r="G5548">
        <v>20236</v>
      </c>
    </row>
    <row r="5549" spans="1:7">
      <c r="A5549" t="s">
        <v>1876</v>
      </c>
      <c r="B5549" t="s">
        <v>364</v>
      </c>
      <c r="C5549" t="s">
        <v>180</v>
      </c>
      <c r="D5549">
        <v>0</v>
      </c>
      <c r="E5549">
        <v>0</v>
      </c>
      <c r="F5549">
        <v>0</v>
      </c>
      <c r="G5549">
        <v>0</v>
      </c>
    </row>
    <row r="5550" spans="1:7">
      <c r="A5550" t="s">
        <v>1876</v>
      </c>
      <c r="B5550" t="s">
        <v>364</v>
      </c>
      <c r="C5550" t="s">
        <v>181</v>
      </c>
      <c r="D5550">
        <v>63756</v>
      </c>
      <c r="E5550">
        <v>67128</v>
      </c>
      <c r="F5550">
        <v>65863</v>
      </c>
      <c r="G5550">
        <v>69313</v>
      </c>
    </row>
    <row r="5551" spans="1:7">
      <c r="A5551" t="s">
        <v>1876</v>
      </c>
      <c r="B5551" t="s">
        <v>364</v>
      </c>
      <c r="C5551" t="s">
        <v>182</v>
      </c>
      <c r="D5551">
        <v>100301</v>
      </c>
      <c r="E5551">
        <v>98349</v>
      </c>
      <c r="F5551">
        <v>93376</v>
      </c>
      <c r="G5551">
        <v>95556</v>
      </c>
    </row>
    <row r="5552" spans="1:7">
      <c r="A5552" t="s">
        <v>1876</v>
      </c>
      <c r="B5552" t="s">
        <v>364</v>
      </c>
      <c r="C5552" t="s">
        <v>183</v>
      </c>
      <c r="D5552">
        <v>90194</v>
      </c>
      <c r="E5552">
        <v>91579</v>
      </c>
      <c r="F5552">
        <v>83774</v>
      </c>
      <c r="G5552">
        <v>89004</v>
      </c>
    </row>
    <row r="5553" spans="1:7">
      <c r="A5553" t="s">
        <v>1876</v>
      </c>
      <c r="B5553" t="s">
        <v>364</v>
      </c>
      <c r="C5553" t="s">
        <v>184</v>
      </c>
      <c r="D5553">
        <v>254252</v>
      </c>
      <c r="E5553">
        <v>257056</v>
      </c>
      <c r="F5553">
        <v>243013</v>
      </c>
      <c r="G5553">
        <v>253873</v>
      </c>
    </row>
    <row r="5554" spans="1:7">
      <c r="A5554" t="s">
        <v>1876</v>
      </c>
      <c r="B5554" t="s">
        <v>364</v>
      </c>
      <c r="C5554" t="s">
        <v>185</v>
      </c>
      <c r="D5554">
        <v>254252</v>
      </c>
      <c r="E5554">
        <v>257056</v>
      </c>
      <c r="F5554">
        <v>243013</v>
      </c>
      <c r="G5554">
        <v>253873</v>
      </c>
    </row>
    <row r="5555" spans="1:7">
      <c r="A5555" t="s">
        <v>1876</v>
      </c>
      <c r="B5555" t="s">
        <v>364</v>
      </c>
      <c r="C5555" t="s">
        <v>1915</v>
      </c>
      <c r="D5555">
        <v>12</v>
      </c>
      <c r="E5555">
        <v>20</v>
      </c>
      <c r="F5555">
        <v>47</v>
      </c>
      <c r="G5555">
        <v>68</v>
      </c>
    </row>
    <row r="5556" spans="1:7">
      <c r="A5556" t="s">
        <v>1876</v>
      </c>
      <c r="B5556" t="s">
        <v>364</v>
      </c>
      <c r="C5556" t="s">
        <v>1916</v>
      </c>
      <c r="D5556">
        <v>0</v>
      </c>
      <c r="E5556">
        <v>0</v>
      </c>
      <c r="F5556">
        <v>0</v>
      </c>
      <c r="G5556">
        <v>0</v>
      </c>
    </row>
    <row r="5557" spans="1:7">
      <c r="A5557" t="s">
        <v>1876</v>
      </c>
      <c r="B5557" t="s">
        <v>364</v>
      </c>
      <c r="C5557" t="s">
        <v>1917</v>
      </c>
      <c r="D5557">
        <v>24</v>
      </c>
      <c r="E5557">
        <v>24</v>
      </c>
      <c r="F5557">
        <v>24</v>
      </c>
      <c r="G5557">
        <v>20</v>
      </c>
    </row>
    <row r="5558" spans="1:7">
      <c r="A5558" t="s">
        <v>1876</v>
      </c>
      <c r="B5558" t="s">
        <v>364</v>
      </c>
      <c r="C5558" t="s">
        <v>1918</v>
      </c>
      <c r="D5558">
        <v>428</v>
      </c>
      <c r="E5558">
        <v>561</v>
      </c>
      <c r="F5558">
        <v>664</v>
      </c>
      <c r="G5558">
        <v>757</v>
      </c>
    </row>
    <row r="5559" spans="1:7">
      <c r="A5559" t="s">
        <v>1876</v>
      </c>
      <c r="B5559" t="s">
        <v>364</v>
      </c>
      <c r="C5559" t="s">
        <v>1919</v>
      </c>
      <c r="D5559">
        <v>2.21</v>
      </c>
      <c r="E5559">
        <v>2.4300000000000002</v>
      </c>
      <c r="F5559">
        <v>2.33</v>
      </c>
      <c r="G5559">
        <v>2.5</v>
      </c>
    </row>
    <row r="5560" spans="1:7">
      <c r="A5560" t="s">
        <v>1876</v>
      </c>
      <c r="B5560" t="s">
        <v>364</v>
      </c>
      <c r="C5560" t="s">
        <v>1920</v>
      </c>
      <c r="D5560">
        <v>563</v>
      </c>
      <c r="E5560">
        <v>702</v>
      </c>
      <c r="F5560">
        <v>910</v>
      </c>
      <c r="G5560">
        <v>1118</v>
      </c>
    </row>
    <row r="5561" spans="1:7">
      <c r="A5561" t="s">
        <v>1876</v>
      </c>
      <c r="B5561" t="s">
        <v>364</v>
      </c>
      <c r="C5561" t="s">
        <v>1921</v>
      </c>
      <c r="D5561">
        <v>220</v>
      </c>
      <c r="E5561">
        <v>260</v>
      </c>
      <c r="F5561">
        <v>342</v>
      </c>
      <c r="G5561">
        <v>383</v>
      </c>
    </row>
    <row r="5562" spans="1:7">
      <c r="A5562" t="s">
        <v>1876</v>
      </c>
      <c r="B5562" t="s">
        <v>364</v>
      </c>
      <c r="C5562" t="s">
        <v>1922</v>
      </c>
      <c r="D5562">
        <v>111</v>
      </c>
      <c r="E5562">
        <v>117</v>
      </c>
      <c r="F5562">
        <v>222</v>
      </c>
      <c r="G5562">
        <v>341</v>
      </c>
    </row>
    <row r="5563" spans="1:7">
      <c r="A5563" t="s">
        <v>1876</v>
      </c>
      <c r="B5563" t="s">
        <v>364</v>
      </c>
      <c r="C5563" t="s">
        <v>1923</v>
      </c>
      <c r="D5563">
        <v>4.4400000000000004</v>
      </c>
      <c r="E5563">
        <v>4.33</v>
      </c>
      <c r="F5563">
        <v>3.83</v>
      </c>
      <c r="G5563">
        <v>4.16</v>
      </c>
    </row>
    <row r="5564" spans="1:7">
      <c r="A5564" t="s">
        <v>1876</v>
      </c>
      <c r="B5564" t="s">
        <v>364</v>
      </c>
      <c r="C5564" t="s">
        <v>1924</v>
      </c>
      <c r="D5564">
        <v>22</v>
      </c>
      <c r="E5564">
        <v>0</v>
      </c>
      <c r="F5564">
        <v>1</v>
      </c>
      <c r="G5564">
        <v>1</v>
      </c>
    </row>
    <row r="5565" spans="1:7">
      <c r="A5565" t="s">
        <v>1876</v>
      </c>
      <c r="B5565" t="s">
        <v>364</v>
      </c>
      <c r="C5565" t="s">
        <v>1925</v>
      </c>
      <c r="D5565">
        <v>99</v>
      </c>
      <c r="E5565">
        <v>109</v>
      </c>
      <c r="F5565">
        <v>116</v>
      </c>
      <c r="G5565">
        <v>107</v>
      </c>
    </row>
    <row r="5566" spans="1:7">
      <c r="A5566" t="s">
        <v>1876</v>
      </c>
      <c r="B5566" t="s">
        <v>364</v>
      </c>
      <c r="C5566" t="s">
        <v>1926</v>
      </c>
      <c r="D5566">
        <v>99</v>
      </c>
      <c r="E5566">
        <v>151</v>
      </c>
      <c r="F5566">
        <v>225</v>
      </c>
      <c r="G5566">
        <v>275</v>
      </c>
    </row>
    <row r="5567" spans="1:7">
      <c r="A5567" t="s">
        <v>1876</v>
      </c>
      <c r="B5567" t="s">
        <v>364</v>
      </c>
      <c r="C5567" t="s">
        <v>1927</v>
      </c>
      <c r="D5567">
        <v>9</v>
      </c>
      <c r="E5567">
        <v>11</v>
      </c>
      <c r="F5567">
        <v>8</v>
      </c>
      <c r="G5567">
        <v>8</v>
      </c>
    </row>
    <row r="5568" spans="1:7">
      <c r="A5568" t="s">
        <v>1876</v>
      </c>
      <c r="B5568" t="s">
        <v>364</v>
      </c>
      <c r="C5568" t="s">
        <v>1928</v>
      </c>
      <c r="D5568">
        <v>201</v>
      </c>
      <c r="E5568">
        <v>236</v>
      </c>
      <c r="F5568">
        <v>320</v>
      </c>
      <c r="G5568">
        <v>357</v>
      </c>
    </row>
    <row r="5569" spans="1:7">
      <c r="A5569" t="s">
        <v>1876</v>
      </c>
      <c r="B5569" t="s">
        <v>364</v>
      </c>
      <c r="C5569" t="s">
        <v>1929</v>
      </c>
      <c r="D5569">
        <v>10</v>
      </c>
      <c r="E5569">
        <v>13</v>
      </c>
      <c r="F5569">
        <v>14</v>
      </c>
      <c r="G5569">
        <v>18</v>
      </c>
    </row>
    <row r="5570" spans="1:7">
      <c r="A5570" t="s">
        <v>1876</v>
      </c>
      <c r="B5570" t="s">
        <v>364</v>
      </c>
      <c r="C5570" t="s">
        <v>186</v>
      </c>
      <c r="D5570">
        <v>7</v>
      </c>
      <c r="E5570">
        <v>7</v>
      </c>
      <c r="F5570">
        <v>14</v>
      </c>
      <c r="G5570">
        <v>-125</v>
      </c>
    </row>
    <row r="5571" spans="1:7">
      <c r="A5571" t="s">
        <v>1876</v>
      </c>
      <c r="B5571" t="s">
        <v>364</v>
      </c>
      <c r="C5571" t="s">
        <v>187</v>
      </c>
      <c r="D5571">
        <v>7</v>
      </c>
      <c r="E5571">
        <v>7</v>
      </c>
      <c r="F5571">
        <v>14</v>
      </c>
      <c r="G5571">
        <v>-125</v>
      </c>
    </row>
    <row r="5572" spans="1:7">
      <c r="A5572" t="s">
        <v>1876</v>
      </c>
      <c r="B5572" t="s">
        <v>364</v>
      </c>
      <c r="C5572" t="s">
        <v>1705</v>
      </c>
      <c r="D5572">
        <v>16344</v>
      </c>
      <c r="E5572">
        <v>16344</v>
      </c>
      <c r="F5572">
        <v>17046</v>
      </c>
      <c r="G5572">
        <v>16746</v>
      </c>
    </row>
    <row r="5573" spans="1:7">
      <c r="A5573" t="s">
        <v>1876</v>
      </c>
      <c r="B5573" t="s">
        <v>364</v>
      </c>
      <c r="C5573" t="s">
        <v>188</v>
      </c>
      <c r="D5573">
        <v>1494340</v>
      </c>
      <c r="E5573">
        <v>1503392</v>
      </c>
      <c r="F5573">
        <v>1430730</v>
      </c>
      <c r="G5573">
        <v>1469827</v>
      </c>
    </row>
    <row r="5574" spans="1:7">
      <c r="A5574" t="s">
        <v>1876</v>
      </c>
      <c r="B5574" t="s">
        <v>364</v>
      </c>
      <c r="C5574" t="s">
        <v>189</v>
      </c>
      <c r="D5574">
        <v>0</v>
      </c>
      <c r="E5574">
        <v>0</v>
      </c>
      <c r="F5574">
        <v>0</v>
      </c>
      <c r="G5574">
        <v>0</v>
      </c>
    </row>
    <row r="5575" spans="1:7">
      <c r="A5575" t="s">
        <v>1876</v>
      </c>
      <c r="B5575" t="s">
        <v>364</v>
      </c>
      <c r="C5575" t="s">
        <v>190</v>
      </c>
      <c r="D5575">
        <v>0</v>
      </c>
      <c r="E5575">
        <v>0</v>
      </c>
      <c r="F5575">
        <v>0</v>
      </c>
      <c r="G5575">
        <v>0</v>
      </c>
    </row>
    <row r="5576" spans="1:7">
      <c r="A5576" t="s">
        <v>1876</v>
      </c>
      <c r="B5576" t="s">
        <v>364</v>
      </c>
      <c r="C5576" t="s">
        <v>191</v>
      </c>
      <c r="D5576">
        <v>0</v>
      </c>
      <c r="E5576">
        <v>0</v>
      </c>
      <c r="F5576">
        <v>0</v>
      </c>
      <c r="G5576">
        <v>0</v>
      </c>
    </row>
    <row r="5577" spans="1:7">
      <c r="A5577" t="s">
        <v>1876</v>
      </c>
      <c r="B5577" t="s">
        <v>364</v>
      </c>
      <c r="C5577" t="s">
        <v>192</v>
      </c>
      <c r="D5577">
        <v>238693.7</v>
      </c>
      <c r="E5577">
        <v>262586.59999999998</v>
      </c>
      <c r="F5577">
        <v>283267.7</v>
      </c>
      <c r="G5577">
        <v>295375.3</v>
      </c>
    </row>
    <row r="5578" spans="1:7">
      <c r="A5578" t="s">
        <v>1876</v>
      </c>
      <c r="B5578" t="s">
        <v>364</v>
      </c>
      <c r="C5578" t="s">
        <v>193</v>
      </c>
      <c r="D5578">
        <v>215535</v>
      </c>
      <c r="E5578">
        <v>220641.8</v>
      </c>
      <c r="F5578">
        <v>226942.4</v>
      </c>
      <c r="G5578">
        <v>230966.39999999999</v>
      </c>
    </row>
    <row r="5579" spans="1:7">
      <c r="A5579" t="s">
        <v>1876</v>
      </c>
      <c r="B5579" t="s">
        <v>364</v>
      </c>
      <c r="C5579" t="s">
        <v>1930</v>
      </c>
      <c r="D5579">
        <v>0</v>
      </c>
      <c r="E5579">
        <v>0</v>
      </c>
      <c r="F5579">
        <v>0</v>
      </c>
      <c r="G5579">
        <v>0</v>
      </c>
    </row>
    <row r="5580" spans="1:7">
      <c r="A5580" t="s">
        <v>1876</v>
      </c>
      <c r="B5580" t="s">
        <v>364</v>
      </c>
      <c r="C5580" t="s">
        <v>194</v>
      </c>
      <c r="D5580">
        <v>852</v>
      </c>
      <c r="E5580">
        <v>852</v>
      </c>
      <c r="F5580">
        <v>852</v>
      </c>
      <c r="G5580">
        <v>852</v>
      </c>
    </row>
    <row r="5581" spans="1:7">
      <c r="A5581" t="s">
        <v>1876</v>
      </c>
      <c r="B5581" t="s">
        <v>364</v>
      </c>
      <c r="C5581" t="s">
        <v>195</v>
      </c>
      <c r="D5581">
        <v>0</v>
      </c>
      <c r="E5581">
        <v>0</v>
      </c>
      <c r="F5581">
        <v>0</v>
      </c>
      <c r="G5581">
        <v>0</v>
      </c>
    </row>
    <row r="5582" spans="1:7">
      <c r="A5582" t="s">
        <v>1876</v>
      </c>
      <c r="B5582" t="s">
        <v>364</v>
      </c>
      <c r="C5582" t="s">
        <v>1706</v>
      </c>
      <c r="D5582">
        <v>0</v>
      </c>
      <c r="E5582">
        <v>0</v>
      </c>
      <c r="F5582">
        <v>0</v>
      </c>
      <c r="G5582">
        <v>0</v>
      </c>
    </row>
    <row r="5583" spans="1:7">
      <c r="A5583" t="s">
        <v>1876</v>
      </c>
      <c r="B5583" t="s">
        <v>364</v>
      </c>
      <c r="C5583" t="s">
        <v>196</v>
      </c>
      <c r="D5583">
        <v>0</v>
      </c>
      <c r="E5583">
        <v>0</v>
      </c>
      <c r="F5583">
        <v>0</v>
      </c>
      <c r="G5583">
        <v>0</v>
      </c>
    </row>
    <row r="5584" spans="1:7">
      <c r="A5584" t="s">
        <v>1876</v>
      </c>
      <c r="B5584" t="s">
        <v>364</v>
      </c>
      <c r="C5584" t="s">
        <v>197</v>
      </c>
      <c r="D5584">
        <v>1860</v>
      </c>
      <c r="E5584">
        <v>1860</v>
      </c>
      <c r="F5584">
        <v>1860</v>
      </c>
      <c r="G5584">
        <v>1860</v>
      </c>
    </row>
    <row r="5585" spans="1:7">
      <c r="A5585" t="s">
        <v>1876</v>
      </c>
      <c r="B5585" t="s">
        <v>364</v>
      </c>
      <c r="C5585" t="s">
        <v>198</v>
      </c>
      <c r="D5585">
        <v>2712</v>
      </c>
      <c r="E5585">
        <v>2712</v>
      </c>
      <c r="F5585">
        <v>2712</v>
      </c>
      <c r="G5585">
        <v>2712</v>
      </c>
    </row>
    <row r="5586" spans="1:7">
      <c r="A5586" t="s">
        <v>1876</v>
      </c>
      <c r="B5586" t="s">
        <v>364</v>
      </c>
      <c r="C5586" t="s">
        <v>199</v>
      </c>
      <c r="D5586">
        <v>2712</v>
      </c>
      <c r="E5586">
        <v>2712</v>
      </c>
      <c r="F5586">
        <v>2712</v>
      </c>
      <c r="G5586">
        <v>2712</v>
      </c>
    </row>
    <row r="5587" spans="1:7">
      <c r="A5587" t="s">
        <v>1876</v>
      </c>
      <c r="B5587" t="s">
        <v>364</v>
      </c>
      <c r="C5587" t="s">
        <v>200</v>
      </c>
      <c r="D5587">
        <v>44</v>
      </c>
      <c r="E5587">
        <v>75</v>
      </c>
      <c r="F5587">
        <v>67</v>
      </c>
      <c r="G5587">
        <v>52</v>
      </c>
    </row>
    <row r="5588" spans="1:7">
      <c r="A5588" t="s">
        <v>1876</v>
      </c>
      <c r="B5588" t="s">
        <v>364</v>
      </c>
      <c r="C5588" t="s">
        <v>201</v>
      </c>
      <c r="D5588">
        <v>2100</v>
      </c>
      <c r="E5588">
        <v>2948</v>
      </c>
      <c r="F5588">
        <v>2491</v>
      </c>
      <c r="G5588">
        <v>2114</v>
      </c>
    </row>
    <row r="5589" spans="1:7">
      <c r="A5589" t="s">
        <v>1876</v>
      </c>
      <c r="B5589" t="s">
        <v>364</v>
      </c>
      <c r="C5589" t="s">
        <v>202</v>
      </c>
      <c r="D5589">
        <v>27969</v>
      </c>
      <c r="E5589">
        <v>29342</v>
      </c>
      <c r="F5589">
        <v>29076</v>
      </c>
      <c r="G5589">
        <v>28338</v>
      </c>
    </row>
    <row r="5590" spans="1:7">
      <c r="A5590" t="s">
        <v>1876</v>
      </c>
      <c r="B5590" t="s">
        <v>364</v>
      </c>
      <c r="C5590" t="s">
        <v>203</v>
      </c>
      <c r="D5590">
        <v>6885</v>
      </c>
      <c r="E5590">
        <v>8521</v>
      </c>
      <c r="F5590">
        <v>6089</v>
      </c>
      <c r="G5590">
        <v>6849</v>
      </c>
    </row>
    <row r="5591" spans="1:7">
      <c r="A5591" t="s">
        <v>1876</v>
      </c>
      <c r="B5591" t="s">
        <v>364</v>
      </c>
      <c r="C5591" t="s">
        <v>204</v>
      </c>
      <c r="D5591">
        <v>36998</v>
      </c>
      <c r="E5591">
        <v>40887</v>
      </c>
      <c r="F5591">
        <v>37723</v>
      </c>
      <c r="G5591">
        <v>37354</v>
      </c>
    </row>
    <row r="5592" spans="1:7">
      <c r="A5592" t="s">
        <v>1876</v>
      </c>
      <c r="B5592" t="s">
        <v>364</v>
      </c>
      <c r="C5592" t="s">
        <v>205</v>
      </c>
      <c r="D5592">
        <v>36998</v>
      </c>
      <c r="E5592">
        <v>40887</v>
      </c>
      <c r="F5592">
        <v>37723</v>
      </c>
      <c r="G5592">
        <v>37354</v>
      </c>
    </row>
    <row r="5593" spans="1:7">
      <c r="A5593" t="s">
        <v>1876</v>
      </c>
      <c r="B5593" t="s">
        <v>364</v>
      </c>
      <c r="C5593" t="s">
        <v>1931</v>
      </c>
      <c r="D5593">
        <v>0</v>
      </c>
      <c r="E5593">
        <v>0</v>
      </c>
      <c r="F5593">
        <v>0</v>
      </c>
      <c r="G5593">
        <v>0</v>
      </c>
    </row>
    <row r="5594" spans="1:7">
      <c r="A5594" t="s">
        <v>1876</v>
      </c>
      <c r="B5594" t="s">
        <v>364</v>
      </c>
      <c r="C5594" t="s">
        <v>1707</v>
      </c>
      <c r="D5594">
        <v>0</v>
      </c>
      <c r="E5594">
        <v>0</v>
      </c>
      <c r="F5594">
        <v>0</v>
      </c>
      <c r="G5594">
        <v>0</v>
      </c>
    </row>
    <row r="5595" spans="1:7">
      <c r="A5595" t="s">
        <v>1876</v>
      </c>
      <c r="B5595" t="s">
        <v>364</v>
      </c>
      <c r="C5595" t="s">
        <v>1932</v>
      </c>
      <c r="D5595">
        <v>49</v>
      </c>
      <c r="E5595">
        <v>45.5</v>
      </c>
      <c r="F5595">
        <v>39.700000000000003</v>
      </c>
      <c r="G5595">
        <v>41.2</v>
      </c>
    </row>
    <row r="5596" spans="1:7">
      <c r="A5596" t="s">
        <v>1876</v>
      </c>
      <c r="B5596" t="s">
        <v>364</v>
      </c>
      <c r="C5596" t="s">
        <v>1708</v>
      </c>
      <c r="D5596">
        <v>1137</v>
      </c>
      <c r="E5596">
        <v>1137</v>
      </c>
      <c r="F5596">
        <v>1137</v>
      </c>
      <c r="G5596">
        <v>1137</v>
      </c>
    </row>
    <row r="5597" spans="1:7">
      <c r="A5597" t="s">
        <v>1876</v>
      </c>
      <c r="B5597" t="s">
        <v>364</v>
      </c>
      <c r="C5597" t="s">
        <v>206</v>
      </c>
      <c r="D5597">
        <v>0</v>
      </c>
      <c r="E5597">
        <v>0</v>
      </c>
      <c r="F5597">
        <v>0</v>
      </c>
      <c r="G5597">
        <v>0</v>
      </c>
    </row>
    <row r="5598" spans="1:7">
      <c r="A5598" t="s">
        <v>1876</v>
      </c>
      <c r="B5598" t="s">
        <v>364</v>
      </c>
      <c r="C5598" t="s">
        <v>207</v>
      </c>
      <c r="D5598">
        <v>16638</v>
      </c>
      <c r="E5598">
        <v>15456</v>
      </c>
      <c r="F5598">
        <v>13493</v>
      </c>
      <c r="G5598">
        <v>14036</v>
      </c>
    </row>
    <row r="5599" spans="1:7">
      <c r="A5599" t="s">
        <v>1876</v>
      </c>
      <c r="B5599" t="s">
        <v>364</v>
      </c>
      <c r="C5599" t="s">
        <v>208</v>
      </c>
      <c r="D5599">
        <v>0</v>
      </c>
      <c r="E5599">
        <v>0</v>
      </c>
      <c r="F5599">
        <v>0</v>
      </c>
      <c r="G5599">
        <v>0</v>
      </c>
    </row>
    <row r="5600" spans="1:7">
      <c r="A5600" t="s">
        <v>1876</v>
      </c>
      <c r="B5600" t="s">
        <v>364</v>
      </c>
      <c r="C5600" t="s">
        <v>209</v>
      </c>
      <c r="D5600">
        <v>16638</v>
      </c>
      <c r="E5600">
        <v>15456</v>
      </c>
      <c r="F5600">
        <v>13493</v>
      </c>
      <c r="G5600">
        <v>14036</v>
      </c>
    </row>
    <row r="5601" spans="1:7">
      <c r="A5601" t="s">
        <v>1876</v>
      </c>
      <c r="B5601" t="s">
        <v>364</v>
      </c>
      <c r="C5601" t="s">
        <v>210</v>
      </c>
      <c r="D5601">
        <v>0</v>
      </c>
      <c r="E5601">
        <v>0</v>
      </c>
      <c r="F5601">
        <v>0</v>
      </c>
      <c r="G5601">
        <v>0</v>
      </c>
    </row>
    <row r="5602" spans="1:7">
      <c r="A5602" t="s">
        <v>1876</v>
      </c>
      <c r="B5602" t="s">
        <v>364</v>
      </c>
      <c r="C5602" t="s">
        <v>211</v>
      </c>
      <c r="D5602">
        <v>0</v>
      </c>
      <c r="E5602">
        <v>0</v>
      </c>
      <c r="F5602">
        <v>0</v>
      </c>
      <c r="G5602">
        <v>0</v>
      </c>
    </row>
    <row r="5603" spans="1:7">
      <c r="A5603" t="s">
        <v>1876</v>
      </c>
      <c r="B5603" t="s">
        <v>364</v>
      </c>
      <c r="C5603" t="s">
        <v>212</v>
      </c>
      <c r="D5603">
        <v>0</v>
      </c>
      <c r="E5603">
        <v>0</v>
      </c>
      <c r="F5603">
        <v>0</v>
      </c>
      <c r="G5603">
        <v>0</v>
      </c>
    </row>
    <row r="5604" spans="1:7">
      <c r="A5604" t="s">
        <v>1876</v>
      </c>
      <c r="B5604" t="s">
        <v>364</v>
      </c>
      <c r="C5604" t="s">
        <v>213</v>
      </c>
      <c r="D5604">
        <v>0</v>
      </c>
      <c r="E5604">
        <v>0</v>
      </c>
      <c r="F5604">
        <v>0</v>
      </c>
      <c r="G5604">
        <v>0</v>
      </c>
    </row>
    <row r="5605" spans="1:7">
      <c r="A5605" t="s">
        <v>1876</v>
      </c>
      <c r="B5605" t="s">
        <v>364</v>
      </c>
      <c r="C5605" t="s">
        <v>214</v>
      </c>
      <c r="D5605">
        <v>0</v>
      </c>
      <c r="E5605">
        <v>0</v>
      </c>
      <c r="F5605">
        <v>0</v>
      </c>
      <c r="G5605">
        <v>0</v>
      </c>
    </row>
    <row r="5606" spans="1:7">
      <c r="A5606" t="s">
        <v>1876</v>
      </c>
      <c r="B5606" t="s">
        <v>364</v>
      </c>
      <c r="C5606" t="s">
        <v>215</v>
      </c>
      <c r="D5606">
        <v>79235</v>
      </c>
      <c r="E5606">
        <v>84589</v>
      </c>
      <c r="F5606">
        <v>85873</v>
      </c>
      <c r="G5606">
        <v>84013</v>
      </c>
    </row>
    <row r="5607" spans="1:7">
      <c r="A5607" t="s">
        <v>1876</v>
      </c>
      <c r="B5607" t="s">
        <v>364</v>
      </c>
      <c r="C5607" t="s">
        <v>216</v>
      </c>
      <c r="D5607">
        <v>79235</v>
      </c>
      <c r="E5607">
        <v>84589</v>
      </c>
      <c r="F5607">
        <v>85873</v>
      </c>
      <c r="G5607">
        <v>84013</v>
      </c>
    </row>
    <row r="5608" spans="1:7">
      <c r="A5608" t="s">
        <v>1876</v>
      </c>
      <c r="B5608" t="s">
        <v>364</v>
      </c>
      <c r="C5608" t="s">
        <v>217</v>
      </c>
      <c r="D5608">
        <v>79235</v>
      </c>
      <c r="E5608">
        <v>84589</v>
      </c>
      <c r="F5608">
        <v>85873</v>
      </c>
      <c r="G5608">
        <v>84013</v>
      </c>
    </row>
    <row r="5609" spans="1:7">
      <c r="A5609" t="s">
        <v>1876</v>
      </c>
      <c r="B5609" t="s">
        <v>364</v>
      </c>
      <c r="C5609" t="s">
        <v>218</v>
      </c>
      <c r="D5609">
        <v>38</v>
      </c>
      <c r="E5609">
        <v>35</v>
      </c>
      <c r="F5609">
        <v>57</v>
      </c>
      <c r="G5609">
        <v>43</v>
      </c>
    </row>
    <row r="5610" spans="1:7">
      <c r="A5610" t="s">
        <v>1876</v>
      </c>
      <c r="B5610" t="s">
        <v>364</v>
      </c>
      <c r="C5610" t="s">
        <v>219</v>
      </c>
      <c r="D5610">
        <v>81</v>
      </c>
      <c r="E5610">
        <v>60</v>
      </c>
      <c r="F5610">
        <v>242</v>
      </c>
      <c r="G5610">
        <v>132</v>
      </c>
    </row>
    <row r="5611" spans="1:7">
      <c r="A5611" t="s">
        <v>1876</v>
      </c>
      <c r="B5611" t="s">
        <v>364</v>
      </c>
      <c r="C5611" t="s">
        <v>220</v>
      </c>
      <c r="D5611">
        <v>128</v>
      </c>
      <c r="E5611">
        <v>116</v>
      </c>
      <c r="F5611">
        <v>190</v>
      </c>
      <c r="G5611">
        <v>145</v>
      </c>
    </row>
    <row r="5612" spans="1:7">
      <c r="A5612" t="s">
        <v>1876</v>
      </c>
      <c r="B5612" t="s">
        <v>364</v>
      </c>
      <c r="C5612" t="s">
        <v>221</v>
      </c>
      <c r="D5612">
        <v>247</v>
      </c>
      <c r="E5612">
        <v>212</v>
      </c>
      <c r="F5612">
        <v>489</v>
      </c>
      <c r="G5612">
        <v>320</v>
      </c>
    </row>
    <row r="5613" spans="1:7">
      <c r="A5613" t="s">
        <v>1876</v>
      </c>
      <c r="B5613" t="s">
        <v>364</v>
      </c>
      <c r="C5613" t="s">
        <v>222</v>
      </c>
      <c r="D5613">
        <v>247</v>
      </c>
      <c r="E5613">
        <v>212</v>
      </c>
      <c r="F5613">
        <v>489</v>
      </c>
      <c r="G5613">
        <v>320</v>
      </c>
    </row>
    <row r="5614" spans="1:7">
      <c r="A5614" t="s">
        <v>1876</v>
      </c>
      <c r="B5614" t="s">
        <v>364</v>
      </c>
      <c r="C5614" t="s">
        <v>1933</v>
      </c>
      <c r="D5614">
        <v>3752.3</v>
      </c>
      <c r="E5614">
        <v>3689.6</v>
      </c>
      <c r="F5614">
        <v>3725</v>
      </c>
      <c r="G5614">
        <v>3674.9</v>
      </c>
    </row>
    <row r="5615" spans="1:7">
      <c r="A5615" t="s">
        <v>1876</v>
      </c>
      <c r="B5615" t="s">
        <v>364</v>
      </c>
      <c r="C5615" t="s">
        <v>223</v>
      </c>
      <c r="D5615">
        <v>0</v>
      </c>
      <c r="E5615">
        <v>0</v>
      </c>
      <c r="F5615">
        <v>0</v>
      </c>
      <c r="G5615">
        <v>0</v>
      </c>
    </row>
    <row r="5616" spans="1:7">
      <c r="A5616" t="s">
        <v>1876</v>
      </c>
      <c r="B5616" t="s">
        <v>364</v>
      </c>
      <c r="C5616" t="s">
        <v>224</v>
      </c>
      <c r="D5616">
        <v>121654</v>
      </c>
      <c r="E5616">
        <v>128779</v>
      </c>
      <c r="F5616">
        <v>123366</v>
      </c>
      <c r="G5616">
        <v>133641</v>
      </c>
    </row>
    <row r="5617" spans="1:7">
      <c r="A5617" t="s">
        <v>1876</v>
      </c>
      <c r="B5617" t="s">
        <v>364</v>
      </c>
      <c r="C5617" t="s">
        <v>225</v>
      </c>
      <c r="D5617">
        <v>191386</v>
      </c>
      <c r="E5617">
        <v>188674</v>
      </c>
      <c r="F5617">
        <v>174902</v>
      </c>
      <c r="G5617">
        <v>184240</v>
      </c>
    </row>
    <row r="5618" spans="1:7">
      <c r="A5618" t="s">
        <v>1876</v>
      </c>
      <c r="B5618" t="s">
        <v>364</v>
      </c>
      <c r="C5618" t="s">
        <v>226</v>
      </c>
      <c r="D5618">
        <v>172100</v>
      </c>
      <c r="E5618">
        <v>175686</v>
      </c>
      <c r="F5618">
        <v>156916</v>
      </c>
      <c r="G5618">
        <v>171609</v>
      </c>
    </row>
    <row r="5619" spans="1:7">
      <c r="A5619" t="s">
        <v>1876</v>
      </c>
      <c r="B5619" t="s">
        <v>364</v>
      </c>
      <c r="C5619" t="s">
        <v>227</v>
      </c>
      <c r="D5619">
        <v>485141</v>
      </c>
      <c r="E5619">
        <v>493139</v>
      </c>
      <c r="F5619">
        <v>455184</v>
      </c>
      <c r="G5619">
        <v>489490</v>
      </c>
    </row>
    <row r="5620" spans="1:7">
      <c r="A5620" t="s">
        <v>1876</v>
      </c>
      <c r="B5620" t="s">
        <v>364</v>
      </c>
      <c r="C5620" t="s">
        <v>228</v>
      </c>
      <c r="D5620">
        <v>485141</v>
      </c>
      <c r="E5620">
        <v>493139</v>
      </c>
      <c r="F5620">
        <v>455184</v>
      </c>
      <c r="G5620">
        <v>489490</v>
      </c>
    </row>
    <row r="5621" spans="1:7">
      <c r="A5621" t="s">
        <v>1876</v>
      </c>
      <c r="B5621" t="s">
        <v>364</v>
      </c>
      <c r="C5621" t="s">
        <v>229</v>
      </c>
      <c r="D5621">
        <v>2146</v>
      </c>
      <c r="E5621">
        <v>2294</v>
      </c>
      <c r="F5621">
        <v>1650</v>
      </c>
      <c r="G5621">
        <v>1588</v>
      </c>
    </row>
    <row r="5622" spans="1:7">
      <c r="A5622" t="s">
        <v>1876</v>
      </c>
      <c r="B5622" t="s">
        <v>364</v>
      </c>
      <c r="C5622" t="s">
        <v>230</v>
      </c>
      <c r="D5622">
        <v>1444</v>
      </c>
      <c r="E5622">
        <v>1582</v>
      </c>
      <c r="F5622">
        <v>1187</v>
      </c>
      <c r="G5622">
        <v>1128</v>
      </c>
    </row>
    <row r="5623" spans="1:7">
      <c r="A5623" t="s">
        <v>1876</v>
      </c>
      <c r="B5623" t="s">
        <v>364</v>
      </c>
      <c r="C5623" t="s">
        <v>231</v>
      </c>
      <c r="D5623">
        <v>3590</v>
      </c>
      <c r="E5623">
        <v>3876</v>
      </c>
      <c r="F5623">
        <v>2837</v>
      </c>
      <c r="G5623">
        <v>2716</v>
      </c>
    </row>
    <row r="5624" spans="1:7">
      <c r="A5624" t="s">
        <v>1876</v>
      </c>
      <c r="B5624" t="s">
        <v>364</v>
      </c>
      <c r="C5624" t="s">
        <v>232</v>
      </c>
      <c r="D5624">
        <v>3590</v>
      </c>
      <c r="E5624">
        <v>3876</v>
      </c>
      <c r="F5624">
        <v>2837</v>
      </c>
      <c r="G5624">
        <v>2716</v>
      </c>
    </row>
    <row r="5625" spans="1:7">
      <c r="A5625" t="s">
        <v>1876</v>
      </c>
      <c r="B5625" t="s">
        <v>364</v>
      </c>
      <c r="C5625" t="s">
        <v>233</v>
      </c>
      <c r="D5625">
        <v>0</v>
      </c>
      <c r="E5625">
        <v>0</v>
      </c>
      <c r="F5625">
        <v>0</v>
      </c>
      <c r="G5625">
        <v>0</v>
      </c>
    </row>
    <row r="5626" spans="1:7">
      <c r="A5626" t="s">
        <v>1876</v>
      </c>
      <c r="B5626" t="s">
        <v>364</v>
      </c>
      <c r="C5626" t="s">
        <v>234</v>
      </c>
      <c r="D5626">
        <v>250521</v>
      </c>
      <c r="E5626">
        <v>249804</v>
      </c>
      <c r="F5626">
        <v>253947</v>
      </c>
      <c r="G5626">
        <v>258281</v>
      </c>
    </row>
    <row r="5627" spans="1:7">
      <c r="A5627" t="s">
        <v>1876</v>
      </c>
      <c r="B5627" t="s">
        <v>364</v>
      </c>
      <c r="C5627" t="s">
        <v>235</v>
      </c>
      <c r="D5627">
        <v>4106</v>
      </c>
      <c r="E5627">
        <v>4215</v>
      </c>
      <c r="F5627">
        <v>4213</v>
      </c>
      <c r="G5627">
        <v>3091</v>
      </c>
    </row>
    <row r="5628" spans="1:7">
      <c r="A5628" t="s">
        <v>1876</v>
      </c>
      <c r="B5628" t="s">
        <v>364</v>
      </c>
      <c r="C5628" t="s">
        <v>236</v>
      </c>
      <c r="D5628">
        <v>2849</v>
      </c>
      <c r="E5628">
        <v>2930</v>
      </c>
      <c r="F5628">
        <v>2795</v>
      </c>
      <c r="G5628">
        <v>2586</v>
      </c>
    </row>
    <row r="5629" spans="1:7">
      <c r="A5629" t="s">
        <v>1876</v>
      </c>
      <c r="B5629" t="s">
        <v>364</v>
      </c>
      <c r="C5629" t="s">
        <v>237</v>
      </c>
      <c r="D5629">
        <v>257476</v>
      </c>
      <c r="E5629">
        <v>256949</v>
      </c>
      <c r="F5629">
        <v>260955</v>
      </c>
      <c r="G5629">
        <v>263958</v>
      </c>
    </row>
    <row r="5630" spans="1:7">
      <c r="A5630" t="s">
        <v>1876</v>
      </c>
      <c r="B5630" t="s">
        <v>364</v>
      </c>
      <c r="C5630" t="s">
        <v>238</v>
      </c>
      <c r="D5630">
        <v>257476</v>
      </c>
      <c r="E5630">
        <v>256949</v>
      </c>
      <c r="F5630">
        <v>260955</v>
      </c>
      <c r="G5630">
        <v>263958</v>
      </c>
    </row>
    <row r="5631" spans="1:7">
      <c r="A5631" t="s">
        <v>1876</v>
      </c>
      <c r="B5631" t="s">
        <v>364</v>
      </c>
      <c r="C5631" t="s">
        <v>1934</v>
      </c>
      <c r="D5631">
        <v>233008</v>
      </c>
      <c r="E5631">
        <v>232255</v>
      </c>
      <c r="F5631">
        <v>235918</v>
      </c>
      <c r="G5631">
        <v>240233</v>
      </c>
    </row>
    <row r="5632" spans="1:7">
      <c r="A5632" t="s">
        <v>1876</v>
      </c>
      <c r="B5632" t="s">
        <v>364</v>
      </c>
      <c r="C5632" t="s">
        <v>1935</v>
      </c>
      <c r="D5632">
        <v>3819</v>
      </c>
      <c r="E5632">
        <v>3919</v>
      </c>
      <c r="F5632">
        <v>3914</v>
      </c>
      <c r="G5632">
        <v>2875</v>
      </c>
    </row>
    <row r="5633" spans="1:7">
      <c r="A5633" t="s">
        <v>1876</v>
      </c>
      <c r="B5633" t="s">
        <v>364</v>
      </c>
      <c r="C5633" t="s">
        <v>1936</v>
      </c>
      <c r="D5633">
        <v>2650</v>
      </c>
      <c r="E5633">
        <v>2724</v>
      </c>
      <c r="F5633">
        <v>2597</v>
      </c>
      <c r="G5633">
        <v>2405</v>
      </c>
    </row>
    <row r="5634" spans="1:7">
      <c r="A5634" t="s">
        <v>1876</v>
      </c>
      <c r="B5634" t="s">
        <v>364</v>
      </c>
      <c r="C5634" t="s">
        <v>239</v>
      </c>
      <c r="D5634">
        <v>239476</v>
      </c>
      <c r="E5634">
        <v>238898</v>
      </c>
      <c r="F5634">
        <v>242428</v>
      </c>
      <c r="G5634">
        <v>245513</v>
      </c>
    </row>
    <row r="5635" spans="1:7">
      <c r="A5635" t="s">
        <v>1876</v>
      </c>
      <c r="B5635" t="s">
        <v>364</v>
      </c>
      <c r="C5635" t="s">
        <v>240</v>
      </c>
      <c r="D5635">
        <v>2546</v>
      </c>
      <c r="E5635">
        <v>2961</v>
      </c>
      <c r="F5635">
        <v>2845</v>
      </c>
      <c r="G5635">
        <v>2786</v>
      </c>
    </row>
    <row r="5636" spans="1:7">
      <c r="A5636" t="s">
        <v>1876</v>
      </c>
      <c r="B5636" t="s">
        <v>364</v>
      </c>
      <c r="C5636" t="s">
        <v>241</v>
      </c>
      <c r="D5636">
        <v>0</v>
      </c>
      <c r="E5636">
        <v>0</v>
      </c>
      <c r="F5636">
        <v>0</v>
      </c>
      <c r="G5636">
        <v>0</v>
      </c>
    </row>
    <row r="5637" spans="1:7">
      <c r="A5637" t="s">
        <v>1876</v>
      </c>
      <c r="B5637" t="s">
        <v>364</v>
      </c>
      <c r="C5637" t="s">
        <v>242</v>
      </c>
      <c r="D5637">
        <v>31807</v>
      </c>
      <c r="E5637">
        <v>27249</v>
      </c>
      <c r="F5637">
        <v>30897</v>
      </c>
      <c r="G5637">
        <v>29628</v>
      </c>
    </row>
    <row r="5638" spans="1:7">
      <c r="A5638" t="s">
        <v>1876</v>
      </c>
      <c r="B5638" t="s">
        <v>364</v>
      </c>
      <c r="C5638" t="s">
        <v>243</v>
      </c>
      <c r="D5638">
        <v>37797</v>
      </c>
      <c r="E5638">
        <v>40478</v>
      </c>
      <c r="F5638">
        <v>36366</v>
      </c>
      <c r="G5638">
        <v>37435</v>
      </c>
    </row>
    <row r="5639" spans="1:7">
      <c r="A5639" t="s">
        <v>1876</v>
      </c>
      <c r="B5639" t="s">
        <v>364</v>
      </c>
      <c r="C5639" t="s">
        <v>244</v>
      </c>
      <c r="D5639">
        <v>112585</v>
      </c>
      <c r="E5639">
        <v>141245</v>
      </c>
      <c r="F5639">
        <v>116104</v>
      </c>
      <c r="G5639">
        <v>145911</v>
      </c>
    </row>
    <row r="5640" spans="1:7">
      <c r="A5640" t="s">
        <v>1876</v>
      </c>
      <c r="B5640" t="s">
        <v>364</v>
      </c>
      <c r="C5640" t="s">
        <v>1709</v>
      </c>
      <c r="D5640">
        <v>6929</v>
      </c>
      <c r="E5640">
        <v>7152</v>
      </c>
      <c r="F5640">
        <v>7872</v>
      </c>
      <c r="G5640">
        <v>8105</v>
      </c>
    </row>
    <row r="5641" spans="1:7">
      <c r="A5641" t="s">
        <v>1876</v>
      </c>
      <c r="B5641" t="s">
        <v>364</v>
      </c>
      <c r="C5641" t="s">
        <v>245</v>
      </c>
      <c r="D5641">
        <v>134554</v>
      </c>
      <c r="E5641">
        <v>141297</v>
      </c>
      <c r="F5641">
        <v>141534</v>
      </c>
      <c r="G5641">
        <v>146494</v>
      </c>
    </row>
    <row r="5642" spans="1:7">
      <c r="A5642" t="s">
        <v>1876</v>
      </c>
      <c r="B5642" t="s">
        <v>364</v>
      </c>
      <c r="C5642" t="s">
        <v>246</v>
      </c>
      <c r="D5642">
        <v>49284</v>
      </c>
      <c r="E5642">
        <v>52392</v>
      </c>
      <c r="F5642">
        <v>43341</v>
      </c>
      <c r="G5642">
        <v>44246</v>
      </c>
    </row>
    <row r="5643" spans="1:7">
      <c r="A5643" t="s">
        <v>1876</v>
      </c>
      <c r="B5643" t="s">
        <v>364</v>
      </c>
      <c r="C5643" t="s">
        <v>247</v>
      </c>
      <c r="D5643">
        <v>366026</v>
      </c>
      <c r="E5643">
        <v>402661</v>
      </c>
      <c r="F5643">
        <v>368243</v>
      </c>
      <c r="G5643">
        <v>403714</v>
      </c>
    </row>
    <row r="5644" spans="1:7">
      <c r="A5644" t="s">
        <v>1876</v>
      </c>
      <c r="B5644" t="s">
        <v>364</v>
      </c>
      <c r="C5644" t="s">
        <v>248</v>
      </c>
      <c r="D5644">
        <v>81.2</v>
      </c>
      <c r="E5644">
        <v>89.1</v>
      </c>
      <c r="F5644">
        <v>80.900000000000006</v>
      </c>
      <c r="G5644">
        <v>88.1</v>
      </c>
    </row>
    <row r="5645" spans="1:7">
      <c r="A5645" t="s">
        <v>1876</v>
      </c>
      <c r="B5645" t="s">
        <v>364</v>
      </c>
      <c r="C5645" t="s">
        <v>249</v>
      </c>
      <c r="D5645">
        <v>253441</v>
      </c>
      <c r="E5645">
        <v>261417</v>
      </c>
      <c r="F5645">
        <v>252139</v>
      </c>
      <c r="G5645">
        <v>257802</v>
      </c>
    </row>
    <row r="5646" spans="1:7">
      <c r="A5646" t="s">
        <v>1876</v>
      </c>
      <c r="B5646" t="s">
        <v>364</v>
      </c>
      <c r="C5646" t="s">
        <v>250</v>
      </c>
      <c r="D5646">
        <v>365875</v>
      </c>
      <c r="E5646">
        <v>402534</v>
      </c>
      <c r="F5646">
        <v>368017</v>
      </c>
      <c r="G5646">
        <v>403562</v>
      </c>
    </row>
    <row r="5647" spans="1:7">
      <c r="A5647" t="s">
        <v>1876</v>
      </c>
      <c r="B5647" t="s">
        <v>364</v>
      </c>
      <c r="C5647" t="s">
        <v>1937</v>
      </c>
      <c r="D5647">
        <v>6.1</v>
      </c>
      <c r="E5647">
        <v>11.1</v>
      </c>
      <c r="F5647">
        <v>4.7</v>
      </c>
      <c r="G5647">
        <v>10.6</v>
      </c>
    </row>
    <row r="5648" spans="1:7">
      <c r="A5648" t="s">
        <v>1876</v>
      </c>
      <c r="B5648" t="s">
        <v>364</v>
      </c>
      <c r="C5648" t="s">
        <v>1938</v>
      </c>
      <c r="D5648">
        <v>0</v>
      </c>
      <c r="E5648">
        <v>0</v>
      </c>
      <c r="F5648">
        <v>0</v>
      </c>
      <c r="G5648">
        <v>0</v>
      </c>
    </row>
    <row r="5649" spans="1:7">
      <c r="A5649" t="s">
        <v>1876</v>
      </c>
      <c r="B5649" t="s">
        <v>364</v>
      </c>
      <c r="C5649" t="s">
        <v>251</v>
      </c>
      <c r="D5649">
        <v>0</v>
      </c>
      <c r="E5649">
        <v>0</v>
      </c>
      <c r="F5649">
        <v>0</v>
      </c>
      <c r="G5649">
        <v>0</v>
      </c>
    </row>
    <row r="5650" spans="1:7">
      <c r="A5650" t="s">
        <v>1876</v>
      </c>
      <c r="B5650" t="s">
        <v>364</v>
      </c>
      <c r="C5650" t="s">
        <v>252</v>
      </c>
      <c r="D5650">
        <v>0</v>
      </c>
      <c r="E5650">
        <v>0</v>
      </c>
      <c r="F5650">
        <v>0</v>
      </c>
      <c r="G5650">
        <v>0</v>
      </c>
    </row>
    <row r="5651" spans="1:7">
      <c r="A5651" t="s">
        <v>1876</v>
      </c>
      <c r="B5651" t="s">
        <v>364</v>
      </c>
      <c r="C5651" t="s">
        <v>1710</v>
      </c>
      <c r="D5651">
        <v>0</v>
      </c>
      <c r="E5651">
        <v>0</v>
      </c>
      <c r="F5651">
        <v>0</v>
      </c>
      <c r="G5651">
        <v>0</v>
      </c>
    </row>
    <row r="5652" spans="1:7">
      <c r="A5652" t="s">
        <v>1876</v>
      </c>
      <c r="B5652" t="s">
        <v>364</v>
      </c>
      <c r="C5652" t="s">
        <v>1939</v>
      </c>
      <c r="D5652">
        <v>24.2</v>
      </c>
      <c r="E5652">
        <v>18.600000000000001</v>
      </c>
      <c r="F5652">
        <v>28.3</v>
      </c>
      <c r="G5652">
        <v>28.4</v>
      </c>
    </row>
    <row r="5653" spans="1:7">
      <c r="A5653" t="s">
        <v>1876</v>
      </c>
      <c r="B5653" t="s">
        <v>364</v>
      </c>
      <c r="C5653" t="s">
        <v>253</v>
      </c>
      <c r="D5653">
        <v>26267</v>
      </c>
      <c r="E5653">
        <v>26267</v>
      </c>
      <c r="F5653">
        <v>26274</v>
      </c>
      <c r="G5653">
        <v>26190</v>
      </c>
    </row>
    <row r="5654" spans="1:7">
      <c r="A5654" t="s">
        <v>1876</v>
      </c>
      <c r="B5654" t="s">
        <v>364</v>
      </c>
      <c r="C5654" t="s">
        <v>1711</v>
      </c>
      <c r="D5654">
        <v>0</v>
      </c>
      <c r="E5654">
        <v>0</v>
      </c>
      <c r="F5654">
        <v>0</v>
      </c>
      <c r="G5654">
        <v>0</v>
      </c>
    </row>
    <row r="5655" spans="1:7">
      <c r="A5655" t="s">
        <v>1876</v>
      </c>
      <c r="B5655" t="s">
        <v>364</v>
      </c>
      <c r="C5655" t="s">
        <v>1712</v>
      </c>
      <c r="D5655">
        <v>29839</v>
      </c>
      <c r="E5655">
        <v>29567</v>
      </c>
      <c r="F5655">
        <v>28919</v>
      </c>
      <c r="G5655">
        <v>28604</v>
      </c>
    </row>
    <row r="5656" spans="1:7">
      <c r="A5656" t="s">
        <v>1876</v>
      </c>
      <c r="B5656" t="s">
        <v>364</v>
      </c>
      <c r="C5656" t="s">
        <v>1713</v>
      </c>
      <c r="D5656">
        <v>1768</v>
      </c>
      <c r="E5656">
        <v>1717</v>
      </c>
      <c r="F5656">
        <v>2410</v>
      </c>
      <c r="G5656">
        <v>2526</v>
      </c>
    </row>
    <row r="5657" spans="1:7">
      <c r="A5657" t="s">
        <v>1876</v>
      </c>
      <c r="B5657" t="s">
        <v>364</v>
      </c>
      <c r="C5657" t="s">
        <v>1940</v>
      </c>
      <c r="D5657">
        <v>0</v>
      </c>
      <c r="E5657">
        <v>0</v>
      </c>
      <c r="F5657">
        <v>0</v>
      </c>
      <c r="G5657">
        <v>0</v>
      </c>
    </row>
    <row r="5658" spans="1:7">
      <c r="A5658" t="s">
        <v>1876</v>
      </c>
      <c r="B5658" t="s">
        <v>364</v>
      </c>
      <c r="C5658" t="s">
        <v>1941</v>
      </c>
      <c r="D5658">
        <v>0</v>
      </c>
      <c r="E5658">
        <v>0</v>
      </c>
      <c r="F5658">
        <v>0</v>
      </c>
      <c r="G5658">
        <v>0</v>
      </c>
    </row>
    <row r="5659" spans="1:7">
      <c r="A5659" t="s">
        <v>1876</v>
      </c>
      <c r="B5659" t="s">
        <v>364</v>
      </c>
      <c r="C5659" t="s">
        <v>254</v>
      </c>
      <c r="D5659">
        <v>29839</v>
      </c>
      <c r="E5659">
        <v>29567</v>
      </c>
      <c r="F5659">
        <v>28919</v>
      </c>
      <c r="G5659">
        <v>28604</v>
      </c>
    </row>
    <row r="5660" spans="1:7">
      <c r="A5660" t="s">
        <v>1876</v>
      </c>
      <c r="B5660" t="s">
        <v>364</v>
      </c>
      <c r="C5660" t="s">
        <v>1942</v>
      </c>
      <c r="D5660">
        <v>0</v>
      </c>
      <c r="E5660">
        <v>0</v>
      </c>
      <c r="F5660">
        <v>0</v>
      </c>
      <c r="G5660">
        <v>0</v>
      </c>
    </row>
    <row r="5661" spans="1:7">
      <c r="A5661" t="s">
        <v>1876</v>
      </c>
      <c r="B5661" t="s">
        <v>364</v>
      </c>
      <c r="C5661" t="s">
        <v>255</v>
      </c>
      <c r="D5661">
        <v>31607</v>
      </c>
      <c r="E5661">
        <v>31284</v>
      </c>
      <c r="F5661">
        <v>31329</v>
      </c>
      <c r="G5661">
        <v>31130</v>
      </c>
    </row>
    <row r="5662" spans="1:7">
      <c r="A5662" t="s">
        <v>1876</v>
      </c>
      <c r="B5662" t="s">
        <v>364</v>
      </c>
      <c r="C5662" t="s">
        <v>256</v>
      </c>
      <c r="D5662">
        <v>31607</v>
      </c>
      <c r="E5662">
        <v>31284</v>
      </c>
      <c r="F5662">
        <v>31329</v>
      </c>
      <c r="G5662">
        <v>31130</v>
      </c>
    </row>
    <row r="5663" spans="1:7">
      <c r="A5663" t="s">
        <v>1876</v>
      </c>
      <c r="B5663" t="s">
        <v>364</v>
      </c>
      <c r="C5663" t="s">
        <v>1714</v>
      </c>
      <c r="D5663">
        <v>0</v>
      </c>
      <c r="E5663">
        <v>0</v>
      </c>
      <c r="F5663">
        <v>0</v>
      </c>
      <c r="G5663">
        <v>0</v>
      </c>
    </row>
    <row r="5664" spans="1:7">
      <c r="A5664" t="s">
        <v>1876</v>
      </c>
      <c r="B5664" t="s">
        <v>364</v>
      </c>
      <c r="C5664" t="s">
        <v>257</v>
      </c>
      <c r="D5664">
        <v>73427</v>
      </c>
      <c r="E5664">
        <v>57411</v>
      </c>
      <c r="F5664">
        <v>68250</v>
      </c>
      <c r="G5664">
        <v>61661</v>
      </c>
    </row>
    <row r="5665" spans="1:7">
      <c r="A5665" t="s">
        <v>1876</v>
      </c>
      <c r="B5665" t="s">
        <v>364</v>
      </c>
      <c r="C5665" t="s">
        <v>258</v>
      </c>
      <c r="D5665">
        <v>77714</v>
      </c>
      <c r="E5665">
        <v>62002</v>
      </c>
      <c r="F5665">
        <v>72760</v>
      </c>
      <c r="G5665">
        <v>66183</v>
      </c>
    </row>
    <row r="5666" spans="1:7">
      <c r="A5666" t="s">
        <v>1876</v>
      </c>
      <c r="B5666" t="s">
        <v>364</v>
      </c>
      <c r="C5666" t="s">
        <v>259</v>
      </c>
      <c r="D5666">
        <v>77714</v>
      </c>
      <c r="E5666">
        <v>61788</v>
      </c>
      <c r="F5666">
        <v>72760</v>
      </c>
      <c r="G5666">
        <v>66183</v>
      </c>
    </row>
    <row r="5667" spans="1:7">
      <c r="A5667" t="s">
        <v>1876</v>
      </c>
      <c r="B5667" t="s">
        <v>364</v>
      </c>
      <c r="C5667" t="s">
        <v>260</v>
      </c>
      <c r="D5667">
        <v>459150</v>
      </c>
      <c r="E5667">
        <v>467798</v>
      </c>
      <c r="F5667">
        <v>466489</v>
      </c>
      <c r="G5667">
        <v>465263</v>
      </c>
    </row>
    <row r="5668" spans="1:7">
      <c r="A5668" t="s">
        <v>1876</v>
      </c>
      <c r="B5668" t="s">
        <v>364</v>
      </c>
      <c r="C5668" t="s">
        <v>1943</v>
      </c>
      <c r="D5668">
        <v>0</v>
      </c>
      <c r="E5668">
        <v>0</v>
      </c>
      <c r="F5668">
        <v>0.3</v>
      </c>
      <c r="G5668">
        <v>0.8</v>
      </c>
    </row>
    <row r="5669" spans="1:7">
      <c r="A5669" t="s">
        <v>1876</v>
      </c>
      <c r="B5669" t="s">
        <v>364</v>
      </c>
      <c r="C5669" t="s">
        <v>261</v>
      </c>
      <c r="D5669">
        <v>9646</v>
      </c>
      <c r="E5669">
        <v>10647</v>
      </c>
      <c r="F5669">
        <v>9843</v>
      </c>
      <c r="G5669">
        <v>8262</v>
      </c>
    </row>
    <row r="5670" spans="1:7">
      <c r="A5670" t="s">
        <v>1876</v>
      </c>
      <c r="B5670" t="s">
        <v>364</v>
      </c>
      <c r="C5670" t="s">
        <v>262</v>
      </c>
      <c r="D5670">
        <v>913</v>
      </c>
      <c r="E5670">
        <v>1433</v>
      </c>
      <c r="F5670">
        <v>712</v>
      </c>
      <c r="G5670">
        <v>734</v>
      </c>
    </row>
    <row r="5671" spans="1:7">
      <c r="A5671" t="s">
        <v>1876</v>
      </c>
      <c r="B5671" t="s">
        <v>364</v>
      </c>
      <c r="C5671" t="s">
        <v>1715</v>
      </c>
      <c r="D5671">
        <v>12</v>
      </c>
      <c r="E5671">
        <v>12</v>
      </c>
      <c r="F5671">
        <v>12</v>
      </c>
      <c r="G5671">
        <v>11</v>
      </c>
    </row>
    <row r="5672" spans="1:7">
      <c r="A5672" t="s">
        <v>1876</v>
      </c>
      <c r="B5672" t="s">
        <v>364</v>
      </c>
      <c r="C5672" t="s">
        <v>263</v>
      </c>
      <c r="D5672">
        <v>123755</v>
      </c>
      <c r="E5672">
        <v>109408</v>
      </c>
      <c r="F5672">
        <v>119360</v>
      </c>
      <c r="G5672">
        <v>111262</v>
      </c>
    </row>
    <row r="5673" spans="1:7">
      <c r="A5673" t="s">
        <v>1876</v>
      </c>
      <c r="B5673" t="s">
        <v>364</v>
      </c>
      <c r="C5673" t="s">
        <v>264</v>
      </c>
      <c r="D5673">
        <v>7636</v>
      </c>
      <c r="E5673">
        <v>9277</v>
      </c>
      <c r="F5673">
        <v>6850</v>
      </c>
      <c r="G5673">
        <v>7540</v>
      </c>
    </row>
    <row r="5674" spans="1:7">
      <c r="A5674" t="s">
        <v>1876</v>
      </c>
      <c r="B5674" t="s">
        <v>364</v>
      </c>
      <c r="C5674" t="s">
        <v>265</v>
      </c>
      <c r="D5674">
        <v>601099</v>
      </c>
      <c r="E5674">
        <v>598562</v>
      </c>
      <c r="F5674">
        <v>603253</v>
      </c>
      <c r="G5674">
        <v>593061</v>
      </c>
    </row>
    <row r="5675" spans="1:7">
      <c r="A5675" t="s">
        <v>1876</v>
      </c>
      <c r="B5675" t="s">
        <v>364</v>
      </c>
      <c r="C5675" t="s">
        <v>266</v>
      </c>
      <c r="D5675">
        <v>133.30000000000001</v>
      </c>
      <c r="E5675">
        <v>132.4</v>
      </c>
      <c r="F5675">
        <v>132.6</v>
      </c>
      <c r="G5675">
        <v>129.4</v>
      </c>
    </row>
    <row r="5676" spans="1:7">
      <c r="A5676" t="s">
        <v>1876</v>
      </c>
      <c r="B5676" t="s">
        <v>364</v>
      </c>
      <c r="C5676" t="s">
        <v>267</v>
      </c>
      <c r="D5676">
        <v>600187</v>
      </c>
      <c r="E5676">
        <v>597129</v>
      </c>
      <c r="F5676">
        <v>602541</v>
      </c>
      <c r="G5676">
        <v>592328</v>
      </c>
    </row>
    <row r="5677" spans="1:7">
      <c r="A5677" t="s">
        <v>1876</v>
      </c>
      <c r="B5677" t="s">
        <v>364</v>
      </c>
      <c r="C5677" t="s">
        <v>268</v>
      </c>
      <c r="D5677">
        <v>0</v>
      </c>
      <c r="E5677">
        <v>0</v>
      </c>
      <c r="F5677">
        <v>0</v>
      </c>
      <c r="G5677">
        <v>0</v>
      </c>
    </row>
    <row r="5678" spans="1:7">
      <c r="A5678" t="s">
        <v>1876</v>
      </c>
      <c r="B5678" t="s">
        <v>364</v>
      </c>
      <c r="C5678" t="s">
        <v>269</v>
      </c>
      <c r="D5678">
        <v>0</v>
      </c>
      <c r="E5678">
        <v>214</v>
      </c>
      <c r="F5678">
        <v>0</v>
      </c>
      <c r="G5678">
        <v>0</v>
      </c>
    </row>
    <row r="5679" spans="1:7">
      <c r="A5679" t="s">
        <v>1876</v>
      </c>
      <c r="B5679" t="s">
        <v>364</v>
      </c>
      <c r="C5679" t="s">
        <v>270</v>
      </c>
      <c r="D5679">
        <v>25521</v>
      </c>
      <c r="E5679">
        <v>10955</v>
      </c>
      <c r="F5679">
        <v>23586</v>
      </c>
      <c r="G5679">
        <v>17733</v>
      </c>
    </row>
    <row r="5680" spans="1:7">
      <c r="A5680" t="s">
        <v>1876</v>
      </c>
      <c r="B5680" t="s">
        <v>364</v>
      </c>
      <c r="C5680" t="s">
        <v>271</v>
      </c>
      <c r="D5680">
        <v>25521</v>
      </c>
      <c r="E5680">
        <v>11169</v>
      </c>
      <c r="F5680">
        <v>23586</v>
      </c>
      <c r="G5680">
        <v>17733</v>
      </c>
    </row>
    <row r="5681" spans="1:7">
      <c r="A5681" t="s">
        <v>1876</v>
      </c>
      <c r="B5681" t="s">
        <v>364</v>
      </c>
      <c r="C5681" t="s">
        <v>272</v>
      </c>
      <c r="D5681">
        <v>25521</v>
      </c>
      <c r="E5681">
        <v>10955</v>
      </c>
      <c r="F5681">
        <v>23586</v>
      </c>
      <c r="G5681">
        <v>17733</v>
      </c>
    </row>
    <row r="5682" spans="1:7">
      <c r="A5682" t="s">
        <v>1876</v>
      </c>
      <c r="B5682" t="s">
        <v>364</v>
      </c>
      <c r="C5682" t="s">
        <v>1944</v>
      </c>
      <c r="D5682">
        <v>3</v>
      </c>
      <c r="E5682">
        <v>4.0999999999999996</v>
      </c>
      <c r="F5682">
        <v>4.9000000000000004</v>
      </c>
      <c r="G5682">
        <v>6.2</v>
      </c>
    </row>
    <row r="5683" spans="1:7">
      <c r="A5683" t="s">
        <v>1876</v>
      </c>
      <c r="B5683" t="s">
        <v>364</v>
      </c>
      <c r="C5683" t="s">
        <v>1945</v>
      </c>
      <c r="D5683">
        <v>5</v>
      </c>
      <c r="E5683">
        <v>8</v>
      </c>
      <c r="F5683">
        <v>13</v>
      </c>
      <c r="G5683">
        <v>18</v>
      </c>
    </row>
    <row r="5684" spans="1:7">
      <c r="A5684" t="s">
        <v>1876</v>
      </c>
      <c r="B5684" t="s">
        <v>364</v>
      </c>
      <c r="C5684" t="s">
        <v>273</v>
      </c>
      <c r="D5684">
        <v>0</v>
      </c>
      <c r="E5684">
        <v>0</v>
      </c>
      <c r="F5684">
        <v>0</v>
      </c>
      <c r="G5684">
        <v>0</v>
      </c>
    </row>
    <row r="5685" spans="1:7">
      <c r="A5685" t="s">
        <v>1876</v>
      </c>
      <c r="B5685" t="s">
        <v>364</v>
      </c>
      <c r="C5685" t="s">
        <v>1946</v>
      </c>
      <c r="D5685">
        <v>438559</v>
      </c>
      <c r="E5685">
        <v>447319</v>
      </c>
      <c r="F5685">
        <v>444631</v>
      </c>
      <c r="G5685">
        <v>443323</v>
      </c>
    </row>
    <row r="5686" spans="1:7">
      <c r="A5686" t="s">
        <v>1876</v>
      </c>
      <c r="B5686" t="s">
        <v>364</v>
      </c>
      <c r="C5686" t="s">
        <v>1947</v>
      </c>
      <c r="D5686">
        <v>9359</v>
      </c>
      <c r="E5686">
        <v>10350</v>
      </c>
      <c r="F5686">
        <v>9544</v>
      </c>
      <c r="G5686">
        <v>8046</v>
      </c>
    </row>
    <row r="5687" spans="1:7">
      <c r="A5687" t="s">
        <v>1876</v>
      </c>
      <c r="B5687" t="s">
        <v>364</v>
      </c>
      <c r="C5687" t="s">
        <v>1948</v>
      </c>
      <c r="D5687">
        <v>913</v>
      </c>
      <c r="E5687">
        <v>1433</v>
      </c>
      <c r="F5687">
        <v>712</v>
      </c>
      <c r="G5687">
        <v>734</v>
      </c>
    </row>
    <row r="5688" spans="1:7">
      <c r="A5688" t="s">
        <v>1876</v>
      </c>
      <c r="B5688" t="s">
        <v>364</v>
      </c>
      <c r="C5688" t="s">
        <v>1949</v>
      </c>
      <c r="D5688">
        <v>123556</v>
      </c>
      <c r="E5688">
        <v>109202</v>
      </c>
      <c r="F5688">
        <v>119162</v>
      </c>
      <c r="G5688">
        <v>111081</v>
      </c>
    </row>
    <row r="5689" spans="1:7">
      <c r="A5689" t="s">
        <v>1876</v>
      </c>
      <c r="B5689" t="s">
        <v>364</v>
      </c>
      <c r="C5689" t="s">
        <v>1950</v>
      </c>
      <c r="D5689">
        <v>7636</v>
      </c>
      <c r="E5689">
        <v>9277</v>
      </c>
      <c r="F5689">
        <v>6850</v>
      </c>
      <c r="G5689">
        <v>7540</v>
      </c>
    </row>
    <row r="5690" spans="1:7">
      <c r="A5690" t="s">
        <v>1876</v>
      </c>
      <c r="B5690" t="s">
        <v>364</v>
      </c>
      <c r="C5690" t="s">
        <v>274</v>
      </c>
      <c r="D5690">
        <v>580022</v>
      </c>
      <c r="E5690">
        <v>577582</v>
      </c>
      <c r="F5690">
        <v>580897</v>
      </c>
      <c r="G5690">
        <v>570724</v>
      </c>
    </row>
    <row r="5691" spans="1:7">
      <c r="A5691" t="s">
        <v>1876</v>
      </c>
      <c r="B5691" t="s">
        <v>364</v>
      </c>
      <c r="C5691" t="s">
        <v>275</v>
      </c>
      <c r="D5691">
        <v>0</v>
      </c>
      <c r="E5691">
        <v>0</v>
      </c>
      <c r="F5691">
        <v>0</v>
      </c>
      <c r="G5691">
        <v>0</v>
      </c>
    </row>
    <row r="5692" spans="1:7">
      <c r="A5692" t="s">
        <v>1876</v>
      </c>
      <c r="B5692" t="s">
        <v>364</v>
      </c>
      <c r="C5692" t="s">
        <v>276</v>
      </c>
      <c r="D5692">
        <v>0</v>
      </c>
      <c r="E5692">
        <v>0</v>
      </c>
      <c r="F5692">
        <v>0</v>
      </c>
      <c r="G5692">
        <v>0</v>
      </c>
    </row>
    <row r="5693" spans="1:7">
      <c r="A5693" t="s">
        <v>1876</v>
      </c>
      <c r="B5693" t="s">
        <v>364</v>
      </c>
      <c r="C5693" t="s">
        <v>277</v>
      </c>
      <c r="D5693">
        <v>44</v>
      </c>
      <c r="E5693">
        <v>75</v>
      </c>
      <c r="F5693">
        <v>67</v>
      </c>
      <c r="G5693">
        <v>52</v>
      </c>
    </row>
    <row r="5694" spans="1:7">
      <c r="A5694" t="s">
        <v>1876</v>
      </c>
      <c r="B5694" t="s">
        <v>364</v>
      </c>
      <c r="C5694" t="s">
        <v>278</v>
      </c>
      <c r="D5694">
        <v>2100</v>
      </c>
      <c r="E5694">
        <v>2948</v>
      </c>
      <c r="F5694">
        <v>2491</v>
      </c>
      <c r="G5694">
        <v>2114</v>
      </c>
    </row>
    <row r="5695" spans="1:7">
      <c r="A5695" t="s">
        <v>1876</v>
      </c>
      <c r="B5695" t="s">
        <v>364</v>
      </c>
      <c r="C5695" t="s">
        <v>279</v>
      </c>
      <c r="D5695">
        <v>1702</v>
      </c>
      <c r="E5695">
        <v>3076</v>
      </c>
      <c r="F5695">
        <v>2802</v>
      </c>
      <c r="G5695">
        <v>2147</v>
      </c>
    </row>
    <row r="5696" spans="1:7">
      <c r="A5696" t="s">
        <v>1876</v>
      </c>
      <c r="B5696" t="s">
        <v>364</v>
      </c>
      <c r="C5696" t="s">
        <v>280</v>
      </c>
      <c r="D5696">
        <v>6885</v>
      </c>
      <c r="E5696">
        <v>8521</v>
      </c>
      <c r="F5696">
        <v>6089</v>
      </c>
      <c r="G5696">
        <v>6849</v>
      </c>
    </row>
    <row r="5697" spans="1:7">
      <c r="A5697" t="s">
        <v>1876</v>
      </c>
      <c r="B5697" t="s">
        <v>364</v>
      </c>
      <c r="C5697" t="s">
        <v>281</v>
      </c>
      <c r="D5697">
        <v>10731</v>
      </c>
      <c r="E5697">
        <v>14621</v>
      </c>
      <c r="F5697">
        <v>11450</v>
      </c>
      <c r="G5697">
        <v>11163</v>
      </c>
    </row>
    <row r="5698" spans="1:7">
      <c r="A5698" t="s">
        <v>1876</v>
      </c>
      <c r="B5698" t="s">
        <v>364</v>
      </c>
      <c r="C5698" t="s">
        <v>282</v>
      </c>
      <c r="D5698">
        <v>10731</v>
      </c>
      <c r="E5698">
        <v>14621</v>
      </c>
      <c r="F5698">
        <v>11450</v>
      </c>
      <c r="G5698">
        <v>11163</v>
      </c>
    </row>
    <row r="5699" spans="1:7">
      <c r="A5699" t="s">
        <v>1876</v>
      </c>
      <c r="B5699" t="s">
        <v>364</v>
      </c>
      <c r="C5699" t="s">
        <v>283</v>
      </c>
      <c r="D5699">
        <v>6079</v>
      </c>
      <c r="E5699">
        <v>6079</v>
      </c>
      <c r="F5699">
        <v>6079</v>
      </c>
      <c r="G5699">
        <v>6079</v>
      </c>
    </row>
    <row r="5700" spans="1:7">
      <c r="A5700" t="s">
        <v>1876</v>
      </c>
      <c r="B5700" t="s">
        <v>364</v>
      </c>
      <c r="C5700" t="s">
        <v>284</v>
      </c>
      <c r="D5700">
        <v>6079</v>
      </c>
      <c r="E5700">
        <v>6079</v>
      </c>
      <c r="F5700">
        <v>6079</v>
      </c>
      <c r="G5700">
        <v>6079</v>
      </c>
    </row>
    <row r="5701" spans="1:7">
      <c r="A5701" t="s">
        <v>1876</v>
      </c>
      <c r="B5701" t="s">
        <v>364</v>
      </c>
      <c r="C5701" t="s">
        <v>1716</v>
      </c>
      <c r="D5701">
        <v>20591</v>
      </c>
      <c r="E5701">
        <v>20478</v>
      </c>
      <c r="F5701">
        <v>21858</v>
      </c>
      <c r="G5701">
        <v>21940</v>
      </c>
    </row>
    <row r="5702" spans="1:7">
      <c r="A5702" t="s">
        <v>1876</v>
      </c>
      <c r="B5702" t="s">
        <v>364</v>
      </c>
      <c r="C5702" t="s">
        <v>1717</v>
      </c>
      <c r="D5702">
        <v>2060</v>
      </c>
      <c r="E5702">
        <v>2100</v>
      </c>
      <c r="F5702">
        <v>2093</v>
      </c>
      <c r="G5702">
        <v>2037</v>
      </c>
    </row>
    <row r="5703" spans="1:7">
      <c r="A5703" t="s">
        <v>1876</v>
      </c>
      <c r="B5703" t="s">
        <v>364</v>
      </c>
      <c r="C5703" t="s">
        <v>1718</v>
      </c>
      <c r="D5703">
        <v>18176</v>
      </c>
      <c r="E5703">
        <v>16885</v>
      </c>
      <c r="F5703">
        <v>15132</v>
      </c>
      <c r="G5703">
        <v>16200</v>
      </c>
    </row>
    <row r="5704" spans="1:7">
      <c r="A5704" t="s">
        <v>1876</v>
      </c>
      <c r="B5704" t="s">
        <v>364</v>
      </c>
      <c r="C5704" t="s">
        <v>1719</v>
      </c>
      <c r="D5704">
        <v>1239</v>
      </c>
      <c r="E5704">
        <v>1290</v>
      </c>
      <c r="F5704">
        <v>1290</v>
      </c>
      <c r="G5704">
        <v>1634</v>
      </c>
    </row>
    <row r="5705" spans="1:7">
      <c r="A5705" t="s">
        <v>1876</v>
      </c>
      <c r="B5705" t="s">
        <v>364</v>
      </c>
      <c r="C5705" t="s">
        <v>1720</v>
      </c>
      <c r="D5705">
        <v>24550</v>
      </c>
      <c r="E5705">
        <v>32809</v>
      </c>
      <c r="F5705">
        <v>28857</v>
      </c>
      <c r="G5705">
        <v>27978</v>
      </c>
    </row>
    <row r="5706" spans="1:7">
      <c r="A5706" t="s">
        <v>1876</v>
      </c>
      <c r="B5706" t="s">
        <v>364</v>
      </c>
      <c r="C5706" t="s">
        <v>1721</v>
      </c>
      <c r="D5706">
        <v>6364</v>
      </c>
      <c r="E5706">
        <v>7568</v>
      </c>
      <c r="F5706">
        <v>6859</v>
      </c>
      <c r="G5706">
        <v>6649</v>
      </c>
    </row>
    <row r="5707" spans="1:7">
      <c r="A5707" t="s">
        <v>1876</v>
      </c>
      <c r="B5707" t="s">
        <v>364</v>
      </c>
      <c r="C5707" t="s">
        <v>285</v>
      </c>
      <c r="D5707">
        <v>71742</v>
      </c>
      <c r="E5707">
        <v>79840</v>
      </c>
      <c r="F5707">
        <v>74801</v>
      </c>
      <c r="G5707">
        <v>74804</v>
      </c>
    </row>
    <row r="5708" spans="1:7">
      <c r="A5708" t="s">
        <v>1876</v>
      </c>
      <c r="B5708" t="s">
        <v>364</v>
      </c>
      <c r="C5708" t="s">
        <v>1951</v>
      </c>
      <c r="D5708">
        <v>4.4000000000000004</v>
      </c>
      <c r="E5708">
        <v>4.8</v>
      </c>
      <c r="F5708">
        <v>4.7</v>
      </c>
      <c r="G5708">
        <v>4.5</v>
      </c>
    </row>
    <row r="5709" spans="1:7">
      <c r="A5709" t="s">
        <v>1876</v>
      </c>
      <c r="B5709" t="s">
        <v>364</v>
      </c>
      <c r="C5709" t="s">
        <v>286</v>
      </c>
      <c r="D5709">
        <v>0</v>
      </c>
      <c r="E5709">
        <v>0</v>
      </c>
      <c r="F5709">
        <v>0</v>
      </c>
      <c r="G5709">
        <v>0</v>
      </c>
    </row>
    <row r="5710" spans="1:7">
      <c r="A5710" t="s">
        <v>1876</v>
      </c>
      <c r="B5710" t="s">
        <v>364</v>
      </c>
      <c r="C5710" t="s">
        <v>287</v>
      </c>
      <c r="D5710">
        <v>0</v>
      </c>
      <c r="E5710">
        <v>0</v>
      </c>
      <c r="F5710">
        <v>0</v>
      </c>
      <c r="G5710">
        <v>0</v>
      </c>
    </row>
    <row r="5711" spans="1:7">
      <c r="A5711" t="s">
        <v>1876</v>
      </c>
      <c r="B5711" t="s">
        <v>364</v>
      </c>
      <c r="C5711" t="s">
        <v>288</v>
      </c>
      <c r="D5711">
        <v>0</v>
      </c>
      <c r="E5711">
        <v>0</v>
      </c>
      <c r="F5711">
        <v>0</v>
      </c>
      <c r="G5711">
        <v>0</v>
      </c>
    </row>
    <row r="5712" spans="1:7">
      <c r="A5712" t="s">
        <v>1876</v>
      </c>
      <c r="B5712" t="s">
        <v>364</v>
      </c>
      <c r="C5712" t="s">
        <v>289</v>
      </c>
      <c r="D5712">
        <v>82</v>
      </c>
      <c r="E5712">
        <v>84</v>
      </c>
      <c r="F5712">
        <v>70</v>
      </c>
      <c r="G5712">
        <v>76</v>
      </c>
    </row>
    <row r="5713" spans="1:7">
      <c r="A5713" t="s">
        <v>1876</v>
      </c>
      <c r="B5713" t="s">
        <v>364</v>
      </c>
      <c r="C5713" t="s">
        <v>290</v>
      </c>
      <c r="D5713">
        <v>82</v>
      </c>
      <c r="E5713">
        <v>84</v>
      </c>
      <c r="F5713">
        <v>70</v>
      </c>
      <c r="G5713">
        <v>76</v>
      </c>
    </row>
    <row r="5714" spans="1:7">
      <c r="A5714" t="s">
        <v>1876</v>
      </c>
      <c r="B5714" t="s">
        <v>364</v>
      </c>
      <c r="C5714" t="s">
        <v>291</v>
      </c>
      <c r="D5714">
        <v>82</v>
      </c>
      <c r="E5714">
        <v>84</v>
      </c>
      <c r="F5714">
        <v>70</v>
      </c>
      <c r="G5714">
        <v>76</v>
      </c>
    </row>
    <row r="5715" spans="1:7">
      <c r="A5715" t="s">
        <v>1876</v>
      </c>
      <c r="B5715" t="s">
        <v>364</v>
      </c>
      <c r="C5715" t="s">
        <v>292</v>
      </c>
      <c r="D5715">
        <v>17</v>
      </c>
      <c r="E5715">
        <v>14</v>
      </c>
      <c r="F5715">
        <v>25</v>
      </c>
      <c r="G5715">
        <v>15</v>
      </c>
    </row>
    <row r="5716" spans="1:7">
      <c r="A5716" t="s">
        <v>1876</v>
      </c>
      <c r="B5716" t="s">
        <v>364</v>
      </c>
      <c r="C5716" t="s">
        <v>293</v>
      </c>
      <c r="D5716">
        <v>52</v>
      </c>
      <c r="E5716">
        <v>49</v>
      </c>
      <c r="F5716">
        <v>79</v>
      </c>
      <c r="G5716">
        <v>60</v>
      </c>
    </row>
    <row r="5717" spans="1:7">
      <c r="A5717" t="s">
        <v>1876</v>
      </c>
      <c r="B5717" t="s">
        <v>364</v>
      </c>
      <c r="C5717" t="s">
        <v>294</v>
      </c>
      <c r="D5717">
        <v>60</v>
      </c>
      <c r="E5717">
        <v>47</v>
      </c>
      <c r="F5717">
        <v>93</v>
      </c>
      <c r="G5717">
        <v>59</v>
      </c>
    </row>
    <row r="5718" spans="1:7">
      <c r="A5718" t="s">
        <v>1876</v>
      </c>
      <c r="B5718" t="s">
        <v>364</v>
      </c>
      <c r="C5718" t="s">
        <v>295</v>
      </c>
      <c r="D5718">
        <v>23</v>
      </c>
      <c r="E5718">
        <v>18</v>
      </c>
      <c r="F5718">
        <v>29</v>
      </c>
      <c r="G5718">
        <v>18</v>
      </c>
    </row>
    <row r="5719" spans="1:7">
      <c r="A5719" t="s">
        <v>1876</v>
      </c>
      <c r="B5719" t="s">
        <v>364</v>
      </c>
      <c r="C5719" t="s">
        <v>296</v>
      </c>
      <c r="D5719">
        <v>151</v>
      </c>
      <c r="E5719">
        <v>128</v>
      </c>
      <c r="F5719">
        <v>226</v>
      </c>
      <c r="G5719">
        <v>152</v>
      </c>
    </row>
    <row r="5720" spans="1:7">
      <c r="A5720" t="s">
        <v>1876</v>
      </c>
      <c r="B5720" t="s">
        <v>364</v>
      </c>
      <c r="C5720" t="s">
        <v>297</v>
      </c>
      <c r="D5720">
        <v>24687</v>
      </c>
      <c r="E5720">
        <v>24801</v>
      </c>
      <c r="F5720">
        <v>24312</v>
      </c>
      <c r="G5720">
        <v>24249</v>
      </c>
    </row>
    <row r="5721" spans="1:7">
      <c r="A5721" t="s">
        <v>1876</v>
      </c>
      <c r="B5721" t="s">
        <v>364</v>
      </c>
      <c r="C5721" t="s">
        <v>1952</v>
      </c>
      <c r="D5721">
        <v>0</v>
      </c>
      <c r="E5721">
        <v>0</v>
      </c>
      <c r="F5721">
        <v>0</v>
      </c>
      <c r="G5721">
        <v>0</v>
      </c>
    </row>
    <row r="5722" spans="1:7">
      <c r="A5722" t="s">
        <v>1876</v>
      </c>
      <c r="B5722" t="s">
        <v>364</v>
      </c>
      <c r="C5722" t="s">
        <v>298</v>
      </c>
      <c r="D5722">
        <v>1619</v>
      </c>
      <c r="E5722">
        <v>1669</v>
      </c>
      <c r="F5722">
        <v>1670</v>
      </c>
      <c r="G5722">
        <v>1461</v>
      </c>
    </row>
    <row r="5723" spans="1:7">
      <c r="A5723" t="s">
        <v>1876</v>
      </c>
      <c r="B5723" t="s">
        <v>364</v>
      </c>
      <c r="C5723" t="s">
        <v>299</v>
      </c>
      <c r="D5723">
        <v>94</v>
      </c>
      <c r="E5723">
        <v>125</v>
      </c>
      <c r="F5723">
        <v>115</v>
      </c>
      <c r="G5723">
        <v>142</v>
      </c>
    </row>
    <row r="5724" spans="1:7">
      <c r="A5724" t="s">
        <v>1876</v>
      </c>
      <c r="B5724" t="s">
        <v>364</v>
      </c>
      <c r="C5724" t="s">
        <v>300</v>
      </c>
      <c r="D5724">
        <v>157</v>
      </c>
      <c r="E5724">
        <v>150</v>
      </c>
      <c r="F5724">
        <v>526</v>
      </c>
      <c r="G5724">
        <v>939</v>
      </c>
    </row>
    <row r="5725" spans="1:7">
      <c r="A5725" t="s">
        <v>1876</v>
      </c>
      <c r="B5725" t="s">
        <v>364</v>
      </c>
      <c r="C5725" t="s">
        <v>1722</v>
      </c>
      <c r="D5725">
        <v>27</v>
      </c>
      <c r="E5725">
        <v>78</v>
      </c>
      <c r="F5725">
        <v>82</v>
      </c>
      <c r="G5725">
        <v>426</v>
      </c>
    </row>
    <row r="5726" spans="1:7">
      <c r="A5726" t="s">
        <v>1876</v>
      </c>
      <c r="B5726" t="s">
        <v>364</v>
      </c>
      <c r="C5726" t="s">
        <v>301</v>
      </c>
      <c r="D5726">
        <v>5</v>
      </c>
      <c r="E5726">
        <v>5</v>
      </c>
      <c r="F5726">
        <v>7</v>
      </c>
      <c r="G5726">
        <v>9</v>
      </c>
    </row>
    <row r="5727" spans="1:7">
      <c r="A5727" t="s">
        <v>1876</v>
      </c>
      <c r="B5727" t="s">
        <v>364</v>
      </c>
      <c r="C5727" t="s">
        <v>302</v>
      </c>
      <c r="D5727">
        <v>207</v>
      </c>
      <c r="E5727">
        <v>294</v>
      </c>
      <c r="F5727">
        <v>397</v>
      </c>
      <c r="G5727">
        <v>474</v>
      </c>
    </row>
    <row r="5728" spans="1:7">
      <c r="A5728" t="s">
        <v>1876</v>
      </c>
      <c r="B5728" t="s">
        <v>364</v>
      </c>
      <c r="C5728" t="s">
        <v>303</v>
      </c>
      <c r="D5728">
        <v>464</v>
      </c>
      <c r="E5728">
        <v>575</v>
      </c>
      <c r="F5728">
        <v>1044</v>
      </c>
      <c r="G5728">
        <v>1563</v>
      </c>
    </row>
    <row r="5729" spans="1:7">
      <c r="A5729" t="s">
        <v>1876</v>
      </c>
      <c r="B5729" t="s">
        <v>364</v>
      </c>
      <c r="C5729" t="s">
        <v>304</v>
      </c>
      <c r="D5729">
        <v>307</v>
      </c>
      <c r="E5729">
        <v>424</v>
      </c>
      <c r="F5729">
        <v>519</v>
      </c>
      <c r="G5729">
        <v>625</v>
      </c>
    </row>
    <row r="5730" spans="1:7">
      <c r="A5730" t="s">
        <v>1876</v>
      </c>
      <c r="B5730" t="s">
        <v>364</v>
      </c>
      <c r="C5730" t="s">
        <v>1953</v>
      </c>
      <c r="D5730">
        <v>19.2</v>
      </c>
      <c r="E5730">
        <v>16.7</v>
      </c>
      <c r="F5730">
        <v>22.3</v>
      </c>
      <c r="G5730">
        <v>19.399999999999999</v>
      </c>
    </row>
    <row r="5731" spans="1:7">
      <c r="A5731" t="s">
        <v>1876</v>
      </c>
      <c r="B5731" t="s">
        <v>364</v>
      </c>
      <c r="C5731" t="s">
        <v>305</v>
      </c>
      <c r="D5731">
        <v>490957</v>
      </c>
      <c r="E5731">
        <v>495047</v>
      </c>
      <c r="F5731">
        <v>497386</v>
      </c>
      <c r="G5731">
        <v>494891</v>
      </c>
    </row>
    <row r="5732" spans="1:7">
      <c r="A5732" t="s">
        <v>1876</v>
      </c>
      <c r="B5732" t="s">
        <v>364</v>
      </c>
      <c r="C5732" t="s">
        <v>306</v>
      </c>
      <c r="D5732">
        <v>108.9</v>
      </c>
      <c r="E5732">
        <v>109.5</v>
      </c>
      <c r="F5732">
        <v>109.3</v>
      </c>
      <c r="G5732">
        <v>108</v>
      </c>
    </row>
    <row r="5733" spans="1:7">
      <c r="A5733" t="s">
        <v>1876</v>
      </c>
      <c r="B5733" t="s">
        <v>364</v>
      </c>
      <c r="C5733" t="s">
        <v>307</v>
      </c>
      <c r="D5733">
        <v>234692</v>
      </c>
      <c r="E5733">
        <v>248840</v>
      </c>
      <c r="F5733">
        <v>237208</v>
      </c>
      <c r="G5733">
        <v>250456</v>
      </c>
    </row>
    <row r="5734" spans="1:7">
      <c r="A5734" t="s">
        <v>1876</v>
      </c>
      <c r="B5734" t="s">
        <v>364</v>
      </c>
      <c r="C5734" t="s">
        <v>308</v>
      </c>
      <c r="D5734">
        <v>52.1</v>
      </c>
      <c r="E5734">
        <v>55</v>
      </c>
      <c r="F5734">
        <v>52.1</v>
      </c>
      <c r="G5734">
        <v>54.6</v>
      </c>
    </row>
    <row r="5735" spans="1:7">
      <c r="A5735" t="s">
        <v>1876</v>
      </c>
      <c r="B5735" t="s">
        <v>364</v>
      </c>
      <c r="C5735" t="s">
        <v>309</v>
      </c>
      <c r="D5735">
        <v>662595</v>
      </c>
      <c r="E5735">
        <v>662043</v>
      </c>
      <c r="F5735">
        <v>596186</v>
      </c>
      <c r="G5735">
        <v>643274</v>
      </c>
    </row>
    <row r="5736" spans="1:7">
      <c r="A5736" t="s">
        <v>1876</v>
      </c>
      <c r="B5736" t="s">
        <v>364</v>
      </c>
      <c r="C5736" t="s">
        <v>310</v>
      </c>
      <c r="D5736">
        <v>591675</v>
      </c>
      <c r="E5736">
        <v>591012</v>
      </c>
      <c r="F5736">
        <v>575237</v>
      </c>
      <c r="G5736">
        <v>580341</v>
      </c>
    </row>
    <row r="5737" spans="1:7">
      <c r="A5737" t="s">
        <v>1876</v>
      </c>
      <c r="B5737" t="s">
        <v>364</v>
      </c>
      <c r="C5737" t="s">
        <v>311</v>
      </c>
      <c r="D5737">
        <v>131.19999999999999</v>
      </c>
      <c r="E5737">
        <v>130.69999999999999</v>
      </c>
      <c r="F5737">
        <v>126.4</v>
      </c>
      <c r="G5737">
        <v>126.6</v>
      </c>
    </row>
    <row r="5738" spans="1:7">
      <c r="A5738" t="s">
        <v>1876</v>
      </c>
      <c r="B5738" t="s">
        <v>364</v>
      </c>
      <c r="C5738" t="s">
        <v>312</v>
      </c>
      <c r="D5738">
        <v>325555</v>
      </c>
      <c r="E5738">
        <v>336483</v>
      </c>
      <c r="F5738">
        <v>297710</v>
      </c>
      <c r="G5738">
        <v>319029</v>
      </c>
    </row>
    <row r="5739" spans="1:7">
      <c r="A5739" t="s">
        <v>1876</v>
      </c>
      <c r="B5739" t="s">
        <v>364</v>
      </c>
      <c r="C5739" t="s">
        <v>313</v>
      </c>
      <c r="D5739">
        <v>72.2</v>
      </c>
      <c r="E5739">
        <v>74.400000000000006</v>
      </c>
      <c r="F5739">
        <v>65.400000000000006</v>
      </c>
      <c r="G5739">
        <v>69.599999999999994</v>
      </c>
    </row>
    <row r="5740" spans="1:7">
      <c r="A5740" t="s">
        <v>1876</v>
      </c>
      <c r="B5740" t="s">
        <v>364</v>
      </c>
      <c r="C5740" t="s">
        <v>314</v>
      </c>
      <c r="D5740">
        <v>1642879</v>
      </c>
      <c r="E5740">
        <v>1671383</v>
      </c>
      <c r="F5740">
        <v>1607542</v>
      </c>
      <c r="G5740">
        <v>1644720</v>
      </c>
    </row>
    <row r="5741" spans="1:7">
      <c r="A5741" t="s">
        <v>1876</v>
      </c>
      <c r="B5741" t="s">
        <v>364</v>
      </c>
      <c r="C5741" t="s">
        <v>315</v>
      </c>
      <c r="D5741">
        <v>7.62</v>
      </c>
      <c r="E5741">
        <v>7.58</v>
      </c>
      <c r="F5741">
        <v>7.08</v>
      </c>
      <c r="G5741">
        <v>7.12</v>
      </c>
    </row>
    <row r="5742" spans="1:7">
      <c r="A5742" t="s">
        <v>1876</v>
      </c>
      <c r="B5742" t="s">
        <v>364</v>
      </c>
      <c r="C5742" t="s">
        <v>316</v>
      </c>
      <c r="D5742">
        <v>364.4</v>
      </c>
      <c r="E5742">
        <v>369.7</v>
      </c>
      <c r="F5742">
        <v>353.3</v>
      </c>
      <c r="G5742">
        <v>358.8</v>
      </c>
    </row>
    <row r="5743" spans="1:7">
      <c r="A5743" t="s">
        <v>1876</v>
      </c>
      <c r="B5743" t="s">
        <v>364</v>
      </c>
      <c r="C5743" t="s">
        <v>317</v>
      </c>
      <c r="D5743">
        <v>1642879</v>
      </c>
      <c r="E5743">
        <v>1671383</v>
      </c>
      <c r="F5743">
        <v>1607541</v>
      </c>
      <c r="G5743">
        <v>1644719</v>
      </c>
    </row>
    <row r="5744" spans="1:7">
      <c r="A5744" t="s">
        <v>1876</v>
      </c>
      <c r="B5744" t="s">
        <v>364</v>
      </c>
      <c r="C5744" t="s">
        <v>318</v>
      </c>
      <c r="D5744">
        <v>490957</v>
      </c>
      <c r="E5744">
        <v>495047</v>
      </c>
      <c r="F5744">
        <v>497386</v>
      </c>
      <c r="G5744">
        <v>494891</v>
      </c>
    </row>
    <row r="5745" spans="1:7">
      <c r="A5745" t="s">
        <v>1876</v>
      </c>
      <c r="B5745" t="s">
        <v>364</v>
      </c>
      <c r="C5745" t="s">
        <v>319</v>
      </c>
      <c r="D5745">
        <v>113038</v>
      </c>
      <c r="E5745">
        <v>120062</v>
      </c>
      <c r="F5745">
        <v>113841</v>
      </c>
      <c r="G5745">
        <v>116815</v>
      </c>
    </row>
    <row r="5746" spans="1:7">
      <c r="A5746" t="s">
        <v>1876</v>
      </c>
      <c r="B5746" t="s">
        <v>364</v>
      </c>
      <c r="C5746" t="s">
        <v>320</v>
      </c>
      <c r="D5746">
        <v>400288</v>
      </c>
      <c r="E5746">
        <v>402338</v>
      </c>
      <c r="F5746">
        <v>400335</v>
      </c>
      <c r="G5746">
        <v>396101</v>
      </c>
    </row>
    <row r="5747" spans="1:7">
      <c r="A5747" t="s">
        <v>1876</v>
      </c>
      <c r="B5747" t="s">
        <v>364</v>
      </c>
      <c r="C5747" t="s">
        <v>321</v>
      </c>
      <c r="D5747">
        <v>153455</v>
      </c>
      <c r="E5747">
        <v>160797</v>
      </c>
      <c r="F5747">
        <v>140795</v>
      </c>
      <c r="G5747">
        <v>147421</v>
      </c>
    </row>
    <row r="5748" spans="1:7">
      <c r="A5748" t="s">
        <v>1876</v>
      </c>
      <c r="B5748" t="s">
        <v>364</v>
      </c>
      <c r="C5748" t="s">
        <v>1954</v>
      </c>
      <c r="D5748">
        <v>1157738</v>
      </c>
      <c r="E5748">
        <v>1178244</v>
      </c>
      <c r="F5748">
        <v>1152357</v>
      </c>
      <c r="G5748">
        <v>1155228</v>
      </c>
    </row>
    <row r="5749" spans="1:7">
      <c r="A5749" t="s">
        <v>1876</v>
      </c>
      <c r="B5749" t="s">
        <v>364</v>
      </c>
      <c r="C5749" t="s">
        <v>323</v>
      </c>
      <c r="D5749">
        <v>4508</v>
      </c>
      <c r="E5749">
        <v>4521</v>
      </c>
      <c r="F5749">
        <v>4550</v>
      </c>
      <c r="G5749">
        <v>4584</v>
      </c>
    </row>
    <row r="5750" spans="1:7">
      <c r="A5750" t="s">
        <v>1876</v>
      </c>
      <c r="B5750" t="s">
        <v>364</v>
      </c>
      <c r="C5750" t="s">
        <v>324</v>
      </c>
      <c r="D5750">
        <v>820</v>
      </c>
      <c r="E5750">
        <v>0</v>
      </c>
      <c r="F5750">
        <v>0</v>
      </c>
      <c r="G5750">
        <v>0</v>
      </c>
    </row>
    <row r="5751" spans="1:7">
      <c r="A5751" t="s">
        <v>1876</v>
      </c>
      <c r="B5751" t="s">
        <v>364</v>
      </c>
      <c r="C5751" t="s">
        <v>325</v>
      </c>
      <c r="D5751">
        <v>0</v>
      </c>
      <c r="E5751">
        <v>0</v>
      </c>
      <c r="F5751">
        <v>0</v>
      </c>
      <c r="G5751">
        <v>0</v>
      </c>
    </row>
    <row r="5752" spans="1:7">
      <c r="A5752" t="s">
        <v>1876</v>
      </c>
      <c r="B5752" t="s">
        <v>364</v>
      </c>
      <c r="C5752" t="s">
        <v>326</v>
      </c>
      <c r="D5752">
        <v>827</v>
      </c>
      <c r="E5752">
        <v>827</v>
      </c>
      <c r="F5752">
        <v>827</v>
      </c>
      <c r="G5752">
        <v>827</v>
      </c>
    </row>
    <row r="5753" spans="1:7">
      <c r="A5753" t="s">
        <v>1876</v>
      </c>
      <c r="B5753" t="s">
        <v>364</v>
      </c>
      <c r="C5753" t="s">
        <v>327</v>
      </c>
      <c r="D5753">
        <v>0</v>
      </c>
      <c r="E5753">
        <v>0</v>
      </c>
      <c r="F5753">
        <v>0</v>
      </c>
      <c r="G5753">
        <v>0</v>
      </c>
    </row>
    <row r="5754" spans="1:7">
      <c r="A5754" t="s">
        <v>1876</v>
      </c>
      <c r="B5754" t="s">
        <v>364</v>
      </c>
      <c r="C5754" t="s">
        <v>1723</v>
      </c>
      <c r="D5754">
        <v>52</v>
      </c>
      <c r="E5754">
        <v>52</v>
      </c>
      <c r="F5754">
        <v>52</v>
      </c>
      <c r="G5754">
        <v>52</v>
      </c>
    </row>
    <row r="5755" spans="1:7">
      <c r="A5755" t="s">
        <v>1876</v>
      </c>
      <c r="B5755" t="s">
        <v>364</v>
      </c>
      <c r="C5755" t="s">
        <v>328</v>
      </c>
      <c r="D5755">
        <v>20184</v>
      </c>
      <c r="E5755">
        <v>28704</v>
      </c>
      <c r="F5755">
        <v>24848</v>
      </c>
      <c r="G5755">
        <v>24113</v>
      </c>
    </row>
    <row r="5756" spans="1:7">
      <c r="A5756" t="s">
        <v>1876</v>
      </c>
      <c r="B5756" t="s">
        <v>364</v>
      </c>
      <c r="C5756" t="s">
        <v>329</v>
      </c>
      <c r="D5756">
        <v>4297</v>
      </c>
      <c r="E5756">
        <v>5414</v>
      </c>
      <c r="F5756">
        <v>4602</v>
      </c>
      <c r="G5756">
        <v>4314</v>
      </c>
    </row>
    <row r="5757" spans="1:7">
      <c r="A5757" t="s">
        <v>1876</v>
      </c>
      <c r="B5757" t="s">
        <v>364</v>
      </c>
      <c r="C5757" t="s">
        <v>330</v>
      </c>
      <c r="D5757">
        <v>25309</v>
      </c>
      <c r="E5757">
        <v>34945</v>
      </c>
      <c r="F5757">
        <v>30277</v>
      </c>
      <c r="G5757">
        <v>29254</v>
      </c>
    </row>
    <row r="5758" spans="1:7">
      <c r="A5758" t="s">
        <v>1876</v>
      </c>
      <c r="B5758" t="s">
        <v>364</v>
      </c>
      <c r="C5758" t="s">
        <v>331</v>
      </c>
      <c r="D5758">
        <v>0</v>
      </c>
      <c r="E5758">
        <v>0</v>
      </c>
      <c r="F5758">
        <v>0</v>
      </c>
      <c r="G5758">
        <v>0</v>
      </c>
    </row>
    <row r="5759" spans="1:7">
      <c r="A5759" t="s">
        <v>1876</v>
      </c>
      <c r="B5759" t="s">
        <v>364</v>
      </c>
      <c r="C5759" t="s">
        <v>332</v>
      </c>
      <c r="D5759">
        <v>1380</v>
      </c>
      <c r="E5759">
        <v>1279</v>
      </c>
      <c r="F5759">
        <v>1113</v>
      </c>
      <c r="G5759">
        <v>1225</v>
      </c>
    </row>
    <row r="5760" spans="1:7">
      <c r="A5760" t="s">
        <v>1876</v>
      </c>
      <c r="B5760" t="s">
        <v>364</v>
      </c>
      <c r="C5760" t="s">
        <v>1724</v>
      </c>
      <c r="D5760">
        <v>22</v>
      </c>
      <c r="E5760">
        <v>22</v>
      </c>
      <c r="F5760">
        <v>18</v>
      </c>
      <c r="G5760">
        <v>18</v>
      </c>
    </row>
    <row r="5761" spans="1:7">
      <c r="A5761" t="s">
        <v>1876</v>
      </c>
      <c r="B5761" t="s">
        <v>364</v>
      </c>
      <c r="C5761" t="s">
        <v>333</v>
      </c>
      <c r="D5761">
        <v>2010</v>
      </c>
      <c r="E5761">
        <v>1915</v>
      </c>
      <c r="F5761">
        <v>1900</v>
      </c>
      <c r="G5761">
        <v>1709</v>
      </c>
    </row>
    <row r="5762" spans="1:7">
      <c r="A5762" t="s">
        <v>1876</v>
      </c>
      <c r="B5762" t="s">
        <v>364</v>
      </c>
      <c r="C5762" t="s">
        <v>334</v>
      </c>
      <c r="D5762">
        <v>3390</v>
      </c>
      <c r="E5762">
        <v>3194</v>
      </c>
      <c r="F5762">
        <v>3014</v>
      </c>
      <c r="G5762">
        <v>2935</v>
      </c>
    </row>
    <row r="5763" spans="1:7">
      <c r="A5763" t="s">
        <v>1876</v>
      </c>
      <c r="B5763" t="s">
        <v>364</v>
      </c>
      <c r="C5763" t="s">
        <v>335</v>
      </c>
      <c r="D5763">
        <v>827</v>
      </c>
      <c r="E5763">
        <v>827</v>
      </c>
      <c r="F5763">
        <v>827</v>
      </c>
      <c r="G5763">
        <v>827</v>
      </c>
    </row>
    <row r="5764" spans="1:7">
      <c r="A5764" t="s">
        <v>1876</v>
      </c>
      <c r="B5764" t="s">
        <v>364</v>
      </c>
      <c r="C5764" t="s">
        <v>336</v>
      </c>
      <c r="D5764">
        <v>1380</v>
      </c>
      <c r="E5764">
        <v>1279</v>
      </c>
      <c r="F5764">
        <v>1113</v>
      </c>
      <c r="G5764">
        <v>1225</v>
      </c>
    </row>
    <row r="5765" spans="1:7">
      <c r="A5765" t="s">
        <v>1876</v>
      </c>
      <c r="B5765" t="s">
        <v>364</v>
      </c>
      <c r="C5765" t="s">
        <v>337</v>
      </c>
      <c r="D5765">
        <v>22194</v>
      </c>
      <c r="E5765">
        <v>30619</v>
      </c>
      <c r="F5765">
        <v>26748</v>
      </c>
      <c r="G5765">
        <v>25822</v>
      </c>
    </row>
    <row r="5766" spans="1:7">
      <c r="A5766" t="s">
        <v>1876</v>
      </c>
      <c r="B5766" t="s">
        <v>364</v>
      </c>
      <c r="C5766" t="s">
        <v>338</v>
      </c>
      <c r="D5766">
        <v>28699</v>
      </c>
      <c r="E5766">
        <v>38139</v>
      </c>
      <c r="F5766">
        <v>33291</v>
      </c>
      <c r="G5766">
        <v>32189</v>
      </c>
    </row>
    <row r="5767" spans="1:7">
      <c r="A5767" t="s">
        <v>1876</v>
      </c>
      <c r="B5767" t="s">
        <v>364</v>
      </c>
      <c r="C5767" t="s">
        <v>339</v>
      </c>
      <c r="D5767">
        <v>27319</v>
      </c>
      <c r="E5767">
        <v>36860</v>
      </c>
      <c r="F5767">
        <v>32178</v>
      </c>
      <c r="G5767">
        <v>30963</v>
      </c>
    </row>
    <row r="5768" spans="1:7">
      <c r="A5768" t="s">
        <v>1876</v>
      </c>
      <c r="B5768" t="s">
        <v>364</v>
      </c>
      <c r="C5768" t="s">
        <v>340</v>
      </c>
      <c r="D5768">
        <v>180</v>
      </c>
      <c r="E5768">
        <v>147</v>
      </c>
      <c r="F5768">
        <v>102</v>
      </c>
      <c r="G5768">
        <v>126</v>
      </c>
    </row>
    <row r="5769" spans="1:7">
      <c r="A5769" t="s">
        <v>1876</v>
      </c>
      <c r="B5769" t="s">
        <v>364</v>
      </c>
      <c r="C5769" t="s">
        <v>1955</v>
      </c>
      <c r="D5769">
        <v>0</v>
      </c>
      <c r="E5769">
        <v>0</v>
      </c>
      <c r="F5769">
        <v>0</v>
      </c>
      <c r="G5769">
        <v>0</v>
      </c>
    </row>
    <row r="5770" spans="1:7">
      <c r="A5770" t="s">
        <v>1876</v>
      </c>
      <c r="B5770" t="s">
        <v>364</v>
      </c>
      <c r="C5770" t="s">
        <v>341</v>
      </c>
      <c r="D5770">
        <v>0</v>
      </c>
      <c r="E5770">
        <v>0</v>
      </c>
      <c r="F5770">
        <v>0</v>
      </c>
      <c r="G5770">
        <v>0</v>
      </c>
    </row>
    <row r="5771" spans="1:7">
      <c r="A5771" t="s">
        <v>1876</v>
      </c>
      <c r="B5771" t="s">
        <v>364</v>
      </c>
      <c r="C5771" t="s">
        <v>342</v>
      </c>
      <c r="D5771">
        <v>0</v>
      </c>
      <c r="E5771">
        <v>0</v>
      </c>
      <c r="F5771">
        <v>0</v>
      </c>
      <c r="G5771">
        <v>0</v>
      </c>
    </row>
    <row r="5772" spans="1:7">
      <c r="A5772" t="s">
        <v>1876</v>
      </c>
      <c r="B5772" t="s">
        <v>364</v>
      </c>
      <c r="C5772" t="s">
        <v>1725</v>
      </c>
      <c r="D5772">
        <v>0</v>
      </c>
      <c r="E5772">
        <v>0</v>
      </c>
      <c r="F5772">
        <v>0</v>
      </c>
      <c r="G5772">
        <v>0</v>
      </c>
    </row>
    <row r="5773" spans="1:7">
      <c r="A5773" t="s">
        <v>1876</v>
      </c>
      <c r="B5773" t="s">
        <v>364</v>
      </c>
      <c r="C5773" t="s">
        <v>343</v>
      </c>
      <c r="D5773">
        <v>0</v>
      </c>
      <c r="E5773">
        <v>0</v>
      </c>
      <c r="F5773">
        <v>0</v>
      </c>
      <c r="G5773">
        <v>0</v>
      </c>
    </row>
    <row r="5774" spans="1:7">
      <c r="A5774" t="s">
        <v>1876</v>
      </c>
      <c r="B5774" t="s">
        <v>364</v>
      </c>
      <c r="C5774" t="s">
        <v>344</v>
      </c>
      <c r="D5774">
        <v>0</v>
      </c>
      <c r="E5774">
        <v>0</v>
      </c>
      <c r="F5774">
        <v>0</v>
      </c>
      <c r="G5774">
        <v>0</v>
      </c>
    </row>
    <row r="5775" spans="1:7">
      <c r="A5775" t="s">
        <v>1876</v>
      </c>
      <c r="B5775" t="s">
        <v>364</v>
      </c>
      <c r="C5775" t="s">
        <v>345</v>
      </c>
      <c r="D5775">
        <v>0</v>
      </c>
      <c r="E5775">
        <v>0</v>
      </c>
      <c r="F5775">
        <v>0</v>
      </c>
      <c r="G5775">
        <v>0</v>
      </c>
    </row>
    <row r="5776" spans="1:7">
      <c r="A5776" t="s">
        <v>1876</v>
      </c>
      <c r="B5776" t="s">
        <v>364</v>
      </c>
      <c r="C5776" t="s">
        <v>1956</v>
      </c>
      <c r="D5776">
        <v>1380</v>
      </c>
      <c r="E5776">
        <v>1279</v>
      </c>
      <c r="F5776">
        <v>1113</v>
      </c>
      <c r="G5776">
        <v>1225</v>
      </c>
    </row>
    <row r="5777" spans="1:7">
      <c r="A5777" t="s">
        <v>1876</v>
      </c>
      <c r="B5777" t="s">
        <v>364</v>
      </c>
      <c r="C5777" t="s">
        <v>1957</v>
      </c>
      <c r="D5777">
        <v>3390</v>
      </c>
      <c r="E5777">
        <v>3194</v>
      </c>
      <c r="F5777">
        <v>3014</v>
      </c>
      <c r="G5777">
        <v>2935</v>
      </c>
    </row>
    <row r="5778" spans="1:7">
      <c r="A5778" t="s">
        <v>1876</v>
      </c>
      <c r="B5778" t="s">
        <v>364</v>
      </c>
      <c r="C5778" t="s">
        <v>346</v>
      </c>
      <c r="D5778">
        <v>1259</v>
      </c>
      <c r="E5778">
        <v>1304</v>
      </c>
      <c r="F5778">
        <v>1163</v>
      </c>
      <c r="G5778">
        <v>1421</v>
      </c>
    </row>
    <row r="5779" spans="1:7">
      <c r="A5779" t="s">
        <v>1876</v>
      </c>
      <c r="B5779" t="s">
        <v>364</v>
      </c>
      <c r="C5779" t="s">
        <v>347</v>
      </c>
      <c r="D5779">
        <v>4165</v>
      </c>
      <c r="E5779">
        <v>4474</v>
      </c>
      <c r="F5779">
        <v>3681</v>
      </c>
      <c r="G5779">
        <v>3667</v>
      </c>
    </row>
    <row r="5780" spans="1:7">
      <c r="A5780" t="s">
        <v>1876</v>
      </c>
      <c r="B5780" t="s">
        <v>365</v>
      </c>
      <c r="C5780" t="s">
        <v>133</v>
      </c>
      <c r="D5780">
        <v>-133</v>
      </c>
      <c r="E5780">
        <v>-108</v>
      </c>
      <c r="F5780">
        <v>-105</v>
      </c>
      <c r="G5780">
        <v>-168</v>
      </c>
    </row>
    <row r="5781" spans="1:7">
      <c r="A5781" t="s">
        <v>1876</v>
      </c>
      <c r="B5781" t="s">
        <v>365</v>
      </c>
      <c r="C5781" t="s">
        <v>134</v>
      </c>
      <c r="D5781">
        <v>17077</v>
      </c>
      <c r="E5781">
        <v>16528</v>
      </c>
      <c r="F5781">
        <v>16917</v>
      </c>
      <c r="G5781">
        <v>16724</v>
      </c>
    </row>
    <row r="5782" spans="1:7">
      <c r="A5782" t="s">
        <v>1876</v>
      </c>
      <c r="B5782" t="s">
        <v>365</v>
      </c>
      <c r="C5782" t="s">
        <v>135</v>
      </c>
      <c r="D5782">
        <v>17077</v>
      </c>
      <c r="E5782">
        <v>16528</v>
      </c>
      <c r="F5782">
        <v>16917</v>
      </c>
      <c r="G5782">
        <v>16724</v>
      </c>
    </row>
    <row r="5783" spans="1:7">
      <c r="A5783" t="s">
        <v>1876</v>
      </c>
      <c r="B5783" t="s">
        <v>365</v>
      </c>
      <c r="C5783" t="s">
        <v>136</v>
      </c>
      <c r="D5783">
        <v>17077</v>
      </c>
      <c r="E5783">
        <v>16528</v>
      </c>
      <c r="F5783">
        <v>16917</v>
      </c>
      <c r="G5783">
        <v>16724</v>
      </c>
    </row>
    <row r="5784" spans="1:7">
      <c r="A5784" t="s">
        <v>1876</v>
      </c>
      <c r="B5784" t="s">
        <v>365</v>
      </c>
      <c r="C5784" t="s">
        <v>137</v>
      </c>
      <c r="D5784">
        <v>287</v>
      </c>
      <c r="E5784">
        <v>298</v>
      </c>
      <c r="F5784">
        <v>282</v>
      </c>
      <c r="G5784">
        <v>304</v>
      </c>
    </row>
    <row r="5785" spans="1:7">
      <c r="A5785" t="s">
        <v>1876</v>
      </c>
      <c r="B5785" t="s">
        <v>365</v>
      </c>
      <c r="C5785" t="s">
        <v>138</v>
      </c>
      <c r="D5785">
        <v>287</v>
      </c>
      <c r="E5785">
        <v>298</v>
      </c>
      <c r="F5785">
        <v>282</v>
      </c>
      <c r="G5785">
        <v>304</v>
      </c>
    </row>
    <row r="5786" spans="1:7">
      <c r="A5786" t="s">
        <v>1876</v>
      </c>
      <c r="B5786" t="s">
        <v>365</v>
      </c>
      <c r="C5786" t="s">
        <v>139</v>
      </c>
      <c r="D5786">
        <v>287</v>
      </c>
      <c r="E5786">
        <v>298</v>
      </c>
      <c r="F5786">
        <v>282</v>
      </c>
      <c r="G5786">
        <v>304</v>
      </c>
    </row>
    <row r="5787" spans="1:7">
      <c r="A5787" t="s">
        <v>1876</v>
      </c>
      <c r="B5787" t="s">
        <v>365</v>
      </c>
      <c r="C5787" t="s">
        <v>1877</v>
      </c>
      <c r="D5787">
        <v>0</v>
      </c>
      <c r="E5787">
        <v>0</v>
      </c>
      <c r="F5787">
        <v>0</v>
      </c>
      <c r="G5787">
        <v>0</v>
      </c>
    </row>
    <row r="5788" spans="1:7">
      <c r="A5788" t="s">
        <v>1876</v>
      </c>
      <c r="B5788" t="s">
        <v>365</v>
      </c>
      <c r="C5788" t="s">
        <v>1700</v>
      </c>
      <c r="D5788">
        <v>0</v>
      </c>
      <c r="E5788">
        <v>0</v>
      </c>
      <c r="F5788">
        <v>0</v>
      </c>
      <c r="G5788">
        <v>0</v>
      </c>
    </row>
    <row r="5789" spans="1:7">
      <c r="A5789" t="s">
        <v>1876</v>
      </c>
      <c r="B5789" t="s">
        <v>365</v>
      </c>
      <c r="C5789" t="s">
        <v>1878</v>
      </c>
      <c r="D5789">
        <v>0</v>
      </c>
      <c r="E5789">
        <v>0</v>
      </c>
      <c r="F5789">
        <v>0</v>
      </c>
      <c r="G5789">
        <v>0</v>
      </c>
    </row>
    <row r="5790" spans="1:7">
      <c r="A5790" t="s">
        <v>1876</v>
      </c>
      <c r="B5790" t="s">
        <v>365</v>
      </c>
      <c r="C5790" t="s">
        <v>1879</v>
      </c>
      <c r="D5790">
        <v>0</v>
      </c>
      <c r="E5790">
        <v>0</v>
      </c>
      <c r="F5790">
        <v>0</v>
      </c>
      <c r="G5790">
        <v>0</v>
      </c>
    </row>
    <row r="5791" spans="1:7">
      <c r="A5791" t="s">
        <v>1876</v>
      </c>
      <c r="B5791" t="s">
        <v>365</v>
      </c>
      <c r="C5791" t="s">
        <v>1701</v>
      </c>
      <c r="D5791">
        <v>0</v>
      </c>
      <c r="E5791">
        <v>0</v>
      </c>
      <c r="F5791">
        <v>0</v>
      </c>
      <c r="G5791">
        <v>0</v>
      </c>
    </row>
    <row r="5792" spans="1:7">
      <c r="A5792" t="s">
        <v>1876</v>
      </c>
      <c r="B5792" t="s">
        <v>365</v>
      </c>
      <c r="C5792" t="s">
        <v>1880</v>
      </c>
      <c r="D5792">
        <v>1617</v>
      </c>
      <c r="E5792">
        <v>1480</v>
      </c>
      <c r="F5792">
        <v>1771</v>
      </c>
      <c r="G5792">
        <v>1626</v>
      </c>
    </row>
    <row r="5793" spans="1:7">
      <c r="A5793" t="s">
        <v>1876</v>
      </c>
      <c r="B5793" t="s">
        <v>365</v>
      </c>
      <c r="C5793" t="s">
        <v>140</v>
      </c>
      <c r="D5793">
        <v>3799</v>
      </c>
      <c r="E5793">
        <v>3578</v>
      </c>
      <c r="F5793">
        <v>4777</v>
      </c>
      <c r="G5793">
        <v>4634</v>
      </c>
    </row>
    <row r="5794" spans="1:7">
      <c r="A5794" t="s">
        <v>1876</v>
      </c>
      <c r="B5794" t="s">
        <v>365</v>
      </c>
      <c r="C5794" t="s">
        <v>1881</v>
      </c>
      <c r="D5794">
        <v>2182</v>
      </c>
      <c r="E5794">
        <v>2097</v>
      </c>
      <c r="F5794">
        <v>3006</v>
      </c>
      <c r="G5794">
        <v>3009</v>
      </c>
    </row>
    <row r="5795" spans="1:7">
      <c r="A5795" t="s">
        <v>1876</v>
      </c>
      <c r="B5795" t="s">
        <v>365</v>
      </c>
      <c r="C5795" t="s">
        <v>1882</v>
      </c>
      <c r="D5795">
        <v>0</v>
      </c>
      <c r="E5795">
        <v>0</v>
      </c>
      <c r="F5795">
        <v>0</v>
      </c>
      <c r="G5795">
        <v>0</v>
      </c>
    </row>
    <row r="5796" spans="1:7">
      <c r="A5796" t="s">
        <v>1876</v>
      </c>
      <c r="B5796" t="s">
        <v>365</v>
      </c>
      <c r="C5796" t="s">
        <v>1883</v>
      </c>
      <c r="D5796">
        <v>0</v>
      </c>
      <c r="E5796">
        <v>0</v>
      </c>
      <c r="F5796">
        <v>0</v>
      </c>
      <c r="G5796">
        <v>0</v>
      </c>
    </row>
    <row r="5797" spans="1:7">
      <c r="A5797" t="s">
        <v>1876</v>
      </c>
      <c r="B5797" t="s">
        <v>365</v>
      </c>
      <c r="C5797" t="s">
        <v>1884</v>
      </c>
      <c r="D5797">
        <v>0</v>
      </c>
      <c r="E5797">
        <v>0</v>
      </c>
      <c r="F5797">
        <v>0</v>
      </c>
      <c r="G5797">
        <v>0</v>
      </c>
    </row>
    <row r="5798" spans="1:7">
      <c r="A5798" t="s">
        <v>1876</v>
      </c>
      <c r="B5798" t="s">
        <v>365</v>
      </c>
      <c r="C5798" t="s">
        <v>1885</v>
      </c>
      <c r="D5798">
        <v>0</v>
      </c>
      <c r="E5798">
        <v>0</v>
      </c>
      <c r="F5798">
        <v>0</v>
      </c>
      <c r="G5798">
        <v>0</v>
      </c>
    </row>
    <row r="5799" spans="1:7">
      <c r="A5799" t="s">
        <v>1876</v>
      </c>
      <c r="B5799" t="s">
        <v>365</v>
      </c>
      <c r="C5799" t="s">
        <v>1886</v>
      </c>
      <c r="D5799">
        <v>0</v>
      </c>
      <c r="E5799">
        <v>0</v>
      </c>
      <c r="F5799">
        <v>0</v>
      </c>
      <c r="G5799">
        <v>0</v>
      </c>
    </row>
    <row r="5800" spans="1:7">
      <c r="A5800" t="s">
        <v>1876</v>
      </c>
      <c r="B5800" t="s">
        <v>365</v>
      </c>
      <c r="C5800" t="s">
        <v>141</v>
      </c>
      <c r="D5800">
        <v>0</v>
      </c>
      <c r="E5800">
        <v>0</v>
      </c>
      <c r="F5800">
        <v>0</v>
      </c>
      <c r="G5800">
        <v>0</v>
      </c>
    </row>
    <row r="5801" spans="1:7">
      <c r="A5801" t="s">
        <v>1876</v>
      </c>
      <c r="B5801" t="s">
        <v>365</v>
      </c>
      <c r="C5801" t="s">
        <v>1887</v>
      </c>
      <c r="D5801">
        <v>0</v>
      </c>
      <c r="E5801">
        <v>0</v>
      </c>
      <c r="F5801">
        <v>0</v>
      </c>
      <c r="G5801">
        <v>0</v>
      </c>
    </row>
    <row r="5802" spans="1:7">
      <c r="A5802" t="s">
        <v>1876</v>
      </c>
      <c r="B5802" t="s">
        <v>365</v>
      </c>
      <c r="C5802" t="s">
        <v>1888</v>
      </c>
      <c r="D5802">
        <v>0</v>
      </c>
      <c r="E5802">
        <v>0</v>
      </c>
      <c r="F5802">
        <v>0</v>
      </c>
      <c r="G5802">
        <v>0</v>
      </c>
    </row>
    <row r="5803" spans="1:7">
      <c r="A5803" t="s">
        <v>1876</v>
      </c>
      <c r="B5803" t="s">
        <v>365</v>
      </c>
      <c r="C5803" t="s">
        <v>1889</v>
      </c>
      <c r="D5803">
        <v>1617</v>
      </c>
      <c r="E5803">
        <v>1480</v>
      </c>
      <c r="F5803">
        <v>1771</v>
      </c>
      <c r="G5803">
        <v>1626</v>
      </c>
    </row>
    <row r="5804" spans="1:7">
      <c r="A5804" t="s">
        <v>1876</v>
      </c>
      <c r="B5804" t="s">
        <v>365</v>
      </c>
      <c r="C5804" t="s">
        <v>1890</v>
      </c>
      <c r="D5804">
        <v>0</v>
      </c>
      <c r="E5804">
        <v>0</v>
      </c>
      <c r="F5804">
        <v>0</v>
      </c>
      <c r="G5804">
        <v>0</v>
      </c>
    </row>
    <row r="5805" spans="1:7">
      <c r="A5805" t="s">
        <v>1876</v>
      </c>
      <c r="B5805" t="s">
        <v>365</v>
      </c>
      <c r="C5805" t="s">
        <v>1891</v>
      </c>
    </row>
    <row r="5806" spans="1:7">
      <c r="A5806" t="s">
        <v>1876</v>
      </c>
      <c r="B5806" t="s">
        <v>365</v>
      </c>
      <c r="C5806" t="s">
        <v>1892</v>
      </c>
      <c r="D5806">
        <v>2182</v>
      </c>
      <c r="E5806">
        <v>2097</v>
      </c>
      <c r="F5806">
        <v>3006</v>
      </c>
      <c r="G5806">
        <v>3009</v>
      </c>
    </row>
    <row r="5807" spans="1:7">
      <c r="A5807" t="s">
        <v>1876</v>
      </c>
      <c r="B5807" t="s">
        <v>365</v>
      </c>
      <c r="C5807" t="s">
        <v>142</v>
      </c>
      <c r="D5807">
        <v>3799</v>
      </c>
      <c r="E5807">
        <v>3578</v>
      </c>
      <c r="F5807">
        <v>4777</v>
      </c>
      <c r="G5807">
        <v>4634</v>
      </c>
    </row>
    <row r="5808" spans="1:7">
      <c r="A5808" t="s">
        <v>1876</v>
      </c>
      <c r="B5808" t="s">
        <v>365</v>
      </c>
      <c r="C5808" t="s">
        <v>1893</v>
      </c>
      <c r="D5808">
        <v>3799</v>
      </c>
      <c r="E5808">
        <v>3578</v>
      </c>
      <c r="F5808">
        <v>4777</v>
      </c>
      <c r="G5808">
        <v>4634</v>
      </c>
    </row>
    <row r="5809" spans="1:7">
      <c r="A5809" t="s">
        <v>1876</v>
      </c>
      <c r="B5809" t="s">
        <v>365</v>
      </c>
      <c r="C5809" t="s">
        <v>1894</v>
      </c>
      <c r="D5809">
        <v>2182</v>
      </c>
      <c r="E5809">
        <v>2097</v>
      </c>
      <c r="F5809">
        <v>3006</v>
      </c>
      <c r="G5809">
        <v>3009</v>
      </c>
    </row>
    <row r="5810" spans="1:7">
      <c r="A5810" t="s">
        <v>1876</v>
      </c>
      <c r="B5810" t="s">
        <v>365</v>
      </c>
      <c r="C5810" t="s">
        <v>143</v>
      </c>
      <c r="D5810">
        <v>0</v>
      </c>
      <c r="E5810">
        <v>0</v>
      </c>
      <c r="F5810">
        <v>0</v>
      </c>
      <c r="G5810">
        <v>0</v>
      </c>
    </row>
    <row r="5811" spans="1:7">
      <c r="A5811" t="s">
        <v>1876</v>
      </c>
      <c r="B5811" t="s">
        <v>365</v>
      </c>
      <c r="C5811" t="s">
        <v>144</v>
      </c>
      <c r="D5811">
        <v>21142</v>
      </c>
      <c r="E5811">
        <v>21948</v>
      </c>
      <c r="F5811">
        <v>23008</v>
      </c>
      <c r="G5811">
        <v>23823</v>
      </c>
    </row>
    <row r="5812" spans="1:7">
      <c r="A5812" t="s">
        <v>1876</v>
      </c>
      <c r="B5812" t="s">
        <v>365</v>
      </c>
      <c r="C5812" t="s">
        <v>1895</v>
      </c>
      <c r="D5812">
        <v>75.7</v>
      </c>
      <c r="E5812">
        <v>74.599999999999994</v>
      </c>
      <c r="F5812">
        <v>71.599999999999994</v>
      </c>
      <c r="G5812">
        <v>71.099999999999994</v>
      </c>
    </row>
    <row r="5813" spans="1:7">
      <c r="A5813" t="s">
        <v>1876</v>
      </c>
      <c r="B5813" t="s">
        <v>365</v>
      </c>
      <c r="C5813" t="s">
        <v>145</v>
      </c>
      <c r="D5813">
        <v>128794</v>
      </c>
      <c r="E5813">
        <v>138975</v>
      </c>
      <c r="F5813">
        <v>140003</v>
      </c>
      <c r="G5813">
        <v>143694</v>
      </c>
    </row>
    <row r="5814" spans="1:7">
      <c r="A5814" t="s">
        <v>1876</v>
      </c>
      <c r="B5814" t="s">
        <v>365</v>
      </c>
      <c r="C5814" t="s">
        <v>146</v>
      </c>
      <c r="D5814">
        <v>18282</v>
      </c>
      <c r="E5814">
        <v>18282</v>
      </c>
      <c r="F5814">
        <v>18282</v>
      </c>
      <c r="G5814">
        <v>18282</v>
      </c>
    </row>
    <row r="5815" spans="1:7">
      <c r="A5815" t="s">
        <v>1876</v>
      </c>
      <c r="B5815" t="s">
        <v>365</v>
      </c>
      <c r="C5815" t="s">
        <v>147</v>
      </c>
      <c r="D5815">
        <v>18282</v>
      </c>
      <c r="E5815">
        <v>18282</v>
      </c>
      <c r="F5815">
        <v>18282</v>
      </c>
      <c r="G5815">
        <v>18282</v>
      </c>
    </row>
    <row r="5816" spans="1:7">
      <c r="A5816" t="s">
        <v>1876</v>
      </c>
      <c r="B5816" t="s">
        <v>365</v>
      </c>
      <c r="C5816" t="s">
        <v>1896</v>
      </c>
      <c r="D5816">
        <v>0</v>
      </c>
      <c r="E5816">
        <v>0</v>
      </c>
      <c r="F5816">
        <v>0</v>
      </c>
      <c r="G5816">
        <v>0</v>
      </c>
    </row>
    <row r="5817" spans="1:7">
      <c r="A5817" t="s">
        <v>1876</v>
      </c>
      <c r="B5817" t="s">
        <v>365</v>
      </c>
      <c r="C5817" t="s">
        <v>1702</v>
      </c>
      <c r="D5817">
        <v>1</v>
      </c>
      <c r="E5817">
        <v>1</v>
      </c>
      <c r="F5817">
        <v>0</v>
      </c>
      <c r="G5817">
        <v>0</v>
      </c>
    </row>
    <row r="5818" spans="1:7">
      <c r="A5818" t="s">
        <v>1876</v>
      </c>
      <c r="B5818" t="s">
        <v>365</v>
      </c>
      <c r="C5818" t="s">
        <v>1897</v>
      </c>
      <c r="D5818">
        <v>3.1</v>
      </c>
      <c r="E5818">
        <v>5</v>
      </c>
      <c r="F5818">
        <v>7.8</v>
      </c>
      <c r="G5818">
        <v>11.2</v>
      </c>
    </row>
    <row r="5819" spans="1:7">
      <c r="A5819" t="s">
        <v>1876</v>
      </c>
      <c r="B5819" t="s">
        <v>365</v>
      </c>
      <c r="C5819" t="s">
        <v>1898</v>
      </c>
      <c r="D5819">
        <v>4</v>
      </c>
      <c r="E5819">
        <v>8</v>
      </c>
      <c r="F5819">
        <v>25</v>
      </c>
      <c r="G5819">
        <v>36</v>
      </c>
    </row>
    <row r="5820" spans="1:7">
      <c r="A5820" t="s">
        <v>1876</v>
      </c>
      <c r="B5820" t="s">
        <v>365</v>
      </c>
      <c r="C5820" t="s">
        <v>1899</v>
      </c>
      <c r="D5820">
        <v>2182</v>
      </c>
      <c r="E5820">
        <v>2097</v>
      </c>
      <c r="F5820">
        <v>3006</v>
      </c>
      <c r="G5820">
        <v>3009</v>
      </c>
    </row>
    <row r="5821" spans="1:7">
      <c r="A5821" t="s">
        <v>1876</v>
      </c>
      <c r="B5821" t="s">
        <v>365</v>
      </c>
      <c r="C5821" t="s">
        <v>148</v>
      </c>
      <c r="D5821">
        <v>-655</v>
      </c>
      <c r="E5821">
        <v>-585</v>
      </c>
      <c r="F5821">
        <v>-214</v>
      </c>
      <c r="G5821">
        <v>-204</v>
      </c>
    </row>
    <row r="5822" spans="1:7">
      <c r="A5822" t="s">
        <v>1876</v>
      </c>
      <c r="B5822" t="s">
        <v>365</v>
      </c>
      <c r="C5822" t="s">
        <v>149</v>
      </c>
      <c r="D5822">
        <v>-655</v>
      </c>
      <c r="E5822">
        <v>-585</v>
      </c>
      <c r="F5822">
        <v>-214</v>
      </c>
      <c r="G5822">
        <v>-204</v>
      </c>
    </row>
    <row r="5823" spans="1:7">
      <c r="A5823" t="s">
        <v>1876</v>
      </c>
      <c r="B5823" t="s">
        <v>365</v>
      </c>
      <c r="C5823" t="s">
        <v>150</v>
      </c>
      <c r="D5823">
        <v>0</v>
      </c>
      <c r="E5823">
        <v>0</v>
      </c>
      <c r="F5823">
        <v>0</v>
      </c>
      <c r="G5823">
        <v>0</v>
      </c>
    </row>
    <row r="5824" spans="1:7">
      <c r="A5824" t="s">
        <v>1876</v>
      </c>
      <c r="B5824" t="s">
        <v>365</v>
      </c>
      <c r="C5824" t="s">
        <v>1900</v>
      </c>
      <c r="D5824">
        <v>31.4</v>
      </c>
      <c r="E5824">
        <v>43.5</v>
      </c>
      <c r="F5824">
        <v>24.9</v>
      </c>
      <c r="G5824">
        <v>19.899999999999999</v>
      </c>
    </row>
    <row r="5825" spans="1:7">
      <c r="A5825" t="s">
        <v>1876</v>
      </c>
      <c r="B5825" t="s">
        <v>365</v>
      </c>
      <c r="C5825" t="s">
        <v>151</v>
      </c>
      <c r="D5825">
        <v>0</v>
      </c>
      <c r="E5825">
        <v>0</v>
      </c>
      <c r="F5825">
        <v>0</v>
      </c>
      <c r="G5825">
        <v>0</v>
      </c>
    </row>
    <row r="5826" spans="1:7">
      <c r="A5826" t="s">
        <v>1876</v>
      </c>
      <c r="B5826" t="s">
        <v>365</v>
      </c>
      <c r="C5826" t="s">
        <v>152</v>
      </c>
      <c r="D5826">
        <v>91481</v>
      </c>
      <c r="E5826">
        <v>91937</v>
      </c>
      <c r="F5826">
        <v>54056</v>
      </c>
      <c r="G5826">
        <v>44325</v>
      </c>
    </row>
    <row r="5827" spans="1:7">
      <c r="A5827" t="s">
        <v>1876</v>
      </c>
      <c r="B5827" t="s">
        <v>365</v>
      </c>
      <c r="C5827" t="s">
        <v>1703</v>
      </c>
      <c r="D5827">
        <v>2114</v>
      </c>
      <c r="E5827">
        <v>2074</v>
      </c>
      <c r="F5827">
        <v>2070</v>
      </c>
      <c r="G5827">
        <v>2122</v>
      </c>
    </row>
    <row r="5828" spans="1:7">
      <c r="A5828" t="s">
        <v>1876</v>
      </c>
      <c r="B5828" t="s">
        <v>365</v>
      </c>
      <c r="C5828" t="s">
        <v>153</v>
      </c>
      <c r="D5828">
        <v>4374</v>
      </c>
      <c r="E5828">
        <v>4977</v>
      </c>
      <c r="F5828">
        <v>4168</v>
      </c>
      <c r="G5828">
        <v>4098</v>
      </c>
    </row>
    <row r="5829" spans="1:7">
      <c r="A5829" t="s">
        <v>1876</v>
      </c>
      <c r="B5829" t="s">
        <v>365</v>
      </c>
      <c r="C5829" t="s">
        <v>154</v>
      </c>
      <c r="D5829">
        <v>0</v>
      </c>
      <c r="E5829">
        <v>0</v>
      </c>
      <c r="F5829">
        <v>0</v>
      </c>
      <c r="G5829">
        <v>0</v>
      </c>
    </row>
    <row r="5830" spans="1:7">
      <c r="A5830" t="s">
        <v>1876</v>
      </c>
      <c r="B5830" t="s">
        <v>365</v>
      </c>
      <c r="C5830" t="s">
        <v>155</v>
      </c>
      <c r="D5830">
        <v>4374</v>
      </c>
      <c r="E5830">
        <v>4977</v>
      </c>
      <c r="F5830">
        <v>4168</v>
      </c>
      <c r="G5830">
        <v>4098</v>
      </c>
    </row>
    <row r="5831" spans="1:7">
      <c r="A5831" t="s">
        <v>1876</v>
      </c>
      <c r="B5831" t="s">
        <v>365</v>
      </c>
      <c r="C5831" t="s">
        <v>156</v>
      </c>
      <c r="D5831">
        <v>0</v>
      </c>
      <c r="E5831">
        <v>0</v>
      </c>
      <c r="F5831">
        <v>0</v>
      </c>
      <c r="G5831">
        <v>0</v>
      </c>
    </row>
    <row r="5832" spans="1:7">
      <c r="A5832" t="s">
        <v>1876</v>
      </c>
      <c r="B5832" t="s">
        <v>365</v>
      </c>
      <c r="C5832" t="s">
        <v>157</v>
      </c>
      <c r="D5832">
        <v>95856</v>
      </c>
      <c r="E5832">
        <v>96914</v>
      </c>
      <c r="F5832">
        <v>58224</v>
      </c>
      <c r="G5832">
        <v>48423</v>
      </c>
    </row>
    <row r="5833" spans="1:7">
      <c r="A5833" t="s">
        <v>1876</v>
      </c>
      <c r="B5833" t="s">
        <v>365</v>
      </c>
      <c r="C5833" t="s">
        <v>158</v>
      </c>
      <c r="D5833">
        <v>4374</v>
      </c>
      <c r="E5833">
        <v>4977</v>
      </c>
      <c r="F5833">
        <v>4168</v>
      </c>
      <c r="G5833">
        <v>4098</v>
      </c>
    </row>
    <row r="5834" spans="1:7">
      <c r="A5834" t="s">
        <v>1876</v>
      </c>
      <c r="B5834" t="s">
        <v>365</v>
      </c>
      <c r="C5834" t="s">
        <v>159</v>
      </c>
      <c r="D5834">
        <v>0</v>
      </c>
      <c r="E5834">
        <v>0</v>
      </c>
      <c r="F5834">
        <v>0</v>
      </c>
      <c r="G5834">
        <v>0</v>
      </c>
    </row>
    <row r="5835" spans="1:7">
      <c r="A5835" t="s">
        <v>1876</v>
      </c>
      <c r="B5835" t="s">
        <v>365</v>
      </c>
      <c r="C5835" t="s">
        <v>1901</v>
      </c>
      <c r="D5835">
        <v>55.7</v>
      </c>
      <c r="E5835">
        <v>63.9</v>
      </c>
      <c r="F5835">
        <v>66.599999999999994</v>
      </c>
      <c r="G5835">
        <v>67</v>
      </c>
    </row>
    <row r="5836" spans="1:7">
      <c r="A5836" t="s">
        <v>1876</v>
      </c>
      <c r="B5836" t="s">
        <v>365</v>
      </c>
      <c r="C5836" t="s">
        <v>1902</v>
      </c>
      <c r="D5836">
        <v>156747</v>
      </c>
      <c r="E5836">
        <v>159785</v>
      </c>
      <c r="F5836">
        <v>155610</v>
      </c>
      <c r="G5836">
        <v>144217</v>
      </c>
    </row>
    <row r="5837" spans="1:7">
      <c r="A5837" t="s">
        <v>1876</v>
      </c>
      <c r="B5837" t="s">
        <v>365</v>
      </c>
      <c r="C5837" t="s">
        <v>1903</v>
      </c>
      <c r="D5837">
        <v>3490</v>
      </c>
      <c r="E5837">
        <v>3619</v>
      </c>
      <c r="F5837">
        <v>2986</v>
      </c>
      <c r="G5837">
        <v>3009</v>
      </c>
    </row>
    <row r="5838" spans="1:7">
      <c r="A5838" t="s">
        <v>1876</v>
      </c>
      <c r="B5838" t="s">
        <v>365</v>
      </c>
      <c r="C5838" t="s">
        <v>1904</v>
      </c>
      <c r="D5838">
        <v>153</v>
      </c>
      <c r="E5838">
        <v>190</v>
      </c>
      <c r="F5838">
        <v>103</v>
      </c>
      <c r="G5838">
        <v>106</v>
      </c>
    </row>
    <row r="5839" spans="1:7">
      <c r="A5839" t="s">
        <v>1876</v>
      </c>
      <c r="B5839" t="s">
        <v>365</v>
      </c>
      <c r="C5839" t="s">
        <v>1905</v>
      </c>
      <c r="D5839">
        <v>28043</v>
      </c>
      <c r="E5839">
        <v>28348</v>
      </c>
      <c r="F5839">
        <v>27668</v>
      </c>
      <c r="G5839">
        <v>26850</v>
      </c>
    </row>
    <row r="5840" spans="1:7">
      <c r="A5840" t="s">
        <v>1876</v>
      </c>
      <c r="B5840" t="s">
        <v>365</v>
      </c>
      <c r="C5840" t="s">
        <v>1906</v>
      </c>
      <c r="D5840">
        <v>18</v>
      </c>
      <c r="E5840">
        <v>19</v>
      </c>
      <c r="F5840">
        <v>16</v>
      </c>
      <c r="G5840">
        <v>15</v>
      </c>
    </row>
    <row r="5841" spans="1:7">
      <c r="A5841" t="s">
        <v>1876</v>
      </c>
      <c r="B5841" t="s">
        <v>365</v>
      </c>
      <c r="C5841" t="s">
        <v>1907</v>
      </c>
      <c r="D5841">
        <v>188451</v>
      </c>
      <c r="E5841">
        <v>191962</v>
      </c>
      <c r="F5841">
        <v>186383</v>
      </c>
      <c r="G5841">
        <v>174197</v>
      </c>
    </row>
    <row r="5842" spans="1:7">
      <c r="A5842" t="s">
        <v>1876</v>
      </c>
      <c r="B5842" t="s">
        <v>365</v>
      </c>
      <c r="C5842" t="s">
        <v>160</v>
      </c>
      <c r="D5842">
        <v>154565</v>
      </c>
      <c r="E5842">
        <v>157688</v>
      </c>
      <c r="F5842">
        <v>152604</v>
      </c>
      <c r="G5842">
        <v>141208</v>
      </c>
    </row>
    <row r="5843" spans="1:7">
      <c r="A5843" t="s">
        <v>1876</v>
      </c>
      <c r="B5843" t="s">
        <v>365</v>
      </c>
      <c r="C5843" t="s">
        <v>161</v>
      </c>
      <c r="D5843">
        <v>3490</v>
      </c>
      <c r="E5843">
        <v>3619</v>
      </c>
      <c r="F5843">
        <v>2986</v>
      </c>
      <c r="G5843">
        <v>3009</v>
      </c>
    </row>
    <row r="5844" spans="1:7">
      <c r="A5844" t="s">
        <v>1876</v>
      </c>
      <c r="B5844" t="s">
        <v>365</v>
      </c>
      <c r="C5844" t="s">
        <v>162</v>
      </c>
      <c r="D5844">
        <v>153</v>
      </c>
      <c r="E5844">
        <v>190</v>
      </c>
      <c r="F5844">
        <v>103</v>
      </c>
      <c r="G5844">
        <v>106</v>
      </c>
    </row>
    <row r="5845" spans="1:7">
      <c r="A5845" t="s">
        <v>1876</v>
      </c>
      <c r="B5845" t="s">
        <v>365</v>
      </c>
      <c r="C5845" t="s">
        <v>163</v>
      </c>
      <c r="D5845">
        <v>28043</v>
      </c>
      <c r="E5845">
        <v>28348</v>
      </c>
      <c r="F5845">
        <v>27668</v>
      </c>
      <c r="G5845">
        <v>26850</v>
      </c>
    </row>
    <row r="5846" spans="1:7">
      <c r="A5846" t="s">
        <v>1876</v>
      </c>
      <c r="B5846" t="s">
        <v>365</v>
      </c>
      <c r="C5846" t="s">
        <v>164</v>
      </c>
      <c r="D5846">
        <v>18</v>
      </c>
      <c r="E5846">
        <v>19</v>
      </c>
      <c r="F5846">
        <v>16</v>
      </c>
      <c r="G5846">
        <v>15</v>
      </c>
    </row>
    <row r="5847" spans="1:7">
      <c r="A5847" t="s">
        <v>1876</v>
      </c>
      <c r="B5847" t="s">
        <v>365</v>
      </c>
      <c r="C5847" t="s">
        <v>165</v>
      </c>
      <c r="D5847">
        <v>186269</v>
      </c>
      <c r="E5847">
        <v>189864</v>
      </c>
      <c r="F5847">
        <v>183377</v>
      </c>
      <c r="G5847">
        <v>171188</v>
      </c>
    </row>
    <row r="5848" spans="1:7">
      <c r="A5848" t="s">
        <v>1876</v>
      </c>
      <c r="B5848" t="s">
        <v>365</v>
      </c>
      <c r="C5848" t="s">
        <v>166</v>
      </c>
      <c r="D5848">
        <v>186116</v>
      </c>
      <c r="E5848">
        <v>189674</v>
      </c>
      <c r="F5848">
        <v>183274</v>
      </c>
      <c r="G5848">
        <v>171083</v>
      </c>
    </row>
    <row r="5849" spans="1:7">
      <c r="A5849" t="s">
        <v>1876</v>
      </c>
      <c r="B5849" t="s">
        <v>365</v>
      </c>
      <c r="C5849" t="s">
        <v>167</v>
      </c>
      <c r="D5849">
        <v>153</v>
      </c>
      <c r="E5849">
        <v>190</v>
      </c>
      <c r="F5849">
        <v>103</v>
      </c>
      <c r="G5849">
        <v>106</v>
      </c>
    </row>
    <row r="5850" spans="1:7">
      <c r="A5850" t="s">
        <v>1876</v>
      </c>
      <c r="B5850" t="s">
        <v>365</v>
      </c>
      <c r="C5850" t="s">
        <v>1908</v>
      </c>
      <c r="D5850">
        <v>152948</v>
      </c>
      <c r="E5850">
        <v>156208</v>
      </c>
      <c r="F5850">
        <v>150833</v>
      </c>
      <c r="G5850">
        <v>139583</v>
      </c>
    </row>
    <row r="5851" spans="1:7">
      <c r="A5851" t="s">
        <v>1876</v>
      </c>
      <c r="B5851" t="s">
        <v>365</v>
      </c>
      <c r="C5851" t="s">
        <v>1909</v>
      </c>
      <c r="D5851">
        <v>3490</v>
      </c>
      <c r="E5851">
        <v>3619</v>
      </c>
      <c r="F5851">
        <v>2986</v>
      </c>
      <c r="G5851">
        <v>3009</v>
      </c>
    </row>
    <row r="5852" spans="1:7">
      <c r="A5852" t="s">
        <v>1876</v>
      </c>
      <c r="B5852" t="s">
        <v>365</v>
      </c>
      <c r="C5852" t="s">
        <v>1910</v>
      </c>
      <c r="D5852">
        <v>153</v>
      </c>
      <c r="E5852">
        <v>190</v>
      </c>
      <c r="F5852">
        <v>103</v>
      </c>
      <c r="G5852">
        <v>106</v>
      </c>
    </row>
    <row r="5853" spans="1:7">
      <c r="A5853" t="s">
        <v>1876</v>
      </c>
      <c r="B5853" t="s">
        <v>365</v>
      </c>
      <c r="C5853" t="s">
        <v>1911</v>
      </c>
      <c r="D5853">
        <v>28043</v>
      </c>
      <c r="E5853">
        <v>28348</v>
      </c>
      <c r="F5853">
        <v>27668</v>
      </c>
      <c r="G5853">
        <v>26850</v>
      </c>
    </row>
    <row r="5854" spans="1:7">
      <c r="A5854" t="s">
        <v>1876</v>
      </c>
      <c r="B5854" t="s">
        <v>365</v>
      </c>
      <c r="C5854" t="s">
        <v>1912</v>
      </c>
      <c r="D5854">
        <v>18</v>
      </c>
      <c r="E5854">
        <v>19</v>
      </c>
      <c r="F5854">
        <v>16</v>
      </c>
      <c r="G5854">
        <v>15</v>
      </c>
    </row>
    <row r="5855" spans="1:7">
      <c r="A5855" t="s">
        <v>1876</v>
      </c>
      <c r="B5855" t="s">
        <v>365</v>
      </c>
      <c r="C5855" t="s">
        <v>168</v>
      </c>
      <c r="D5855">
        <v>184653</v>
      </c>
      <c r="E5855">
        <v>188384</v>
      </c>
      <c r="F5855">
        <v>181606</v>
      </c>
      <c r="G5855">
        <v>169563</v>
      </c>
    </row>
    <row r="5856" spans="1:7">
      <c r="A5856" t="s">
        <v>1876</v>
      </c>
      <c r="B5856" t="s">
        <v>365</v>
      </c>
      <c r="C5856" t="s">
        <v>169</v>
      </c>
      <c r="D5856">
        <v>0</v>
      </c>
      <c r="E5856">
        <v>0</v>
      </c>
      <c r="F5856">
        <v>0</v>
      </c>
      <c r="G5856">
        <v>0</v>
      </c>
    </row>
    <row r="5857" spans="1:7">
      <c r="A5857" t="s">
        <v>1876</v>
      </c>
      <c r="B5857" t="s">
        <v>365</v>
      </c>
      <c r="C5857" t="s">
        <v>1704</v>
      </c>
      <c r="D5857">
        <v>24866</v>
      </c>
      <c r="E5857">
        <v>24720</v>
      </c>
      <c r="F5857">
        <v>24963</v>
      </c>
      <c r="G5857">
        <v>24707</v>
      </c>
    </row>
    <row r="5858" spans="1:7">
      <c r="A5858" t="s">
        <v>1876</v>
      </c>
      <c r="B5858" t="s">
        <v>365</v>
      </c>
      <c r="C5858" t="s">
        <v>170</v>
      </c>
      <c r="D5858">
        <v>0</v>
      </c>
      <c r="E5858">
        <v>0</v>
      </c>
      <c r="F5858">
        <v>0</v>
      </c>
      <c r="G5858">
        <v>0</v>
      </c>
    </row>
    <row r="5859" spans="1:7">
      <c r="A5859" t="s">
        <v>1876</v>
      </c>
      <c r="B5859" t="s">
        <v>365</v>
      </c>
      <c r="C5859" t="s">
        <v>171</v>
      </c>
      <c r="D5859">
        <v>142342</v>
      </c>
      <c r="E5859">
        <v>118286</v>
      </c>
      <c r="F5859">
        <v>166417</v>
      </c>
      <c r="G5859">
        <v>136809</v>
      </c>
    </row>
    <row r="5860" spans="1:7">
      <c r="A5860" t="s">
        <v>1876</v>
      </c>
      <c r="B5860" t="s">
        <v>365</v>
      </c>
      <c r="C5860" t="s">
        <v>172</v>
      </c>
      <c r="D5860">
        <v>0</v>
      </c>
      <c r="E5860">
        <v>0</v>
      </c>
      <c r="F5860">
        <v>0</v>
      </c>
      <c r="G5860">
        <v>0</v>
      </c>
    </row>
    <row r="5861" spans="1:7">
      <c r="A5861" t="s">
        <v>1876</v>
      </c>
      <c r="B5861" t="s">
        <v>365</v>
      </c>
      <c r="C5861" t="s">
        <v>1913</v>
      </c>
      <c r="D5861">
        <v>5</v>
      </c>
      <c r="E5861">
        <v>7.6</v>
      </c>
      <c r="F5861">
        <v>11.4</v>
      </c>
      <c r="G5861">
        <v>15.6</v>
      </c>
    </row>
    <row r="5862" spans="1:7">
      <c r="A5862" t="s">
        <v>1876</v>
      </c>
      <c r="B5862" t="s">
        <v>365</v>
      </c>
      <c r="C5862" t="s">
        <v>1914</v>
      </c>
      <c r="D5862">
        <v>0.1</v>
      </c>
      <c r="E5862">
        <v>0.2</v>
      </c>
      <c r="F5862">
        <v>0.3</v>
      </c>
      <c r="G5862">
        <v>0.4</v>
      </c>
    </row>
    <row r="5863" spans="1:7">
      <c r="A5863" t="s">
        <v>1876</v>
      </c>
      <c r="B5863" t="s">
        <v>365</v>
      </c>
      <c r="C5863" t="s">
        <v>173</v>
      </c>
      <c r="D5863">
        <v>16805</v>
      </c>
      <c r="E5863">
        <v>17757</v>
      </c>
      <c r="F5863">
        <v>17635</v>
      </c>
      <c r="G5863">
        <v>18699</v>
      </c>
    </row>
    <row r="5864" spans="1:7">
      <c r="A5864" t="s">
        <v>1876</v>
      </c>
      <c r="B5864" t="s">
        <v>365</v>
      </c>
      <c r="C5864" t="s">
        <v>174</v>
      </c>
      <c r="D5864">
        <v>277</v>
      </c>
      <c r="E5864">
        <v>315</v>
      </c>
      <c r="F5864">
        <v>307</v>
      </c>
      <c r="G5864">
        <v>236</v>
      </c>
    </row>
    <row r="5865" spans="1:7">
      <c r="A5865" t="s">
        <v>1876</v>
      </c>
      <c r="B5865" t="s">
        <v>365</v>
      </c>
      <c r="C5865" t="s">
        <v>175</v>
      </c>
      <c r="D5865">
        <v>261</v>
      </c>
      <c r="E5865">
        <v>299</v>
      </c>
      <c r="F5865">
        <v>289</v>
      </c>
      <c r="G5865">
        <v>254</v>
      </c>
    </row>
    <row r="5866" spans="1:7">
      <c r="A5866" t="s">
        <v>1876</v>
      </c>
      <c r="B5866" t="s">
        <v>365</v>
      </c>
      <c r="C5866" t="s">
        <v>176</v>
      </c>
      <c r="D5866">
        <v>0</v>
      </c>
      <c r="E5866">
        <v>0</v>
      </c>
      <c r="F5866">
        <v>0</v>
      </c>
      <c r="G5866">
        <v>0</v>
      </c>
    </row>
    <row r="5867" spans="1:7">
      <c r="A5867" t="s">
        <v>1876</v>
      </c>
      <c r="B5867" t="s">
        <v>365</v>
      </c>
      <c r="C5867" t="s">
        <v>177</v>
      </c>
      <c r="D5867">
        <v>17343</v>
      </c>
      <c r="E5867">
        <v>18370</v>
      </c>
      <c r="F5867">
        <v>18230</v>
      </c>
      <c r="G5867">
        <v>19189</v>
      </c>
    </row>
    <row r="5868" spans="1:7">
      <c r="A5868" t="s">
        <v>1876</v>
      </c>
      <c r="B5868" t="s">
        <v>365</v>
      </c>
      <c r="C5868" t="s">
        <v>178</v>
      </c>
      <c r="D5868">
        <v>459342</v>
      </c>
      <c r="E5868">
        <v>459342</v>
      </c>
      <c r="F5868">
        <v>459342</v>
      </c>
      <c r="G5868">
        <v>460601</v>
      </c>
    </row>
    <row r="5869" spans="1:7">
      <c r="A5869" t="s">
        <v>1876</v>
      </c>
      <c r="B5869" t="s">
        <v>365</v>
      </c>
      <c r="C5869" t="s">
        <v>179</v>
      </c>
      <c r="D5869">
        <v>459342</v>
      </c>
      <c r="E5869">
        <v>459342</v>
      </c>
      <c r="F5869">
        <v>459342</v>
      </c>
      <c r="G5869">
        <v>460601</v>
      </c>
    </row>
    <row r="5870" spans="1:7">
      <c r="A5870" t="s">
        <v>1876</v>
      </c>
      <c r="B5870" t="s">
        <v>365</v>
      </c>
      <c r="C5870" t="s">
        <v>180</v>
      </c>
      <c r="D5870">
        <v>32</v>
      </c>
      <c r="E5870">
        <v>35</v>
      </c>
      <c r="F5870">
        <v>36</v>
      </c>
      <c r="G5870">
        <v>34</v>
      </c>
    </row>
    <row r="5871" spans="1:7">
      <c r="A5871" t="s">
        <v>1876</v>
      </c>
      <c r="B5871" t="s">
        <v>365</v>
      </c>
      <c r="C5871" t="s">
        <v>181</v>
      </c>
      <c r="D5871">
        <v>76632</v>
      </c>
      <c r="E5871">
        <v>80319</v>
      </c>
      <c r="F5871">
        <v>81012</v>
      </c>
      <c r="G5871">
        <v>80700</v>
      </c>
    </row>
    <row r="5872" spans="1:7">
      <c r="A5872" t="s">
        <v>1876</v>
      </c>
      <c r="B5872" t="s">
        <v>365</v>
      </c>
      <c r="C5872" t="s">
        <v>182</v>
      </c>
      <c r="D5872">
        <v>129458</v>
      </c>
      <c r="E5872">
        <v>136971</v>
      </c>
      <c r="F5872">
        <v>136051</v>
      </c>
      <c r="G5872">
        <v>138937</v>
      </c>
    </row>
    <row r="5873" spans="1:7">
      <c r="A5873" t="s">
        <v>1876</v>
      </c>
      <c r="B5873" t="s">
        <v>365</v>
      </c>
      <c r="C5873" t="s">
        <v>183</v>
      </c>
      <c r="D5873">
        <v>103753</v>
      </c>
      <c r="E5873">
        <v>107289</v>
      </c>
      <c r="F5873">
        <v>108319</v>
      </c>
      <c r="G5873">
        <v>105686</v>
      </c>
    </row>
    <row r="5874" spans="1:7">
      <c r="A5874" t="s">
        <v>1876</v>
      </c>
      <c r="B5874" t="s">
        <v>365</v>
      </c>
      <c r="C5874" t="s">
        <v>184</v>
      </c>
      <c r="D5874">
        <v>309876</v>
      </c>
      <c r="E5874">
        <v>324614</v>
      </c>
      <c r="F5874">
        <v>325418</v>
      </c>
      <c r="G5874">
        <v>325358</v>
      </c>
    </row>
    <row r="5875" spans="1:7">
      <c r="A5875" t="s">
        <v>1876</v>
      </c>
      <c r="B5875" t="s">
        <v>365</v>
      </c>
      <c r="C5875" t="s">
        <v>185</v>
      </c>
      <c r="D5875">
        <v>309876</v>
      </c>
      <c r="E5875">
        <v>324614</v>
      </c>
      <c r="F5875">
        <v>325418</v>
      </c>
      <c r="G5875">
        <v>325358</v>
      </c>
    </row>
    <row r="5876" spans="1:7">
      <c r="A5876" t="s">
        <v>1876</v>
      </c>
      <c r="B5876" t="s">
        <v>365</v>
      </c>
      <c r="C5876" t="s">
        <v>1915</v>
      </c>
      <c r="D5876">
        <v>7</v>
      </c>
      <c r="E5876">
        <v>12</v>
      </c>
      <c r="F5876">
        <v>34</v>
      </c>
      <c r="G5876">
        <v>47</v>
      </c>
    </row>
    <row r="5877" spans="1:7">
      <c r="A5877" t="s">
        <v>1876</v>
      </c>
      <c r="B5877" t="s">
        <v>365</v>
      </c>
      <c r="C5877" t="s">
        <v>1916</v>
      </c>
      <c r="D5877">
        <v>0</v>
      </c>
      <c r="E5877">
        <v>0</v>
      </c>
      <c r="F5877">
        <v>0</v>
      </c>
      <c r="G5877">
        <v>0</v>
      </c>
    </row>
    <row r="5878" spans="1:7">
      <c r="A5878" t="s">
        <v>1876</v>
      </c>
      <c r="B5878" t="s">
        <v>365</v>
      </c>
      <c r="C5878" t="s">
        <v>1917</v>
      </c>
      <c r="D5878">
        <v>38</v>
      </c>
      <c r="E5878">
        <v>34</v>
      </c>
      <c r="F5878">
        <v>34</v>
      </c>
      <c r="G5878">
        <v>33</v>
      </c>
    </row>
    <row r="5879" spans="1:7">
      <c r="A5879" t="s">
        <v>1876</v>
      </c>
      <c r="B5879" t="s">
        <v>365</v>
      </c>
      <c r="C5879" t="s">
        <v>1918</v>
      </c>
      <c r="D5879">
        <v>302</v>
      </c>
      <c r="E5879">
        <v>384</v>
      </c>
      <c r="F5879">
        <v>500</v>
      </c>
      <c r="G5879">
        <v>627</v>
      </c>
    </row>
    <row r="5880" spans="1:7">
      <c r="A5880" t="s">
        <v>1876</v>
      </c>
      <c r="B5880" t="s">
        <v>365</v>
      </c>
      <c r="C5880" t="s">
        <v>1919</v>
      </c>
      <c r="D5880">
        <v>2.27</v>
      </c>
      <c r="E5880">
        <v>2.29</v>
      </c>
      <c r="F5880">
        <v>2.31</v>
      </c>
      <c r="G5880">
        <v>2.41</v>
      </c>
    </row>
    <row r="5881" spans="1:7">
      <c r="A5881" t="s">
        <v>1876</v>
      </c>
      <c r="B5881" t="s">
        <v>365</v>
      </c>
      <c r="C5881" t="s">
        <v>1920</v>
      </c>
      <c r="D5881">
        <v>422</v>
      </c>
      <c r="E5881">
        <v>570</v>
      </c>
      <c r="F5881">
        <v>760</v>
      </c>
      <c r="G5881">
        <v>994</v>
      </c>
    </row>
    <row r="5882" spans="1:7">
      <c r="A5882" t="s">
        <v>1876</v>
      </c>
      <c r="B5882" t="s">
        <v>365</v>
      </c>
      <c r="C5882" t="s">
        <v>1921</v>
      </c>
      <c r="D5882">
        <v>151</v>
      </c>
      <c r="E5882">
        <v>203</v>
      </c>
      <c r="F5882">
        <v>265</v>
      </c>
      <c r="G5882">
        <v>342</v>
      </c>
    </row>
    <row r="5883" spans="1:7">
      <c r="A5883" t="s">
        <v>1876</v>
      </c>
      <c r="B5883" t="s">
        <v>365</v>
      </c>
      <c r="C5883" t="s">
        <v>1922</v>
      </c>
      <c r="D5883">
        <v>82</v>
      </c>
      <c r="E5883">
        <v>152</v>
      </c>
      <c r="F5883">
        <v>226</v>
      </c>
      <c r="G5883">
        <v>334</v>
      </c>
    </row>
    <row r="5884" spans="1:7">
      <c r="A5884" t="s">
        <v>1876</v>
      </c>
      <c r="B5884" t="s">
        <v>365</v>
      </c>
      <c r="C5884" t="s">
        <v>1923</v>
      </c>
      <c r="D5884">
        <v>5.47</v>
      </c>
      <c r="E5884">
        <v>4.34</v>
      </c>
      <c r="F5884">
        <v>4.6100000000000003</v>
      </c>
      <c r="G5884">
        <v>3.8</v>
      </c>
    </row>
    <row r="5885" spans="1:7">
      <c r="A5885" t="s">
        <v>1876</v>
      </c>
      <c r="B5885" t="s">
        <v>365</v>
      </c>
      <c r="C5885" t="s">
        <v>1924</v>
      </c>
      <c r="D5885">
        <v>26</v>
      </c>
      <c r="E5885">
        <v>5</v>
      </c>
      <c r="F5885">
        <v>4</v>
      </c>
      <c r="G5885">
        <v>2</v>
      </c>
    </row>
    <row r="5886" spans="1:7">
      <c r="A5886" t="s">
        <v>1876</v>
      </c>
      <c r="B5886" t="s">
        <v>365</v>
      </c>
      <c r="C5886" t="s">
        <v>1925</v>
      </c>
      <c r="D5886">
        <v>69</v>
      </c>
      <c r="E5886">
        <v>71</v>
      </c>
      <c r="F5886">
        <v>69</v>
      </c>
      <c r="G5886">
        <v>67</v>
      </c>
    </row>
    <row r="5887" spans="1:7">
      <c r="A5887" t="s">
        <v>1876</v>
      </c>
      <c r="B5887" t="s">
        <v>365</v>
      </c>
      <c r="C5887" t="s">
        <v>1926</v>
      </c>
      <c r="D5887">
        <v>56</v>
      </c>
      <c r="E5887">
        <v>127</v>
      </c>
      <c r="F5887">
        <v>192</v>
      </c>
      <c r="G5887">
        <v>273</v>
      </c>
    </row>
    <row r="5888" spans="1:7">
      <c r="A5888" t="s">
        <v>1876</v>
      </c>
      <c r="B5888" t="s">
        <v>365</v>
      </c>
      <c r="C5888" t="s">
        <v>1927</v>
      </c>
      <c r="D5888">
        <v>16</v>
      </c>
      <c r="E5888">
        <v>15</v>
      </c>
      <c r="F5888">
        <v>10</v>
      </c>
      <c r="G5888">
        <v>10</v>
      </c>
    </row>
    <row r="5889" spans="1:7">
      <c r="A5889" t="s">
        <v>1876</v>
      </c>
      <c r="B5889" t="s">
        <v>365</v>
      </c>
      <c r="C5889" t="s">
        <v>1928</v>
      </c>
      <c r="D5889">
        <v>124</v>
      </c>
      <c r="E5889">
        <v>171</v>
      </c>
      <c r="F5889">
        <v>231</v>
      </c>
      <c r="G5889">
        <v>299</v>
      </c>
    </row>
    <row r="5890" spans="1:7">
      <c r="A5890" t="s">
        <v>1876</v>
      </c>
      <c r="B5890" t="s">
        <v>365</v>
      </c>
      <c r="C5890" t="s">
        <v>1929</v>
      </c>
      <c r="D5890">
        <v>11</v>
      </c>
      <c r="E5890">
        <v>17</v>
      </c>
      <c r="F5890">
        <v>24</v>
      </c>
      <c r="G5890">
        <v>33</v>
      </c>
    </row>
    <row r="5891" spans="1:7">
      <c r="A5891" t="s">
        <v>1876</v>
      </c>
      <c r="B5891" t="s">
        <v>365</v>
      </c>
      <c r="C5891" t="s">
        <v>186</v>
      </c>
      <c r="D5891">
        <v>169</v>
      </c>
      <c r="E5891">
        <v>157</v>
      </c>
      <c r="F5891">
        <v>325</v>
      </c>
      <c r="G5891">
        <v>-2835</v>
      </c>
    </row>
    <row r="5892" spans="1:7">
      <c r="A5892" t="s">
        <v>1876</v>
      </c>
      <c r="B5892" t="s">
        <v>365</v>
      </c>
      <c r="C5892" t="s">
        <v>187</v>
      </c>
      <c r="D5892">
        <v>169</v>
      </c>
      <c r="E5892">
        <v>157</v>
      </c>
      <c r="F5892">
        <v>325</v>
      </c>
      <c r="G5892">
        <v>-2835</v>
      </c>
    </row>
    <row r="5893" spans="1:7">
      <c r="A5893" t="s">
        <v>1876</v>
      </c>
      <c r="B5893" t="s">
        <v>365</v>
      </c>
      <c r="C5893" t="s">
        <v>1705</v>
      </c>
      <c r="D5893">
        <v>21714</v>
      </c>
      <c r="E5893">
        <v>21520</v>
      </c>
      <c r="F5893">
        <v>21509</v>
      </c>
      <c r="G5893">
        <v>20634</v>
      </c>
    </row>
    <row r="5894" spans="1:7">
      <c r="A5894" t="s">
        <v>1876</v>
      </c>
      <c r="B5894" t="s">
        <v>365</v>
      </c>
      <c r="C5894" t="s">
        <v>188</v>
      </c>
      <c r="D5894">
        <v>3799363</v>
      </c>
      <c r="E5894">
        <v>3847445</v>
      </c>
      <c r="F5894">
        <v>3777237</v>
      </c>
      <c r="G5894">
        <v>3820904</v>
      </c>
    </row>
    <row r="5895" spans="1:7">
      <c r="A5895" t="s">
        <v>1876</v>
      </c>
      <c r="B5895" t="s">
        <v>365</v>
      </c>
      <c r="C5895" t="s">
        <v>189</v>
      </c>
      <c r="D5895">
        <v>52123</v>
      </c>
      <c r="E5895">
        <v>39004</v>
      </c>
      <c r="F5895">
        <v>39934</v>
      </c>
      <c r="G5895">
        <v>37480</v>
      </c>
    </row>
    <row r="5896" spans="1:7">
      <c r="A5896" t="s">
        <v>1876</v>
      </c>
      <c r="B5896" t="s">
        <v>365</v>
      </c>
      <c r="C5896" t="s">
        <v>190</v>
      </c>
      <c r="D5896">
        <v>216894</v>
      </c>
      <c r="E5896">
        <v>127736</v>
      </c>
      <c r="F5896">
        <v>119564</v>
      </c>
      <c r="G5896">
        <v>153582</v>
      </c>
    </row>
    <row r="5897" spans="1:7">
      <c r="A5897" t="s">
        <v>1876</v>
      </c>
      <c r="B5897" t="s">
        <v>365</v>
      </c>
      <c r="C5897" t="s">
        <v>191</v>
      </c>
      <c r="D5897">
        <v>0</v>
      </c>
      <c r="E5897">
        <v>0</v>
      </c>
      <c r="F5897">
        <v>0</v>
      </c>
      <c r="G5897">
        <v>0</v>
      </c>
    </row>
    <row r="5898" spans="1:7">
      <c r="A5898" t="s">
        <v>1876</v>
      </c>
      <c r="B5898" t="s">
        <v>365</v>
      </c>
      <c r="C5898" t="s">
        <v>192</v>
      </c>
      <c r="D5898">
        <v>273063.3</v>
      </c>
      <c r="E5898">
        <v>304299.3</v>
      </c>
      <c r="F5898">
        <v>318044.3</v>
      </c>
      <c r="G5898">
        <v>329172.8</v>
      </c>
    </row>
    <row r="5899" spans="1:7">
      <c r="A5899" t="s">
        <v>1876</v>
      </c>
      <c r="B5899" t="s">
        <v>365</v>
      </c>
      <c r="C5899" t="s">
        <v>193</v>
      </c>
      <c r="D5899">
        <v>242582.1</v>
      </c>
      <c r="E5899">
        <v>240043</v>
      </c>
      <c r="F5899">
        <v>248949.4</v>
      </c>
      <c r="G5899">
        <v>257055.9</v>
      </c>
    </row>
    <row r="5900" spans="1:7">
      <c r="A5900" t="s">
        <v>1876</v>
      </c>
      <c r="B5900" t="s">
        <v>365</v>
      </c>
      <c r="C5900" t="s">
        <v>1930</v>
      </c>
      <c r="D5900">
        <v>0</v>
      </c>
      <c r="E5900">
        <v>0</v>
      </c>
      <c r="F5900">
        <v>0</v>
      </c>
      <c r="G5900">
        <v>0</v>
      </c>
    </row>
    <row r="5901" spans="1:7">
      <c r="A5901" t="s">
        <v>1876</v>
      </c>
      <c r="B5901" t="s">
        <v>365</v>
      </c>
      <c r="C5901" t="s">
        <v>194</v>
      </c>
      <c r="D5901">
        <v>852</v>
      </c>
      <c r="E5901">
        <v>852</v>
      </c>
      <c r="F5901">
        <v>852</v>
      </c>
      <c r="G5901">
        <v>852</v>
      </c>
    </row>
    <row r="5902" spans="1:7">
      <c r="A5902" t="s">
        <v>1876</v>
      </c>
      <c r="B5902" t="s">
        <v>365</v>
      </c>
      <c r="C5902" t="s">
        <v>195</v>
      </c>
      <c r="D5902">
        <v>0</v>
      </c>
      <c r="E5902">
        <v>0</v>
      </c>
      <c r="F5902">
        <v>0</v>
      </c>
      <c r="G5902">
        <v>0</v>
      </c>
    </row>
    <row r="5903" spans="1:7">
      <c r="A5903" t="s">
        <v>1876</v>
      </c>
      <c r="B5903" t="s">
        <v>365</v>
      </c>
      <c r="C5903" t="s">
        <v>1706</v>
      </c>
      <c r="D5903">
        <v>0</v>
      </c>
      <c r="E5903">
        <v>0</v>
      </c>
      <c r="F5903">
        <v>0</v>
      </c>
      <c r="G5903">
        <v>0</v>
      </c>
    </row>
    <row r="5904" spans="1:7">
      <c r="A5904" t="s">
        <v>1876</v>
      </c>
      <c r="B5904" t="s">
        <v>365</v>
      </c>
      <c r="C5904" t="s">
        <v>196</v>
      </c>
      <c r="D5904">
        <v>42</v>
      </c>
      <c r="E5904">
        <v>42</v>
      </c>
      <c r="F5904">
        <v>42</v>
      </c>
      <c r="G5904">
        <v>42</v>
      </c>
    </row>
    <row r="5905" spans="1:7">
      <c r="A5905" t="s">
        <v>1876</v>
      </c>
      <c r="B5905" t="s">
        <v>365</v>
      </c>
      <c r="C5905" t="s">
        <v>197</v>
      </c>
      <c r="D5905">
        <v>948</v>
      </c>
      <c r="E5905">
        <v>948</v>
      </c>
      <c r="F5905">
        <v>948</v>
      </c>
      <c r="G5905">
        <v>948</v>
      </c>
    </row>
    <row r="5906" spans="1:7">
      <c r="A5906" t="s">
        <v>1876</v>
      </c>
      <c r="B5906" t="s">
        <v>365</v>
      </c>
      <c r="C5906" t="s">
        <v>198</v>
      </c>
      <c r="D5906">
        <v>1842</v>
      </c>
      <c r="E5906">
        <v>1842</v>
      </c>
      <c r="F5906">
        <v>1842</v>
      </c>
      <c r="G5906">
        <v>1842</v>
      </c>
    </row>
    <row r="5907" spans="1:7">
      <c r="A5907" t="s">
        <v>1876</v>
      </c>
      <c r="B5907" t="s">
        <v>365</v>
      </c>
      <c r="C5907" t="s">
        <v>199</v>
      </c>
      <c r="D5907">
        <v>1842</v>
      </c>
      <c r="E5907">
        <v>1842</v>
      </c>
      <c r="F5907">
        <v>1842</v>
      </c>
      <c r="G5907">
        <v>1842</v>
      </c>
    </row>
    <row r="5908" spans="1:7">
      <c r="A5908" t="s">
        <v>1876</v>
      </c>
      <c r="B5908" t="s">
        <v>365</v>
      </c>
      <c r="C5908" t="s">
        <v>200</v>
      </c>
      <c r="D5908">
        <v>188</v>
      </c>
      <c r="E5908">
        <v>267</v>
      </c>
      <c r="F5908">
        <v>283</v>
      </c>
      <c r="G5908">
        <v>218</v>
      </c>
    </row>
    <row r="5909" spans="1:7">
      <c r="A5909" t="s">
        <v>1876</v>
      </c>
      <c r="B5909" t="s">
        <v>365</v>
      </c>
      <c r="C5909" t="s">
        <v>201</v>
      </c>
      <c r="D5909">
        <v>1407</v>
      </c>
      <c r="E5909">
        <v>1389</v>
      </c>
      <c r="F5909">
        <v>1148</v>
      </c>
      <c r="G5909">
        <v>1209</v>
      </c>
    </row>
    <row r="5910" spans="1:7">
      <c r="A5910" t="s">
        <v>1876</v>
      </c>
      <c r="B5910" t="s">
        <v>365</v>
      </c>
      <c r="C5910" t="s">
        <v>202</v>
      </c>
      <c r="D5910">
        <v>671023</v>
      </c>
      <c r="E5910">
        <v>594940</v>
      </c>
      <c r="F5910">
        <v>595802</v>
      </c>
      <c r="G5910">
        <v>602506</v>
      </c>
    </row>
    <row r="5911" spans="1:7">
      <c r="A5911" t="s">
        <v>1876</v>
      </c>
      <c r="B5911" t="s">
        <v>365</v>
      </c>
      <c r="C5911" t="s">
        <v>203</v>
      </c>
      <c r="D5911">
        <v>2105</v>
      </c>
      <c r="E5911">
        <v>1696</v>
      </c>
      <c r="F5911">
        <v>1826</v>
      </c>
      <c r="G5911">
        <v>1857</v>
      </c>
    </row>
    <row r="5912" spans="1:7">
      <c r="A5912" t="s">
        <v>1876</v>
      </c>
      <c r="B5912" t="s">
        <v>365</v>
      </c>
      <c r="C5912" t="s">
        <v>204</v>
      </c>
      <c r="D5912">
        <v>674724</v>
      </c>
      <c r="E5912">
        <v>598292</v>
      </c>
      <c r="F5912">
        <v>599058</v>
      </c>
      <c r="G5912">
        <v>605790</v>
      </c>
    </row>
    <row r="5913" spans="1:7">
      <c r="A5913" t="s">
        <v>1876</v>
      </c>
      <c r="B5913" t="s">
        <v>365</v>
      </c>
      <c r="C5913" t="s">
        <v>205</v>
      </c>
      <c r="D5913">
        <v>674724</v>
      </c>
      <c r="E5913">
        <v>598292</v>
      </c>
      <c r="F5913">
        <v>599058</v>
      </c>
      <c r="G5913">
        <v>605790</v>
      </c>
    </row>
    <row r="5914" spans="1:7">
      <c r="A5914" t="s">
        <v>1876</v>
      </c>
      <c r="B5914" t="s">
        <v>365</v>
      </c>
      <c r="C5914" t="s">
        <v>1931</v>
      </c>
      <c r="D5914">
        <v>0</v>
      </c>
      <c r="E5914">
        <v>0</v>
      </c>
      <c r="F5914">
        <v>0</v>
      </c>
      <c r="G5914">
        <v>0</v>
      </c>
    </row>
    <row r="5915" spans="1:7">
      <c r="A5915" t="s">
        <v>1876</v>
      </c>
      <c r="B5915" t="s">
        <v>365</v>
      </c>
      <c r="C5915" t="s">
        <v>1707</v>
      </c>
      <c r="D5915">
        <v>0</v>
      </c>
      <c r="E5915">
        <v>0</v>
      </c>
      <c r="F5915">
        <v>0</v>
      </c>
      <c r="G5915">
        <v>0</v>
      </c>
    </row>
    <row r="5916" spans="1:7">
      <c r="A5916" t="s">
        <v>1876</v>
      </c>
      <c r="B5916" t="s">
        <v>365</v>
      </c>
      <c r="C5916" t="s">
        <v>1932</v>
      </c>
      <c r="D5916">
        <v>65.900000000000006</v>
      </c>
      <c r="E5916">
        <v>54.5</v>
      </c>
      <c r="F5916">
        <v>42.1</v>
      </c>
      <c r="G5916">
        <v>52.5</v>
      </c>
    </row>
    <row r="5917" spans="1:7">
      <c r="A5917" t="s">
        <v>1876</v>
      </c>
      <c r="B5917" t="s">
        <v>365</v>
      </c>
      <c r="C5917" t="s">
        <v>1708</v>
      </c>
      <c r="D5917">
        <v>192</v>
      </c>
      <c r="E5917">
        <v>192</v>
      </c>
      <c r="F5917">
        <v>192</v>
      </c>
      <c r="G5917">
        <v>192</v>
      </c>
    </row>
    <row r="5918" spans="1:7">
      <c r="A5918" t="s">
        <v>1876</v>
      </c>
      <c r="B5918" t="s">
        <v>365</v>
      </c>
      <c r="C5918" t="s">
        <v>206</v>
      </c>
      <c r="D5918">
        <v>0</v>
      </c>
      <c r="E5918">
        <v>0</v>
      </c>
      <c r="F5918">
        <v>0</v>
      </c>
      <c r="G5918">
        <v>0</v>
      </c>
    </row>
    <row r="5919" spans="1:7">
      <c r="A5919" t="s">
        <v>1876</v>
      </c>
      <c r="B5919" t="s">
        <v>365</v>
      </c>
      <c r="C5919" t="s">
        <v>207</v>
      </c>
      <c r="D5919">
        <v>3785</v>
      </c>
      <c r="E5919">
        <v>3126</v>
      </c>
      <c r="F5919">
        <v>2414</v>
      </c>
      <c r="G5919">
        <v>3020</v>
      </c>
    </row>
    <row r="5920" spans="1:7">
      <c r="A5920" t="s">
        <v>1876</v>
      </c>
      <c r="B5920" t="s">
        <v>365</v>
      </c>
      <c r="C5920" t="s">
        <v>208</v>
      </c>
      <c r="D5920">
        <v>0</v>
      </c>
      <c r="E5920">
        <v>0</v>
      </c>
      <c r="F5920">
        <v>0</v>
      </c>
      <c r="G5920">
        <v>0</v>
      </c>
    </row>
    <row r="5921" spans="1:7">
      <c r="A5921" t="s">
        <v>1876</v>
      </c>
      <c r="B5921" t="s">
        <v>365</v>
      </c>
      <c r="C5921" t="s">
        <v>209</v>
      </c>
      <c r="D5921">
        <v>3785</v>
      </c>
      <c r="E5921">
        <v>3126</v>
      </c>
      <c r="F5921">
        <v>2414</v>
      </c>
      <c r="G5921">
        <v>3020</v>
      </c>
    </row>
    <row r="5922" spans="1:7">
      <c r="A5922" t="s">
        <v>1876</v>
      </c>
      <c r="B5922" t="s">
        <v>365</v>
      </c>
      <c r="C5922" t="s">
        <v>210</v>
      </c>
      <c r="D5922">
        <v>0</v>
      </c>
      <c r="E5922">
        <v>0</v>
      </c>
      <c r="F5922">
        <v>0</v>
      </c>
      <c r="G5922">
        <v>0</v>
      </c>
    </row>
    <row r="5923" spans="1:7">
      <c r="A5923" t="s">
        <v>1876</v>
      </c>
      <c r="B5923" t="s">
        <v>365</v>
      </c>
      <c r="C5923" t="s">
        <v>211</v>
      </c>
      <c r="D5923">
        <v>0</v>
      </c>
      <c r="E5923">
        <v>0</v>
      </c>
      <c r="F5923">
        <v>0</v>
      </c>
      <c r="G5923">
        <v>0</v>
      </c>
    </row>
    <row r="5924" spans="1:7">
      <c r="A5924" t="s">
        <v>1876</v>
      </c>
      <c r="B5924" t="s">
        <v>365</v>
      </c>
      <c r="C5924" t="s">
        <v>212</v>
      </c>
      <c r="D5924">
        <v>0</v>
      </c>
      <c r="E5924">
        <v>0</v>
      </c>
      <c r="F5924">
        <v>0</v>
      </c>
      <c r="G5924">
        <v>0</v>
      </c>
    </row>
    <row r="5925" spans="1:7">
      <c r="A5925" t="s">
        <v>1876</v>
      </c>
      <c r="B5925" t="s">
        <v>365</v>
      </c>
      <c r="C5925" t="s">
        <v>213</v>
      </c>
      <c r="D5925">
        <v>-90</v>
      </c>
      <c r="E5925">
        <v>180</v>
      </c>
      <c r="F5925">
        <v>78</v>
      </c>
      <c r="G5925">
        <v>193</v>
      </c>
    </row>
    <row r="5926" spans="1:7">
      <c r="A5926" t="s">
        <v>1876</v>
      </c>
      <c r="B5926" t="s">
        <v>365</v>
      </c>
      <c r="C5926" t="s">
        <v>214</v>
      </c>
      <c r="D5926">
        <v>-90</v>
      </c>
      <c r="E5926">
        <v>180</v>
      </c>
      <c r="F5926">
        <v>78</v>
      </c>
      <c r="G5926">
        <v>193</v>
      </c>
    </row>
    <row r="5927" spans="1:7">
      <c r="A5927" t="s">
        <v>1876</v>
      </c>
      <c r="B5927" t="s">
        <v>365</v>
      </c>
      <c r="C5927" t="s">
        <v>215</v>
      </c>
      <c r="D5927">
        <v>16120</v>
      </c>
      <c r="E5927">
        <v>20524</v>
      </c>
      <c r="F5927">
        <v>20886</v>
      </c>
      <c r="G5927">
        <v>21123</v>
      </c>
    </row>
    <row r="5928" spans="1:7">
      <c r="A5928" t="s">
        <v>1876</v>
      </c>
      <c r="B5928" t="s">
        <v>365</v>
      </c>
      <c r="C5928" t="s">
        <v>216</v>
      </c>
      <c r="D5928">
        <v>16120</v>
      </c>
      <c r="E5928">
        <v>20524</v>
      </c>
      <c r="F5928">
        <v>20886</v>
      </c>
      <c r="G5928">
        <v>21123</v>
      </c>
    </row>
    <row r="5929" spans="1:7">
      <c r="A5929" t="s">
        <v>1876</v>
      </c>
      <c r="B5929" t="s">
        <v>365</v>
      </c>
      <c r="C5929" t="s">
        <v>217</v>
      </c>
      <c r="D5929">
        <v>16120</v>
      </c>
      <c r="E5929">
        <v>20524</v>
      </c>
      <c r="F5929">
        <v>20886</v>
      </c>
      <c r="G5929">
        <v>21123</v>
      </c>
    </row>
    <row r="5930" spans="1:7">
      <c r="A5930" t="s">
        <v>1876</v>
      </c>
      <c r="B5930" t="s">
        <v>365</v>
      </c>
      <c r="C5930" t="s">
        <v>218</v>
      </c>
      <c r="D5930">
        <v>5</v>
      </c>
      <c r="E5930">
        <v>5</v>
      </c>
      <c r="F5930">
        <v>8</v>
      </c>
      <c r="G5930">
        <v>6</v>
      </c>
    </row>
    <row r="5931" spans="1:7">
      <c r="A5931" t="s">
        <v>1876</v>
      </c>
      <c r="B5931" t="s">
        <v>365</v>
      </c>
      <c r="C5931" t="s">
        <v>219</v>
      </c>
      <c r="D5931">
        <v>28</v>
      </c>
      <c r="E5931">
        <v>21</v>
      </c>
      <c r="F5931">
        <v>83</v>
      </c>
      <c r="G5931">
        <v>45</v>
      </c>
    </row>
    <row r="5932" spans="1:7">
      <c r="A5932" t="s">
        <v>1876</v>
      </c>
      <c r="B5932" t="s">
        <v>365</v>
      </c>
      <c r="C5932" t="s">
        <v>220</v>
      </c>
      <c r="D5932">
        <v>2</v>
      </c>
      <c r="E5932">
        <v>2</v>
      </c>
      <c r="F5932">
        <v>3</v>
      </c>
      <c r="G5932">
        <v>3</v>
      </c>
    </row>
    <row r="5933" spans="1:7">
      <c r="A5933" t="s">
        <v>1876</v>
      </c>
      <c r="B5933" t="s">
        <v>365</v>
      </c>
      <c r="C5933" t="s">
        <v>221</v>
      </c>
      <c r="D5933">
        <v>36</v>
      </c>
      <c r="E5933">
        <v>28</v>
      </c>
      <c r="F5933">
        <v>95</v>
      </c>
      <c r="G5933">
        <v>54</v>
      </c>
    </row>
    <row r="5934" spans="1:7">
      <c r="A5934" t="s">
        <v>1876</v>
      </c>
      <c r="B5934" t="s">
        <v>365</v>
      </c>
      <c r="C5934" t="s">
        <v>222</v>
      </c>
      <c r="D5934">
        <v>36</v>
      </c>
      <c r="E5934">
        <v>28</v>
      </c>
      <c r="F5934">
        <v>95</v>
      </c>
      <c r="G5934">
        <v>54</v>
      </c>
    </row>
    <row r="5935" spans="1:7">
      <c r="A5935" t="s">
        <v>1876</v>
      </c>
      <c r="B5935" t="s">
        <v>365</v>
      </c>
      <c r="C5935" t="s">
        <v>1933</v>
      </c>
      <c r="D5935">
        <v>3568.7</v>
      </c>
      <c r="E5935">
        <v>3520.3</v>
      </c>
      <c r="F5935">
        <v>3480.2</v>
      </c>
      <c r="G5935">
        <v>3487.3</v>
      </c>
    </row>
    <row r="5936" spans="1:7">
      <c r="A5936" t="s">
        <v>1876</v>
      </c>
      <c r="B5936" t="s">
        <v>365</v>
      </c>
      <c r="C5936" t="s">
        <v>223</v>
      </c>
      <c r="D5936">
        <v>50</v>
      </c>
      <c r="E5936">
        <v>50</v>
      </c>
      <c r="F5936">
        <v>47</v>
      </c>
      <c r="G5936">
        <v>45</v>
      </c>
    </row>
    <row r="5937" spans="1:7">
      <c r="A5937" t="s">
        <v>1876</v>
      </c>
      <c r="B5937" t="s">
        <v>365</v>
      </c>
      <c r="C5937" t="s">
        <v>224</v>
      </c>
      <c r="D5937">
        <v>118295</v>
      </c>
      <c r="E5937">
        <v>115697</v>
      </c>
      <c r="F5937">
        <v>106178</v>
      </c>
      <c r="G5937">
        <v>107053</v>
      </c>
    </row>
    <row r="5938" spans="1:7">
      <c r="A5938" t="s">
        <v>1876</v>
      </c>
      <c r="B5938" t="s">
        <v>365</v>
      </c>
      <c r="C5938" t="s">
        <v>225</v>
      </c>
      <c r="D5938">
        <v>199840</v>
      </c>
      <c r="E5938">
        <v>197302</v>
      </c>
      <c r="F5938">
        <v>178316</v>
      </c>
      <c r="G5938">
        <v>184307</v>
      </c>
    </row>
    <row r="5939" spans="1:7">
      <c r="A5939" t="s">
        <v>1876</v>
      </c>
      <c r="B5939" t="s">
        <v>365</v>
      </c>
      <c r="C5939" t="s">
        <v>226</v>
      </c>
      <c r="D5939">
        <v>160160</v>
      </c>
      <c r="E5939">
        <v>154547</v>
      </c>
      <c r="F5939">
        <v>141969</v>
      </c>
      <c r="G5939">
        <v>140198</v>
      </c>
    </row>
    <row r="5940" spans="1:7">
      <c r="A5940" t="s">
        <v>1876</v>
      </c>
      <c r="B5940" t="s">
        <v>365</v>
      </c>
      <c r="C5940" t="s">
        <v>227</v>
      </c>
      <c r="D5940">
        <v>478345</v>
      </c>
      <c r="E5940">
        <v>467597</v>
      </c>
      <c r="F5940">
        <v>426510</v>
      </c>
      <c r="G5940">
        <v>431604</v>
      </c>
    </row>
    <row r="5941" spans="1:7">
      <c r="A5941" t="s">
        <v>1876</v>
      </c>
      <c r="B5941" t="s">
        <v>365</v>
      </c>
      <c r="C5941" t="s">
        <v>228</v>
      </c>
      <c r="D5941">
        <v>478345</v>
      </c>
      <c r="E5941">
        <v>467597</v>
      </c>
      <c r="F5941">
        <v>426510</v>
      </c>
      <c r="G5941">
        <v>431604</v>
      </c>
    </row>
    <row r="5942" spans="1:7">
      <c r="A5942" t="s">
        <v>1876</v>
      </c>
      <c r="B5942" t="s">
        <v>365</v>
      </c>
      <c r="C5942" t="s">
        <v>229</v>
      </c>
      <c r="D5942">
        <v>2747</v>
      </c>
      <c r="E5942">
        <v>2772</v>
      </c>
      <c r="F5942">
        <v>2066</v>
      </c>
      <c r="G5942">
        <v>1914</v>
      </c>
    </row>
    <row r="5943" spans="1:7">
      <c r="A5943" t="s">
        <v>1876</v>
      </c>
      <c r="B5943" t="s">
        <v>365</v>
      </c>
      <c r="C5943" t="s">
        <v>230</v>
      </c>
      <c r="D5943">
        <v>2941</v>
      </c>
      <c r="E5943">
        <v>3012</v>
      </c>
      <c r="F5943">
        <v>2351</v>
      </c>
      <c r="G5943">
        <v>2221</v>
      </c>
    </row>
    <row r="5944" spans="1:7">
      <c r="A5944" t="s">
        <v>1876</v>
      </c>
      <c r="B5944" t="s">
        <v>365</v>
      </c>
      <c r="C5944" t="s">
        <v>231</v>
      </c>
      <c r="D5944">
        <v>5688</v>
      </c>
      <c r="E5944">
        <v>5785</v>
      </c>
      <c r="F5944">
        <v>4417</v>
      </c>
      <c r="G5944">
        <v>4135</v>
      </c>
    </row>
    <row r="5945" spans="1:7">
      <c r="A5945" t="s">
        <v>1876</v>
      </c>
      <c r="B5945" t="s">
        <v>365</v>
      </c>
      <c r="C5945" t="s">
        <v>232</v>
      </c>
      <c r="D5945">
        <v>5688</v>
      </c>
      <c r="E5945">
        <v>5785</v>
      </c>
      <c r="F5945">
        <v>4417</v>
      </c>
      <c r="G5945">
        <v>4135</v>
      </c>
    </row>
    <row r="5946" spans="1:7">
      <c r="A5946" t="s">
        <v>1876</v>
      </c>
      <c r="B5946" t="s">
        <v>365</v>
      </c>
      <c r="C5946" t="s">
        <v>233</v>
      </c>
      <c r="D5946">
        <v>0</v>
      </c>
      <c r="E5946">
        <v>0</v>
      </c>
      <c r="F5946">
        <v>0</v>
      </c>
      <c r="G5946">
        <v>0</v>
      </c>
    </row>
    <row r="5947" spans="1:7">
      <c r="A5947" t="s">
        <v>1876</v>
      </c>
      <c r="B5947" t="s">
        <v>365</v>
      </c>
      <c r="C5947" t="s">
        <v>234</v>
      </c>
      <c r="D5947">
        <v>254356</v>
      </c>
      <c r="E5947">
        <v>247173</v>
      </c>
      <c r="F5947">
        <v>251232</v>
      </c>
      <c r="G5947">
        <v>254505</v>
      </c>
    </row>
    <row r="5948" spans="1:7">
      <c r="A5948" t="s">
        <v>1876</v>
      </c>
      <c r="B5948" t="s">
        <v>365</v>
      </c>
      <c r="C5948" t="s">
        <v>235</v>
      </c>
      <c r="D5948">
        <v>4200</v>
      </c>
      <c r="E5948">
        <v>4379</v>
      </c>
      <c r="F5948">
        <v>4376</v>
      </c>
      <c r="G5948">
        <v>3212</v>
      </c>
    </row>
    <row r="5949" spans="1:7">
      <c r="A5949" t="s">
        <v>1876</v>
      </c>
      <c r="B5949" t="s">
        <v>365</v>
      </c>
      <c r="C5949" t="s">
        <v>236</v>
      </c>
      <c r="D5949">
        <v>3946</v>
      </c>
      <c r="E5949">
        <v>4166</v>
      </c>
      <c r="F5949">
        <v>4111</v>
      </c>
      <c r="G5949">
        <v>3454</v>
      </c>
    </row>
    <row r="5950" spans="1:7">
      <c r="A5950" t="s">
        <v>1876</v>
      </c>
      <c r="B5950" t="s">
        <v>365</v>
      </c>
      <c r="C5950" t="s">
        <v>237</v>
      </c>
      <c r="D5950">
        <v>262502</v>
      </c>
      <c r="E5950">
        <v>255718</v>
      </c>
      <c r="F5950">
        <v>259719</v>
      </c>
      <c r="G5950">
        <v>261171</v>
      </c>
    </row>
    <row r="5951" spans="1:7">
      <c r="A5951" t="s">
        <v>1876</v>
      </c>
      <c r="B5951" t="s">
        <v>365</v>
      </c>
      <c r="C5951" t="s">
        <v>238</v>
      </c>
      <c r="D5951">
        <v>262502</v>
      </c>
      <c r="E5951">
        <v>255718</v>
      </c>
      <c r="F5951">
        <v>259719</v>
      </c>
      <c r="G5951">
        <v>261171</v>
      </c>
    </row>
    <row r="5952" spans="1:7">
      <c r="A5952" t="s">
        <v>1876</v>
      </c>
      <c r="B5952" t="s">
        <v>365</v>
      </c>
      <c r="C5952" t="s">
        <v>1934</v>
      </c>
      <c r="D5952">
        <v>237550</v>
      </c>
      <c r="E5952">
        <v>229416</v>
      </c>
      <c r="F5952">
        <v>233597</v>
      </c>
      <c r="G5952">
        <v>235806</v>
      </c>
    </row>
    <row r="5953" spans="1:7">
      <c r="A5953" t="s">
        <v>1876</v>
      </c>
      <c r="B5953" t="s">
        <v>365</v>
      </c>
      <c r="C5953" t="s">
        <v>1935</v>
      </c>
      <c r="D5953">
        <v>3922</v>
      </c>
      <c r="E5953">
        <v>4065</v>
      </c>
      <c r="F5953">
        <v>4069</v>
      </c>
      <c r="G5953">
        <v>2976</v>
      </c>
    </row>
    <row r="5954" spans="1:7">
      <c r="A5954" t="s">
        <v>1876</v>
      </c>
      <c r="B5954" t="s">
        <v>365</v>
      </c>
      <c r="C5954" t="s">
        <v>1936</v>
      </c>
      <c r="D5954">
        <v>3686</v>
      </c>
      <c r="E5954">
        <v>3867</v>
      </c>
      <c r="F5954">
        <v>3823</v>
      </c>
      <c r="G5954">
        <v>3200</v>
      </c>
    </row>
    <row r="5955" spans="1:7">
      <c r="A5955" t="s">
        <v>1876</v>
      </c>
      <c r="B5955" t="s">
        <v>365</v>
      </c>
      <c r="C5955" t="s">
        <v>239</v>
      </c>
      <c r="D5955">
        <v>245158</v>
      </c>
      <c r="E5955">
        <v>237347</v>
      </c>
      <c r="F5955">
        <v>241489</v>
      </c>
      <c r="G5955">
        <v>241982</v>
      </c>
    </row>
    <row r="5956" spans="1:7">
      <c r="A5956" t="s">
        <v>1876</v>
      </c>
      <c r="B5956" t="s">
        <v>365</v>
      </c>
      <c r="C5956" t="s">
        <v>240</v>
      </c>
      <c r="D5956">
        <v>24743</v>
      </c>
      <c r="E5956">
        <v>31962</v>
      </c>
      <c r="F5956">
        <v>30716</v>
      </c>
      <c r="G5956">
        <v>30074</v>
      </c>
    </row>
    <row r="5957" spans="1:7">
      <c r="A5957" t="s">
        <v>1876</v>
      </c>
      <c r="B5957" t="s">
        <v>365</v>
      </c>
      <c r="C5957" t="s">
        <v>241</v>
      </c>
      <c r="D5957">
        <v>0</v>
      </c>
      <c r="E5957">
        <v>0</v>
      </c>
      <c r="F5957">
        <v>0</v>
      </c>
      <c r="G5957">
        <v>0</v>
      </c>
    </row>
    <row r="5958" spans="1:7">
      <c r="A5958" t="s">
        <v>1876</v>
      </c>
      <c r="B5958" t="s">
        <v>365</v>
      </c>
      <c r="C5958" t="s">
        <v>242</v>
      </c>
      <c r="D5958">
        <v>228773</v>
      </c>
      <c r="E5958">
        <v>286425</v>
      </c>
      <c r="F5958">
        <v>287433</v>
      </c>
      <c r="G5958">
        <v>301011</v>
      </c>
    </row>
    <row r="5959" spans="1:7">
      <c r="A5959" t="s">
        <v>1876</v>
      </c>
      <c r="B5959" t="s">
        <v>365</v>
      </c>
      <c r="C5959" t="s">
        <v>243</v>
      </c>
      <c r="D5959">
        <v>33153</v>
      </c>
      <c r="E5959">
        <v>32320</v>
      </c>
      <c r="F5959">
        <v>30507</v>
      </c>
      <c r="G5959">
        <v>29861</v>
      </c>
    </row>
    <row r="5960" spans="1:7">
      <c r="A5960" t="s">
        <v>1876</v>
      </c>
      <c r="B5960" t="s">
        <v>365</v>
      </c>
      <c r="C5960" t="s">
        <v>244</v>
      </c>
      <c r="D5960">
        <v>325689</v>
      </c>
      <c r="E5960">
        <v>373330</v>
      </c>
      <c r="F5960">
        <v>387915</v>
      </c>
      <c r="G5960">
        <v>414370</v>
      </c>
    </row>
    <row r="5961" spans="1:7">
      <c r="A5961" t="s">
        <v>1876</v>
      </c>
      <c r="B5961" t="s">
        <v>365</v>
      </c>
      <c r="C5961" t="s">
        <v>1709</v>
      </c>
      <c r="D5961">
        <v>18575</v>
      </c>
      <c r="E5961">
        <v>18415</v>
      </c>
      <c r="F5961">
        <v>18394</v>
      </c>
      <c r="G5961">
        <v>17502</v>
      </c>
    </row>
    <row r="5962" spans="1:7">
      <c r="A5962" t="s">
        <v>1876</v>
      </c>
      <c r="B5962" t="s">
        <v>365</v>
      </c>
      <c r="C5962" t="s">
        <v>245</v>
      </c>
      <c r="D5962">
        <v>1237796</v>
      </c>
      <c r="E5962">
        <v>1359137</v>
      </c>
      <c r="F5962">
        <v>1365355</v>
      </c>
      <c r="G5962">
        <v>1368208</v>
      </c>
    </row>
    <row r="5963" spans="1:7">
      <c r="A5963" t="s">
        <v>1876</v>
      </c>
      <c r="B5963" t="s">
        <v>365</v>
      </c>
      <c r="C5963" t="s">
        <v>246</v>
      </c>
      <c r="D5963">
        <v>36945</v>
      </c>
      <c r="E5963">
        <v>35955</v>
      </c>
      <c r="F5963">
        <v>29872</v>
      </c>
      <c r="G5963">
        <v>32376</v>
      </c>
    </row>
    <row r="5964" spans="1:7">
      <c r="A5964" t="s">
        <v>1876</v>
      </c>
      <c r="B5964" t="s">
        <v>365</v>
      </c>
      <c r="C5964" t="s">
        <v>247</v>
      </c>
      <c r="D5964">
        <v>1862349</v>
      </c>
      <c r="E5964">
        <v>2087165</v>
      </c>
      <c r="F5964">
        <v>2101081</v>
      </c>
      <c r="G5964">
        <v>2145827</v>
      </c>
    </row>
    <row r="5965" spans="1:7">
      <c r="A5965" t="s">
        <v>1876</v>
      </c>
      <c r="B5965" t="s">
        <v>365</v>
      </c>
      <c r="C5965" t="s">
        <v>248</v>
      </c>
      <c r="D5965">
        <v>402.4</v>
      </c>
      <c r="E5965">
        <v>453.6</v>
      </c>
      <c r="F5965">
        <v>456.9</v>
      </c>
      <c r="G5965">
        <v>465</v>
      </c>
    </row>
    <row r="5966" spans="1:7">
      <c r="A5966" t="s">
        <v>1876</v>
      </c>
      <c r="B5966" t="s">
        <v>365</v>
      </c>
      <c r="C5966" t="s">
        <v>249</v>
      </c>
      <c r="D5966">
        <v>1536667</v>
      </c>
      <c r="E5966">
        <v>1713836</v>
      </c>
      <c r="F5966">
        <v>1713168</v>
      </c>
      <c r="G5966">
        <v>1731456</v>
      </c>
    </row>
    <row r="5967" spans="1:7">
      <c r="A5967" t="s">
        <v>1876</v>
      </c>
      <c r="B5967" t="s">
        <v>365</v>
      </c>
      <c r="C5967" t="s">
        <v>250</v>
      </c>
      <c r="D5967">
        <v>1862349</v>
      </c>
      <c r="E5967">
        <v>2087165</v>
      </c>
      <c r="F5967">
        <v>2099042</v>
      </c>
      <c r="G5967">
        <v>2143775</v>
      </c>
    </row>
    <row r="5968" spans="1:7">
      <c r="A5968" t="s">
        <v>1876</v>
      </c>
      <c r="B5968" t="s">
        <v>365</v>
      </c>
      <c r="C5968" t="s">
        <v>1937</v>
      </c>
      <c r="D5968">
        <v>35.299999999999997</v>
      </c>
      <c r="E5968">
        <v>35.700000000000003</v>
      </c>
      <c r="F5968">
        <v>38.6</v>
      </c>
      <c r="G5968">
        <v>36.700000000000003</v>
      </c>
    </row>
    <row r="5969" spans="1:7">
      <c r="A5969" t="s">
        <v>1876</v>
      </c>
      <c r="B5969" t="s">
        <v>365</v>
      </c>
      <c r="C5969" t="s">
        <v>1938</v>
      </c>
      <c r="D5969">
        <v>92.3</v>
      </c>
      <c r="E5969">
        <v>86.6</v>
      </c>
      <c r="F5969">
        <v>65.2</v>
      </c>
      <c r="G5969">
        <v>81.3</v>
      </c>
    </row>
    <row r="5970" spans="1:7">
      <c r="A5970" t="s">
        <v>1876</v>
      </c>
      <c r="B5970" t="s">
        <v>365</v>
      </c>
      <c r="C5970" t="s">
        <v>251</v>
      </c>
      <c r="D5970">
        <v>179886</v>
      </c>
      <c r="E5970">
        <v>168889</v>
      </c>
      <c r="F5970">
        <v>127634</v>
      </c>
      <c r="G5970">
        <v>153007</v>
      </c>
    </row>
    <row r="5971" spans="1:7">
      <c r="A5971" t="s">
        <v>1876</v>
      </c>
      <c r="B5971" t="s">
        <v>365</v>
      </c>
      <c r="C5971" t="s">
        <v>252</v>
      </c>
      <c r="D5971">
        <v>179886</v>
      </c>
      <c r="E5971">
        <v>168889</v>
      </c>
      <c r="F5971">
        <v>127634</v>
      </c>
      <c r="G5971">
        <v>153007</v>
      </c>
    </row>
    <row r="5972" spans="1:7">
      <c r="A5972" t="s">
        <v>1876</v>
      </c>
      <c r="B5972" t="s">
        <v>365</v>
      </c>
      <c r="C5972" t="s">
        <v>1710</v>
      </c>
      <c r="D5972">
        <v>2133</v>
      </c>
      <c r="E5972">
        <v>2132</v>
      </c>
      <c r="F5972">
        <v>2137</v>
      </c>
      <c r="G5972">
        <v>2052</v>
      </c>
    </row>
    <row r="5973" spans="1:7">
      <c r="A5973" t="s">
        <v>1876</v>
      </c>
      <c r="B5973" t="s">
        <v>365</v>
      </c>
      <c r="C5973" t="s">
        <v>1939</v>
      </c>
      <c r="D5973">
        <v>13.8</v>
      </c>
      <c r="E5973">
        <v>15.6</v>
      </c>
      <c r="F5973">
        <v>16.100000000000001</v>
      </c>
      <c r="G5973">
        <v>21.1</v>
      </c>
    </row>
    <row r="5974" spans="1:7">
      <c r="A5974" t="s">
        <v>1876</v>
      </c>
      <c r="B5974" t="s">
        <v>365</v>
      </c>
      <c r="C5974" t="s">
        <v>253</v>
      </c>
      <c r="D5974">
        <v>605772</v>
      </c>
      <c r="E5974">
        <v>534158</v>
      </c>
      <c r="F5974">
        <v>537333</v>
      </c>
      <c r="G5974">
        <v>538249</v>
      </c>
    </row>
    <row r="5975" spans="1:7">
      <c r="A5975" t="s">
        <v>1876</v>
      </c>
      <c r="B5975" t="s">
        <v>365</v>
      </c>
      <c r="C5975" t="s">
        <v>1711</v>
      </c>
      <c r="D5975">
        <v>160</v>
      </c>
      <c r="E5975">
        <v>163</v>
      </c>
      <c r="F5975">
        <v>168</v>
      </c>
      <c r="G5975">
        <v>168</v>
      </c>
    </row>
    <row r="5976" spans="1:7">
      <c r="A5976" t="s">
        <v>1876</v>
      </c>
      <c r="B5976" t="s">
        <v>365</v>
      </c>
      <c r="C5976" t="s">
        <v>1712</v>
      </c>
      <c r="D5976">
        <v>538603</v>
      </c>
      <c r="E5976">
        <v>447830</v>
      </c>
      <c r="F5976">
        <v>435295</v>
      </c>
      <c r="G5976">
        <v>460580</v>
      </c>
    </row>
    <row r="5977" spans="1:7">
      <c r="A5977" t="s">
        <v>1876</v>
      </c>
      <c r="B5977" t="s">
        <v>365</v>
      </c>
      <c r="C5977" t="s">
        <v>1713</v>
      </c>
      <c r="D5977">
        <v>2182</v>
      </c>
      <c r="E5977">
        <v>2097</v>
      </c>
      <c r="F5977">
        <v>3006</v>
      </c>
      <c r="G5977">
        <v>3009</v>
      </c>
    </row>
    <row r="5978" spans="1:7">
      <c r="A5978" t="s">
        <v>1876</v>
      </c>
      <c r="B5978" t="s">
        <v>365</v>
      </c>
      <c r="C5978" t="s">
        <v>1940</v>
      </c>
      <c r="D5978">
        <v>0</v>
      </c>
      <c r="E5978">
        <v>0</v>
      </c>
      <c r="F5978">
        <v>0</v>
      </c>
      <c r="G5978">
        <v>0</v>
      </c>
    </row>
    <row r="5979" spans="1:7">
      <c r="A5979" t="s">
        <v>1876</v>
      </c>
      <c r="B5979" t="s">
        <v>365</v>
      </c>
      <c r="C5979" t="s">
        <v>1941</v>
      </c>
      <c r="D5979">
        <v>0</v>
      </c>
      <c r="E5979">
        <v>0</v>
      </c>
      <c r="F5979">
        <v>0</v>
      </c>
      <c r="G5979">
        <v>0</v>
      </c>
    </row>
    <row r="5980" spans="1:7">
      <c r="A5980" t="s">
        <v>1876</v>
      </c>
      <c r="B5980" t="s">
        <v>365</v>
      </c>
      <c r="C5980" t="s">
        <v>254</v>
      </c>
      <c r="D5980">
        <v>538603</v>
      </c>
      <c r="E5980">
        <v>447830</v>
      </c>
      <c r="F5980">
        <v>435295</v>
      </c>
      <c r="G5980">
        <v>460580</v>
      </c>
    </row>
    <row r="5981" spans="1:7">
      <c r="A5981" t="s">
        <v>1876</v>
      </c>
      <c r="B5981" t="s">
        <v>365</v>
      </c>
      <c r="C5981" t="s">
        <v>1942</v>
      </c>
      <c r="D5981">
        <v>0</v>
      </c>
      <c r="E5981">
        <v>0</v>
      </c>
      <c r="F5981">
        <v>0</v>
      </c>
      <c r="G5981">
        <v>0</v>
      </c>
    </row>
    <row r="5982" spans="1:7">
      <c r="A5982" t="s">
        <v>1876</v>
      </c>
      <c r="B5982" t="s">
        <v>365</v>
      </c>
      <c r="C5982" t="s">
        <v>255</v>
      </c>
      <c r="D5982">
        <v>540785</v>
      </c>
      <c r="E5982">
        <v>449927</v>
      </c>
      <c r="F5982">
        <v>438301</v>
      </c>
      <c r="G5982">
        <v>463589</v>
      </c>
    </row>
    <row r="5983" spans="1:7">
      <c r="A5983" t="s">
        <v>1876</v>
      </c>
      <c r="B5983" t="s">
        <v>365</v>
      </c>
      <c r="C5983" t="s">
        <v>256</v>
      </c>
      <c r="D5983">
        <v>540785</v>
      </c>
      <c r="E5983">
        <v>449927</v>
      </c>
      <c r="F5983">
        <v>438301</v>
      </c>
      <c r="G5983">
        <v>463589</v>
      </c>
    </row>
    <row r="5984" spans="1:7">
      <c r="A5984" t="s">
        <v>1876</v>
      </c>
      <c r="B5984" t="s">
        <v>365</v>
      </c>
      <c r="C5984" t="s">
        <v>1714</v>
      </c>
      <c r="D5984">
        <v>330</v>
      </c>
      <c r="E5984">
        <v>329</v>
      </c>
      <c r="F5984">
        <v>359</v>
      </c>
      <c r="G5984">
        <v>357</v>
      </c>
    </row>
    <row r="5985" spans="1:7">
      <c r="A5985" t="s">
        <v>1876</v>
      </c>
      <c r="B5985" t="s">
        <v>365</v>
      </c>
      <c r="C5985" t="s">
        <v>257</v>
      </c>
      <c r="D5985">
        <v>632382</v>
      </c>
      <c r="E5985">
        <v>538164</v>
      </c>
      <c r="F5985">
        <v>527299</v>
      </c>
      <c r="G5985">
        <v>548848</v>
      </c>
    </row>
    <row r="5986" spans="1:7">
      <c r="A5986" t="s">
        <v>1876</v>
      </c>
      <c r="B5986" t="s">
        <v>365</v>
      </c>
      <c r="C5986" t="s">
        <v>258</v>
      </c>
      <c r="D5986">
        <v>680614</v>
      </c>
      <c r="E5986">
        <v>577804</v>
      </c>
      <c r="F5986">
        <v>544152</v>
      </c>
      <c r="G5986">
        <v>554519</v>
      </c>
    </row>
    <row r="5987" spans="1:7">
      <c r="A5987" t="s">
        <v>1876</v>
      </c>
      <c r="B5987" t="s">
        <v>365</v>
      </c>
      <c r="C5987" t="s">
        <v>259</v>
      </c>
      <c r="D5987">
        <v>637606</v>
      </c>
      <c r="E5987">
        <v>543338</v>
      </c>
      <c r="F5987">
        <v>532664</v>
      </c>
      <c r="G5987">
        <v>554083</v>
      </c>
    </row>
    <row r="5988" spans="1:7">
      <c r="A5988" t="s">
        <v>1876</v>
      </c>
      <c r="B5988" t="s">
        <v>365</v>
      </c>
      <c r="C5988" t="s">
        <v>260</v>
      </c>
      <c r="D5988">
        <v>468849</v>
      </c>
      <c r="E5988">
        <v>470172</v>
      </c>
      <c r="F5988">
        <v>463025</v>
      </c>
      <c r="G5988">
        <v>457641</v>
      </c>
    </row>
    <row r="5989" spans="1:7">
      <c r="A5989" t="s">
        <v>1876</v>
      </c>
      <c r="B5989" t="s">
        <v>365</v>
      </c>
      <c r="C5989" t="s">
        <v>1943</v>
      </c>
      <c r="D5989">
        <v>62.3</v>
      </c>
      <c r="E5989">
        <v>48.8</v>
      </c>
      <c r="F5989">
        <v>17.600000000000001</v>
      </c>
      <c r="G5989">
        <v>0.7</v>
      </c>
    </row>
    <row r="5990" spans="1:7">
      <c r="A5990" t="s">
        <v>1876</v>
      </c>
      <c r="B5990" t="s">
        <v>365</v>
      </c>
      <c r="C5990" t="s">
        <v>261</v>
      </c>
      <c r="D5990">
        <v>9102</v>
      </c>
      <c r="E5990">
        <v>9393</v>
      </c>
      <c r="F5990">
        <v>8517</v>
      </c>
      <c r="G5990">
        <v>7437</v>
      </c>
    </row>
    <row r="5991" spans="1:7">
      <c r="A5991" t="s">
        <v>1876</v>
      </c>
      <c r="B5991" t="s">
        <v>365</v>
      </c>
      <c r="C5991" t="s">
        <v>262</v>
      </c>
      <c r="D5991">
        <v>43161</v>
      </c>
      <c r="E5991">
        <v>34656</v>
      </c>
      <c r="F5991">
        <v>11591</v>
      </c>
      <c r="G5991">
        <v>542</v>
      </c>
    </row>
    <row r="5992" spans="1:7">
      <c r="A5992" t="s">
        <v>1876</v>
      </c>
      <c r="B5992" t="s">
        <v>365</v>
      </c>
      <c r="C5992" t="s">
        <v>1715</v>
      </c>
      <c r="D5992">
        <v>865</v>
      </c>
      <c r="E5992">
        <v>868</v>
      </c>
      <c r="F5992">
        <v>877</v>
      </c>
      <c r="G5992">
        <v>843</v>
      </c>
    </row>
    <row r="5993" spans="1:7">
      <c r="A5993" t="s">
        <v>1876</v>
      </c>
      <c r="B5993" t="s">
        <v>365</v>
      </c>
      <c r="C5993" t="s">
        <v>263</v>
      </c>
      <c r="D5993">
        <v>1339062</v>
      </c>
      <c r="E5993">
        <v>1169376</v>
      </c>
      <c r="F5993">
        <v>1158001</v>
      </c>
      <c r="G5993">
        <v>1185034</v>
      </c>
    </row>
    <row r="5994" spans="1:7">
      <c r="A5994" t="s">
        <v>1876</v>
      </c>
      <c r="B5994" t="s">
        <v>365</v>
      </c>
      <c r="C5994" t="s">
        <v>264</v>
      </c>
      <c r="D5994">
        <v>2126</v>
      </c>
      <c r="E5994">
        <v>1717</v>
      </c>
      <c r="F5994">
        <v>1845</v>
      </c>
      <c r="G5994">
        <v>1875</v>
      </c>
    </row>
    <row r="5995" spans="1:7">
      <c r="A5995" t="s">
        <v>1876</v>
      </c>
      <c r="B5995" t="s">
        <v>365</v>
      </c>
      <c r="C5995" t="s">
        <v>265</v>
      </c>
      <c r="D5995">
        <v>1862300</v>
      </c>
      <c r="E5995">
        <v>1685314</v>
      </c>
      <c r="F5995">
        <v>1642979</v>
      </c>
      <c r="G5995">
        <v>1652530</v>
      </c>
    </row>
    <row r="5996" spans="1:7">
      <c r="A5996" t="s">
        <v>1876</v>
      </c>
      <c r="B5996" t="s">
        <v>365</v>
      </c>
      <c r="C5996" t="s">
        <v>266</v>
      </c>
      <c r="D5996">
        <v>402.3</v>
      </c>
      <c r="E5996">
        <v>366.3</v>
      </c>
      <c r="F5996">
        <v>357.3</v>
      </c>
      <c r="G5996">
        <v>358.1</v>
      </c>
    </row>
    <row r="5997" spans="1:7">
      <c r="A5997" t="s">
        <v>1876</v>
      </c>
      <c r="B5997" t="s">
        <v>365</v>
      </c>
      <c r="C5997" t="s">
        <v>267</v>
      </c>
      <c r="D5997">
        <v>1819139</v>
      </c>
      <c r="E5997">
        <v>1650658</v>
      </c>
      <c r="F5997">
        <v>1631388</v>
      </c>
      <c r="G5997">
        <v>1651987</v>
      </c>
    </row>
    <row r="5998" spans="1:7">
      <c r="A5998" t="s">
        <v>1876</v>
      </c>
      <c r="B5998" t="s">
        <v>365</v>
      </c>
      <c r="C5998" t="s">
        <v>268</v>
      </c>
      <c r="D5998">
        <v>0</v>
      </c>
      <c r="E5998">
        <v>0</v>
      </c>
      <c r="F5998">
        <v>0</v>
      </c>
      <c r="G5998">
        <v>0</v>
      </c>
    </row>
    <row r="5999" spans="1:7">
      <c r="A5999" t="s">
        <v>1876</v>
      </c>
      <c r="B5999" t="s">
        <v>365</v>
      </c>
      <c r="C5999" t="s">
        <v>269</v>
      </c>
      <c r="D5999">
        <v>43008</v>
      </c>
      <c r="E5999">
        <v>34466</v>
      </c>
      <c r="F5999">
        <v>11488</v>
      </c>
      <c r="G5999">
        <v>437</v>
      </c>
    </row>
    <row r="6000" spans="1:7">
      <c r="A6000" t="s">
        <v>1876</v>
      </c>
      <c r="B6000" t="s">
        <v>365</v>
      </c>
      <c r="C6000" t="s">
        <v>270</v>
      </c>
      <c r="D6000">
        <v>73734</v>
      </c>
      <c r="E6000">
        <v>70773</v>
      </c>
      <c r="F6000">
        <v>72653</v>
      </c>
      <c r="G6000">
        <v>69276</v>
      </c>
    </row>
    <row r="6001" spans="1:7">
      <c r="A6001" t="s">
        <v>1876</v>
      </c>
      <c r="B6001" t="s">
        <v>365</v>
      </c>
      <c r="C6001" t="s">
        <v>271</v>
      </c>
      <c r="D6001">
        <v>116742</v>
      </c>
      <c r="E6001">
        <v>105239</v>
      </c>
      <c r="F6001">
        <v>84140</v>
      </c>
      <c r="G6001">
        <v>69713</v>
      </c>
    </row>
    <row r="6002" spans="1:7">
      <c r="A6002" t="s">
        <v>1876</v>
      </c>
      <c r="B6002" t="s">
        <v>365</v>
      </c>
      <c r="C6002" t="s">
        <v>272</v>
      </c>
      <c r="D6002">
        <v>73734</v>
      </c>
      <c r="E6002">
        <v>70773</v>
      </c>
      <c r="F6002">
        <v>72653</v>
      </c>
      <c r="G6002">
        <v>69276</v>
      </c>
    </row>
    <row r="6003" spans="1:7">
      <c r="A6003" t="s">
        <v>1876</v>
      </c>
      <c r="B6003" t="s">
        <v>365</v>
      </c>
      <c r="C6003" t="s">
        <v>1944</v>
      </c>
      <c r="D6003">
        <v>1.9</v>
      </c>
      <c r="E6003">
        <v>2.7</v>
      </c>
      <c r="F6003">
        <v>3.5</v>
      </c>
      <c r="G6003">
        <v>4.4000000000000004</v>
      </c>
    </row>
    <row r="6004" spans="1:7">
      <c r="A6004" t="s">
        <v>1876</v>
      </c>
      <c r="B6004" t="s">
        <v>365</v>
      </c>
      <c r="C6004" t="s">
        <v>1945</v>
      </c>
      <c r="D6004">
        <v>3</v>
      </c>
      <c r="E6004">
        <v>4</v>
      </c>
      <c r="F6004">
        <v>9</v>
      </c>
      <c r="G6004">
        <v>12</v>
      </c>
    </row>
    <row r="6005" spans="1:7">
      <c r="A6005" t="s">
        <v>1876</v>
      </c>
      <c r="B6005" t="s">
        <v>365</v>
      </c>
      <c r="C6005" t="s">
        <v>273</v>
      </c>
      <c r="D6005">
        <v>0</v>
      </c>
      <c r="E6005">
        <v>0</v>
      </c>
      <c r="F6005">
        <v>0</v>
      </c>
      <c r="G6005">
        <v>0</v>
      </c>
    </row>
    <row r="6006" spans="1:7">
      <c r="A6006" t="s">
        <v>1876</v>
      </c>
      <c r="B6006" t="s">
        <v>365</v>
      </c>
      <c r="C6006" t="s">
        <v>1946</v>
      </c>
      <c r="D6006">
        <v>448245</v>
      </c>
      <c r="E6006">
        <v>448838</v>
      </c>
      <c r="F6006">
        <v>440613</v>
      </c>
      <c r="G6006">
        <v>434308</v>
      </c>
    </row>
    <row r="6007" spans="1:7">
      <c r="A6007" t="s">
        <v>1876</v>
      </c>
      <c r="B6007" t="s">
        <v>365</v>
      </c>
      <c r="C6007" t="s">
        <v>1947</v>
      </c>
      <c r="D6007">
        <v>8825</v>
      </c>
      <c r="E6007">
        <v>9078</v>
      </c>
      <c r="F6007">
        <v>8210</v>
      </c>
      <c r="G6007">
        <v>7201</v>
      </c>
    </row>
    <row r="6008" spans="1:7">
      <c r="A6008" t="s">
        <v>1876</v>
      </c>
      <c r="B6008" t="s">
        <v>365</v>
      </c>
      <c r="C6008" t="s">
        <v>1948</v>
      </c>
      <c r="D6008">
        <v>43161</v>
      </c>
      <c r="E6008">
        <v>34656</v>
      </c>
      <c r="F6008">
        <v>11591</v>
      </c>
      <c r="G6008">
        <v>542</v>
      </c>
    </row>
    <row r="6009" spans="1:7">
      <c r="A6009" t="s">
        <v>1876</v>
      </c>
      <c r="B6009" t="s">
        <v>365</v>
      </c>
      <c r="C6009" t="s">
        <v>1949</v>
      </c>
      <c r="D6009">
        <v>1338801</v>
      </c>
      <c r="E6009">
        <v>1169077</v>
      </c>
      <c r="F6009">
        <v>1157712</v>
      </c>
      <c r="G6009">
        <v>1184780</v>
      </c>
    </row>
    <row r="6010" spans="1:7">
      <c r="A6010" t="s">
        <v>1876</v>
      </c>
      <c r="B6010" t="s">
        <v>365</v>
      </c>
      <c r="C6010" t="s">
        <v>1950</v>
      </c>
      <c r="D6010">
        <v>2126</v>
      </c>
      <c r="E6010">
        <v>1717</v>
      </c>
      <c r="F6010">
        <v>1845</v>
      </c>
      <c r="G6010">
        <v>1875</v>
      </c>
    </row>
    <row r="6011" spans="1:7">
      <c r="A6011" t="s">
        <v>1876</v>
      </c>
      <c r="B6011" t="s">
        <v>365</v>
      </c>
      <c r="C6011" t="s">
        <v>274</v>
      </c>
      <c r="D6011">
        <v>1841158</v>
      </c>
      <c r="E6011">
        <v>1663366</v>
      </c>
      <c r="F6011">
        <v>1619971</v>
      </c>
      <c r="G6011">
        <v>1628706</v>
      </c>
    </row>
    <row r="6012" spans="1:7">
      <c r="A6012" t="s">
        <v>1876</v>
      </c>
      <c r="B6012" t="s">
        <v>365</v>
      </c>
      <c r="C6012" t="s">
        <v>275</v>
      </c>
      <c r="D6012">
        <v>64036</v>
      </c>
      <c r="E6012">
        <v>0</v>
      </c>
      <c r="F6012">
        <v>0</v>
      </c>
      <c r="G6012">
        <v>0</v>
      </c>
    </row>
    <row r="6013" spans="1:7">
      <c r="A6013" t="s">
        <v>1876</v>
      </c>
      <c r="B6013" t="s">
        <v>365</v>
      </c>
      <c r="C6013" t="s">
        <v>276</v>
      </c>
      <c r="D6013">
        <v>64036</v>
      </c>
      <c r="E6013">
        <v>0</v>
      </c>
      <c r="F6013">
        <v>0</v>
      </c>
      <c r="G6013">
        <v>0</v>
      </c>
    </row>
    <row r="6014" spans="1:7">
      <c r="A6014" t="s">
        <v>1876</v>
      </c>
      <c r="B6014" t="s">
        <v>365</v>
      </c>
      <c r="C6014" t="s">
        <v>277</v>
      </c>
      <c r="D6014">
        <v>188</v>
      </c>
      <c r="E6014">
        <v>267</v>
      </c>
      <c r="F6014">
        <v>283</v>
      </c>
      <c r="G6014">
        <v>218</v>
      </c>
    </row>
    <row r="6015" spans="1:7">
      <c r="A6015" t="s">
        <v>1876</v>
      </c>
      <c r="B6015" t="s">
        <v>365</v>
      </c>
      <c r="C6015" t="s">
        <v>278</v>
      </c>
      <c r="D6015">
        <v>1407</v>
      </c>
      <c r="E6015">
        <v>1389</v>
      </c>
      <c r="F6015">
        <v>1148</v>
      </c>
      <c r="G6015">
        <v>1209</v>
      </c>
    </row>
    <row r="6016" spans="1:7">
      <c r="A6016" t="s">
        <v>1876</v>
      </c>
      <c r="B6016" t="s">
        <v>365</v>
      </c>
      <c r="C6016" t="s">
        <v>279</v>
      </c>
      <c r="D6016">
        <v>65252</v>
      </c>
      <c r="E6016">
        <v>60782</v>
      </c>
      <c r="F6016">
        <v>58470</v>
      </c>
      <c r="G6016">
        <v>64256</v>
      </c>
    </row>
    <row r="6017" spans="1:7">
      <c r="A6017" t="s">
        <v>1876</v>
      </c>
      <c r="B6017" t="s">
        <v>365</v>
      </c>
      <c r="C6017" t="s">
        <v>280</v>
      </c>
      <c r="D6017">
        <v>2105</v>
      </c>
      <c r="E6017">
        <v>1696</v>
      </c>
      <c r="F6017">
        <v>1826</v>
      </c>
      <c r="G6017">
        <v>1857</v>
      </c>
    </row>
    <row r="6018" spans="1:7">
      <c r="A6018" t="s">
        <v>1876</v>
      </c>
      <c r="B6018" t="s">
        <v>365</v>
      </c>
      <c r="C6018" t="s">
        <v>281</v>
      </c>
      <c r="D6018">
        <v>68952</v>
      </c>
      <c r="E6018">
        <v>64134</v>
      </c>
      <c r="F6018">
        <v>61725</v>
      </c>
      <c r="G6018">
        <v>67541</v>
      </c>
    </row>
    <row r="6019" spans="1:7">
      <c r="A6019" t="s">
        <v>1876</v>
      </c>
      <c r="B6019" t="s">
        <v>365</v>
      </c>
      <c r="C6019" t="s">
        <v>282</v>
      </c>
      <c r="D6019">
        <v>68952</v>
      </c>
      <c r="E6019">
        <v>64134</v>
      </c>
      <c r="F6019">
        <v>61725</v>
      </c>
      <c r="G6019">
        <v>67541</v>
      </c>
    </row>
    <row r="6020" spans="1:7">
      <c r="A6020" t="s">
        <v>1876</v>
      </c>
      <c r="B6020" t="s">
        <v>365</v>
      </c>
      <c r="C6020" t="s">
        <v>283</v>
      </c>
      <c r="D6020">
        <v>64687</v>
      </c>
      <c r="E6020">
        <v>56781</v>
      </c>
      <c r="F6020">
        <v>59519</v>
      </c>
      <c r="G6020">
        <v>62212</v>
      </c>
    </row>
    <row r="6021" spans="1:7">
      <c r="A6021" t="s">
        <v>1876</v>
      </c>
      <c r="B6021" t="s">
        <v>365</v>
      </c>
      <c r="C6021" t="s">
        <v>284</v>
      </c>
      <c r="D6021">
        <v>64687</v>
      </c>
      <c r="E6021">
        <v>56781</v>
      </c>
      <c r="F6021">
        <v>59519</v>
      </c>
      <c r="G6021">
        <v>62212</v>
      </c>
    </row>
    <row r="6022" spans="1:7">
      <c r="A6022" t="s">
        <v>1876</v>
      </c>
      <c r="B6022" t="s">
        <v>365</v>
      </c>
      <c r="C6022" t="s">
        <v>1716</v>
      </c>
      <c r="D6022">
        <v>20604</v>
      </c>
      <c r="E6022">
        <v>21334</v>
      </c>
      <c r="F6022">
        <v>22412</v>
      </c>
      <c r="G6022">
        <v>23334</v>
      </c>
    </row>
    <row r="6023" spans="1:7">
      <c r="A6023" t="s">
        <v>1876</v>
      </c>
      <c r="B6023" t="s">
        <v>365</v>
      </c>
      <c r="C6023" t="s">
        <v>1717</v>
      </c>
      <c r="D6023">
        <v>1286</v>
      </c>
      <c r="E6023">
        <v>1331</v>
      </c>
      <c r="F6023">
        <v>1314</v>
      </c>
      <c r="G6023">
        <v>1258</v>
      </c>
    </row>
    <row r="6024" spans="1:7">
      <c r="A6024" t="s">
        <v>1876</v>
      </c>
      <c r="B6024" t="s">
        <v>365</v>
      </c>
      <c r="C6024" t="s">
        <v>1718</v>
      </c>
      <c r="D6024">
        <v>5661</v>
      </c>
      <c r="E6024">
        <v>5114</v>
      </c>
      <c r="F6024">
        <v>4797</v>
      </c>
      <c r="G6024">
        <v>8412</v>
      </c>
    </row>
    <row r="6025" spans="1:7">
      <c r="A6025" t="s">
        <v>1876</v>
      </c>
      <c r="B6025" t="s">
        <v>365</v>
      </c>
      <c r="C6025" t="s">
        <v>1719</v>
      </c>
      <c r="D6025">
        <v>689</v>
      </c>
      <c r="E6025">
        <v>739</v>
      </c>
      <c r="F6025">
        <v>959</v>
      </c>
      <c r="G6025">
        <v>1665</v>
      </c>
    </row>
    <row r="6026" spans="1:7">
      <c r="A6026" t="s">
        <v>1876</v>
      </c>
      <c r="B6026" t="s">
        <v>365</v>
      </c>
      <c r="C6026" t="s">
        <v>1720</v>
      </c>
      <c r="D6026">
        <v>105997</v>
      </c>
      <c r="E6026">
        <v>115304</v>
      </c>
      <c r="F6026">
        <v>115466</v>
      </c>
      <c r="G6026">
        <v>118349</v>
      </c>
    </row>
    <row r="6027" spans="1:7">
      <c r="A6027" t="s">
        <v>1876</v>
      </c>
      <c r="B6027" t="s">
        <v>365</v>
      </c>
      <c r="C6027" t="s">
        <v>1721</v>
      </c>
      <c r="D6027">
        <v>2356</v>
      </c>
      <c r="E6027">
        <v>2551</v>
      </c>
      <c r="F6027">
        <v>2380</v>
      </c>
      <c r="G6027">
        <v>2532</v>
      </c>
    </row>
    <row r="6028" spans="1:7">
      <c r="A6028" t="s">
        <v>1876</v>
      </c>
      <c r="B6028" t="s">
        <v>365</v>
      </c>
      <c r="C6028" t="s">
        <v>285</v>
      </c>
      <c r="D6028">
        <v>135903</v>
      </c>
      <c r="E6028">
        <v>145634</v>
      </c>
      <c r="F6028">
        <v>146369</v>
      </c>
      <c r="G6028">
        <v>153884</v>
      </c>
    </row>
    <row r="6029" spans="1:7">
      <c r="A6029" t="s">
        <v>1876</v>
      </c>
      <c r="B6029" t="s">
        <v>365</v>
      </c>
      <c r="C6029" t="s">
        <v>1951</v>
      </c>
      <c r="D6029">
        <v>3.2</v>
      </c>
      <c r="E6029">
        <v>3.4</v>
      </c>
      <c r="F6029">
        <v>3.5</v>
      </c>
      <c r="G6029">
        <v>3.6</v>
      </c>
    </row>
    <row r="6030" spans="1:7">
      <c r="A6030" t="s">
        <v>1876</v>
      </c>
      <c r="B6030" t="s">
        <v>365</v>
      </c>
      <c r="C6030" t="s">
        <v>286</v>
      </c>
      <c r="D6030">
        <v>38404</v>
      </c>
      <c r="E6030">
        <v>39353</v>
      </c>
      <c r="F6030">
        <v>32667</v>
      </c>
      <c r="G6030">
        <v>35361</v>
      </c>
    </row>
    <row r="6031" spans="1:7">
      <c r="A6031" t="s">
        <v>1876</v>
      </c>
      <c r="B6031" t="s">
        <v>365</v>
      </c>
      <c r="C6031" t="s">
        <v>287</v>
      </c>
      <c r="D6031">
        <v>0</v>
      </c>
      <c r="E6031">
        <v>0</v>
      </c>
      <c r="F6031">
        <v>0</v>
      </c>
      <c r="G6031">
        <v>0</v>
      </c>
    </row>
    <row r="6032" spans="1:7">
      <c r="A6032" t="s">
        <v>1876</v>
      </c>
      <c r="B6032" t="s">
        <v>365</v>
      </c>
      <c r="C6032" t="s">
        <v>288</v>
      </c>
      <c r="D6032">
        <v>0</v>
      </c>
      <c r="E6032">
        <v>0</v>
      </c>
      <c r="F6032">
        <v>0</v>
      </c>
      <c r="G6032">
        <v>0</v>
      </c>
    </row>
    <row r="6033" spans="1:7">
      <c r="A6033" t="s">
        <v>1876</v>
      </c>
      <c r="B6033" t="s">
        <v>365</v>
      </c>
      <c r="C6033" t="s">
        <v>289</v>
      </c>
      <c r="D6033">
        <v>3667</v>
      </c>
      <c r="E6033">
        <v>3758</v>
      </c>
      <c r="F6033">
        <v>3120</v>
      </c>
      <c r="G6033">
        <v>3377</v>
      </c>
    </row>
    <row r="6034" spans="1:7">
      <c r="A6034" t="s">
        <v>1876</v>
      </c>
      <c r="B6034" t="s">
        <v>365</v>
      </c>
      <c r="C6034" t="s">
        <v>290</v>
      </c>
      <c r="D6034">
        <v>42071</v>
      </c>
      <c r="E6034">
        <v>43111</v>
      </c>
      <c r="F6034">
        <v>35786</v>
      </c>
      <c r="G6034">
        <v>38738</v>
      </c>
    </row>
    <row r="6035" spans="1:7">
      <c r="A6035" t="s">
        <v>1876</v>
      </c>
      <c r="B6035" t="s">
        <v>365</v>
      </c>
      <c r="C6035" t="s">
        <v>291</v>
      </c>
      <c r="D6035">
        <v>42071</v>
      </c>
      <c r="E6035">
        <v>43111</v>
      </c>
      <c r="F6035">
        <v>35786</v>
      </c>
      <c r="G6035">
        <v>38738</v>
      </c>
    </row>
    <row r="6036" spans="1:7">
      <c r="A6036" t="s">
        <v>1876</v>
      </c>
      <c r="B6036" t="s">
        <v>365</v>
      </c>
      <c r="C6036" t="s">
        <v>292</v>
      </c>
      <c r="D6036">
        <v>0</v>
      </c>
      <c r="E6036">
        <v>0</v>
      </c>
      <c r="F6036">
        <v>38</v>
      </c>
      <c r="G6036">
        <v>36</v>
      </c>
    </row>
    <row r="6037" spans="1:7">
      <c r="A6037" t="s">
        <v>1876</v>
      </c>
      <c r="B6037" t="s">
        <v>365</v>
      </c>
      <c r="C6037" t="s">
        <v>293</v>
      </c>
      <c r="D6037">
        <v>0</v>
      </c>
      <c r="E6037">
        <v>0</v>
      </c>
      <c r="F6037">
        <v>482</v>
      </c>
      <c r="G6037">
        <v>503</v>
      </c>
    </row>
    <row r="6038" spans="1:7">
      <c r="A6038" t="s">
        <v>1876</v>
      </c>
      <c r="B6038" t="s">
        <v>365</v>
      </c>
      <c r="C6038" t="s">
        <v>294</v>
      </c>
      <c r="D6038">
        <v>0</v>
      </c>
      <c r="E6038">
        <v>0</v>
      </c>
      <c r="F6038">
        <v>1482</v>
      </c>
      <c r="G6038">
        <v>1473</v>
      </c>
    </row>
    <row r="6039" spans="1:7">
      <c r="A6039" t="s">
        <v>1876</v>
      </c>
      <c r="B6039" t="s">
        <v>365</v>
      </c>
      <c r="C6039" t="s">
        <v>295</v>
      </c>
      <c r="D6039">
        <v>0</v>
      </c>
      <c r="E6039">
        <v>0</v>
      </c>
      <c r="F6039">
        <v>37</v>
      </c>
      <c r="G6039">
        <v>39</v>
      </c>
    </row>
    <row r="6040" spans="1:7">
      <c r="A6040" t="s">
        <v>1876</v>
      </c>
      <c r="B6040" t="s">
        <v>365</v>
      </c>
      <c r="C6040" t="s">
        <v>296</v>
      </c>
      <c r="D6040">
        <v>0</v>
      </c>
      <c r="E6040">
        <v>0</v>
      </c>
      <c r="F6040">
        <v>2039</v>
      </c>
      <c r="G6040">
        <v>2052</v>
      </c>
    </row>
    <row r="6041" spans="1:7">
      <c r="A6041" t="s">
        <v>1876</v>
      </c>
      <c r="B6041" t="s">
        <v>365</v>
      </c>
      <c r="C6041" t="s">
        <v>297</v>
      </c>
      <c r="D6041">
        <v>236288</v>
      </c>
      <c r="E6041">
        <v>248190</v>
      </c>
      <c r="F6041">
        <v>244177</v>
      </c>
      <c r="G6041">
        <v>238700</v>
      </c>
    </row>
    <row r="6042" spans="1:7">
      <c r="A6042" t="s">
        <v>1876</v>
      </c>
      <c r="B6042" t="s">
        <v>365</v>
      </c>
      <c r="C6042" t="s">
        <v>1952</v>
      </c>
      <c r="D6042">
        <v>0</v>
      </c>
      <c r="E6042">
        <v>0</v>
      </c>
      <c r="F6042">
        <v>0</v>
      </c>
      <c r="G6042">
        <v>0</v>
      </c>
    </row>
    <row r="6043" spans="1:7">
      <c r="A6043" t="s">
        <v>1876</v>
      </c>
      <c r="B6043" t="s">
        <v>365</v>
      </c>
      <c r="C6043" t="s">
        <v>298</v>
      </c>
      <c r="D6043">
        <v>723</v>
      </c>
      <c r="E6043">
        <v>925</v>
      </c>
      <c r="F6043">
        <v>926</v>
      </c>
      <c r="G6043">
        <v>810</v>
      </c>
    </row>
    <row r="6044" spans="1:7">
      <c r="A6044" t="s">
        <v>1876</v>
      </c>
      <c r="B6044" t="s">
        <v>365</v>
      </c>
      <c r="C6044" t="s">
        <v>299</v>
      </c>
      <c r="D6044">
        <v>62</v>
      </c>
      <c r="E6044">
        <v>65</v>
      </c>
      <c r="F6044">
        <v>83</v>
      </c>
      <c r="G6044">
        <v>87</v>
      </c>
    </row>
    <row r="6045" spans="1:7">
      <c r="A6045" t="s">
        <v>1876</v>
      </c>
      <c r="B6045" t="s">
        <v>365</v>
      </c>
      <c r="C6045" t="s">
        <v>300</v>
      </c>
      <c r="D6045">
        <v>499</v>
      </c>
      <c r="E6045">
        <v>669</v>
      </c>
      <c r="F6045">
        <v>995</v>
      </c>
      <c r="G6045">
        <v>4090</v>
      </c>
    </row>
    <row r="6046" spans="1:7">
      <c r="A6046" t="s">
        <v>1876</v>
      </c>
      <c r="B6046" t="s">
        <v>365</v>
      </c>
      <c r="C6046" t="s">
        <v>1722</v>
      </c>
      <c r="D6046">
        <v>75</v>
      </c>
      <c r="E6046">
        <v>125</v>
      </c>
      <c r="F6046">
        <v>345</v>
      </c>
      <c r="G6046">
        <v>1053</v>
      </c>
    </row>
    <row r="6047" spans="1:7">
      <c r="A6047" t="s">
        <v>1876</v>
      </c>
      <c r="B6047" t="s">
        <v>365</v>
      </c>
      <c r="C6047" t="s">
        <v>301</v>
      </c>
      <c r="D6047">
        <v>1</v>
      </c>
      <c r="E6047">
        <v>0</v>
      </c>
      <c r="F6047">
        <v>0</v>
      </c>
      <c r="G6047">
        <v>1</v>
      </c>
    </row>
    <row r="6048" spans="1:7">
      <c r="A6048" t="s">
        <v>1876</v>
      </c>
      <c r="B6048" t="s">
        <v>365</v>
      </c>
      <c r="C6048" t="s">
        <v>302</v>
      </c>
      <c r="D6048">
        <v>920</v>
      </c>
      <c r="E6048">
        <v>956</v>
      </c>
      <c r="F6048">
        <v>1031</v>
      </c>
      <c r="G6048">
        <v>1151</v>
      </c>
    </row>
    <row r="6049" spans="1:7">
      <c r="A6049" t="s">
        <v>1876</v>
      </c>
      <c r="B6049" t="s">
        <v>365</v>
      </c>
      <c r="C6049" t="s">
        <v>303</v>
      </c>
      <c r="D6049">
        <v>1482</v>
      </c>
      <c r="E6049">
        <v>1691</v>
      </c>
      <c r="F6049">
        <v>2110</v>
      </c>
      <c r="G6049">
        <v>5328</v>
      </c>
    </row>
    <row r="6050" spans="1:7">
      <c r="A6050" t="s">
        <v>1876</v>
      </c>
      <c r="B6050" t="s">
        <v>365</v>
      </c>
      <c r="C6050" t="s">
        <v>304</v>
      </c>
      <c r="D6050">
        <v>983</v>
      </c>
      <c r="E6050">
        <v>1022</v>
      </c>
      <c r="F6050">
        <v>1115</v>
      </c>
      <c r="G6050">
        <v>1238</v>
      </c>
    </row>
    <row r="6051" spans="1:7">
      <c r="A6051" t="s">
        <v>1876</v>
      </c>
      <c r="B6051" t="s">
        <v>365</v>
      </c>
      <c r="C6051" t="s">
        <v>1953</v>
      </c>
      <c r="D6051">
        <v>22.4</v>
      </c>
      <c r="E6051">
        <v>24.1</v>
      </c>
      <c r="F6051">
        <v>23.6</v>
      </c>
      <c r="G6051">
        <v>23.3</v>
      </c>
    </row>
    <row r="6052" spans="1:7">
      <c r="A6052" t="s">
        <v>1876</v>
      </c>
      <c r="B6052" t="s">
        <v>365</v>
      </c>
      <c r="C6052" t="s">
        <v>305</v>
      </c>
      <c r="D6052">
        <v>697704</v>
      </c>
      <c r="E6052">
        <v>756681</v>
      </c>
      <c r="F6052">
        <v>750541</v>
      </c>
      <c r="G6052">
        <v>758732</v>
      </c>
    </row>
    <row r="6053" spans="1:7">
      <c r="A6053" t="s">
        <v>1876</v>
      </c>
      <c r="B6053" t="s">
        <v>365</v>
      </c>
      <c r="C6053" t="s">
        <v>306</v>
      </c>
      <c r="D6053">
        <v>150.69999999999999</v>
      </c>
      <c r="E6053">
        <v>164.5</v>
      </c>
      <c r="F6053">
        <v>163.19999999999999</v>
      </c>
      <c r="G6053">
        <v>164.4</v>
      </c>
    </row>
    <row r="6054" spans="1:7">
      <c r="A6054" t="s">
        <v>1876</v>
      </c>
      <c r="B6054" t="s">
        <v>365</v>
      </c>
      <c r="C6054" t="s">
        <v>307</v>
      </c>
      <c r="D6054">
        <v>238191</v>
      </c>
      <c r="E6054">
        <v>238746</v>
      </c>
      <c r="F6054">
        <v>227183</v>
      </c>
      <c r="G6054">
        <v>226037</v>
      </c>
    </row>
    <row r="6055" spans="1:7">
      <c r="A6055" t="s">
        <v>1876</v>
      </c>
      <c r="B6055" t="s">
        <v>365</v>
      </c>
      <c r="C6055" t="s">
        <v>308</v>
      </c>
      <c r="D6055">
        <v>51.5</v>
      </c>
      <c r="E6055">
        <v>51.9</v>
      </c>
      <c r="F6055">
        <v>49.4</v>
      </c>
      <c r="G6055">
        <v>49</v>
      </c>
    </row>
    <row r="6056" spans="1:7">
      <c r="A6056" t="s">
        <v>1876</v>
      </c>
      <c r="B6056" t="s">
        <v>365</v>
      </c>
      <c r="C6056" t="s">
        <v>309</v>
      </c>
      <c r="D6056">
        <v>645878</v>
      </c>
      <c r="E6056">
        <v>673925</v>
      </c>
      <c r="F6056">
        <v>585511</v>
      </c>
      <c r="G6056">
        <v>620152</v>
      </c>
    </row>
    <row r="6057" spans="1:7">
      <c r="A6057" t="s">
        <v>1876</v>
      </c>
      <c r="B6057" t="s">
        <v>365</v>
      </c>
      <c r="C6057" t="s">
        <v>310</v>
      </c>
      <c r="D6057">
        <v>3016267</v>
      </c>
      <c r="E6057">
        <v>2982767</v>
      </c>
      <c r="F6057">
        <v>2955587</v>
      </c>
      <c r="G6057">
        <v>2997206</v>
      </c>
    </row>
    <row r="6058" spans="1:7">
      <c r="A6058" t="s">
        <v>1876</v>
      </c>
      <c r="B6058" t="s">
        <v>365</v>
      </c>
      <c r="C6058" t="s">
        <v>311</v>
      </c>
      <c r="D6058">
        <v>651.70000000000005</v>
      </c>
      <c r="E6058">
        <v>648.29999999999995</v>
      </c>
      <c r="F6058">
        <v>642.70000000000005</v>
      </c>
      <c r="G6058">
        <v>649.5</v>
      </c>
    </row>
    <row r="6059" spans="1:7">
      <c r="A6059" t="s">
        <v>1876</v>
      </c>
      <c r="B6059" t="s">
        <v>365</v>
      </c>
      <c r="C6059" t="s">
        <v>312</v>
      </c>
      <c r="D6059">
        <v>305340</v>
      </c>
      <c r="E6059">
        <v>302060</v>
      </c>
      <c r="F6059">
        <v>284348</v>
      </c>
      <c r="G6059">
        <v>282628</v>
      </c>
    </row>
    <row r="6060" spans="1:7">
      <c r="A6060" t="s">
        <v>1876</v>
      </c>
      <c r="B6060" t="s">
        <v>365</v>
      </c>
      <c r="C6060" t="s">
        <v>313</v>
      </c>
      <c r="D6060">
        <v>66</v>
      </c>
      <c r="E6060">
        <v>65.7</v>
      </c>
      <c r="F6060">
        <v>61.8</v>
      </c>
      <c r="G6060">
        <v>61.2</v>
      </c>
    </row>
    <row r="6061" spans="1:7">
      <c r="A6061" t="s">
        <v>1876</v>
      </c>
      <c r="B6061" t="s">
        <v>365</v>
      </c>
      <c r="C6061" t="s">
        <v>314</v>
      </c>
      <c r="D6061">
        <v>4257494</v>
      </c>
      <c r="E6061">
        <v>4280254</v>
      </c>
      <c r="F6061">
        <v>4217657</v>
      </c>
      <c r="G6061">
        <v>4264603</v>
      </c>
    </row>
    <row r="6062" spans="1:7">
      <c r="A6062" t="s">
        <v>1876</v>
      </c>
      <c r="B6062" t="s">
        <v>365</v>
      </c>
      <c r="C6062" t="s">
        <v>315</v>
      </c>
      <c r="D6062">
        <v>17.55</v>
      </c>
      <c r="E6062">
        <v>17.829999999999998</v>
      </c>
      <c r="F6062">
        <v>16.940000000000001</v>
      </c>
      <c r="G6062">
        <v>16.59</v>
      </c>
    </row>
    <row r="6063" spans="1:7">
      <c r="A6063" t="s">
        <v>1876</v>
      </c>
      <c r="B6063" t="s">
        <v>365</v>
      </c>
      <c r="C6063" t="s">
        <v>316</v>
      </c>
      <c r="D6063">
        <v>919.8</v>
      </c>
      <c r="E6063">
        <v>930.3</v>
      </c>
      <c r="F6063">
        <v>917.1</v>
      </c>
      <c r="G6063">
        <v>924.1</v>
      </c>
    </row>
    <row r="6064" spans="1:7">
      <c r="A6064" t="s">
        <v>1876</v>
      </c>
      <c r="B6064" t="s">
        <v>365</v>
      </c>
      <c r="C6064" t="s">
        <v>317</v>
      </c>
      <c r="D6064">
        <v>4257501</v>
      </c>
      <c r="E6064">
        <v>4280254</v>
      </c>
      <c r="F6064">
        <v>4217659</v>
      </c>
      <c r="G6064">
        <v>4264602</v>
      </c>
    </row>
    <row r="6065" spans="1:7">
      <c r="A6065" t="s">
        <v>1876</v>
      </c>
      <c r="B6065" t="s">
        <v>365</v>
      </c>
      <c r="C6065" t="s">
        <v>318</v>
      </c>
      <c r="D6065">
        <v>697654</v>
      </c>
      <c r="E6065">
        <v>756631</v>
      </c>
      <c r="F6065">
        <v>750494</v>
      </c>
      <c r="G6065">
        <v>758687</v>
      </c>
    </row>
    <row r="6066" spans="1:7">
      <c r="A6066" t="s">
        <v>1876</v>
      </c>
      <c r="B6066" t="s">
        <v>365</v>
      </c>
      <c r="C6066" t="s">
        <v>319</v>
      </c>
      <c r="D6066">
        <v>119896</v>
      </c>
      <c r="E6066">
        <v>123048</v>
      </c>
      <c r="F6066">
        <v>121005</v>
      </c>
      <c r="G6066">
        <v>118984</v>
      </c>
    </row>
    <row r="6067" spans="1:7">
      <c r="A6067" t="s">
        <v>1876</v>
      </c>
      <c r="B6067" t="s">
        <v>365</v>
      </c>
      <c r="C6067" t="s">
        <v>320</v>
      </c>
      <c r="D6067">
        <v>2816427</v>
      </c>
      <c r="E6067">
        <v>2785465</v>
      </c>
      <c r="F6067">
        <v>2777271</v>
      </c>
      <c r="G6067">
        <v>2812899</v>
      </c>
    </row>
    <row r="6068" spans="1:7">
      <c r="A6068" t="s">
        <v>1876</v>
      </c>
      <c r="B6068" t="s">
        <v>365</v>
      </c>
      <c r="C6068" t="s">
        <v>321</v>
      </c>
      <c r="D6068">
        <v>145180</v>
      </c>
      <c r="E6068">
        <v>147513</v>
      </c>
      <c r="F6068">
        <v>142379</v>
      </c>
      <c r="G6068">
        <v>142430</v>
      </c>
    </row>
    <row r="6069" spans="1:7">
      <c r="A6069" t="s">
        <v>1876</v>
      </c>
      <c r="B6069" t="s">
        <v>365</v>
      </c>
      <c r="C6069" t="s">
        <v>1954</v>
      </c>
      <c r="D6069">
        <v>3779156</v>
      </c>
      <c r="E6069">
        <v>3812658</v>
      </c>
      <c r="F6069">
        <v>3791148</v>
      </c>
      <c r="G6069">
        <v>3832999</v>
      </c>
    </row>
    <row r="6070" spans="1:7">
      <c r="A6070" t="s">
        <v>1876</v>
      </c>
      <c r="B6070" t="s">
        <v>365</v>
      </c>
      <c r="C6070" t="s">
        <v>323</v>
      </c>
      <c r="D6070">
        <v>4629</v>
      </c>
      <c r="E6070">
        <v>4601</v>
      </c>
      <c r="F6070">
        <v>4599</v>
      </c>
      <c r="G6070">
        <v>4615</v>
      </c>
    </row>
    <row r="6071" spans="1:7">
      <c r="A6071" t="s">
        <v>1876</v>
      </c>
      <c r="B6071" t="s">
        <v>365</v>
      </c>
      <c r="C6071" t="s">
        <v>324</v>
      </c>
      <c r="D6071">
        <v>7847</v>
      </c>
      <c r="E6071">
        <v>0</v>
      </c>
      <c r="F6071">
        <v>0</v>
      </c>
      <c r="G6071">
        <v>0</v>
      </c>
    </row>
    <row r="6072" spans="1:7">
      <c r="A6072" t="s">
        <v>1876</v>
      </c>
      <c r="B6072" t="s">
        <v>365</v>
      </c>
      <c r="C6072" t="s">
        <v>325</v>
      </c>
      <c r="D6072">
        <v>0</v>
      </c>
      <c r="E6072">
        <v>0</v>
      </c>
      <c r="F6072">
        <v>0</v>
      </c>
      <c r="G6072">
        <v>0</v>
      </c>
    </row>
    <row r="6073" spans="1:7">
      <c r="A6073" t="s">
        <v>1876</v>
      </c>
      <c r="B6073" t="s">
        <v>365</v>
      </c>
      <c r="C6073" t="s">
        <v>326</v>
      </c>
      <c r="D6073">
        <v>94</v>
      </c>
      <c r="E6073">
        <v>99</v>
      </c>
      <c r="F6073">
        <v>72</v>
      </c>
      <c r="G6073">
        <v>83</v>
      </c>
    </row>
    <row r="6074" spans="1:7">
      <c r="A6074" t="s">
        <v>1876</v>
      </c>
      <c r="B6074" t="s">
        <v>365</v>
      </c>
      <c r="C6074" t="s">
        <v>327</v>
      </c>
      <c r="D6074">
        <v>0</v>
      </c>
      <c r="E6074">
        <v>0</v>
      </c>
      <c r="F6074">
        <v>0</v>
      </c>
      <c r="G6074">
        <v>0</v>
      </c>
    </row>
    <row r="6075" spans="1:7">
      <c r="A6075" t="s">
        <v>1876</v>
      </c>
      <c r="B6075" t="s">
        <v>365</v>
      </c>
      <c r="C6075" t="s">
        <v>1723</v>
      </c>
      <c r="D6075">
        <v>408</v>
      </c>
      <c r="E6075">
        <v>408</v>
      </c>
      <c r="F6075">
        <v>408</v>
      </c>
      <c r="G6075">
        <v>408</v>
      </c>
    </row>
    <row r="6076" spans="1:7">
      <c r="A6076" t="s">
        <v>1876</v>
      </c>
      <c r="B6076" t="s">
        <v>365</v>
      </c>
      <c r="C6076" t="s">
        <v>328</v>
      </c>
      <c r="D6076">
        <v>93552</v>
      </c>
      <c r="E6076">
        <v>104428</v>
      </c>
      <c r="F6076">
        <v>104810</v>
      </c>
      <c r="G6076">
        <v>108013</v>
      </c>
    </row>
    <row r="6077" spans="1:7">
      <c r="A6077" t="s">
        <v>1876</v>
      </c>
      <c r="B6077" t="s">
        <v>365</v>
      </c>
      <c r="C6077" t="s">
        <v>329</v>
      </c>
      <c r="D6077">
        <v>488</v>
      </c>
      <c r="E6077">
        <v>647</v>
      </c>
      <c r="F6077">
        <v>400</v>
      </c>
      <c r="G6077">
        <v>433</v>
      </c>
    </row>
    <row r="6078" spans="1:7">
      <c r="A6078" t="s">
        <v>1876</v>
      </c>
      <c r="B6078" t="s">
        <v>365</v>
      </c>
      <c r="C6078" t="s">
        <v>330</v>
      </c>
      <c r="D6078">
        <v>94134</v>
      </c>
      <c r="E6078">
        <v>105174</v>
      </c>
      <c r="F6078">
        <v>105282</v>
      </c>
      <c r="G6078">
        <v>108529</v>
      </c>
    </row>
    <row r="6079" spans="1:7">
      <c r="A6079" t="s">
        <v>1876</v>
      </c>
      <c r="B6079" t="s">
        <v>365</v>
      </c>
      <c r="C6079" t="s">
        <v>331</v>
      </c>
      <c r="D6079">
        <v>0</v>
      </c>
      <c r="E6079">
        <v>0</v>
      </c>
      <c r="F6079">
        <v>0</v>
      </c>
      <c r="G6079">
        <v>0</v>
      </c>
    </row>
    <row r="6080" spans="1:7">
      <c r="A6080" t="s">
        <v>1876</v>
      </c>
      <c r="B6080" t="s">
        <v>365</v>
      </c>
      <c r="C6080" t="s">
        <v>332</v>
      </c>
      <c r="D6080">
        <v>1377</v>
      </c>
      <c r="E6080">
        <v>1319</v>
      </c>
      <c r="F6080">
        <v>1387</v>
      </c>
      <c r="G6080">
        <v>1302</v>
      </c>
    </row>
    <row r="6081" spans="1:7">
      <c r="A6081" t="s">
        <v>1876</v>
      </c>
      <c r="B6081" t="s">
        <v>365</v>
      </c>
      <c r="C6081" t="s">
        <v>1724</v>
      </c>
      <c r="D6081">
        <v>14</v>
      </c>
      <c r="E6081">
        <v>14</v>
      </c>
      <c r="F6081">
        <v>14</v>
      </c>
      <c r="G6081">
        <v>12</v>
      </c>
    </row>
    <row r="6082" spans="1:7">
      <c r="A6082" t="s">
        <v>1876</v>
      </c>
      <c r="B6082" t="s">
        <v>365</v>
      </c>
      <c r="C6082" t="s">
        <v>333</v>
      </c>
      <c r="D6082">
        <v>12142</v>
      </c>
      <c r="E6082">
        <v>10535</v>
      </c>
      <c r="F6082">
        <v>10325</v>
      </c>
      <c r="G6082">
        <v>10040</v>
      </c>
    </row>
    <row r="6083" spans="1:7">
      <c r="A6083" t="s">
        <v>1876</v>
      </c>
      <c r="B6083" t="s">
        <v>365</v>
      </c>
      <c r="C6083" t="s">
        <v>334</v>
      </c>
      <c r="D6083">
        <v>13518</v>
      </c>
      <c r="E6083">
        <v>11853</v>
      </c>
      <c r="F6083">
        <v>11713</v>
      </c>
      <c r="G6083">
        <v>11342</v>
      </c>
    </row>
    <row r="6084" spans="1:7">
      <c r="A6084" t="s">
        <v>1876</v>
      </c>
      <c r="B6084" t="s">
        <v>365</v>
      </c>
      <c r="C6084" t="s">
        <v>335</v>
      </c>
      <c r="D6084">
        <v>94</v>
      </c>
      <c r="E6084">
        <v>99</v>
      </c>
      <c r="F6084">
        <v>72</v>
      </c>
      <c r="G6084">
        <v>83</v>
      </c>
    </row>
    <row r="6085" spans="1:7">
      <c r="A6085" t="s">
        <v>1876</v>
      </c>
      <c r="B6085" t="s">
        <v>365</v>
      </c>
      <c r="C6085" t="s">
        <v>336</v>
      </c>
      <c r="D6085">
        <v>1377</v>
      </c>
      <c r="E6085">
        <v>1319</v>
      </c>
      <c r="F6085">
        <v>1387</v>
      </c>
      <c r="G6085">
        <v>1302</v>
      </c>
    </row>
    <row r="6086" spans="1:7">
      <c r="A6086" t="s">
        <v>1876</v>
      </c>
      <c r="B6086" t="s">
        <v>365</v>
      </c>
      <c r="C6086" t="s">
        <v>337</v>
      </c>
      <c r="D6086">
        <v>105694</v>
      </c>
      <c r="E6086">
        <v>114962</v>
      </c>
      <c r="F6086">
        <v>115136</v>
      </c>
      <c r="G6086">
        <v>118053</v>
      </c>
    </row>
    <row r="6087" spans="1:7">
      <c r="A6087" t="s">
        <v>1876</v>
      </c>
      <c r="B6087" t="s">
        <v>365</v>
      </c>
      <c r="C6087" t="s">
        <v>338</v>
      </c>
      <c r="D6087">
        <v>107652</v>
      </c>
      <c r="E6087">
        <v>117027</v>
      </c>
      <c r="F6087">
        <v>116995</v>
      </c>
      <c r="G6087">
        <v>119871</v>
      </c>
    </row>
    <row r="6088" spans="1:7">
      <c r="A6088" t="s">
        <v>1876</v>
      </c>
      <c r="B6088" t="s">
        <v>365</v>
      </c>
      <c r="C6088" t="s">
        <v>339</v>
      </c>
      <c r="D6088">
        <v>106275</v>
      </c>
      <c r="E6088">
        <v>115709</v>
      </c>
      <c r="F6088">
        <v>115608</v>
      </c>
      <c r="G6088">
        <v>118569</v>
      </c>
    </row>
    <row r="6089" spans="1:7">
      <c r="A6089" t="s">
        <v>1876</v>
      </c>
      <c r="B6089" t="s">
        <v>365</v>
      </c>
      <c r="C6089" t="s">
        <v>340</v>
      </c>
      <c r="D6089">
        <v>120</v>
      </c>
      <c r="E6089">
        <v>120</v>
      </c>
      <c r="F6089">
        <v>83</v>
      </c>
      <c r="G6089">
        <v>102</v>
      </c>
    </row>
    <row r="6090" spans="1:7">
      <c r="A6090" t="s">
        <v>1876</v>
      </c>
      <c r="B6090" t="s">
        <v>365</v>
      </c>
      <c r="C6090" t="s">
        <v>1955</v>
      </c>
      <c r="D6090">
        <v>0</v>
      </c>
      <c r="E6090">
        <v>0</v>
      </c>
      <c r="F6090">
        <v>0</v>
      </c>
      <c r="G6090">
        <v>0</v>
      </c>
    </row>
    <row r="6091" spans="1:7">
      <c r="A6091" t="s">
        <v>1876</v>
      </c>
      <c r="B6091" t="s">
        <v>365</v>
      </c>
      <c r="C6091" t="s">
        <v>341</v>
      </c>
      <c r="D6091">
        <v>0</v>
      </c>
      <c r="E6091">
        <v>0</v>
      </c>
      <c r="F6091">
        <v>0</v>
      </c>
      <c r="G6091">
        <v>0</v>
      </c>
    </row>
    <row r="6092" spans="1:7">
      <c r="A6092" t="s">
        <v>1876</v>
      </c>
      <c r="B6092" t="s">
        <v>365</v>
      </c>
      <c r="C6092" t="s">
        <v>342</v>
      </c>
      <c r="D6092">
        <v>0</v>
      </c>
      <c r="E6092">
        <v>0</v>
      </c>
      <c r="F6092">
        <v>0</v>
      </c>
      <c r="G6092">
        <v>0</v>
      </c>
    </row>
    <row r="6093" spans="1:7">
      <c r="A6093" t="s">
        <v>1876</v>
      </c>
      <c r="B6093" t="s">
        <v>365</v>
      </c>
      <c r="C6093" t="s">
        <v>1725</v>
      </c>
      <c r="D6093">
        <v>0</v>
      </c>
      <c r="E6093">
        <v>0</v>
      </c>
      <c r="F6093">
        <v>0</v>
      </c>
      <c r="G6093">
        <v>0</v>
      </c>
    </row>
    <row r="6094" spans="1:7">
      <c r="A6094" t="s">
        <v>1876</v>
      </c>
      <c r="B6094" t="s">
        <v>365</v>
      </c>
      <c r="C6094" t="s">
        <v>343</v>
      </c>
      <c r="D6094">
        <v>0</v>
      </c>
      <c r="E6094">
        <v>0</v>
      </c>
      <c r="F6094">
        <v>0</v>
      </c>
      <c r="G6094">
        <v>0</v>
      </c>
    </row>
    <row r="6095" spans="1:7">
      <c r="A6095" t="s">
        <v>1876</v>
      </c>
      <c r="B6095" t="s">
        <v>365</v>
      </c>
      <c r="C6095" t="s">
        <v>344</v>
      </c>
      <c r="D6095">
        <v>0</v>
      </c>
      <c r="E6095">
        <v>0</v>
      </c>
      <c r="F6095">
        <v>0</v>
      </c>
      <c r="G6095">
        <v>0</v>
      </c>
    </row>
    <row r="6096" spans="1:7">
      <c r="A6096" t="s">
        <v>1876</v>
      </c>
      <c r="B6096" t="s">
        <v>365</v>
      </c>
      <c r="C6096" t="s">
        <v>345</v>
      </c>
      <c r="D6096">
        <v>0</v>
      </c>
      <c r="E6096">
        <v>0</v>
      </c>
      <c r="F6096">
        <v>0</v>
      </c>
      <c r="G6096">
        <v>0</v>
      </c>
    </row>
    <row r="6097" spans="1:7">
      <c r="A6097" t="s">
        <v>1876</v>
      </c>
      <c r="B6097" t="s">
        <v>365</v>
      </c>
      <c r="C6097" t="s">
        <v>1956</v>
      </c>
      <c r="D6097">
        <v>1377</v>
      </c>
      <c r="E6097">
        <v>1319</v>
      </c>
      <c r="F6097">
        <v>1387</v>
      </c>
      <c r="G6097">
        <v>1302</v>
      </c>
    </row>
    <row r="6098" spans="1:7">
      <c r="A6098" t="s">
        <v>1876</v>
      </c>
      <c r="B6098" t="s">
        <v>365</v>
      </c>
      <c r="C6098" t="s">
        <v>1957</v>
      </c>
      <c r="D6098">
        <v>13518</v>
      </c>
      <c r="E6098">
        <v>11853</v>
      </c>
      <c r="F6098">
        <v>11713</v>
      </c>
      <c r="G6098">
        <v>11342</v>
      </c>
    </row>
    <row r="6099" spans="1:7">
      <c r="A6099" t="s">
        <v>1876</v>
      </c>
      <c r="B6099" t="s">
        <v>365</v>
      </c>
      <c r="C6099" t="s">
        <v>346</v>
      </c>
      <c r="D6099">
        <v>2703</v>
      </c>
      <c r="E6099">
        <v>2790</v>
      </c>
      <c r="F6099">
        <v>3235</v>
      </c>
      <c r="G6099">
        <v>3147</v>
      </c>
    </row>
    <row r="6100" spans="1:7">
      <c r="A6100" t="s">
        <v>1876</v>
      </c>
      <c r="B6100" t="s">
        <v>365</v>
      </c>
      <c r="C6100" t="s">
        <v>347</v>
      </c>
      <c r="D6100">
        <v>1510</v>
      </c>
      <c r="E6100">
        <v>1686</v>
      </c>
      <c r="F6100">
        <v>1260</v>
      </c>
      <c r="G6100">
        <v>1308</v>
      </c>
    </row>
    <row r="6101" spans="1:7">
      <c r="A6101" t="s">
        <v>1876</v>
      </c>
      <c r="B6101" t="s">
        <v>366</v>
      </c>
      <c r="C6101" t="s">
        <v>133</v>
      </c>
      <c r="D6101">
        <v>0</v>
      </c>
      <c r="E6101">
        <v>0</v>
      </c>
      <c r="F6101">
        <v>0</v>
      </c>
      <c r="G6101">
        <v>0</v>
      </c>
    </row>
    <row r="6102" spans="1:7">
      <c r="A6102" t="s">
        <v>1876</v>
      </c>
      <c r="B6102" t="s">
        <v>366</v>
      </c>
      <c r="C6102" t="s">
        <v>134</v>
      </c>
      <c r="D6102">
        <v>15209</v>
      </c>
      <c r="E6102">
        <v>15515</v>
      </c>
      <c r="F6102">
        <v>13273</v>
      </c>
      <c r="G6102">
        <v>14064</v>
      </c>
    </row>
    <row r="6103" spans="1:7">
      <c r="A6103" t="s">
        <v>1876</v>
      </c>
      <c r="B6103" t="s">
        <v>366</v>
      </c>
      <c r="C6103" t="s">
        <v>135</v>
      </c>
      <c r="D6103">
        <v>15209</v>
      </c>
      <c r="E6103">
        <v>15515</v>
      </c>
      <c r="F6103">
        <v>13273</v>
      </c>
      <c r="G6103">
        <v>14064</v>
      </c>
    </row>
    <row r="6104" spans="1:7">
      <c r="A6104" t="s">
        <v>1876</v>
      </c>
      <c r="B6104" t="s">
        <v>366</v>
      </c>
      <c r="C6104" t="s">
        <v>136</v>
      </c>
      <c r="D6104">
        <v>15209</v>
      </c>
      <c r="E6104">
        <v>15515</v>
      </c>
      <c r="F6104">
        <v>13273</v>
      </c>
      <c r="G6104">
        <v>14064</v>
      </c>
    </row>
    <row r="6105" spans="1:7">
      <c r="A6105" t="s">
        <v>1876</v>
      </c>
      <c r="B6105" t="s">
        <v>366</v>
      </c>
      <c r="C6105" t="s">
        <v>137</v>
      </c>
      <c r="D6105">
        <v>359</v>
      </c>
      <c r="E6105">
        <v>372</v>
      </c>
      <c r="F6105">
        <v>353</v>
      </c>
      <c r="G6105">
        <v>379</v>
      </c>
    </row>
    <row r="6106" spans="1:7">
      <c r="A6106" t="s">
        <v>1876</v>
      </c>
      <c r="B6106" t="s">
        <v>366</v>
      </c>
      <c r="C6106" t="s">
        <v>138</v>
      </c>
      <c r="D6106">
        <v>359</v>
      </c>
      <c r="E6106">
        <v>372</v>
      </c>
      <c r="F6106">
        <v>353</v>
      </c>
      <c r="G6106">
        <v>379</v>
      </c>
    </row>
    <row r="6107" spans="1:7">
      <c r="A6107" t="s">
        <v>1876</v>
      </c>
      <c r="B6107" t="s">
        <v>366</v>
      </c>
      <c r="C6107" t="s">
        <v>139</v>
      </c>
      <c r="D6107">
        <v>359</v>
      </c>
      <c r="E6107">
        <v>372</v>
      </c>
      <c r="F6107">
        <v>353</v>
      </c>
      <c r="G6107">
        <v>379</v>
      </c>
    </row>
    <row r="6108" spans="1:7">
      <c r="A6108" t="s">
        <v>1876</v>
      </c>
      <c r="B6108" t="s">
        <v>366</v>
      </c>
      <c r="C6108" t="s">
        <v>1877</v>
      </c>
      <c r="D6108">
        <v>0</v>
      </c>
      <c r="E6108">
        <v>0</v>
      </c>
      <c r="F6108">
        <v>0</v>
      </c>
      <c r="G6108">
        <v>0</v>
      </c>
    </row>
    <row r="6109" spans="1:7">
      <c r="A6109" t="s">
        <v>1876</v>
      </c>
      <c r="B6109" t="s">
        <v>366</v>
      </c>
      <c r="C6109" t="s">
        <v>1700</v>
      </c>
      <c r="D6109">
        <v>0</v>
      </c>
      <c r="E6109">
        <v>0</v>
      </c>
      <c r="F6109">
        <v>0</v>
      </c>
      <c r="G6109">
        <v>0</v>
      </c>
    </row>
    <row r="6110" spans="1:7">
      <c r="A6110" t="s">
        <v>1876</v>
      </c>
      <c r="B6110" t="s">
        <v>366</v>
      </c>
      <c r="C6110" t="s">
        <v>1878</v>
      </c>
      <c r="D6110">
        <v>0</v>
      </c>
      <c r="E6110">
        <v>0</v>
      </c>
      <c r="F6110">
        <v>0</v>
      </c>
      <c r="G6110">
        <v>0</v>
      </c>
    </row>
    <row r="6111" spans="1:7">
      <c r="A6111" t="s">
        <v>1876</v>
      </c>
      <c r="B6111" t="s">
        <v>366</v>
      </c>
      <c r="C6111" t="s">
        <v>1879</v>
      </c>
      <c r="D6111">
        <v>0</v>
      </c>
      <c r="E6111">
        <v>0</v>
      </c>
      <c r="F6111">
        <v>0</v>
      </c>
      <c r="G6111">
        <v>0</v>
      </c>
    </row>
    <row r="6112" spans="1:7">
      <c r="A6112" t="s">
        <v>1876</v>
      </c>
      <c r="B6112" t="s">
        <v>366</v>
      </c>
      <c r="C6112" t="s">
        <v>1701</v>
      </c>
      <c r="D6112">
        <v>0</v>
      </c>
      <c r="E6112">
        <v>0</v>
      </c>
      <c r="F6112">
        <v>0</v>
      </c>
      <c r="G6112">
        <v>0</v>
      </c>
    </row>
    <row r="6113" spans="1:7">
      <c r="A6113" t="s">
        <v>1876</v>
      </c>
      <c r="B6113" t="s">
        <v>366</v>
      </c>
      <c r="C6113" t="s">
        <v>1880</v>
      </c>
      <c r="D6113">
        <v>629</v>
      </c>
      <c r="E6113">
        <v>573</v>
      </c>
      <c r="F6113">
        <v>670</v>
      </c>
      <c r="G6113">
        <v>621</v>
      </c>
    </row>
    <row r="6114" spans="1:7">
      <c r="A6114" t="s">
        <v>1876</v>
      </c>
      <c r="B6114" t="s">
        <v>366</v>
      </c>
      <c r="C6114" t="s">
        <v>140</v>
      </c>
      <c r="D6114">
        <v>1479</v>
      </c>
      <c r="E6114">
        <v>1384</v>
      </c>
      <c r="F6114">
        <v>1807</v>
      </c>
      <c r="G6114">
        <v>1770</v>
      </c>
    </row>
    <row r="6115" spans="1:7">
      <c r="A6115" t="s">
        <v>1876</v>
      </c>
      <c r="B6115" t="s">
        <v>366</v>
      </c>
      <c r="C6115" t="s">
        <v>1881</v>
      </c>
      <c r="D6115">
        <v>850</v>
      </c>
      <c r="E6115">
        <v>811</v>
      </c>
      <c r="F6115">
        <v>1137</v>
      </c>
      <c r="G6115">
        <v>1149</v>
      </c>
    </row>
    <row r="6116" spans="1:7">
      <c r="A6116" t="s">
        <v>1876</v>
      </c>
      <c r="B6116" t="s">
        <v>366</v>
      </c>
      <c r="C6116" t="s">
        <v>1882</v>
      </c>
      <c r="D6116">
        <v>0</v>
      </c>
      <c r="E6116">
        <v>0</v>
      </c>
      <c r="F6116">
        <v>0</v>
      </c>
      <c r="G6116">
        <v>0</v>
      </c>
    </row>
    <row r="6117" spans="1:7">
      <c r="A6117" t="s">
        <v>1876</v>
      </c>
      <c r="B6117" t="s">
        <v>366</v>
      </c>
      <c r="C6117" t="s">
        <v>1883</v>
      </c>
      <c r="D6117">
        <v>0</v>
      </c>
      <c r="E6117">
        <v>0</v>
      </c>
      <c r="F6117">
        <v>0</v>
      </c>
      <c r="G6117">
        <v>0</v>
      </c>
    </row>
    <row r="6118" spans="1:7">
      <c r="A6118" t="s">
        <v>1876</v>
      </c>
      <c r="B6118" t="s">
        <v>366</v>
      </c>
      <c r="C6118" t="s">
        <v>1884</v>
      </c>
      <c r="D6118">
        <v>0</v>
      </c>
      <c r="E6118">
        <v>0</v>
      </c>
      <c r="F6118">
        <v>0</v>
      </c>
      <c r="G6118">
        <v>0</v>
      </c>
    </row>
    <row r="6119" spans="1:7">
      <c r="A6119" t="s">
        <v>1876</v>
      </c>
      <c r="B6119" t="s">
        <v>366</v>
      </c>
      <c r="C6119" t="s">
        <v>1885</v>
      </c>
      <c r="D6119">
        <v>0</v>
      </c>
      <c r="E6119">
        <v>0</v>
      </c>
      <c r="F6119">
        <v>0</v>
      </c>
      <c r="G6119">
        <v>0</v>
      </c>
    </row>
    <row r="6120" spans="1:7">
      <c r="A6120" t="s">
        <v>1876</v>
      </c>
      <c r="B6120" t="s">
        <v>366</v>
      </c>
      <c r="C6120" t="s">
        <v>1886</v>
      </c>
      <c r="D6120">
        <v>0</v>
      </c>
      <c r="E6120">
        <v>0</v>
      </c>
      <c r="F6120">
        <v>0</v>
      </c>
      <c r="G6120">
        <v>0</v>
      </c>
    </row>
    <row r="6121" spans="1:7">
      <c r="A6121" t="s">
        <v>1876</v>
      </c>
      <c r="B6121" t="s">
        <v>366</v>
      </c>
      <c r="C6121" t="s">
        <v>141</v>
      </c>
      <c r="D6121">
        <v>1</v>
      </c>
      <c r="E6121">
        <v>1</v>
      </c>
      <c r="F6121">
        <v>2</v>
      </c>
      <c r="G6121">
        <v>2</v>
      </c>
    </row>
    <row r="6122" spans="1:7">
      <c r="A6122" t="s">
        <v>1876</v>
      </c>
      <c r="B6122" t="s">
        <v>366</v>
      </c>
      <c r="C6122" t="s">
        <v>1887</v>
      </c>
      <c r="D6122">
        <v>0</v>
      </c>
      <c r="E6122">
        <v>0</v>
      </c>
      <c r="F6122">
        <v>0</v>
      </c>
      <c r="G6122">
        <v>0</v>
      </c>
    </row>
    <row r="6123" spans="1:7">
      <c r="A6123" t="s">
        <v>1876</v>
      </c>
      <c r="B6123" t="s">
        <v>366</v>
      </c>
      <c r="C6123" t="s">
        <v>1888</v>
      </c>
      <c r="D6123">
        <v>0</v>
      </c>
      <c r="E6123">
        <v>0</v>
      </c>
      <c r="F6123">
        <v>0</v>
      </c>
      <c r="G6123">
        <v>0</v>
      </c>
    </row>
    <row r="6124" spans="1:7">
      <c r="A6124" t="s">
        <v>1876</v>
      </c>
      <c r="B6124" t="s">
        <v>366</v>
      </c>
      <c r="C6124" t="s">
        <v>1889</v>
      </c>
      <c r="D6124">
        <v>629</v>
      </c>
      <c r="E6124">
        <v>573</v>
      </c>
      <c r="F6124">
        <v>670</v>
      </c>
      <c r="G6124">
        <v>621</v>
      </c>
    </row>
    <row r="6125" spans="1:7">
      <c r="A6125" t="s">
        <v>1876</v>
      </c>
      <c r="B6125" t="s">
        <v>366</v>
      </c>
      <c r="C6125" t="s">
        <v>1890</v>
      </c>
      <c r="D6125">
        <v>0</v>
      </c>
      <c r="E6125">
        <v>0</v>
      </c>
      <c r="F6125">
        <v>0</v>
      </c>
      <c r="G6125">
        <v>0</v>
      </c>
    </row>
    <row r="6126" spans="1:7">
      <c r="A6126" t="s">
        <v>1876</v>
      </c>
      <c r="B6126" t="s">
        <v>366</v>
      </c>
      <c r="C6126" t="s">
        <v>1891</v>
      </c>
    </row>
    <row r="6127" spans="1:7">
      <c r="A6127" t="s">
        <v>1876</v>
      </c>
      <c r="B6127" t="s">
        <v>366</v>
      </c>
      <c r="C6127" t="s">
        <v>1892</v>
      </c>
      <c r="D6127">
        <v>850</v>
      </c>
      <c r="E6127">
        <v>811</v>
      </c>
      <c r="F6127">
        <v>1137</v>
      </c>
      <c r="G6127">
        <v>1149</v>
      </c>
    </row>
    <row r="6128" spans="1:7">
      <c r="A6128" t="s">
        <v>1876</v>
      </c>
      <c r="B6128" t="s">
        <v>366</v>
      </c>
      <c r="C6128" t="s">
        <v>142</v>
      </c>
      <c r="D6128">
        <v>1479</v>
      </c>
      <c r="E6128">
        <v>1384</v>
      </c>
      <c r="F6128">
        <v>1807</v>
      </c>
      <c r="G6128">
        <v>1770</v>
      </c>
    </row>
    <row r="6129" spans="1:7">
      <c r="A6129" t="s">
        <v>1876</v>
      </c>
      <c r="B6129" t="s">
        <v>366</v>
      </c>
      <c r="C6129" t="s">
        <v>1893</v>
      </c>
      <c r="D6129">
        <v>1479</v>
      </c>
      <c r="E6129">
        <v>1384</v>
      </c>
      <c r="F6129">
        <v>1807</v>
      </c>
      <c r="G6129">
        <v>1770</v>
      </c>
    </row>
    <row r="6130" spans="1:7">
      <c r="A6130" t="s">
        <v>1876</v>
      </c>
      <c r="B6130" t="s">
        <v>366</v>
      </c>
      <c r="C6130" t="s">
        <v>1894</v>
      </c>
      <c r="D6130">
        <v>850</v>
      </c>
      <c r="E6130">
        <v>811</v>
      </c>
      <c r="F6130">
        <v>1137</v>
      </c>
      <c r="G6130">
        <v>1149</v>
      </c>
    </row>
    <row r="6131" spans="1:7">
      <c r="A6131" t="s">
        <v>1876</v>
      </c>
      <c r="B6131" t="s">
        <v>366</v>
      </c>
      <c r="C6131" t="s">
        <v>143</v>
      </c>
      <c r="D6131">
        <v>1</v>
      </c>
      <c r="E6131">
        <v>1</v>
      </c>
      <c r="F6131">
        <v>2</v>
      </c>
      <c r="G6131">
        <v>2</v>
      </c>
    </row>
    <row r="6132" spans="1:7">
      <c r="A6132" t="s">
        <v>1876</v>
      </c>
      <c r="B6132" t="s">
        <v>366</v>
      </c>
      <c r="C6132" t="s">
        <v>144</v>
      </c>
      <c r="D6132">
        <v>23157</v>
      </c>
      <c r="E6132">
        <v>23163</v>
      </c>
      <c r="F6132">
        <v>23806</v>
      </c>
      <c r="G6132">
        <v>24057</v>
      </c>
    </row>
    <row r="6133" spans="1:7">
      <c r="A6133" t="s">
        <v>1876</v>
      </c>
      <c r="B6133" t="s">
        <v>366</v>
      </c>
      <c r="C6133" t="s">
        <v>1895</v>
      </c>
      <c r="D6133">
        <v>76.8</v>
      </c>
      <c r="E6133">
        <v>76.900000000000006</v>
      </c>
      <c r="F6133">
        <v>77.7</v>
      </c>
      <c r="G6133">
        <v>77.8</v>
      </c>
    </row>
    <row r="6134" spans="1:7">
      <c r="A6134" t="s">
        <v>1876</v>
      </c>
      <c r="B6134" t="s">
        <v>366</v>
      </c>
      <c r="C6134" t="s">
        <v>145</v>
      </c>
      <c r="D6134">
        <v>55621</v>
      </c>
      <c r="E6134">
        <v>58394</v>
      </c>
      <c r="F6134">
        <v>57058</v>
      </c>
      <c r="G6134">
        <v>56861</v>
      </c>
    </row>
    <row r="6135" spans="1:7">
      <c r="A6135" t="s">
        <v>1876</v>
      </c>
      <c r="B6135" t="s">
        <v>366</v>
      </c>
      <c r="C6135" t="s">
        <v>146</v>
      </c>
      <c r="D6135">
        <v>0</v>
      </c>
      <c r="E6135">
        <v>0</v>
      </c>
      <c r="F6135">
        <v>0</v>
      </c>
      <c r="G6135">
        <v>0</v>
      </c>
    </row>
    <row r="6136" spans="1:7">
      <c r="A6136" t="s">
        <v>1876</v>
      </c>
      <c r="B6136" t="s">
        <v>366</v>
      </c>
      <c r="C6136" t="s">
        <v>147</v>
      </c>
      <c r="D6136">
        <v>0</v>
      </c>
      <c r="E6136">
        <v>0</v>
      </c>
      <c r="F6136">
        <v>0</v>
      </c>
      <c r="G6136">
        <v>0</v>
      </c>
    </row>
    <row r="6137" spans="1:7">
      <c r="A6137" t="s">
        <v>1876</v>
      </c>
      <c r="B6137" t="s">
        <v>366</v>
      </c>
      <c r="C6137" t="s">
        <v>1896</v>
      </c>
      <c r="D6137">
        <v>1.1000000000000001</v>
      </c>
      <c r="E6137">
        <v>1.8</v>
      </c>
      <c r="F6137">
        <v>1.8</v>
      </c>
      <c r="G6137">
        <v>2.6</v>
      </c>
    </row>
    <row r="6138" spans="1:7">
      <c r="A6138" t="s">
        <v>1876</v>
      </c>
      <c r="B6138" t="s">
        <v>366</v>
      </c>
      <c r="C6138" t="s">
        <v>1702</v>
      </c>
      <c r="D6138">
        <v>183</v>
      </c>
      <c r="E6138">
        <v>241</v>
      </c>
      <c r="F6138">
        <v>268</v>
      </c>
      <c r="G6138">
        <v>306</v>
      </c>
    </row>
    <row r="6139" spans="1:7">
      <c r="A6139" t="s">
        <v>1876</v>
      </c>
      <c r="B6139" t="s">
        <v>366</v>
      </c>
      <c r="C6139" t="s">
        <v>1897</v>
      </c>
      <c r="D6139">
        <v>29.5</v>
      </c>
      <c r="E6139">
        <v>41.5</v>
      </c>
      <c r="F6139">
        <v>70.599999999999994</v>
      </c>
      <c r="G6139">
        <v>88</v>
      </c>
    </row>
    <row r="6140" spans="1:7">
      <c r="A6140" t="s">
        <v>1876</v>
      </c>
      <c r="B6140" t="s">
        <v>366</v>
      </c>
      <c r="C6140" t="s">
        <v>1898</v>
      </c>
      <c r="D6140">
        <v>50</v>
      </c>
      <c r="E6140">
        <v>80</v>
      </c>
      <c r="F6140">
        <v>224</v>
      </c>
      <c r="G6140">
        <v>312</v>
      </c>
    </row>
    <row r="6141" spans="1:7">
      <c r="A6141" t="s">
        <v>1876</v>
      </c>
      <c r="B6141" t="s">
        <v>366</v>
      </c>
      <c r="C6141" t="s">
        <v>1899</v>
      </c>
      <c r="D6141">
        <v>850</v>
      </c>
      <c r="E6141">
        <v>811</v>
      </c>
      <c r="F6141">
        <v>1137</v>
      </c>
      <c r="G6141">
        <v>1149</v>
      </c>
    </row>
    <row r="6142" spans="1:7">
      <c r="A6142" t="s">
        <v>1876</v>
      </c>
      <c r="B6142" t="s">
        <v>366</v>
      </c>
      <c r="C6142" t="s">
        <v>148</v>
      </c>
      <c r="D6142">
        <v>0</v>
      </c>
      <c r="E6142">
        <v>0</v>
      </c>
      <c r="F6142">
        <v>0</v>
      </c>
      <c r="G6142">
        <v>0</v>
      </c>
    </row>
    <row r="6143" spans="1:7">
      <c r="A6143" t="s">
        <v>1876</v>
      </c>
      <c r="B6143" t="s">
        <v>366</v>
      </c>
      <c r="C6143" t="s">
        <v>149</v>
      </c>
      <c r="D6143">
        <v>0</v>
      </c>
      <c r="E6143">
        <v>0</v>
      </c>
      <c r="F6143">
        <v>0</v>
      </c>
      <c r="G6143">
        <v>0</v>
      </c>
    </row>
    <row r="6144" spans="1:7">
      <c r="A6144" t="s">
        <v>1876</v>
      </c>
      <c r="B6144" t="s">
        <v>366</v>
      </c>
      <c r="C6144" t="s">
        <v>150</v>
      </c>
      <c r="D6144">
        <v>0</v>
      </c>
      <c r="E6144">
        <v>0</v>
      </c>
      <c r="F6144">
        <v>0</v>
      </c>
      <c r="G6144">
        <v>0</v>
      </c>
    </row>
    <row r="6145" spans="1:7">
      <c r="A6145" t="s">
        <v>1876</v>
      </c>
      <c r="B6145" t="s">
        <v>366</v>
      </c>
      <c r="C6145" t="s">
        <v>1900</v>
      </c>
      <c r="D6145">
        <v>0</v>
      </c>
      <c r="E6145">
        <v>0</v>
      </c>
      <c r="F6145">
        <v>0</v>
      </c>
      <c r="G6145">
        <v>0</v>
      </c>
    </row>
    <row r="6146" spans="1:7">
      <c r="A6146" t="s">
        <v>1876</v>
      </c>
      <c r="B6146" t="s">
        <v>366</v>
      </c>
      <c r="C6146" t="s">
        <v>151</v>
      </c>
      <c r="D6146">
        <v>0</v>
      </c>
      <c r="E6146">
        <v>0</v>
      </c>
      <c r="F6146">
        <v>0</v>
      </c>
      <c r="G6146">
        <v>0</v>
      </c>
    </row>
    <row r="6147" spans="1:7">
      <c r="A6147" t="s">
        <v>1876</v>
      </c>
      <c r="B6147" t="s">
        <v>366</v>
      </c>
      <c r="C6147" t="s">
        <v>152</v>
      </c>
      <c r="D6147">
        <v>0</v>
      </c>
      <c r="E6147">
        <v>0</v>
      </c>
      <c r="F6147">
        <v>0</v>
      </c>
      <c r="G6147">
        <v>0</v>
      </c>
    </row>
    <row r="6148" spans="1:7">
      <c r="A6148" t="s">
        <v>1876</v>
      </c>
      <c r="B6148" t="s">
        <v>366</v>
      </c>
      <c r="C6148" t="s">
        <v>1703</v>
      </c>
      <c r="D6148">
        <v>0</v>
      </c>
      <c r="E6148">
        <v>0</v>
      </c>
      <c r="F6148">
        <v>0</v>
      </c>
      <c r="G6148">
        <v>0</v>
      </c>
    </row>
    <row r="6149" spans="1:7">
      <c r="A6149" t="s">
        <v>1876</v>
      </c>
      <c r="B6149" t="s">
        <v>366</v>
      </c>
      <c r="C6149" t="s">
        <v>153</v>
      </c>
      <c r="D6149">
        <v>0</v>
      </c>
      <c r="E6149">
        <v>0</v>
      </c>
      <c r="F6149">
        <v>0</v>
      </c>
      <c r="G6149">
        <v>0</v>
      </c>
    </row>
    <row r="6150" spans="1:7">
      <c r="A6150" t="s">
        <v>1876</v>
      </c>
      <c r="B6150" t="s">
        <v>366</v>
      </c>
      <c r="C6150" t="s">
        <v>154</v>
      </c>
      <c r="D6150">
        <v>0</v>
      </c>
      <c r="E6150">
        <v>0</v>
      </c>
      <c r="F6150">
        <v>0</v>
      </c>
      <c r="G6150">
        <v>0</v>
      </c>
    </row>
    <row r="6151" spans="1:7">
      <c r="A6151" t="s">
        <v>1876</v>
      </c>
      <c r="B6151" t="s">
        <v>366</v>
      </c>
      <c r="C6151" t="s">
        <v>155</v>
      </c>
      <c r="D6151">
        <v>0</v>
      </c>
      <c r="E6151">
        <v>0</v>
      </c>
      <c r="F6151">
        <v>0</v>
      </c>
      <c r="G6151">
        <v>0</v>
      </c>
    </row>
    <row r="6152" spans="1:7">
      <c r="A6152" t="s">
        <v>1876</v>
      </c>
      <c r="B6152" t="s">
        <v>366</v>
      </c>
      <c r="C6152" t="s">
        <v>156</v>
      </c>
      <c r="D6152">
        <v>0</v>
      </c>
      <c r="E6152">
        <v>0</v>
      </c>
      <c r="F6152">
        <v>0</v>
      </c>
      <c r="G6152">
        <v>0</v>
      </c>
    </row>
    <row r="6153" spans="1:7">
      <c r="A6153" t="s">
        <v>1876</v>
      </c>
      <c r="B6153" t="s">
        <v>366</v>
      </c>
      <c r="C6153" t="s">
        <v>157</v>
      </c>
      <c r="D6153">
        <v>0</v>
      </c>
      <c r="E6153">
        <v>0</v>
      </c>
      <c r="F6153">
        <v>0</v>
      </c>
      <c r="G6153">
        <v>0</v>
      </c>
    </row>
    <row r="6154" spans="1:7">
      <c r="A6154" t="s">
        <v>1876</v>
      </c>
      <c r="B6154" t="s">
        <v>366</v>
      </c>
      <c r="C6154" t="s">
        <v>158</v>
      </c>
      <c r="D6154">
        <v>0</v>
      </c>
      <c r="E6154">
        <v>0</v>
      </c>
      <c r="F6154">
        <v>0</v>
      </c>
      <c r="G6154">
        <v>0</v>
      </c>
    </row>
    <row r="6155" spans="1:7">
      <c r="A6155" t="s">
        <v>1876</v>
      </c>
      <c r="B6155" t="s">
        <v>366</v>
      </c>
      <c r="C6155" t="s">
        <v>159</v>
      </c>
      <c r="D6155">
        <v>0</v>
      </c>
      <c r="E6155">
        <v>0</v>
      </c>
      <c r="F6155">
        <v>0</v>
      </c>
      <c r="G6155">
        <v>0</v>
      </c>
    </row>
    <row r="6156" spans="1:7">
      <c r="A6156" t="s">
        <v>1876</v>
      </c>
      <c r="B6156" t="s">
        <v>366</v>
      </c>
      <c r="C6156" t="s">
        <v>1901</v>
      </c>
      <c r="D6156">
        <v>25.7</v>
      </c>
      <c r="E6156">
        <v>27.3</v>
      </c>
      <c r="F6156">
        <v>26.3</v>
      </c>
      <c r="G6156">
        <v>33.6</v>
      </c>
    </row>
    <row r="6157" spans="1:7">
      <c r="A6157" t="s">
        <v>1876</v>
      </c>
      <c r="B6157" t="s">
        <v>366</v>
      </c>
      <c r="C6157" t="s">
        <v>1902</v>
      </c>
      <c r="D6157">
        <v>61029</v>
      </c>
      <c r="E6157">
        <v>61801</v>
      </c>
      <c r="F6157">
        <v>58874</v>
      </c>
      <c r="G6157">
        <v>55078</v>
      </c>
    </row>
    <row r="6158" spans="1:7">
      <c r="A6158" t="s">
        <v>1876</v>
      </c>
      <c r="B6158" t="s">
        <v>366</v>
      </c>
      <c r="C6158" t="s">
        <v>1903</v>
      </c>
      <c r="D6158">
        <v>13591</v>
      </c>
      <c r="E6158">
        <v>13238</v>
      </c>
      <c r="F6158">
        <v>13348</v>
      </c>
      <c r="G6158">
        <v>13521</v>
      </c>
    </row>
    <row r="6159" spans="1:7">
      <c r="A6159" t="s">
        <v>1876</v>
      </c>
      <c r="B6159" t="s">
        <v>366</v>
      </c>
      <c r="C6159" t="s">
        <v>1904</v>
      </c>
      <c r="D6159">
        <v>371</v>
      </c>
      <c r="E6159">
        <v>3924</v>
      </c>
      <c r="F6159">
        <v>598</v>
      </c>
      <c r="G6159">
        <v>898</v>
      </c>
    </row>
    <row r="6160" spans="1:7">
      <c r="A6160" t="s">
        <v>1876</v>
      </c>
      <c r="B6160" t="s">
        <v>366</v>
      </c>
      <c r="C6160" t="s">
        <v>1905</v>
      </c>
      <c r="D6160">
        <v>4922</v>
      </c>
      <c r="E6160">
        <v>4975</v>
      </c>
      <c r="F6160">
        <v>4856</v>
      </c>
      <c r="G6160">
        <v>4712</v>
      </c>
    </row>
    <row r="6161" spans="1:7">
      <c r="A6161" t="s">
        <v>1876</v>
      </c>
      <c r="B6161" t="s">
        <v>366</v>
      </c>
      <c r="C6161" t="s">
        <v>1906</v>
      </c>
      <c r="D6161">
        <v>71735</v>
      </c>
      <c r="E6161">
        <v>70784</v>
      </c>
      <c r="F6161">
        <v>71347</v>
      </c>
      <c r="G6161">
        <v>70687</v>
      </c>
    </row>
    <row r="6162" spans="1:7">
      <c r="A6162" t="s">
        <v>1876</v>
      </c>
      <c r="B6162" t="s">
        <v>366</v>
      </c>
      <c r="C6162" t="s">
        <v>1907</v>
      </c>
      <c r="D6162">
        <v>151647</v>
      </c>
      <c r="E6162">
        <v>154722</v>
      </c>
      <c r="F6162">
        <v>149023</v>
      </c>
      <c r="G6162">
        <v>144896</v>
      </c>
    </row>
    <row r="6163" spans="1:7">
      <c r="A6163" t="s">
        <v>1876</v>
      </c>
      <c r="B6163" t="s">
        <v>366</v>
      </c>
      <c r="C6163" t="s">
        <v>160</v>
      </c>
      <c r="D6163">
        <v>60179</v>
      </c>
      <c r="E6163">
        <v>60990</v>
      </c>
      <c r="F6163">
        <v>57737</v>
      </c>
      <c r="G6163">
        <v>53929</v>
      </c>
    </row>
    <row r="6164" spans="1:7">
      <c r="A6164" t="s">
        <v>1876</v>
      </c>
      <c r="B6164" t="s">
        <v>366</v>
      </c>
      <c r="C6164" t="s">
        <v>161</v>
      </c>
      <c r="D6164">
        <v>13591</v>
      </c>
      <c r="E6164">
        <v>13238</v>
      </c>
      <c r="F6164">
        <v>13348</v>
      </c>
      <c r="G6164">
        <v>13521</v>
      </c>
    </row>
    <row r="6165" spans="1:7">
      <c r="A6165" t="s">
        <v>1876</v>
      </c>
      <c r="B6165" t="s">
        <v>366</v>
      </c>
      <c r="C6165" t="s">
        <v>162</v>
      </c>
      <c r="D6165">
        <v>371</v>
      </c>
      <c r="E6165">
        <v>3924</v>
      </c>
      <c r="F6165">
        <v>598</v>
      </c>
      <c r="G6165">
        <v>898</v>
      </c>
    </row>
    <row r="6166" spans="1:7">
      <c r="A6166" t="s">
        <v>1876</v>
      </c>
      <c r="B6166" t="s">
        <v>366</v>
      </c>
      <c r="C6166" t="s">
        <v>163</v>
      </c>
      <c r="D6166">
        <v>4922</v>
      </c>
      <c r="E6166">
        <v>4975</v>
      </c>
      <c r="F6166">
        <v>4856</v>
      </c>
      <c r="G6166">
        <v>4712</v>
      </c>
    </row>
    <row r="6167" spans="1:7">
      <c r="A6167" t="s">
        <v>1876</v>
      </c>
      <c r="B6167" t="s">
        <v>366</v>
      </c>
      <c r="C6167" t="s">
        <v>164</v>
      </c>
      <c r="D6167">
        <v>71735</v>
      </c>
      <c r="E6167">
        <v>70784</v>
      </c>
      <c r="F6167">
        <v>71347</v>
      </c>
      <c r="G6167">
        <v>70687</v>
      </c>
    </row>
    <row r="6168" spans="1:7">
      <c r="A6168" t="s">
        <v>1876</v>
      </c>
      <c r="B6168" t="s">
        <v>366</v>
      </c>
      <c r="C6168" t="s">
        <v>165</v>
      </c>
      <c r="D6168">
        <v>150798</v>
      </c>
      <c r="E6168">
        <v>153911</v>
      </c>
      <c r="F6168">
        <v>147886</v>
      </c>
      <c r="G6168">
        <v>143747</v>
      </c>
    </row>
    <row r="6169" spans="1:7">
      <c r="A6169" t="s">
        <v>1876</v>
      </c>
      <c r="B6169" t="s">
        <v>366</v>
      </c>
      <c r="C6169" t="s">
        <v>166</v>
      </c>
      <c r="D6169">
        <v>150426</v>
      </c>
      <c r="E6169">
        <v>149987</v>
      </c>
      <c r="F6169">
        <v>147288</v>
      </c>
      <c r="G6169">
        <v>142849</v>
      </c>
    </row>
    <row r="6170" spans="1:7">
      <c r="A6170" t="s">
        <v>1876</v>
      </c>
      <c r="B6170" t="s">
        <v>366</v>
      </c>
      <c r="C6170" t="s">
        <v>167</v>
      </c>
      <c r="D6170">
        <v>371</v>
      </c>
      <c r="E6170">
        <v>3924</v>
      </c>
      <c r="F6170">
        <v>598</v>
      </c>
      <c r="G6170">
        <v>898</v>
      </c>
    </row>
    <row r="6171" spans="1:7">
      <c r="A6171" t="s">
        <v>1876</v>
      </c>
      <c r="B6171" t="s">
        <v>366</v>
      </c>
      <c r="C6171" t="s">
        <v>1908</v>
      </c>
      <c r="D6171">
        <v>59550</v>
      </c>
      <c r="E6171">
        <v>60418</v>
      </c>
      <c r="F6171">
        <v>57067</v>
      </c>
      <c r="G6171">
        <v>53308</v>
      </c>
    </row>
    <row r="6172" spans="1:7">
      <c r="A6172" t="s">
        <v>1876</v>
      </c>
      <c r="B6172" t="s">
        <v>366</v>
      </c>
      <c r="C6172" t="s">
        <v>1909</v>
      </c>
      <c r="D6172">
        <v>13591</v>
      </c>
      <c r="E6172">
        <v>13238</v>
      </c>
      <c r="F6172">
        <v>13348</v>
      </c>
      <c r="G6172">
        <v>13521</v>
      </c>
    </row>
    <row r="6173" spans="1:7">
      <c r="A6173" t="s">
        <v>1876</v>
      </c>
      <c r="B6173" t="s">
        <v>366</v>
      </c>
      <c r="C6173" t="s">
        <v>1910</v>
      </c>
      <c r="D6173">
        <v>371</v>
      </c>
      <c r="E6173">
        <v>3924</v>
      </c>
      <c r="F6173">
        <v>598</v>
      </c>
      <c r="G6173">
        <v>898</v>
      </c>
    </row>
    <row r="6174" spans="1:7">
      <c r="A6174" t="s">
        <v>1876</v>
      </c>
      <c r="B6174" t="s">
        <v>366</v>
      </c>
      <c r="C6174" t="s">
        <v>1911</v>
      </c>
      <c r="D6174">
        <v>4922</v>
      </c>
      <c r="E6174">
        <v>4975</v>
      </c>
      <c r="F6174">
        <v>4856</v>
      </c>
      <c r="G6174">
        <v>4712</v>
      </c>
    </row>
    <row r="6175" spans="1:7">
      <c r="A6175" t="s">
        <v>1876</v>
      </c>
      <c r="B6175" t="s">
        <v>366</v>
      </c>
      <c r="C6175" t="s">
        <v>1912</v>
      </c>
      <c r="D6175">
        <v>71735</v>
      </c>
      <c r="E6175">
        <v>70784</v>
      </c>
      <c r="F6175">
        <v>71347</v>
      </c>
      <c r="G6175">
        <v>70687</v>
      </c>
    </row>
    <row r="6176" spans="1:7">
      <c r="A6176" t="s">
        <v>1876</v>
      </c>
      <c r="B6176" t="s">
        <v>366</v>
      </c>
      <c r="C6176" t="s">
        <v>168</v>
      </c>
      <c r="D6176">
        <v>150168</v>
      </c>
      <c r="E6176">
        <v>153339</v>
      </c>
      <c r="F6176">
        <v>147216</v>
      </c>
      <c r="G6176">
        <v>143126</v>
      </c>
    </row>
    <row r="6177" spans="1:7">
      <c r="A6177" t="s">
        <v>1876</v>
      </c>
      <c r="B6177" t="s">
        <v>366</v>
      </c>
      <c r="C6177" t="s">
        <v>169</v>
      </c>
      <c r="D6177">
        <v>0</v>
      </c>
      <c r="E6177">
        <v>0</v>
      </c>
      <c r="F6177">
        <v>0</v>
      </c>
      <c r="G6177">
        <v>0</v>
      </c>
    </row>
    <row r="6178" spans="1:7">
      <c r="A6178" t="s">
        <v>1876</v>
      </c>
      <c r="B6178" t="s">
        <v>366</v>
      </c>
      <c r="C6178" t="s">
        <v>1704</v>
      </c>
      <c r="D6178">
        <v>12747</v>
      </c>
      <c r="E6178">
        <v>12767</v>
      </c>
      <c r="F6178">
        <v>12850</v>
      </c>
      <c r="G6178">
        <v>11505</v>
      </c>
    </row>
    <row r="6179" spans="1:7">
      <c r="A6179" t="s">
        <v>1876</v>
      </c>
      <c r="B6179" t="s">
        <v>366</v>
      </c>
      <c r="C6179" t="s">
        <v>170</v>
      </c>
      <c r="D6179">
        <v>0</v>
      </c>
      <c r="E6179">
        <v>0</v>
      </c>
      <c r="F6179">
        <v>0</v>
      </c>
      <c r="G6179">
        <v>0</v>
      </c>
    </row>
    <row r="6180" spans="1:7">
      <c r="A6180" t="s">
        <v>1876</v>
      </c>
      <c r="B6180" t="s">
        <v>366</v>
      </c>
      <c r="C6180" t="s">
        <v>171</v>
      </c>
      <c r="D6180">
        <v>298174</v>
      </c>
      <c r="E6180">
        <v>281091</v>
      </c>
      <c r="F6180">
        <v>288600</v>
      </c>
      <c r="G6180">
        <v>272887</v>
      </c>
    </row>
    <row r="6181" spans="1:7">
      <c r="A6181" t="s">
        <v>1876</v>
      </c>
      <c r="B6181" t="s">
        <v>366</v>
      </c>
      <c r="C6181" t="s">
        <v>172</v>
      </c>
      <c r="D6181">
        <v>0</v>
      </c>
      <c r="E6181">
        <v>0</v>
      </c>
      <c r="F6181">
        <v>0</v>
      </c>
      <c r="G6181">
        <v>0</v>
      </c>
    </row>
    <row r="6182" spans="1:7">
      <c r="A6182" t="s">
        <v>1876</v>
      </c>
      <c r="B6182" t="s">
        <v>366</v>
      </c>
      <c r="C6182" t="s">
        <v>1913</v>
      </c>
      <c r="D6182">
        <v>51.1</v>
      </c>
      <c r="E6182">
        <v>69.599999999999994</v>
      </c>
      <c r="F6182">
        <v>109.2</v>
      </c>
      <c r="G6182">
        <v>138.30000000000001</v>
      </c>
    </row>
    <row r="6183" spans="1:7">
      <c r="A6183" t="s">
        <v>1876</v>
      </c>
      <c r="B6183" t="s">
        <v>366</v>
      </c>
      <c r="C6183" t="s">
        <v>1914</v>
      </c>
      <c r="D6183">
        <v>1</v>
      </c>
      <c r="E6183">
        <v>1.4</v>
      </c>
      <c r="F6183">
        <v>2.2000000000000002</v>
      </c>
      <c r="G6183">
        <v>2.7</v>
      </c>
    </row>
    <row r="6184" spans="1:7">
      <c r="A6184" t="s">
        <v>1876</v>
      </c>
      <c r="B6184" t="s">
        <v>366</v>
      </c>
      <c r="C6184" t="s">
        <v>173</v>
      </c>
      <c r="D6184">
        <v>20845</v>
      </c>
      <c r="E6184">
        <v>20876</v>
      </c>
      <c r="F6184">
        <v>21124</v>
      </c>
      <c r="G6184">
        <v>21508</v>
      </c>
    </row>
    <row r="6185" spans="1:7">
      <c r="A6185" t="s">
        <v>1876</v>
      </c>
      <c r="B6185" t="s">
        <v>366</v>
      </c>
      <c r="C6185" t="s">
        <v>174</v>
      </c>
      <c r="D6185">
        <v>537</v>
      </c>
      <c r="E6185">
        <v>595</v>
      </c>
      <c r="F6185">
        <v>566</v>
      </c>
      <c r="G6185">
        <v>466</v>
      </c>
    </row>
    <row r="6186" spans="1:7">
      <c r="A6186" t="s">
        <v>1876</v>
      </c>
      <c r="B6186" t="s">
        <v>366</v>
      </c>
      <c r="C6186" t="s">
        <v>175</v>
      </c>
      <c r="D6186">
        <v>295</v>
      </c>
      <c r="E6186">
        <v>307</v>
      </c>
      <c r="F6186">
        <v>307</v>
      </c>
      <c r="G6186">
        <v>311</v>
      </c>
    </row>
    <row r="6187" spans="1:7">
      <c r="A6187" t="s">
        <v>1876</v>
      </c>
      <c r="B6187" t="s">
        <v>366</v>
      </c>
      <c r="C6187" t="s">
        <v>176</v>
      </c>
      <c r="D6187">
        <v>0</v>
      </c>
      <c r="E6187">
        <v>0</v>
      </c>
      <c r="F6187">
        <v>0</v>
      </c>
      <c r="G6187">
        <v>0</v>
      </c>
    </row>
    <row r="6188" spans="1:7">
      <c r="A6188" t="s">
        <v>1876</v>
      </c>
      <c r="B6188" t="s">
        <v>366</v>
      </c>
      <c r="C6188" t="s">
        <v>177</v>
      </c>
      <c r="D6188">
        <v>21677</v>
      </c>
      <c r="E6188">
        <v>21778</v>
      </c>
      <c r="F6188">
        <v>21996</v>
      </c>
      <c r="G6188">
        <v>22285</v>
      </c>
    </row>
    <row r="6189" spans="1:7">
      <c r="A6189" t="s">
        <v>1876</v>
      </c>
      <c r="B6189" t="s">
        <v>366</v>
      </c>
      <c r="C6189" t="s">
        <v>178</v>
      </c>
      <c r="D6189">
        <v>0</v>
      </c>
      <c r="E6189">
        <v>0</v>
      </c>
      <c r="F6189">
        <v>0</v>
      </c>
      <c r="G6189">
        <v>0</v>
      </c>
    </row>
    <row r="6190" spans="1:7">
      <c r="A6190" t="s">
        <v>1876</v>
      </c>
      <c r="B6190" t="s">
        <v>366</v>
      </c>
      <c r="C6190" t="s">
        <v>179</v>
      </c>
      <c r="D6190">
        <v>0</v>
      </c>
      <c r="E6190">
        <v>0</v>
      </c>
      <c r="F6190">
        <v>0</v>
      </c>
      <c r="G6190">
        <v>0</v>
      </c>
    </row>
    <row r="6191" spans="1:7">
      <c r="A6191" t="s">
        <v>1876</v>
      </c>
      <c r="B6191" t="s">
        <v>366</v>
      </c>
      <c r="C6191" t="s">
        <v>180</v>
      </c>
      <c r="D6191">
        <v>1074</v>
      </c>
      <c r="E6191">
        <v>1020</v>
      </c>
      <c r="F6191">
        <v>953</v>
      </c>
      <c r="G6191">
        <v>994</v>
      </c>
    </row>
    <row r="6192" spans="1:7">
      <c r="A6192" t="s">
        <v>1876</v>
      </c>
      <c r="B6192" t="s">
        <v>366</v>
      </c>
      <c r="C6192" t="s">
        <v>181</v>
      </c>
      <c r="D6192">
        <v>81316</v>
      </c>
      <c r="E6192">
        <v>83402</v>
      </c>
      <c r="F6192">
        <v>82828</v>
      </c>
      <c r="G6192">
        <v>80146</v>
      </c>
    </row>
    <row r="6193" spans="1:7">
      <c r="A6193" t="s">
        <v>1876</v>
      </c>
      <c r="B6193" t="s">
        <v>366</v>
      </c>
      <c r="C6193" t="s">
        <v>182</v>
      </c>
      <c r="D6193">
        <v>21652</v>
      </c>
      <c r="E6193">
        <v>21270</v>
      </c>
      <c r="F6193">
        <v>20783</v>
      </c>
      <c r="G6193">
        <v>19262</v>
      </c>
    </row>
    <row r="6194" spans="1:7">
      <c r="A6194" t="s">
        <v>1876</v>
      </c>
      <c r="B6194" t="s">
        <v>366</v>
      </c>
      <c r="C6194" t="s">
        <v>183</v>
      </c>
      <c r="D6194">
        <v>69282</v>
      </c>
      <c r="E6194">
        <v>68264</v>
      </c>
      <c r="F6194">
        <v>66076</v>
      </c>
      <c r="G6194">
        <v>68215</v>
      </c>
    </row>
    <row r="6195" spans="1:7">
      <c r="A6195" t="s">
        <v>1876</v>
      </c>
      <c r="B6195" t="s">
        <v>366</v>
      </c>
      <c r="C6195" t="s">
        <v>184</v>
      </c>
      <c r="D6195">
        <v>173324</v>
      </c>
      <c r="E6195">
        <v>173955</v>
      </c>
      <c r="F6195">
        <v>170641</v>
      </c>
      <c r="G6195">
        <v>168616</v>
      </c>
    </row>
    <row r="6196" spans="1:7">
      <c r="A6196" t="s">
        <v>1876</v>
      </c>
      <c r="B6196" t="s">
        <v>366</v>
      </c>
      <c r="C6196" t="s">
        <v>185</v>
      </c>
      <c r="D6196">
        <v>173324</v>
      </c>
      <c r="E6196">
        <v>173955</v>
      </c>
      <c r="F6196">
        <v>170641</v>
      </c>
      <c r="G6196">
        <v>168616</v>
      </c>
    </row>
    <row r="6197" spans="1:7">
      <c r="A6197" t="s">
        <v>1876</v>
      </c>
      <c r="B6197" t="s">
        <v>366</v>
      </c>
      <c r="C6197" t="s">
        <v>1915</v>
      </c>
      <c r="D6197">
        <v>83</v>
      </c>
      <c r="E6197">
        <v>129</v>
      </c>
      <c r="F6197">
        <v>322</v>
      </c>
      <c r="G6197">
        <v>434</v>
      </c>
    </row>
    <row r="6198" spans="1:7">
      <c r="A6198" t="s">
        <v>1876</v>
      </c>
      <c r="B6198" t="s">
        <v>366</v>
      </c>
      <c r="C6198" t="s">
        <v>1916</v>
      </c>
      <c r="D6198">
        <v>0</v>
      </c>
      <c r="E6198">
        <v>0</v>
      </c>
      <c r="F6198">
        <v>0</v>
      </c>
      <c r="G6198">
        <v>0</v>
      </c>
    </row>
    <row r="6199" spans="1:7">
      <c r="A6199" t="s">
        <v>1876</v>
      </c>
      <c r="B6199" t="s">
        <v>366</v>
      </c>
      <c r="C6199" t="s">
        <v>1917</v>
      </c>
      <c r="D6199">
        <v>80</v>
      </c>
      <c r="E6199">
        <v>82</v>
      </c>
      <c r="F6199">
        <v>89</v>
      </c>
      <c r="G6199">
        <v>50</v>
      </c>
    </row>
    <row r="6200" spans="1:7">
      <c r="A6200" t="s">
        <v>1876</v>
      </c>
      <c r="B6200" t="s">
        <v>366</v>
      </c>
      <c r="C6200" t="s">
        <v>1918</v>
      </c>
      <c r="D6200">
        <v>5185</v>
      </c>
      <c r="E6200">
        <v>6362</v>
      </c>
      <c r="F6200">
        <v>7449</v>
      </c>
      <c r="G6200">
        <v>8974</v>
      </c>
    </row>
    <row r="6201" spans="1:7">
      <c r="A6201" t="s">
        <v>1876</v>
      </c>
      <c r="B6201" t="s">
        <v>366</v>
      </c>
      <c r="C6201" t="s">
        <v>1919</v>
      </c>
      <c r="D6201">
        <v>2.4700000000000002</v>
      </c>
      <c r="E6201">
        <v>2.54</v>
      </c>
      <c r="F6201">
        <v>2.4300000000000002</v>
      </c>
      <c r="G6201">
        <v>2.4900000000000002</v>
      </c>
    </row>
    <row r="6202" spans="1:7">
      <c r="A6202" t="s">
        <v>1876</v>
      </c>
      <c r="B6202" t="s">
        <v>366</v>
      </c>
      <c r="C6202" t="s">
        <v>1920</v>
      </c>
      <c r="D6202">
        <v>5759</v>
      </c>
      <c r="E6202">
        <v>7067</v>
      </c>
      <c r="F6202">
        <v>8277</v>
      </c>
      <c r="G6202">
        <v>10203</v>
      </c>
    </row>
    <row r="6203" spans="1:7">
      <c r="A6203" t="s">
        <v>1876</v>
      </c>
      <c r="B6203" t="s">
        <v>366</v>
      </c>
      <c r="C6203" t="s">
        <v>1921</v>
      </c>
      <c r="D6203">
        <v>2194</v>
      </c>
      <c r="E6203">
        <v>2625</v>
      </c>
      <c r="F6203">
        <v>3231</v>
      </c>
      <c r="G6203">
        <v>3891</v>
      </c>
    </row>
    <row r="6204" spans="1:7">
      <c r="A6204" t="s">
        <v>1876</v>
      </c>
      <c r="B6204" t="s">
        <v>366</v>
      </c>
      <c r="C6204" t="s">
        <v>1922</v>
      </c>
      <c r="D6204">
        <v>494</v>
      </c>
      <c r="E6204">
        <v>623</v>
      </c>
      <c r="F6204">
        <v>739</v>
      </c>
      <c r="G6204">
        <v>1179</v>
      </c>
    </row>
    <row r="6205" spans="1:7">
      <c r="A6205" t="s">
        <v>1876</v>
      </c>
      <c r="B6205" t="s">
        <v>366</v>
      </c>
      <c r="C6205" t="s">
        <v>1923</v>
      </c>
      <c r="D6205">
        <v>3.98</v>
      </c>
      <c r="E6205">
        <v>4.0999999999999996</v>
      </c>
      <c r="F6205">
        <v>3.77</v>
      </c>
      <c r="G6205">
        <v>3.56</v>
      </c>
    </row>
    <row r="6206" spans="1:7">
      <c r="A6206" t="s">
        <v>1876</v>
      </c>
      <c r="B6206" t="s">
        <v>366</v>
      </c>
      <c r="C6206" t="s">
        <v>1924</v>
      </c>
      <c r="D6206">
        <v>39</v>
      </c>
      <c r="E6206">
        <v>8</v>
      </c>
      <c r="F6206">
        <v>13</v>
      </c>
      <c r="G6206">
        <v>13</v>
      </c>
    </row>
    <row r="6207" spans="1:7">
      <c r="A6207" t="s">
        <v>1876</v>
      </c>
      <c r="B6207" t="s">
        <v>366</v>
      </c>
      <c r="C6207" t="s">
        <v>1925</v>
      </c>
      <c r="D6207">
        <v>173</v>
      </c>
      <c r="E6207">
        <v>207</v>
      </c>
      <c r="F6207">
        <v>230</v>
      </c>
      <c r="G6207">
        <v>257</v>
      </c>
    </row>
    <row r="6208" spans="1:7">
      <c r="A6208" t="s">
        <v>1876</v>
      </c>
      <c r="B6208" t="s">
        <v>366</v>
      </c>
      <c r="C6208" t="s">
        <v>1926</v>
      </c>
      <c r="D6208">
        <v>1982</v>
      </c>
      <c r="E6208">
        <v>2410</v>
      </c>
      <c r="F6208">
        <v>2988</v>
      </c>
      <c r="G6208">
        <v>3621</v>
      </c>
    </row>
    <row r="6209" spans="1:7">
      <c r="A6209" t="s">
        <v>1876</v>
      </c>
      <c r="B6209" t="s">
        <v>366</v>
      </c>
      <c r="C6209" t="s">
        <v>1927</v>
      </c>
      <c r="D6209">
        <v>31</v>
      </c>
      <c r="E6209">
        <v>35</v>
      </c>
      <c r="F6209">
        <v>31</v>
      </c>
      <c r="G6209">
        <v>24</v>
      </c>
    </row>
    <row r="6210" spans="1:7">
      <c r="A6210" t="s">
        <v>1876</v>
      </c>
      <c r="B6210" t="s">
        <v>366</v>
      </c>
      <c r="C6210" t="s">
        <v>1928</v>
      </c>
      <c r="D6210">
        <v>2067</v>
      </c>
      <c r="E6210">
        <v>2464</v>
      </c>
      <c r="F6210">
        <v>3063</v>
      </c>
      <c r="G6210">
        <v>3667</v>
      </c>
    </row>
    <row r="6211" spans="1:7">
      <c r="A6211" t="s">
        <v>1876</v>
      </c>
      <c r="B6211" t="s">
        <v>366</v>
      </c>
      <c r="C6211" t="s">
        <v>1929</v>
      </c>
      <c r="D6211">
        <v>96</v>
      </c>
      <c r="E6211">
        <v>126</v>
      </c>
      <c r="F6211">
        <v>137</v>
      </c>
      <c r="G6211">
        <v>200</v>
      </c>
    </row>
    <row r="6212" spans="1:7">
      <c r="A6212" t="s">
        <v>1876</v>
      </c>
      <c r="B6212" t="s">
        <v>366</v>
      </c>
      <c r="C6212" t="s">
        <v>186</v>
      </c>
      <c r="D6212">
        <v>0</v>
      </c>
      <c r="E6212">
        <v>0</v>
      </c>
      <c r="F6212">
        <v>0</v>
      </c>
      <c r="G6212">
        <v>0</v>
      </c>
    </row>
    <row r="6213" spans="1:7">
      <c r="A6213" t="s">
        <v>1876</v>
      </c>
      <c r="B6213" t="s">
        <v>366</v>
      </c>
      <c r="C6213" t="s">
        <v>187</v>
      </c>
      <c r="D6213">
        <v>0</v>
      </c>
      <c r="E6213">
        <v>0</v>
      </c>
      <c r="F6213">
        <v>0</v>
      </c>
      <c r="G6213">
        <v>0</v>
      </c>
    </row>
    <row r="6214" spans="1:7">
      <c r="A6214" t="s">
        <v>1876</v>
      </c>
      <c r="B6214" t="s">
        <v>366</v>
      </c>
      <c r="C6214" t="s">
        <v>1705</v>
      </c>
      <c r="D6214">
        <v>8909</v>
      </c>
      <c r="E6214">
        <v>8807</v>
      </c>
      <c r="F6214">
        <v>8766</v>
      </c>
      <c r="G6214">
        <v>7293</v>
      </c>
    </row>
    <row r="6215" spans="1:7">
      <c r="A6215" t="s">
        <v>1876</v>
      </c>
      <c r="B6215" t="s">
        <v>366</v>
      </c>
      <c r="C6215" t="s">
        <v>188</v>
      </c>
      <c r="D6215">
        <v>907665</v>
      </c>
      <c r="E6215">
        <v>961617</v>
      </c>
      <c r="F6215">
        <v>911047</v>
      </c>
      <c r="G6215">
        <v>933914</v>
      </c>
    </row>
    <row r="6216" spans="1:7">
      <c r="A6216" t="s">
        <v>1876</v>
      </c>
      <c r="B6216" t="s">
        <v>366</v>
      </c>
      <c r="C6216" t="s">
        <v>189</v>
      </c>
      <c r="D6216">
        <v>0</v>
      </c>
      <c r="E6216">
        <v>0</v>
      </c>
      <c r="F6216">
        <v>0</v>
      </c>
      <c r="G6216">
        <v>0</v>
      </c>
    </row>
    <row r="6217" spans="1:7">
      <c r="A6217" t="s">
        <v>1876</v>
      </c>
      <c r="B6217" t="s">
        <v>366</v>
      </c>
      <c r="C6217" t="s">
        <v>190</v>
      </c>
      <c r="D6217">
        <v>0</v>
      </c>
      <c r="E6217">
        <v>0</v>
      </c>
      <c r="F6217">
        <v>0</v>
      </c>
      <c r="G6217">
        <v>0</v>
      </c>
    </row>
    <row r="6218" spans="1:7">
      <c r="A6218" t="s">
        <v>1876</v>
      </c>
      <c r="B6218" t="s">
        <v>366</v>
      </c>
      <c r="C6218" t="s">
        <v>191</v>
      </c>
      <c r="D6218">
        <v>0</v>
      </c>
      <c r="E6218">
        <v>0</v>
      </c>
      <c r="F6218">
        <v>0</v>
      </c>
      <c r="G6218">
        <v>0</v>
      </c>
    </row>
    <row r="6219" spans="1:7">
      <c r="A6219" t="s">
        <v>1876</v>
      </c>
      <c r="B6219" t="s">
        <v>366</v>
      </c>
      <c r="C6219" t="s">
        <v>192</v>
      </c>
      <c r="D6219">
        <v>650308.80000000005</v>
      </c>
      <c r="E6219">
        <v>696323.1</v>
      </c>
      <c r="F6219">
        <v>737867.4</v>
      </c>
      <c r="G6219">
        <v>778523.4</v>
      </c>
    </row>
    <row r="6220" spans="1:7">
      <c r="A6220" t="s">
        <v>1876</v>
      </c>
      <c r="B6220" t="s">
        <v>366</v>
      </c>
      <c r="C6220" t="s">
        <v>193</v>
      </c>
      <c r="D6220">
        <v>597420</v>
      </c>
      <c r="E6220">
        <v>607470.6</v>
      </c>
      <c r="F6220">
        <v>614786.1</v>
      </c>
      <c r="G6220">
        <v>628786.9</v>
      </c>
    </row>
    <row r="6221" spans="1:7">
      <c r="A6221" t="s">
        <v>1876</v>
      </c>
      <c r="B6221" t="s">
        <v>366</v>
      </c>
      <c r="C6221" t="s">
        <v>1930</v>
      </c>
      <c r="D6221">
        <v>0</v>
      </c>
      <c r="E6221">
        <v>0</v>
      </c>
      <c r="F6221">
        <v>0</v>
      </c>
      <c r="G6221">
        <v>0</v>
      </c>
    </row>
    <row r="6222" spans="1:7">
      <c r="A6222" t="s">
        <v>1876</v>
      </c>
      <c r="B6222" t="s">
        <v>366</v>
      </c>
      <c r="C6222" t="s">
        <v>194</v>
      </c>
      <c r="D6222">
        <v>807</v>
      </c>
      <c r="E6222">
        <v>807</v>
      </c>
      <c r="F6222">
        <v>807</v>
      </c>
      <c r="G6222">
        <v>807</v>
      </c>
    </row>
    <row r="6223" spans="1:7">
      <c r="A6223" t="s">
        <v>1876</v>
      </c>
      <c r="B6223" t="s">
        <v>366</v>
      </c>
      <c r="C6223" t="s">
        <v>195</v>
      </c>
      <c r="D6223">
        <v>0</v>
      </c>
      <c r="E6223">
        <v>0</v>
      </c>
      <c r="F6223">
        <v>0</v>
      </c>
      <c r="G6223">
        <v>0</v>
      </c>
    </row>
    <row r="6224" spans="1:7">
      <c r="A6224" t="s">
        <v>1876</v>
      </c>
      <c r="B6224" t="s">
        <v>366</v>
      </c>
      <c r="C6224" t="s">
        <v>1706</v>
      </c>
      <c r="D6224">
        <v>0</v>
      </c>
      <c r="E6224">
        <v>0</v>
      </c>
      <c r="F6224">
        <v>0</v>
      </c>
      <c r="G6224">
        <v>0</v>
      </c>
    </row>
    <row r="6225" spans="1:7">
      <c r="A6225" t="s">
        <v>1876</v>
      </c>
      <c r="B6225" t="s">
        <v>366</v>
      </c>
      <c r="C6225" t="s">
        <v>196</v>
      </c>
      <c r="D6225">
        <v>0</v>
      </c>
      <c r="E6225">
        <v>0</v>
      </c>
      <c r="F6225">
        <v>0</v>
      </c>
      <c r="G6225">
        <v>0</v>
      </c>
    </row>
    <row r="6226" spans="1:7">
      <c r="A6226" t="s">
        <v>1876</v>
      </c>
      <c r="B6226" t="s">
        <v>366</v>
      </c>
      <c r="C6226" t="s">
        <v>197</v>
      </c>
      <c r="D6226">
        <v>52</v>
      </c>
      <c r="E6226">
        <v>52</v>
      </c>
      <c r="F6226">
        <v>52</v>
      </c>
      <c r="G6226">
        <v>52</v>
      </c>
    </row>
    <row r="6227" spans="1:7">
      <c r="A6227" t="s">
        <v>1876</v>
      </c>
      <c r="B6227" t="s">
        <v>366</v>
      </c>
      <c r="C6227" t="s">
        <v>198</v>
      </c>
      <c r="D6227">
        <v>859</v>
      </c>
      <c r="E6227">
        <v>859</v>
      </c>
      <c r="F6227">
        <v>859</v>
      </c>
      <c r="G6227">
        <v>859</v>
      </c>
    </row>
    <row r="6228" spans="1:7">
      <c r="A6228" t="s">
        <v>1876</v>
      </c>
      <c r="B6228" t="s">
        <v>366</v>
      </c>
      <c r="C6228" t="s">
        <v>199</v>
      </c>
      <c r="D6228">
        <v>859</v>
      </c>
      <c r="E6228">
        <v>859</v>
      </c>
      <c r="F6228">
        <v>859</v>
      </c>
      <c r="G6228">
        <v>859</v>
      </c>
    </row>
    <row r="6229" spans="1:7">
      <c r="A6229" t="s">
        <v>1876</v>
      </c>
      <c r="B6229" t="s">
        <v>366</v>
      </c>
      <c r="C6229" t="s">
        <v>200</v>
      </c>
      <c r="D6229">
        <v>79</v>
      </c>
      <c r="E6229">
        <v>67</v>
      </c>
      <c r="F6229">
        <v>71</v>
      </c>
      <c r="G6229">
        <v>71</v>
      </c>
    </row>
    <row r="6230" spans="1:7">
      <c r="A6230" t="s">
        <v>1876</v>
      </c>
      <c r="B6230" t="s">
        <v>366</v>
      </c>
      <c r="C6230" t="s">
        <v>201</v>
      </c>
      <c r="D6230">
        <v>3998</v>
      </c>
      <c r="E6230">
        <v>3823</v>
      </c>
      <c r="F6230">
        <v>3377</v>
      </c>
      <c r="G6230">
        <v>4187</v>
      </c>
    </row>
    <row r="6231" spans="1:7">
      <c r="A6231" t="s">
        <v>1876</v>
      </c>
      <c r="B6231" t="s">
        <v>366</v>
      </c>
      <c r="C6231" t="s">
        <v>202</v>
      </c>
      <c r="D6231">
        <v>709</v>
      </c>
      <c r="E6231">
        <v>673</v>
      </c>
      <c r="F6231">
        <v>654</v>
      </c>
      <c r="G6231">
        <v>660</v>
      </c>
    </row>
    <row r="6232" spans="1:7">
      <c r="A6232" t="s">
        <v>1876</v>
      </c>
      <c r="B6232" t="s">
        <v>366</v>
      </c>
      <c r="C6232" t="s">
        <v>203</v>
      </c>
      <c r="D6232">
        <v>8084</v>
      </c>
      <c r="E6232">
        <v>7932</v>
      </c>
      <c r="F6232">
        <v>7627</v>
      </c>
      <c r="G6232">
        <v>8500</v>
      </c>
    </row>
    <row r="6233" spans="1:7">
      <c r="A6233" t="s">
        <v>1876</v>
      </c>
      <c r="B6233" t="s">
        <v>366</v>
      </c>
      <c r="C6233" t="s">
        <v>204</v>
      </c>
      <c r="D6233">
        <v>12871</v>
      </c>
      <c r="E6233">
        <v>12495</v>
      </c>
      <c r="F6233">
        <v>11730</v>
      </c>
      <c r="G6233">
        <v>13419</v>
      </c>
    </row>
    <row r="6234" spans="1:7">
      <c r="A6234" t="s">
        <v>1876</v>
      </c>
      <c r="B6234" t="s">
        <v>366</v>
      </c>
      <c r="C6234" t="s">
        <v>205</v>
      </c>
      <c r="D6234">
        <v>12871</v>
      </c>
      <c r="E6234">
        <v>12495</v>
      </c>
      <c r="F6234">
        <v>11730</v>
      </c>
      <c r="G6234">
        <v>13419</v>
      </c>
    </row>
    <row r="6235" spans="1:7">
      <c r="A6235" t="s">
        <v>1876</v>
      </c>
      <c r="B6235" t="s">
        <v>366</v>
      </c>
      <c r="C6235" t="s">
        <v>1931</v>
      </c>
      <c r="D6235">
        <v>7.7</v>
      </c>
      <c r="E6235">
        <v>8.3000000000000007</v>
      </c>
      <c r="F6235">
        <v>7.4</v>
      </c>
      <c r="G6235">
        <v>9.6</v>
      </c>
    </row>
    <row r="6236" spans="1:7">
      <c r="A6236" t="s">
        <v>1876</v>
      </c>
      <c r="B6236" t="s">
        <v>366</v>
      </c>
      <c r="C6236" t="s">
        <v>1707</v>
      </c>
      <c r="D6236">
        <v>1801</v>
      </c>
      <c r="E6236">
        <v>1801</v>
      </c>
      <c r="F6236">
        <v>1834</v>
      </c>
      <c r="G6236">
        <v>1834</v>
      </c>
    </row>
    <row r="6237" spans="1:7">
      <c r="A6237" t="s">
        <v>1876</v>
      </c>
      <c r="B6237" t="s">
        <v>366</v>
      </c>
      <c r="C6237" t="s">
        <v>1932</v>
      </c>
      <c r="D6237">
        <v>47.7</v>
      </c>
      <c r="E6237">
        <v>37.5</v>
      </c>
      <c r="F6237">
        <v>49.8</v>
      </c>
      <c r="G6237">
        <v>37.5</v>
      </c>
    </row>
    <row r="6238" spans="1:7">
      <c r="A6238" t="s">
        <v>1876</v>
      </c>
      <c r="B6238" t="s">
        <v>366</v>
      </c>
      <c r="C6238" t="s">
        <v>1708</v>
      </c>
      <c r="D6238">
        <v>268</v>
      </c>
      <c r="E6238">
        <v>267</v>
      </c>
      <c r="F6238">
        <v>267</v>
      </c>
      <c r="G6238">
        <v>267</v>
      </c>
    </row>
    <row r="6239" spans="1:7">
      <c r="A6239" t="s">
        <v>1876</v>
      </c>
      <c r="B6239" t="s">
        <v>366</v>
      </c>
      <c r="C6239" t="s">
        <v>206</v>
      </c>
      <c r="D6239">
        <v>20</v>
      </c>
      <c r="E6239">
        <v>18</v>
      </c>
      <c r="F6239">
        <v>16</v>
      </c>
      <c r="G6239">
        <v>10</v>
      </c>
    </row>
    <row r="6240" spans="1:7">
      <c r="A6240" t="s">
        <v>1876</v>
      </c>
      <c r="B6240" t="s">
        <v>366</v>
      </c>
      <c r="C6240" t="s">
        <v>207</v>
      </c>
      <c r="D6240">
        <v>3793</v>
      </c>
      <c r="E6240">
        <v>2975</v>
      </c>
      <c r="F6240">
        <v>3959</v>
      </c>
      <c r="G6240">
        <v>2995</v>
      </c>
    </row>
    <row r="6241" spans="1:7">
      <c r="A6241" t="s">
        <v>1876</v>
      </c>
      <c r="B6241" t="s">
        <v>366</v>
      </c>
      <c r="C6241" t="s">
        <v>208</v>
      </c>
      <c r="D6241">
        <v>0</v>
      </c>
      <c r="E6241">
        <v>0</v>
      </c>
      <c r="F6241">
        <v>0</v>
      </c>
      <c r="G6241">
        <v>0</v>
      </c>
    </row>
    <row r="6242" spans="1:7">
      <c r="A6242" t="s">
        <v>1876</v>
      </c>
      <c r="B6242" t="s">
        <v>366</v>
      </c>
      <c r="C6242" t="s">
        <v>209</v>
      </c>
      <c r="D6242">
        <v>3813</v>
      </c>
      <c r="E6242">
        <v>2993</v>
      </c>
      <c r="F6242">
        <v>3976</v>
      </c>
      <c r="G6242">
        <v>3005</v>
      </c>
    </row>
    <row r="6243" spans="1:7">
      <c r="A6243" t="s">
        <v>1876</v>
      </c>
      <c r="B6243" t="s">
        <v>366</v>
      </c>
      <c r="C6243" t="s">
        <v>210</v>
      </c>
      <c r="D6243">
        <v>20</v>
      </c>
      <c r="E6243">
        <v>18</v>
      </c>
      <c r="F6243">
        <v>16</v>
      </c>
      <c r="G6243">
        <v>10</v>
      </c>
    </row>
    <row r="6244" spans="1:7">
      <c r="A6244" t="s">
        <v>1876</v>
      </c>
      <c r="B6244" t="s">
        <v>366</v>
      </c>
      <c r="C6244" t="s">
        <v>211</v>
      </c>
      <c r="D6244">
        <v>0</v>
      </c>
      <c r="E6244">
        <v>0</v>
      </c>
      <c r="F6244">
        <v>0</v>
      </c>
      <c r="G6244">
        <v>0</v>
      </c>
    </row>
    <row r="6245" spans="1:7">
      <c r="A6245" t="s">
        <v>1876</v>
      </c>
      <c r="B6245" t="s">
        <v>366</v>
      </c>
      <c r="C6245" t="s">
        <v>212</v>
      </c>
      <c r="D6245">
        <v>0</v>
      </c>
      <c r="E6245">
        <v>0</v>
      </c>
      <c r="F6245">
        <v>0</v>
      </c>
      <c r="G6245">
        <v>0</v>
      </c>
    </row>
    <row r="6246" spans="1:7">
      <c r="A6246" t="s">
        <v>1876</v>
      </c>
      <c r="B6246" t="s">
        <v>366</v>
      </c>
      <c r="C6246" t="s">
        <v>213</v>
      </c>
      <c r="D6246">
        <v>0</v>
      </c>
      <c r="E6246">
        <v>0</v>
      </c>
      <c r="F6246">
        <v>0</v>
      </c>
      <c r="G6246">
        <v>0</v>
      </c>
    </row>
    <row r="6247" spans="1:7">
      <c r="A6247" t="s">
        <v>1876</v>
      </c>
      <c r="B6247" t="s">
        <v>366</v>
      </c>
      <c r="C6247" t="s">
        <v>214</v>
      </c>
      <c r="D6247">
        <v>0</v>
      </c>
      <c r="E6247">
        <v>0</v>
      </c>
      <c r="F6247">
        <v>0</v>
      </c>
      <c r="G6247">
        <v>0</v>
      </c>
    </row>
    <row r="6248" spans="1:7">
      <c r="A6248" t="s">
        <v>1876</v>
      </c>
      <c r="B6248" t="s">
        <v>366</v>
      </c>
      <c r="C6248" t="s">
        <v>215</v>
      </c>
      <c r="D6248">
        <v>43432</v>
      </c>
      <c r="E6248">
        <v>61617</v>
      </c>
      <c r="F6248">
        <v>66588</v>
      </c>
      <c r="G6248">
        <v>74072</v>
      </c>
    </row>
    <row r="6249" spans="1:7">
      <c r="A6249" t="s">
        <v>1876</v>
      </c>
      <c r="B6249" t="s">
        <v>366</v>
      </c>
      <c r="C6249" t="s">
        <v>216</v>
      </c>
      <c r="D6249">
        <v>43432</v>
      </c>
      <c r="E6249">
        <v>61617</v>
      </c>
      <c r="F6249">
        <v>66588</v>
      </c>
      <c r="G6249">
        <v>74072</v>
      </c>
    </row>
    <row r="6250" spans="1:7">
      <c r="A6250" t="s">
        <v>1876</v>
      </c>
      <c r="B6250" t="s">
        <v>366</v>
      </c>
      <c r="C6250" t="s">
        <v>217</v>
      </c>
      <c r="D6250">
        <v>43432</v>
      </c>
      <c r="E6250">
        <v>61617</v>
      </c>
      <c r="F6250">
        <v>66588</v>
      </c>
      <c r="G6250">
        <v>74072</v>
      </c>
    </row>
    <row r="6251" spans="1:7">
      <c r="A6251" t="s">
        <v>1876</v>
      </c>
      <c r="B6251" t="s">
        <v>366</v>
      </c>
      <c r="C6251" t="s">
        <v>218</v>
      </c>
      <c r="D6251">
        <v>59</v>
      </c>
      <c r="E6251">
        <v>52</v>
      </c>
      <c r="F6251">
        <v>95</v>
      </c>
      <c r="G6251">
        <v>75</v>
      </c>
    </row>
    <row r="6252" spans="1:7">
      <c r="A6252" t="s">
        <v>1876</v>
      </c>
      <c r="B6252" t="s">
        <v>366</v>
      </c>
      <c r="C6252" t="s">
        <v>219</v>
      </c>
      <c r="D6252">
        <v>6</v>
      </c>
      <c r="E6252">
        <v>4</v>
      </c>
      <c r="F6252">
        <v>17</v>
      </c>
      <c r="G6252">
        <v>9</v>
      </c>
    </row>
    <row r="6253" spans="1:7">
      <c r="A6253" t="s">
        <v>1876</v>
      </c>
      <c r="B6253" t="s">
        <v>366</v>
      </c>
      <c r="C6253" t="s">
        <v>220</v>
      </c>
      <c r="D6253">
        <v>213</v>
      </c>
      <c r="E6253">
        <v>186</v>
      </c>
      <c r="F6253">
        <v>342</v>
      </c>
      <c r="G6253">
        <v>271</v>
      </c>
    </row>
    <row r="6254" spans="1:7">
      <c r="A6254" t="s">
        <v>1876</v>
      </c>
      <c r="B6254" t="s">
        <v>366</v>
      </c>
      <c r="C6254" t="s">
        <v>221</v>
      </c>
      <c r="D6254">
        <v>277</v>
      </c>
      <c r="E6254">
        <v>242</v>
      </c>
      <c r="F6254">
        <v>454</v>
      </c>
      <c r="G6254">
        <v>355</v>
      </c>
    </row>
    <row r="6255" spans="1:7">
      <c r="A6255" t="s">
        <v>1876</v>
      </c>
      <c r="B6255" t="s">
        <v>366</v>
      </c>
      <c r="C6255" t="s">
        <v>222</v>
      </c>
      <c r="D6255">
        <v>277</v>
      </c>
      <c r="E6255">
        <v>242</v>
      </c>
      <c r="F6255">
        <v>454</v>
      </c>
      <c r="G6255">
        <v>355</v>
      </c>
    </row>
    <row r="6256" spans="1:7">
      <c r="A6256" t="s">
        <v>1876</v>
      </c>
      <c r="B6256" t="s">
        <v>366</v>
      </c>
      <c r="C6256" t="s">
        <v>1933</v>
      </c>
      <c r="D6256">
        <v>5066.3999999999996</v>
      </c>
      <c r="E6256">
        <v>5033.5</v>
      </c>
      <c r="F6256">
        <v>5063.3999999999996</v>
      </c>
      <c r="G6256">
        <v>5103.7</v>
      </c>
    </row>
    <row r="6257" spans="1:7">
      <c r="A6257" t="s">
        <v>1876</v>
      </c>
      <c r="B6257" t="s">
        <v>366</v>
      </c>
      <c r="C6257" t="s">
        <v>223</v>
      </c>
      <c r="D6257">
        <v>1655</v>
      </c>
      <c r="E6257">
        <v>1474</v>
      </c>
      <c r="F6257">
        <v>1396</v>
      </c>
      <c r="G6257">
        <v>1455</v>
      </c>
    </row>
    <row r="6258" spans="1:7">
      <c r="A6258" t="s">
        <v>1876</v>
      </c>
      <c r="B6258" t="s">
        <v>366</v>
      </c>
      <c r="C6258" t="s">
        <v>224</v>
      </c>
      <c r="D6258">
        <v>125302</v>
      </c>
      <c r="E6258">
        <v>120514</v>
      </c>
      <c r="F6258">
        <v>121283</v>
      </c>
      <c r="G6258">
        <v>117317</v>
      </c>
    </row>
    <row r="6259" spans="1:7">
      <c r="A6259" t="s">
        <v>1876</v>
      </c>
      <c r="B6259" t="s">
        <v>366</v>
      </c>
      <c r="C6259" t="s">
        <v>225</v>
      </c>
      <c r="D6259">
        <v>33364</v>
      </c>
      <c r="E6259">
        <v>30735</v>
      </c>
      <c r="F6259">
        <v>30432</v>
      </c>
      <c r="G6259">
        <v>28195</v>
      </c>
    </row>
    <row r="6260" spans="1:7">
      <c r="A6260" t="s">
        <v>1876</v>
      </c>
      <c r="B6260" t="s">
        <v>366</v>
      </c>
      <c r="C6260" t="s">
        <v>226</v>
      </c>
      <c r="D6260">
        <v>106757</v>
      </c>
      <c r="E6260">
        <v>98640</v>
      </c>
      <c r="F6260">
        <v>96754</v>
      </c>
      <c r="G6260">
        <v>99852</v>
      </c>
    </row>
    <row r="6261" spans="1:7">
      <c r="A6261" t="s">
        <v>1876</v>
      </c>
      <c r="B6261" t="s">
        <v>366</v>
      </c>
      <c r="C6261" t="s">
        <v>227</v>
      </c>
      <c r="D6261">
        <v>267078</v>
      </c>
      <c r="E6261">
        <v>251363</v>
      </c>
      <c r="F6261">
        <v>249865</v>
      </c>
      <c r="G6261">
        <v>246818</v>
      </c>
    </row>
    <row r="6262" spans="1:7">
      <c r="A6262" t="s">
        <v>1876</v>
      </c>
      <c r="B6262" t="s">
        <v>366</v>
      </c>
      <c r="C6262" t="s">
        <v>228</v>
      </c>
      <c r="D6262">
        <v>267078</v>
      </c>
      <c r="E6262">
        <v>251363</v>
      </c>
      <c r="F6262">
        <v>249865</v>
      </c>
      <c r="G6262">
        <v>246818</v>
      </c>
    </row>
    <row r="6263" spans="1:7">
      <c r="A6263" t="s">
        <v>1876</v>
      </c>
      <c r="B6263" t="s">
        <v>366</v>
      </c>
      <c r="C6263" t="s">
        <v>229</v>
      </c>
      <c r="D6263">
        <v>1672</v>
      </c>
      <c r="E6263">
        <v>1772</v>
      </c>
      <c r="F6263">
        <v>1287</v>
      </c>
      <c r="G6263">
        <v>1232</v>
      </c>
    </row>
    <row r="6264" spans="1:7">
      <c r="A6264" t="s">
        <v>1876</v>
      </c>
      <c r="B6264" t="s">
        <v>366</v>
      </c>
      <c r="C6264" t="s">
        <v>230</v>
      </c>
      <c r="D6264">
        <v>1981</v>
      </c>
      <c r="E6264">
        <v>2100</v>
      </c>
      <c r="F6264">
        <v>1492</v>
      </c>
      <c r="G6264">
        <v>1395</v>
      </c>
    </row>
    <row r="6265" spans="1:7">
      <c r="A6265" t="s">
        <v>1876</v>
      </c>
      <c r="B6265" t="s">
        <v>366</v>
      </c>
      <c r="C6265" t="s">
        <v>231</v>
      </c>
      <c r="D6265">
        <v>3654</v>
      </c>
      <c r="E6265">
        <v>3871</v>
      </c>
      <c r="F6265">
        <v>2779</v>
      </c>
      <c r="G6265">
        <v>2627</v>
      </c>
    </row>
    <row r="6266" spans="1:7">
      <c r="A6266" t="s">
        <v>1876</v>
      </c>
      <c r="B6266" t="s">
        <v>366</v>
      </c>
      <c r="C6266" t="s">
        <v>232</v>
      </c>
      <c r="D6266">
        <v>3654</v>
      </c>
      <c r="E6266">
        <v>3871</v>
      </c>
      <c r="F6266">
        <v>2779</v>
      </c>
      <c r="G6266">
        <v>2627</v>
      </c>
    </row>
    <row r="6267" spans="1:7">
      <c r="A6267" t="s">
        <v>1876</v>
      </c>
      <c r="B6267" t="s">
        <v>366</v>
      </c>
      <c r="C6267" t="s">
        <v>233</v>
      </c>
      <c r="D6267">
        <v>0</v>
      </c>
      <c r="E6267">
        <v>0</v>
      </c>
      <c r="F6267">
        <v>0</v>
      </c>
      <c r="G6267">
        <v>0</v>
      </c>
    </row>
    <row r="6268" spans="1:7">
      <c r="A6268" t="s">
        <v>1876</v>
      </c>
      <c r="B6268" t="s">
        <v>366</v>
      </c>
      <c r="C6268" t="s">
        <v>234</v>
      </c>
      <c r="D6268">
        <v>283438</v>
      </c>
      <c r="E6268">
        <v>282858</v>
      </c>
      <c r="F6268">
        <v>286350</v>
      </c>
      <c r="G6268">
        <v>292743</v>
      </c>
    </row>
    <row r="6269" spans="1:7">
      <c r="A6269" t="s">
        <v>1876</v>
      </c>
      <c r="B6269" t="s">
        <v>366</v>
      </c>
      <c r="C6269" t="s">
        <v>235</v>
      </c>
      <c r="D6269">
        <v>7297</v>
      </c>
      <c r="E6269">
        <v>8068</v>
      </c>
      <c r="F6269">
        <v>7671</v>
      </c>
      <c r="G6269">
        <v>6347</v>
      </c>
    </row>
    <row r="6270" spans="1:7">
      <c r="A6270" t="s">
        <v>1876</v>
      </c>
      <c r="B6270" t="s">
        <v>366</v>
      </c>
      <c r="C6270" t="s">
        <v>236</v>
      </c>
      <c r="D6270">
        <v>4014</v>
      </c>
      <c r="E6270">
        <v>4155</v>
      </c>
      <c r="F6270">
        <v>4158</v>
      </c>
      <c r="G6270">
        <v>4226</v>
      </c>
    </row>
    <row r="6271" spans="1:7">
      <c r="A6271" t="s">
        <v>1876</v>
      </c>
      <c r="B6271" t="s">
        <v>366</v>
      </c>
      <c r="C6271" t="s">
        <v>237</v>
      </c>
      <c r="D6271">
        <v>294749</v>
      </c>
      <c r="E6271">
        <v>295080</v>
      </c>
      <c r="F6271">
        <v>298179</v>
      </c>
      <c r="G6271">
        <v>303316</v>
      </c>
    </row>
    <row r="6272" spans="1:7">
      <c r="A6272" t="s">
        <v>1876</v>
      </c>
      <c r="B6272" t="s">
        <v>366</v>
      </c>
      <c r="C6272" t="s">
        <v>238</v>
      </c>
      <c r="D6272">
        <v>294749</v>
      </c>
      <c r="E6272">
        <v>295080</v>
      </c>
      <c r="F6272">
        <v>298179</v>
      </c>
      <c r="G6272">
        <v>303316</v>
      </c>
    </row>
    <row r="6273" spans="1:7">
      <c r="A6273" t="s">
        <v>1876</v>
      </c>
      <c r="B6273" t="s">
        <v>366</v>
      </c>
      <c r="C6273" t="s">
        <v>1934</v>
      </c>
      <c r="D6273">
        <v>262593</v>
      </c>
      <c r="E6273">
        <v>261982</v>
      </c>
      <c r="F6273">
        <v>265226</v>
      </c>
      <c r="G6273">
        <v>271234</v>
      </c>
    </row>
    <row r="6274" spans="1:7">
      <c r="A6274" t="s">
        <v>1876</v>
      </c>
      <c r="B6274" t="s">
        <v>366</v>
      </c>
      <c r="C6274" t="s">
        <v>1935</v>
      </c>
      <c r="D6274">
        <v>6760</v>
      </c>
      <c r="E6274">
        <v>7472</v>
      </c>
      <c r="F6274">
        <v>7105</v>
      </c>
      <c r="G6274">
        <v>5880</v>
      </c>
    </row>
    <row r="6275" spans="1:7">
      <c r="A6275" t="s">
        <v>1876</v>
      </c>
      <c r="B6275" t="s">
        <v>366</v>
      </c>
      <c r="C6275" t="s">
        <v>1936</v>
      </c>
      <c r="D6275">
        <v>3719</v>
      </c>
      <c r="E6275">
        <v>3848</v>
      </c>
      <c r="F6275">
        <v>3852</v>
      </c>
      <c r="G6275">
        <v>3916</v>
      </c>
    </row>
    <row r="6276" spans="1:7">
      <c r="A6276" t="s">
        <v>1876</v>
      </c>
      <c r="B6276" t="s">
        <v>366</v>
      </c>
      <c r="C6276" t="s">
        <v>239</v>
      </c>
      <c r="D6276">
        <v>273072</v>
      </c>
      <c r="E6276">
        <v>273302</v>
      </c>
      <c r="F6276">
        <v>276183</v>
      </c>
      <c r="G6276">
        <v>281030</v>
      </c>
    </row>
    <row r="6277" spans="1:7">
      <c r="A6277" t="s">
        <v>1876</v>
      </c>
      <c r="B6277" t="s">
        <v>366</v>
      </c>
      <c r="C6277" t="s">
        <v>240</v>
      </c>
      <c r="D6277">
        <v>953</v>
      </c>
      <c r="E6277">
        <v>2340</v>
      </c>
      <c r="F6277">
        <v>2249</v>
      </c>
      <c r="G6277">
        <v>2202</v>
      </c>
    </row>
    <row r="6278" spans="1:7">
      <c r="A6278" t="s">
        <v>1876</v>
      </c>
      <c r="B6278" t="s">
        <v>366</v>
      </c>
      <c r="C6278" t="s">
        <v>241</v>
      </c>
      <c r="D6278">
        <v>0</v>
      </c>
      <c r="E6278">
        <v>0</v>
      </c>
      <c r="F6278">
        <v>0</v>
      </c>
      <c r="G6278">
        <v>0</v>
      </c>
    </row>
    <row r="6279" spans="1:7">
      <c r="A6279" t="s">
        <v>1876</v>
      </c>
      <c r="B6279" t="s">
        <v>366</v>
      </c>
      <c r="C6279" t="s">
        <v>242</v>
      </c>
      <c r="D6279">
        <v>7645</v>
      </c>
      <c r="E6279">
        <v>8733</v>
      </c>
      <c r="F6279">
        <v>8168</v>
      </c>
      <c r="G6279">
        <v>8967</v>
      </c>
    </row>
    <row r="6280" spans="1:7">
      <c r="A6280" t="s">
        <v>1876</v>
      </c>
      <c r="B6280" t="s">
        <v>366</v>
      </c>
      <c r="C6280" t="s">
        <v>243</v>
      </c>
      <c r="D6280">
        <v>106366</v>
      </c>
      <c r="E6280">
        <v>120232</v>
      </c>
      <c r="F6280">
        <v>110052</v>
      </c>
      <c r="G6280">
        <v>107722</v>
      </c>
    </row>
    <row r="6281" spans="1:7">
      <c r="A6281" t="s">
        <v>1876</v>
      </c>
      <c r="B6281" t="s">
        <v>366</v>
      </c>
      <c r="C6281" t="s">
        <v>244</v>
      </c>
      <c r="D6281">
        <v>114824</v>
      </c>
      <c r="E6281">
        <v>118883</v>
      </c>
      <c r="F6281">
        <v>111279</v>
      </c>
      <c r="G6281">
        <v>121721</v>
      </c>
    </row>
    <row r="6282" spans="1:7">
      <c r="A6282" t="s">
        <v>1876</v>
      </c>
      <c r="B6282" t="s">
        <v>366</v>
      </c>
      <c r="C6282" t="s">
        <v>1709</v>
      </c>
      <c r="D6282">
        <v>7120</v>
      </c>
      <c r="E6282">
        <v>7069</v>
      </c>
      <c r="F6282">
        <v>6489</v>
      </c>
      <c r="G6282">
        <v>5017</v>
      </c>
    </row>
    <row r="6283" spans="1:7">
      <c r="A6283" t="s">
        <v>1876</v>
      </c>
      <c r="B6283" t="s">
        <v>366</v>
      </c>
      <c r="C6283" t="s">
        <v>245</v>
      </c>
      <c r="D6283">
        <v>48970</v>
      </c>
      <c r="E6283">
        <v>49120</v>
      </c>
      <c r="F6283">
        <v>44378</v>
      </c>
      <c r="G6283">
        <v>45178</v>
      </c>
    </row>
    <row r="6284" spans="1:7">
      <c r="A6284" t="s">
        <v>1876</v>
      </c>
      <c r="B6284" t="s">
        <v>366</v>
      </c>
      <c r="C6284" t="s">
        <v>246</v>
      </c>
      <c r="D6284">
        <v>126511</v>
      </c>
      <c r="E6284">
        <v>135495</v>
      </c>
      <c r="F6284">
        <v>113086</v>
      </c>
      <c r="G6284">
        <v>115555</v>
      </c>
    </row>
    <row r="6285" spans="1:7">
      <c r="A6285" t="s">
        <v>1876</v>
      </c>
      <c r="B6285" t="s">
        <v>366</v>
      </c>
      <c r="C6285" t="s">
        <v>247</v>
      </c>
      <c r="D6285">
        <v>404316</v>
      </c>
      <c r="E6285">
        <v>432461</v>
      </c>
      <c r="F6285">
        <v>386963</v>
      </c>
      <c r="G6285">
        <v>399143</v>
      </c>
    </row>
    <row r="6286" spans="1:7">
      <c r="A6286" t="s">
        <v>1876</v>
      </c>
      <c r="B6286" t="s">
        <v>366</v>
      </c>
      <c r="C6286" t="s">
        <v>248</v>
      </c>
      <c r="D6286">
        <v>57.8</v>
      </c>
      <c r="E6286">
        <v>61.6</v>
      </c>
      <c r="F6286">
        <v>54.7</v>
      </c>
      <c r="G6286">
        <v>55.9</v>
      </c>
    </row>
    <row r="6287" spans="1:7">
      <c r="A6287" t="s">
        <v>1876</v>
      </c>
      <c r="B6287" t="s">
        <v>366</v>
      </c>
      <c r="C6287" t="s">
        <v>249</v>
      </c>
      <c r="D6287">
        <v>289492</v>
      </c>
      <c r="E6287">
        <v>313579</v>
      </c>
      <c r="F6287">
        <v>275684</v>
      </c>
      <c r="G6287">
        <v>277423</v>
      </c>
    </row>
    <row r="6288" spans="1:7">
      <c r="A6288" t="s">
        <v>1876</v>
      </c>
      <c r="B6288" t="s">
        <v>366</v>
      </c>
      <c r="C6288" t="s">
        <v>250</v>
      </c>
      <c r="D6288">
        <v>404301</v>
      </c>
      <c r="E6288">
        <v>432442</v>
      </c>
      <c r="F6288">
        <v>386946</v>
      </c>
      <c r="G6288">
        <v>399133</v>
      </c>
    </row>
    <row r="6289" spans="1:7">
      <c r="A6289" t="s">
        <v>1876</v>
      </c>
      <c r="B6289" t="s">
        <v>366</v>
      </c>
      <c r="C6289" t="s">
        <v>1937</v>
      </c>
      <c r="D6289">
        <v>11.8</v>
      </c>
      <c r="E6289">
        <v>16.600000000000001</v>
      </c>
      <c r="F6289">
        <v>22.4</v>
      </c>
      <c r="G6289">
        <v>22.4</v>
      </c>
    </row>
    <row r="6290" spans="1:7">
      <c r="A6290" t="s">
        <v>1876</v>
      </c>
      <c r="B6290" t="s">
        <v>366</v>
      </c>
      <c r="C6290" t="s">
        <v>1938</v>
      </c>
      <c r="D6290">
        <v>0</v>
      </c>
      <c r="E6290">
        <v>0</v>
      </c>
      <c r="F6290">
        <v>0</v>
      </c>
      <c r="G6290">
        <v>0</v>
      </c>
    </row>
    <row r="6291" spans="1:7">
      <c r="A6291" t="s">
        <v>1876</v>
      </c>
      <c r="B6291" t="s">
        <v>366</v>
      </c>
      <c r="C6291" t="s">
        <v>251</v>
      </c>
      <c r="D6291">
        <v>0</v>
      </c>
      <c r="E6291">
        <v>0</v>
      </c>
      <c r="F6291">
        <v>0</v>
      </c>
      <c r="G6291">
        <v>0</v>
      </c>
    </row>
    <row r="6292" spans="1:7">
      <c r="A6292" t="s">
        <v>1876</v>
      </c>
      <c r="B6292" t="s">
        <v>366</v>
      </c>
      <c r="C6292" t="s">
        <v>252</v>
      </c>
      <c r="D6292">
        <v>0</v>
      </c>
      <c r="E6292">
        <v>0</v>
      </c>
      <c r="F6292">
        <v>0</v>
      </c>
      <c r="G6292">
        <v>0</v>
      </c>
    </row>
    <row r="6293" spans="1:7">
      <c r="A6293" t="s">
        <v>1876</v>
      </c>
      <c r="B6293" t="s">
        <v>366</v>
      </c>
      <c r="C6293" t="s">
        <v>1710</v>
      </c>
      <c r="D6293">
        <v>0</v>
      </c>
      <c r="E6293">
        <v>0</v>
      </c>
      <c r="F6293">
        <v>0</v>
      </c>
      <c r="G6293">
        <v>0</v>
      </c>
    </row>
    <row r="6294" spans="1:7">
      <c r="A6294" t="s">
        <v>1876</v>
      </c>
      <c r="B6294" t="s">
        <v>366</v>
      </c>
      <c r="C6294" t="s">
        <v>1939</v>
      </c>
      <c r="D6294">
        <v>21.4</v>
      </c>
      <c r="E6294">
        <v>35.200000000000003</v>
      </c>
      <c r="F6294">
        <v>29.4</v>
      </c>
      <c r="G6294">
        <v>30.2</v>
      </c>
    </row>
    <row r="6295" spans="1:7">
      <c r="A6295" t="s">
        <v>1876</v>
      </c>
      <c r="B6295" t="s">
        <v>366</v>
      </c>
      <c r="C6295" t="s">
        <v>253</v>
      </c>
      <c r="D6295">
        <v>0</v>
      </c>
      <c r="E6295">
        <v>0</v>
      </c>
      <c r="F6295">
        <v>0</v>
      </c>
      <c r="G6295">
        <v>0</v>
      </c>
    </row>
    <row r="6296" spans="1:7">
      <c r="A6296" t="s">
        <v>1876</v>
      </c>
      <c r="B6296" t="s">
        <v>366</v>
      </c>
      <c r="C6296" t="s">
        <v>1711</v>
      </c>
      <c r="D6296">
        <v>0</v>
      </c>
      <c r="E6296">
        <v>0</v>
      </c>
      <c r="F6296">
        <v>0</v>
      </c>
      <c r="G6296">
        <v>0</v>
      </c>
    </row>
    <row r="6297" spans="1:7">
      <c r="A6297" t="s">
        <v>1876</v>
      </c>
      <c r="B6297" t="s">
        <v>366</v>
      </c>
      <c r="C6297" t="s">
        <v>1712</v>
      </c>
      <c r="D6297">
        <v>2217</v>
      </c>
      <c r="E6297">
        <v>3816</v>
      </c>
      <c r="F6297">
        <v>3643</v>
      </c>
      <c r="G6297">
        <v>3488</v>
      </c>
    </row>
    <row r="6298" spans="1:7">
      <c r="A6298" t="s">
        <v>1876</v>
      </c>
      <c r="B6298" t="s">
        <v>366</v>
      </c>
      <c r="C6298" t="s">
        <v>1713</v>
      </c>
      <c r="D6298">
        <v>850</v>
      </c>
      <c r="E6298">
        <v>811</v>
      </c>
      <c r="F6298">
        <v>1137</v>
      </c>
      <c r="G6298">
        <v>1149</v>
      </c>
    </row>
    <row r="6299" spans="1:7">
      <c r="A6299" t="s">
        <v>1876</v>
      </c>
      <c r="B6299" t="s">
        <v>366</v>
      </c>
      <c r="C6299" t="s">
        <v>1940</v>
      </c>
      <c r="D6299">
        <v>0</v>
      </c>
      <c r="E6299">
        <v>0</v>
      </c>
      <c r="F6299">
        <v>0</v>
      </c>
      <c r="G6299">
        <v>0</v>
      </c>
    </row>
    <row r="6300" spans="1:7">
      <c r="A6300" t="s">
        <v>1876</v>
      </c>
      <c r="B6300" t="s">
        <v>366</v>
      </c>
      <c r="C6300" t="s">
        <v>1941</v>
      </c>
      <c r="D6300">
        <v>0</v>
      </c>
      <c r="E6300">
        <v>0</v>
      </c>
      <c r="F6300">
        <v>0</v>
      </c>
      <c r="G6300">
        <v>0</v>
      </c>
    </row>
    <row r="6301" spans="1:7">
      <c r="A6301" t="s">
        <v>1876</v>
      </c>
      <c r="B6301" t="s">
        <v>366</v>
      </c>
      <c r="C6301" t="s">
        <v>254</v>
      </c>
      <c r="D6301">
        <v>2217</v>
      </c>
      <c r="E6301">
        <v>3816</v>
      </c>
      <c r="F6301">
        <v>3643</v>
      </c>
      <c r="G6301">
        <v>3488</v>
      </c>
    </row>
    <row r="6302" spans="1:7">
      <c r="A6302" t="s">
        <v>1876</v>
      </c>
      <c r="B6302" t="s">
        <v>366</v>
      </c>
      <c r="C6302" t="s">
        <v>1942</v>
      </c>
      <c r="D6302">
        <v>0</v>
      </c>
      <c r="E6302">
        <v>0</v>
      </c>
      <c r="F6302">
        <v>0</v>
      </c>
      <c r="G6302">
        <v>0</v>
      </c>
    </row>
    <row r="6303" spans="1:7">
      <c r="A6303" t="s">
        <v>1876</v>
      </c>
      <c r="B6303" t="s">
        <v>366</v>
      </c>
      <c r="C6303" t="s">
        <v>255</v>
      </c>
      <c r="D6303">
        <v>3067</v>
      </c>
      <c r="E6303">
        <v>4627</v>
      </c>
      <c r="F6303">
        <v>4781</v>
      </c>
      <c r="G6303">
        <v>4637</v>
      </c>
    </row>
    <row r="6304" spans="1:7">
      <c r="A6304" t="s">
        <v>1876</v>
      </c>
      <c r="B6304" t="s">
        <v>366</v>
      </c>
      <c r="C6304" t="s">
        <v>256</v>
      </c>
      <c r="D6304">
        <v>3067</v>
      </c>
      <c r="E6304">
        <v>4627</v>
      </c>
      <c r="F6304">
        <v>4781</v>
      </c>
      <c r="G6304">
        <v>4637</v>
      </c>
    </row>
    <row r="6305" spans="1:7">
      <c r="A6305" t="s">
        <v>1876</v>
      </c>
      <c r="B6305" t="s">
        <v>366</v>
      </c>
      <c r="C6305" t="s">
        <v>1714</v>
      </c>
      <c r="D6305">
        <v>0</v>
      </c>
      <c r="E6305">
        <v>0</v>
      </c>
      <c r="F6305">
        <v>0</v>
      </c>
      <c r="G6305">
        <v>0</v>
      </c>
    </row>
    <row r="6306" spans="1:7">
      <c r="A6306" t="s">
        <v>1876</v>
      </c>
      <c r="B6306" t="s">
        <v>366</v>
      </c>
      <c r="C6306" t="s">
        <v>257</v>
      </c>
      <c r="D6306">
        <v>19413</v>
      </c>
      <c r="E6306">
        <v>21435</v>
      </c>
      <c r="F6306">
        <v>18426</v>
      </c>
      <c r="G6306">
        <v>18957</v>
      </c>
    </row>
    <row r="6307" spans="1:7">
      <c r="A6307" t="s">
        <v>1876</v>
      </c>
      <c r="B6307" t="s">
        <v>366</v>
      </c>
      <c r="C6307" t="s">
        <v>258</v>
      </c>
      <c r="D6307">
        <v>22566</v>
      </c>
      <c r="E6307">
        <v>24627</v>
      </c>
      <c r="F6307">
        <v>21640</v>
      </c>
      <c r="G6307">
        <v>22063</v>
      </c>
    </row>
    <row r="6308" spans="1:7">
      <c r="A6308" t="s">
        <v>1876</v>
      </c>
      <c r="B6308" t="s">
        <v>366</v>
      </c>
      <c r="C6308" t="s">
        <v>259</v>
      </c>
      <c r="D6308">
        <v>22566</v>
      </c>
      <c r="E6308">
        <v>24627</v>
      </c>
      <c r="F6308">
        <v>21640</v>
      </c>
      <c r="G6308">
        <v>22063</v>
      </c>
    </row>
    <row r="6309" spans="1:7">
      <c r="A6309" t="s">
        <v>1876</v>
      </c>
      <c r="B6309" t="s">
        <v>366</v>
      </c>
      <c r="C6309" t="s">
        <v>260</v>
      </c>
      <c r="D6309">
        <v>391381</v>
      </c>
      <c r="E6309">
        <v>409891</v>
      </c>
      <c r="F6309">
        <v>414688</v>
      </c>
      <c r="G6309">
        <v>424838</v>
      </c>
    </row>
    <row r="6310" spans="1:7">
      <c r="A6310" t="s">
        <v>1876</v>
      </c>
      <c r="B6310" t="s">
        <v>366</v>
      </c>
      <c r="C6310" t="s">
        <v>1943</v>
      </c>
      <c r="D6310">
        <v>0.4</v>
      </c>
      <c r="E6310">
        <v>2.1</v>
      </c>
      <c r="F6310">
        <v>0.5</v>
      </c>
      <c r="G6310">
        <v>1.9</v>
      </c>
    </row>
    <row r="6311" spans="1:7">
      <c r="A6311" t="s">
        <v>1876</v>
      </c>
      <c r="B6311" t="s">
        <v>366</v>
      </c>
      <c r="C6311" t="s">
        <v>261</v>
      </c>
      <c r="D6311">
        <v>25066</v>
      </c>
      <c r="E6311">
        <v>25304</v>
      </c>
      <c r="F6311">
        <v>24595</v>
      </c>
      <c r="G6311">
        <v>24242</v>
      </c>
    </row>
    <row r="6312" spans="1:7">
      <c r="A6312" t="s">
        <v>1876</v>
      </c>
      <c r="B6312" t="s">
        <v>366</v>
      </c>
      <c r="C6312" t="s">
        <v>262</v>
      </c>
      <c r="D6312">
        <v>872</v>
      </c>
      <c r="E6312">
        <v>6887</v>
      </c>
      <c r="F6312">
        <v>1116</v>
      </c>
      <c r="G6312">
        <v>1641</v>
      </c>
    </row>
    <row r="6313" spans="1:7">
      <c r="A6313" t="s">
        <v>1876</v>
      </c>
      <c r="B6313" t="s">
        <v>366</v>
      </c>
      <c r="C6313" t="s">
        <v>1715</v>
      </c>
      <c r="D6313">
        <v>1789</v>
      </c>
      <c r="E6313">
        <v>1738</v>
      </c>
      <c r="F6313">
        <v>2277</v>
      </c>
      <c r="G6313">
        <v>2276</v>
      </c>
    </row>
    <row r="6314" spans="1:7">
      <c r="A6314" t="s">
        <v>1876</v>
      </c>
      <c r="B6314" t="s">
        <v>366</v>
      </c>
      <c r="C6314" t="s">
        <v>263</v>
      </c>
      <c r="D6314">
        <v>29169</v>
      </c>
      <c r="E6314">
        <v>31352</v>
      </c>
      <c r="F6314">
        <v>28189</v>
      </c>
      <c r="G6314">
        <v>28658</v>
      </c>
    </row>
    <row r="6315" spans="1:7">
      <c r="A6315" t="s">
        <v>1876</v>
      </c>
      <c r="B6315" t="s">
        <v>366</v>
      </c>
      <c r="C6315" t="s">
        <v>264</v>
      </c>
      <c r="D6315">
        <v>80032</v>
      </c>
      <c r="E6315">
        <v>78902</v>
      </c>
      <c r="F6315">
        <v>79316</v>
      </c>
      <c r="G6315">
        <v>79457</v>
      </c>
    </row>
    <row r="6316" spans="1:7">
      <c r="A6316" t="s">
        <v>1876</v>
      </c>
      <c r="B6316" t="s">
        <v>366</v>
      </c>
      <c r="C6316" t="s">
        <v>265</v>
      </c>
      <c r="D6316">
        <v>526521</v>
      </c>
      <c r="E6316">
        <v>552337</v>
      </c>
      <c r="F6316">
        <v>547906</v>
      </c>
      <c r="G6316">
        <v>558836</v>
      </c>
    </row>
    <row r="6317" spans="1:7">
      <c r="A6317" t="s">
        <v>1876</v>
      </c>
      <c r="B6317" t="s">
        <v>366</v>
      </c>
      <c r="C6317" t="s">
        <v>266</v>
      </c>
      <c r="D6317">
        <v>75.3</v>
      </c>
      <c r="E6317">
        <v>78.599999999999994</v>
      </c>
      <c r="F6317">
        <v>77.5</v>
      </c>
      <c r="G6317">
        <v>78.3</v>
      </c>
    </row>
    <row r="6318" spans="1:7">
      <c r="A6318" t="s">
        <v>1876</v>
      </c>
      <c r="B6318" t="s">
        <v>366</v>
      </c>
      <c r="C6318" t="s">
        <v>267</v>
      </c>
      <c r="D6318">
        <v>525649</v>
      </c>
      <c r="E6318">
        <v>545450</v>
      </c>
      <c r="F6318">
        <v>546789</v>
      </c>
      <c r="G6318">
        <v>557195</v>
      </c>
    </row>
    <row r="6319" spans="1:7">
      <c r="A6319" t="s">
        <v>1876</v>
      </c>
      <c r="B6319" t="s">
        <v>366</v>
      </c>
      <c r="C6319" t="s">
        <v>268</v>
      </c>
      <c r="D6319">
        <v>0</v>
      </c>
      <c r="E6319">
        <v>0</v>
      </c>
      <c r="F6319">
        <v>0</v>
      </c>
      <c r="G6319">
        <v>0</v>
      </c>
    </row>
    <row r="6320" spans="1:7">
      <c r="A6320" t="s">
        <v>1876</v>
      </c>
      <c r="B6320" t="s">
        <v>366</v>
      </c>
      <c r="C6320" t="s">
        <v>269</v>
      </c>
      <c r="D6320">
        <v>0</v>
      </c>
      <c r="E6320">
        <v>0</v>
      </c>
      <c r="F6320">
        <v>0</v>
      </c>
      <c r="G6320">
        <v>0</v>
      </c>
    </row>
    <row r="6321" spans="1:7">
      <c r="A6321" t="s">
        <v>1876</v>
      </c>
      <c r="B6321" t="s">
        <v>366</v>
      </c>
      <c r="C6321" t="s">
        <v>270</v>
      </c>
      <c r="D6321">
        <v>0</v>
      </c>
      <c r="E6321">
        <v>0</v>
      </c>
      <c r="F6321">
        <v>0</v>
      </c>
      <c r="G6321">
        <v>0</v>
      </c>
    </row>
    <row r="6322" spans="1:7">
      <c r="A6322" t="s">
        <v>1876</v>
      </c>
      <c r="B6322" t="s">
        <v>366</v>
      </c>
      <c r="C6322" t="s">
        <v>271</v>
      </c>
      <c r="D6322">
        <v>0</v>
      </c>
      <c r="E6322">
        <v>0</v>
      </c>
      <c r="F6322">
        <v>0</v>
      </c>
      <c r="G6322">
        <v>0</v>
      </c>
    </row>
    <row r="6323" spans="1:7">
      <c r="A6323" t="s">
        <v>1876</v>
      </c>
      <c r="B6323" t="s">
        <v>366</v>
      </c>
      <c r="C6323" t="s">
        <v>272</v>
      </c>
      <c r="D6323">
        <v>0</v>
      </c>
      <c r="E6323">
        <v>0</v>
      </c>
      <c r="F6323">
        <v>0</v>
      </c>
      <c r="G6323">
        <v>0</v>
      </c>
    </row>
    <row r="6324" spans="1:7">
      <c r="A6324" t="s">
        <v>1876</v>
      </c>
      <c r="B6324" t="s">
        <v>366</v>
      </c>
      <c r="C6324" t="s">
        <v>1944</v>
      </c>
      <c r="D6324">
        <v>21.6</v>
      </c>
      <c r="E6324">
        <v>28.2</v>
      </c>
      <c r="F6324">
        <v>38.6</v>
      </c>
      <c r="G6324">
        <v>50.3</v>
      </c>
    </row>
    <row r="6325" spans="1:7">
      <c r="A6325" t="s">
        <v>1876</v>
      </c>
      <c r="B6325" t="s">
        <v>366</v>
      </c>
      <c r="C6325" t="s">
        <v>1945</v>
      </c>
      <c r="D6325">
        <v>33</v>
      </c>
      <c r="E6325">
        <v>49</v>
      </c>
      <c r="F6325">
        <v>98</v>
      </c>
      <c r="G6325">
        <v>121</v>
      </c>
    </row>
    <row r="6326" spans="1:7">
      <c r="A6326" t="s">
        <v>1876</v>
      </c>
      <c r="B6326" t="s">
        <v>366</v>
      </c>
      <c r="C6326" t="s">
        <v>273</v>
      </c>
      <c r="D6326">
        <v>0</v>
      </c>
      <c r="E6326">
        <v>0</v>
      </c>
      <c r="F6326">
        <v>0</v>
      </c>
      <c r="G6326">
        <v>0</v>
      </c>
    </row>
    <row r="6327" spans="1:7">
      <c r="A6327" t="s">
        <v>1876</v>
      </c>
      <c r="B6327" t="s">
        <v>366</v>
      </c>
      <c r="C6327" t="s">
        <v>1946</v>
      </c>
      <c r="D6327">
        <v>369057</v>
      </c>
      <c r="E6327">
        <v>387632</v>
      </c>
      <c r="F6327">
        <v>391757</v>
      </c>
      <c r="G6327">
        <v>401560</v>
      </c>
    </row>
    <row r="6328" spans="1:7">
      <c r="A6328" t="s">
        <v>1876</v>
      </c>
      <c r="B6328" t="s">
        <v>366</v>
      </c>
      <c r="C6328" t="s">
        <v>1947</v>
      </c>
      <c r="D6328">
        <v>24529</v>
      </c>
      <c r="E6328">
        <v>24709</v>
      </c>
      <c r="F6328">
        <v>24030</v>
      </c>
      <c r="G6328">
        <v>23776</v>
      </c>
    </row>
    <row r="6329" spans="1:7">
      <c r="A6329" t="s">
        <v>1876</v>
      </c>
      <c r="B6329" t="s">
        <v>366</v>
      </c>
      <c r="C6329" t="s">
        <v>1948</v>
      </c>
      <c r="D6329">
        <v>872</v>
      </c>
      <c r="E6329">
        <v>6887</v>
      </c>
      <c r="F6329">
        <v>1116</v>
      </c>
      <c r="G6329">
        <v>1641</v>
      </c>
    </row>
    <row r="6330" spans="1:7">
      <c r="A6330" t="s">
        <v>1876</v>
      </c>
      <c r="B6330" t="s">
        <v>366</v>
      </c>
      <c r="C6330" t="s">
        <v>1949</v>
      </c>
      <c r="D6330">
        <v>28874</v>
      </c>
      <c r="E6330">
        <v>31045</v>
      </c>
      <c r="F6330">
        <v>27882</v>
      </c>
      <c r="G6330">
        <v>28347</v>
      </c>
    </row>
    <row r="6331" spans="1:7">
      <c r="A6331" t="s">
        <v>1876</v>
      </c>
      <c r="B6331" t="s">
        <v>366</v>
      </c>
      <c r="C6331" t="s">
        <v>1950</v>
      </c>
      <c r="D6331">
        <v>80032</v>
      </c>
      <c r="E6331">
        <v>78902</v>
      </c>
      <c r="F6331">
        <v>79316</v>
      </c>
      <c r="G6331">
        <v>79457</v>
      </c>
    </row>
    <row r="6332" spans="1:7">
      <c r="A6332" t="s">
        <v>1876</v>
      </c>
      <c r="B6332" t="s">
        <v>366</v>
      </c>
      <c r="C6332" t="s">
        <v>274</v>
      </c>
      <c r="D6332">
        <v>503365</v>
      </c>
      <c r="E6332">
        <v>529175</v>
      </c>
      <c r="F6332">
        <v>524102</v>
      </c>
      <c r="G6332">
        <v>534781</v>
      </c>
    </row>
    <row r="6333" spans="1:7">
      <c r="A6333" t="s">
        <v>1876</v>
      </c>
      <c r="B6333" t="s">
        <v>366</v>
      </c>
      <c r="C6333" t="s">
        <v>275</v>
      </c>
      <c r="D6333">
        <v>0</v>
      </c>
      <c r="E6333">
        <v>0</v>
      </c>
      <c r="F6333">
        <v>0</v>
      </c>
      <c r="G6333">
        <v>0</v>
      </c>
    </row>
    <row r="6334" spans="1:7">
      <c r="A6334" t="s">
        <v>1876</v>
      </c>
      <c r="B6334" t="s">
        <v>366</v>
      </c>
      <c r="C6334" t="s">
        <v>276</v>
      </c>
      <c r="D6334">
        <v>0</v>
      </c>
      <c r="E6334">
        <v>0</v>
      </c>
      <c r="F6334">
        <v>0</v>
      </c>
      <c r="G6334">
        <v>0</v>
      </c>
    </row>
    <row r="6335" spans="1:7">
      <c r="A6335" t="s">
        <v>1876</v>
      </c>
      <c r="B6335" t="s">
        <v>366</v>
      </c>
      <c r="C6335" t="s">
        <v>277</v>
      </c>
      <c r="D6335">
        <v>79</v>
      </c>
      <c r="E6335">
        <v>67</v>
      </c>
      <c r="F6335">
        <v>71</v>
      </c>
      <c r="G6335">
        <v>71</v>
      </c>
    </row>
    <row r="6336" spans="1:7">
      <c r="A6336" t="s">
        <v>1876</v>
      </c>
      <c r="B6336" t="s">
        <v>366</v>
      </c>
      <c r="C6336" t="s">
        <v>278</v>
      </c>
      <c r="D6336">
        <v>3998</v>
      </c>
      <c r="E6336">
        <v>3823</v>
      </c>
      <c r="F6336">
        <v>3377</v>
      </c>
      <c r="G6336">
        <v>4187</v>
      </c>
    </row>
    <row r="6337" spans="1:7">
      <c r="A6337" t="s">
        <v>1876</v>
      </c>
      <c r="B6337" t="s">
        <v>366</v>
      </c>
      <c r="C6337" t="s">
        <v>279</v>
      </c>
      <c r="D6337">
        <v>709</v>
      </c>
      <c r="E6337">
        <v>673</v>
      </c>
      <c r="F6337">
        <v>654</v>
      </c>
      <c r="G6337">
        <v>660</v>
      </c>
    </row>
    <row r="6338" spans="1:7">
      <c r="A6338" t="s">
        <v>1876</v>
      </c>
      <c r="B6338" t="s">
        <v>366</v>
      </c>
      <c r="C6338" t="s">
        <v>280</v>
      </c>
      <c r="D6338">
        <v>8084</v>
      </c>
      <c r="E6338">
        <v>7932</v>
      </c>
      <c r="F6338">
        <v>7627</v>
      </c>
      <c r="G6338">
        <v>8500</v>
      </c>
    </row>
    <row r="6339" spans="1:7">
      <c r="A6339" t="s">
        <v>1876</v>
      </c>
      <c r="B6339" t="s">
        <v>366</v>
      </c>
      <c r="C6339" t="s">
        <v>281</v>
      </c>
      <c r="D6339">
        <v>12871</v>
      </c>
      <c r="E6339">
        <v>12495</v>
      </c>
      <c r="F6339">
        <v>11730</v>
      </c>
      <c r="G6339">
        <v>13419</v>
      </c>
    </row>
    <row r="6340" spans="1:7">
      <c r="A6340" t="s">
        <v>1876</v>
      </c>
      <c r="B6340" t="s">
        <v>366</v>
      </c>
      <c r="C6340" t="s">
        <v>282</v>
      </c>
      <c r="D6340">
        <v>12871</v>
      </c>
      <c r="E6340">
        <v>12495</v>
      </c>
      <c r="F6340">
        <v>11730</v>
      </c>
      <c r="G6340">
        <v>13419</v>
      </c>
    </row>
    <row r="6341" spans="1:7">
      <c r="A6341" t="s">
        <v>1876</v>
      </c>
      <c r="B6341" t="s">
        <v>366</v>
      </c>
      <c r="C6341" t="s">
        <v>283</v>
      </c>
      <c r="D6341">
        <v>0</v>
      </c>
      <c r="E6341">
        <v>0</v>
      </c>
      <c r="F6341">
        <v>0</v>
      </c>
      <c r="G6341">
        <v>0</v>
      </c>
    </row>
    <row r="6342" spans="1:7">
      <c r="A6342" t="s">
        <v>1876</v>
      </c>
      <c r="B6342" t="s">
        <v>366</v>
      </c>
      <c r="C6342" t="s">
        <v>284</v>
      </c>
      <c r="D6342">
        <v>0</v>
      </c>
      <c r="E6342">
        <v>0</v>
      </c>
      <c r="F6342">
        <v>0</v>
      </c>
      <c r="G6342">
        <v>0</v>
      </c>
    </row>
    <row r="6343" spans="1:7">
      <c r="A6343" t="s">
        <v>1876</v>
      </c>
      <c r="B6343" t="s">
        <v>366</v>
      </c>
      <c r="C6343" t="s">
        <v>1716</v>
      </c>
      <c r="D6343">
        <v>22324</v>
      </c>
      <c r="E6343">
        <v>22260</v>
      </c>
      <c r="F6343">
        <v>22931</v>
      </c>
      <c r="G6343">
        <v>23278</v>
      </c>
    </row>
    <row r="6344" spans="1:7">
      <c r="A6344" t="s">
        <v>1876</v>
      </c>
      <c r="B6344" t="s">
        <v>366</v>
      </c>
      <c r="C6344" t="s">
        <v>1717</v>
      </c>
      <c r="D6344">
        <v>9619</v>
      </c>
      <c r="E6344">
        <v>18251</v>
      </c>
      <c r="F6344">
        <v>18659</v>
      </c>
      <c r="G6344">
        <v>19180</v>
      </c>
    </row>
    <row r="6345" spans="1:7">
      <c r="A6345" t="s">
        <v>1876</v>
      </c>
      <c r="B6345" t="s">
        <v>366</v>
      </c>
      <c r="C6345" t="s">
        <v>1718</v>
      </c>
      <c r="D6345">
        <v>26536</v>
      </c>
      <c r="E6345">
        <v>18462</v>
      </c>
      <c r="F6345">
        <v>19516</v>
      </c>
      <c r="G6345">
        <v>19189</v>
      </c>
    </row>
    <row r="6346" spans="1:7">
      <c r="A6346" t="s">
        <v>1876</v>
      </c>
      <c r="B6346" t="s">
        <v>366</v>
      </c>
      <c r="C6346" t="s">
        <v>1719</v>
      </c>
      <c r="D6346">
        <v>1855</v>
      </c>
      <c r="E6346">
        <v>1918</v>
      </c>
      <c r="F6346">
        <v>1981</v>
      </c>
      <c r="G6346">
        <v>2073</v>
      </c>
    </row>
    <row r="6347" spans="1:7">
      <c r="A6347" t="s">
        <v>1876</v>
      </c>
      <c r="B6347" t="s">
        <v>366</v>
      </c>
      <c r="C6347" t="s">
        <v>1720</v>
      </c>
      <c r="D6347">
        <v>3787</v>
      </c>
      <c r="E6347">
        <v>5357</v>
      </c>
      <c r="F6347">
        <v>5301</v>
      </c>
      <c r="G6347">
        <v>5137</v>
      </c>
    </row>
    <row r="6348" spans="1:7">
      <c r="A6348" t="s">
        <v>1876</v>
      </c>
      <c r="B6348" t="s">
        <v>366</v>
      </c>
      <c r="C6348" t="s">
        <v>1721</v>
      </c>
      <c r="D6348">
        <v>13096</v>
      </c>
      <c r="E6348">
        <v>17217</v>
      </c>
      <c r="F6348">
        <v>15930</v>
      </c>
      <c r="G6348">
        <v>15920</v>
      </c>
    </row>
    <row r="6349" spans="1:7">
      <c r="A6349" t="s">
        <v>1876</v>
      </c>
      <c r="B6349" t="s">
        <v>366</v>
      </c>
      <c r="C6349" t="s">
        <v>285</v>
      </c>
      <c r="D6349">
        <v>75363</v>
      </c>
      <c r="E6349">
        <v>81547</v>
      </c>
      <c r="F6349">
        <v>82336</v>
      </c>
      <c r="G6349">
        <v>82703</v>
      </c>
    </row>
    <row r="6350" spans="1:7">
      <c r="A6350" t="s">
        <v>1876</v>
      </c>
      <c r="B6350" t="s">
        <v>366</v>
      </c>
      <c r="C6350" t="s">
        <v>1951</v>
      </c>
      <c r="D6350">
        <v>5.9</v>
      </c>
      <c r="E6350">
        <v>6.2</v>
      </c>
      <c r="F6350">
        <v>6.4</v>
      </c>
      <c r="G6350">
        <v>6.4</v>
      </c>
    </row>
    <row r="6351" spans="1:7">
      <c r="A6351" t="s">
        <v>1876</v>
      </c>
      <c r="B6351" t="s">
        <v>366</v>
      </c>
      <c r="C6351" t="s">
        <v>286</v>
      </c>
      <c r="D6351">
        <v>1371</v>
      </c>
      <c r="E6351">
        <v>1405</v>
      </c>
      <c r="F6351">
        <v>1166</v>
      </c>
      <c r="G6351">
        <v>1262</v>
      </c>
    </row>
    <row r="6352" spans="1:7">
      <c r="A6352" t="s">
        <v>1876</v>
      </c>
      <c r="B6352" t="s">
        <v>366</v>
      </c>
      <c r="C6352" t="s">
        <v>287</v>
      </c>
      <c r="D6352">
        <v>121</v>
      </c>
      <c r="E6352">
        <v>124</v>
      </c>
      <c r="F6352">
        <v>103</v>
      </c>
      <c r="G6352">
        <v>112</v>
      </c>
    </row>
    <row r="6353" spans="1:7">
      <c r="A6353" t="s">
        <v>1876</v>
      </c>
      <c r="B6353" t="s">
        <v>366</v>
      </c>
      <c r="C6353" t="s">
        <v>288</v>
      </c>
      <c r="D6353">
        <v>501</v>
      </c>
      <c r="E6353">
        <v>2964</v>
      </c>
      <c r="F6353">
        <v>518</v>
      </c>
      <c r="G6353">
        <v>744</v>
      </c>
    </row>
    <row r="6354" spans="1:7">
      <c r="A6354" t="s">
        <v>1876</v>
      </c>
      <c r="B6354" t="s">
        <v>366</v>
      </c>
      <c r="C6354" t="s">
        <v>289</v>
      </c>
      <c r="D6354">
        <v>111</v>
      </c>
      <c r="E6354">
        <v>114</v>
      </c>
      <c r="F6354">
        <v>95</v>
      </c>
      <c r="G6354">
        <v>102</v>
      </c>
    </row>
    <row r="6355" spans="1:7">
      <c r="A6355" t="s">
        <v>1876</v>
      </c>
      <c r="B6355" t="s">
        <v>366</v>
      </c>
      <c r="C6355" t="s">
        <v>290</v>
      </c>
      <c r="D6355">
        <v>2104</v>
      </c>
      <c r="E6355">
        <v>4606</v>
      </c>
      <c r="F6355">
        <v>1882</v>
      </c>
      <c r="G6355">
        <v>2220</v>
      </c>
    </row>
    <row r="6356" spans="1:7">
      <c r="A6356" t="s">
        <v>1876</v>
      </c>
      <c r="B6356" t="s">
        <v>366</v>
      </c>
      <c r="C6356" t="s">
        <v>291</v>
      </c>
      <c r="D6356">
        <v>1603</v>
      </c>
      <c r="E6356">
        <v>1643</v>
      </c>
      <c r="F6356">
        <v>1364</v>
      </c>
      <c r="G6356">
        <v>1476</v>
      </c>
    </row>
    <row r="6357" spans="1:7">
      <c r="A6357" t="s">
        <v>1876</v>
      </c>
      <c r="B6357" t="s">
        <v>366</v>
      </c>
      <c r="C6357" t="s">
        <v>292</v>
      </c>
      <c r="D6357">
        <v>4</v>
      </c>
      <c r="E6357">
        <v>5</v>
      </c>
      <c r="F6357">
        <v>5</v>
      </c>
      <c r="G6357">
        <v>3</v>
      </c>
    </row>
    <row r="6358" spans="1:7">
      <c r="A6358" t="s">
        <v>1876</v>
      </c>
      <c r="B6358" t="s">
        <v>366</v>
      </c>
      <c r="C6358" t="s">
        <v>293</v>
      </c>
      <c r="D6358">
        <v>4</v>
      </c>
      <c r="E6358">
        <v>5</v>
      </c>
      <c r="F6358">
        <v>5</v>
      </c>
      <c r="G6358">
        <v>3</v>
      </c>
    </row>
    <row r="6359" spans="1:7">
      <c r="A6359" t="s">
        <v>1876</v>
      </c>
      <c r="B6359" t="s">
        <v>366</v>
      </c>
      <c r="C6359" t="s">
        <v>294</v>
      </c>
      <c r="D6359">
        <v>2</v>
      </c>
      <c r="E6359">
        <v>2</v>
      </c>
      <c r="F6359">
        <v>2</v>
      </c>
      <c r="G6359">
        <v>1</v>
      </c>
    </row>
    <row r="6360" spans="1:7">
      <c r="A6360" t="s">
        <v>1876</v>
      </c>
      <c r="B6360" t="s">
        <v>366</v>
      </c>
      <c r="C6360" t="s">
        <v>295</v>
      </c>
      <c r="D6360">
        <v>5</v>
      </c>
      <c r="E6360">
        <v>6</v>
      </c>
      <c r="F6360">
        <v>5</v>
      </c>
      <c r="G6360">
        <v>3</v>
      </c>
    </row>
    <row r="6361" spans="1:7">
      <c r="A6361" t="s">
        <v>1876</v>
      </c>
      <c r="B6361" t="s">
        <v>366</v>
      </c>
      <c r="C6361" t="s">
        <v>296</v>
      </c>
      <c r="D6361">
        <v>15</v>
      </c>
      <c r="E6361">
        <v>18</v>
      </c>
      <c r="F6361">
        <v>17</v>
      </c>
      <c r="G6361">
        <v>10</v>
      </c>
    </row>
    <row r="6362" spans="1:7">
      <c r="A6362" t="s">
        <v>1876</v>
      </c>
      <c r="B6362" t="s">
        <v>366</v>
      </c>
      <c r="C6362" t="s">
        <v>297</v>
      </c>
      <c r="D6362">
        <v>0</v>
      </c>
      <c r="E6362">
        <v>0</v>
      </c>
      <c r="F6362">
        <v>0</v>
      </c>
      <c r="G6362">
        <v>0</v>
      </c>
    </row>
    <row r="6363" spans="1:7">
      <c r="A6363" t="s">
        <v>1876</v>
      </c>
      <c r="B6363" t="s">
        <v>366</v>
      </c>
      <c r="C6363" t="s">
        <v>1952</v>
      </c>
      <c r="D6363">
        <v>0</v>
      </c>
      <c r="E6363">
        <v>0</v>
      </c>
      <c r="F6363">
        <v>0</v>
      </c>
      <c r="G6363">
        <v>0</v>
      </c>
    </row>
    <row r="6364" spans="1:7">
      <c r="A6364" t="s">
        <v>1876</v>
      </c>
      <c r="B6364" t="s">
        <v>366</v>
      </c>
      <c r="C6364" t="s">
        <v>298</v>
      </c>
      <c r="D6364">
        <v>1052</v>
      </c>
      <c r="E6364">
        <v>1205</v>
      </c>
      <c r="F6364">
        <v>1207</v>
      </c>
      <c r="G6364">
        <v>1055</v>
      </c>
    </row>
    <row r="6365" spans="1:7">
      <c r="A6365" t="s">
        <v>1876</v>
      </c>
      <c r="B6365" t="s">
        <v>366</v>
      </c>
      <c r="C6365" t="s">
        <v>299</v>
      </c>
      <c r="D6365">
        <v>5362</v>
      </c>
      <c r="E6365">
        <v>6670</v>
      </c>
      <c r="F6365">
        <v>7091</v>
      </c>
      <c r="G6365">
        <v>7770</v>
      </c>
    </row>
    <row r="6366" spans="1:7">
      <c r="A6366" t="s">
        <v>1876</v>
      </c>
      <c r="B6366" t="s">
        <v>366</v>
      </c>
      <c r="C6366" t="s">
        <v>300</v>
      </c>
      <c r="D6366">
        <v>5378</v>
      </c>
      <c r="E6366">
        <v>6550</v>
      </c>
      <c r="F6366">
        <v>6829</v>
      </c>
      <c r="G6366">
        <v>7210</v>
      </c>
    </row>
    <row r="6367" spans="1:7">
      <c r="A6367" t="s">
        <v>1876</v>
      </c>
      <c r="B6367" t="s">
        <v>366</v>
      </c>
      <c r="C6367" t="s">
        <v>1722</v>
      </c>
      <c r="D6367">
        <v>1197</v>
      </c>
      <c r="E6367">
        <v>1271</v>
      </c>
      <c r="F6367">
        <v>1339</v>
      </c>
      <c r="G6367">
        <v>1431</v>
      </c>
    </row>
    <row r="6368" spans="1:7">
      <c r="A6368" t="s">
        <v>1876</v>
      </c>
      <c r="B6368" t="s">
        <v>366</v>
      </c>
      <c r="C6368" t="s">
        <v>301</v>
      </c>
      <c r="D6368">
        <v>340</v>
      </c>
      <c r="E6368">
        <v>484</v>
      </c>
      <c r="F6368">
        <v>486</v>
      </c>
      <c r="G6368">
        <v>358</v>
      </c>
    </row>
    <row r="6369" spans="1:7">
      <c r="A6369" t="s">
        <v>1876</v>
      </c>
      <c r="B6369" t="s">
        <v>366</v>
      </c>
      <c r="C6369" t="s">
        <v>302</v>
      </c>
      <c r="D6369">
        <v>3278</v>
      </c>
      <c r="E6369">
        <v>4861</v>
      </c>
      <c r="F6369">
        <v>5418</v>
      </c>
      <c r="G6369">
        <v>6062</v>
      </c>
    </row>
    <row r="6370" spans="1:7">
      <c r="A6370" t="s">
        <v>1876</v>
      </c>
      <c r="B6370" t="s">
        <v>366</v>
      </c>
      <c r="C6370" t="s">
        <v>303</v>
      </c>
      <c r="D6370">
        <v>14358</v>
      </c>
      <c r="E6370">
        <v>18565</v>
      </c>
      <c r="F6370">
        <v>19824</v>
      </c>
      <c r="G6370">
        <v>21401</v>
      </c>
    </row>
    <row r="6371" spans="1:7">
      <c r="A6371" t="s">
        <v>1876</v>
      </c>
      <c r="B6371" t="s">
        <v>366</v>
      </c>
      <c r="C6371" t="s">
        <v>304</v>
      </c>
      <c r="D6371">
        <v>8980</v>
      </c>
      <c r="E6371">
        <v>12015</v>
      </c>
      <c r="F6371">
        <v>12995</v>
      </c>
      <c r="G6371">
        <v>14191</v>
      </c>
    </row>
    <row r="6372" spans="1:7">
      <c r="A6372" t="s">
        <v>1876</v>
      </c>
      <c r="B6372" t="s">
        <v>366</v>
      </c>
      <c r="C6372" t="s">
        <v>1953</v>
      </c>
      <c r="D6372">
        <v>16.5</v>
      </c>
      <c r="E6372">
        <v>17.899999999999999</v>
      </c>
      <c r="F6372">
        <v>17.3</v>
      </c>
      <c r="G6372">
        <v>17</v>
      </c>
    </row>
    <row r="6373" spans="1:7">
      <c r="A6373" t="s">
        <v>1876</v>
      </c>
      <c r="B6373" t="s">
        <v>366</v>
      </c>
      <c r="C6373" t="s">
        <v>305</v>
      </c>
      <c r="D6373">
        <v>401756</v>
      </c>
      <c r="E6373">
        <v>421119</v>
      </c>
      <c r="F6373">
        <v>425206</v>
      </c>
      <c r="G6373">
        <v>436254</v>
      </c>
    </row>
    <row r="6374" spans="1:7">
      <c r="A6374" t="s">
        <v>1876</v>
      </c>
      <c r="B6374" t="s">
        <v>366</v>
      </c>
      <c r="C6374" t="s">
        <v>306</v>
      </c>
      <c r="D6374">
        <v>57.4</v>
      </c>
      <c r="E6374">
        <v>59.9</v>
      </c>
      <c r="F6374">
        <v>60.1</v>
      </c>
      <c r="G6374">
        <v>61.1</v>
      </c>
    </row>
    <row r="6375" spans="1:7">
      <c r="A6375" t="s">
        <v>1876</v>
      </c>
      <c r="B6375" t="s">
        <v>366</v>
      </c>
      <c r="C6375" t="s">
        <v>307</v>
      </c>
      <c r="D6375">
        <v>347129</v>
      </c>
      <c r="E6375">
        <v>367102</v>
      </c>
      <c r="F6375">
        <v>356848</v>
      </c>
      <c r="G6375">
        <v>348137</v>
      </c>
    </row>
    <row r="6376" spans="1:7">
      <c r="A6376" t="s">
        <v>1876</v>
      </c>
      <c r="B6376" t="s">
        <v>366</v>
      </c>
      <c r="C6376" t="s">
        <v>308</v>
      </c>
      <c r="D6376">
        <v>49.6</v>
      </c>
      <c r="E6376">
        <v>52.3</v>
      </c>
      <c r="F6376">
        <v>50.4</v>
      </c>
      <c r="G6376">
        <v>48.8</v>
      </c>
    </row>
    <row r="6377" spans="1:7">
      <c r="A6377" t="s">
        <v>1876</v>
      </c>
      <c r="B6377" t="s">
        <v>366</v>
      </c>
      <c r="C6377" t="s">
        <v>309</v>
      </c>
      <c r="D6377">
        <v>142228</v>
      </c>
      <c r="E6377">
        <v>144227</v>
      </c>
      <c r="F6377">
        <v>131906</v>
      </c>
      <c r="G6377">
        <v>142548</v>
      </c>
    </row>
    <row r="6378" spans="1:7">
      <c r="A6378" t="s">
        <v>1876</v>
      </c>
      <c r="B6378" t="s">
        <v>366</v>
      </c>
      <c r="C6378" t="s">
        <v>310</v>
      </c>
      <c r="D6378">
        <v>136645</v>
      </c>
      <c r="E6378">
        <v>137525</v>
      </c>
      <c r="F6378">
        <v>128774</v>
      </c>
      <c r="G6378">
        <v>126118</v>
      </c>
    </row>
    <row r="6379" spans="1:7">
      <c r="A6379" t="s">
        <v>1876</v>
      </c>
      <c r="B6379" t="s">
        <v>366</v>
      </c>
      <c r="C6379" t="s">
        <v>311</v>
      </c>
      <c r="D6379">
        <v>19.5</v>
      </c>
      <c r="E6379">
        <v>19.600000000000001</v>
      </c>
      <c r="F6379">
        <v>18.2</v>
      </c>
      <c r="G6379">
        <v>17.7</v>
      </c>
    </row>
    <row r="6380" spans="1:7">
      <c r="A6380" t="s">
        <v>1876</v>
      </c>
      <c r="B6380" t="s">
        <v>366</v>
      </c>
      <c r="C6380" t="s">
        <v>312</v>
      </c>
      <c r="D6380">
        <v>395673</v>
      </c>
      <c r="E6380">
        <v>398511</v>
      </c>
      <c r="F6380">
        <v>371157</v>
      </c>
      <c r="G6380">
        <v>378996</v>
      </c>
    </row>
    <row r="6381" spans="1:7">
      <c r="A6381" t="s">
        <v>1876</v>
      </c>
      <c r="B6381" t="s">
        <v>366</v>
      </c>
      <c r="C6381" t="s">
        <v>313</v>
      </c>
      <c r="D6381">
        <v>56.6</v>
      </c>
      <c r="E6381">
        <v>56.7</v>
      </c>
      <c r="F6381">
        <v>52.5</v>
      </c>
      <c r="G6381">
        <v>53.1</v>
      </c>
    </row>
    <row r="6382" spans="1:7">
      <c r="A6382" t="s">
        <v>1876</v>
      </c>
      <c r="B6382" t="s">
        <v>366</v>
      </c>
      <c r="C6382" t="s">
        <v>314</v>
      </c>
      <c r="D6382">
        <v>1281202</v>
      </c>
      <c r="E6382">
        <v>1324255</v>
      </c>
      <c r="F6382">
        <v>1281984</v>
      </c>
      <c r="G6382">
        <v>1289504</v>
      </c>
    </row>
    <row r="6383" spans="1:7">
      <c r="A6383" t="s">
        <v>1876</v>
      </c>
      <c r="B6383" t="s">
        <v>366</v>
      </c>
      <c r="C6383" t="s">
        <v>315</v>
      </c>
      <c r="D6383">
        <v>2.14</v>
      </c>
      <c r="E6383">
        <v>2.1800000000000002</v>
      </c>
      <c r="F6383">
        <v>2.09</v>
      </c>
      <c r="G6383">
        <v>2.0499999999999998</v>
      </c>
    </row>
    <row r="6384" spans="1:7">
      <c r="A6384" t="s">
        <v>1876</v>
      </c>
      <c r="B6384" t="s">
        <v>366</v>
      </c>
      <c r="C6384" t="s">
        <v>316</v>
      </c>
      <c r="D6384">
        <v>183.1</v>
      </c>
      <c r="E6384">
        <v>188.5</v>
      </c>
      <c r="F6384">
        <v>181.2</v>
      </c>
      <c r="G6384">
        <v>180.6</v>
      </c>
    </row>
    <row r="6385" spans="1:7">
      <c r="A6385" t="s">
        <v>1876</v>
      </c>
      <c r="B6385" t="s">
        <v>366</v>
      </c>
      <c r="C6385" t="s">
        <v>317</v>
      </c>
      <c r="D6385">
        <v>1281203</v>
      </c>
      <c r="E6385">
        <v>1324257</v>
      </c>
      <c r="F6385">
        <v>1281984</v>
      </c>
      <c r="G6385">
        <v>1289505</v>
      </c>
    </row>
    <row r="6386" spans="1:7">
      <c r="A6386" t="s">
        <v>1876</v>
      </c>
      <c r="B6386" t="s">
        <v>366</v>
      </c>
      <c r="C6386" t="s">
        <v>318</v>
      </c>
      <c r="D6386">
        <v>400101</v>
      </c>
      <c r="E6386">
        <v>419644</v>
      </c>
      <c r="F6386">
        <v>423810</v>
      </c>
      <c r="G6386">
        <v>434799</v>
      </c>
    </row>
    <row r="6387" spans="1:7">
      <c r="A6387" t="s">
        <v>1876</v>
      </c>
      <c r="B6387" t="s">
        <v>366</v>
      </c>
      <c r="C6387" t="s">
        <v>319</v>
      </c>
      <c r="D6387">
        <v>221827</v>
      </c>
      <c r="E6387">
        <v>246587</v>
      </c>
      <c r="F6387">
        <v>235564</v>
      </c>
      <c r="G6387">
        <v>230821</v>
      </c>
    </row>
    <row r="6388" spans="1:7">
      <c r="A6388" t="s">
        <v>1876</v>
      </c>
      <c r="B6388" t="s">
        <v>366</v>
      </c>
      <c r="C6388" t="s">
        <v>320</v>
      </c>
      <c r="D6388">
        <v>103281</v>
      </c>
      <c r="E6388">
        <v>106790</v>
      </c>
      <c r="F6388">
        <v>98342</v>
      </c>
      <c r="G6388">
        <v>97923</v>
      </c>
    </row>
    <row r="6389" spans="1:7">
      <c r="A6389" t="s">
        <v>1876</v>
      </c>
      <c r="B6389" t="s">
        <v>366</v>
      </c>
      <c r="C6389" t="s">
        <v>321</v>
      </c>
      <c r="D6389">
        <v>288916</v>
      </c>
      <c r="E6389">
        <v>299872</v>
      </c>
      <c r="F6389">
        <v>274403</v>
      </c>
      <c r="G6389">
        <v>279144</v>
      </c>
    </row>
    <row r="6390" spans="1:7">
      <c r="A6390" t="s">
        <v>1876</v>
      </c>
      <c r="B6390" t="s">
        <v>366</v>
      </c>
      <c r="C6390" t="s">
        <v>1954</v>
      </c>
      <c r="D6390">
        <v>1014125</v>
      </c>
      <c r="E6390">
        <v>1072894</v>
      </c>
      <c r="F6390">
        <v>1032119</v>
      </c>
      <c r="G6390">
        <v>1042687</v>
      </c>
    </row>
    <row r="6391" spans="1:7">
      <c r="A6391" t="s">
        <v>1876</v>
      </c>
      <c r="B6391" t="s">
        <v>366</v>
      </c>
      <c r="C6391" t="s">
        <v>323</v>
      </c>
      <c r="D6391">
        <v>6997</v>
      </c>
      <c r="E6391">
        <v>7025</v>
      </c>
      <c r="F6391">
        <v>7073</v>
      </c>
      <c r="G6391">
        <v>7139</v>
      </c>
    </row>
    <row r="6392" spans="1:7">
      <c r="A6392" t="s">
        <v>1876</v>
      </c>
      <c r="B6392" t="s">
        <v>366</v>
      </c>
      <c r="C6392" t="s">
        <v>324</v>
      </c>
      <c r="D6392">
        <v>0</v>
      </c>
      <c r="E6392">
        <v>0</v>
      </c>
      <c r="F6392">
        <v>0</v>
      </c>
      <c r="G6392">
        <v>0</v>
      </c>
    </row>
    <row r="6393" spans="1:7">
      <c r="A6393" t="s">
        <v>1876</v>
      </c>
      <c r="B6393" t="s">
        <v>366</v>
      </c>
      <c r="C6393" t="s">
        <v>325</v>
      </c>
      <c r="D6393">
        <v>0</v>
      </c>
      <c r="E6393">
        <v>0</v>
      </c>
      <c r="F6393">
        <v>0</v>
      </c>
      <c r="G6393">
        <v>0</v>
      </c>
    </row>
    <row r="6394" spans="1:7">
      <c r="A6394" t="s">
        <v>1876</v>
      </c>
      <c r="B6394" t="s">
        <v>366</v>
      </c>
      <c r="C6394" t="s">
        <v>326</v>
      </c>
      <c r="D6394">
        <v>1880</v>
      </c>
      <c r="E6394">
        <v>1882</v>
      </c>
      <c r="F6394">
        <v>1880</v>
      </c>
      <c r="G6394">
        <v>1880</v>
      </c>
    </row>
    <row r="6395" spans="1:7">
      <c r="A6395" t="s">
        <v>1876</v>
      </c>
      <c r="B6395" t="s">
        <v>366</v>
      </c>
      <c r="C6395" t="s">
        <v>327</v>
      </c>
      <c r="D6395">
        <v>1411</v>
      </c>
      <c r="E6395">
        <v>877</v>
      </c>
      <c r="F6395">
        <v>740</v>
      </c>
      <c r="G6395">
        <v>1164</v>
      </c>
    </row>
    <row r="6396" spans="1:7">
      <c r="A6396" t="s">
        <v>1876</v>
      </c>
      <c r="B6396" t="s">
        <v>366</v>
      </c>
      <c r="C6396" t="s">
        <v>1723</v>
      </c>
      <c r="D6396">
        <v>15</v>
      </c>
      <c r="E6396">
        <v>15</v>
      </c>
      <c r="F6396">
        <v>15</v>
      </c>
      <c r="G6396">
        <v>15</v>
      </c>
    </row>
    <row r="6397" spans="1:7">
      <c r="A6397" t="s">
        <v>1876</v>
      </c>
      <c r="B6397" t="s">
        <v>366</v>
      </c>
      <c r="C6397" t="s">
        <v>328</v>
      </c>
      <c r="D6397">
        <v>2775</v>
      </c>
      <c r="E6397">
        <v>4076</v>
      </c>
      <c r="F6397">
        <v>4076</v>
      </c>
      <c r="G6397">
        <v>4076</v>
      </c>
    </row>
    <row r="6398" spans="1:7">
      <c r="A6398" t="s">
        <v>1876</v>
      </c>
      <c r="B6398" t="s">
        <v>366</v>
      </c>
      <c r="C6398" t="s">
        <v>329</v>
      </c>
      <c r="D6398">
        <v>9766</v>
      </c>
      <c r="E6398">
        <v>12304</v>
      </c>
      <c r="F6398">
        <v>10460</v>
      </c>
      <c r="G6398">
        <v>9805</v>
      </c>
    </row>
    <row r="6399" spans="1:7">
      <c r="A6399" t="s">
        <v>1876</v>
      </c>
      <c r="B6399" t="s">
        <v>366</v>
      </c>
      <c r="C6399" t="s">
        <v>330</v>
      </c>
      <c r="D6399">
        <v>15833</v>
      </c>
      <c r="E6399">
        <v>19140</v>
      </c>
      <c r="F6399">
        <v>17156</v>
      </c>
      <c r="G6399">
        <v>16926</v>
      </c>
    </row>
    <row r="6400" spans="1:7">
      <c r="A6400" t="s">
        <v>1876</v>
      </c>
      <c r="B6400" t="s">
        <v>366</v>
      </c>
      <c r="C6400" t="s">
        <v>331</v>
      </c>
      <c r="D6400">
        <v>936</v>
      </c>
      <c r="E6400">
        <v>8194</v>
      </c>
      <c r="F6400">
        <v>8233</v>
      </c>
      <c r="G6400">
        <v>8187</v>
      </c>
    </row>
    <row r="6401" spans="1:7">
      <c r="A6401" t="s">
        <v>1876</v>
      </c>
      <c r="B6401" t="s">
        <v>366</v>
      </c>
      <c r="C6401" t="s">
        <v>332</v>
      </c>
      <c r="D6401">
        <v>15320</v>
      </c>
      <c r="E6401">
        <v>7408</v>
      </c>
      <c r="F6401">
        <v>7433</v>
      </c>
      <c r="G6401">
        <v>7301</v>
      </c>
    </row>
    <row r="6402" spans="1:7">
      <c r="A6402" t="s">
        <v>1876</v>
      </c>
      <c r="B6402" t="s">
        <v>366</v>
      </c>
      <c r="C6402" t="s">
        <v>1724</v>
      </c>
      <c r="D6402">
        <v>269</v>
      </c>
      <c r="E6402">
        <v>263</v>
      </c>
      <c r="F6402">
        <v>258</v>
      </c>
      <c r="G6402">
        <v>258</v>
      </c>
    </row>
    <row r="6403" spans="1:7">
      <c r="A6403" t="s">
        <v>1876</v>
      </c>
      <c r="B6403" t="s">
        <v>366</v>
      </c>
      <c r="C6403" t="s">
        <v>333</v>
      </c>
      <c r="D6403">
        <v>375</v>
      </c>
      <c r="E6403">
        <v>490</v>
      </c>
      <c r="F6403">
        <v>430</v>
      </c>
      <c r="G6403">
        <v>390</v>
      </c>
    </row>
    <row r="6404" spans="1:7">
      <c r="A6404" t="s">
        <v>1876</v>
      </c>
      <c r="B6404" t="s">
        <v>366</v>
      </c>
      <c r="C6404" t="s">
        <v>334</v>
      </c>
      <c r="D6404">
        <v>16631</v>
      </c>
      <c r="E6404">
        <v>16091</v>
      </c>
      <c r="F6404">
        <v>16096</v>
      </c>
      <c r="G6404">
        <v>15879</v>
      </c>
    </row>
    <row r="6405" spans="1:7">
      <c r="A6405" t="s">
        <v>1876</v>
      </c>
      <c r="B6405" t="s">
        <v>366</v>
      </c>
      <c r="C6405" t="s">
        <v>335</v>
      </c>
      <c r="D6405">
        <v>2816</v>
      </c>
      <c r="E6405">
        <v>10076</v>
      </c>
      <c r="F6405">
        <v>10113</v>
      </c>
      <c r="G6405">
        <v>10067</v>
      </c>
    </row>
    <row r="6406" spans="1:7">
      <c r="A6406" t="s">
        <v>1876</v>
      </c>
      <c r="B6406" t="s">
        <v>366</v>
      </c>
      <c r="C6406" t="s">
        <v>336</v>
      </c>
      <c r="D6406">
        <v>16731</v>
      </c>
      <c r="E6406">
        <v>8285</v>
      </c>
      <c r="F6406">
        <v>8173</v>
      </c>
      <c r="G6406">
        <v>8465</v>
      </c>
    </row>
    <row r="6407" spans="1:7">
      <c r="A6407" t="s">
        <v>1876</v>
      </c>
      <c r="B6407" t="s">
        <v>366</v>
      </c>
      <c r="C6407" t="s">
        <v>337</v>
      </c>
      <c r="D6407">
        <v>3150</v>
      </c>
      <c r="E6407">
        <v>4566</v>
      </c>
      <c r="F6407">
        <v>4506</v>
      </c>
      <c r="G6407">
        <v>4466</v>
      </c>
    </row>
    <row r="6408" spans="1:7">
      <c r="A6408" t="s">
        <v>1876</v>
      </c>
      <c r="B6408" t="s">
        <v>366</v>
      </c>
      <c r="C6408" t="s">
        <v>338</v>
      </c>
      <c r="D6408">
        <v>32463</v>
      </c>
      <c r="E6408">
        <v>35231</v>
      </c>
      <c r="F6408">
        <v>33252</v>
      </c>
      <c r="G6408">
        <v>32804</v>
      </c>
    </row>
    <row r="6409" spans="1:7">
      <c r="A6409" t="s">
        <v>1876</v>
      </c>
      <c r="B6409" t="s">
        <v>366</v>
      </c>
      <c r="C6409" t="s">
        <v>339</v>
      </c>
      <c r="D6409">
        <v>15732</v>
      </c>
      <c r="E6409">
        <v>26946</v>
      </c>
      <c r="F6409">
        <v>25079</v>
      </c>
      <c r="G6409">
        <v>24339</v>
      </c>
    </row>
    <row r="6410" spans="1:7">
      <c r="A6410" t="s">
        <v>1876</v>
      </c>
      <c r="B6410" t="s">
        <v>366</v>
      </c>
      <c r="C6410" t="s">
        <v>340</v>
      </c>
      <c r="D6410">
        <v>213</v>
      </c>
      <c r="E6410">
        <v>271</v>
      </c>
      <c r="F6410">
        <v>188</v>
      </c>
      <c r="G6410">
        <v>231</v>
      </c>
    </row>
    <row r="6411" spans="1:7">
      <c r="A6411" t="s">
        <v>1876</v>
      </c>
      <c r="B6411" t="s">
        <v>366</v>
      </c>
      <c r="C6411" t="s">
        <v>1955</v>
      </c>
      <c r="D6411">
        <v>22.5</v>
      </c>
      <c r="E6411">
        <v>24</v>
      </c>
      <c r="F6411">
        <v>20.399999999999999</v>
      </c>
      <c r="G6411">
        <v>18.899999999999999</v>
      </c>
    </row>
    <row r="6412" spans="1:7">
      <c r="A6412" t="s">
        <v>1876</v>
      </c>
      <c r="B6412" t="s">
        <v>366</v>
      </c>
      <c r="C6412" t="s">
        <v>341</v>
      </c>
      <c r="D6412">
        <v>78</v>
      </c>
      <c r="E6412">
        <v>84</v>
      </c>
      <c r="F6412">
        <v>66</v>
      </c>
      <c r="G6412">
        <v>59</v>
      </c>
    </row>
    <row r="6413" spans="1:7">
      <c r="A6413" t="s">
        <v>1876</v>
      </c>
      <c r="B6413" t="s">
        <v>366</v>
      </c>
      <c r="C6413" t="s">
        <v>342</v>
      </c>
      <c r="D6413">
        <v>634</v>
      </c>
      <c r="E6413">
        <v>651</v>
      </c>
      <c r="F6413">
        <v>554</v>
      </c>
      <c r="G6413">
        <v>518</v>
      </c>
    </row>
    <row r="6414" spans="1:7">
      <c r="A6414" t="s">
        <v>1876</v>
      </c>
      <c r="B6414" t="s">
        <v>366</v>
      </c>
      <c r="C6414" t="s">
        <v>1725</v>
      </c>
      <c r="D6414">
        <v>106</v>
      </c>
      <c r="E6414">
        <v>102</v>
      </c>
      <c r="F6414">
        <v>102</v>
      </c>
      <c r="G6414">
        <v>102</v>
      </c>
    </row>
    <row r="6415" spans="1:7">
      <c r="A6415" t="s">
        <v>1876</v>
      </c>
      <c r="B6415" t="s">
        <v>366</v>
      </c>
      <c r="C6415" t="s">
        <v>343</v>
      </c>
      <c r="D6415">
        <v>0</v>
      </c>
      <c r="E6415">
        <v>0</v>
      </c>
      <c r="F6415">
        <v>0</v>
      </c>
      <c r="G6415">
        <v>0</v>
      </c>
    </row>
    <row r="6416" spans="1:7">
      <c r="A6416" t="s">
        <v>1876</v>
      </c>
      <c r="B6416" t="s">
        <v>366</v>
      </c>
      <c r="C6416" t="s">
        <v>344</v>
      </c>
      <c r="D6416">
        <v>712</v>
      </c>
      <c r="E6416">
        <v>736</v>
      </c>
      <c r="F6416">
        <v>620</v>
      </c>
      <c r="G6416">
        <v>577</v>
      </c>
    </row>
    <row r="6417" spans="1:7">
      <c r="A6417" t="s">
        <v>1876</v>
      </c>
      <c r="B6417" t="s">
        <v>366</v>
      </c>
      <c r="C6417" t="s">
        <v>345</v>
      </c>
      <c r="D6417">
        <v>78</v>
      </c>
      <c r="E6417">
        <v>84</v>
      </c>
      <c r="F6417">
        <v>66</v>
      </c>
      <c r="G6417">
        <v>59</v>
      </c>
    </row>
    <row r="6418" spans="1:7">
      <c r="A6418" t="s">
        <v>1876</v>
      </c>
      <c r="B6418" t="s">
        <v>366</v>
      </c>
      <c r="C6418" t="s">
        <v>1956</v>
      </c>
      <c r="D6418">
        <v>15320</v>
      </c>
      <c r="E6418">
        <v>7408</v>
      </c>
      <c r="F6418">
        <v>7433</v>
      </c>
      <c r="G6418">
        <v>7301</v>
      </c>
    </row>
    <row r="6419" spans="1:7">
      <c r="A6419" t="s">
        <v>1876</v>
      </c>
      <c r="B6419" t="s">
        <v>366</v>
      </c>
      <c r="C6419" t="s">
        <v>1957</v>
      </c>
      <c r="D6419">
        <v>16631</v>
      </c>
      <c r="E6419">
        <v>16091</v>
      </c>
      <c r="F6419">
        <v>16096</v>
      </c>
      <c r="G6419">
        <v>15879</v>
      </c>
    </row>
    <row r="6420" spans="1:7">
      <c r="A6420" t="s">
        <v>1876</v>
      </c>
      <c r="B6420" t="s">
        <v>366</v>
      </c>
      <c r="C6420" t="s">
        <v>346</v>
      </c>
      <c r="D6420">
        <v>667</v>
      </c>
      <c r="E6420">
        <v>708</v>
      </c>
      <c r="F6420">
        <v>562</v>
      </c>
      <c r="G6420">
        <v>676</v>
      </c>
    </row>
    <row r="6421" spans="1:7">
      <c r="A6421" t="s">
        <v>1876</v>
      </c>
      <c r="B6421" t="s">
        <v>366</v>
      </c>
      <c r="C6421" t="s">
        <v>347</v>
      </c>
      <c r="D6421">
        <v>5515</v>
      </c>
      <c r="E6421">
        <v>5708</v>
      </c>
      <c r="F6421">
        <v>5284</v>
      </c>
      <c r="G6421">
        <v>5458</v>
      </c>
    </row>
    <row r="6422" spans="1:7">
      <c r="A6422" t="s">
        <v>1876</v>
      </c>
      <c r="B6422" t="s">
        <v>367</v>
      </c>
      <c r="C6422" t="s">
        <v>133</v>
      </c>
      <c r="D6422">
        <v>0</v>
      </c>
      <c r="E6422">
        <v>0</v>
      </c>
      <c r="F6422">
        <v>0</v>
      </c>
      <c r="G6422">
        <v>0</v>
      </c>
    </row>
    <row r="6423" spans="1:7">
      <c r="A6423" t="s">
        <v>1876</v>
      </c>
      <c r="B6423" t="s">
        <v>367</v>
      </c>
      <c r="C6423" t="s">
        <v>134</v>
      </c>
      <c r="D6423">
        <v>12541</v>
      </c>
      <c r="E6423">
        <v>12305</v>
      </c>
      <c r="F6423">
        <v>11972</v>
      </c>
      <c r="G6423">
        <v>11981</v>
      </c>
    </row>
    <row r="6424" spans="1:7">
      <c r="A6424" t="s">
        <v>1876</v>
      </c>
      <c r="B6424" t="s">
        <v>367</v>
      </c>
      <c r="C6424" t="s">
        <v>135</v>
      </c>
      <c r="D6424">
        <v>12541</v>
      </c>
      <c r="E6424">
        <v>12305</v>
      </c>
      <c r="F6424">
        <v>11972</v>
      </c>
      <c r="G6424">
        <v>11981</v>
      </c>
    </row>
    <row r="6425" spans="1:7">
      <c r="A6425" t="s">
        <v>1876</v>
      </c>
      <c r="B6425" t="s">
        <v>367</v>
      </c>
      <c r="C6425" t="s">
        <v>136</v>
      </c>
      <c r="D6425">
        <v>12541</v>
      </c>
      <c r="E6425">
        <v>12305</v>
      </c>
      <c r="F6425">
        <v>11972</v>
      </c>
      <c r="G6425">
        <v>11981</v>
      </c>
    </row>
    <row r="6426" spans="1:7">
      <c r="A6426" t="s">
        <v>1876</v>
      </c>
      <c r="B6426" t="s">
        <v>367</v>
      </c>
      <c r="C6426" t="s">
        <v>137</v>
      </c>
      <c r="D6426">
        <v>228</v>
      </c>
      <c r="E6426">
        <v>236</v>
      </c>
      <c r="F6426">
        <v>224</v>
      </c>
      <c r="G6426">
        <v>241</v>
      </c>
    </row>
    <row r="6427" spans="1:7">
      <c r="A6427" t="s">
        <v>1876</v>
      </c>
      <c r="B6427" t="s">
        <v>367</v>
      </c>
      <c r="C6427" t="s">
        <v>138</v>
      </c>
      <c r="D6427">
        <v>228</v>
      </c>
      <c r="E6427">
        <v>236</v>
      </c>
      <c r="F6427">
        <v>224</v>
      </c>
      <c r="G6427">
        <v>241</v>
      </c>
    </row>
    <row r="6428" spans="1:7">
      <c r="A6428" t="s">
        <v>1876</v>
      </c>
      <c r="B6428" t="s">
        <v>367</v>
      </c>
      <c r="C6428" t="s">
        <v>139</v>
      </c>
      <c r="D6428">
        <v>228</v>
      </c>
      <c r="E6428">
        <v>236</v>
      </c>
      <c r="F6428">
        <v>224</v>
      </c>
      <c r="G6428">
        <v>241</v>
      </c>
    </row>
    <row r="6429" spans="1:7">
      <c r="A6429" t="s">
        <v>1876</v>
      </c>
      <c r="B6429" t="s">
        <v>367</v>
      </c>
      <c r="C6429" t="s">
        <v>1877</v>
      </c>
      <c r="D6429">
        <v>0</v>
      </c>
      <c r="E6429">
        <v>0</v>
      </c>
      <c r="F6429">
        <v>0</v>
      </c>
      <c r="G6429">
        <v>0</v>
      </c>
    </row>
    <row r="6430" spans="1:7">
      <c r="A6430" t="s">
        <v>1876</v>
      </c>
      <c r="B6430" t="s">
        <v>367</v>
      </c>
      <c r="C6430" t="s">
        <v>1700</v>
      </c>
      <c r="D6430">
        <v>0</v>
      </c>
      <c r="E6430">
        <v>0</v>
      </c>
      <c r="F6430">
        <v>0</v>
      </c>
      <c r="G6430">
        <v>0</v>
      </c>
    </row>
    <row r="6431" spans="1:7">
      <c r="A6431" t="s">
        <v>1876</v>
      </c>
      <c r="B6431" t="s">
        <v>367</v>
      </c>
      <c r="C6431" t="s">
        <v>1878</v>
      </c>
      <c r="D6431">
        <v>0</v>
      </c>
      <c r="E6431">
        <v>0</v>
      </c>
      <c r="F6431">
        <v>0</v>
      </c>
      <c r="G6431">
        <v>0</v>
      </c>
    </row>
    <row r="6432" spans="1:7">
      <c r="A6432" t="s">
        <v>1876</v>
      </c>
      <c r="B6432" t="s">
        <v>367</v>
      </c>
      <c r="C6432" t="s">
        <v>1879</v>
      </c>
      <c r="D6432">
        <v>0</v>
      </c>
      <c r="E6432">
        <v>0</v>
      </c>
      <c r="F6432">
        <v>0</v>
      </c>
      <c r="G6432">
        <v>0</v>
      </c>
    </row>
    <row r="6433" spans="1:7">
      <c r="A6433" t="s">
        <v>1876</v>
      </c>
      <c r="B6433" t="s">
        <v>367</v>
      </c>
      <c r="C6433" t="s">
        <v>1701</v>
      </c>
      <c r="D6433">
        <v>0</v>
      </c>
      <c r="E6433">
        <v>0</v>
      </c>
      <c r="F6433">
        <v>0</v>
      </c>
      <c r="G6433">
        <v>0</v>
      </c>
    </row>
    <row r="6434" spans="1:7">
      <c r="A6434" t="s">
        <v>1876</v>
      </c>
      <c r="B6434" t="s">
        <v>367</v>
      </c>
      <c r="C6434" t="s">
        <v>1880</v>
      </c>
      <c r="D6434">
        <v>736</v>
      </c>
      <c r="E6434">
        <v>606</v>
      </c>
      <c r="F6434">
        <v>783</v>
      </c>
      <c r="G6434">
        <v>759</v>
      </c>
    </row>
    <row r="6435" spans="1:7">
      <c r="A6435" t="s">
        <v>1876</v>
      </c>
      <c r="B6435" t="s">
        <v>367</v>
      </c>
      <c r="C6435" t="s">
        <v>140</v>
      </c>
      <c r="D6435">
        <v>1729</v>
      </c>
      <c r="E6435">
        <v>1464</v>
      </c>
      <c r="F6435">
        <v>2112</v>
      </c>
      <c r="G6435">
        <v>2163</v>
      </c>
    </row>
    <row r="6436" spans="1:7">
      <c r="A6436" t="s">
        <v>1876</v>
      </c>
      <c r="B6436" t="s">
        <v>367</v>
      </c>
      <c r="C6436" t="s">
        <v>1881</v>
      </c>
      <c r="D6436">
        <v>993</v>
      </c>
      <c r="E6436">
        <v>858</v>
      </c>
      <c r="F6436">
        <v>1329</v>
      </c>
      <c r="G6436">
        <v>1404</v>
      </c>
    </row>
    <row r="6437" spans="1:7">
      <c r="A6437" t="s">
        <v>1876</v>
      </c>
      <c r="B6437" t="s">
        <v>367</v>
      </c>
      <c r="C6437" t="s">
        <v>1882</v>
      </c>
      <c r="D6437">
        <v>0</v>
      </c>
      <c r="E6437">
        <v>0</v>
      </c>
      <c r="F6437">
        <v>0</v>
      </c>
      <c r="G6437">
        <v>0</v>
      </c>
    </row>
    <row r="6438" spans="1:7">
      <c r="A6438" t="s">
        <v>1876</v>
      </c>
      <c r="B6438" t="s">
        <v>367</v>
      </c>
      <c r="C6438" t="s">
        <v>1883</v>
      </c>
      <c r="D6438">
        <v>0</v>
      </c>
      <c r="E6438">
        <v>0</v>
      </c>
      <c r="F6438">
        <v>0</v>
      </c>
      <c r="G6438">
        <v>0</v>
      </c>
    </row>
    <row r="6439" spans="1:7">
      <c r="A6439" t="s">
        <v>1876</v>
      </c>
      <c r="B6439" t="s">
        <v>367</v>
      </c>
      <c r="C6439" t="s">
        <v>1884</v>
      </c>
      <c r="D6439">
        <v>0</v>
      </c>
      <c r="E6439">
        <v>0</v>
      </c>
      <c r="F6439">
        <v>0</v>
      </c>
      <c r="G6439">
        <v>0</v>
      </c>
    </row>
    <row r="6440" spans="1:7">
      <c r="A6440" t="s">
        <v>1876</v>
      </c>
      <c r="B6440" t="s">
        <v>367</v>
      </c>
      <c r="C6440" t="s">
        <v>1885</v>
      </c>
      <c r="D6440">
        <v>0</v>
      </c>
      <c r="E6440">
        <v>0</v>
      </c>
      <c r="F6440">
        <v>0</v>
      </c>
      <c r="G6440">
        <v>0</v>
      </c>
    </row>
    <row r="6441" spans="1:7">
      <c r="A6441" t="s">
        <v>1876</v>
      </c>
      <c r="B6441" t="s">
        <v>367</v>
      </c>
      <c r="C6441" t="s">
        <v>1886</v>
      </c>
      <c r="D6441">
        <v>0</v>
      </c>
      <c r="E6441">
        <v>0</v>
      </c>
      <c r="F6441">
        <v>0</v>
      </c>
      <c r="G6441">
        <v>0</v>
      </c>
    </row>
    <row r="6442" spans="1:7">
      <c r="A6442" t="s">
        <v>1876</v>
      </c>
      <c r="B6442" t="s">
        <v>367</v>
      </c>
      <c r="C6442" t="s">
        <v>141</v>
      </c>
      <c r="D6442">
        <v>0</v>
      </c>
      <c r="E6442">
        <v>0</v>
      </c>
      <c r="F6442">
        <v>0</v>
      </c>
      <c r="G6442">
        <v>0</v>
      </c>
    </row>
    <row r="6443" spans="1:7">
      <c r="A6443" t="s">
        <v>1876</v>
      </c>
      <c r="B6443" t="s">
        <v>367</v>
      </c>
      <c r="C6443" t="s">
        <v>1887</v>
      </c>
      <c r="D6443">
        <v>0</v>
      </c>
      <c r="E6443">
        <v>0</v>
      </c>
      <c r="F6443">
        <v>0</v>
      </c>
      <c r="G6443">
        <v>0</v>
      </c>
    </row>
    <row r="6444" spans="1:7">
      <c r="A6444" t="s">
        <v>1876</v>
      </c>
      <c r="B6444" t="s">
        <v>367</v>
      </c>
      <c r="C6444" t="s">
        <v>1888</v>
      </c>
      <c r="D6444">
        <v>0</v>
      </c>
      <c r="E6444">
        <v>0</v>
      </c>
      <c r="F6444">
        <v>0</v>
      </c>
      <c r="G6444">
        <v>0</v>
      </c>
    </row>
    <row r="6445" spans="1:7">
      <c r="A6445" t="s">
        <v>1876</v>
      </c>
      <c r="B6445" t="s">
        <v>367</v>
      </c>
      <c r="C6445" t="s">
        <v>1889</v>
      </c>
      <c r="D6445">
        <v>736</v>
      </c>
      <c r="E6445">
        <v>606</v>
      </c>
      <c r="F6445">
        <v>783</v>
      </c>
      <c r="G6445">
        <v>759</v>
      </c>
    </row>
    <row r="6446" spans="1:7">
      <c r="A6446" t="s">
        <v>1876</v>
      </c>
      <c r="B6446" t="s">
        <v>367</v>
      </c>
      <c r="C6446" t="s">
        <v>1890</v>
      </c>
      <c r="D6446">
        <v>0</v>
      </c>
      <c r="E6446">
        <v>0</v>
      </c>
      <c r="F6446">
        <v>0</v>
      </c>
      <c r="G6446">
        <v>0</v>
      </c>
    </row>
    <row r="6447" spans="1:7">
      <c r="A6447" t="s">
        <v>1876</v>
      </c>
      <c r="B6447" t="s">
        <v>367</v>
      </c>
      <c r="C6447" t="s">
        <v>1891</v>
      </c>
    </row>
    <row r="6448" spans="1:7">
      <c r="A6448" t="s">
        <v>1876</v>
      </c>
      <c r="B6448" t="s">
        <v>367</v>
      </c>
      <c r="C6448" t="s">
        <v>1892</v>
      </c>
      <c r="D6448">
        <v>993</v>
      </c>
      <c r="E6448">
        <v>858</v>
      </c>
      <c r="F6448">
        <v>1329</v>
      </c>
      <c r="G6448">
        <v>1404</v>
      </c>
    </row>
    <row r="6449" spans="1:7">
      <c r="A6449" t="s">
        <v>1876</v>
      </c>
      <c r="B6449" t="s">
        <v>367</v>
      </c>
      <c r="C6449" t="s">
        <v>142</v>
      </c>
      <c r="D6449">
        <v>1729</v>
      </c>
      <c r="E6449">
        <v>1464</v>
      </c>
      <c r="F6449">
        <v>2112</v>
      </c>
      <c r="G6449">
        <v>2163</v>
      </c>
    </row>
    <row r="6450" spans="1:7">
      <c r="A6450" t="s">
        <v>1876</v>
      </c>
      <c r="B6450" t="s">
        <v>367</v>
      </c>
      <c r="C6450" t="s">
        <v>1893</v>
      </c>
      <c r="D6450">
        <v>1729</v>
      </c>
      <c r="E6450">
        <v>1464</v>
      </c>
      <c r="F6450">
        <v>2112</v>
      </c>
      <c r="G6450">
        <v>2163</v>
      </c>
    </row>
    <row r="6451" spans="1:7">
      <c r="A6451" t="s">
        <v>1876</v>
      </c>
      <c r="B6451" t="s">
        <v>367</v>
      </c>
      <c r="C6451" t="s">
        <v>1894</v>
      </c>
      <c r="D6451">
        <v>993</v>
      </c>
      <c r="E6451">
        <v>858</v>
      </c>
      <c r="F6451">
        <v>1329</v>
      </c>
      <c r="G6451">
        <v>1404</v>
      </c>
    </row>
    <row r="6452" spans="1:7">
      <c r="A6452" t="s">
        <v>1876</v>
      </c>
      <c r="B6452" t="s">
        <v>367</v>
      </c>
      <c r="C6452" t="s">
        <v>143</v>
      </c>
      <c r="D6452">
        <v>0</v>
      </c>
      <c r="E6452">
        <v>0</v>
      </c>
      <c r="F6452">
        <v>0</v>
      </c>
      <c r="G6452">
        <v>0</v>
      </c>
    </row>
    <row r="6453" spans="1:7">
      <c r="A6453" t="s">
        <v>1876</v>
      </c>
      <c r="B6453" t="s">
        <v>367</v>
      </c>
      <c r="C6453" t="s">
        <v>144</v>
      </c>
      <c r="D6453">
        <v>23124</v>
      </c>
      <c r="E6453">
        <v>21337</v>
      </c>
      <c r="F6453">
        <v>23764</v>
      </c>
      <c r="G6453">
        <v>22981</v>
      </c>
    </row>
    <row r="6454" spans="1:7">
      <c r="A6454" t="s">
        <v>1876</v>
      </c>
      <c r="B6454" t="s">
        <v>367</v>
      </c>
      <c r="C6454" t="s">
        <v>1895</v>
      </c>
      <c r="D6454">
        <v>61.7</v>
      </c>
      <c r="E6454">
        <v>50.2</v>
      </c>
      <c r="F6454">
        <v>52.4</v>
      </c>
      <c r="G6454">
        <v>55.6</v>
      </c>
    </row>
    <row r="6455" spans="1:7">
      <c r="A6455" t="s">
        <v>1876</v>
      </c>
      <c r="B6455" t="s">
        <v>367</v>
      </c>
      <c r="C6455" t="s">
        <v>145</v>
      </c>
      <c r="D6455">
        <v>37402</v>
      </c>
      <c r="E6455">
        <v>36163</v>
      </c>
      <c r="F6455">
        <v>37447</v>
      </c>
      <c r="G6455">
        <v>36556</v>
      </c>
    </row>
    <row r="6456" spans="1:7">
      <c r="A6456" t="s">
        <v>1876</v>
      </c>
      <c r="B6456" t="s">
        <v>367</v>
      </c>
      <c r="C6456" t="s">
        <v>146</v>
      </c>
      <c r="D6456">
        <v>0</v>
      </c>
      <c r="E6456">
        <v>0</v>
      </c>
      <c r="F6456">
        <v>0</v>
      </c>
      <c r="G6456">
        <v>0</v>
      </c>
    </row>
    <row r="6457" spans="1:7">
      <c r="A6457" t="s">
        <v>1876</v>
      </c>
      <c r="B6457" t="s">
        <v>367</v>
      </c>
      <c r="C6457" t="s">
        <v>147</v>
      </c>
      <c r="D6457">
        <v>0</v>
      </c>
      <c r="E6457">
        <v>0</v>
      </c>
      <c r="F6457">
        <v>0</v>
      </c>
      <c r="G6457">
        <v>0</v>
      </c>
    </row>
    <row r="6458" spans="1:7">
      <c r="A6458" t="s">
        <v>1876</v>
      </c>
      <c r="B6458" t="s">
        <v>367</v>
      </c>
      <c r="C6458" t="s">
        <v>1896</v>
      </c>
      <c r="D6458">
        <v>20.7</v>
      </c>
      <c r="E6458">
        <v>19</v>
      </c>
      <c r="F6458">
        <v>12.7</v>
      </c>
      <c r="G6458">
        <v>5</v>
      </c>
    </row>
    <row r="6459" spans="1:7">
      <c r="A6459" t="s">
        <v>1876</v>
      </c>
      <c r="B6459" t="s">
        <v>367</v>
      </c>
      <c r="C6459" t="s">
        <v>1702</v>
      </c>
      <c r="D6459">
        <v>5</v>
      </c>
      <c r="E6459">
        <v>8</v>
      </c>
      <c r="F6459">
        <v>8</v>
      </c>
      <c r="G6459">
        <v>9</v>
      </c>
    </row>
    <row r="6460" spans="1:7">
      <c r="A6460" t="s">
        <v>1876</v>
      </c>
      <c r="B6460" t="s">
        <v>367</v>
      </c>
      <c r="C6460" t="s">
        <v>1897</v>
      </c>
      <c r="D6460">
        <v>24.7</v>
      </c>
      <c r="E6460">
        <v>38.700000000000003</v>
      </c>
      <c r="F6460">
        <v>69</v>
      </c>
      <c r="G6460">
        <v>91.7</v>
      </c>
    </row>
    <row r="6461" spans="1:7">
      <c r="A6461" t="s">
        <v>1876</v>
      </c>
      <c r="B6461" t="s">
        <v>367</v>
      </c>
      <c r="C6461" t="s">
        <v>1898</v>
      </c>
      <c r="D6461">
        <v>43</v>
      </c>
      <c r="E6461">
        <v>69</v>
      </c>
      <c r="F6461">
        <v>202</v>
      </c>
      <c r="G6461">
        <v>292</v>
      </c>
    </row>
    <row r="6462" spans="1:7">
      <c r="A6462" t="s">
        <v>1876</v>
      </c>
      <c r="B6462" t="s">
        <v>367</v>
      </c>
      <c r="C6462" t="s">
        <v>1899</v>
      </c>
      <c r="D6462">
        <v>993</v>
      </c>
      <c r="E6462">
        <v>858</v>
      </c>
      <c r="F6462">
        <v>1329</v>
      </c>
      <c r="G6462">
        <v>1404</v>
      </c>
    </row>
    <row r="6463" spans="1:7">
      <c r="A6463" t="s">
        <v>1876</v>
      </c>
      <c r="B6463" t="s">
        <v>367</v>
      </c>
      <c r="C6463" t="s">
        <v>148</v>
      </c>
      <c r="D6463">
        <v>0</v>
      </c>
      <c r="E6463">
        <v>0</v>
      </c>
      <c r="F6463">
        <v>0</v>
      </c>
      <c r="G6463">
        <v>0</v>
      </c>
    </row>
    <row r="6464" spans="1:7">
      <c r="A6464" t="s">
        <v>1876</v>
      </c>
      <c r="B6464" t="s">
        <v>367</v>
      </c>
      <c r="C6464" t="s">
        <v>149</v>
      </c>
      <c r="D6464">
        <v>0</v>
      </c>
      <c r="E6464">
        <v>0</v>
      </c>
      <c r="F6464">
        <v>0</v>
      </c>
      <c r="G6464">
        <v>0</v>
      </c>
    </row>
    <row r="6465" spans="1:7">
      <c r="A6465" t="s">
        <v>1876</v>
      </c>
      <c r="B6465" t="s">
        <v>367</v>
      </c>
      <c r="C6465" t="s">
        <v>150</v>
      </c>
      <c r="D6465">
        <v>0</v>
      </c>
      <c r="E6465">
        <v>0</v>
      </c>
      <c r="F6465">
        <v>0</v>
      </c>
      <c r="G6465">
        <v>0</v>
      </c>
    </row>
    <row r="6466" spans="1:7">
      <c r="A6466" t="s">
        <v>1876</v>
      </c>
      <c r="B6466" t="s">
        <v>367</v>
      </c>
      <c r="C6466" t="s">
        <v>1900</v>
      </c>
      <c r="D6466">
        <v>20.2</v>
      </c>
      <c r="E6466">
        <v>23.7</v>
      </c>
      <c r="F6466">
        <v>13.3</v>
      </c>
      <c r="G6466">
        <v>21.1</v>
      </c>
    </row>
    <row r="6467" spans="1:7">
      <c r="A6467" t="s">
        <v>1876</v>
      </c>
      <c r="B6467" t="s">
        <v>367</v>
      </c>
      <c r="C6467" t="s">
        <v>151</v>
      </c>
      <c r="D6467">
        <v>0</v>
      </c>
      <c r="E6467">
        <v>0</v>
      </c>
      <c r="F6467">
        <v>0</v>
      </c>
      <c r="G6467">
        <v>0</v>
      </c>
    </row>
    <row r="6468" spans="1:7">
      <c r="A6468" t="s">
        <v>1876</v>
      </c>
      <c r="B6468" t="s">
        <v>367</v>
      </c>
      <c r="C6468" t="s">
        <v>152</v>
      </c>
      <c r="D6468">
        <v>59667</v>
      </c>
      <c r="E6468">
        <v>52490</v>
      </c>
      <c r="F6468">
        <v>21779</v>
      </c>
      <c r="G6468">
        <v>29444</v>
      </c>
    </row>
    <row r="6469" spans="1:7">
      <c r="A6469" t="s">
        <v>1876</v>
      </c>
      <c r="B6469" t="s">
        <v>367</v>
      </c>
      <c r="C6469" t="s">
        <v>1703</v>
      </c>
      <c r="D6469">
        <v>2963</v>
      </c>
      <c r="E6469">
        <v>1758</v>
      </c>
      <c r="F6469">
        <v>1453</v>
      </c>
      <c r="G6469">
        <v>1273</v>
      </c>
    </row>
    <row r="6470" spans="1:7">
      <c r="A6470" t="s">
        <v>1876</v>
      </c>
      <c r="B6470" t="s">
        <v>367</v>
      </c>
      <c r="C6470" t="s">
        <v>153</v>
      </c>
      <c r="D6470">
        <v>9519</v>
      </c>
      <c r="E6470">
        <v>9442</v>
      </c>
      <c r="F6470">
        <v>8571</v>
      </c>
      <c r="G6470">
        <v>7598</v>
      </c>
    </row>
    <row r="6471" spans="1:7">
      <c r="A6471" t="s">
        <v>1876</v>
      </c>
      <c r="B6471" t="s">
        <v>367</v>
      </c>
      <c r="C6471" t="s">
        <v>154</v>
      </c>
      <c r="D6471">
        <v>0</v>
      </c>
      <c r="E6471">
        <v>0</v>
      </c>
      <c r="F6471">
        <v>0</v>
      </c>
      <c r="G6471">
        <v>0</v>
      </c>
    </row>
    <row r="6472" spans="1:7">
      <c r="A6472" t="s">
        <v>1876</v>
      </c>
      <c r="B6472" t="s">
        <v>367</v>
      </c>
      <c r="C6472" t="s">
        <v>155</v>
      </c>
      <c r="D6472">
        <v>9519</v>
      </c>
      <c r="E6472">
        <v>9442</v>
      </c>
      <c r="F6472">
        <v>8571</v>
      </c>
      <c r="G6472">
        <v>7598</v>
      </c>
    </row>
    <row r="6473" spans="1:7">
      <c r="A6473" t="s">
        <v>1876</v>
      </c>
      <c r="B6473" t="s">
        <v>367</v>
      </c>
      <c r="C6473" t="s">
        <v>156</v>
      </c>
      <c r="D6473">
        <v>0</v>
      </c>
      <c r="E6473">
        <v>0</v>
      </c>
      <c r="F6473">
        <v>0</v>
      </c>
      <c r="G6473">
        <v>0</v>
      </c>
    </row>
    <row r="6474" spans="1:7">
      <c r="A6474" t="s">
        <v>1876</v>
      </c>
      <c r="B6474" t="s">
        <v>367</v>
      </c>
      <c r="C6474" t="s">
        <v>157</v>
      </c>
      <c r="D6474">
        <v>69186</v>
      </c>
      <c r="E6474">
        <v>61932</v>
      </c>
      <c r="F6474">
        <v>30349</v>
      </c>
      <c r="G6474">
        <v>37042</v>
      </c>
    </row>
    <row r="6475" spans="1:7">
      <c r="A6475" t="s">
        <v>1876</v>
      </c>
      <c r="B6475" t="s">
        <v>367</v>
      </c>
      <c r="C6475" t="s">
        <v>158</v>
      </c>
      <c r="D6475">
        <v>9519</v>
      </c>
      <c r="E6475">
        <v>9442</v>
      </c>
      <c r="F6475">
        <v>8571</v>
      </c>
      <c r="G6475">
        <v>7598</v>
      </c>
    </row>
    <row r="6476" spans="1:7">
      <c r="A6476" t="s">
        <v>1876</v>
      </c>
      <c r="B6476" t="s">
        <v>367</v>
      </c>
      <c r="C6476" t="s">
        <v>159</v>
      </c>
      <c r="D6476">
        <v>0</v>
      </c>
      <c r="E6476">
        <v>0</v>
      </c>
      <c r="F6476">
        <v>0</v>
      </c>
      <c r="G6476">
        <v>0</v>
      </c>
    </row>
    <row r="6477" spans="1:7">
      <c r="A6477" t="s">
        <v>1876</v>
      </c>
      <c r="B6477" t="s">
        <v>367</v>
      </c>
      <c r="C6477" t="s">
        <v>1901</v>
      </c>
      <c r="D6477">
        <v>54.1</v>
      </c>
      <c r="E6477">
        <v>52.7</v>
      </c>
      <c r="F6477">
        <v>56</v>
      </c>
      <c r="G6477">
        <v>50.3</v>
      </c>
    </row>
    <row r="6478" spans="1:7">
      <c r="A6478" t="s">
        <v>1876</v>
      </c>
      <c r="B6478" t="s">
        <v>367</v>
      </c>
      <c r="C6478" t="s">
        <v>1902</v>
      </c>
      <c r="D6478">
        <v>71338</v>
      </c>
      <c r="E6478">
        <v>65381</v>
      </c>
      <c r="F6478">
        <v>68807</v>
      </c>
      <c r="G6478">
        <v>67309</v>
      </c>
    </row>
    <row r="6479" spans="1:7">
      <c r="A6479" t="s">
        <v>1876</v>
      </c>
      <c r="B6479" t="s">
        <v>367</v>
      </c>
      <c r="C6479" t="s">
        <v>1903</v>
      </c>
      <c r="D6479">
        <v>7341</v>
      </c>
      <c r="E6479">
        <v>7518</v>
      </c>
      <c r="F6479">
        <v>6925</v>
      </c>
      <c r="G6479">
        <v>7013</v>
      </c>
    </row>
    <row r="6480" spans="1:7">
      <c r="A6480" t="s">
        <v>1876</v>
      </c>
      <c r="B6480" t="s">
        <v>367</v>
      </c>
      <c r="C6480" t="s">
        <v>1904</v>
      </c>
      <c r="D6480">
        <v>924</v>
      </c>
      <c r="E6480">
        <v>1386</v>
      </c>
      <c r="F6480">
        <v>513</v>
      </c>
      <c r="G6480">
        <v>4541</v>
      </c>
    </row>
    <row r="6481" spans="1:7">
      <c r="A6481" t="s">
        <v>1876</v>
      </c>
      <c r="B6481" t="s">
        <v>367</v>
      </c>
      <c r="C6481" t="s">
        <v>1905</v>
      </c>
      <c r="D6481">
        <v>5935</v>
      </c>
      <c r="E6481">
        <v>6000</v>
      </c>
      <c r="F6481">
        <v>5856</v>
      </c>
      <c r="G6481">
        <v>5683</v>
      </c>
    </row>
    <row r="6482" spans="1:7">
      <c r="A6482" t="s">
        <v>1876</v>
      </c>
      <c r="B6482" t="s">
        <v>367</v>
      </c>
      <c r="C6482" t="s">
        <v>1906</v>
      </c>
      <c r="D6482">
        <v>14069</v>
      </c>
      <c r="E6482">
        <v>14596</v>
      </c>
      <c r="F6482">
        <v>13439</v>
      </c>
      <c r="G6482">
        <v>13311</v>
      </c>
    </row>
    <row r="6483" spans="1:7">
      <c r="A6483" t="s">
        <v>1876</v>
      </c>
      <c r="B6483" t="s">
        <v>367</v>
      </c>
      <c r="C6483" t="s">
        <v>1907</v>
      </c>
      <c r="D6483">
        <v>99608</v>
      </c>
      <c r="E6483">
        <v>94881</v>
      </c>
      <c r="F6483">
        <v>95539</v>
      </c>
      <c r="G6483">
        <v>97858</v>
      </c>
    </row>
    <row r="6484" spans="1:7">
      <c r="A6484" t="s">
        <v>1876</v>
      </c>
      <c r="B6484" t="s">
        <v>367</v>
      </c>
      <c r="C6484" t="s">
        <v>160</v>
      </c>
      <c r="D6484">
        <v>70345</v>
      </c>
      <c r="E6484">
        <v>64523</v>
      </c>
      <c r="F6484">
        <v>67477</v>
      </c>
      <c r="G6484">
        <v>65905</v>
      </c>
    </row>
    <row r="6485" spans="1:7">
      <c r="A6485" t="s">
        <v>1876</v>
      </c>
      <c r="B6485" t="s">
        <v>367</v>
      </c>
      <c r="C6485" t="s">
        <v>161</v>
      </c>
      <c r="D6485">
        <v>7341</v>
      </c>
      <c r="E6485">
        <v>7518</v>
      </c>
      <c r="F6485">
        <v>6925</v>
      </c>
      <c r="G6485">
        <v>7013</v>
      </c>
    </row>
    <row r="6486" spans="1:7">
      <c r="A6486" t="s">
        <v>1876</v>
      </c>
      <c r="B6486" t="s">
        <v>367</v>
      </c>
      <c r="C6486" t="s">
        <v>162</v>
      </c>
      <c r="D6486">
        <v>924</v>
      </c>
      <c r="E6486">
        <v>1386</v>
      </c>
      <c r="F6486">
        <v>513</v>
      </c>
      <c r="G6486">
        <v>4541</v>
      </c>
    </row>
    <row r="6487" spans="1:7">
      <c r="A6487" t="s">
        <v>1876</v>
      </c>
      <c r="B6487" t="s">
        <v>367</v>
      </c>
      <c r="C6487" t="s">
        <v>163</v>
      </c>
      <c r="D6487">
        <v>5935</v>
      </c>
      <c r="E6487">
        <v>6000</v>
      </c>
      <c r="F6487">
        <v>5856</v>
      </c>
      <c r="G6487">
        <v>5683</v>
      </c>
    </row>
    <row r="6488" spans="1:7">
      <c r="A6488" t="s">
        <v>1876</v>
      </c>
      <c r="B6488" t="s">
        <v>367</v>
      </c>
      <c r="C6488" t="s">
        <v>164</v>
      </c>
      <c r="D6488">
        <v>14069</v>
      </c>
      <c r="E6488">
        <v>14596</v>
      </c>
      <c r="F6488">
        <v>13439</v>
      </c>
      <c r="G6488">
        <v>13311</v>
      </c>
    </row>
    <row r="6489" spans="1:7">
      <c r="A6489" t="s">
        <v>1876</v>
      </c>
      <c r="B6489" t="s">
        <v>367</v>
      </c>
      <c r="C6489" t="s">
        <v>165</v>
      </c>
      <c r="D6489">
        <v>98615</v>
      </c>
      <c r="E6489">
        <v>94023</v>
      </c>
      <c r="F6489">
        <v>94210</v>
      </c>
      <c r="G6489">
        <v>96453</v>
      </c>
    </row>
    <row r="6490" spans="1:7">
      <c r="A6490" t="s">
        <v>1876</v>
      </c>
      <c r="B6490" t="s">
        <v>367</v>
      </c>
      <c r="C6490" t="s">
        <v>166</v>
      </c>
      <c r="D6490">
        <v>97691</v>
      </c>
      <c r="E6490">
        <v>92637</v>
      </c>
      <c r="F6490">
        <v>93697</v>
      </c>
      <c r="G6490">
        <v>91912</v>
      </c>
    </row>
    <row r="6491" spans="1:7">
      <c r="A6491" t="s">
        <v>1876</v>
      </c>
      <c r="B6491" t="s">
        <v>367</v>
      </c>
      <c r="C6491" t="s">
        <v>167</v>
      </c>
      <c r="D6491">
        <v>924</v>
      </c>
      <c r="E6491">
        <v>1386</v>
      </c>
      <c r="F6491">
        <v>513</v>
      </c>
      <c r="G6491">
        <v>4541</v>
      </c>
    </row>
    <row r="6492" spans="1:7">
      <c r="A6492" t="s">
        <v>1876</v>
      </c>
      <c r="B6492" t="s">
        <v>367</v>
      </c>
      <c r="C6492" t="s">
        <v>1908</v>
      </c>
      <c r="D6492">
        <v>69609</v>
      </c>
      <c r="E6492">
        <v>63917</v>
      </c>
      <c r="F6492">
        <v>66694</v>
      </c>
      <c r="G6492">
        <v>65146</v>
      </c>
    </row>
    <row r="6493" spans="1:7">
      <c r="A6493" t="s">
        <v>1876</v>
      </c>
      <c r="B6493" t="s">
        <v>367</v>
      </c>
      <c r="C6493" t="s">
        <v>1909</v>
      </c>
      <c r="D6493">
        <v>7341</v>
      </c>
      <c r="E6493">
        <v>7518</v>
      </c>
      <c r="F6493">
        <v>6925</v>
      </c>
      <c r="G6493">
        <v>7013</v>
      </c>
    </row>
    <row r="6494" spans="1:7">
      <c r="A6494" t="s">
        <v>1876</v>
      </c>
      <c r="B6494" t="s">
        <v>367</v>
      </c>
      <c r="C6494" t="s">
        <v>1910</v>
      </c>
      <c r="D6494">
        <v>924</v>
      </c>
      <c r="E6494">
        <v>1386</v>
      </c>
      <c r="F6494">
        <v>513</v>
      </c>
      <c r="G6494">
        <v>4541</v>
      </c>
    </row>
    <row r="6495" spans="1:7">
      <c r="A6495" t="s">
        <v>1876</v>
      </c>
      <c r="B6495" t="s">
        <v>367</v>
      </c>
      <c r="C6495" t="s">
        <v>1911</v>
      </c>
      <c r="D6495">
        <v>5935</v>
      </c>
      <c r="E6495">
        <v>6000</v>
      </c>
      <c r="F6495">
        <v>5856</v>
      </c>
      <c r="G6495">
        <v>5683</v>
      </c>
    </row>
    <row r="6496" spans="1:7">
      <c r="A6496" t="s">
        <v>1876</v>
      </c>
      <c r="B6496" t="s">
        <v>367</v>
      </c>
      <c r="C6496" t="s">
        <v>1912</v>
      </c>
      <c r="D6496">
        <v>14069</v>
      </c>
      <c r="E6496">
        <v>14596</v>
      </c>
      <c r="F6496">
        <v>13439</v>
      </c>
      <c r="G6496">
        <v>13311</v>
      </c>
    </row>
    <row r="6497" spans="1:7">
      <c r="A6497" t="s">
        <v>1876</v>
      </c>
      <c r="B6497" t="s">
        <v>367</v>
      </c>
      <c r="C6497" t="s">
        <v>168</v>
      </c>
      <c r="D6497">
        <v>97879</v>
      </c>
      <c r="E6497">
        <v>93417</v>
      </c>
      <c r="F6497">
        <v>93427</v>
      </c>
      <c r="G6497">
        <v>95695</v>
      </c>
    </row>
    <row r="6498" spans="1:7">
      <c r="A6498" t="s">
        <v>1876</v>
      </c>
      <c r="B6498" t="s">
        <v>367</v>
      </c>
      <c r="C6498" t="s">
        <v>169</v>
      </c>
      <c r="D6498">
        <v>0</v>
      </c>
      <c r="E6498">
        <v>0</v>
      </c>
      <c r="F6498">
        <v>0</v>
      </c>
      <c r="G6498">
        <v>0</v>
      </c>
    </row>
    <row r="6499" spans="1:7">
      <c r="A6499" t="s">
        <v>1876</v>
      </c>
      <c r="B6499" t="s">
        <v>367</v>
      </c>
      <c r="C6499" t="s">
        <v>1704</v>
      </c>
      <c r="D6499">
        <v>13006</v>
      </c>
      <c r="E6499">
        <v>11908</v>
      </c>
      <c r="F6499">
        <v>11924</v>
      </c>
      <c r="G6499">
        <v>11718</v>
      </c>
    </row>
    <row r="6500" spans="1:7">
      <c r="A6500" t="s">
        <v>1876</v>
      </c>
      <c r="B6500" t="s">
        <v>367</v>
      </c>
      <c r="C6500" t="s">
        <v>170</v>
      </c>
      <c r="D6500">
        <v>0</v>
      </c>
      <c r="E6500">
        <v>0</v>
      </c>
      <c r="F6500">
        <v>0</v>
      </c>
      <c r="G6500">
        <v>0</v>
      </c>
    </row>
    <row r="6501" spans="1:7">
      <c r="A6501" t="s">
        <v>1876</v>
      </c>
      <c r="B6501" t="s">
        <v>367</v>
      </c>
      <c r="C6501" t="s">
        <v>171</v>
      </c>
      <c r="D6501">
        <v>209235</v>
      </c>
      <c r="E6501">
        <v>217723</v>
      </c>
      <c r="F6501">
        <v>207471</v>
      </c>
      <c r="G6501">
        <v>230559</v>
      </c>
    </row>
    <row r="6502" spans="1:7">
      <c r="A6502" t="s">
        <v>1876</v>
      </c>
      <c r="B6502" t="s">
        <v>367</v>
      </c>
      <c r="C6502" t="s">
        <v>172</v>
      </c>
      <c r="D6502">
        <v>0</v>
      </c>
      <c r="E6502">
        <v>0</v>
      </c>
      <c r="F6502">
        <v>0</v>
      </c>
      <c r="G6502">
        <v>0</v>
      </c>
    </row>
    <row r="6503" spans="1:7">
      <c r="A6503" t="s">
        <v>1876</v>
      </c>
      <c r="B6503" t="s">
        <v>367</v>
      </c>
      <c r="C6503" t="s">
        <v>1913</v>
      </c>
      <c r="D6503">
        <v>41.5</v>
      </c>
      <c r="E6503">
        <v>59.9</v>
      </c>
      <c r="F6503">
        <v>96.6</v>
      </c>
      <c r="G6503">
        <v>127</v>
      </c>
    </row>
    <row r="6504" spans="1:7">
      <c r="A6504" t="s">
        <v>1876</v>
      </c>
      <c r="B6504" t="s">
        <v>367</v>
      </c>
      <c r="C6504" t="s">
        <v>1914</v>
      </c>
      <c r="D6504">
        <v>0.9</v>
      </c>
      <c r="E6504">
        <v>1.3</v>
      </c>
      <c r="F6504">
        <v>2.1</v>
      </c>
      <c r="G6504">
        <v>2.7</v>
      </c>
    </row>
    <row r="6505" spans="1:7">
      <c r="A6505" t="s">
        <v>1876</v>
      </c>
      <c r="B6505" t="s">
        <v>367</v>
      </c>
      <c r="C6505" t="s">
        <v>173</v>
      </c>
      <c r="D6505">
        <v>20524</v>
      </c>
      <c r="E6505">
        <v>18968</v>
      </c>
      <c r="F6505">
        <v>20746</v>
      </c>
      <c r="G6505">
        <v>20072</v>
      </c>
    </row>
    <row r="6506" spans="1:7">
      <c r="A6506" t="s">
        <v>1876</v>
      </c>
      <c r="B6506" t="s">
        <v>367</v>
      </c>
      <c r="C6506" t="s">
        <v>174</v>
      </c>
      <c r="D6506">
        <v>659</v>
      </c>
      <c r="E6506">
        <v>683</v>
      </c>
      <c r="F6506">
        <v>685</v>
      </c>
      <c r="G6506">
        <v>570</v>
      </c>
    </row>
    <row r="6507" spans="1:7">
      <c r="A6507" t="s">
        <v>1876</v>
      </c>
      <c r="B6507" t="s">
        <v>367</v>
      </c>
      <c r="C6507" t="s">
        <v>175</v>
      </c>
      <c r="D6507">
        <v>212</v>
      </c>
      <c r="E6507">
        <v>222</v>
      </c>
      <c r="F6507">
        <v>221</v>
      </c>
      <c r="G6507">
        <v>177</v>
      </c>
    </row>
    <row r="6508" spans="1:7">
      <c r="A6508" t="s">
        <v>1876</v>
      </c>
      <c r="B6508" t="s">
        <v>367</v>
      </c>
      <c r="C6508" t="s">
        <v>176</v>
      </c>
      <c r="D6508">
        <v>0</v>
      </c>
      <c r="E6508">
        <v>0</v>
      </c>
      <c r="F6508">
        <v>0</v>
      </c>
      <c r="G6508">
        <v>0</v>
      </c>
    </row>
    <row r="6509" spans="1:7">
      <c r="A6509" t="s">
        <v>1876</v>
      </c>
      <c r="B6509" t="s">
        <v>367</v>
      </c>
      <c r="C6509" t="s">
        <v>177</v>
      </c>
      <c r="D6509">
        <v>21395</v>
      </c>
      <c r="E6509">
        <v>19873</v>
      </c>
      <c r="F6509">
        <v>21652</v>
      </c>
      <c r="G6509">
        <v>20818</v>
      </c>
    </row>
    <row r="6510" spans="1:7">
      <c r="A6510" t="s">
        <v>1876</v>
      </c>
      <c r="B6510" t="s">
        <v>367</v>
      </c>
      <c r="C6510" t="s">
        <v>178</v>
      </c>
      <c r="D6510">
        <v>0</v>
      </c>
      <c r="E6510">
        <v>0</v>
      </c>
      <c r="F6510">
        <v>0</v>
      </c>
      <c r="G6510">
        <v>0</v>
      </c>
    </row>
    <row r="6511" spans="1:7">
      <c r="A6511" t="s">
        <v>1876</v>
      </c>
      <c r="B6511" t="s">
        <v>367</v>
      </c>
      <c r="C6511" t="s">
        <v>179</v>
      </c>
      <c r="D6511">
        <v>0</v>
      </c>
      <c r="E6511">
        <v>0</v>
      </c>
      <c r="F6511">
        <v>0</v>
      </c>
      <c r="G6511">
        <v>0</v>
      </c>
    </row>
    <row r="6512" spans="1:7">
      <c r="A6512" t="s">
        <v>1876</v>
      </c>
      <c r="B6512" t="s">
        <v>367</v>
      </c>
      <c r="C6512" t="s">
        <v>180</v>
      </c>
      <c r="D6512">
        <v>1440</v>
      </c>
      <c r="E6512">
        <v>1339</v>
      </c>
      <c r="F6512">
        <v>1392</v>
      </c>
      <c r="G6512">
        <v>1419</v>
      </c>
    </row>
    <row r="6513" spans="1:7">
      <c r="A6513" t="s">
        <v>1876</v>
      </c>
      <c r="B6513" t="s">
        <v>367</v>
      </c>
      <c r="C6513" t="s">
        <v>181</v>
      </c>
      <c r="D6513">
        <v>93615</v>
      </c>
      <c r="E6513">
        <v>94251</v>
      </c>
      <c r="F6513">
        <v>92335</v>
      </c>
      <c r="G6513">
        <v>94763</v>
      </c>
    </row>
    <row r="6514" spans="1:7">
      <c r="A6514" t="s">
        <v>1876</v>
      </c>
      <c r="B6514" t="s">
        <v>367</v>
      </c>
      <c r="C6514" t="s">
        <v>182</v>
      </c>
      <c r="D6514">
        <v>11875</v>
      </c>
      <c r="E6514">
        <v>12289</v>
      </c>
      <c r="F6514">
        <v>11790</v>
      </c>
      <c r="G6514">
        <v>11949</v>
      </c>
    </row>
    <row r="6515" spans="1:7">
      <c r="A6515" t="s">
        <v>1876</v>
      </c>
      <c r="B6515" t="s">
        <v>367</v>
      </c>
      <c r="C6515" t="s">
        <v>183</v>
      </c>
      <c r="D6515">
        <v>95415</v>
      </c>
      <c r="E6515">
        <v>95759</v>
      </c>
      <c r="F6515">
        <v>89080</v>
      </c>
      <c r="G6515">
        <v>93241</v>
      </c>
    </row>
    <row r="6516" spans="1:7">
      <c r="A6516" t="s">
        <v>1876</v>
      </c>
      <c r="B6516" t="s">
        <v>367</v>
      </c>
      <c r="C6516" t="s">
        <v>184</v>
      </c>
      <c r="D6516">
        <v>202345</v>
      </c>
      <c r="E6516">
        <v>203637</v>
      </c>
      <c r="F6516">
        <v>194597</v>
      </c>
      <c r="G6516">
        <v>201372</v>
      </c>
    </row>
    <row r="6517" spans="1:7">
      <c r="A6517" t="s">
        <v>1876</v>
      </c>
      <c r="B6517" t="s">
        <v>367</v>
      </c>
      <c r="C6517" t="s">
        <v>185</v>
      </c>
      <c r="D6517">
        <v>202345</v>
      </c>
      <c r="E6517">
        <v>203637</v>
      </c>
      <c r="F6517">
        <v>194597</v>
      </c>
      <c r="G6517">
        <v>201372</v>
      </c>
    </row>
    <row r="6518" spans="1:7">
      <c r="A6518" t="s">
        <v>1876</v>
      </c>
      <c r="B6518" t="s">
        <v>367</v>
      </c>
      <c r="C6518" t="s">
        <v>1915</v>
      </c>
      <c r="D6518">
        <v>69</v>
      </c>
      <c r="E6518">
        <v>106</v>
      </c>
      <c r="F6518">
        <v>270</v>
      </c>
      <c r="G6518">
        <v>377</v>
      </c>
    </row>
    <row r="6519" spans="1:7">
      <c r="A6519" t="s">
        <v>1876</v>
      </c>
      <c r="B6519" t="s">
        <v>367</v>
      </c>
      <c r="C6519" t="s">
        <v>1916</v>
      </c>
      <c r="D6519">
        <v>0</v>
      </c>
      <c r="E6519">
        <v>0</v>
      </c>
      <c r="F6519">
        <v>0</v>
      </c>
      <c r="G6519">
        <v>0</v>
      </c>
    </row>
    <row r="6520" spans="1:7">
      <c r="A6520" t="s">
        <v>1876</v>
      </c>
      <c r="B6520" t="s">
        <v>367</v>
      </c>
      <c r="C6520" t="s">
        <v>1917</v>
      </c>
      <c r="D6520">
        <v>48</v>
      </c>
      <c r="E6520">
        <v>46</v>
      </c>
      <c r="F6520">
        <v>40</v>
      </c>
      <c r="G6520">
        <v>38</v>
      </c>
    </row>
    <row r="6521" spans="1:7">
      <c r="A6521" t="s">
        <v>1876</v>
      </c>
      <c r="B6521" t="s">
        <v>367</v>
      </c>
      <c r="C6521" t="s">
        <v>1918</v>
      </c>
      <c r="D6521">
        <v>4006</v>
      </c>
      <c r="E6521">
        <v>4734</v>
      </c>
      <c r="F6521">
        <v>4792</v>
      </c>
      <c r="G6521">
        <v>4294</v>
      </c>
    </row>
    <row r="6522" spans="1:7">
      <c r="A6522" t="s">
        <v>1876</v>
      </c>
      <c r="B6522" t="s">
        <v>367</v>
      </c>
      <c r="C6522" t="s">
        <v>1919</v>
      </c>
      <c r="D6522">
        <v>3.41</v>
      </c>
      <c r="E6522">
        <v>3.39</v>
      </c>
      <c r="F6522">
        <v>2.94</v>
      </c>
      <c r="G6522">
        <v>2.83</v>
      </c>
    </row>
    <row r="6523" spans="1:7">
      <c r="A6523" t="s">
        <v>1876</v>
      </c>
      <c r="B6523" t="s">
        <v>367</v>
      </c>
      <c r="C6523" t="s">
        <v>1920</v>
      </c>
      <c r="D6523">
        <v>4708</v>
      </c>
      <c r="E6523">
        <v>5526</v>
      </c>
      <c r="F6523">
        <v>5852</v>
      </c>
      <c r="G6523">
        <v>5404</v>
      </c>
    </row>
    <row r="6524" spans="1:7">
      <c r="A6524" t="s">
        <v>1876</v>
      </c>
      <c r="B6524" t="s">
        <v>367</v>
      </c>
      <c r="C6524" t="s">
        <v>1921</v>
      </c>
      <c r="D6524">
        <v>1323</v>
      </c>
      <c r="E6524">
        <v>1559</v>
      </c>
      <c r="F6524">
        <v>1853</v>
      </c>
      <c r="G6524">
        <v>1761</v>
      </c>
    </row>
    <row r="6525" spans="1:7">
      <c r="A6525" t="s">
        <v>1876</v>
      </c>
      <c r="B6525" t="s">
        <v>367</v>
      </c>
      <c r="C6525" t="s">
        <v>1922</v>
      </c>
      <c r="D6525">
        <v>654</v>
      </c>
      <c r="E6525">
        <v>746</v>
      </c>
      <c r="F6525">
        <v>1020</v>
      </c>
      <c r="G6525">
        <v>1072</v>
      </c>
    </row>
    <row r="6526" spans="1:7">
      <c r="A6526" t="s">
        <v>1876</v>
      </c>
      <c r="B6526" t="s">
        <v>367</v>
      </c>
      <c r="C6526" t="s">
        <v>1923</v>
      </c>
      <c r="D6526">
        <v>2.96</v>
      </c>
      <c r="E6526">
        <v>3.1</v>
      </c>
      <c r="F6526">
        <v>3.27</v>
      </c>
      <c r="G6526">
        <v>3.31</v>
      </c>
    </row>
    <row r="6527" spans="1:7">
      <c r="A6527" t="s">
        <v>1876</v>
      </c>
      <c r="B6527" t="s">
        <v>367</v>
      </c>
      <c r="C6527" t="s">
        <v>1924</v>
      </c>
      <c r="D6527">
        <v>40</v>
      </c>
      <c r="E6527">
        <v>9</v>
      </c>
      <c r="F6527">
        <v>11</v>
      </c>
      <c r="G6527">
        <v>10</v>
      </c>
    </row>
    <row r="6528" spans="1:7">
      <c r="A6528" t="s">
        <v>1876</v>
      </c>
      <c r="B6528" t="s">
        <v>367</v>
      </c>
      <c r="C6528" t="s">
        <v>1925</v>
      </c>
      <c r="D6528">
        <v>272</v>
      </c>
      <c r="E6528">
        <v>274</v>
      </c>
      <c r="F6528">
        <v>272</v>
      </c>
      <c r="G6528">
        <v>256</v>
      </c>
    </row>
    <row r="6529" spans="1:7">
      <c r="A6529" t="s">
        <v>1876</v>
      </c>
      <c r="B6529" t="s">
        <v>367</v>
      </c>
      <c r="C6529" t="s">
        <v>1926</v>
      </c>
      <c r="D6529">
        <v>1011</v>
      </c>
      <c r="E6529">
        <v>1276</v>
      </c>
      <c r="F6529">
        <v>1570</v>
      </c>
      <c r="G6529">
        <v>1495</v>
      </c>
    </row>
    <row r="6530" spans="1:7">
      <c r="A6530" t="s">
        <v>1876</v>
      </c>
      <c r="B6530" t="s">
        <v>367</v>
      </c>
      <c r="C6530" t="s">
        <v>1927</v>
      </c>
      <c r="D6530">
        <v>31</v>
      </c>
      <c r="E6530">
        <v>32</v>
      </c>
      <c r="F6530">
        <v>26</v>
      </c>
      <c r="G6530">
        <v>26</v>
      </c>
    </row>
    <row r="6531" spans="1:7">
      <c r="A6531" t="s">
        <v>1876</v>
      </c>
      <c r="B6531" t="s">
        <v>367</v>
      </c>
      <c r="C6531" t="s">
        <v>1928</v>
      </c>
      <c r="D6531">
        <v>1194</v>
      </c>
      <c r="E6531">
        <v>1427</v>
      </c>
      <c r="F6531">
        <v>1720</v>
      </c>
      <c r="G6531">
        <v>1642</v>
      </c>
    </row>
    <row r="6532" spans="1:7">
      <c r="A6532" t="s">
        <v>1876</v>
      </c>
      <c r="B6532" t="s">
        <v>367</v>
      </c>
      <c r="C6532" t="s">
        <v>1929</v>
      </c>
      <c r="D6532">
        <v>98</v>
      </c>
      <c r="E6532">
        <v>100</v>
      </c>
      <c r="F6532">
        <v>107</v>
      </c>
      <c r="G6532">
        <v>93</v>
      </c>
    </row>
    <row r="6533" spans="1:7">
      <c r="A6533" t="s">
        <v>1876</v>
      </c>
      <c r="B6533" t="s">
        <v>367</v>
      </c>
      <c r="C6533" t="s">
        <v>186</v>
      </c>
      <c r="D6533">
        <v>0</v>
      </c>
      <c r="E6533">
        <v>0</v>
      </c>
      <c r="F6533">
        <v>0</v>
      </c>
      <c r="G6533">
        <v>0</v>
      </c>
    </row>
    <row r="6534" spans="1:7">
      <c r="A6534" t="s">
        <v>1876</v>
      </c>
      <c r="B6534" t="s">
        <v>367</v>
      </c>
      <c r="C6534" t="s">
        <v>187</v>
      </c>
      <c r="D6534">
        <v>0</v>
      </c>
      <c r="E6534">
        <v>0</v>
      </c>
      <c r="F6534">
        <v>0</v>
      </c>
      <c r="G6534">
        <v>0</v>
      </c>
    </row>
    <row r="6535" spans="1:7">
      <c r="A6535" t="s">
        <v>1876</v>
      </c>
      <c r="B6535" t="s">
        <v>367</v>
      </c>
      <c r="C6535" t="s">
        <v>1705</v>
      </c>
      <c r="D6535">
        <v>9972</v>
      </c>
      <c r="E6535">
        <v>8760</v>
      </c>
      <c r="F6535">
        <v>8742</v>
      </c>
      <c r="G6535">
        <v>8448</v>
      </c>
    </row>
    <row r="6536" spans="1:7">
      <c r="A6536" t="s">
        <v>1876</v>
      </c>
      <c r="B6536" t="s">
        <v>367</v>
      </c>
      <c r="C6536" t="s">
        <v>188</v>
      </c>
      <c r="D6536">
        <v>802286</v>
      </c>
      <c r="E6536">
        <v>783943</v>
      </c>
      <c r="F6536">
        <v>769162</v>
      </c>
      <c r="G6536">
        <v>763218</v>
      </c>
    </row>
    <row r="6537" spans="1:7">
      <c r="A6537" t="s">
        <v>1876</v>
      </c>
      <c r="B6537" t="s">
        <v>367</v>
      </c>
      <c r="C6537" t="s">
        <v>189</v>
      </c>
      <c r="D6537">
        <v>0</v>
      </c>
      <c r="E6537">
        <v>0</v>
      </c>
      <c r="F6537">
        <v>0</v>
      </c>
      <c r="G6537">
        <v>0</v>
      </c>
    </row>
    <row r="6538" spans="1:7">
      <c r="A6538" t="s">
        <v>1876</v>
      </c>
      <c r="B6538" t="s">
        <v>367</v>
      </c>
      <c r="C6538" t="s">
        <v>190</v>
      </c>
      <c r="D6538">
        <v>0</v>
      </c>
      <c r="E6538">
        <v>0</v>
      </c>
      <c r="F6538">
        <v>0</v>
      </c>
      <c r="G6538">
        <v>0</v>
      </c>
    </row>
    <row r="6539" spans="1:7">
      <c r="A6539" t="s">
        <v>1876</v>
      </c>
      <c r="B6539" t="s">
        <v>367</v>
      </c>
      <c r="C6539" t="s">
        <v>191</v>
      </c>
      <c r="D6539">
        <v>0</v>
      </c>
      <c r="E6539">
        <v>0</v>
      </c>
      <c r="F6539">
        <v>0</v>
      </c>
      <c r="G6539">
        <v>0</v>
      </c>
    </row>
    <row r="6540" spans="1:7">
      <c r="A6540" t="s">
        <v>1876</v>
      </c>
      <c r="B6540" t="s">
        <v>367</v>
      </c>
      <c r="C6540" t="s">
        <v>192</v>
      </c>
      <c r="D6540">
        <v>447714.3</v>
      </c>
      <c r="E6540">
        <v>481861.4</v>
      </c>
      <c r="F6540">
        <v>515035.9</v>
      </c>
      <c r="G6540">
        <v>546028.4</v>
      </c>
    </row>
    <row r="6541" spans="1:7">
      <c r="A6541" t="s">
        <v>1876</v>
      </c>
      <c r="B6541" t="s">
        <v>367</v>
      </c>
      <c r="C6541" t="s">
        <v>193</v>
      </c>
      <c r="D6541">
        <v>407160.1</v>
      </c>
      <c r="E6541">
        <v>412670.7</v>
      </c>
      <c r="F6541">
        <v>420558</v>
      </c>
      <c r="G6541">
        <v>433105.9</v>
      </c>
    </row>
    <row r="6542" spans="1:7">
      <c r="A6542" t="s">
        <v>1876</v>
      </c>
      <c r="B6542" t="s">
        <v>367</v>
      </c>
      <c r="C6542" t="s">
        <v>1930</v>
      </c>
      <c r="D6542">
        <v>0</v>
      </c>
      <c r="E6542">
        <v>0</v>
      </c>
      <c r="F6542">
        <v>0</v>
      </c>
      <c r="G6542">
        <v>0</v>
      </c>
    </row>
    <row r="6543" spans="1:7">
      <c r="A6543" t="s">
        <v>1876</v>
      </c>
      <c r="B6543" t="s">
        <v>367</v>
      </c>
      <c r="C6543" t="s">
        <v>194</v>
      </c>
      <c r="D6543">
        <v>0</v>
      </c>
      <c r="E6543">
        <v>0</v>
      </c>
      <c r="F6543">
        <v>0</v>
      </c>
      <c r="G6543">
        <v>0</v>
      </c>
    </row>
    <row r="6544" spans="1:7">
      <c r="A6544" t="s">
        <v>1876</v>
      </c>
      <c r="B6544" t="s">
        <v>367</v>
      </c>
      <c r="C6544" t="s">
        <v>195</v>
      </c>
      <c r="D6544">
        <v>0</v>
      </c>
      <c r="E6544">
        <v>0</v>
      </c>
      <c r="F6544">
        <v>0</v>
      </c>
      <c r="G6544">
        <v>0</v>
      </c>
    </row>
    <row r="6545" spans="1:7">
      <c r="A6545" t="s">
        <v>1876</v>
      </c>
      <c r="B6545" t="s">
        <v>367</v>
      </c>
      <c r="C6545" t="s">
        <v>1706</v>
      </c>
      <c r="D6545">
        <v>0</v>
      </c>
      <c r="E6545">
        <v>0</v>
      </c>
      <c r="F6545">
        <v>0</v>
      </c>
      <c r="G6545">
        <v>0</v>
      </c>
    </row>
    <row r="6546" spans="1:7">
      <c r="A6546" t="s">
        <v>1876</v>
      </c>
      <c r="B6546" t="s">
        <v>367</v>
      </c>
      <c r="C6546" t="s">
        <v>196</v>
      </c>
      <c r="D6546">
        <v>0</v>
      </c>
      <c r="E6546">
        <v>0</v>
      </c>
      <c r="F6546">
        <v>0</v>
      </c>
      <c r="G6546">
        <v>0</v>
      </c>
    </row>
    <row r="6547" spans="1:7">
      <c r="A6547" t="s">
        <v>1876</v>
      </c>
      <c r="B6547" t="s">
        <v>367</v>
      </c>
      <c r="C6547" t="s">
        <v>197</v>
      </c>
      <c r="D6547">
        <v>570</v>
      </c>
      <c r="E6547">
        <v>570</v>
      </c>
      <c r="F6547">
        <v>570</v>
      </c>
      <c r="G6547">
        <v>570</v>
      </c>
    </row>
    <row r="6548" spans="1:7">
      <c r="A6548" t="s">
        <v>1876</v>
      </c>
      <c r="B6548" t="s">
        <v>367</v>
      </c>
      <c r="C6548" t="s">
        <v>198</v>
      </c>
      <c r="D6548">
        <v>570</v>
      </c>
      <c r="E6548">
        <v>570</v>
      </c>
      <c r="F6548">
        <v>570</v>
      </c>
      <c r="G6548">
        <v>570</v>
      </c>
    </row>
    <row r="6549" spans="1:7">
      <c r="A6549" t="s">
        <v>1876</v>
      </c>
      <c r="B6549" t="s">
        <v>367</v>
      </c>
      <c r="C6549" t="s">
        <v>199</v>
      </c>
      <c r="D6549">
        <v>570</v>
      </c>
      <c r="E6549">
        <v>570</v>
      </c>
      <c r="F6549">
        <v>570</v>
      </c>
      <c r="G6549">
        <v>570</v>
      </c>
    </row>
    <row r="6550" spans="1:7">
      <c r="A6550" t="s">
        <v>1876</v>
      </c>
      <c r="B6550" t="s">
        <v>367</v>
      </c>
      <c r="C6550" t="s">
        <v>200</v>
      </c>
      <c r="D6550">
        <v>112</v>
      </c>
      <c r="E6550">
        <v>172</v>
      </c>
      <c r="F6550">
        <v>173</v>
      </c>
      <c r="G6550">
        <v>160</v>
      </c>
    </row>
    <row r="6551" spans="1:7">
      <c r="A6551" t="s">
        <v>1876</v>
      </c>
      <c r="B6551" t="s">
        <v>367</v>
      </c>
      <c r="C6551" t="s">
        <v>201</v>
      </c>
      <c r="D6551">
        <v>3357</v>
      </c>
      <c r="E6551">
        <v>3332</v>
      </c>
      <c r="F6551">
        <v>2661</v>
      </c>
      <c r="G6551">
        <v>2308</v>
      </c>
    </row>
    <row r="6552" spans="1:7">
      <c r="A6552" t="s">
        <v>1876</v>
      </c>
      <c r="B6552" t="s">
        <v>367</v>
      </c>
      <c r="C6552" t="s">
        <v>202</v>
      </c>
      <c r="D6552">
        <v>2170</v>
      </c>
      <c r="E6552">
        <v>2002</v>
      </c>
      <c r="F6552">
        <v>1635</v>
      </c>
      <c r="G6552">
        <v>1804</v>
      </c>
    </row>
    <row r="6553" spans="1:7">
      <c r="A6553" t="s">
        <v>1876</v>
      </c>
      <c r="B6553" t="s">
        <v>367</v>
      </c>
      <c r="C6553" t="s">
        <v>203</v>
      </c>
      <c r="D6553">
        <v>6783</v>
      </c>
      <c r="E6553">
        <v>6700</v>
      </c>
      <c r="F6553">
        <v>5839</v>
      </c>
      <c r="G6553">
        <v>6047</v>
      </c>
    </row>
    <row r="6554" spans="1:7">
      <c r="A6554" t="s">
        <v>1876</v>
      </c>
      <c r="B6554" t="s">
        <v>367</v>
      </c>
      <c r="C6554" t="s">
        <v>204</v>
      </c>
      <c r="D6554">
        <v>12422</v>
      </c>
      <c r="E6554">
        <v>12207</v>
      </c>
      <c r="F6554">
        <v>10308</v>
      </c>
      <c r="G6554">
        <v>10319</v>
      </c>
    </row>
    <row r="6555" spans="1:7">
      <c r="A6555" t="s">
        <v>1876</v>
      </c>
      <c r="B6555" t="s">
        <v>367</v>
      </c>
      <c r="C6555" t="s">
        <v>205</v>
      </c>
      <c r="D6555">
        <v>12422</v>
      </c>
      <c r="E6555">
        <v>12207</v>
      </c>
      <c r="F6555">
        <v>10308</v>
      </c>
      <c r="G6555">
        <v>10319</v>
      </c>
    </row>
    <row r="6556" spans="1:7">
      <c r="A6556" t="s">
        <v>1876</v>
      </c>
      <c r="B6556" t="s">
        <v>367</v>
      </c>
      <c r="C6556" t="s">
        <v>1931</v>
      </c>
      <c r="D6556">
        <v>0</v>
      </c>
      <c r="E6556">
        <v>0</v>
      </c>
      <c r="F6556">
        <v>0</v>
      </c>
      <c r="G6556">
        <v>0</v>
      </c>
    </row>
    <row r="6557" spans="1:7">
      <c r="A6557" t="s">
        <v>1876</v>
      </c>
      <c r="B6557" t="s">
        <v>367</v>
      </c>
      <c r="C6557" t="s">
        <v>1707</v>
      </c>
      <c r="D6557">
        <v>0</v>
      </c>
      <c r="E6557">
        <v>0</v>
      </c>
      <c r="F6557">
        <v>0</v>
      </c>
      <c r="G6557">
        <v>0</v>
      </c>
    </row>
    <row r="6558" spans="1:7">
      <c r="A6558" t="s">
        <v>1876</v>
      </c>
      <c r="B6558" t="s">
        <v>367</v>
      </c>
      <c r="C6558" t="s">
        <v>1932</v>
      </c>
      <c r="D6558">
        <v>41</v>
      </c>
      <c r="E6558">
        <v>34.4</v>
      </c>
      <c r="F6558">
        <v>41</v>
      </c>
      <c r="G6558">
        <v>40.9</v>
      </c>
    </row>
    <row r="6559" spans="1:7">
      <c r="A6559" t="s">
        <v>1876</v>
      </c>
      <c r="B6559" t="s">
        <v>367</v>
      </c>
      <c r="C6559" t="s">
        <v>1708</v>
      </c>
      <c r="D6559">
        <v>590</v>
      </c>
      <c r="E6559">
        <v>590</v>
      </c>
      <c r="F6559">
        <v>515</v>
      </c>
      <c r="G6559">
        <v>515</v>
      </c>
    </row>
    <row r="6560" spans="1:7">
      <c r="A6560" t="s">
        <v>1876</v>
      </c>
      <c r="B6560" t="s">
        <v>367</v>
      </c>
      <c r="C6560" t="s">
        <v>206</v>
      </c>
      <c r="D6560">
        <v>0</v>
      </c>
      <c r="E6560">
        <v>0</v>
      </c>
      <c r="F6560">
        <v>0</v>
      </c>
      <c r="G6560">
        <v>0</v>
      </c>
    </row>
    <row r="6561" spans="1:7">
      <c r="A6561" t="s">
        <v>1876</v>
      </c>
      <c r="B6561" t="s">
        <v>367</v>
      </c>
      <c r="C6561" t="s">
        <v>207</v>
      </c>
      <c r="D6561">
        <v>7224</v>
      </c>
      <c r="E6561">
        <v>6072</v>
      </c>
      <c r="F6561">
        <v>6309</v>
      </c>
      <c r="G6561">
        <v>6306</v>
      </c>
    </row>
    <row r="6562" spans="1:7">
      <c r="A6562" t="s">
        <v>1876</v>
      </c>
      <c r="B6562" t="s">
        <v>367</v>
      </c>
      <c r="C6562" t="s">
        <v>208</v>
      </c>
      <c r="D6562">
        <v>0</v>
      </c>
      <c r="E6562">
        <v>0</v>
      </c>
      <c r="F6562">
        <v>0</v>
      </c>
      <c r="G6562">
        <v>0</v>
      </c>
    </row>
    <row r="6563" spans="1:7">
      <c r="A6563" t="s">
        <v>1876</v>
      </c>
      <c r="B6563" t="s">
        <v>367</v>
      </c>
      <c r="C6563" t="s">
        <v>209</v>
      </c>
      <c r="D6563">
        <v>7224</v>
      </c>
      <c r="E6563">
        <v>6072</v>
      </c>
      <c r="F6563">
        <v>6309</v>
      </c>
      <c r="G6563">
        <v>6306</v>
      </c>
    </row>
    <row r="6564" spans="1:7">
      <c r="A6564" t="s">
        <v>1876</v>
      </c>
      <c r="B6564" t="s">
        <v>367</v>
      </c>
      <c r="C6564" t="s">
        <v>210</v>
      </c>
      <c r="D6564">
        <v>0</v>
      </c>
      <c r="E6564">
        <v>0</v>
      </c>
      <c r="F6564">
        <v>0</v>
      </c>
      <c r="G6564">
        <v>0</v>
      </c>
    </row>
    <row r="6565" spans="1:7">
      <c r="A6565" t="s">
        <v>1876</v>
      </c>
      <c r="B6565" t="s">
        <v>367</v>
      </c>
      <c r="C6565" t="s">
        <v>211</v>
      </c>
      <c r="D6565">
        <v>0</v>
      </c>
      <c r="E6565">
        <v>0</v>
      </c>
      <c r="F6565">
        <v>0</v>
      </c>
      <c r="G6565">
        <v>0</v>
      </c>
    </row>
    <row r="6566" spans="1:7">
      <c r="A6566" t="s">
        <v>1876</v>
      </c>
      <c r="B6566" t="s">
        <v>367</v>
      </c>
      <c r="C6566" t="s">
        <v>212</v>
      </c>
      <c r="D6566">
        <v>0</v>
      </c>
      <c r="E6566">
        <v>0</v>
      </c>
      <c r="F6566">
        <v>0</v>
      </c>
      <c r="G6566">
        <v>0</v>
      </c>
    </row>
    <row r="6567" spans="1:7">
      <c r="A6567" t="s">
        <v>1876</v>
      </c>
      <c r="B6567" t="s">
        <v>367</v>
      </c>
      <c r="C6567" t="s">
        <v>213</v>
      </c>
      <c r="D6567">
        <v>0</v>
      </c>
      <c r="E6567">
        <v>0</v>
      </c>
      <c r="F6567">
        <v>0</v>
      </c>
      <c r="G6567">
        <v>0</v>
      </c>
    </row>
    <row r="6568" spans="1:7">
      <c r="A6568" t="s">
        <v>1876</v>
      </c>
      <c r="B6568" t="s">
        <v>367</v>
      </c>
      <c r="C6568" t="s">
        <v>214</v>
      </c>
      <c r="D6568">
        <v>0</v>
      </c>
      <c r="E6568">
        <v>0</v>
      </c>
      <c r="F6568">
        <v>0</v>
      </c>
      <c r="G6568">
        <v>0</v>
      </c>
    </row>
    <row r="6569" spans="1:7">
      <c r="A6569" t="s">
        <v>1876</v>
      </c>
      <c r="B6569" t="s">
        <v>367</v>
      </c>
      <c r="C6569" t="s">
        <v>215</v>
      </c>
      <c r="D6569">
        <v>31592</v>
      </c>
      <c r="E6569">
        <v>35505</v>
      </c>
      <c r="F6569">
        <v>38019</v>
      </c>
      <c r="G6569">
        <v>36218</v>
      </c>
    </row>
    <row r="6570" spans="1:7">
      <c r="A6570" t="s">
        <v>1876</v>
      </c>
      <c r="B6570" t="s">
        <v>367</v>
      </c>
      <c r="C6570" t="s">
        <v>216</v>
      </c>
      <c r="D6570">
        <v>31592</v>
      </c>
      <c r="E6570">
        <v>35505</v>
      </c>
      <c r="F6570">
        <v>38019</v>
      </c>
      <c r="G6570">
        <v>36218</v>
      </c>
    </row>
    <row r="6571" spans="1:7">
      <c r="A6571" t="s">
        <v>1876</v>
      </c>
      <c r="B6571" t="s">
        <v>367</v>
      </c>
      <c r="C6571" t="s">
        <v>217</v>
      </c>
      <c r="D6571">
        <v>31592</v>
      </c>
      <c r="E6571">
        <v>35505</v>
      </c>
      <c r="F6571">
        <v>38019</v>
      </c>
      <c r="G6571">
        <v>36218</v>
      </c>
    </row>
    <row r="6572" spans="1:7">
      <c r="A6572" t="s">
        <v>1876</v>
      </c>
      <c r="B6572" t="s">
        <v>367</v>
      </c>
      <c r="C6572" t="s">
        <v>218</v>
      </c>
      <c r="D6572">
        <v>51</v>
      </c>
      <c r="E6572">
        <v>47</v>
      </c>
      <c r="F6572">
        <v>79</v>
      </c>
      <c r="G6572">
        <v>62</v>
      </c>
    </row>
    <row r="6573" spans="1:7">
      <c r="A6573" t="s">
        <v>1876</v>
      </c>
      <c r="B6573" t="s">
        <v>367</v>
      </c>
      <c r="C6573" t="s">
        <v>219</v>
      </c>
      <c r="D6573">
        <v>7</v>
      </c>
      <c r="E6573">
        <v>5</v>
      </c>
      <c r="F6573">
        <v>20</v>
      </c>
      <c r="G6573">
        <v>11</v>
      </c>
    </row>
    <row r="6574" spans="1:7">
      <c r="A6574" t="s">
        <v>1876</v>
      </c>
      <c r="B6574" t="s">
        <v>367</v>
      </c>
      <c r="C6574" t="s">
        <v>220</v>
      </c>
      <c r="D6574">
        <v>173</v>
      </c>
      <c r="E6574">
        <v>159</v>
      </c>
      <c r="F6574">
        <v>268</v>
      </c>
      <c r="G6574">
        <v>211</v>
      </c>
    </row>
    <row r="6575" spans="1:7">
      <c r="A6575" t="s">
        <v>1876</v>
      </c>
      <c r="B6575" t="s">
        <v>367</v>
      </c>
      <c r="C6575" t="s">
        <v>221</v>
      </c>
      <c r="D6575">
        <v>230</v>
      </c>
      <c r="E6575">
        <v>211</v>
      </c>
      <c r="F6575">
        <v>367</v>
      </c>
      <c r="G6575">
        <v>284</v>
      </c>
    </row>
    <row r="6576" spans="1:7">
      <c r="A6576" t="s">
        <v>1876</v>
      </c>
      <c r="B6576" t="s">
        <v>367</v>
      </c>
      <c r="C6576" t="s">
        <v>222</v>
      </c>
      <c r="D6576">
        <v>230</v>
      </c>
      <c r="E6576">
        <v>211</v>
      </c>
      <c r="F6576">
        <v>367</v>
      </c>
      <c r="G6576">
        <v>284</v>
      </c>
    </row>
    <row r="6577" spans="1:7">
      <c r="A6577" t="s">
        <v>1876</v>
      </c>
      <c r="B6577" t="s">
        <v>367</v>
      </c>
      <c r="C6577" t="s">
        <v>1933</v>
      </c>
      <c r="D6577">
        <v>4718.8999999999996</v>
      </c>
      <c r="E6577">
        <v>4703.5</v>
      </c>
      <c r="F6577">
        <v>4665.8999999999996</v>
      </c>
      <c r="G6577">
        <v>4639.8999999999996</v>
      </c>
    </row>
    <row r="6578" spans="1:7">
      <c r="A6578" t="s">
        <v>1876</v>
      </c>
      <c r="B6578" t="s">
        <v>367</v>
      </c>
      <c r="C6578" t="s">
        <v>223</v>
      </c>
      <c r="D6578">
        <v>2451</v>
      </c>
      <c r="E6578">
        <v>2233</v>
      </c>
      <c r="F6578">
        <v>2324</v>
      </c>
      <c r="G6578">
        <v>2411</v>
      </c>
    </row>
    <row r="6579" spans="1:7">
      <c r="A6579" t="s">
        <v>1876</v>
      </c>
      <c r="B6579" t="s">
        <v>367</v>
      </c>
      <c r="C6579" t="s">
        <v>224</v>
      </c>
      <c r="D6579">
        <v>159359</v>
      </c>
      <c r="E6579">
        <v>157226</v>
      </c>
      <c r="F6579">
        <v>154132</v>
      </c>
      <c r="G6579">
        <v>160955</v>
      </c>
    </row>
    <row r="6580" spans="1:7">
      <c r="A6580" t="s">
        <v>1876</v>
      </c>
      <c r="B6580" t="s">
        <v>367</v>
      </c>
      <c r="C6580" t="s">
        <v>225</v>
      </c>
      <c r="D6580">
        <v>20215</v>
      </c>
      <c r="E6580">
        <v>20500</v>
      </c>
      <c r="F6580">
        <v>19682</v>
      </c>
      <c r="G6580">
        <v>20295</v>
      </c>
    </row>
    <row r="6581" spans="1:7">
      <c r="A6581" t="s">
        <v>1876</v>
      </c>
      <c r="B6581" t="s">
        <v>367</v>
      </c>
      <c r="C6581" t="s">
        <v>226</v>
      </c>
      <c r="D6581">
        <v>162423</v>
      </c>
      <c r="E6581">
        <v>159742</v>
      </c>
      <c r="F6581">
        <v>148698</v>
      </c>
      <c r="G6581">
        <v>158370</v>
      </c>
    </row>
    <row r="6582" spans="1:7">
      <c r="A6582" t="s">
        <v>1876</v>
      </c>
      <c r="B6582" t="s">
        <v>367</v>
      </c>
      <c r="C6582" t="s">
        <v>227</v>
      </c>
      <c r="D6582">
        <v>344448</v>
      </c>
      <c r="E6582">
        <v>339701</v>
      </c>
      <c r="F6582">
        <v>324835</v>
      </c>
      <c r="G6582">
        <v>342032</v>
      </c>
    </row>
    <row r="6583" spans="1:7">
      <c r="A6583" t="s">
        <v>1876</v>
      </c>
      <c r="B6583" t="s">
        <v>367</v>
      </c>
      <c r="C6583" t="s">
        <v>228</v>
      </c>
      <c r="D6583">
        <v>344448</v>
      </c>
      <c r="E6583">
        <v>339701</v>
      </c>
      <c r="F6583">
        <v>324835</v>
      </c>
      <c r="G6583">
        <v>342032</v>
      </c>
    </row>
    <row r="6584" spans="1:7">
      <c r="A6584" t="s">
        <v>1876</v>
      </c>
      <c r="B6584" t="s">
        <v>367</v>
      </c>
      <c r="C6584" t="s">
        <v>229</v>
      </c>
      <c r="D6584">
        <v>1754</v>
      </c>
      <c r="E6584">
        <v>1703</v>
      </c>
      <c r="F6584">
        <v>1340</v>
      </c>
      <c r="G6584">
        <v>1262</v>
      </c>
    </row>
    <row r="6585" spans="1:7">
      <c r="A6585" t="s">
        <v>1876</v>
      </c>
      <c r="B6585" t="s">
        <v>367</v>
      </c>
      <c r="C6585" t="s">
        <v>230</v>
      </c>
      <c r="D6585">
        <v>1276</v>
      </c>
      <c r="E6585">
        <v>1286</v>
      </c>
      <c r="F6585">
        <v>927</v>
      </c>
      <c r="G6585">
        <v>868</v>
      </c>
    </row>
    <row r="6586" spans="1:7">
      <c r="A6586" t="s">
        <v>1876</v>
      </c>
      <c r="B6586" t="s">
        <v>367</v>
      </c>
      <c r="C6586" t="s">
        <v>231</v>
      </c>
      <c r="D6586">
        <v>3031</v>
      </c>
      <c r="E6586">
        <v>2989</v>
      </c>
      <c r="F6586">
        <v>2267</v>
      </c>
      <c r="G6586">
        <v>2130</v>
      </c>
    </row>
    <row r="6587" spans="1:7">
      <c r="A6587" t="s">
        <v>1876</v>
      </c>
      <c r="B6587" t="s">
        <v>367</v>
      </c>
      <c r="C6587" t="s">
        <v>232</v>
      </c>
      <c r="D6587">
        <v>3031</v>
      </c>
      <c r="E6587">
        <v>2989</v>
      </c>
      <c r="F6587">
        <v>2267</v>
      </c>
      <c r="G6587">
        <v>2130</v>
      </c>
    </row>
    <row r="6588" spans="1:7">
      <c r="A6588" t="s">
        <v>1876</v>
      </c>
      <c r="B6588" t="s">
        <v>367</v>
      </c>
      <c r="C6588" t="s">
        <v>233</v>
      </c>
      <c r="D6588">
        <v>0</v>
      </c>
      <c r="E6588">
        <v>0</v>
      </c>
      <c r="F6588">
        <v>0</v>
      </c>
      <c r="G6588">
        <v>0</v>
      </c>
    </row>
    <row r="6589" spans="1:7">
      <c r="A6589" t="s">
        <v>1876</v>
      </c>
      <c r="B6589" t="s">
        <v>367</v>
      </c>
      <c r="C6589" t="s">
        <v>234</v>
      </c>
      <c r="D6589">
        <v>281646</v>
      </c>
      <c r="E6589">
        <v>258080</v>
      </c>
      <c r="F6589">
        <v>282491</v>
      </c>
      <c r="G6589">
        <v>274341</v>
      </c>
    </row>
    <row r="6590" spans="1:7">
      <c r="A6590" t="s">
        <v>1876</v>
      </c>
      <c r="B6590" t="s">
        <v>367</v>
      </c>
      <c r="C6590" t="s">
        <v>235</v>
      </c>
      <c r="D6590">
        <v>9048</v>
      </c>
      <c r="E6590">
        <v>9290</v>
      </c>
      <c r="F6590">
        <v>9331</v>
      </c>
      <c r="G6590">
        <v>7786</v>
      </c>
    </row>
    <row r="6591" spans="1:7">
      <c r="A6591" t="s">
        <v>1876</v>
      </c>
      <c r="B6591" t="s">
        <v>367</v>
      </c>
      <c r="C6591" t="s">
        <v>236</v>
      </c>
      <c r="D6591">
        <v>2904</v>
      </c>
      <c r="E6591">
        <v>3020</v>
      </c>
      <c r="F6591">
        <v>3008</v>
      </c>
      <c r="G6591">
        <v>2415</v>
      </c>
    </row>
    <row r="6592" spans="1:7">
      <c r="A6592" t="s">
        <v>1876</v>
      </c>
      <c r="B6592" t="s">
        <v>367</v>
      </c>
      <c r="C6592" t="s">
        <v>237</v>
      </c>
      <c r="D6592">
        <v>293598</v>
      </c>
      <c r="E6592">
        <v>270390</v>
      </c>
      <c r="F6592">
        <v>294830</v>
      </c>
      <c r="G6592">
        <v>284543</v>
      </c>
    </row>
    <row r="6593" spans="1:7">
      <c r="A6593" t="s">
        <v>1876</v>
      </c>
      <c r="B6593" t="s">
        <v>367</v>
      </c>
      <c r="C6593" t="s">
        <v>238</v>
      </c>
      <c r="D6593">
        <v>293598</v>
      </c>
      <c r="E6593">
        <v>270390</v>
      </c>
      <c r="F6593">
        <v>294830</v>
      </c>
      <c r="G6593">
        <v>284543</v>
      </c>
    </row>
    <row r="6594" spans="1:7">
      <c r="A6594" t="s">
        <v>1876</v>
      </c>
      <c r="B6594" t="s">
        <v>367</v>
      </c>
      <c r="C6594" t="s">
        <v>1934</v>
      </c>
      <c r="D6594">
        <v>261121</v>
      </c>
      <c r="E6594">
        <v>239112</v>
      </c>
      <c r="F6594">
        <v>261745</v>
      </c>
      <c r="G6594">
        <v>254269</v>
      </c>
    </row>
    <row r="6595" spans="1:7">
      <c r="A6595" t="s">
        <v>1876</v>
      </c>
      <c r="B6595" t="s">
        <v>367</v>
      </c>
      <c r="C6595" t="s">
        <v>1935</v>
      </c>
      <c r="D6595">
        <v>8389</v>
      </c>
      <c r="E6595">
        <v>8607</v>
      </c>
      <c r="F6595">
        <v>8646</v>
      </c>
      <c r="G6595">
        <v>7216</v>
      </c>
    </row>
    <row r="6596" spans="1:7">
      <c r="A6596" t="s">
        <v>1876</v>
      </c>
      <c r="B6596" t="s">
        <v>367</v>
      </c>
      <c r="C6596" t="s">
        <v>1936</v>
      </c>
      <c r="D6596">
        <v>2693</v>
      </c>
      <c r="E6596">
        <v>2798</v>
      </c>
      <c r="F6596">
        <v>2787</v>
      </c>
      <c r="G6596">
        <v>2239</v>
      </c>
    </row>
    <row r="6597" spans="1:7">
      <c r="A6597" t="s">
        <v>1876</v>
      </c>
      <c r="B6597" t="s">
        <v>367</v>
      </c>
      <c r="C6597" t="s">
        <v>239</v>
      </c>
      <c r="D6597">
        <v>272203</v>
      </c>
      <c r="E6597">
        <v>250517</v>
      </c>
      <c r="F6597">
        <v>273178</v>
      </c>
      <c r="G6597">
        <v>263725</v>
      </c>
    </row>
    <row r="6598" spans="1:7">
      <c r="A6598" t="s">
        <v>1876</v>
      </c>
      <c r="B6598" t="s">
        <v>367</v>
      </c>
      <c r="C6598" t="s">
        <v>240</v>
      </c>
      <c r="D6598">
        <v>154</v>
      </c>
      <c r="E6598">
        <v>486</v>
      </c>
      <c r="F6598">
        <v>467</v>
      </c>
      <c r="G6598">
        <v>457</v>
      </c>
    </row>
    <row r="6599" spans="1:7">
      <c r="A6599" t="s">
        <v>1876</v>
      </c>
      <c r="B6599" t="s">
        <v>367</v>
      </c>
      <c r="C6599" t="s">
        <v>241</v>
      </c>
      <c r="D6599">
        <v>0</v>
      </c>
      <c r="E6599">
        <v>0</v>
      </c>
      <c r="F6599">
        <v>0</v>
      </c>
      <c r="G6599">
        <v>0</v>
      </c>
    </row>
    <row r="6600" spans="1:7">
      <c r="A6600" t="s">
        <v>1876</v>
      </c>
      <c r="B6600" t="s">
        <v>367</v>
      </c>
      <c r="C6600" t="s">
        <v>242</v>
      </c>
      <c r="D6600">
        <v>28818</v>
      </c>
      <c r="E6600">
        <v>30465</v>
      </c>
      <c r="F6600">
        <v>28543</v>
      </c>
      <c r="G6600">
        <v>31478</v>
      </c>
    </row>
    <row r="6601" spans="1:7">
      <c r="A6601" t="s">
        <v>1876</v>
      </c>
      <c r="B6601" t="s">
        <v>367</v>
      </c>
      <c r="C6601" t="s">
        <v>243</v>
      </c>
      <c r="D6601">
        <v>68726</v>
      </c>
      <c r="E6601">
        <v>76810</v>
      </c>
      <c r="F6601">
        <v>70620</v>
      </c>
      <c r="G6601">
        <v>71775</v>
      </c>
    </row>
    <row r="6602" spans="1:7">
      <c r="A6602" t="s">
        <v>1876</v>
      </c>
      <c r="B6602" t="s">
        <v>367</v>
      </c>
      <c r="C6602" t="s">
        <v>244</v>
      </c>
      <c r="D6602">
        <v>102660</v>
      </c>
      <c r="E6602">
        <v>100688</v>
      </c>
      <c r="F6602">
        <v>115581</v>
      </c>
      <c r="G6602">
        <v>107022</v>
      </c>
    </row>
    <row r="6603" spans="1:7">
      <c r="A6603" t="s">
        <v>1876</v>
      </c>
      <c r="B6603" t="s">
        <v>367</v>
      </c>
      <c r="C6603" t="s">
        <v>1709</v>
      </c>
      <c r="D6603">
        <v>5694</v>
      </c>
      <c r="E6603">
        <v>5651</v>
      </c>
      <c r="F6603">
        <v>5633</v>
      </c>
      <c r="G6603">
        <v>5629</v>
      </c>
    </row>
    <row r="6604" spans="1:7">
      <c r="A6604" t="s">
        <v>1876</v>
      </c>
      <c r="B6604" t="s">
        <v>367</v>
      </c>
      <c r="C6604" t="s">
        <v>245</v>
      </c>
      <c r="D6604">
        <v>19434</v>
      </c>
      <c r="E6604">
        <v>16824</v>
      </c>
      <c r="F6604">
        <v>15688</v>
      </c>
      <c r="G6604">
        <v>15724</v>
      </c>
    </row>
    <row r="6605" spans="1:7">
      <c r="A6605" t="s">
        <v>1876</v>
      </c>
      <c r="B6605" t="s">
        <v>367</v>
      </c>
      <c r="C6605" t="s">
        <v>246</v>
      </c>
      <c r="D6605">
        <v>79804</v>
      </c>
      <c r="E6605">
        <v>85764</v>
      </c>
      <c r="F6605">
        <v>74444</v>
      </c>
      <c r="G6605">
        <v>76238</v>
      </c>
    </row>
    <row r="6606" spans="1:7">
      <c r="A6606" t="s">
        <v>1876</v>
      </c>
      <c r="B6606" t="s">
        <v>367</v>
      </c>
      <c r="C6606" t="s">
        <v>247</v>
      </c>
      <c r="D6606">
        <v>299442</v>
      </c>
      <c r="E6606">
        <v>310551</v>
      </c>
      <c r="F6606">
        <v>304876</v>
      </c>
      <c r="G6606">
        <v>302236</v>
      </c>
    </row>
    <row r="6607" spans="1:7">
      <c r="A6607" t="s">
        <v>1876</v>
      </c>
      <c r="B6607" t="s">
        <v>367</v>
      </c>
      <c r="C6607" t="s">
        <v>248</v>
      </c>
      <c r="D6607">
        <v>48.5</v>
      </c>
      <c r="E6607">
        <v>50.2</v>
      </c>
      <c r="F6607">
        <v>49.1</v>
      </c>
      <c r="G6607">
        <v>48.4</v>
      </c>
    </row>
    <row r="6608" spans="1:7">
      <c r="A6608" t="s">
        <v>1876</v>
      </c>
      <c r="B6608" t="s">
        <v>367</v>
      </c>
      <c r="C6608" t="s">
        <v>249</v>
      </c>
      <c r="D6608">
        <v>196782</v>
      </c>
      <c r="E6608">
        <v>209863</v>
      </c>
      <c r="F6608">
        <v>189295</v>
      </c>
      <c r="G6608">
        <v>195215</v>
      </c>
    </row>
    <row r="6609" spans="1:7">
      <c r="A6609" t="s">
        <v>1876</v>
      </c>
      <c r="B6609" t="s">
        <v>367</v>
      </c>
      <c r="C6609" t="s">
        <v>250</v>
      </c>
      <c r="D6609">
        <v>299282</v>
      </c>
      <c r="E6609">
        <v>310133</v>
      </c>
      <c r="F6609">
        <v>304669</v>
      </c>
      <c r="G6609">
        <v>301989</v>
      </c>
    </row>
    <row r="6610" spans="1:7">
      <c r="A6610" t="s">
        <v>1876</v>
      </c>
      <c r="B6610" t="s">
        <v>367</v>
      </c>
      <c r="C6610" t="s">
        <v>1937</v>
      </c>
      <c r="D6610">
        <v>5.3</v>
      </c>
      <c r="E6610">
        <v>5.5</v>
      </c>
      <c r="F6610">
        <v>7</v>
      </c>
      <c r="G6610">
        <v>5.3</v>
      </c>
    </row>
    <row r="6611" spans="1:7">
      <c r="A6611" t="s">
        <v>1876</v>
      </c>
      <c r="B6611" t="s">
        <v>367</v>
      </c>
      <c r="C6611" t="s">
        <v>1938</v>
      </c>
      <c r="D6611">
        <v>100.2</v>
      </c>
      <c r="E6611">
        <v>99</v>
      </c>
      <c r="F6611">
        <v>98</v>
      </c>
      <c r="G6611">
        <v>96</v>
      </c>
    </row>
    <row r="6612" spans="1:7">
      <c r="A6612" t="s">
        <v>1876</v>
      </c>
      <c r="B6612" t="s">
        <v>367</v>
      </c>
      <c r="C6612" t="s">
        <v>251</v>
      </c>
      <c r="D6612">
        <v>156369</v>
      </c>
      <c r="E6612">
        <v>154742</v>
      </c>
      <c r="F6612">
        <v>156610</v>
      </c>
      <c r="G6612">
        <v>153763</v>
      </c>
    </row>
    <row r="6613" spans="1:7">
      <c r="A6613" t="s">
        <v>1876</v>
      </c>
      <c r="B6613" t="s">
        <v>367</v>
      </c>
      <c r="C6613" t="s">
        <v>252</v>
      </c>
      <c r="D6613">
        <v>156369</v>
      </c>
      <c r="E6613">
        <v>154742</v>
      </c>
      <c r="F6613">
        <v>156610</v>
      </c>
      <c r="G6613">
        <v>153763</v>
      </c>
    </row>
    <row r="6614" spans="1:7">
      <c r="A6614" t="s">
        <v>1876</v>
      </c>
      <c r="B6614" t="s">
        <v>367</v>
      </c>
      <c r="C6614" t="s">
        <v>1710</v>
      </c>
      <c r="D6614">
        <v>1708</v>
      </c>
      <c r="E6614">
        <v>1708</v>
      </c>
      <c r="F6614">
        <v>1745</v>
      </c>
      <c r="G6614">
        <v>1745</v>
      </c>
    </row>
    <row r="6615" spans="1:7">
      <c r="A6615" t="s">
        <v>1876</v>
      </c>
      <c r="B6615" t="s">
        <v>367</v>
      </c>
      <c r="C6615" t="s">
        <v>1939</v>
      </c>
      <c r="D6615">
        <v>1.6</v>
      </c>
      <c r="E6615">
        <v>2.9</v>
      </c>
      <c r="F6615">
        <v>7.1</v>
      </c>
      <c r="G6615">
        <v>9.1999999999999993</v>
      </c>
    </row>
    <row r="6616" spans="1:7">
      <c r="A6616" t="s">
        <v>1876</v>
      </c>
      <c r="B6616" t="s">
        <v>367</v>
      </c>
      <c r="C6616" t="s">
        <v>253</v>
      </c>
      <c r="D6616">
        <v>0</v>
      </c>
      <c r="E6616">
        <v>0</v>
      </c>
      <c r="F6616">
        <v>0</v>
      </c>
      <c r="G6616">
        <v>0</v>
      </c>
    </row>
    <row r="6617" spans="1:7">
      <c r="A6617" t="s">
        <v>1876</v>
      </c>
      <c r="B6617" t="s">
        <v>367</v>
      </c>
      <c r="C6617" t="s">
        <v>1711</v>
      </c>
      <c r="D6617">
        <v>0</v>
      </c>
      <c r="E6617">
        <v>0</v>
      </c>
      <c r="F6617">
        <v>0</v>
      </c>
      <c r="G6617">
        <v>0</v>
      </c>
    </row>
    <row r="6618" spans="1:7">
      <c r="A6618" t="s">
        <v>1876</v>
      </c>
      <c r="B6618" t="s">
        <v>367</v>
      </c>
      <c r="C6618" t="s">
        <v>1712</v>
      </c>
      <c r="D6618">
        <v>2818</v>
      </c>
      <c r="E6618">
        <v>3279</v>
      </c>
      <c r="F6618">
        <v>3228</v>
      </c>
      <c r="G6618">
        <v>2900</v>
      </c>
    </row>
    <row r="6619" spans="1:7">
      <c r="A6619" t="s">
        <v>1876</v>
      </c>
      <c r="B6619" t="s">
        <v>367</v>
      </c>
      <c r="C6619" t="s">
        <v>1713</v>
      </c>
      <c r="D6619">
        <v>993</v>
      </c>
      <c r="E6619">
        <v>858</v>
      </c>
      <c r="F6619">
        <v>1329</v>
      </c>
      <c r="G6619">
        <v>1404</v>
      </c>
    </row>
    <row r="6620" spans="1:7">
      <c r="A6620" t="s">
        <v>1876</v>
      </c>
      <c r="B6620" t="s">
        <v>367</v>
      </c>
      <c r="C6620" t="s">
        <v>1940</v>
      </c>
      <c r="D6620">
        <v>0</v>
      </c>
      <c r="E6620">
        <v>0</v>
      </c>
      <c r="F6620">
        <v>0</v>
      </c>
      <c r="G6620">
        <v>0</v>
      </c>
    </row>
    <row r="6621" spans="1:7">
      <c r="A6621" t="s">
        <v>1876</v>
      </c>
      <c r="B6621" t="s">
        <v>367</v>
      </c>
      <c r="C6621" t="s">
        <v>1941</v>
      </c>
      <c r="D6621">
        <v>0</v>
      </c>
      <c r="E6621">
        <v>0</v>
      </c>
      <c r="F6621">
        <v>0</v>
      </c>
      <c r="G6621">
        <v>0</v>
      </c>
    </row>
    <row r="6622" spans="1:7">
      <c r="A6622" t="s">
        <v>1876</v>
      </c>
      <c r="B6622" t="s">
        <v>367</v>
      </c>
      <c r="C6622" t="s">
        <v>254</v>
      </c>
      <c r="D6622">
        <v>2818</v>
      </c>
      <c r="E6622">
        <v>3279</v>
      </c>
      <c r="F6622">
        <v>3228</v>
      </c>
      <c r="G6622">
        <v>2900</v>
      </c>
    </row>
    <row r="6623" spans="1:7">
      <c r="A6623" t="s">
        <v>1876</v>
      </c>
      <c r="B6623" t="s">
        <v>367</v>
      </c>
      <c r="C6623" t="s">
        <v>1942</v>
      </c>
      <c r="D6623">
        <v>0</v>
      </c>
      <c r="E6623">
        <v>0</v>
      </c>
      <c r="F6623">
        <v>0</v>
      </c>
      <c r="G6623">
        <v>0</v>
      </c>
    </row>
    <row r="6624" spans="1:7">
      <c r="A6624" t="s">
        <v>1876</v>
      </c>
      <c r="B6624" t="s">
        <v>367</v>
      </c>
      <c r="C6624" t="s">
        <v>255</v>
      </c>
      <c r="D6624">
        <v>3811</v>
      </c>
      <c r="E6624">
        <v>4137</v>
      </c>
      <c r="F6624">
        <v>4557</v>
      </c>
      <c r="G6624">
        <v>4304</v>
      </c>
    </row>
    <row r="6625" spans="1:7">
      <c r="A6625" t="s">
        <v>1876</v>
      </c>
      <c r="B6625" t="s">
        <v>367</v>
      </c>
      <c r="C6625" t="s">
        <v>256</v>
      </c>
      <c r="D6625">
        <v>3811</v>
      </c>
      <c r="E6625">
        <v>4137</v>
      </c>
      <c r="F6625">
        <v>4557</v>
      </c>
      <c r="G6625">
        <v>4304</v>
      </c>
    </row>
    <row r="6626" spans="1:7">
      <c r="A6626" t="s">
        <v>1876</v>
      </c>
      <c r="B6626" t="s">
        <v>367</v>
      </c>
      <c r="C6626" t="s">
        <v>1714</v>
      </c>
      <c r="D6626">
        <v>0</v>
      </c>
      <c r="E6626">
        <v>0</v>
      </c>
      <c r="F6626">
        <v>0</v>
      </c>
      <c r="G6626">
        <v>0</v>
      </c>
    </row>
    <row r="6627" spans="1:7">
      <c r="A6627" t="s">
        <v>1876</v>
      </c>
      <c r="B6627" t="s">
        <v>367</v>
      </c>
      <c r="C6627" t="s">
        <v>257</v>
      </c>
      <c r="D6627">
        <v>16642</v>
      </c>
      <c r="E6627">
        <v>16874</v>
      </c>
      <c r="F6627">
        <v>16147</v>
      </c>
      <c r="G6627">
        <v>15759</v>
      </c>
    </row>
    <row r="6628" spans="1:7">
      <c r="A6628" t="s">
        <v>1876</v>
      </c>
      <c r="B6628" t="s">
        <v>367</v>
      </c>
      <c r="C6628" t="s">
        <v>258</v>
      </c>
      <c r="D6628">
        <v>19841</v>
      </c>
      <c r="E6628">
        <v>19877</v>
      </c>
      <c r="F6628">
        <v>19387</v>
      </c>
      <c r="G6628">
        <v>18938</v>
      </c>
    </row>
    <row r="6629" spans="1:7">
      <c r="A6629" t="s">
        <v>1876</v>
      </c>
      <c r="B6629" t="s">
        <v>367</v>
      </c>
      <c r="C6629" t="s">
        <v>259</v>
      </c>
      <c r="D6629">
        <v>19841</v>
      </c>
      <c r="E6629">
        <v>19877</v>
      </c>
      <c r="F6629">
        <v>19387</v>
      </c>
      <c r="G6629">
        <v>18938</v>
      </c>
    </row>
    <row r="6630" spans="1:7">
      <c r="A6630" t="s">
        <v>1876</v>
      </c>
      <c r="B6630" t="s">
        <v>367</v>
      </c>
      <c r="C6630" t="s">
        <v>260</v>
      </c>
      <c r="D6630">
        <v>387239</v>
      </c>
      <c r="E6630">
        <v>361660</v>
      </c>
      <c r="F6630">
        <v>391538</v>
      </c>
      <c r="G6630">
        <v>380055</v>
      </c>
    </row>
    <row r="6631" spans="1:7">
      <c r="A6631" t="s">
        <v>1876</v>
      </c>
      <c r="B6631" t="s">
        <v>367</v>
      </c>
      <c r="C6631" t="s">
        <v>1943</v>
      </c>
      <c r="D6631">
        <v>1.1000000000000001</v>
      </c>
      <c r="E6631">
        <v>1.5</v>
      </c>
      <c r="F6631">
        <v>1.2</v>
      </c>
      <c r="G6631">
        <v>1.7</v>
      </c>
    </row>
    <row r="6632" spans="1:7">
      <c r="A6632" t="s">
        <v>1876</v>
      </c>
      <c r="B6632" t="s">
        <v>367</v>
      </c>
      <c r="C6632" t="s">
        <v>261</v>
      </c>
      <c r="D6632">
        <v>19829</v>
      </c>
      <c r="E6632">
        <v>20219</v>
      </c>
      <c r="F6632">
        <v>19022</v>
      </c>
      <c r="G6632">
        <v>17198</v>
      </c>
    </row>
    <row r="6633" spans="1:7">
      <c r="A6633" t="s">
        <v>1876</v>
      </c>
      <c r="B6633" t="s">
        <v>367</v>
      </c>
      <c r="C6633" t="s">
        <v>262</v>
      </c>
      <c r="D6633">
        <v>1143</v>
      </c>
      <c r="E6633">
        <v>1928</v>
      </c>
      <c r="F6633">
        <v>1108</v>
      </c>
      <c r="G6633">
        <v>4633</v>
      </c>
    </row>
    <row r="6634" spans="1:7">
      <c r="A6634" t="s">
        <v>1876</v>
      </c>
      <c r="B6634" t="s">
        <v>367</v>
      </c>
      <c r="C6634" t="s">
        <v>1715</v>
      </c>
      <c r="D6634">
        <v>1314</v>
      </c>
      <c r="E6634">
        <v>1351</v>
      </c>
      <c r="F6634">
        <v>1656</v>
      </c>
      <c r="G6634">
        <v>1546</v>
      </c>
    </row>
    <row r="6635" spans="1:7">
      <c r="A6635" t="s">
        <v>1876</v>
      </c>
      <c r="B6635" t="s">
        <v>367</v>
      </c>
      <c r="C6635" t="s">
        <v>263</v>
      </c>
      <c r="D6635">
        <v>27708</v>
      </c>
      <c r="E6635">
        <v>27955</v>
      </c>
      <c r="F6635">
        <v>26693</v>
      </c>
      <c r="G6635">
        <v>25713</v>
      </c>
    </row>
    <row r="6636" spans="1:7">
      <c r="A6636" t="s">
        <v>1876</v>
      </c>
      <c r="B6636" t="s">
        <v>367</v>
      </c>
      <c r="C6636" t="s">
        <v>264</v>
      </c>
      <c r="D6636">
        <v>21024</v>
      </c>
      <c r="E6636">
        <v>21455</v>
      </c>
      <c r="F6636">
        <v>19546</v>
      </c>
      <c r="G6636">
        <v>19569</v>
      </c>
    </row>
    <row r="6637" spans="1:7">
      <c r="A6637" t="s">
        <v>1876</v>
      </c>
      <c r="B6637" t="s">
        <v>367</v>
      </c>
      <c r="C6637" t="s">
        <v>265</v>
      </c>
      <c r="D6637">
        <v>456943</v>
      </c>
      <c r="E6637">
        <v>433215</v>
      </c>
      <c r="F6637">
        <v>457907</v>
      </c>
      <c r="G6637">
        <v>447168</v>
      </c>
    </row>
    <row r="6638" spans="1:7">
      <c r="A6638" t="s">
        <v>1876</v>
      </c>
      <c r="B6638" t="s">
        <v>367</v>
      </c>
      <c r="C6638" t="s">
        <v>266</v>
      </c>
      <c r="D6638">
        <v>74</v>
      </c>
      <c r="E6638">
        <v>70.099999999999994</v>
      </c>
      <c r="F6638">
        <v>73.8</v>
      </c>
      <c r="G6638">
        <v>71.599999999999994</v>
      </c>
    </row>
    <row r="6639" spans="1:7">
      <c r="A6639" t="s">
        <v>1876</v>
      </c>
      <c r="B6639" t="s">
        <v>367</v>
      </c>
      <c r="C6639" t="s">
        <v>267</v>
      </c>
      <c r="D6639">
        <v>455801</v>
      </c>
      <c r="E6639">
        <v>431288</v>
      </c>
      <c r="F6639">
        <v>456799</v>
      </c>
      <c r="G6639">
        <v>442535</v>
      </c>
    </row>
    <row r="6640" spans="1:7">
      <c r="A6640" t="s">
        <v>1876</v>
      </c>
      <c r="B6640" t="s">
        <v>367</v>
      </c>
      <c r="C6640" t="s">
        <v>268</v>
      </c>
      <c r="D6640">
        <v>0</v>
      </c>
      <c r="E6640">
        <v>0</v>
      </c>
      <c r="F6640">
        <v>0</v>
      </c>
      <c r="G6640">
        <v>0</v>
      </c>
    </row>
    <row r="6641" spans="1:7">
      <c r="A6641" t="s">
        <v>1876</v>
      </c>
      <c r="B6641" t="s">
        <v>367</v>
      </c>
      <c r="C6641" t="s">
        <v>269</v>
      </c>
      <c r="D6641">
        <v>0</v>
      </c>
      <c r="E6641">
        <v>0</v>
      </c>
      <c r="F6641">
        <v>0</v>
      </c>
      <c r="G6641">
        <v>0</v>
      </c>
    </row>
    <row r="6642" spans="1:7">
      <c r="A6642" t="s">
        <v>1876</v>
      </c>
      <c r="B6642" t="s">
        <v>367</v>
      </c>
      <c r="C6642" t="s">
        <v>270</v>
      </c>
      <c r="D6642">
        <v>0</v>
      </c>
      <c r="E6642">
        <v>0</v>
      </c>
      <c r="F6642">
        <v>0</v>
      </c>
      <c r="G6642">
        <v>0</v>
      </c>
    </row>
    <row r="6643" spans="1:7">
      <c r="A6643" t="s">
        <v>1876</v>
      </c>
      <c r="B6643" t="s">
        <v>367</v>
      </c>
      <c r="C6643" t="s">
        <v>271</v>
      </c>
      <c r="D6643">
        <v>0</v>
      </c>
      <c r="E6643">
        <v>0</v>
      </c>
      <c r="F6643">
        <v>0</v>
      </c>
      <c r="G6643">
        <v>0</v>
      </c>
    </row>
    <row r="6644" spans="1:7">
      <c r="A6644" t="s">
        <v>1876</v>
      </c>
      <c r="B6644" t="s">
        <v>367</v>
      </c>
      <c r="C6644" t="s">
        <v>272</v>
      </c>
      <c r="D6644">
        <v>0</v>
      </c>
      <c r="E6644">
        <v>0</v>
      </c>
      <c r="F6644">
        <v>0</v>
      </c>
      <c r="G6644">
        <v>0</v>
      </c>
    </row>
    <row r="6645" spans="1:7">
      <c r="A6645" t="s">
        <v>1876</v>
      </c>
      <c r="B6645" t="s">
        <v>367</v>
      </c>
      <c r="C6645" t="s">
        <v>1944</v>
      </c>
      <c r="D6645">
        <v>16.8</v>
      </c>
      <c r="E6645">
        <v>21.2</v>
      </c>
      <c r="F6645">
        <v>27.6</v>
      </c>
      <c r="G6645">
        <v>35.299999999999997</v>
      </c>
    </row>
    <row r="6646" spans="1:7">
      <c r="A6646" t="s">
        <v>1876</v>
      </c>
      <c r="B6646" t="s">
        <v>367</v>
      </c>
      <c r="C6646" t="s">
        <v>1945</v>
      </c>
      <c r="D6646">
        <v>26</v>
      </c>
      <c r="E6646">
        <v>36</v>
      </c>
      <c r="F6646">
        <v>69</v>
      </c>
      <c r="G6646">
        <v>84</v>
      </c>
    </row>
    <row r="6647" spans="1:7">
      <c r="A6647" t="s">
        <v>1876</v>
      </c>
      <c r="B6647" t="s">
        <v>367</v>
      </c>
      <c r="C6647" t="s">
        <v>273</v>
      </c>
      <c r="D6647">
        <v>0</v>
      </c>
      <c r="E6647">
        <v>0</v>
      </c>
      <c r="F6647">
        <v>0</v>
      </c>
      <c r="G6647">
        <v>0</v>
      </c>
    </row>
    <row r="6648" spans="1:7">
      <c r="A6648" t="s">
        <v>1876</v>
      </c>
      <c r="B6648" t="s">
        <v>367</v>
      </c>
      <c r="C6648" t="s">
        <v>1946</v>
      </c>
      <c r="D6648">
        <v>364986</v>
      </c>
      <c r="E6648">
        <v>341228</v>
      </c>
      <c r="F6648">
        <v>368680</v>
      </c>
      <c r="G6648">
        <v>357820</v>
      </c>
    </row>
    <row r="6649" spans="1:7">
      <c r="A6649" t="s">
        <v>1876</v>
      </c>
      <c r="B6649" t="s">
        <v>367</v>
      </c>
      <c r="C6649" t="s">
        <v>1947</v>
      </c>
      <c r="D6649">
        <v>19169</v>
      </c>
      <c r="E6649">
        <v>19536</v>
      </c>
      <c r="F6649">
        <v>18337</v>
      </c>
      <c r="G6649">
        <v>16628</v>
      </c>
    </row>
    <row r="6650" spans="1:7">
      <c r="A6650" t="s">
        <v>1876</v>
      </c>
      <c r="B6650" t="s">
        <v>367</v>
      </c>
      <c r="C6650" t="s">
        <v>1948</v>
      </c>
      <c r="D6650">
        <v>1143</v>
      </c>
      <c r="E6650">
        <v>1928</v>
      </c>
      <c r="F6650">
        <v>1108</v>
      </c>
      <c r="G6650">
        <v>4633</v>
      </c>
    </row>
    <row r="6651" spans="1:7">
      <c r="A6651" t="s">
        <v>1876</v>
      </c>
      <c r="B6651" t="s">
        <v>367</v>
      </c>
      <c r="C6651" t="s">
        <v>1949</v>
      </c>
      <c r="D6651">
        <v>27496</v>
      </c>
      <c r="E6651">
        <v>27733</v>
      </c>
      <c r="F6651">
        <v>26472</v>
      </c>
      <c r="G6651">
        <v>25536</v>
      </c>
    </row>
    <row r="6652" spans="1:7">
      <c r="A6652" t="s">
        <v>1876</v>
      </c>
      <c r="B6652" t="s">
        <v>367</v>
      </c>
      <c r="C6652" t="s">
        <v>1950</v>
      </c>
      <c r="D6652">
        <v>21024</v>
      </c>
      <c r="E6652">
        <v>21455</v>
      </c>
      <c r="F6652">
        <v>19546</v>
      </c>
      <c r="G6652">
        <v>19569</v>
      </c>
    </row>
    <row r="6653" spans="1:7">
      <c r="A6653" t="s">
        <v>1876</v>
      </c>
      <c r="B6653" t="s">
        <v>367</v>
      </c>
      <c r="C6653" t="s">
        <v>274</v>
      </c>
      <c r="D6653">
        <v>433819</v>
      </c>
      <c r="E6653">
        <v>411879</v>
      </c>
      <c r="F6653">
        <v>434143</v>
      </c>
      <c r="G6653">
        <v>424187</v>
      </c>
    </row>
    <row r="6654" spans="1:7">
      <c r="A6654" t="s">
        <v>1876</v>
      </c>
      <c r="B6654" t="s">
        <v>367</v>
      </c>
      <c r="C6654" t="s">
        <v>275</v>
      </c>
      <c r="D6654">
        <v>0</v>
      </c>
      <c r="E6654">
        <v>0</v>
      </c>
      <c r="F6654">
        <v>0</v>
      </c>
      <c r="G6654">
        <v>0</v>
      </c>
    </row>
    <row r="6655" spans="1:7">
      <c r="A6655" t="s">
        <v>1876</v>
      </c>
      <c r="B6655" t="s">
        <v>367</v>
      </c>
      <c r="C6655" t="s">
        <v>276</v>
      </c>
      <c r="D6655">
        <v>0</v>
      </c>
      <c r="E6655">
        <v>0</v>
      </c>
      <c r="F6655">
        <v>0</v>
      </c>
      <c r="G6655">
        <v>0</v>
      </c>
    </row>
    <row r="6656" spans="1:7">
      <c r="A6656" t="s">
        <v>1876</v>
      </c>
      <c r="B6656" t="s">
        <v>367</v>
      </c>
      <c r="C6656" t="s">
        <v>277</v>
      </c>
      <c r="D6656">
        <v>112</v>
      </c>
      <c r="E6656">
        <v>172</v>
      </c>
      <c r="F6656">
        <v>173</v>
      </c>
      <c r="G6656">
        <v>160</v>
      </c>
    </row>
    <row r="6657" spans="1:7">
      <c r="A6657" t="s">
        <v>1876</v>
      </c>
      <c r="B6657" t="s">
        <v>367</v>
      </c>
      <c r="C6657" t="s">
        <v>278</v>
      </c>
      <c r="D6657">
        <v>3357</v>
      </c>
      <c r="E6657">
        <v>3332</v>
      </c>
      <c r="F6657">
        <v>2661</v>
      </c>
      <c r="G6657">
        <v>2308</v>
      </c>
    </row>
    <row r="6658" spans="1:7">
      <c r="A6658" t="s">
        <v>1876</v>
      </c>
      <c r="B6658" t="s">
        <v>367</v>
      </c>
      <c r="C6658" t="s">
        <v>279</v>
      </c>
      <c r="D6658">
        <v>2170</v>
      </c>
      <c r="E6658">
        <v>2002</v>
      </c>
      <c r="F6658">
        <v>1635</v>
      </c>
      <c r="G6658">
        <v>1804</v>
      </c>
    </row>
    <row r="6659" spans="1:7">
      <c r="A6659" t="s">
        <v>1876</v>
      </c>
      <c r="B6659" t="s">
        <v>367</v>
      </c>
      <c r="C6659" t="s">
        <v>280</v>
      </c>
      <c r="D6659">
        <v>6783</v>
      </c>
      <c r="E6659">
        <v>6700</v>
      </c>
      <c r="F6659">
        <v>5839</v>
      </c>
      <c r="G6659">
        <v>6047</v>
      </c>
    </row>
    <row r="6660" spans="1:7">
      <c r="A6660" t="s">
        <v>1876</v>
      </c>
      <c r="B6660" t="s">
        <v>367</v>
      </c>
      <c r="C6660" t="s">
        <v>281</v>
      </c>
      <c r="D6660">
        <v>12422</v>
      </c>
      <c r="E6660">
        <v>12207</v>
      </c>
      <c r="F6660">
        <v>10308</v>
      </c>
      <c r="G6660">
        <v>10319</v>
      </c>
    </row>
    <row r="6661" spans="1:7">
      <c r="A6661" t="s">
        <v>1876</v>
      </c>
      <c r="B6661" t="s">
        <v>367</v>
      </c>
      <c r="C6661" t="s">
        <v>282</v>
      </c>
      <c r="D6661">
        <v>12422</v>
      </c>
      <c r="E6661">
        <v>12207</v>
      </c>
      <c r="F6661">
        <v>10308</v>
      </c>
      <c r="G6661">
        <v>10319</v>
      </c>
    </row>
    <row r="6662" spans="1:7">
      <c r="A6662" t="s">
        <v>1876</v>
      </c>
      <c r="B6662" t="s">
        <v>367</v>
      </c>
      <c r="C6662" t="s">
        <v>283</v>
      </c>
      <c r="D6662">
        <v>0</v>
      </c>
      <c r="E6662">
        <v>0</v>
      </c>
      <c r="F6662">
        <v>0</v>
      </c>
      <c r="G6662">
        <v>0</v>
      </c>
    </row>
    <row r="6663" spans="1:7">
      <c r="A6663" t="s">
        <v>1876</v>
      </c>
      <c r="B6663" t="s">
        <v>367</v>
      </c>
      <c r="C6663" t="s">
        <v>284</v>
      </c>
      <c r="D6663">
        <v>0</v>
      </c>
      <c r="E6663">
        <v>0</v>
      </c>
      <c r="F6663">
        <v>0</v>
      </c>
      <c r="G6663">
        <v>0</v>
      </c>
    </row>
    <row r="6664" spans="1:7">
      <c r="A6664" t="s">
        <v>1876</v>
      </c>
      <c r="B6664" t="s">
        <v>367</v>
      </c>
      <c r="C6664" t="s">
        <v>1716</v>
      </c>
      <c r="D6664">
        <v>22253</v>
      </c>
      <c r="E6664">
        <v>20432</v>
      </c>
      <c r="F6664">
        <v>22858</v>
      </c>
      <c r="G6664">
        <v>22235</v>
      </c>
    </row>
    <row r="6665" spans="1:7">
      <c r="A6665" t="s">
        <v>1876</v>
      </c>
      <c r="B6665" t="s">
        <v>367</v>
      </c>
      <c r="C6665" t="s">
        <v>1717</v>
      </c>
      <c r="D6665">
        <v>3258</v>
      </c>
      <c r="E6665">
        <v>3313</v>
      </c>
      <c r="F6665">
        <v>3010</v>
      </c>
      <c r="G6665">
        <v>2667</v>
      </c>
    </row>
    <row r="6666" spans="1:7">
      <c r="A6666" t="s">
        <v>1876</v>
      </c>
      <c r="B6666" t="s">
        <v>367</v>
      </c>
      <c r="C6666" t="s">
        <v>1718</v>
      </c>
      <c r="D6666">
        <v>17780</v>
      </c>
      <c r="E6666">
        <v>15919</v>
      </c>
      <c r="F6666">
        <v>16969</v>
      </c>
      <c r="G6666">
        <v>18079</v>
      </c>
    </row>
    <row r="6667" spans="1:7">
      <c r="A6667" t="s">
        <v>1876</v>
      </c>
      <c r="B6667" t="s">
        <v>367</v>
      </c>
      <c r="C6667" t="s">
        <v>1719</v>
      </c>
      <c r="D6667">
        <v>1321</v>
      </c>
      <c r="E6667">
        <v>1432</v>
      </c>
      <c r="F6667">
        <v>1429</v>
      </c>
      <c r="G6667">
        <v>1515</v>
      </c>
    </row>
    <row r="6668" spans="1:7">
      <c r="A6668" t="s">
        <v>1876</v>
      </c>
      <c r="B6668" t="s">
        <v>367</v>
      </c>
      <c r="C6668" t="s">
        <v>1720</v>
      </c>
      <c r="D6668">
        <v>1103</v>
      </c>
      <c r="E6668">
        <v>1273</v>
      </c>
      <c r="F6668">
        <v>1276</v>
      </c>
      <c r="G6668">
        <v>1205</v>
      </c>
    </row>
    <row r="6669" spans="1:7">
      <c r="A6669" t="s">
        <v>1876</v>
      </c>
      <c r="B6669" t="s">
        <v>367</v>
      </c>
      <c r="C6669" t="s">
        <v>1721</v>
      </c>
      <c r="D6669">
        <v>8335</v>
      </c>
      <c r="E6669">
        <v>10494</v>
      </c>
      <c r="F6669">
        <v>9901</v>
      </c>
      <c r="G6669">
        <v>9847</v>
      </c>
    </row>
    <row r="6670" spans="1:7">
      <c r="A6670" t="s">
        <v>1876</v>
      </c>
      <c r="B6670" t="s">
        <v>367</v>
      </c>
      <c r="C6670" t="s">
        <v>285</v>
      </c>
      <c r="D6670">
        <v>52729</v>
      </c>
      <c r="E6670">
        <v>51430</v>
      </c>
      <c r="F6670">
        <v>54014</v>
      </c>
      <c r="G6670">
        <v>54033</v>
      </c>
    </row>
    <row r="6671" spans="1:7">
      <c r="A6671" t="s">
        <v>1876</v>
      </c>
      <c r="B6671" t="s">
        <v>367</v>
      </c>
      <c r="C6671" t="s">
        <v>1951</v>
      </c>
      <c r="D6671">
        <v>4.3</v>
      </c>
      <c r="E6671">
        <v>4.3</v>
      </c>
      <c r="F6671">
        <v>4.5</v>
      </c>
      <c r="G6671">
        <v>4.5</v>
      </c>
    </row>
    <row r="6672" spans="1:7">
      <c r="A6672" t="s">
        <v>1876</v>
      </c>
      <c r="B6672" t="s">
        <v>367</v>
      </c>
      <c r="C6672" t="s">
        <v>286</v>
      </c>
      <c r="D6672">
        <v>569</v>
      </c>
      <c r="E6672">
        <v>584</v>
      </c>
      <c r="F6672">
        <v>484</v>
      </c>
      <c r="G6672">
        <v>524</v>
      </c>
    </row>
    <row r="6673" spans="1:7">
      <c r="A6673" t="s">
        <v>1876</v>
      </c>
      <c r="B6673" t="s">
        <v>367</v>
      </c>
      <c r="C6673" t="s">
        <v>287</v>
      </c>
      <c r="D6673">
        <v>31</v>
      </c>
      <c r="E6673">
        <v>32</v>
      </c>
      <c r="F6673">
        <v>26</v>
      </c>
      <c r="G6673">
        <v>29</v>
      </c>
    </row>
    <row r="6674" spans="1:7">
      <c r="A6674" t="s">
        <v>1876</v>
      </c>
      <c r="B6674" t="s">
        <v>367</v>
      </c>
      <c r="C6674" t="s">
        <v>288</v>
      </c>
      <c r="D6674">
        <v>218</v>
      </c>
      <c r="E6674">
        <v>541</v>
      </c>
      <c r="F6674">
        <v>595</v>
      </c>
      <c r="G6674">
        <v>92</v>
      </c>
    </row>
    <row r="6675" spans="1:7">
      <c r="A6675" t="s">
        <v>1876</v>
      </c>
      <c r="B6675" t="s">
        <v>367</v>
      </c>
      <c r="C6675" t="s">
        <v>289</v>
      </c>
      <c r="D6675">
        <v>56</v>
      </c>
      <c r="E6675">
        <v>58</v>
      </c>
      <c r="F6675">
        <v>48</v>
      </c>
      <c r="G6675">
        <v>52</v>
      </c>
    </row>
    <row r="6676" spans="1:7">
      <c r="A6676" t="s">
        <v>1876</v>
      </c>
      <c r="B6676" t="s">
        <v>367</v>
      </c>
      <c r="C6676" t="s">
        <v>290</v>
      </c>
      <c r="D6676">
        <v>875</v>
      </c>
      <c r="E6676">
        <v>1214</v>
      </c>
      <c r="F6676">
        <v>1154</v>
      </c>
      <c r="G6676">
        <v>697</v>
      </c>
    </row>
    <row r="6677" spans="1:7">
      <c r="A6677" t="s">
        <v>1876</v>
      </c>
      <c r="B6677" t="s">
        <v>367</v>
      </c>
      <c r="C6677" t="s">
        <v>291</v>
      </c>
      <c r="D6677">
        <v>657</v>
      </c>
      <c r="E6677">
        <v>673</v>
      </c>
      <c r="F6677">
        <v>559</v>
      </c>
      <c r="G6677">
        <v>605</v>
      </c>
    </row>
    <row r="6678" spans="1:7">
      <c r="A6678" t="s">
        <v>1876</v>
      </c>
      <c r="B6678" t="s">
        <v>367</v>
      </c>
      <c r="C6678" t="s">
        <v>292</v>
      </c>
      <c r="D6678">
        <v>41</v>
      </c>
      <c r="E6678">
        <v>115</v>
      </c>
      <c r="F6678">
        <v>53</v>
      </c>
      <c r="G6678">
        <v>66</v>
      </c>
    </row>
    <row r="6679" spans="1:7">
      <c r="A6679" t="s">
        <v>1876</v>
      </c>
      <c r="B6679" t="s">
        <v>367</v>
      </c>
      <c r="C6679" t="s">
        <v>293</v>
      </c>
      <c r="D6679">
        <v>61</v>
      </c>
      <c r="E6679">
        <v>150</v>
      </c>
      <c r="F6679">
        <v>86</v>
      </c>
      <c r="G6679">
        <v>98</v>
      </c>
    </row>
    <row r="6680" spans="1:7">
      <c r="A6680" t="s">
        <v>1876</v>
      </c>
      <c r="B6680" t="s">
        <v>367</v>
      </c>
      <c r="C6680" t="s">
        <v>294</v>
      </c>
      <c r="D6680">
        <v>12</v>
      </c>
      <c r="E6680">
        <v>25</v>
      </c>
      <c r="F6680">
        <v>12</v>
      </c>
      <c r="G6680">
        <v>14</v>
      </c>
    </row>
    <row r="6681" spans="1:7">
      <c r="A6681" t="s">
        <v>1876</v>
      </c>
      <c r="B6681" t="s">
        <v>367</v>
      </c>
      <c r="C6681" t="s">
        <v>295</v>
      </c>
      <c r="D6681">
        <v>47</v>
      </c>
      <c r="E6681">
        <v>128</v>
      </c>
      <c r="F6681">
        <v>56</v>
      </c>
      <c r="G6681">
        <v>70</v>
      </c>
    </row>
    <row r="6682" spans="1:7">
      <c r="A6682" t="s">
        <v>1876</v>
      </c>
      <c r="B6682" t="s">
        <v>367</v>
      </c>
      <c r="C6682" t="s">
        <v>296</v>
      </c>
      <c r="D6682">
        <v>161</v>
      </c>
      <c r="E6682">
        <v>418</v>
      </c>
      <c r="F6682">
        <v>207</v>
      </c>
      <c r="G6682">
        <v>247</v>
      </c>
    </row>
    <row r="6683" spans="1:7">
      <c r="A6683" t="s">
        <v>1876</v>
      </c>
      <c r="B6683" t="s">
        <v>367</v>
      </c>
      <c r="C6683" t="s">
        <v>297</v>
      </c>
      <c r="D6683">
        <v>0</v>
      </c>
      <c r="E6683">
        <v>0</v>
      </c>
      <c r="F6683">
        <v>0</v>
      </c>
      <c r="G6683">
        <v>0</v>
      </c>
    </row>
    <row r="6684" spans="1:7">
      <c r="A6684" t="s">
        <v>1876</v>
      </c>
      <c r="B6684" t="s">
        <v>367</v>
      </c>
      <c r="C6684" t="s">
        <v>1952</v>
      </c>
      <c r="D6684">
        <v>0</v>
      </c>
      <c r="E6684">
        <v>0</v>
      </c>
      <c r="F6684">
        <v>0</v>
      </c>
      <c r="G6684">
        <v>0</v>
      </c>
    </row>
    <row r="6685" spans="1:7">
      <c r="A6685" t="s">
        <v>1876</v>
      </c>
      <c r="B6685" t="s">
        <v>367</v>
      </c>
      <c r="C6685" t="s">
        <v>298</v>
      </c>
      <c r="D6685">
        <v>2600</v>
      </c>
      <c r="E6685">
        <v>2679</v>
      </c>
      <c r="F6685">
        <v>2682</v>
      </c>
      <c r="G6685">
        <v>2345</v>
      </c>
    </row>
    <row r="6686" spans="1:7">
      <c r="A6686" t="s">
        <v>1876</v>
      </c>
      <c r="B6686" t="s">
        <v>367</v>
      </c>
      <c r="C6686" t="s">
        <v>299</v>
      </c>
      <c r="D6686">
        <v>1052</v>
      </c>
      <c r="E6686">
        <v>1143</v>
      </c>
      <c r="F6686">
        <v>1083</v>
      </c>
      <c r="G6686">
        <v>1086</v>
      </c>
    </row>
    <row r="6687" spans="1:7">
      <c r="A6687" t="s">
        <v>1876</v>
      </c>
      <c r="B6687" t="s">
        <v>367</v>
      </c>
      <c r="C6687" t="s">
        <v>300</v>
      </c>
      <c r="D6687">
        <v>2100</v>
      </c>
      <c r="E6687">
        <v>2369</v>
      </c>
      <c r="F6687">
        <v>3144</v>
      </c>
      <c r="G6687">
        <v>3493</v>
      </c>
    </row>
    <row r="6688" spans="1:7">
      <c r="A6688" t="s">
        <v>1876</v>
      </c>
      <c r="B6688" t="s">
        <v>367</v>
      </c>
      <c r="C6688" t="s">
        <v>1722</v>
      </c>
      <c r="D6688">
        <v>403</v>
      </c>
      <c r="E6688">
        <v>512</v>
      </c>
      <c r="F6688">
        <v>584</v>
      </c>
      <c r="G6688">
        <v>671</v>
      </c>
    </row>
    <row r="6689" spans="1:7">
      <c r="A6689" t="s">
        <v>1876</v>
      </c>
      <c r="B6689" t="s">
        <v>367</v>
      </c>
      <c r="C6689" t="s">
        <v>301</v>
      </c>
      <c r="D6689">
        <v>96</v>
      </c>
      <c r="E6689">
        <v>98</v>
      </c>
      <c r="F6689">
        <v>104</v>
      </c>
      <c r="G6689">
        <v>105</v>
      </c>
    </row>
    <row r="6690" spans="1:7">
      <c r="A6690" t="s">
        <v>1876</v>
      </c>
      <c r="B6690" t="s">
        <v>367</v>
      </c>
      <c r="C6690" t="s">
        <v>302</v>
      </c>
      <c r="D6690">
        <v>2521</v>
      </c>
      <c r="E6690">
        <v>3316</v>
      </c>
      <c r="F6690">
        <v>3714</v>
      </c>
      <c r="G6690">
        <v>4012</v>
      </c>
    </row>
    <row r="6691" spans="1:7">
      <c r="A6691" t="s">
        <v>1876</v>
      </c>
      <c r="B6691" t="s">
        <v>367</v>
      </c>
      <c r="C6691" t="s">
        <v>303</v>
      </c>
      <c r="D6691">
        <v>5769</v>
      </c>
      <c r="E6691">
        <v>6927</v>
      </c>
      <c r="F6691">
        <v>8045</v>
      </c>
      <c r="G6691">
        <v>8696</v>
      </c>
    </row>
    <row r="6692" spans="1:7">
      <c r="A6692" t="s">
        <v>1876</v>
      </c>
      <c r="B6692" t="s">
        <v>367</v>
      </c>
      <c r="C6692" t="s">
        <v>304</v>
      </c>
      <c r="D6692">
        <v>3669</v>
      </c>
      <c r="E6692">
        <v>4558</v>
      </c>
      <c r="F6692">
        <v>4901</v>
      </c>
      <c r="G6692">
        <v>5203</v>
      </c>
    </row>
    <row r="6693" spans="1:7">
      <c r="A6693" t="s">
        <v>1876</v>
      </c>
      <c r="B6693" t="s">
        <v>367</v>
      </c>
      <c r="C6693" t="s">
        <v>1953</v>
      </c>
      <c r="D6693">
        <v>19.100000000000001</v>
      </c>
      <c r="E6693">
        <v>19</v>
      </c>
      <c r="F6693">
        <v>19.399999999999999</v>
      </c>
      <c r="G6693">
        <v>19.100000000000001</v>
      </c>
    </row>
    <row r="6694" spans="1:7">
      <c r="A6694" t="s">
        <v>1876</v>
      </c>
      <c r="B6694" t="s">
        <v>367</v>
      </c>
      <c r="C6694" t="s">
        <v>305</v>
      </c>
      <c r="D6694">
        <v>419949</v>
      </c>
      <c r="E6694">
        <v>395697</v>
      </c>
      <c r="F6694">
        <v>423798</v>
      </c>
      <c r="G6694">
        <v>415363</v>
      </c>
    </row>
    <row r="6695" spans="1:7">
      <c r="A6695" t="s">
        <v>1876</v>
      </c>
      <c r="B6695" t="s">
        <v>367</v>
      </c>
      <c r="C6695" t="s">
        <v>306</v>
      </c>
      <c r="D6695">
        <v>68</v>
      </c>
      <c r="E6695">
        <v>64</v>
      </c>
      <c r="F6695">
        <v>68.3</v>
      </c>
      <c r="G6695">
        <v>66.5</v>
      </c>
    </row>
    <row r="6696" spans="1:7">
      <c r="A6696" t="s">
        <v>1876</v>
      </c>
      <c r="B6696" t="s">
        <v>367</v>
      </c>
      <c r="C6696" t="s">
        <v>307</v>
      </c>
      <c r="D6696">
        <v>344086</v>
      </c>
      <c r="E6696">
        <v>351022</v>
      </c>
      <c r="F6696">
        <v>338381</v>
      </c>
      <c r="G6696">
        <v>346723</v>
      </c>
    </row>
    <row r="6697" spans="1:7">
      <c r="A6697" t="s">
        <v>1876</v>
      </c>
      <c r="B6697" t="s">
        <v>367</v>
      </c>
      <c r="C6697" t="s">
        <v>308</v>
      </c>
      <c r="D6697">
        <v>55.7</v>
      </c>
      <c r="E6697">
        <v>56.8</v>
      </c>
      <c r="F6697">
        <v>54.5</v>
      </c>
      <c r="G6697">
        <v>55.5</v>
      </c>
    </row>
    <row r="6698" spans="1:7">
      <c r="A6698" t="s">
        <v>1876</v>
      </c>
      <c r="B6698" t="s">
        <v>367</v>
      </c>
      <c r="C6698" t="s">
        <v>309</v>
      </c>
      <c r="D6698">
        <v>337557</v>
      </c>
      <c r="E6698">
        <v>325616</v>
      </c>
      <c r="F6698">
        <v>311961</v>
      </c>
      <c r="G6698">
        <v>312844</v>
      </c>
    </row>
    <row r="6699" spans="1:7">
      <c r="A6699" t="s">
        <v>1876</v>
      </c>
      <c r="B6699" t="s">
        <v>367</v>
      </c>
      <c r="C6699" t="s">
        <v>310</v>
      </c>
      <c r="D6699">
        <v>89630</v>
      </c>
      <c r="E6699">
        <v>88034</v>
      </c>
      <c r="F6699">
        <v>83467</v>
      </c>
      <c r="G6699">
        <v>82293</v>
      </c>
    </row>
    <row r="6700" spans="1:7">
      <c r="A6700" t="s">
        <v>1876</v>
      </c>
      <c r="B6700" t="s">
        <v>367</v>
      </c>
      <c r="C6700" t="s">
        <v>311</v>
      </c>
      <c r="D6700">
        <v>14.5</v>
      </c>
      <c r="E6700">
        <v>14.2</v>
      </c>
      <c r="F6700">
        <v>13.5</v>
      </c>
      <c r="G6700">
        <v>13.2</v>
      </c>
    </row>
    <row r="6701" spans="1:7">
      <c r="A6701" t="s">
        <v>1876</v>
      </c>
      <c r="B6701" t="s">
        <v>367</v>
      </c>
      <c r="C6701" t="s">
        <v>312</v>
      </c>
      <c r="D6701">
        <v>366954</v>
      </c>
      <c r="E6701">
        <v>373085</v>
      </c>
      <c r="F6701">
        <v>341613</v>
      </c>
      <c r="G6701">
        <v>357197</v>
      </c>
    </row>
    <row r="6702" spans="1:7">
      <c r="A6702" t="s">
        <v>1876</v>
      </c>
      <c r="B6702" t="s">
        <v>367</v>
      </c>
      <c r="C6702" t="s">
        <v>313</v>
      </c>
      <c r="D6702">
        <v>59.4</v>
      </c>
      <c r="E6702">
        <v>60.3</v>
      </c>
      <c r="F6702">
        <v>55.1</v>
      </c>
      <c r="G6702">
        <v>57.2</v>
      </c>
    </row>
    <row r="6703" spans="1:7">
      <c r="A6703" t="s">
        <v>1876</v>
      </c>
      <c r="B6703" t="s">
        <v>367</v>
      </c>
      <c r="C6703" t="s">
        <v>314</v>
      </c>
      <c r="D6703">
        <v>1220620</v>
      </c>
      <c r="E6703">
        <v>1207838</v>
      </c>
      <c r="F6703">
        <v>1187258</v>
      </c>
      <c r="G6703">
        <v>1201574</v>
      </c>
    </row>
    <row r="6704" spans="1:7">
      <c r="A6704" t="s">
        <v>1876</v>
      </c>
      <c r="B6704" t="s">
        <v>367</v>
      </c>
      <c r="C6704" t="s">
        <v>315</v>
      </c>
      <c r="D6704">
        <v>3</v>
      </c>
      <c r="E6704">
        <v>2.93</v>
      </c>
      <c r="F6704">
        <v>2.82</v>
      </c>
      <c r="G6704">
        <v>2.77</v>
      </c>
    </row>
    <row r="6705" spans="1:7">
      <c r="A6705" t="s">
        <v>1876</v>
      </c>
      <c r="B6705" t="s">
        <v>367</v>
      </c>
      <c r="C6705" t="s">
        <v>316</v>
      </c>
      <c r="D6705">
        <v>197.6</v>
      </c>
      <c r="E6705">
        <v>195.3</v>
      </c>
      <c r="F6705">
        <v>191.3</v>
      </c>
      <c r="G6705">
        <v>192.4</v>
      </c>
    </row>
    <row r="6706" spans="1:7">
      <c r="A6706" t="s">
        <v>1876</v>
      </c>
      <c r="B6706" t="s">
        <v>367</v>
      </c>
      <c r="C6706" t="s">
        <v>317</v>
      </c>
      <c r="D6706">
        <v>1220620</v>
      </c>
      <c r="E6706">
        <v>1207838</v>
      </c>
      <c r="F6706">
        <v>1187258</v>
      </c>
      <c r="G6706">
        <v>1201574</v>
      </c>
    </row>
    <row r="6707" spans="1:7">
      <c r="A6707" t="s">
        <v>1876</v>
      </c>
      <c r="B6707" t="s">
        <v>367</v>
      </c>
      <c r="C6707" t="s">
        <v>318</v>
      </c>
      <c r="D6707">
        <v>417498</v>
      </c>
      <c r="E6707">
        <v>393464</v>
      </c>
      <c r="F6707">
        <v>421474</v>
      </c>
      <c r="G6707">
        <v>412952</v>
      </c>
    </row>
    <row r="6708" spans="1:7">
      <c r="A6708" t="s">
        <v>1876</v>
      </c>
      <c r="B6708" t="s">
        <v>367</v>
      </c>
      <c r="C6708" t="s">
        <v>319</v>
      </c>
      <c r="D6708">
        <v>184727</v>
      </c>
      <c r="E6708">
        <v>193795</v>
      </c>
      <c r="F6708">
        <v>184249</v>
      </c>
      <c r="G6708">
        <v>185768</v>
      </c>
    </row>
    <row r="6709" spans="1:7">
      <c r="A6709" t="s">
        <v>1876</v>
      </c>
      <c r="B6709" t="s">
        <v>367</v>
      </c>
      <c r="C6709" t="s">
        <v>320</v>
      </c>
      <c r="D6709">
        <v>69416</v>
      </c>
      <c r="E6709">
        <v>67534</v>
      </c>
      <c r="F6709">
        <v>63785</v>
      </c>
      <c r="G6709">
        <v>61997</v>
      </c>
    </row>
    <row r="6710" spans="1:7">
      <c r="A6710" t="s">
        <v>1876</v>
      </c>
      <c r="B6710" t="s">
        <v>367</v>
      </c>
      <c r="C6710" t="s">
        <v>321</v>
      </c>
      <c r="D6710">
        <v>204532</v>
      </c>
      <c r="E6710">
        <v>213343</v>
      </c>
      <c r="F6710">
        <v>192914</v>
      </c>
      <c r="G6710">
        <v>198826</v>
      </c>
    </row>
    <row r="6711" spans="1:7">
      <c r="A6711" t="s">
        <v>1876</v>
      </c>
      <c r="B6711" t="s">
        <v>367</v>
      </c>
      <c r="C6711" t="s">
        <v>1954</v>
      </c>
      <c r="D6711">
        <v>876172</v>
      </c>
      <c r="E6711">
        <v>868137</v>
      </c>
      <c r="F6711">
        <v>862422</v>
      </c>
      <c r="G6711">
        <v>859543</v>
      </c>
    </row>
    <row r="6712" spans="1:7">
      <c r="A6712" t="s">
        <v>1876</v>
      </c>
      <c r="B6712" t="s">
        <v>367</v>
      </c>
      <c r="C6712" t="s">
        <v>323</v>
      </c>
      <c r="D6712">
        <v>6176</v>
      </c>
      <c r="E6712">
        <v>6183</v>
      </c>
      <c r="F6712">
        <v>6205</v>
      </c>
      <c r="G6712">
        <v>6245</v>
      </c>
    </row>
    <row r="6713" spans="1:7">
      <c r="A6713" t="s">
        <v>1876</v>
      </c>
      <c r="B6713" t="s">
        <v>367</v>
      </c>
      <c r="C6713" t="s">
        <v>324</v>
      </c>
      <c r="D6713">
        <v>0</v>
      </c>
      <c r="E6713">
        <v>0</v>
      </c>
      <c r="F6713">
        <v>0</v>
      </c>
      <c r="G6713">
        <v>0</v>
      </c>
    </row>
    <row r="6714" spans="1:7">
      <c r="A6714" t="s">
        <v>1876</v>
      </c>
      <c r="B6714" t="s">
        <v>367</v>
      </c>
      <c r="C6714" t="s">
        <v>325</v>
      </c>
      <c r="D6714">
        <v>0</v>
      </c>
      <c r="E6714">
        <v>0</v>
      </c>
      <c r="F6714">
        <v>0</v>
      </c>
      <c r="G6714">
        <v>0</v>
      </c>
    </row>
    <row r="6715" spans="1:7">
      <c r="A6715" t="s">
        <v>1876</v>
      </c>
      <c r="B6715" t="s">
        <v>367</v>
      </c>
      <c r="C6715" t="s">
        <v>326</v>
      </c>
      <c r="D6715">
        <v>1537</v>
      </c>
      <c r="E6715">
        <v>1487</v>
      </c>
      <c r="F6715">
        <v>1241</v>
      </c>
      <c r="G6715">
        <v>1010</v>
      </c>
    </row>
    <row r="6716" spans="1:7">
      <c r="A6716" t="s">
        <v>1876</v>
      </c>
      <c r="B6716" t="s">
        <v>367</v>
      </c>
      <c r="C6716" t="s">
        <v>327</v>
      </c>
      <c r="D6716">
        <v>0</v>
      </c>
      <c r="E6716">
        <v>0</v>
      </c>
      <c r="F6716">
        <v>0</v>
      </c>
      <c r="G6716">
        <v>0</v>
      </c>
    </row>
    <row r="6717" spans="1:7">
      <c r="A6717" t="s">
        <v>1876</v>
      </c>
      <c r="B6717" t="s">
        <v>367</v>
      </c>
      <c r="C6717" t="s">
        <v>1723</v>
      </c>
      <c r="D6717">
        <v>3</v>
      </c>
      <c r="E6717">
        <v>3</v>
      </c>
      <c r="F6717">
        <v>3</v>
      </c>
      <c r="G6717">
        <v>1</v>
      </c>
    </row>
    <row r="6718" spans="1:7">
      <c r="A6718" t="s">
        <v>1876</v>
      </c>
      <c r="B6718" t="s">
        <v>367</v>
      </c>
      <c r="C6718" t="s">
        <v>328</v>
      </c>
      <c r="D6718">
        <v>303</v>
      </c>
      <c r="E6718">
        <v>663</v>
      </c>
      <c r="F6718">
        <v>663</v>
      </c>
      <c r="G6718">
        <v>663</v>
      </c>
    </row>
    <row r="6719" spans="1:7">
      <c r="A6719" t="s">
        <v>1876</v>
      </c>
      <c r="B6719" t="s">
        <v>367</v>
      </c>
      <c r="C6719" t="s">
        <v>329</v>
      </c>
      <c r="D6719">
        <v>5245</v>
      </c>
      <c r="E6719">
        <v>6608</v>
      </c>
      <c r="F6719">
        <v>5617</v>
      </c>
      <c r="G6719">
        <v>5266</v>
      </c>
    </row>
    <row r="6720" spans="1:7">
      <c r="A6720" t="s">
        <v>1876</v>
      </c>
      <c r="B6720" t="s">
        <v>367</v>
      </c>
      <c r="C6720" t="s">
        <v>330</v>
      </c>
      <c r="D6720">
        <v>7085</v>
      </c>
      <c r="E6720">
        <v>8758</v>
      </c>
      <c r="F6720">
        <v>7522</v>
      </c>
      <c r="G6720">
        <v>6939</v>
      </c>
    </row>
    <row r="6721" spans="1:7">
      <c r="A6721" t="s">
        <v>1876</v>
      </c>
      <c r="B6721" t="s">
        <v>367</v>
      </c>
      <c r="C6721" t="s">
        <v>331</v>
      </c>
      <c r="D6721">
        <v>10</v>
      </c>
      <c r="E6721">
        <v>0</v>
      </c>
      <c r="F6721">
        <v>1</v>
      </c>
      <c r="G6721">
        <v>1</v>
      </c>
    </row>
    <row r="6722" spans="1:7">
      <c r="A6722" t="s">
        <v>1876</v>
      </c>
      <c r="B6722" t="s">
        <v>367</v>
      </c>
      <c r="C6722" t="s">
        <v>332</v>
      </c>
      <c r="D6722">
        <v>6691</v>
      </c>
      <c r="E6722">
        <v>5779</v>
      </c>
      <c r="F6722">
        <v>5873</v>
      </c>
      <c r="G6722">
        <v>6375</v>
      </c>
    </row>
    <row r="6723" spans="1:7">
      <c r="A6723" t="s">
        <v>1876</v>
      </c>
      <c r="B6723" t="s">
        <v>367</v>
      </c>
      <c r="C6723" t="s">
        <v>1724</v>
      </c>
      <c r="D6723">
        <v>136</v>
      </c>
      <c r="E6723">
        <v>137</v>
      </c>
      <c r="F6723">
        <v>137</v>
      </c>
      <c r="G6723">
        <v>137</v>
      </c>
    </row>
    <row r="6724" spans="1:7">
      <c r="A6724" t="s">
        <v>1876</v>
      </c>
      <c r="B6724" t="s">
        <v>367</v>
      </c>
      <c r="C6724" t="s">
        <v>333</v>
      </c>
      <c r="D6724">
        <v>492</v>
      </c>
      <c r="E6724">
        <v>289</v>
      </c>
      <c r="F6724">
        <v>287</v>
      </c>
      <c r="G6724">
        <v>260</v>
      </c>
    </row>
    <row r="6725" spans="1:7">
      <c r="A6725" t="s">
        <v>1876</v>
      </c>
      <c r="B6725" t="s">
        <v>367</v>
      </c>
      <c r="C6725" t="s">
        <v>334</v>
      </c>
      <c r="D6725">
        <v>7193</v>
      </c>
      <c r="E6725">
        <v>6069</v>
      </c>
      <c r="F6725">
        <v>6161</v>
      </c>
      <c r="G6725">
        <v>6636</v>
      </c>
    </row>
    <row r="6726" spans="1:7">
      <c r="A6726" t="s">
        <v>1876</v>
      </c>
      <c r="B6726" t="s">
        <v>367</v>
      </c>
      <c r="C6726" t="s">
        <v>335</v>
      </c>
      <c r="D6726">
        <v>1547</v>
      </c>
      <c r="E6726">
        <v>1487</v>
      </c>
      <c r="F6726">
        <v>1242</v>
      </c>
      <c r="G6726">
        <v>1011</v>
      </c>
    </row>
    <row r="6727" spans="1:7">
      <c r="A6727" t="s">
        <v>1876</v>
      </c>
      <c r="B6727" t="s">
        <v>367</v>
      </c>
      <c r="C6727" t="s">
        <v>336</v>
      </c>
      <c r="D6727">
        <v>6691</v>
      </c>
      <c r="E6727">
        <v>5779</v>
      </c>
      <c r="F6727">
        <v>5873</v>
      </c>
      <c r="G6727">
        <v>6375</v>
      </c>
    </row>
    <row r="6728" spans="1:7">
      <c r="A6728" t="s">
        <v>1876</v>
      </c>
      <c r="B6728" t="s">
        <v>367</v>
      </c>
      <c r="C6728" t="s">
        <v>337</v>
      </c>
      <c r="D6728">
        <v>795</v>
      </c>
      <c r="E6728">
        <v>953</v>
      </c>
      <c r="F6728">
        <v>951</v>
      </c>
      <c r="G6728">
        <v>924</v>
      </c>
    </row>
    <row r="6729" spans="1:7">
      <c r="A6729" t="s">
        <v>1876</v>
      </c>
      <c r="B6729" t="s">
        <v>367</v>
      </c>
      <c r="C6729" t="s">
        <v>338</v>
      </c>
      <c r="D6729">
        <v>14278</v>
      </c>
      <c r="E6729">
        <v>14827</v>
      </c>
      <c r="F6729">
        <v>13683</v>
      </c>
      <c r="G6729">
        <v>13575</v>
      </c>
    </row>
    <row r="6730" spans="1:7">
      <c r="A6730" t="s">
        <v>1876</v>
      </c>
      <c r="B6730" t="s">
        <v>367</v>
      </c>
      <c r="C6730" t="s">
        <v>339</v>
      </c>
      <c r="D6730">
        <v>7587</v>
      </c>
      <c r="E6730">
        <v>9047</v>
      </c>
      <c r="F6730">
        <v>7810</v>
      </c>
      <c r="G6730">
        <v>7200</v>
      </c>
    </row>
    <row r="6731" spans="1:7">
      <c r="A6731" t="s">
        <v>1876</v>
      </c>
      <c r="B6731" t="s">
        <v>367</v>
      </c>
      <c r="C6731" t="s">
        <v>340</v>
      </c>
      <c r="D6731">
        <v>65</v>
      </c>
      <c r="E6731">
        <v>114</v>
      </c>
      <c r="F6731">
        <v>79</v>
      </c>
      <c r="G6731">
        <v>97</v>
      </c>
    </row>
    <row r="6732" spans="1:7">
      <c r="A6732" t="s">
        <v>1876</v>
      </c>
      <c r="B6732" t="s">
        <v>367</v>
      </c>
      <c r="C6732" t="s">
        <v>1955</v>
      </c>
      <c r="D6732">
        <v>31.1</v>
      </c>
      <c r="E6732">
        <v>29.9</v>
      </c>
      <c r="F6732">
        <v>28.9</v>
      </c>
      <c r="G6732">
        <v>33.5</v>
      </c>
    </row>
    <row r="6733" spans="1:7">
      <c r="A6733" t="s">
        <v>1876</v>
      </c>
      <c r="B6733" t="s">
        <v>367</v>
      </c>
      <c r="C6733" t="s">
        <v>341</v>
      </c>
      <c r="D6733">
        <v>0</v>
      </c>
      <c r="E6733">
        <v>0</v>
      </c>
      <c r="F6733">
        <v>0</v>
      </c>
      <c r="G6733">
        <v>0</v>
      </c>
    </row>
    <row r="6734" spans="1:7">
      <c r="A6734" t="s">
        <v>1876</v>
      </c>
      <c r="B6734" t="s">
        <v>367</v>
      </c>
      <c r="C6734" t="s">
        <v>342</v>
      </c>
      <c r="D6734">
        <v>1765</v>
      </c>
      <c r="E6734">
        <v>1698</v>
      </c>
      <c r="F6734">
        <v>1643</v>
      </c>
      <c r="G6734">
        <v>1905</v>
      </c>
    </row>
    <row r="6735" spans="1:7">
      <c r="A6735" t="s">
        <v>1876</v>
      </c>
      <c r="B6735" t="s">
        <v>367</v>
      </c>
      <c r="C6735" t="s">
        <v>1725</v>
      </c>
      <c r="D6735">
        <v>190</v>
      </c>
      <c r="E6735">
        <v>190</v>
      </c>
      <c r="F6735">
        <v>190</v>
      </c>
      <c r="G6735">
        <v>190</v>
      </c>
    </row>
    <row r="6736" spans="1:7">
      <c r="A6736" t="s">
        <v>1876</v>
      </c>
      <c r="B6736" t="s">
        <v>367</v>
      </c>
      <c r="C6736" t="s">
        <v>343</v>
      </c>
      <c r="D6736">
        <v>0</v>
      </c>
      <c r="E6736">
        <v>0</v>
      </c>
      <c r="F6736">
        <v>0</v>
      </c>
      <c r="G6736">
        <v>0</v>
      </c>
    </row>
    <row r="6737" spans="1:7">
      <c r="A6737" t="s">
        <v>1876</v>
      </c>
      <c r="B6737" t="s">
        <v>367</v>
      </c>
      <c r="C6737" t="s">
        <v>344</v>
      </c>
      <c r="D6737">
        <v>1765</v>
      </c>
      <c r="E6737">
        <v>1698</v>
      </c>
      <c r="F6737">
        <v>1643</v>
      </c>
      <c r="G6737">
        <v>1905</v>
      </c>
    </row>
    <row r="6738" spans="1:7">
      <c r="A6738" t="s">
        <v>1876</v>
      </c>
      <c r="B6738" t="s">
        <v>367</v>
      </c>
      <c r="C6738" t="s">
        <v>345</v>
      </c>
      <c r="D6738">
        <v>0</v>
      </c>
      <c r="E6738">
        <v>0</v>
      </c>
      <c r="F6738">
        <v>0</v>
      </c>
      <c r="G6738">
        <v>0</v>
      </c>
    </row>
    <row r="6739" spans="1:7">
      <c r="A6739" t="s">
        <v>1876</v>
      </c>
      <c r="B6739" t="s">
        <v>367</v>
      </c>
      <c r="C6739" t="s">
        <v>1956</v>
      </c>
      <c r="D6739">
        <v>6691</v>
      </c>
      <c r="E6739">
        <v>5779</v>
      </c>
      <c r="F6739">
        <v>5873</v>
      </c>
      <c r="G6739">
        <v>6375</v>
      </c>
    </row>
    <row r="6740" spans="1:7">
      <c r="A6740" t="s">
        <v>1876</v>
      </c>
      <c r="B6740" t="s">
        <v>367</v>
      </c>
      <c r="C6740" t="s">
        <v>1957</v>
      </c>
      <c r="D6740">
        <v>7193</v>
      </c>
      <c r="E6740">
        <v>6069</v>
      </c>
      <c r="F6740">
        <v>6161</v>
      </c>
      <c r="G6740">
        <v>6636</v>
      </c>
    </row>
    <row r="6741" spans="1:7">
      <c r="A6741" t="s">
        <v>1876</v>
      </c>
      <c r="B6741" t="s">
        <v>367</v>
      </c>
      <c r="C6741" t="s">
        <v>346</v>
      </c>
      <c r="D6741">
        <v>1303</v>
      </c>
      <c r="E6741">
        <v>1212</v>
      </c>
      <c r="F6741">
        <v>1105</v>
      </c>
      <c r="G6741">
        <v>1343</v>
      </c>
    </row>
    <row r="6742" spans="1:7">
      <c r="A6742" t="s">
        <v>1876</v>
      </c>
      <c r="B6742" t="s">
        <v>367</v>
      </c>
      <c r="C6742" t="s">
        <v>347</v>
      </c>
      <c r="D6742">
        <v>4159</v>
      </c>
      <c r="E6742">
        <v>4517</v>
      </c>
      <c r="F6742">
        <v>3827</v>
      </c>
      <c r="G6742">
        <v>3963</v>
      </c>
    </row>
    <row r="6743" spans="1:7">
      <c r="A6743" t="s">
        <v>1876</v>
      </c>
      <c r="B6743" t="s">
        <v>368</v>
      </c>
      <c r="C6743" t="s">
        <v>133</v>
      </c>
      <c r="D6743">
        <v>0</v>
      </c>
      <c r="E6743">
        <v>0</v>
      </c>
      <c r="F6743">
        <v>0</v>
      </c>
      <c r="G6743">
        <v>0</v>
      </c>
    </row>
    <row r="6744" spans="1:7">
      <c r="A6744" t="s">
        <v>1876</v>
      </c>
      <c r="B6744" t="s">
        <v>368</v>
      </c>
      <c r="C6744" t="s">
        <v>134</v>
      </c>
      <c r="D6744">
        <v>6404</v>
      </c>
      <c r="E6744">
        <v>4280</v>
      </c>
      <c r="F6744">
        <v>4685</v>
      </c>
      <c r="G6744">
        <v>3646</v>
      </c>
    </row>
    <row r="6745" spans="1:7">
      <c r="A6745" t="s">
        <v>1876</v>
      </c>
      <c r="B6745" t="s">
        <v>368</v>
      </c>
      <c r="C6745" t="s">
        <v>135</v>
      </c>
      <c r="D6745">
        <v>6404</v>
      </c>
      <c r="E6745">
        <v>4280</v>
      </c>
      <c r="F6745">
        <v>4685</v>
      </c>
      <c r="G6745">
        <v>3646</v>
      </c>
    </row>
    <row r="6746" spans="1:7">
      <c r="A6746" t="s">
        <v>1876</v>
      </c>
      <c r="B6746" t="s">
        <v>368</v>
      </c>
      <c r="C6746" t="s">
        <v>136</v>
      </c>
      <c r="D6746">
        <v>6404</v>
      </c>
      <c r="E6746">
        <v>4280</v>
      </c>
      <c r="F6746">
        <v>4685</v>
      </c>
      <c r="G6746">
        <v>3646</v>
      </c>
    </row>
    <row r="6747" spans="1:7">
      <c r="A6747" t="s">
        <v>1876</v>
      </c>
      <c r="B6747" t="s">
        <v>368</v>
      </c>
      <c r="C6747" t="s">
        <v>137</v>
      </c>
      <c r="D6747">
        <v>117</v>
      </c>
      <c r="E6747">
        <v>121</v>
      </c>
      <c r="F6747">
        <v>115</v>
      </c>
      <c r="G6747">
        <v>123</v>
      </c>
    </row>
    <row r="6748" spans="1:7">
      <c r="A6748" t="s">
        <v>1876</v>
      </c>
      <c r="B6748" t="s">
        <v>368</v>
      </c>
      <c r="C6748" t="s">
        <v>138</v>
      </c>
      <c r="D6748">
        <v>117</v>
      </c>
      <c r="E6748">
        <v>121</v>
      </c>
      <c r="F6748">
        <v>115</v>
      </c>
      <c r="G6748">
        <v>123</v>
      </c>
    </row>
    <row r="6749" spans="1:7">
      <c r="A6749" t="s">
        <v>1876</v>
      </c>
      <c r="B6749" t="s">
        <v>368</v>
      </c>
      <c r="C6749" t="s">
        <v>139</v>
      </c>
      <c r="D6749">
        <v>117</v>
      </c>
      <c r="E6749">
        <v>121</v>
      </c>
      <c r="F6749">
        <v>115</v>
      </c>
      <c r="G6749">
        <v>123</v>
      </c>
    </row>
    <row r="6750" spans="1:7">
      <c r="A6750" t="s">
        <v>1876</v>
      </c>
      <c r="B6750" t="s">
        <v>368</v>
      </c>
      <c r="C6750" t="s">
        <v>1877</v>
      </c>
      <c r="D6750">
        <v>0</v>
      </c>
      <c r="E6750">
        <v>0</v>
      </c>
      <c r="F6750">
        <v>0</v>
      </c>
      <c r="G6750">
        <v>0</v>
      </c>
    </row>
    <row r="6751" spans="1:7">
      <c r="A6751" t="s">
        <v>1876</v>
      </c>
      <c r="B6751" t="s">
        <v>368</v>
      </c>
      <c r="C6751" t="s">
        <v>1700</v>
      </c>
      <c r="D6751">
        <v>0</v>
      </c>
      <c r="E6751">
        <v>0</v>
      </c>
      <c r="F6751">
        <v>0</v>
      </c>
      <c r="G6751">
        <v>0</v>
      </c>
    </row>
    <row r="6752" spans="1:7">
      <c r="A6752" t="s">
        <v>1876</v>
      </c>
      <c r="B6752" t="s">
        <v>368</v>
      </c>
      <c r="C6752" t="s">
        <v>1878</v>
      </c>
      <c r="D6752">
        <v>0</v>
      </c>
      <c r="E6752">
        <v>0</v>
      </c>
      <c r="F6752">
        <v>0</v>
      </c>
      <c r="G6752">
        <v>0</v>
      </c>
    </row>
    <row r="6753" spans="1:7">
      <c r="A6753" t="s">
        <v>1876</v>
      </c>
      <c r="B6753" t="s">
        <v>368</v>
      </c>
      <c r="C6753" t="s">
        <v>1879</v>
      </c>
      <c r="D6753">
        <v>0</v>
      </c>
      <c r="E6753">
        <v>0</v>
      </c>
      <c r="F6753">
        <v>0</v>
      </c>
      <c r="G6753">
        <v>0</v>
      </c>
    </row>
    <row r="6754" spans="1:7">
      <c r="A6754" t="s">
        <v>1876</v>
      </c>
      <c r="B6754" t="s">
        <v>368</v>
      </c>
      <c r="C6754" t="s">
        <v>1701</v>
      </c>
      <c r="D6754">
        <v>0</v>
      </c>
      <c r="E6754">
        <v>0</v>
      </c>
      <c r="F6754">
        <v>0</v>
      </c>
      <c r="G6754">
        <v>0</v>
      </c>
    </row>
    <row r="6755" spans="1:7">
      <c r="A6755" t="s">
        <v>1876</v>
      </c>
      <c r="B6755" t="s">
        <v>368</v>
      </c>
      <c r="C6755" t="s">
        <v>1880</v>
      </c>
      <c r="D6755">
        <v>245</v>
      </c>
      <c r="E6755">
        <v>258</v>
      </c>
      <c r="F6755">
        <v>275</v>
      </c>
      <c r="G6755">
        <v>283</v>
      </c>
    </row>
    <row r="6756" spans="1:7">
      <c r="A6756" t="s">
        <v>1876</v>
      </c>
      <c r="B6756" t="s">
        <v>368</v>
      </c>
      <c r="C6756" t="s">
        <v>140</v>
      </c>
      <c r="D6756">
        <v>575</v>
      </c>
      <c r="E6756">
        <v>625</v>
      </c>
      <c r="F6756">
        <v>742</v>
      </c>
      <c r="G6756">
        <v>807</v>
      </c>
    </row>
    <row r="6757" spans="1:7">
      <c r="A6757" t="s">
        <v>1876</v>
      </c>
      <c r="B6757" t="s">
        <v>368</v>
      </c>
      <c r="C6757" t="s">
        <v>1881</v>
      </c>
      <c r="D6757">
        <v>330</v>
      </c>
      <c r="E6757">
        <v>366</v>
      </c>
      <c r="F6757">
        <v>467</v>
      </c>
      <c r="G6757">
        <v>524</v>
      </c>
    </row>
    <row r="6758" spans="1:7">
      <c r="A6758" t="s">
        <v>1876</v>
      </c>
      <c r="B6758" t="s">
        <v>368</v>
      </c>
      <c r="C6758" t="s">
        <v>1882</v>
      </c>
      <c r="D6758">
        <v>0</v>
      </c>
      <c r="E6758">
        <v>0</v>
      </c>
      <c r="F6758">
        <v>0</v>
      </c>
      <c r="G6758">
        <v>0</v>
      </c>
    </row>
    <row r="6759" spans="1:7">
      <c r="A6759" t="s">
        <v>1876</v>
      </c>
      <c r="B6759" t="s">
        <v>368</v>
      </c>
      <c r="C6759" t="s">
        <v>1883</v>
      </c>
      <c r="D6759">
        <v>0</v>
      </c>
      <c r="E6759">
        <v>0</v>
      </c>
      <c r="F6759">
        <v>0</v>
      </c>
      <c r="G6759">
        <v>0</v>
      </c>
    </row>
    <row r="6760" spans="1:7">
      <c r="A6760" t="s">
        <v>1876</v>
      </c>
      <c r="B6760" t="s">
        <v>368</v>
      </c>
      <c r="C6760" t="s">
        <v>1884</v>
      </c>
      <c r="D6760">
        <v>0</v>
      </c>
      <c r="E6760">
        <v>0</v>
      </c>
      <c r="F6760">
        <v>0</v>
      </c>
      <c r="G6760">
        <v>0</v>
      </c>
    </row>
    <row r="6761" spans="1:7">
      <c r="A6761" t="s">
        <v>1876</v>
      </c>
      <c r="B6761" t="s">
        <v>368</v>
      </c>
      <c r="C6761" t="s">
        <v>1885</v>
      </c>
      <c r="D6761">
        <v>0</v>
      </c>
      <c r="E6761">
        <v>0</v>
      </c>
      <c r="F6761">
        <v>0</v>
      </c>
      <c r="G6761">
        <v>0</v>
      </c>
    </row>
    <row r="6762" spans="1:7">
      <c r="A6762" t="s">
        <v>1876</v>
      </c>
      <c r="B6762" t="s">
        <v>368</v>
      </c>
      <c r="C6762" t="s">
        <v>1886</v>
      </c>
      <c r="D6762">
        <v>0</v>
      </c>
      <c r="E6762">
        <v>0</v>
      </c>
      <c r="F6762">
        <v>0</v>
      </c>
      <c r="G6762">
        <v>0</v>
      </c>
    </row>
    <row r="6763" spans="1:7">
      <c r="A6763" t="s">
        <v>1876</v>
      </c>
      <c r="B6763" t="s">
        <v>368</v>
      </c>
      <c r="C6763" t="s">
        <v>141</v>
      </c>
      <c r="D6763">
        <v>1</v>
      </c>
      <c r="E6763">
        <v>1</v>
      </c>
      <c r="F6763">
        <v>1</v>
      </c>
      <c r="G6763">
        <v>1</v>
      </c>
    </row>
    <row r="6764" spans="1:7">
      <c r="A6764" t="s">
        <v>1876</v>
      </c>
      <c r="B6764" t="s">
        <v>368</v>
      </c>
      <c r="C6764" t="s">
        <v>1887</v>
      </c>
      <c r="D6764">
        <v>0</v>
      </c>
      <c r="E6764">
        <v>0</v>
      </c>
      <c r="F6764">
        <v>0</v>
      </c>
      <c r="G6764">
        <v>0</v>
      </c>
    </row>
    <row r="6765" spans="1:7">
      <c r="A6765" t="s">
        <v>1876</v>
      </c>
      <c r="B6765" t="s">
        <v>368</v>
      </c>
      <c r="C6765" t="s">
        <v>1888</v>
      </c>
      <c r="D6765">
        <v>0</v>
      </c>
      <c r="E6765">
        <v>0</v>
      </c>
      <c r="F6765">
        <v>0</v>
      </c>
      <c r="G6765">
        <v>0</v>
      </c>
    </row>
    <row r="6766" spans="1:7">
      <c r="A6766" t="s">
        <v>1876</v>
      </c>
      <c r="B6766" t="s">
        <v>368</v>
      </c>
      <c r="C6766" t="s">
        <v>1889</v>
      </c>
      <c r="D6766">
        <v>245</v>
      </c>
      <c r="E6766">
        <v>258</v>
      </c>
      <c r="F6766">
        <v>275</v>
      </c>
      <c r="G6766">
        <v>283</v>
      </c>
    </row>
    <row r="6767" spans="1:7">
      <c r="A6767" t="s">
        <v>1876</v>
      </c>
      <c r="B6767" t="s">
        <v>368</v>
      </c>
      <c r="C6767" t="s">
        <v>1890</v>
      </c>
      <c r="D6767">
        <v>0</v>
      </c>
      <c r="E6767">
        <v>0</v>
      </c>
      <c r="F6767">
        <v>0</v>
      </c>
      <c r="G6767">
        <v>0</v>
      </c>
    </row>
    <row r="6768" spans="1:7">
      <c r="A6768" t="s">
        <v>1876</v>
      </c>
      <c r="B6768" t="s">
        <v>368</v>
      </c>
      <c r="C6768" t="s">
        <v>1891</v>
      </c>
    </row>
    <row r="6769" spans="1:7">
      <c r="A6769" t="s">
        <v>1876</v>
      </c>
      <c r="B6769" t="s">
        <v>368</v>
      </c>
      <c r="C6769" t="s">
        <v>1892</v>
      </c>
      <c r="D6769">
        <v>330</v>
      </c>
      <c r="E6769">
        <v>366</v>
      </c>
      <c r="F6769">
        <v>467</v>
      </c>
      <c r="G6769">
        <v>524</v>
      </c>
    </row>
    <row r="6770" spans="1:7">
      <c r="A6770" t="s">
        <v>1876</v>
      </c>
      <c r="B6770" t="s">
        <v>368</v>
      </c>
      <c r="C6770" t="s">
        <v>142</v>
      </c>
      <c r="D6770">
        <v>575</v>
      </c>
      <c r="E6770">
        <v>625</v>
      </c>
      <c r="F6770">
        <v>742</v>
      </c>
      <c r="G6770">
        <v>807</v>
      </c>
    </row>
    <row r="6771" spans="1:7">
      <c r="A6771" t="s">
        <v>1876</v>
      </c>
      <c r="B6771" t="s">
        <v>368</v>
      </c>
      <c r="C6771" t="s">
        <v>1893</v>
      </c>
      <c r="D6771">
        <v>575</v>
      </c>
      <c r="E6771">
        <v>625</v>
      </c>
      <c r="F6771">
        <v>742</v>
      </c>
      <c r="G6771">
        <v>807</v>
      </c>
    </row>
    <row r="6772" spans="1:7">
      <c r="A6772" t="s">
        <v>1876</v>
      </c>
      <c r="B6772" t="s">
        <v>368</v>
      </c>
      <c r="C6772" t="s">
        <v>1894</v>
      </c>
      <c r="D6772">
        <v>330</v>
      </c>
      <c r="E6772">
        <v>366</v>
      </c>
      <c r="F6772">
        <v>467</v>
      </c>
      <c r="G6772">
        <v>524</v>
      </c>
    </row>
    <row r="6773" spans="1:7">
      <c r="A6773" t="s">
        <v>1876</v>
      </c>
      <c r="B6773" t="s">
        <v>368</v>
      </c>
      <c r="C6773" t="s">
        <v>143</v>
      </c>
      <c r="D6773">
        <v>1</v>
      </c>
      <c r="E6773">
        <v>1</v>
      </c>
      <c r="F6773">
        <v>1</v>
      </c>
      <c r="G6773">
        <v>1</v>
      </c>
    </row>
    <row r="6774" spans="1:7">
      <c r="A6774" t="s">
        <v>1876</v>
      </c>
      <c r="B6774" t="s">
        <v>368</v>
      </c>
      <c r="C6774" t="s">
        <v>144</v>
      </c>
      <c r="D6774">
        <v>6220</v>
      </c>
      <c r="E6774">
        <v>5940</v>
      </c>
      <c r="F6774">
        <v>6626</v>
      </c>
      <c r="G6774">
        <v>6277</v>
      </c>
    </row>
    <row r="6775" spans="1:7">
      <c r="A6775" t="s">
        <v>1876</v>
      </c>
      <c r="B6775" t="s">
        <v>368</v>
      </c>
      <c r="C6775" t="s">
        <v>1895</v>
      </c>
      <c r="D6775">
        <v>53.9</v>
      </c>
      <c r="E6775">
        <v>49.6</v>
      </c>
      <c r="F6775">
        <v>43.3</v>
      </c>
      <c r="G6775">
        <v>47.2</v>
      </c>
    </row>
    <row r="6776" spans="1:7">
      <c r="A6776" t="s">
        <v>1876</v>
      </c>
      <c r="B6776" t="s">
        <v>368</v>
      </c>
      <c r="C6776" t="s">
        <v>145</v>
      </c>
      <c r="D6776">
        <v>76566</v>
      </c>
      <c r="E6776">
        <v>73683</v>
      </c>
      <c r="F6776">
        <v>66515</v>
      </c>
      <c r="G6776">
        <v>69668</v>
      </c>
    </row>
    <row r="6777" spans="1:7">
      <c r="A6777" t="s">
        <v>1876</v>
      </c>
      <c r="B6777" t="s">
        <v>368</v>
      </c>
      <c r="C6777" t="s">
        <v>146</v>
      </c>
      <c r="D6777">
        <v>0</v>
      </c>
      <c r="E6777">
        <v>0</v>
      </c>
      <c r="F6777">
        <v>0</v>
      </c>
      <c r="G6777">
        <v>0</v>
      </c>
    </row>
    <row r="6778" spans="1:7">
      <c r="A6778" t="s">
        <v>1876</v>
      </c>
      <c r="B6778" t="s">
        <v>368</v>
      </c>
      <c r="C6778" t="s">
        <v>147</v>
      </c>
      <c r="D6778">
        <v>0</v>
      </c>
      <c r="E6778">
        <v>0</v>
      </c>
      <c r="F6778">
        <v>0</v>
      </c>
      <c r="G6778">
        <v>0</v>
      </c>
    </row>
    <row r="6779" spans="1:7">
      <c r="A6779" t="s">
        <v>1876</v>
      </c>
      <c r="B6779" t="s">
        <v>368</v>
      </c>
      <c r="C6779" t="s">
        <v>1896</v>
      </c>
      <c r="D6779">
        <v>6.7</v>
      </c>
      <c r="E6779">
        <v>4.5999999999999996</v>
      </c>
      <c r="F6779">
        <v>3.7</v>
      </c>
      <c r="G6779">
        <v>5</v>
      </c>
    </row>
    <row r="6780" spans="1:7">
      <c r="A6780" t="s">
        <v>1876</v>
      </c>
      <c r="B6780" t="s">
        <v>368</v>
      </c>
      <c r="C6780" t="s">
        <v>1702</v>
      </c>
      <c r="D6780">
        <v>46</v>
      </c>
      <c r="E6780">
        <v>46</v>
      </c>
      <c r="F6780">
        <v>62</v>
      </c>
      <c r="G6780">
        <v>62</v>
      </c>
    </row>
    <row r="6781" spans="1:7">
      <c r="A6781" t="s">
        <v>1876</v>
      </c>
      <c r="B6781" t="s">
        <v>368</v>
      </c>
      <c r="C6781" t="s">
        <v>1897</v>
      </c>
      <c r="D6781">
        <v>2.9</v>
      </c>
      <c r="E6781">
        <v>4.2</v>
      </c>
      <c r="F6781">
        <v>7.1</v>
      </c>
      <c r="G6781">
        <v>9.4</v>
      </c>
    </row>
    <row r="6782" spans="1:7">
      <c r="A6782" t="s">
        <v>1876</v>
      </c>
      <c r="B6782" t="s">
        <v>368</v>
      </c>
      <c r="C6782" t="s">
        <v>1898</v>
      </c>
      <c r="D6782">
        <v>5</v>
      </c>
      <c r="E6782">
        <v>8</v>
      </c>
      <c r="F6782">
        <v>24</v>
      </c>
      <c r="G6782">
        <v>34</v>
      </c>
    </row>
    <row r="6783" spans="1:7">
      <c r="A6783" t="s">
        <v>1876</v>
      </c>
      <c r="B6783" t="s">
        <v>368</v>
      </c>
      <c r="C6783" t="s">
        <v>1899</v>
      </c>
      <c r="D6783">
        <v>330</v>
      </c>
      <c r="E6783">
        <v>366</v>
      </c>
      <c r="F6783">
        <v>467</v>
      </c>
      <c r="G6783">
        <v>524</v>
      </c>
    </row>
    <row r="6784" spans="1:7">
      <c r="A6784" t="s">
        <v>1876</v>
      </c>
      <c r="B6784" t="s">
        <v>368</v>
      </c>
      <c r="C6784" t="s">
        <v>148</v>
      </c>
      <c r="D6784">
        <v>0</v>
      </c>
      <c r="E6784">
        <v>0</v>
      </c>
      <c r="F6784">
        <v>0</v>
      </c>
      <c r="G6784">
        <v>0</v>
      </c>
    </row>
    <row r="6785" spans="1:7">
      <c r="A6785" t="s">
        <v>1876</v>
      </c>
      <c r="B6785" t="s">
        <v>368</v>
      </c>
      <c r="C6785" t="s">
        <v>149</v>
      </c>
      <c r="D6785">
        <v>0</v>
      </c>
      <c r="E6785">
        <v>0</v>
      </c>
      <c r="F6785">
        <v>0</v>
      </c>
      <c r="G6785">
        <v>0</v>
      </c>
    </row>
    <row r="6786" spans="1:7">
      <c r="A6786" t="s">
        <v>1876</v>
      </c>
      <c r="B6786" t="s">
        <v>368</v>
      </c>
      <c r="C6786" t="s">
        <v>150</v>
      </c>
      <c r="D6786">
        <v>0</v>
      </c>
      <c r="E6786">
        <v>0</v>
      </c>
      <c r="F6786">
        <v>0</v>
      </c>
      <c r="G6786">
        <v>0</v>
      </c>
    </row>
    <row r="6787" spans="1:7">
      <c r="A6787" t="s">
        <v>1876</v>
      </c>
      <c r="B6787" t="s">
        <v>368</v>
      </c>
      <c r="C6787" t="s">
        <v>1900</v>
      </c>
      <c r="D6787">
        <v>0</v>
      </c>
      <c r="E6787">
        <v>0</v>
      </c>
      <c r="F6787">
        <v>0</v>
      </c>
      <c r="G6787">
        <v>0</v>
      </c>
    </row>
    <row r="6788" spans="1:7">
      <c r="A6788" t="s">
        <v>1876</v>
      </c>
      <c r="B6788" t="s">
        <v>368</v>
      </c>
      <c r="C6788" t="s">
        <v>151</v>
      </c>
      <c r="D6788">
        <v>0</v>
      </c>
      <c r="E6788">
        <v>0</v>
      </c>
      <c r="F6788">
        <v>0</v>
      </c>
      <c r="G6788">
        <v>0</v>
      </c>
    </row>
    <row r="6789" spans="1:7">
      <c r="A6789" t="s">
        <v>1876</v>
      </c>
      <c r="B6789" t="s">
        <v>368</v>
      </c>
      <c r="C6789" t="s">
        <v>152</v>
      </c>
      <c r="D6789">
        <v>1588</v>
      </c>
      <c r="E6789">
        <v>1269</v>
      </c>
      <c r="F6789">
        <v>1295</v>
      </c>
      <c r="G6789">
        <v>857</v>
      </c>
    </row>
    <row r="6790" spans="1:7">
      <c r="A6790" t="s">
        <v>1876</v>
      </c>
      <c r="B6790" t="s">
        <v>368</v>
      </c>
      <c r="C6790" t="s">
        <v>1703</v>
      </c>
      <c r="D6790">
        <v>0</v>
      </c>
      <c r="E6790">
        <v>0</v>
      </c>
      <c r="F6790">
        <v>0</v>
      </c>
      <c r="G6790">
        <v>0</v>
      </c>
    </row>
    <row r="6791" spans="1:7">
      <c r="A6791" t="s">
        <v>1876</v>
      </c>
      <c r="B6791" t="s">
        <v>368</v>
      </c>
      <c r="C6791" t="s">
        <v>153</v>
      </c>
      <c r="D6791">
        <v>0</v>
      </c>
      <c r="E6791">
        <v>0</v>
      </c>
      <c r="F6791">
        <v>0</v>
      </c>
      <c r="G6791">
        <v>0</v>
      </c>
    </row>
    <row r="6792" spans="1:7">
      <c r="A6792" t="s">
        <v>1876</v>
      </c>
      <c r="B6792" t="s">
        <v>368</v>
      </c>
      <c r="C6792" t="s">
        <v>154</v>
      </c>
      <c r="D6792">
        <v>0</v>
      </c>
      <c r="E6792">
        <v>0</v>
      </c>
      <c r="F6792">
        <v>0</v>
      </c>
      <c r="G6792">
        <v>0</v>
      </c>
    </row>
    <row r="6793" spans="1:7">
      <c r="A6793" t="s">
        <v>1876</v>
      </c>
      <c r="B6793" t="s">
        <v>368</v>
      </c>
      <c r="C6793" t="s">
        <v>155</v>
      </c>
      <c r="D6793">
        <v>0</v>
      </c>
      <c r="E6793">
        <v>0</v>
      </c>
      <c r="F6793">
        <v>0</v>
      </c>
      <c r="G6793">
        <v>0</v>
      </c>
    </row>
    <row r="6794" spans="1:7">
      <c r="A6794" t="s">
        <v>1876</v>
      </c>
      <c r="B6794" t="s">
        <v>368</v>
      </c>
      <c r="C6794" t="s">
        <v>156</v>
      </c>
      <c r="D6794">
        <v>0</v>
      </c>
      <c r="E6794">
        <v>0</v>
      </c>
      <c r="F6794">
        <v>0</v>
      </c>
      <c r="G6794">
        <v>0</v>
      </c>
    </row>
    <row r="6795" spans="1:7">
      <c r="A6795" t="s">
        <v>1876</v>
      </c>
      <c r="B6795" t="s">
        <v>368</v>
      </c>
      <c r="C6795" t="s">
        <v>157</v>
      </c>
      <c r="D6795">
        <v>1588</v>
      </c>
      <c r="E6795">
        <v>1269</v>
      </c>
      <c r="F6795">
        <v>1295</v>
      </c>
      <c r="G6795">
        <v>857</v>
      </c>
    </row>
    <row r="6796" spans="1:7">
      <c r="A6796" t="s">
        <v>1876</v>
      </c>
      <c r="B6796" t="s">
        <v>368</v>
      </c>
      <c r="C6796" t="s">
        <v>158</v>
      </c>
      <c r="D6796">
        <v>0</v>
      </c>
      <c r="E6796">
        <v>0</v>
      </c>
      <c r="F6796">
        <v>0</v>
      </c>
      <c r="G6796">
        <v>0</v>
      </c>
    </row>
    <row r="6797" spans="1:7">
      <c r="A6797" t="s">
        <v>1876</v>
      </c>
      <c r="B6797" t="s">
        <v>368</v>
      </c>
      <c r="C6797" t="s">
        <v>159</v>
      </c>
      <c r="D6797">
        <v>0</v>
      </c>
      <c r="E6797">
        <v>0</v>
      </c>
      <c r="F6797">
        <v>0</v>
      </c>
      <c r="G6797">
        <v>0</v>
      </c>
    </row>
    <row r="6798" spans="1:7">
      <c r="A6798" t="s">
        <v>1876</v>
      </c>
      <c r="B6798" t="s">
        <v>368</v>
      </c>
      <c r="C6798" t="s">
        <v>1901</v>
      </c>
      <c r="D6798">
        <v>24.4</v>
      </c>
      <c r="E6798">
        <v>31.8</v>
      </c>
      <c r="F6798">
        <v>32.799999999999997</v>
      </c>
      <c r="G6798">
        <v>55.5</v>
      </c>
    </row>
    <row r="6799" spans="1:7">
      <c r="A6799" t="s">
        <v>1876</v>
      </c>
      <c r="B6799" t="s">
        <v>368</v>
      </c>
      <c r="C6799" t="s">
        <v>1902</v>
      </c>
      <c r="D6799">
        <v>23730</v>
      </c>
      <c r="E6799">
        <v>27900</v>
      </c>
      <c r="F6799">
        <v>24163</v>
      </c>
      <c r="G6799">
        <v>25117</v>
      </c>
    </row>
    <row r="6800" spans="1:7">
      <c r="A6800" t="s">
        <v>1876</v>
      </c>
      <c r="B6800" t="s">
        <v>368</v>
      </c>
      <c r="C6800" t="s">
        <v>1903</v>
      </c>
      <c r="D6800">
        <v>9075</v>
      </c>
      <c r="E6800">
        <v>8920</v>
      </c>
      <c r="F6800">
        <v>9259</v>
      </c>
      <c r="G6800">
        <v>8991</v>
      </c>
    </row>
    <row r="6801" spans="1:7">
      <c r="A6801" t="s">
        <v>1876</v>
      </c>
      <c r="B6801" t="s">
        <v>368</v>
      </c>
      <c r="C6801" t="s">
        <v>1904</v>
      </c>
      <c r="D6801">
        <v>27</v>
      </c>
      <c r="E6801">
        <v>48</v>
      </c>
      <c r="F6801">
        <v>28</v>
      </c>
      <c r="G6801">
        <v>12</v>
      </c>
    </row>
    <row r="6802" spans="1:7">
      <c r="A6802" t="s">
        <v>1876</v>
      </c>
      <c r="B6802" t="s">
        <v>368</v>
      </c>
      <c r="C6802" t="s">
        <v>1905</v>
      </c>
      <c r="D6802">
        <v>3870</v>
      </c>
      <c r="E6802">
        <v>3912</v>
      </c>
      <c r="F6802">
        <v>3818</v>
      </c>
      <c r="G6802">
        <v>3706</v>
      </c>
    </row>
    <row r="6803" spans="1:7">
      <c r="A6803" t="s">
        <v>1876</v>
      </c>
      <c r="B6803" t="s">
        <v>368</v>
      </c>
      <c r="C6803" t="s">
        <v>1906</v>
      </c>
      <c r="D6803">
        <v>26900</v>
      </c>
      <c r="E6803">
        <v>26786</v>
      </c>
      <c r="F6803">
        <v>27791</v>
      </c>
      <c r="G6803">
        <v>26399</v>
      </c>
    </row>
    <row r="6804" spans="1:7">
      <c r="A6804" t="s">
        <v>1876</v>
      </c>
      <c r="B6804" t="s">
        <v>368</v>
      </c>
      <c r="C6804" t="s">
        <v>1907</v>
      </c>
      <c r="D6804">
        <v>63602</v>
      </c>
      <c r="E6804">
        <v>67567</v>
      </c>
      <c r="F6804">
        <v>65059</v>
      </c>
      <c r="G6804">
        <v>64224</v>
      </c>
    </row>
    <row r="6805" spans="1:7">
      <c r="A6805" t="s">
        <v>1876</v>
      </c>
      <c r="B6805" t="s">
        <v>368</v>
      </c>
      <c r="C6805" t="s">
        <v>160</v>
      </c>
      <c r="D6805">
        <v>23399</v>
      </c>
      <c r="E6805">
        <v>27534</v>
      </c>
      <c r="F6805">
        <v>23696</v>
      </c>
      <c r="G6805">
        <v>24593</v>
      </c>
    </row>
    <row r="6806" spans="1:7">
      <c r="A6806" t="s">
        <v>1876</v>
      </c>
      <c r="B6806" t="s">
        <v>368</v>
      </c>
      <c r="C6806" t="s">
        <v>161</v>
      </c>
      <c r="D6806">
        <v>9075</v>
      </c>
      <c r="E6806">
        <v>8920</v>
      </c>
      <c r="F6806">
        <v>9259</v>
      </c>
      <c r="G6806">
        <v>8991</v>
      </c>
    </row>
    <row r="6807" spans="1:7">
      <c r="A6807" t="s">
        <v>1876</v>
      </c>
      <c r="B6807" t="s">
        <v>368</v>
      </c>
      <c r="C6807" t="s">
        <v>162</v>
      </c>
      <c r="D6807">
        <v>27</v>
      </c>
      <c r="E6807">
        <v>48</v>
      </c>
      <c r="F6807">
        <v>28</v>
      </c>
      <c r="G6807">
        <v>12</v>
      </c>
    </row>
    <row r="6808" spans="1:7">
      <c r="A6808" t="s">
        <v>1876</v>
      </c>
      <c r="B6808" t="s">
        <v>368</v>
      </c>
      <c r="C6808" t="s">
        <v>163</v>
      </c>
      <c r="D6808">
        <v>3870</v>
      </c>
      <c r="E6808">
        <v>3912</v>
      </c>
      <c r="F6808">
        <v>3818</v>
      </c>
      <c r="G6808">
        <v>3706</v>
      </c>
    </row>
    <row r="6809" spans="1:7">
      <c r="A6809" t="s">
        <v>1876</v>
      </c>
      <c r="B6809" t="s">
        <v>368</v>
      </c>
      <c r="C6809" t="s">
        <v>164</v>
      </c>
      <c r="D6809">
        <v>26900</v>
      </c>
      <c r="E6809">
        <v>26786</v>
      </c>
      <c r="F6809">
        <v>27791</v>
      </c>
      <c r="G6809">
        <v>26399</v>
      </c>
    </row>
    <row r="6810" spans="1:7">
      <c r="A6810" t="s">
        <v>1876</v>
      </c>
      <c r="B6810" t="s">
        <v>368</v>
      </c>
      <c r="C6810" t="s">
        <v>165</v>
      </c>
      <c r="D6810">
        <v>63272</v>
      </c>
      <c r="E6810">
        <v>67200</v>
      </c>
      <c r="F6810">
        <v>64592</v>
      </c>
      <c r="G6810">
        <v>63700</v>
      </c>
    </row>
    <row r="6811" spans="1:7">
      <c r="A6811" t="s">
        <v>1876</v>
      </c>
      <c r="B6811" t="s">
        <v>368</v>
      </c>
      <c r="C6811" t="s">
        <v>166</v>
      </c>
      <c r="D6811">
        <v>63244</v>
      </c>
      <c r="E6811">
        <v>67152</v>
      </c>
      <c r="F6811">
        <v>64565</v>
      </c>
      <c r="G6811">
        <v>63689</v>
      </c>
    </row>
    <row r="6812" spans="1:7">
      <c r="A6812" t="s">
        <v>1876</v>
      </c>
      <c r="B6812" t="s">
        <v>368</v>
      </c>
      <c r="C6812" t="s">
        <v>167</v>
      </c>
      <c r="D6812">
        <v>27</v>
      </c>
      <c r="E6812">
        <v>48</v>
      </c>
      <c r="F6812">
        <v>28</v>
      </c>
      <c r="G6812">
        <v>12</v>
      </c>
    </row>
    <row r="6813" spans="1:7">
      <c r="A6813" t="s">
        <v>1876</v>
      </c>
      <c r="B6813" t="s">
        <v>368</v>
      </c>
      <c r="C6813" t="s">
        <v>1908</v>
      </c>
      <c r="D6813">
        <v>23155</v>
      </c>
      <c r="E6813">
        <v>27276</v>
      </c>
      <c r="F6813">
        <v>23421</v>
      </c>
      <c r="G6813">
        <v>24310</v>
      </c>
    </row>
    <row r="6814" spans="1:7">
      <c r="A6814" t="s">
        <v>1876</v>
      </c>
      <c r="B6814" t="s">
        <v>368</v>
      </c>
      <c r="C6814" t="s">
        <v>1909</v>
      </c>
      <c r="D6814">
        <v>9075</v>
      </c>
      <c r="E6814">
        <v>8920</v>
      </c>
      <c r="F6814">
        <v>9259</v>
      </c>
      <c r="G6814">
        <v>8991</v>
      </c>
    </row>
    <row r="6815" spans="1:7">
      <c r="A6815" t="s">
        <v>1876</v>
      </c>
      <c r="B6815" t="s">
        <v>368</v>
      </c>
      <c r="C6815" t="s">
        <v>1910</v>
      </c>
      <c r="D6815">
        <v>27</v>
      </c>
      <c r="E6815">
        <v>48</v>
      </c>
      <c r="F6815">
        <v>28</v>
      </c>
      <c r="G6815">
        <v>12</v>
      </c>
    </row>
    <row r="6816" spans="1:7">
      <c r="A6816" t="s">
        <v>1876</v>
      </c>
      <c r="B6816" t="s">
        <v>368</v>
      </c>
      <c r="C6816" t="s">
        <v>1911</v>
      </c>
      <c r="D6816">
        <v>3870</v>
      </c>
      <c r="E6816">
        <v>3912</v>
      </c>
      <c r="F6816">
        <v>3818</v>
      </c>
      <c r="G6816">
        <v>3706</v>
      </c>
    </row>
    <row r="6817" spans="1:7">
      <c r="A6817" t="s">
        <v>1876</v>
      </c>
      <c r="B6817" t="s">
        <v>368</v>
      </c>
      <c r="C6817" t="s">
        <v>1912</v>
      </c>
      <c r="D6817">
        <v>26900</v>
      </c>
      <c r="E6817">
        <v>26786</v>
      </c>
      <c r="F6817">
        <v>27791</v>
      </c>
      <c r="G6817">
        <v>26399</v>
      </c>
    </row>
    <row r="6818" spans="1:7">
      <c r="A6818" t="s">
        <v>1876</v>
      </c>
      <c r="B6818" t="s">
        <v>368</v>
      </c>
      <c r="C6818" t="s">
        <v>168</v>
      </c>
      <c r="D6818">
        <v>63027</v>
      </c>
      <c r="E6818">
        <v>66942</v>
      </c>
      <c r="F6818">
        <v>64317</v>
      </c>
      <c r="G6818">
        <v>63417</v>
      </c>
    </row>
    <row r="6819" spans="1:7">
      <c r="A6819" t="s">
        <v>1876</v>
      </c>
      <c r="B6819" t="s">
        <v>368</v>
      </c>
      <c r="C6819" t="s">
        <v>169</v>
      </c>
      <c r="D6819">
        <v>154</v>
      </c>
      <c r="E6819">
        <v>853</v>
      </c>
      <c r="F6819">
        <v>542</v>
      </c>
      <c r="G6819">
        <v>1791</v>
      </c>
    </row>
    <row r="6820" spans="1:7">
      <c r="A6820" t="s">
        <v>1876</v>
      </c>
      <c r="B6820" t="s">
        <v>368</v>
      </c>
      <c r="C6820" t="s">
        <v>1704</v>
      </c>
      <c r="D6820">
        <v>5026</v>
      </c>
      <c r="E6820">
        <v>5126</v>
      </c>
      <c r="F6820">
        <v>5252</v>
      </c>
      <c r="G6820">
        <v>5586</v>
      </c>
    </row>
    <row r="6821" spans="1:7">
      <c r="A6821" t="s">
        <v>1876</v>
      </c>
      <c r="B6821" t="s">
        <v>368</v>
      </c>
      <c r="C6821" t="s">
        <v>170</v>
      </c>
      <c r="D6821">
        <v>7722</v>
      </c>
      <c r="E6821">
        <v>7401</v>
      </c>
      <c r="F6821">
        <v>7589</v>
      </c>
      <c r="G6821">
        <v>4878</v>
      </c>
    </row>
    <row r="6822" spans="1:7">
      <c r="A6822" t="s">
        <v>1876</v>
      </c>
      <c r="B6822" t="s">
        <v>368</v>
      </c>
      <c r="C6822" t="s">
        <v>171</v>
      </c>
      <c r="D6822">
        <v>7443</v>
      </c>
      <c r="E6822">
        <v>-3163</v>
      </c>
      <c r="F6822">
        <v>-7326</v>
      </c>
      <c r="G6822">
        <v>-14323</v>
      </c>
    </row>
    <row r="6823" spans="1:7">
      <c r="A6823" t="s">
        <v>1876</v>
      </c>
      <c r="B6823" t="s">
        <v>368</v>
      </c>
      <c r="C6823" t="s">
        <v>172</v>
      </c>
      <c r="D6823">
        <v>7568</v>
      </c>
      <c r="E6823">
        <v>6548</v>
      </c>
      <c r="F6823">
        <v>7047</v>
      </c>
      <c r="G6823">
        <v>3087</v>
      </c>
    </row>
    <row r="6824" spans="1:7">
      <c r="A6824" t="s">
        <v>1876</v>
      </c>
      <c r="B6824" t="s">
        <v>368</v>
      </c>
      <c r="C6824" t="s">
        <v>1913</v>
      </c>
      <c r="D6824">
        <v>7</v>
      </c>
      <c r="E6824">
        <v>9.5</v>
      </c>
      <c r="F6824">
        <v>13.8</v>
      </c>
      <c r="G6824">
        <v>18.2</v>
      </c>
    </row>
    <row r="6825" spans="1:7">
      <c r="A6825" t="s">
        <v>1876</v>
      </c>
      <c r="B6825" t="s">
        <v>368</v>
      </c>
      <c r="C6825" t="s">
        <v>1914</v>
      </c>
      <c r="D6825">
        <v>0.6</v>
      </c>
      <c r="E6825">
        <v>0.8</v>
      </c>
      <c r="F6825">
        <v>1.2</v>
      </c>
      <c r="G6825">
        <v>1.6</v>
      </c>
    </row>
    <row r="6826" spans="1:7">
      <c r="A6826" t="s">
        <v>1876</v>
      </c>
      <c r="B6826" t="s">
        <v>368</v>
      </c>
      <c r="C6826" t="s">
        <v>173</v>
      </c>
      <c r="D6826">
        <v>5445</v>
      </c>
      <c r="E6826">
        <v>5108</v>
      </c>
      <c r="F6826">
        <v>5684</v>
      </c>
      <c r="G6826">
        <v>5309</v>
      </c>
    </row>
    <row r="6827" spans="1:7">
      <c r="A6827" t="s">
        <v>1876</v>
      </c>
      <c r="B6827" t="s">
        <v>368</v>
      </c>
      <c r="C6827" t="s">
        <v>174</v>
      </c>
      <c r="D6827">
        <v>119</v>
      </c>
      <c r="E6827">
        <v>123</v>
      </c>
      <c r="F6827">
        <v>116</v>
      </c>
      <c r="G6827">
        <v>110</v>
      </c>
    </row>
    <row r="6828" spans="1:7">
      <c r="A6828" t="s">
        <v>1876</v>
      </c>
      <c r="B6828" t="s">
        <v>368</v>
      </c>
      <c r="C6828" t="s">
        <v>175</v>
      </c>
      <c r="D6828">
        <v>81</v>
      </c>
      <c r="E6828">
        <v>84</v>
      </c>
      <c r="F6828">
        <v>83</v>
      </c>
      <c r="G6828">
        <v>49</v>
      </c>
    </row>
    <row r="6829" spans="1:7">
      <c r="A6829" t="s">
        <v>1876</v>
      </c>
      <c r="B6829" t="s">
        <v>368</v>
      </c>
      <c r="C6829" t="s">
        <v>176</v>
      </c>
      <c r="D6829">
        <v>0</v>
      </c>
      <c r="E6829">
        <v>0</v>
      </c>
      <c r="F6829">
        <v>0</v>
      </c>
      <c r="G6829">
        <v>0</v>
      </c>
    </row>
    <row r="6830" spans="1:7">
      <c r="A6830" t="s">
        <v>1876</v>
      </c>
      <c r="B6830" t="s">
        <v>368</v>
      </c>
      <c r="C6830" t="s">
        <v>177</v>
      </c>
      <c r="D6830">
        <v>5644</v>
      </c>
      <c r="E6830">
        <v>5315</v>
      </c>
      <c r="F6830">
        <v>5883</v>
      </c>
      <c r="G6830">
        <v>5469</v>
      </c>
    </row>
    <row r="6831" spans="1:7">
      <c r="A6831" t="s">
        <v>1876</v>
      </c>
      <c r="B6831" t="s">
        <v>368</v>
      </c>
      <c r="C6831" t="s">
        <v>178</v>
      </c>
      <c r="D6831">
        <v>0</v>
      </c>
      <c r="E6831">
        <v>0</v>
      </c>
      <c r="F6831">
        <v>0</v>
      </c>
      <c r="G6831">
        <v>0</v>
      </c>
    </row>
    <row r="6832" spans="1:7">
      <c r="A6832" t="s">
        <v>1876</v>
      </c>
      <c r="B6832" t="s">
        <v>368</v>
      </c>
      <c r="C6832" t="s">
        <v>179</v>
      </c>
      <c r="D6832">
        <v>0</v>
      </c>
      <c r="E6832">
        <v>0</v>
      </c>
      <c r="F6832">
        <v>0</v>
      </c>
      <c r="G6832">
        <v>0</v>
      </c>
    </row>
    <row r="6833" spans="1:7">
      <c r="A6833" t="s">
        <v>1876</v>
      </c>
      <c r="B6833" t="s">
        <v>368</v>
      </c>
      <c r="C6833" t="s">
        <v>180</v>
      </c>
      <c r="D6833">
        <v>0</v>
      </c>
      <c r="E6833">
        <v>0</v>
      </c>
      <c r="F6833">
        <v>0</v>
      </c>
      <c r="G6833">
        <v>0</v>
      </c>
    </row>
    <row r="6834" spans="1:7">
      <c r="A6834" t="s">
        <v>1876</v>
      </c>
      <c r="B6834" t="s">
        <v>368</v>
      </c>
      <c r="C6834" t="s">
        <v>181</v>
      </c>
      <c r="D6834">
        <v>13474</v>
      </c>
      <c r="E6834">
        <v>14090</v>
      </c>
      <c r="F6834">
        <v>13706</v>
      </c>
      <c r="G6834">
        <v>14050</v>
      </c>
    </row>
    <row r="6835" spans="1:7">
      <c r="A6835" t="s">
        <v>1876</v>
      </c>
      <c r="B6835" t="s">
        <v>368</v>
      </c>
      <c r="C6835" t="s">
        <v>182</v>
      </c>
      <c r="D6835">
        <v>8781</v>
      </c>
      <c r="E6835">
        <v>9060</v>
      </c>
      <c r="F6835">
        <v>8190</v>
      </c>
      <c r="G6835">
        <v>7923</v>
      </c>
    </row>
    <row r="6836" spans="1:7">
      <c r="A6836" t="s">
        <v>1876</v>
      </c>
      <c r="B6836" t="s">
        <v>368</v>
      </c>
      <c r="C6836" t="s">
        <v>183</v>
      </c>
      <c r="D6836">
        <v>17272</v>
      </c>
      <c r="E6836">
        <v>17370</v>
      </c>
      <c r="F6836">
        <v>16783</v>
      </c>
      <c r="G6836">
        <v>16724</v>
      </c>
    </row>
    <row r="6837" spans="1:7">
      <c r="A6837" t="s">
        <v>1876</v>
      </c>
      <c r="B6837" t="s">
        <v>368</v>
      </c>
      <c r="C6837" t="s">
        <v>184</v>
      </c>
      <c r="D6837">
        <v>39527</v>
      </c>
      <c r="E6837">
        <v>40520</v>
      </c>
      <c r="F6837">
        <v>38679</v>
      </c>
      <c r="G6837">
        <v>38698</v>
      </c>
    </row>
    <row r="6838" spans="1:7">
      <c r="A6838" t="s">
        <v>1876</v>
      </c>
      <c r="B6838" t="s">
        <v>368</v>
      </c>
      <c r="C6838" t="s">
        <v>185</v>
      </c>
      <c r="D6838">
        <v>39527</v>
      </c>
      <c r="E6838">
        <v>40520</v>
      </c>
      <c r="F6838">
        <v>38679</v>
      </c>
      <c r="G6838">
        <v>38698</v>
      </c>
    </row>
    <row r="6839" spans="1:7">
      <c r="A6839" t="s">
        <v>1876</v>
      </c>
      <c r="B6839" t="s">
        <v>368</v>
      </c>
      <c r="C6839" t="s">
        <v>1915</v>
      </c>
      <c r="D6839">
        <v>10</v>
      </c>
      <c r="E6839">
        <v>17</v>
      </c>
      <c r="F6839">
        <v>43</v>
      </c>
      <c r="G6839">
        <v>56</v>
      </c>
    </row>
    <row r="6840" spans="1:7">
      <c r="A6840" t="s">
        <v>1876</v>
      </c>
      <c r="B6840" t="s">
        <v>368</v>
      </c>
      <c r="C6840" t="s">
        <v>1916</v>
      </c>
      <c r="D6840">
        <v>0</v>
      </c>
      <c r="E6840">
        <v>0</v>
      </c>
      <c r="F6840">
        <v>0</v>
      </c>
      <c r="G6840">
        <v>0</v>
      </c>
    </row>
    <row r="6841" spans="1:7">
      <c r="A6841" t="s">
        <v>1876</v>
      </c>
      <c r="B6841" t="s">
        <v>368</v>
      </c>
      <c r="C6841" t="s">
        <v>1917</v>
      </c>
      <c r="D6841">
        <v>24</v>
      </c>
      <c r="E6841">
        <v>25</v>
      </c>
      <c r="F6841">
        <v>22</v>
      </c>
      <c r="G6841">
        <v>21</v>
      </c>
    </row>
    <row r="6842" spans="1:7">
      <c r="A6842" t="s">
        <v>1876</v>
      </c>
      <c r="B6842" t="s">
        <v>368</v>
      </c>
      <c r="C6842" t="s">
        <v>1918</v>
      </c>
      <c r="D6842">
        <v>539</v>
      </c>
      <c r="E6842">
        <v>742</v>
      </c>
      <c r="F6842">
        <v>930</v>
      </c>
      <c r="G6842">
        <v>1042</v>
      </c>
    </row>
    <row r="6843" spans="1:7">
      <c r="A6843" t="s">
        <v>1876</v>
      </c>
      <c r="B6843" t="s">
        <v>368</v>
      </c>
      <c r="C6843" t="s">
        <v>1919</v>
      </c>
      <c r="D6843">
        <v>2.0299999999999998</v>
      </c>
      <c r="E6843">
        <v>2.0099999999999998</v>
      </c>
      <c r="F6843">
        <v>2.2000000000000002</v>
      </c>
      <c r="G6843">
        <v>2.2599999999999998</v>
      </c>
    </row>
    <row r="6844" spans="1:7">
      <c r="A6844" t="s">
        <v>1876</v>
      </c>
      <c r="B6844" t="s">
        <v>368</v>
      </c>
      <c r="C6844" t="s">
        <v>1920</v>
      </c>
      <c r="D6844">
        <v>728</v>
      </c>
      <c r="E6844">
        <v>966</v>
      </c>
      <c r="F6844">
        <v>1194</v>
      </c>
      <c r="G6844">
        <v>1383</v>
      </c>
    </row>
    <row r="6845" spans="1:7">
      <c r="A6845" t="s">
        <v>1876</v>
      </c>
      <c r="B6845" t="s">
        <v>368</v>
      </c>
      <c r="C6845" t="s">
        <v>1921</v>
      </c>
      <c r="D6845">
        <v>300</v>
      </c>
      <c r="E6845">
        <v>420</v>
      </c>
      <c r="F6845">
        <v>497</v>
      </c>
      <c r="G6845">
        <v>552</v>
      </c>
    </row>
    <row r="6846" spans="1:7">
      <c r="A6846" t="s">
        <v>1876</v>
      </c>
      <c r="B6846" t="s">
        <v>368</v>
      </c>
      <c r="C6846" t="s">
        <v>1922</v>
      </c>
      <c r="D6846">
        <v>165</v>
      </c>
      <c r="E6846">
        <v>199</v>
      </c>
      <c r="F6846">
        <v>242</v>
      </c>
      <c r="G6846">
        <v>320</v>
      </c>
    </row>
    <row r="6847" spans="1:7">
      <c r="A6847" t="s">
        <v>1876</v>
      </c>
      <c r="B6847" t="s">
        <v>368</v>
      </c>
      <c r="C6847" t="s">
        <v>1923</v>
      </c>
      <c r="D6847">
        <v>3.75</v>
      </c>
      <c r="E6847">
        <v>3.11</v>
      </c>
      <c r="F6847">
        <v>2.81</v>
      </c>
      <c r="G6847">
        <v>3.11</v>
      </c>
    </row>
    <row r="6848" spans="1:7">
      <c r="A6848" t="s">
        <v>1876</v>
      </c>
      <c r="B6848" t="s">
        <v>368</v>
      </c>
      <c r="C6848" t="s">
        <v>1924</v>
      </c>
      <c r="D6848">
        <v>43</v>
      </c>
      <c r="E6848">
        <v>6</v>
      </c>
      <c r="F6848">
        <v>5</v>
      </c>
      <c r="G6848">
        <v>4</v>
      </c>
    </row>
    <row r="6849" spans="1:7">
      <c r="A6849" t="s">
        <v>1876</v>
      </c>
      <c r="B6849" t="s">
        <v>368</v>
      </c>
      <c r="C6849" t="s">
        <v>1925</v>
      </c>
      <c r="D6849">
        <v>115</v>
      </c>
      <c r="E6849">
        <v>184</v>
      </c>
      <c r="F6849">
        <v>179</v>
      </c>
      <c r="G6849">
        <v>167</v>
      </c>
    </row>
    <row r="6850" spans="1:7">
      <c r="A6850" t="s">
        <v>1876</v>
      </c>
      <c r="B6850" t="s">
        <v>368</v>
      </c>
      <c r="C6850" t="s">
        <v>1926</v>
      </c>
      <c r="D6850">
        <v>142</v>
      </c>
      <c r="E6850">
        <v>230</v>
      </c>
      <c r="F6850">
        <v>313</v>
      </c>
      <c r="G6850">
        <v>381</v>
      </c>
    </row>
    <row r="6851" spans="1:7">
      <c r="A6851" t="s">
        <v>1876</v>
      </c>
      <c r="B6851" t="s">
        <v>368</v>
      </c>
      <c r="C6851" t="s">
        <v>1927</v>
      </c>
      <c r="D6851">
        <v>13</v>
      </c>
      <c r="E6851">
        <v>18</v>
      </c>
      <c r="F6851">
        <v>14</v>
      </c>
      <c r="G6851">
        <v>11</v>
      </c>
    </row>
    <row r="6852" spans="1:7">
      <c r="A6852" t="s">
        <v>1876</v>
      </c>
      <c r="B6852" t="s">
        <v>368</v>
      </c>
      <c r="C6852" t="s">
        <v>1928</v>
      </c>
      <c r="D6852">
        <v>281</v>
      </c>
      <c r="E6852">
        <v>393</v>
      </c>
      <c r="F6852">
        <v>468</v>
      </c>
      <c r="G6852">
        <v>525</v>
      </c>
    </row>
    <row r="6853" spans="1:7">
      <c r="A6853" t="s">
        <v>1876</v>
      </c>
      <c r="B6853" t="s">
        <v>368</v>
      </c>
      <c r="C6853" t="s">
        <v>1929</v>
      </c>
      <c r="D6853">
        <v>6</v>
      </c>
      <c r="E6853">
        <v>9</v>
      </c>
      <c r="F6853">
        <v>15</v>
      </c>
      <c r="G6853">
        <v>16</v>
      </c>
    </row>
    <row r="6854" spans="1:7">
      <c r="A6854" t="s">
        <v>1876</v>
      </c>
      <c r="B6854" t="s">
        <v>368</v>
      </c>
      <c r="C6854" t="s">
        <v>186</v>
      </c>
      <c r="D6854">
        <v>0</v>
      </c>
      <c r="E6854">
        <v>0</v>
      </c>
      <c r="F6854">
        <v>0</v>
      </c>
      <c r="G6854">
        <v>0</v>
      </c>
    </row>
    <row r="6855" spans="1:7">
      <c r="A6855" t="s">
        <v>1876</v>
      </c>
      <c r="B6855" t="s">
        <v>368</v>
      </c>
      <c r="C6855" t="s">
        <v>187</v>
      </c>
      <c r="D6855">
        <v>0</v>
      </c>
      <c r="E6855">
        <v>0</v>
      </c>
      <c r="F6855">
        <v>0</v>
      </c>
      <c r="G6855">
        <v>0</v>
      </c>
    </row>
    <row r="6856" spans="1:7">
      <c r="A6856" t="s">
        <v>1876</v>
      </c>
      <c r="B6856" t="s">
        <v>368</v>
      </c>
      <c r="C6856" t="s">
        <v>1705</v>
      </c>
      <c r="D6856">
        <v>2532</v>
      </c>
      <c r="E6856">
        <v>2516</v>
      </c>
      <c r="F6856">
        <v>2442</v>
      </c>
      <c r="G6856">
        <v>2429</v>
      </c>
    </row>
    <row r="6857" spans="1:7">
      <c r="A6857" t="s">
        <v>1876</v>
      </c>
      <c r="B6857" t="s">
        <v>368</v>
      </c>
      <c r="C6857" t="s">
        <v>188</v>
      </c>
      <c r="D6857">
        <v>222917</v>
      </c>
      <c r="E6857">
        <v>230629</v>
      </c>
      <c r="F6857">
        <v>236249</v>
      </c>
      <c r="G6857">
        <v>249779</v>
      </c>
    </row>
    <row r="6858" spans="1:7">
      <c r="A6858" t="s">
        <v>1876</v>
      </c>
      <c r="B6858" t="s">
        <v>368</v>
      </c>
      <c r="C6858" t="s">
        <v>189</v>
      </c>
      <c r="D6858">
        <v>0</v>
      </c>
      <c r="E6858">
        <v>0</v>
      </c>
      <c r="F6858">
        <v>0</v>
      </c>
      <c r="G6858">
        <v>0</v>
      </c>
    </row>
    <row r="6859" spans="1:7">
      <c r="A6859" t="s">
        <v>1876</v>
      </c>
      <c r="B6859" t="s">
        <v>368</v>
      </c>
      <c r="C6859" t="s">
        <v>190</v>
      </c>
      <c r="D6859">
        <v>0</v>
      </c>
      <c r="E6859">
        <v>0</v>
      </c>
      <c r="F6859">
        <v>0</v>
      </c>
      <c r="G6859">
        <v>0</v>
      </c>
    </row>
    <row r="6860" spans="1:7">
      <c r="A6860" t="s">
        <v>1876</v>
      </c>
      <c r="B6860" t="s">
        <v>368</v>
      </c>
      <c r="C6860" t="s">
        <v>191</v>
      </c>
      <c r="D6860">
        <v>0</v>
      </c>
      <c r="E6860">
        <v>0</v>
      </c>
      <c r="F6860">
        <v>0</v>
      </c>
      <c r="G6860">
        <v>0</v>
      </c>
    </row>
    <row r="6861" spans="1:7">
      <c r="A6861" t="s">
        <v>1876</v>
      </c>
      <c r="B6861" t="s">
        <v>368</v>
      </c>
      <c r="C6861" t="s">
        <v>192</v>
      </c>
      <c r="D6861">
        <v>79407.600000000006</v>
      </c>
      <c r="E6861">
        <v>86310.6</v>
      </c>
      <c r="F6861">
        <v>93743.8</v>
      </c>
      <c r="G6861">
        <v>99174.1</v>
      </c>
    </row>
    <row r="6862" spans="1:7">
      <c r="A6862" t="s">
        <v>1876</v>
      </c>
      <c r="B6862" t="s">
        <v>368</v>
      </c>
      <c r="C6862" t="s">
        <v>193</v>
      </c>
      <c r="D6862">
        <v>71353.5</v>
      </c>
      <c r="E6862">
        <v>72884.399999999994</v>
      </c>
      <c r="F6862">
        <v>75514</v>
      </c>
      <c r="G6862">
        <v>77758.600000000006</v>
      </c>
    </row>
    <row r="6863" spans="1:7">
      <c r="A6863" t="s">
        <v>1876</v>
      </c>
      <c r="B6863" t="s">
        <v>368</v>
      </c>
      <c r="C6863" t="s">
        <v>1930</v>
      </c>
      <c r="D6863">
        <v>0</v>
      </c>
      <c r="E6863">
        <v>0</v>
      </c>
      <c r="F6863">
        <v>0</v>
      </c>
      <c r="G6863">
        <v>0</v>
      </c>
    </row>
    <row r="6864" spans="1:7">
      <c r="A6864" t="s">
        <v>1876</v>
      </c>
      <c r="B6864" t="s">
        <v>368</v>
      </c>
      <c r="C6864" t="s">
        <v>194</v>
      </c>
      <c r="D6864">
        <v>0</v>
      </c>
      <c r="E6864">
        <v>0</v>
      </c>
      <c r="F6864">
        <v>0</v>
      </c>
      <c r="G6864">
        <v>0</v>
      </c>
    </row>
    <row r="6865" spans="1:7">
      <c r="A6865" t="s">
        <v>1876</v>
      </c>
      <c r="B6865" t="s">
        <v>368</v>
      </c>
      <c r="C6865" t="s">
        <v>195</v>
      </c>
      <c r="D6865">
        <v>0</v>
      </c>
      <c r="E6865">
        <v>0</v>
      </c>
      <c r="F6865">
        <v>0</v>
      </c>
      <c r="G6865">
        <v>0</v>
      </c>
    </row>
    <row r="6866" spans="1:7">
      <c r="A6866" t="s">
        <v>1876</v>
      </c>
      <c r="B6866" t="s">
        <v>368</v>
      </c>
      <c r="C6866" t="s">
        <v>1706</v>
      </c>
      <c r="D6866">
        <v>0</v>
      </c>
      <c r="E6866">
        <v>0</v>
      </c>
      <c r="F6866">
        <v>0</v>
      </c>
      <c r="G6866">
        <v>0</v>
      </c>
    </row>
    <row r="6867" spans="1:7">
      <c r="A6867" t="s">
        <v>1876</v>
      </c>
      <c r="B6867" t="s">
        <v>368</v>
      </c>
      <c r="C6867" t="s">
        <v>196</v>
      </c>
      <c r="D6867">
        <v>0</v>
      </c>
      <c r="E6867">
        <v>0</v>
      </c>
      <c r="F6867">
        <v>0</v>
      </c>
      <c r="G6867">
        <v>0</v>
      </c>
    </row>
    <row r="6868" spans="1:7">
      <c r="A6868" t="s">
        <v>1876</v>
      </c>
      <c r="B6868" t="s">
        <v>368</v>
      </c>
      <c r="C6868" t="s">
        <v>197</v>
      </c>
      <c r="D6868">
        <v>72</v>
      </c>
      <c r="E6868">
        <v>72</v>
      </c>
      <c r="F6868">
        <v>72</v>
      </c>
      <c r="G6868">
        <v>72</v>
      </c>
    </row>
    <row r="6869" spans="1:7">
      <c r="A6869" t="s">
        <v>1876</v>
      </c>
      <c r="B6869" t="s">
        <v>368</v>
      </c>
      <c r="C6869" t="s">
        <v>198</v>
      </c>
      <c r="D6869">
        <v>72</v>
      </c>
      <c r="E6869">
        <v>72</v>
      </c>
      <c r="F6869">
        <v>72</v>
      </c>
      <c r="G6869">
        <v>72</v>
      </c>
    </row>
    <row r="6870" spans="1:7">
      <c r="A6870" t="s">
        <v>1876</v>
      </c>
      <c r="B6870" t="s">
        <v>368</v>
      </c>
      <c r="C6870" t="s">
        <v>199</v>
      </c>
      <c r="D6870">
        <v>72</v>
      </c>
      <c r="E6870">
        <v>72</v>
      </c>
      <c r="F6870">
        <v>72</v>
      </c>
      <c r="G6870">
        <v>72</v>
      </c>
    </row>
    <row r="6871" spans="1:7">
      <c r="A6871" t="s">
        <v>1876</v>
      </c>
      <c r="B6871" t="s">
        <v>368</v>
      </c>
      <c r="C6871" t="s">
        <v>200</v>
      </c>
      <c r="D6871">
        <v>20</v>
      </c>
      <c r="E6871">
        <v>32</v>
      </c>
      <c r="F6871">
        <v>30</v>
      </c>
      <c r="G6871">
        <v>168</v>
      </c>
    </row>
    <row r="6872" spans="1:7">
      <c r="A6872" t="s">
        <v>1876</v>
      </c>
      <c r="B6872" t="s">
        <v>368</v>
      </c>
      <c r="C6872" t="s">
        <v>201</v>
      </c>
      <c r="D6872">
        <v>7090</v>
      </c>
      <c r="E6872">
        <v>6982</v>
      </c>
      <c r="F6872">
        <v>8006</v>
      </c>
      <c r="G6872">
        <v>8600</v>
      </c>
    </row>
    <row r="6873" spans="1:7">
      <c r="A6873" t="s">
        <v>1876</v>
      </c>
      <c r="B6873" t="s">
        <v>368</v>
      </c>
      <c r="C6873" t="s">
        <v>202</v>
      </c>
      <c r="D6873">
        <v>290</v>
      </c>
      <c r="E6873">
        <v>338</v>
      </c>
      <c r="F6873">
        <v>250</v>
      </c>
      <c r="G6873">
        <v>295</v>
      </c>
    </row>
    <row r="6874" spans="1:7">
      <c r="A6874" t="s">
        <v>1876</v>
      </c>
      <c r="B6874" t="s">
        <v>368</v>
      </c>
      <c r="C6874" t="s">
        <v>203</v>
      </c>
      <c r="D6874">
        <v>6704</v>
      </c>
      <c r="E6874">
        <v>6749</v>
      </c>
      <c r="F6874">
        <v>6864</v>
      </c>
      <c r="G6874">
        <v>7968</v>
      </c>
    </row>
    <row r="6875" spans="1:7">
      <c r="A6875" t="s">
        <v>1876</v>
      </c>
      <c r="B6875" t="s">
        <v>368</v>
      </c>
      <c r="C6875" t="s">
        <v>204</v>
      </c>
      <c r="D6875">
        <v>14103</v>
      </c>
      <c r="E6875">
        <v>14101</v>
      </c>
      <c r="F6875">
        <v>15150</v>
      </c>
      <c r="G6875">
        <v>17031</v>
      </c>
    </row>
    <row r="6876" spans="1:7">
      <c r="A6876" t="s">
        <v>1876</v>
      </c>
      <c r="B6876" t="s">
        <v>368</v>
      </c>
      <c r="C6876" t="s">
        <v>205</v>
      </c>
      <c r="D6876">
        <v>14103</v>
      </c>
      <c r="E6876">
        <v>14101</v>
      </c>
      <c r="F6876">
        <v>15150</v>
      </c>
      <c r="G6876">
        <v>17031</v>
      </c>
    </row>
    <row r="6877" spans="1:7">
      <c r="A6877" t="s">
        <v>1876</v>
      </c>
      <c r="B6877" t="s">
        <v>368</v>
      </c>
      <c r="C6877" t="s">
        <v>1931</v>
      </c>
      <c r="D6877">
        <v>0</v>
      </c>
      <c r="E6877">
        <v>0</v>
      </c>
      <c r="F6877">
        <v>0</v>
      </c>
      <c r="G6877">
        <v>0</v>
      </c>
    </row>
    <row r="6878" spans="1:7">
      <c r="A6878" t="s">
        <v>1876</v>
      </c>
      <c r="B6878" t="s">
        <v>368</v>
      </c>
      <c r="C6878" t="s">
        <v>1707</v>
      </c>
      <c r="D6878">
        <v>0</v>
      </c>
      <c r="E6878">
        <v>0</v>
      </c>
      <c r="F6878">
        <v>0</v>
      </c>
      <c r="G6878">
        <v>0</v>
      </c>
    </row>
    <row r="6879" spans="1:7">
      <c r="A6879" t="s">
        <v>1876</v>
      </c>
      <c r="B6879" t="s">
        <v>368</v>
      </c>
      <c r="C6879" t="s">
        <v>1932</v>
      </c>
      <c r="D6879">
        <v>40</v>
      </c>
      <c r="E6879">
        <v>48.2</v>
      </c>
      <c r="F6879">
        <v>60.3</v>
      </c>
      <c r="G6879">
        <v>44.7</v>
      </c>
    </row>
    <row r="6880" spans="1:7">
      <c r="A6880" t="s">
        <v>1876</v>
      </c>
      <c r="B6880" t="s">
        <v>368</v>
      </c>
      <c r="C6880" t="s">
        <v>1708</v>
      </c>
      <c r="D6880">
        <v>726</v>
      </c>
      <c r="E6880">
        <v>726</v>
      </c>
      <c r="F6880">
        <v>726</v>
      </c>
      <c r="G6880">
        <v>726</v>
      </c>
    </row>
    <row r="6881" spans="1:7">
      <c r="A6881" t="s">
        <v>1876</v>
      </c>
      <c r="B6881" t="s">
        <v>368</v>
      </c>
      <c r="C6881" t="s">
        <v>206</v>
      </c>
      <c r="D6881">
        <v>0</v>
      </c>
      <c r="E6881">
        <v>0</v>
      </c>
      <c r="F6881">
        <v>0</v>
      </c>
      <c r="G6881">
        <v>0</v>
      </c>
    </row>
    <row r="6882" spans="1:7">
      <c r="A6882" t="s">
        <v>1876</v>
      </c>
      <c r="B6882" t="s">
        <v>368</v>
      </c>
      <c r="C6882" t="s">
        <v>207</v>
      </c>
      <c r="D6882">
        <v>8395</v>
      </c>
      <c r="E6882">
        <v>10182</v>
      </c>
      <c r="F6882">
        <v>12743</v>
      </c>
      <c r="G6882">
        <v>9571</v>
      </c>
    </row>
    <row r="6883" spans="1:7">
      <c r="A6883" t="s">
        <v>1876</v>
      </c>
      <c r="B6883" t="s">
        <v>368</v>
      </c>
      <c r="C6883" t="s">
        <v>208</v>
      </c>
      <c r="D6883">
        <v>274</v>
      </c>
      <c r="E6883">
        <v>270</v>
      </c>
      <c r="F6883">
        <v>331</v>
      </c>
      <c r="G6883">
        <v>160</v>
      </c>
    </row>
    <row r="6884" spans="1:7">
      <c r="A6884" t="s">
        <v>1876</v>
      </c>
      <c r="B6884" t="s">
        <v>368</v>
      </c>
      <c r="C6884" t="s">
        <v>209</v>
      </c>
      <c r="D6884">
        <v>8670</v>
      </c>
      <c r="E6884">
        <v>10452</v>
      </c>
      <c r="F6884">
        <v>13074</v>
      </c>
      <c r="G6884">
        <v>9730</v>
      </c>
    </row>
    <row r="6885" spans="1:7">
      <c r="A6885" t="s">
        <v>1876</v>
      </c>
      <c r="B6885" t="s">
        <v>368</v>
      </c>
      <c r="C6885" t="s">
        <v>210</v>
      </c>
      <c r="D6885">
        <v>274</v>
      </c>
      <c r="E6885">
        <v>270</v>
      </c>
      <c r="F6885">
        <v>331</v>
      </c>
      <c r="G6885">
        <v>160</v>
      </c>
    </row>
    <row r="6886" spans="1:7">
      <c r="A6886" t="s">
        <v>1876</v>
      </c>
      <c r="B6886" t="s">
        <v>368</v>
      </c>
      <c r="C6886" t="s">
        <v>211</v>
      </c>
      <c r="D6886">
        <v>0</v>
      </c>
      <c r="E6886">
        <v>0</v>
      </c>
      <c r="F6886">
        <v>0</v>
      </c>
      <c r="G6886">
        <v>0</v>
      </c>
    </row>
    <row r="6887" spans="1:7">
      <c r="A6887" t="s">
        <v>1876</v>
      </c>
      <c r="B6887" t="s">
        <v>368</v>
      </c>
      <c r="C6887" t="s">
        <v>212</v>
      </c>
      <c r="D6887">
        <v>0</v>
      </c>
      <c r="E6887">
        <v>0</v>
      </c>
      <c r="F6887">
        <v>0</v>
      </c>
      <c r="G6887">
        <v>0</v>
      </c>
    </row>
    <row r="6888" spans="1:7">
      <c r="A6888" t="s">
        <v>1876</v>
      </c>
      <c r="B6888" t="s">
        <v>368</v>
      </c>
      <c r="C6888" t="s">
        <v>213</v>
      </c>
      <c r="D6888">
        <v>0</v>
      </c>
      <c r="E6888">
        <v>0</v>
      </c>
      <c r="F6888">
        <v>0</v>
      </c>
      <c r="G6888">
        <v>0</v>
      </c>
    </row>
    <row r="6889" spans="1:7">
      <c r="A6889" t="s">
        <v>1876</v>
      </c>
      <c r="B6889" t="s">
        <v>368</v>
      </c>
      <c r="C6889" t="s">
        <v>214</v>
      </c>
      <c r="D6889">
        <v>0</v>
      </c>
      <c r="E6889">
        <v>0</v>
      </c>
      <c r="F6889">
        <v>0</v>
      </c>
      <c r="G6889">
        <v>0</v>
      </c>
    </row>
    <row r="6890" spans="1:7">
      <c r="A6890" t="s">
        <v>1876</v>
      </c>
      <c r="B6890" t="s">
        <v>368</v>
      </c>
      <c r="C6890" t="s">
        <v>215</v>
      </c>
      <c r="D6890">
        <v>2951</v>
      </c>
      <c r="E6890">
        <v>3947</v>
      </c>
      <c r="F6890">
        <v>5370</v>
      </c>
      <c r="G6890">
        <v>4109</v>
      </c>
    </row>
    <row r="6891" spans="1:7">
      <c r="A6891" t="s">
        <v>1876</v>
      </c>
      <c r="B6891" t="s">
        <v>368</v>
      </c>
      <c r="C6891" t="s">
        <v>216</v>
      </c>
      <c r="D6891">
        <v>2951</v>
      </c>
      <c r="E6891">
        <v>3947</v>
      </c>
      <c r="F6891">
        <v>5370</v>
      </c>
      <c r="G6891">
        <v>4109</v>
      </c>
    </row>
    <row r="6892" spans="1:7">
      <c r="A6892" t="s">
        <v>1876</v>
      </c>
      <c r="B6892" t="s">
        <v>368</v>
      </c>
      <c r="C6892" t="s">
        <v>217</v>
      </c>
      <c r="D6892">
        <v>2951</v>
      </c>
      <c r="E6892">
        <v>3947</v>
      </c>
      <c r="F6892">
        <v>5370</v>
      </c>
      <c r="G6892">
        <v>4109</v>
      </c>
    </row>
    <row r="6893" spans="1:7">
      <c r="A6893" t="s">
        <v>1876</v>
      </c>
      <c r="B6893" t="s">
        <v>368</v>
      </c>
      <c r="C6893" t="s">
        <v>218</v>
      </c>
      <c r="D6893">
        <v>145</v>
      </c>
      <c r="E6893">
        <v>128</v>
      </c>
      <c r="F6893">
        <v>245</v>
      </c>
      <c r="G6893">
        <v>184</v>
      </c>
    </row>
    <row r="6894" spans="1:7">
      <c r="A6894" t="s">
        <v>1876</v>
      </c>
      <c r="B6894" t="s">
        <v>368</v>
      </c>
      <c r="C6894" t="s">
        <v>219</v>
      </c>
      <c r="D6894">
        <v>10</v>
      </c>
      <c r="E6894">
        <v>8</v>
      </c>
      <c r="F6894">
        <v>31</v>
      </c>
      <c r="G6894">
        <v>17</v>
      </c>
    </row>
    <row r="6895" spans="1:7">
      <c r="A6895" t="s">
        <v>1876</v>
      </c>
      <c r="B6895" t="s">
        <v>368</v>
      </c>
      <c r="C6895" t="s">
        <v>220</v>
      </c>
      <c r="D6895">
        <v>1222</v>
      </c>
      <c r="E6895">
        <v>1079</v>
      </c>
      <c r="F6895">
        <v>2060</v>
      </c>
      <c r="G6895">
        <v>1549</v>
      </c>
    </row>
    <row r="6896" spans="1:7">
      <c r="A6896" t="s">
        <v>1876</v>
      </c>
      <c r="B6896" t="s">
        <v>368</v>
      </c>
      <c r="C6896" t="s">
        <v>221</v>
      </c>
      <c r="D6896">
        <v>1377</v>
      </c>
      <c r="E6896">
        <v>1215</v>
      </c>
      <c r="F6896">
        <v>2335</v>
      </c>
      <c r="G6896">
        <v>1749</v>
      </c>
    </row>
    <row r="6897" spans="1:7">
      <c r="A6897" t="s">
        <v>1876</v>
      </c>
      <c r="B6897" t="s">
        <v>368</v>
      </c>
      <c r="C6897" t="s">
        <v>222</v>
      </c>
      <c r="D6897">
        <v>1377</v>
      </c>
      <c r="E6897">
        <v>1215</v>
      </c>
      <c r="F6897">
        <v>2335</v>
      </c>
      <c r="G6897">
        <v>1749</v>
      </c>
    </row>
    <row r="6898" spans="1:7">
      <c r="A6898" t="s">
        <v>1876</v>
      </c>
      <c r="B6898" t="s">
        <v>368</v>
      </c>
      <c r="C6898" t="s">
        <v>1933</v>
      </c>
      <c r="D6898">
        <v>1153.5</v>
      </c>
      <c r="E6898">
        <v>1134.4000000000001</v>
      </c>
      <c r="F6898">
        <v>1139.7</v>
      </c>
      <c r="G6898">
        <v>1158.2</v>
      </c>
    </row>
    <row r="6899" spans="1:7">
      <c r="A6899" t="s">
        <v>1876</v>
      </c>
      <c r="B6899" t="s">
        <v>368</v>
      </c>
      <c r="C6899" t="s">
        <v>223</v>
      </c>
      <c r="D6899">
        <v>0</v>
      </c>
      <c r="E6899">
        <v>0</v>
      </c>
      <c r="F6899">
        <v>0</v>
      </c>
      <c r="G6899">
        <v>0</v>
      </c>
    </row>
    <row r="6900" spans="1:7">
      <c r="A6900" t="s">
        <v>1876</v>
      </c>
      <c r="B6900" t="s">
        <v>368</v>
      </c>
      <c r="C6900" t="s">
        <v>224</v>
      </c>
      <c r="D6900">
        <v>12781</v>
      </c>
      <c r="E6900">
        <v>11554</v>
      </c>
      <c r="F6900">
        <v>10296</v>
      </c>
      <c r="G6900">
        <v>12959</v>
      </c>
    </row>
    <row r="6901" spans="1:7">
      <c r="A6901" t="s">
        <v>1876</v>
      </c>
      <c r="B6901" t="s">
        <v>368</v>
      </c>
      <c r="C6901" t="s">
        <v>225</v>
      </c>
      <c r="D6901">
        <v>8329</v>
      </c>
      <c r="E6901">
        <v>7430</v>
      </c>
      <c r="F6901">
        <v>6151</v>
      </c>
      <c r="G6901">
        <v>7308</v>
      </c>
    </row>
    <row r="6902" spans="1:7">
      <c r="A6902" t="s">
        <v>1876</v>
      </c>
      <c r="B6902" t="s">
        <v>368</v>
      </c>
      <c r="C6902" t="s">
        <v>226</v>
      </c>
      <c r="D6902">
        <v>16385</v>
      </c>
      <c r="E6902">
        <v>14245</v>
      </c>
      <c r="F6902">
        <v>12606</v>
      </c>
      <c r="G6902">
        <v>15425</v>
      </c>
    </row>
    <row r="6903" spans="1:7">
      <c r="A6903" t="s">
        <v>1876</v>
      </c>
      <c r="B6903" t="s">
        <v>368</v>
      </c>
      <c r="C6903" t="s">
        <v>227</v>
      </c>
      <c r="D6903">
        <v>37495</v>
      </c>
      <c r="E6903">
        <v>33229</v>
      </c>
      <c r="F6903">
        <v>29053</v>
      </c>
      <c r="G6903">
        <v>35692</v>
      </c>
    </row>
    <row r="6904" spans="1:7">
      <c r="A6904" t="s">
        <v>1876</v>
      </c>
      <c r="B6904" t="s">
        <v>368</v>
      </c>
      <c r="C6904" t="s">
        <v>228</v>
      </c>
      <c r="D6904">
        <v>37495</v>
      </c>
      <c r="E6904">
        <v>33229</v>
      </c>
      <c r="F6904">
        <v>29053</v>
      </c>
      <c r="G6904">
        <v>35692</v>
      </c>
    </row>
    <row r="6905" spans="1:7">
      <c r="A6905" t="s">
        <v>1876</v>
      </c>
      <c r="B6905" t="s">
        <v>368</v>
      </c>
      <c r="C6905" t="s">
        <v>229</v>
      </c>
      <c r="D6905">
        <v>517</v>
      </c>
      <c r="E6905">
        <v>575</v>
      </c>
      <c r="F6905">
        <v>420</v>
      </c>
      <c r="G6905">
        <v>398</v>
      </c>
    </row>
    <row r="6906" spans="1:7">
      <c r="A6906" t="s">
        <v>1876</v>
      </c>
      <c r="B6906" t="s">
        <v>368</v>
      </c>
      <c r="C6906" t="s">
        <v>230</v>
      </c>
      <c r="D6906">
        <v>243</v>
      </c>
      <c r="E6906">
        <v>247</v>
      </c>
      <c r="F6906">
        <v>175</v>
      </c>
      <c r="G6906">
        <v>161</v>
      </c>
    </row>
    <row r="6907" spans="1:7">
      <c r="A6907" t="s">
        <v>1876</v>
      </c>
      <c r="B6907" t="s">
        <v>368</v>
      </c>
      <c r="C6907" t="s">
        <v>231</v>
      </c>
      <c r="D6907">
        <v>760</v>
      </c>
      <c r="E6907">
        <v>821</v>
      </c>
      <c r="F6907">
        <v>595</v>
      </c>
      <c r="G6907">
        <v>559</v>
      </c>
    </row>
    <row r="6908" spans="1:7">
      <c r="A6908" t="s">
        <v>1876</v>
      </c>
      <c r="B6908" t="s">
        <v>368</v>
      </c>
      <c r="C6908" t="s">
        <v>232</v>
      </c>
      <c r="D6908">
        <v>760</v>
      </c>
      <c r="E6908">
        <v>821</v>
      </c>
      <c r="F6908">
        <v>595</v>
      </c>
      <c r="G6908">
        <v>559</v>
      </c>
    </row>
    <row r="6909" spans="1:7">
      <c r="A6909" t="s">
        <v>1876</v>
      </c>
      <c r="B6909" t="s">
        <v>368</v>
      </c>
      <c r="C6909" t="s">
        <v>233</v>
      </c>
      <c r="D6909">
        <v>0</v>
      </c>
      <c r="E6909">
        <v>0</v>
      </c>
      <c r="F6909">
        <v>0</v>
      </c>
      <c r="G6909">
        <v>0</v>
      </c>
    </row>
    <row r="6910" spans="1:7">
      <c r="A6910" t="s">
        <v>1876</v>
      </c>
      <c r="B6910" t="s">
        <v>368</v>
      </c>
      <c r="C6910" t="s">
        <v>234</v>
      </c>
      <c r="D6910">
        <v>75914</v>
      </c>
      <c r="E6910">
        <v>72992</v>
      </c>
      <c r="F6910">
        <v>82036</v>
      </c>
      <c r="G6910">
        <v>76841</v>
      </c>
    </row>
    <row r="6911" spans="1:7">
      <c r="A6911" t="s">
        <v>1876</v>
      </c>
      <c r="B6911" t="s">
        <v>368</v>
      </c>
      <c r="C6911" t="s">
        <v>235</v>
      </c>
      <c r="D6911">
        <v>1658</v>
      </c>
      <c r="E6911">
        <v>1754</v>
      </c>
      <c r="F6911">
        <v>1674</v>
      </c>
      <c r="G6911">
        <v>1599</v>
      </c>
    </row>
    <row r="6912" spans="1:7">
      <c r="A6912" t="s">
        <v>1876</v>
      </c>
      <c r="B6912" t="s">
        <v>368</v>
      </c>
      <c r="C6912" t="s">
        <v>236</v>
      </c>
      <c r="D6912">
        <v>1126</v>
      </c>
      <c r="E6912">
        <v>1198</v>
      </c>
      <c r="F6912">
        <v>1193</v>
      </c>
      <c r="G6912">
        <v>716</v>
      </c>
    </row>
    <row r="6913" spans="1:7">
      <c r="A6913" t="s">
        <v>1876</v>
      </c>
      <c r="B6913" t="s">
        <v>368</v>
      </c>
      <c r="C6913" t="s">
        <v>237</v>
      </c>
      <c r="D6913">
        <v>78699</v>
      </c>
      <c r="E6913">
        <v>75944</v>
      </c>
      <c r="F6913">
        <v>84904</v>
      </c>
      <c r="G6913">
        <v>79156</v>
      </c>
    </row>
    <row r="6914" spans="1:7">
      <c r="A6914" t="s">
        <v>1876</v>
      </c>
      <c r="B6914" t="s">
        <v>368</v>
      </c>
      <c r="C6914" t="s">
        <v>238</v>
      </c>
      <c r="D6914">
        <v>78699</v>
      </c>
      <c r="E6914">
        <v>75944</v>
      </c>
      <c r="F6914">
        <v>84904</v>
      </c>
      <c r="G6914">
        <v>79156</v>
      </c>
    </row>
    <row r="6915" spans="1:7">
      <c r="A6915" t="s">
        <v>1876</v>
      </c>
      <c r="B6915" t="s">
        <v>368</v>
      </c>
      <c r="C6915" t="s">
        <v>1934</v>
      </c>
      <c r="D6915">
        <v>70469</v>
      </c>
      <c r="E6915">
        <v>67883</v>
      </c>
      <c r="F6915">
        <v>76352</v>
      </c>
      <c r="G6915">
        <v>71532</v>
      </c>
    </row>
    <row r="6916" spans="1:7">
      <c r="A6916" t="s">
        <v>1876</v>
      </c>
      <c r="B6916" t="s">
        <v>368</v>
      </c>
      <c r="C6916" t="s">
        <v>1935</v>
      </c>
      <c r="D6916">
        <v>1539</v>
      </c>
      <c r="E6916">
        <v>1631</v>
      </c>
      <c r="F6916">
        <v>1558</v>
      </c>
      <c r="G6916">
        <v>1489</v>
      </c>
    </row>
    <row r="6917" spans="1:7">
      <c r="A6917" t="s">
        <v>1876</v>
      </c>
      <c r="B6917" t="s">
        <v>368</v>
      </c>
      <c r="C6917" t="s">
        <v>1936</v>
      </c>
      <c r="D6917">
        <v>1046</v>
      </c>
      <c r="E6917">
        <v>1114</v>
      </c>
      <c r="F6917">
        <v>1110</v>
      </c>
      <c r="G6917">
        <v>667</v>
      </c>
    </row>
    <row r="6918" spans="1:7">
      <c r="A6918" t="s">
        <v>1876</v>
      </c>
      <c r="B6918" t="s">
        <v>368</v>
      </c>
      <c r="C6918" t="s">
        <v>239</v>
      </c>
      <c r="D6918">
        <v>73054</v>
      </c>
      <c r="E6918">
        <v>70629</v>
      </c>
      <c r="F6918">
        <v>79021</v>
      </c>
      <c r="G6918">
        <v>73687</v>
      </c>
    </row>
    <row r="6919" spans="1:7">
      <c r="A6919" t="s">
        <v>1876</v>
      </c>
      <c r="B6919" t="s">
        <v>368</v>
      </c>
      <c r="C6919" t="s">
        <v>240</v>
      </c>
      <c r="D6919">
        <v>0</v>
      </c>
      <c r="E6919">
        <v>12</v>
      </c>
      <c r="F6919">
        <v>11</v>
      </c>
      <c r="G6919">
        <v>11</v>
      </c>
    </row>
    <row r="6920" spans="1:7">
      <c r="A6920" t="s">
        <v>1876</v>
      </c>
      <c r="B6920" t="s">
        <v>368</v>
      </c>
      <c r="C6920" t="s">
        <v>241</v>
      </c>
      <c r="D6920">
        <v>0</v>
      </c>
      <c r="E6920">
        <v>0</v>
      </c>
      <c r="F6920">
        <v>0</v>
      </c>
      <c r="G6920">
        <v>0</v>
      </c>
    </row>
    <row r="6921" spans="1:7">
      <c r="A6921" t="s">
        <v>1876</v>
      </c>
      <c r="B6921" t="s">
        <v>368</v>
      </c>
      <c r="C6921" t="s">
        <v>242</v>
      </c>
      <c r="D6921">
        <v>1912</v>
      </c>
      <c r="E6921">
        <v>1967</v>
      </c>
      <c r="F6921">
        <v>2325</v>
      </c>
      <c r="G6921">
        <v>4331</v>
      </c>
    </row>
    <row r="6922" spans="1:7">
      <c r="A6922" t="s">
        <v>1876</v>
      </c>
      <c r="B6922" t="s">
        <v>368</v>
      </c>
      <c r="C6922" t="s">
        <v>243</v>
      </c>
      <c r="D6922">
        <v>9406</v>
      </c>
      <c r="E6922">
        <v>9751</v>
      </c>
      <c r="F6922">
        <v>9551</v>
      </c>
      <c r="G6922">
        <v>9559</v>
      </c>
    </row>
    <row r="6923" spans="1:7">
      <c r="A6923" t="s">
        <v>1876</v>
      </c>
      <c r="B6923" t="s">
        <v>368</v>
      </c>
      <c r="C6923" t="s">
        <v>244</v>
      </c>
      <c r="D6923">
        <v>20095</v>
      </c>
      <c r="E6923">
        <v>26077</v>
      </c>
      <c r="F6923">
        <v>26972</v>
      </c>
      <c r="G6923">
        <v>44481</v>
      </c>
    </row>
    <row r="6924" spans="1:7">
      <c r="A6924" t="s">
        <v>1876</v>
      </c>
      <c r="B6924" t="s">
        <v>368</v>
      </c>
      <c r="C6924" t="s">
        <v>1709</v>
      </c>
      <c r="D6924">
        <v>1687</v>
      </c>
      <c r="E6924">
        <v>1672</v>
      </c>
      <c r="F6924">
        <v>1598</v>
      </c>
      <c r="G6924">
        <v>1584</v>
      </c>
    </row>
    <row r="6925" spans="1:7">
      <c r="A6925" t="s">
        <v>1876</v>
      </c>
      <c r="B6925" t="s">
        <v>368</v>
      </c>
      <c r="C6925" t="s">
        <v>245</v>
      </c>
      <c r="D6925">
        <v>22763</v>
      </c>
      <c r="E6925">
        <v>21573</v>
      </c>
      <c r="F6925">
        <v>19089</v>
      </c>
      <c r="G6925">
        <v>20847</v>
      </c>
    </row>
    <row r="6926" spans="1:7">
      <c r="A6926" t="s">
        <v>1876</v>
      </c>
      <c r="B6926" t="s">
        <v>368</v>
      </c>
      <c r="C6926" t="s">
        <v>246</v>
      </c>
      <c r="D6926">
        <v>3058</v>
      </c>
      <c r="E6926">
        <v>3192</v>
      </c>
      <c r="F6926">
        <v>3107</v>
      </c>
      <c r="G6926">
        <v>3087</v>
      </c>
    </row>
    <row r="6927" spans="1:7">
      <c r="A6927" t="s">
        <v>1876</v>
      </c>
      <c r="B6927" t="s">
        <v>368</v>
      </c>
      <c r="C6927" t="s">
        <v>247</v>
      </c>
      <c r="D6927">
        <v>57233</v>
      </c>
      <c r="E6927">
        <v>62559</v>
      </c>
      <c r="F6927">
        <v>61045</v>
      </c>
      <c r="G6927">
        <v>82306</v>
      </c>
    </row>
    <row r="6928" spans="1:7">
      <c r="A6928" t="s">
        <v>1876</v>
      </c>
      <c r="B6928" t="s">
        <v>368</v>
      </c>
      <c r="C6928" t="s">
        <v>248</v>
      </c>
      <c r="D6928">
        <v>41.5</v>
      </c>
      <c r="E6928">
        <v>45</v>
      </c>
      <c r="F6928">
        <v>43.5</v>
      </c>
      <c r="G6928">
        <v>58.4</v>
      </c>
    </row>
    <row r="6929" spans="1:7">
      <c r="A6929" t="s">
        <v>1876</v>
      </c>
      <c r="B6929" t="s">
        <v>368</v>
      </c>
      <c r="C6929" t="s">
        <v>249</v>
      </c>
      <c r="D6929">
        <v>37139</v>
      </c>
      <c r="E6929">
        <v>36482</v>
      </c>
      <c r="F6929">
        <v>34073</v>
      </c>
      <c r="G6929">
        <v>37825</v>
      </c>
    </row>
    <row r="6930" spans="1:7">
      <c r="A6930" t="s">
        <v>1876</v>
      </c>
      <c r="B6930" t="s">
        <v>368</v>
      </c>
      <c r="C6930" t="s">
        <v>250</v>
      </c>
      <c r="D6930">
        <v>57233</v>
      </c>
      <c r="E6930">
        <v>62559</v>
      </c>
      <c r="F6930">
        <v>61045</v>
      </c>
      <c r="G6930">
        <v>82286</v>
      </c>
    </row>
    <row r="6931" spans="1:7">
      <c r="A6931" t="s">
        <v>1876</v>
      </c>
      <c r="B6931" t="s">
        <v>368</v>
      </c>
      <c r="C6931" t="s">
        <v>1937</v>
      </c>
      <c r="D6931">
        <v>15.3</v>
      </c>
      <c r="E6931">
        <v>16.100000000000001</v>
      </c>
      <c r="F6931">
        <v>4.5999999999999996</v>
      </c>
      <c r="G6931">
        <v>1.6</v>
      </c>
    </row>
    <row r="6932" spans="1:7">
      <c r="A6932" t="s">
        <v>1876</v>
      </c>
      <c r="B6932" t="s">
        <v>368</v>
      </c>
      <c r="C6932" t="s">
        <v>1938</v>
      </c>
      <c r="D6932">
        <v>0</v>
      </c>
      <c r="E6932">
        <v>0</v>
      </c>
      <c r="F6932">
        <v>0</v>
      </c>
      <c r="G6932">
        <v>0</v>
      </c>
    </row>
    <row r="6933" spans="1:7">
      <c r="A6933" t="s">
        <v>1876</v>
      </c>
      <c r="B6933" t="s">
        <v>368</v>
      </c>
      <c r="C6933" t="s">
        <v>251</v>
      </c>
      <c r="D6933">
        <v>0</v>
      </c>
      <c r="E6933">
        <v>0</v>
      </c>
      <c r="F6933">
        <v>0</v>
      </c>
      <c r="G6933">
        <v>0</v>
      </c>
    </row>
    <row r="6934" spans="1:7">
      <c r="A6934" t="s">
        <v>1876</v>
      </c>
      <c r="B6934" t="s">
        <v>368</v>
      </c>
      <c r="C6934" t="s">
        <v>252</v>
      </c>
      <c r="D6934">
        <v>0</v>
      </c>
      <c r="E6934">
        <v>0</v>
      </c>
      <c r="F6934">
        <v>0</v>
      </c>
      <c r="G6934">
        <v>0</v>
      </c>
    </row>
    <row r="6935" spans="1:7">
      <c r="A6935" t="s">
        <v>1876</v>
      </c>
      <c r="B6935" t="s">
        <v>368</v>
      </c>
      <c r="C6935" t="s">
        <v>1710</v>
      </c>
      <c r="D6935">
        <v>0</v>
      </c>
      <c r="E6935">
        <v>0</v>
      </c>
      <c r="F6935">
        <v>0</v>
      </c>
      <c r="G6935">
        <v>0</v>
      </c>
    </row>
    <row r="6936" spans="1:7">
      <c r="A6936" t="s">
        <v>1876</v>
      </c>
      <c r="B6936" t="s">
        <v>368</v>
      </c>
      <c r="C6936" t="s">
        <v>1939</v>
      </c>
      <c r="D6936">
        <v>12.2</v>
      </c>
      <c r="E6936">
        <v>13.5</v>
      </c>
      <c r="F6936">
        <v>4.9000000000000004</v>
      </c>
      <c r="G6936">
        <v>0</v>
      </c>
    </row>
    <row r="6937" spans="1:7">
      <c r="A6937" t="s">
        <v>1876</v>
      </c>
      <c r="B6937" t="s">
        <v>368</v>
      </c>
      <c r="C6937" t="s">
        <v>253</v>
      </c>
      <c r="D6937">
        <v>0</v>
      </c>
      <c r="E6937">
        <v>0</v>
      </c>
      <c r="F6937">
        <v>0</v>
      </c>
      <c r="G6937">
        <v>0</v>
      </c>
    </row>
    <row r="6938" spans="1:7">
      <c r="A6938" t="s">
        <v>1876</v>
      </c>
      <c r="B6938" t="s">
        <v>368</v>
      </c>
      <c r="C6938" t="s">
        <v>1711</v>
      </c>
      <c r="D6938">
        <v>0</v>
      </c>
      <c r="E6938">
        <v>0</v>
      </c>
      <c r="F6938">
        <v>0</v>
      </c>
      <c r="G6938">
        <v>0</v>
      </c>
    </row>
    <row r="6939" spans="1:7">
      <c r="A6939" t="s">
        <v>1876</v>
      </c>
      <c r="B6939" t="s">
        <v>368</v>
      </c>
      <c r="C6939" t="s">
        <v>1712</v>
      </c>
      <c r="D6939">
        <v>26</v>
      </c>
      <c r="E6939">
        <v>12</v>
      </c>
      <c r="F6939">
        <v>11</v>
      </c>
      <c r="G6939">
        <v>11</v>
      </c>
    </row>
    <row r="6940" spans="1:7">
      <c r="A6940" t="s">
        <v>1876</v>
      </c>
      <c r="B6940" t="s">
        <v>368</v>
      </c>
      <c r="C6940" t="s">
        <v>1713</v>
      </c>
      <c r="D6940">
        <v>330</v>
      </c>
      <c r="E6940">
        <v>366</v>
      </c>
      <c r="F6940">
        <v>467</v>
      </c>
      <c r="G6940">
        <v>524</v>
      </c>
    </row>
    <row r="6941" spans="1:7">
      <c r="A6941" t="s">
        <v>1876</v>
      </c>
      <c r="B6941" t="s">
        <v>368</v>
      </c>
      <c r="C6941" t="s">
        <v>1940</v>
      </c>
      <c r="D6941">
        <v>0</v>
      </c>
      <c r="E6941">
        <v>0</v>
      </c>
      <c r="F6941">
        <v>0</v>
      </c>
      <c r="G6941">
        <v>0</v>
      </c>
    </row>
    <row r="6942" spans="1:7">
      <c r="A6942" t="s">
        <v>1876</v>
      </c>
      <c r="B6942" t="s">
        <v>368</v>
      </c>
      <c r="C6942" t="s">
        <v>1941</v>
      </c>
      <c r="D6942">
        <v>0</v>
      </c>
      <c r="E6942">
        <v>0</v>
      </c>
      <c r="F6942">
        <v>0</v>
      </c>
      <c r="G6942">
        <v>0</v>
      </c>
    </row>
    <row r="6943" spans="1:7">
      <c r="A6943" t="s">
        <v>1876</v>
      </c>
      <c r="B6943" t="s">
        <v>368</v>
      </c>
      <c r="C6943" t="s">
        <v>254</v>
      </c>
      <c r="D6943">
        <v>26</v>
      </c>
      <c r="E6943">
        <v>12</v>
      </c>
      <c r="F6943">
        <v>11</v>
      </c>
      <c r="G6943">
        <v>11</v>
      </c>
    </row>
    <row r="6944" spans="1:7">
      <c r="A6944" t="s">
        <v>1876</v>
      </c>
      <c r="B6944" t="s">
        <v>368</v>
      </c>
      <c r="C6944" t="s">
        <v>1942</v>
      </c>
      <c r="D6944">
        <v>0</v>
      </c>
      <c r="E6944">
        <v>0</v>
      </c>
      <c r="F6944">
        <v>0</v>
      </c>
      <c r="G6944">
        <v>0</v>
      </c>
    </row>
    <row r="6945" spans="1:7">
      <c r="A6945" t="s">
        <v>1876</v>
      </c>
      <c r="B6945" t="s">
        <v>368</v>
      </c>
      <c r="C6945" t="s">
        <v>255</v>
      </c>
      <c r="D6945">
        <v>357</v>
      </c>
      <c r="E6945">
        <v>378</v>
      </c>
      <c r="F6945">
        <v>478</v>
      </c>
      <c r="G6945">
        <v>535</v>
      </c>
    </row>
    <row r="6946" spans="1:7">
      <c r="A6946" t="s">
        <v>1876</v>
      </c>
      <c r="B6946" t="s">
        <v>368</v>
      </c>
      <c r="C6946" t="s">
        <v>256</v>
      </c>
      <c r="D6946">
        <v>357</v>
      </c>
      <c r="E6946">
        <v>378</v>
      </c>
      <c r="F6946">
        <v>478</v>
      </c>
      <c r="G6946">
        <v>535</v>
      </c>
    </row>
    <row r="6947" spans="1:7">
      <c r="A6947" t="s">
        <v>1876</v>
      </c>
      <c r="B6947" t="s">
        <v>368</v>
      </c>
      <c r="C6947" t="s">
        <v>1714</v>
      </c>
      <c r="D6947">
        <v>22</v>
      </c>
      <c r="E6947">
        <v>22</v>
      </c>
      <c r="F6947">
        <v>22</v>
      </c>
      <c r="G6947">
        <v>22</v>
      </c>
    </row>
    <row r="6948" spans="1:7">
      <c r="A6948" t="s">
        <v>1876</v>
      </c>
      <c r="B6948" t="s">
        <v>368</v>
      </c>
      <c r="C6948" t="s">
        <v>257</v>
      </c>
      <c r="D6948">
        <v>6683</v>
      </c>
      <c r="E6948">
        <v>4546</v>
      </c>
      <c r="F6948">
        <v>4902</v>
      </c>
      <c r="G6948">
        <v>3835</v>
      </c>
    </row>
    <row r="6949" spans="1:7">
      <c r="A6949" t="s">
        <v>1876</v>
      </c>
      <c r="B6949" t="s">
        <v>368</v>
      </c>
      <c r="C6949" t="s">
        <v>258</v>
      </c>
      <c r="D6949">
        <v>9014</v>
      </c>
      <c r="E6949">
        <v>6815</v>
      </c>
      <c r="F6949">
        <v>8208</v>
      </c>
      <c r="G6949">
        <v>6614</v>
      </c>
    </row>
    <row r="6950" spans="1:7">
      <c r="A6950" t="s">
        <v>1876</v>
      </c>
      <c r="B6950" t="s">
        <v>368</v>
      </c>
      <c r="C6950" t="s">
        <v>259</v>
      </c>
      <c r="D6950">
        <v>9014</v>
      </c>
      <c r="E6950">
        <v>6815</v>
      </c>
      <c r="F6950">
        <v>8208</v>
      </c>
      <c r="G6950">
        <v>6614</v>
      </c>
    </row>
    <row r="6951" spans="1:7">
      <c r="A6951" t="s">
        <v>1876</v>
      </c>
      <c r="B6951" t="s">
        <v>368</v>
      </c>
      <c r="C6951" t="s">
        <v>260</v>
      </c>
      <c r="D6951">
        <v>103646</v>
      </c>
      <c r="E6951">
        <v>105975</v>
      </c>
      <c r="F6951">
        <v>112473</v>
      </c>
      <c r="G6951">
        <v>107123</v>
      </c>
    </row>
    <row r="6952" spans="1:7">
      <c r="A6952" t="s">
        <v>1876</v>
      </c>
      <c r="B6952" t="s">
        <v>368</v>
      </c>
      <c r="C6952" t="s">
        <v>1943</v>
      </c>
      <c r="D6952">
        <v>0.1</v>
      </c>
      <c r="E6952">
        <v>3.2</v>
      </c>
      <c r="F6952">
        <v>0.6</v>
      </c>
      <c r="G6952">
        <v>0.5</v>
      </c>
    </row>
    <row r="6953" spans="1:7">
      <c r="A6953" t="s">
        <v>1876</v>
      </c>
      <c r="B6953" t="s">
        <v>368</v>
      </c>
      <c r="C6953" t="s">
        <v>261</v>
      </c>
      <c r="D6953">
        <v>18191</v>
      </c>
      <c r="E6953">
        <v>18013</v>
      </c>
      <c r="F6953">
        <v>19373</v>
      </c>
      <c r="G6953">
        <v>19580</v>
      </c>
    </row>
    <row r="6954" spans="1:7">
      <c r="A6954" t="s">
        <v>1876</v>
      </c>
      <c r="B6954" t="s">
        <v>368</v>
      </c>
      <c r="C6954" t="s">
        <v>262</v>
      </c>
      <c r="D6954">
        <v>637</v>
      </c>
      <c r="E6954">
        <v>3072</v>
      </c>
      <c r="F6954">
        <v>920</v>
      </c>
      <c r="G6954">
        <v>779</v>
      </c>
    </row>
    <row r="6955" spans="1:7">
      <c r="A6955" t="s">
        <v>1876</v>
      </c>
      <c r="B6955" t="s">
        <v>368</v>
      </c>
      <c r="C6955" t="s">
        <v>1715</v>
      </c>
      <c r="D6955">
        <v>845</v>
      </c>
      <c r="E6955">
        <v>845</v>
      </c>
      <c r="F6955">
        <v>845</v>
      </c>
      <c r="G6955">
        <v>845</v>
      </c>
    </row>
    <row r="6956" spans="1:7">
      <c r="A6956" t="s">
        <v>1876</v>
      </c>
      <c r="B6956" t="s">
        <v>368</v>
      </c>
      <c r="C6956" t="s">
        <v>263</v>
      </c>
      <c r="D6956">
        <v>13016</v>
      </c>
      <c r="E6956">
        <v>11067</v>
      </c>
      <c r="F6956">
        <v>11053</v>
      </c>
      <c r="G6956">
        <v>9516</v>
      </c>
    </row>
    <row r="6957" spans="1:7">
      <c r="A6957" t="s">
        <v>1876</v>
      </c>
      <c r="B6957" t="s">
        <v>368</v>
      </c>
      <c r="C6957" t="s">
        <v>264</v>
      </c>
      <c r="D6957">
        <v>34826</v>
      </c>
      <c r="E6957">
        <v>34614</v>
      </c>
      <c r="F6957">
        <v>36715</v>
      </c>
      <c r="G6957">
        <v>35915</v>
      </c>
    </row>
    <row r="6958" spans="1:7">
      <c r="A6958" t="s">
        <v>1876</v>
      </c>
      <c r="B6958" t="s">
        <v>368</v>
      </c>
      <c r="C6958" t="s">
        <v>265</v>
      </c>
      <c r="D6958">
        <v>170316</v>
      </c>
      <c r="E6958">
        <v>172740</v>
      </c>
      <c r="F6958">
        <v>180534</v>
      </c>
      <c r="G6958">
        <v>172913</v>
      </c>
    </row>
    <row r="6959" spans="1:7">
      <c r="A6959" t="s">
        <v>1876</v>
      </c>
      <c r="B6959" t="s">
        <v>368</v>
      </c>
      <c r="C6959" t="s">
        <v>266</v>
      </c>
      <c r="D6959">
        <v>123.5</v>
      </c>
      <c r="E6959">
        <v>124.1</v>
      </c>
      <c r="F6959">
        <v>128.80000000000001</v>
      </c>
      <c r="G6959">
        <v>122.8</v>
      </c>
    </row>
    <row r="6960" spans="1:7">
      <c r="A6960" t="s">
        <v>1876</v>
      </c>
      <c r="B6960" t="s">
        <v>368</v>
      </c>
      <c r="C6960" t="s">
        <v>267</v>
      </c>
      <c r="D6960">
        <v>169679</v>
      </c>
      <c r="E6960">
        <v>169669</v>
      </c>
      <c r="F6960">
        <v>179615</v>
      </c>
      <c r="G6960">
        <v>172133</v>
      </c>
    </row>
    <row r="6961" spans="1:7">
      <c r="A6961" t="s">
        <v>1876</v>
      </c>
      <c r="B6961" t="s">
        <v>368</v>
      </c>
      <c r="C6961" t="s">
        <v>268</v>
      </c>
      <c r="D6961">
        <v>0</v>
      </c>
      <c r="E6961">
        <v>0</v>
      </c>
      <c r="F6961">
        <v>0</v>
      </c>
      <c r="G6961">
        <v>0</v>
      </c>
    </row>
    <row r="6962" spans="1:7">
      <c r="A6962" t="s">
        <v>1876</v>
      </c>
      <c r="B6962" t="s">
        <v>368</v>
      </c>
      <c r="C6962" t="s">
        <v>269</v>
      </c>
      <c r="D6962">
        <v>0</v>
      </c>
      <c r="E6962">
        <v>0</v>
      </c>
      <c r="F6962">
        <v>0</v>
      </c>
      <c r="G6962">
        <v>0</v>
      </c>
    </row>
    <row r="6963" spans="1:7">
      <c r="A6963" t="s">
        <v>1876</v>
      </c>
      <c r="B6963" t="s">
        <v>368</v>
      </c>
      <c r="C6963" t="s">
        <v>270</v>
      </c>
      <c r="D6963">
        <v>0</v>
      </c>
      <c r="E6963">
        <v>0</v>
      </c>
      <c r="F6963">
        <v>0</v>
      </c>
      <c r="G6963">
        <v>0</v>
      </c>
    </row>
    <row r="6964" spans="1:7">
      <c r="A6964" t="s">
        <v>1876</v>
      </c>
      <c r="B6964" t="s">
        <v>368</v>
      </c>
      <c r="C6964" t="s">
        <v>271</v>
      </c>
      <c r="D6964">
        <v>0</v>
      </c>
      <c r="E6964">
        <v>0</v>
      </c>
      <c r="F6964">
        <v>0</v>
      </c>
      <c r="G6964">
        <v>0</v>
      </c>
    </row>
    <row r="6965" spans="1:7">
      <c r="A6965" t="s">
        <v>1876</v>
      </c>
      <c r="B6965" t="s">
        <v>368</v>
      </c>
      <c r="C6965" t="s">
        <v>272</v>
      </c>
      <c r="D6965">
        <v>0</v>
      </c>
      <c r="E6965">
        <v>0</v>
      </c>
      <c r="F6965">
        <v>0</v>
      </c>
      <c r="G6965">
        <v>0</v>
      </c>
    </row>
    <row r="6966" spans="1:7">
      <c r="A6966" t="s">
        <v>1876</v>
      </c>
      <c r="B6966" t="s">
        <v>368</v>
      </c>
      <c r="C6966" t="s">
        <v>1944</v>
      </c>
      <c r="D6966">
        <v>4.0999999999999996</v>
      </c>
      <c r="E6966">
        <v>5.3</v>
      </c>
      <c r="F6966">
        <v>6.7</v>
      </c>
      <c r="G6966">
        <v>8.9</v>
      </c>
    </row>
    <row r="6967" spans="1:7">
      <c r="A6967" t="s">
        <v>1876</v>
      </c>
      <c r="B6967" t="s">
        <v>368</v>
      </c>
      <c r="C6967" t="s">
        <v>1945</v>
      </c>
      <c r="D6967">
        <v>6</v>
      </c>
      <c r="E6967">
        <v>9</v>
      </c>
      <c r="F6967">
        <v>18</v>
      </c>
      <c r="G6967">
        <v>22</v>
      </c>
    </row>
    <row r="6968" spans="1:7">
      <c r="A6968" t="s">
        <v>1876</v>
      </c>
      <c r="B6968" t="s">
        <v>368</v>
      </c>
      <c r="C6968" t="s">
        <v>273</v>
      </c>
      <c r="D6968">
        <v>0</v>
      </c>
      <c r="E6968">
        <v>0</v>
      </c>
      <c r="F6968">
        <v>0</v>
      </c>
      <c r="G6968">
        <v>0</v>
      </c>
    </row>
    <row r="6969" spans="1:7">
      <c r="A6969" t="s">
        <v>1876</v>
      </c>
      <c r="B6969" t="s">
        <v>368</v>
      </c>
      <c r="C6969" t="s">
        <v>1946</v>
      </c>
      <c r="D6969">
        <v>97626</v>
      </c>
      <c r="E6969">
        <v>100242</v>
      </c>
      <c r="F6969">
        <v>106047</v>
      </c>
      <c r="G6969">
        <v>101007</v>
      </c>
    </row>
    <row r="6970" spans="1:7">
      <c r="A6970" t="s">
        <v>1876</v>
      </c>
      <c r="B6970" t="s">
        <v>368</v>
      </c>
      <c r="C6970" t="s">
        <v>1947</v>
      </c>
      <c r="D6970">
        <v>18072</v>
      </c>
      <c r="E6970">
        <v>17890</v>
      </c>
      <c r="F6970">
        <v>19257</v>
      </c>
      <c r="G6970">
        <v>19470</v>
      </c>
    </row>
    <row r="6971" spans="1:7">
      <c r="A6971" t="s">
        <v>1876</v>
      </c>
      <c r="B6971" t="s">
        <v>368</v>
      </c>
      <c r="C6971" t="s">
        <v>1948</v>
      </c>
      <c r="D6971">
        <v>637</v>
      </c>
      <c r="E6971">
        <v>3072</v>
      </c>
      <c r="F6971">
        <v>920</v>
      </c>
      <c r="G6971">
        <v>779</v>
      </c>
    </row>
    <row r="6972" spans="1:7">
      <c r="A6972" t="s">
        <v>1876</v>
      </c>
      <c r="B6972" t="s">
        <v>368</v>
      </c>
      <c r="C6972" t="s">
        <v>1949</v>
      </c>
      <c r="D6972">
        <v>12935</v>
      </c>
      <c r="E6972">
        <v>10983</v>
      </c>
      <c r="F6972">
        <v>10970</v>
      </c>
      <c r="G6972">
        <v>9466</v>
      </c>
    </row>
    <row r="6973" spans="1:7">
      <c r="A6973" t="s">
        <v>1876</v>
      </c>
      <c r="B6973" t="s">
        <v>368</v>
      </c>
      <c r="C6973" t="s">
        <v>1950</v>
      </c>
      <c r="D6973">
        <v>34826</v>
      </c>
      <c r="E6973">
        <v>34614</v>
      </c>
      <c r="F6973">
        <v>36715</v>
      </c>
      <c r="G6973">
        <v>35915</v>
      </c>
    </row>
    <row r="6974" spans="1:7">
      <c r="A6974" t="s">
        <v>1876</v>
      </c>
      <c r="B6974" t="s">
        <v>368</v>
      </c>
      <c r="C6974" t="s">
        <v>274</v>
      </c>
      <c r="D6974">
        <v>164096</v>
      </c>
      <c r="E6974">
        <v>166801</v>
      </c>
      <c r="F6974">
        <v>173910</v>
      </c>
      <c r="G6974">
        <v>166637</v>
      </c>
    </row>
    <row r="6975" spans="1:7">
      <c r="A6975" t="s">
        <v>1876</v>
      </c>
      <c r="B6975" t="s">
        <v>368</v>
      </c>
      <c r="C6975" t="s">
        <v>275</v>
      </c>
      <c r="D6975">
        <v>0</v>
      </c>
      <c r="E6975">
        <v>0</v>
      </c>
      <c r="F6975">
        <v>0</v>
      </c>
      <c r="G6975">
        <v>0</v>
      </c>
    </row>
    <row r="6976" spans="1:7">
      <c r="A6976" t="s">
        <v>1876</v>
      </c>
      <c r="B6976" t="s">
        <v>368</v>
      </c>
      <c r="C6976" t="s">
        <v>276</v>
      </c>
      <c r="D6976">
        <v>0</v>
      </c>
      <c r="E6976">
        <v>0</v>
      </c>
      <c r="F6976">
        <v>0</v>
      </c>
      <c r="G6976">
        <v>0</v>
      </c>
    </row>
    <row r="6977" spans="1:7">
      <c r="A6977" t="s">
        <v>1876</v>
      </c>
      <c r="B6977" t="s">
        <v>368</v>
      </c>
      <c r="C6977" t="s">
        <v>277</v>
      </c>
      <c r="D6977">
        <v>20</v>
      </c>
      <c r="E6977">
        <v>32</v>
      </c>
      <c r="F6977">
        <v>30</v>
      </c>
      <c r="G6977">
        <v>168</v>
      </c>
    </row>
    <row r="6978" spans="1:7">
      <c r="A6978" t="s">
        <v>1876</v>
      </c>
      <c r="B6978" t="s">
        <v>368</v>
      </c>
      <c r="C6978" t="s">
        <v>278</v>
      </c>
      <c r="D6978">
        <v>7090</v>
      </c>
      <c r="E6978">
        <v>6982</v>
      </c>
      <c r="F6978">
        <v>8006</v>
      </c>
      <c r="G6978">
        <v>8600</v>
      </c>
    </row>
    <row r="6979" spans="1:7">
      <c r="A6979" t="s">
        <v>1876</v>
      </c>
      <c r="B6979" t="s">
        <v>368</v>
      </c>
      <c r="C6979" t="s">
        <v>279</v>
      </c>
      <c r="D6979">
        <v>290</v>
      </c>
      <c r="E6979">
        <v>338</v>
      </c>
      <c r="F6979">
        <v>250</v>
      </c>
      <c r="G6979">
        <v>295</v>
      </c>
    </row>
    <row r="6980" spans="1:7">
      <c r="A6980" t="s">
        <v>1876</v>
      </c>
      <c r="B6980" t="s">
        <v>368</v>
      </c>
      <c r="C6980" t="s">
        <v>280</v>
      </c>
      <c r="D6980">
        <v>6704</v>
      </c>
      <c r="E6980">
        <v>6749</v>
      </c>
      <c r="F6980">
        <v>6864</v>
      </c>
      <c r="G6980">
        <v>7968</v>
      </c>
    </row>
    <row r="6981" spans="1:7">
      <c r="A6981" t="s">
        <v>1876</v>
      </c>
      <c r="B6981" t="s">
        <v>368</v>
      </c>
      <c r="C6981" t="s">
        <v>281</v>
      </c>
      <c r="D6981">
        <v>14103</v>
      </c>
      <c r="E6981">
        <v>14101</v>
      </c>
      <c r="F6981">
        <v>15150</v>
      </c>
      <c r="G6981">
        <v>17031</v>
      </c>
    </row>
    <row r="6982" spans="1:7">
      <c r="A6982" t="s">
        <v>1876</v>
      </c>
      <c r="B6982" t="s">
        <v>368</v>
      </c>
      <c r="C6982" t="s">
        <v>282</v>
      </c>
      <c r="D6982">
        <v>14103</v>
      </c>
      <c r="E6982">
        <v>14101</v>
      </c>
      <c r="F6982">
        <v>15150</v>
      </c>
      <c r="G6982">
        <v>17031</v>
      </c>
    </row>
    <row r="6983" spans="1:7">
      <c r="A6983" t="s">
        <v>1876</v>
      </c>
      <c r="B6983" t="s">
        <v>368</v>
      </c>
      <c r="C6983" t="s">
        <v>283</v>
      </c>
      <c r="D6983">
        <v>0</v>
      </c>
      <c r="E6983">
        <v>0</v>
      </c>
      <c r="F6983">
        <v>0</v>
      </c>
      <c r="G6983">
        <v>0</v>
      </c>
    </row>
    <row r="6984" spans="1:7">
      <c r="A6984" t="s">
        <v>1876</v>
      </c>
      <c r="B6984" t="s">
        <v>368</v>
      </c>
      <c r="C6984" t="s">
        <v>284</v>
      </c>
      <c r="D6984">
        <v>0</v>
      </c>
      <c r="E6984">
        <v>0</v>
      </c>
      <c r="F6984">
        <v>0</v>
      </c>
      <c r="G6984">
        <v>0</v>
      </c>
    </row>
    <row r="6985" spans="1:7">
      <c r="A6985" t="s">
        <v>1876</v>
      </c>
      <c r="B6985" t="s">
        <v>368</v>
      </c>
      <c r="C6985" t="s">
        <v>1716</v>
      </c>
      <c r="D6985">
        <v>6020</v>
      </c>
      <c r="E6985">
        <v>5733</v>
      </c>
      <c r="F6985">
        <v>6426</v>
      </c>
      <c r="G6985">
        <v>6116</v>
      </c>
    </row>
    <row r="6986" spans="1:7">
      <c r="A6986" t="s">
        <v>1876</v>
      </c>
      <c r="B6986" t="s">
        <v>368</v>
      </c>
      <c r="C6986" t="s">
        <v>1717</v>
      </c>
      <c r="D6986">
        <v>2811</v>
      </c>
      <c r="E6986">
        <v>3518</v>
      </c>
      <c r="F6986">
        <v>3908</v>
      </c>
      <c r="G6986">
        <v>4992</v>
      </c>
    </row>
    <row r="6987" spans="1:7">
      <c r="A6987" t="s">
        <v>1876</v>
      </c>
      <c r="B6987" t="s">
        <v>368</v>
      </c>
      <c r="C6987" t="s">
        <v>1718</v>
      </c>
      <c r="D6987">
        <v>39692</v>
      </c>
      <c r="E6987">
        <v>39947</v>
      </c>
      <c r="F6987">
        <v>38824</v>
      </c>
      <c r="G6987">
        <v>39520</v>
      </c>
    </row>
    <row r="6988" spans="1:7">
      <c r="A6988" t="s">
        <v>1876</v>
      </c>
      <c r="B6988" t="s">
        <v>368</v>
      </c>
      <c r="C6988" t="s">
        <v>1719</v>
      </c>
      <c r="D6988">
        <v>2425</v>
      </c>
      <c r="E6988">
        <v>2542</v>
      </c>
      <c r="F6988">
        <v>2725</v>
      </c>
      <c r="G6988">
        <v>3073</v>
      </c>
    </row>
    <row r="6989" spans="1:7">
      <c r="A6989" t="s">
        <v>1876</v>
      </c>
      <c r="B6989" t="s">
        <v>368</v>
      </c>
      <c r="C6989" t="s">
        <v>1720</v>
      </c>
      <c r="D6989">
        <v>37571</v>
      </c>
      <c r="E6989">
        <v>35718</v>
      </c>
      <c r="F6989">
        <v>32765</v>
      </c>
      <c r="G6989">
        <v>34654</v>
      </c>
    </row>
    <row r="6990" spans="1:7">
      <c r="A6990" t="s">
        <v>1876</v>
      </c>
      <c r="B6990" t="s">
        <v>368</v>
      </c>
      <c r="C6990" t="s">
        <v>1721</v>
      </c>
      <c r="D6990">
        <v>9044</v>
      </c>
      <c r="E6990">
        <v>11330</v>
      </c>
      <c r="F6990">
        <v>9793</v>
      </c>
      <c r="G6990">
        <v>9370</v>
      </c>
    </row>
    <row r="6991" spans="1:7">
      <c r="A6991" t="s">
        <v>1876</v>
      </c>
      <c r="B6991" t="s">
        <v>368</v>
      </c>
      <c r="C6991" t="s">
        <v>285</v>
      </c>
      <c r="D6991">
        <v>95138</v>
      </c>
      <c r="E6991">
        <v>96245</v>
      </c>
      <c r="F6991">
        <v>91717</v>
      </c>
      <c r="G6991">
        <v>94653</v>
      </c>
    </row>
    <row r="6992" spans="1:7">
      <c r="A6992" t="s">
        <v>1876</v>
      </c>
      <c r="B6992" t="s">
        <v>368</v>
      </c>
      <c r="C6992" t="s">
        <v>1951</v>
      </c>
      <c r="D6992">
        <v>28.6</v>
      </c>
      <c r="E6992">
        <v>29.1</v>
      </c>
      <c r="F6992">
        <v>28</v>
      </c>
      <c r="G6992">
        <v>28.4</v>
      </c>
    </row>
    <row r="6993" spans="1:7">
      <c r="A6993" t="s">
        <v>1876</v>
      </c>
      <c r="B6993" t="s">
        <v>368</v>
      </c>
      <c r="C6993" t="s">
        <v>286</v>
      </c>
      <c r="D6993">
        <v>399</v>
      </c>
      <c r="E6993">
        <v>408</v>
      </c>
      <c r="F6993">
        <v>339</v>
      </c>
      <c r="G6993">
        <v>367</v>
      </c>
    </row>
    <row r="6994" spans="1:7">
      <c r="A6994" t="s">
        <v>1876</v>
      </c>
      <c r="B6994" t="s">
        <v>368</v>
      </c>
      <c r="C6994" t="s">
        <v>287</v>
      </c>
      <c r="D6994">
        <v>223</v>
      </c>
      <c r="E6994">
        <v>229</v>
      </c>
      <c r="F6994">
        <v>190</v>
      </c>
      <c r="G6994">
        <v>205</v>
      </c>
    </row>
    <row r="6995" spans="1:7">
      <c r="A6995" t="s">
        <v>1876</v>
      </c>
      <c r="B6995" t="s">
        <v>368</v>
      </c>
      <c r="C6995" t="s">
        <v>288</v>
      </c>
      <c r="D6995">
        <v>609</v>
      </c>
      <c r="E6995">
        <v>3024</v>
      </c>
      <c r="F6995">
        <v>892</v>
      </c>
      <c r="G6995">
        <v>768</v>
      </c>
    </row>
    <row r="6996" spans="1:7">
      <c r="A6996" t="s">
        <v>1876</v>
      </c>
      <c r="B6996" t="s">
        <v>368</v>
      </c>
      <c r="C6996" t="s">
        <v>289</v>
      </c>
      <c r="D6996">
        <v>1046</v>
      </c>
      <c r="E6996">
        <v>1072</v>
      </c>
      <c r="F6996">
        <v>890</v>
      </c>
      <c r="G6996">
        <v>963</v>
      </c>
    </row>
    <row r="6997" spans="1:7">
      <c r="A6997" t="s">
        <v>1876</v>
      </c>
      <c r="B6997" t="s">
        <v>368</v>
      </c>
      <c r="C6997" t="s">
        <v>290</v>
      </c>
      <c r="D6997">
        <v>2277</v>
      </c>
      <c r="E6997">
        <v>4733</v>
      </c>
      <c r="F6997">
        <v>2311</v>
      </c>
      <c r="G6997">
        <v>2303</v>
      </c>
    </row>
    <row r="6998" spans="1:7">
      <c r="A6998" t="s">
        <v>1876</v>
      </c>
      <c r="B6998" t="s">
        <v>368</v>
      </c>
      <c r="C6998" t="s">
        <v>291</v>
      </c>
      <c r="D6998">
        <v>1668</v>
      </c>
      <c r="E6998">
        <v>1709</v>
      </c>
      <c r="F6998">
        <v>1419</v>
      </c>
      <c r="G6998">
        <v>1536</v>
      </c>
    </row>
    <row r="6999" spans="1:7">
      <c r="A6999" t="s">
        <v>1876</v>
      </c>
      <c r="B6999" t="s">
        <v>368</v>
      </c>
      <c r="C6999" t="s">
        <v>292</v>
      </c>
      <c r="D6999">
        <v>0</v>
      </c>
      <c r="E6999">
        <v>0</v>
      </c>
      <c r="F6999">
        <v>0</v>
      </c>
      <c r="G6999">
        <v>2</v>
      </c>
    </row>
    <row r="7000" spans="1:7">
      <c r="A7000" t="s">
        <v>1876</v>
      </c>
      <c r="B7000" t="s">
        <v>368</v>
      </c>
      <c r="C7000" t="s">
        <v>293</v>
      </c>
      <c r="D7000">
        <v>0</v>
      </c>
      <c r="E7000">
        <v>0</v>
      </c>
      <c r="F7000">
        <v>0</v>
      </c>
      <c r="G7000">
        <v>11</v>
      </c>
    </row>
    <row r="7001" spans="1:7">
      <c r="A7001" t="s">
        <v>1876</v>
      </c>
      <c r="B7001" t="s">
        <v>368</v>
      </c>
      <c r="C7001" t="s">
        <v>294</v>
      </c>
      <c r="D7001">
        <v>0</v>
      </c>
      <c r="E7001">
        <v>0</v>
      </c>
      <c r="F7001">
        <v>0</v>
      </c>
      <c r="G7001">
        <v>5</v>
      </c>
    </row>
    <row r="7002" spans="1:7">
      <c r="A7002" t="s">
        <v>1876</v>
      </c>
      <c r="B7002" t="s">
        <v>368</v>
      </c>
      <c r="C7002" t="s">
        <v>295</v>
      </c>
      <c r="D7002">
        <v>0</v>
      </c>
      <c r="E7002">
        <v>0</v>
      </c>
      <c r="F7002">
        <v>0</v>
      </c>
      <c r="G7002">
        <v>1</v>
      </c>
    </row>
    <row r="7003" spans="1:7">
      <c r="A7003" t="s">
        <v>1876</v>
      </c>
      <c r="B7003" t="s">
        <v>368</v>
      </c>
      <c r="C7003" t="s">
        <v>296</v>
      </c>
      <c r="D7003">
        <v>0</v>
      </c>
      <c r="E7003">
        <v>0</v>
      </c>
      <c r="F7003">
        <v>0</v>
      </c>
      <c r="G7003">
        <v>20</v>
      </c>
    </row>
    <row r="7004" spans="1:7">
      <c r="A7004" t="s">
        <v>1876</v>
      </c>
      <c r="B7004" t="s">
        <v>368</v>
      </c>
      <c r="C7004" t="s">
        <v>297</v>
      </c>
      <c r="D7004">
        <v>0</v>
      </c>
      <c r="E7004">
        <v>0</v>
      </c>
      <c r="F7004">
        <v>0</v>
      </c>
      <c r="G7004">
        <v>0</v>
      </c>
    </row>
    <row r="7005" spans="1:7">
      <c r="A7005" t="s">
        <v>1876</v>
      </c>
      <c r="B7005" t="s">
        <v>368</v>
      </c>
      <c r="C7005" t="s">
        <v>1952</v>
      </c>
      <c r="D7005">
        <v>0</v>
      </c>
      <c r="E7005">
        <v>0</v>
      </c>
      <c r="F7005">
        <v>0</v>
      </c>
      <c r="G7005">
        <v>0</v>
      </c>
    </row>
    <row r="7006" spans="1:7">
      <c r="A7006" t="s">
        <v>1876</v>
      </c>
      <c r="B7006" t="s">
        <v>368</v>
      </c>
      <c r="C7006" t="s">
        <v>298</v>
      </c>
      <c r="D7006">
        <v>0</v>
      </c>
      <c r="E7006">
        <v>0</v>
      </c>
      <c r="F7006">
        <v>0</v>
      </c>
      <c r="G7006">
        <v>0</v>
      </c>
    </row>
    <row r="7007" spans="1:7">
      <c r="A7007" t="s">
        <v>1876</v>
      </c>
      <c r="B7007" t="s">
        <v>368</v>
      </c>
      <c r="C7007" t="s">
        <v>299</v>
      </c>
      <c r="D7007">
        <v>232</v>
      </c>
      <c r="E7007">
        <v>864</v>
      </c>
      <c r="F7007">
        <v>1774</v>
      </c>
      <c r="G7007">
        <v>2939</v>
      </c>
    </row>
    <row r="7008" spans="1:7">
      <c r="A7008" t="s">
        <v>1876</v>
      </c>
      <c r="B7008" t="s">
        <v>368</v>
      </c>
      <c r="C7008" t="s">
        <v>300</v>
      </c>
      <c r="D7008">
        <v>538</v>
      </c>
      <c r="E7008">
        <v>1473</v>
      </c>
      <c r="F7008">
        <v>1783</v>
      </c>
      <c r="G7008">
        <v>3225</v>
      </c>
    </row>
    <row r="7009" spans="1:7">
      <c r="A7009" t="s">
        <v>1876</v>
      </c>
      <c r="B7009" t="s">
        <v>368</v>
      </c>
      <c r="C7009" t="s">
        <v>1722</v>
      </c>
      <c r="D7009">
        <v>201</v>
      </c>
      <c r="E7009">
        <v>298</v>
      </c>
      <c r="F7009">
        <v>481</v>
      </c>
      <c r="G7009">
        <v>829</v>
      </c>
    </row>
    <row r="7010" spans="1:7">
      <c r="A7010" t="s">
        <v>1876</v>
      </c>
      <c r="B7010" t="s">
        <v>368</v>
      </c>
      <c r="C7010" t="s">
        <v>301</v>
      </c>
      <c r="D7010">
        <v>0</v>
      </c>
      <c r="E7010">
        <v>0</v>
      </c>
      <c r="F7010">
        <v>0</v>
      </c>
      <c r="G7010">
        <v>0</v>
      </c>
    </row>
    <row r="7011" spans="1:7">
      <c r="A7011" t="s">
        <v>1876</v>
      </c>
      <c r="B7011" t="s">
        <v>368</v>
      </c>
      <c r="C7011" t="s">
        <v>302</v>
      </c>
      <c r="D7011">
        <v>379</v>
      </c>
      <c r="E7011">
        <v>433</v>
      </c>
      <c r="F7011">
        <v>518</v>
      </c>
      <c r="G7011">
        <v>671</v>
      </c>
    </row>
    <row r="7012" spans="1:7">
      <c r="A7012" t="s">
        <v>1876</v>
      </c>
      <c r="B7012" t="s">
        <v>368</v>
      </c>
      <c r="C7012" t="s">
        <v>303</v>
      </c>
      <c r="D7012">
        <v>1149</v>
      </c>
      <c r="E7012">
        <v>2769</v>
      </c>
      <c r="F7012">
        <v>4076</v>
      </c>
      <c r="G7012">
        <v>6836</v>
      </c>
    </row>
    <row r="7013" spans="1:7">
      <c r="A7013" t="s">
        <v>1876</v>
      </c>
      <c r="B7013" t="s">
        <v>368</v>
      </c>
      <c r="C7013" t="s">
        <v>304</v>
      </c>
      <c r="D7013">
        <v>612</v>
      </c>
      <c r="E7013">
        <v>1296</v>
      </c>
      <c r="F7013">
        <v>2292</v>
      </c>
      <c r="G7013">
        <v>3611</v>
      </c>
    </row>
    <row r="7014" spans="1:7">
      <c r="A7014" t="s">
        <v>1876</v>
      </c>
      <c r="B7014" t="s">
        <v>368</v>
      </c>
      <c r="C7014" t="s">
        <v>1953</v>
      </c>
      <c r="D7014">
        <v>16.8</v>
      </c>
      <c r="E7014">
        <v>19.3</v>
      </c>
      <c r="F7014">
        <v>15.2</v>
      </c>
      <c r="G7014">
        <v>17.399999999999999</v>
      </c>
    </row>
    <row r="7015" spans="1:7">
      <c r="A7015" t="s">
        <v>1876</v>
      </c>
      <c r="B7015" t="s">
        <v>368</v>
      </c>
      <c r="C7015" t="s">
        <v>305</v>
      </c>
      <c r="D7015">
        <v>105558</v>
      </c>
      <c r="E7015">
        <v>107942</v>
      </c>
      <c r="F7015">
        <v>114798</v>
      </c>
      <c r="G7015">
        <v>111454</v>
      </c>
    </row>
    <row r="7016" spans="1:7">
      <c r="A7016" t="s">
        <v>1876</v>
      </c>
      <c r="B7016" t="s">
        <v>368</v>
      </c>
      <c r="C7016" t="s">
        <v>306</v>
      </c>
      <c r="D7016">
        <v>76.5</v>
      </c>
      <c r="E7016">
        <v>77.599999999999994</v>
      </c>
      <c r="F7016">
        <v>81.900000000000006</v>
      </c>
      <c r="G7016">
        <v>79.099999999999994</v>
      </c>
    </row>
    <row r="7017" spans="1:7">
      <c r="A7017" t="s">
        <v>1876</v>
      </c>
      <c r="B7017" t="s">
        <v>368</v>
      </c>
      <c r="C7017" t="s">
        <v>307</v>
      </c>
      <c r="D7017">
        <v>56544</v>
      </c>
      <c r="E7017">
        <v>56803</v>
      </c>
      <c r="F7017">
        <v>56719</v>
      </c>
      <c r="G7017">
        <v>61028</v>
      </c>
    </row>
    <row r="7018" spans="1:7">
      <c r="A7018" t="s">
        <v>1876</v>
      </c>
      <c r="B7018" t="s">
        <v>368</v>
      </c>
      <c r="C7018" t="s">
        <v>308</v>
      </c>
      <c r="D7018">
        <v>41</v>
      </c>
      <c r="E7018">
        <v>40.799999999999997</v>
      </c>
      <c r="F7018">
        <v>40.5</v>
      </c>
      <c r="G7018">
        <v>43.3</v>
      </c>
    </row>
    <row r="7019" spans="1:7">
      <c r="A7019" t="s">
        <v>1876</v>
      </c>
      <c r="B7019" t="s">
        <v>368</v>
      </c>
      <c r="C7019" t="s">
        <v>309</v>
      </c>
      <c r="D7019">
        <v>69579</v>
      </c>
      <c r="E7019">
        <v>76912</v>
      </c>
      <c r="F7019">
        <v>75057</v>
      </c>
      <c r="G7019">
        <v>88713</v>
      </c>
    </row>
    <row r="7020" spans="1:7">
      <c r="A7020" t="s">
        <v>1876</v>
      </c>
      <c r="B7020" t="s">
        <v>368</v>
      </c>
      <c r="C7020" t="s">
        <v>310</v>
      </c>
      <c r="D7020">
        <v>90380</v>
      </c>
      <c r="E7020">
        <v>84764</v>
      </c>
      <c r="F7020">
        <v>77166</v>
      </c>
      <c r="G7020">
        <v>80193</v>
      </c>
    </row>
    <row r="7021" spans="1:7">
      <c r="A7021" t="s">
        <v>1876</v>
      </c>
      <c r="B7021" t="s">
        <v>368</v>
      </c>
      <c r="C7021" t="s">
        <v>311</v>
      </c>
      <c r="D7021">
        <v>65.5</v>
      </c>
      <c r="E7021">
        <v>60.9</v>
      </c>
      <c r="F7021">
        <v>55</v>
      </c>
      <c r="G7021">
        <v>56.9</v>
      </c>
    </row>
    <row r="7022" spans="1:7">
      <c r="A7022" t="s">
        <v>1876</v>
      </c>
      <c r="B7022" t="s">
        <v>368</v>
      </c>
      <c r="C7022" t="s">
        <v>312</v>
      </c>
      <c r="D7022">
        <v>80584</v>
      </c>
      <c r="E7022">
        <v>80751</v>
      </c>
      <c r="F7022">
        <v>79004</v>
      </c>
      <c r="G7022">
        <v>80521</v>
      </c>
    </row>
    <row r="7023" spans="1:7">
      <c r="A7023" t="s">
        <v>1876</v>
      </c>
      <c r="B7023" t="s">
        <v>368</v>
      </c>
      <c r="C7023" t="s">
        <v>313</v>
      </c>
      <c r="D7023">
        <v>58.4</v>
      </c>
      <c r="E7023">
        <v>58</v>
      </c>
      <c r="F7023">
        <v>56.4</v>
      </c>
      <c r="G7023">
        <v>57.2</v>
      </c>
    </row>
    <row r="7024" spans="1:7">
      <c r="A7024" t="s">
        <v>1876</v>
      </c>
      <c r="B7024" t="s">
        <v>368</v>
      </c>
      <c r="C7024" t="s">
        <v>314</v>
      </c>
      <c r="D7024">
        <v>333066</v>
      </c>
      <c r="E7024">
        <v>330259</v>
      </c>
      <c r="F7024">
        <v>327687</v>
      </c>
      <c r="G7024">
        <v>333196</v>
      </c>
    </row>
    <row r="7025" spans="1:7">
      <c r="A7025" t="s">
        <v>1876</v>
      </c>
      <c r="B7025" t="s">
        <v>368</v>
      </c>
      <c r="C7025" t="s">
        <v>315</v>
      </c>
      <c r="D7025">
        <v>4.67</v>
      </c>
      <c r="E7025">
        <v>4.53</v>
      </c>
      <c r="F7025">
        <v>4.34</v>
      </c>
      <c r="G7025">
        <v>4.29</v>
      </c>
    </row>
    <row r="7026" spans="1:7">
      <c r="A7026" t="s">
        <v>1876</v>
      </c>
      <c r="B7026" t="s">
        <v>368</v>
      </c>
      <c r="C7026" t="s">
        <v>316</v>
      </c>
      <c r="D7026">
        <v>241.5</v>
      </c>
      <c r="E7026">
        <v>237.3</v>
      </c>
      <c r="F7026">
        <v>233.7</v>
      </c>
      <c r="G7026">
        <v>236.6</v>
      </c>
    </row>
    <row r="7027" spans="1:7">
      <c r="A7027" t="s">
        <v>1876</v>
      </c>
      <c r="B7027" t="s">
        <v>368</v>
      </c>
      <c r="C7027" t="s">
        <v>317</v>
      </c>
      <c r="D7027">
        <v>333066</v>
      </c>
      <c r="E7027">
        <v>330259</v>
      </c>
      <c r="F7027">
        <v>327687</v>
      </c>
      <c r="G7027">
        <v>333196</v>
      </c>
    </row>
    <row r="7028" spans="1:7">
      <c r="A7028" t="s">
        <v>1876</v>
      </c>
      <c r="B7028" t="s">
        <v>368</v>
      </c>
      <c r="C7028" t="s">
        <v>318</v>
      </c>
      <c r="D7028">
        <v>105558</v>
      </c>
      <c r="E7028">
        <v>107942</v>
      </c>
      <c r="F7028">
        <v>114798</v>
      </c>
      <c r="G7028">
        <v>111454</v>
      </c>
    </row>
    <row r="7029" spans="1:7">
      <c r="A7029" t="s">
        <v>1876</v>
      </c>
      <c r="B7029" t="s">
        <v>368</v>
      </c>
      <c r="C7029" t="s">
        <v>319</v>
      </c>
      <c r="D7029">
        <v>43763</v>
      </c>
      <c r="E7029">
        <v>45249</v>
      </c>
      <c r="F7029">
        <v>46423</v>
      </c>
      <c r="G7029">
        <v>48069</v>
      </c>
    </row>
    <row r="7030" spans="1:7">
      <c r="A7030" t="s">
        <v>1876</v>
      </c>
      <c r="B7030" t="s">
        <v>368</v>
      </c>
      <c r="C7030" t="s">
        <v>320</v>
      </c>
      <c r="D7030">
        <v>82051</v>
      </c>
      <c r="E7030">
        <v>77334</v>
      </c>
      <c r="F7030">
        <v>71014</v>
      </c>
      <c r="G7030">
        <v>72885</v>
      </c>
    </row>
    <row r="7031" spans="1:7">
      <c r="A7031" t="s">
        <v>1876</v>
      </c>
      <c r="B7031" t="s">
        <v>368</v>
      </c>
      <c r="C7031" t="s">
        <v>321</v>
      </c>
      <c r="D7031">
        <v>64200</v>
      </c>
      <c r="E7031">
        <v>66506</v>
      </c>
      <c r="F7031">
        <v>66398</v>
      </c>
      <c r="G7031">
        <v>65096</v>
      </c>
    </row>
    <row r="7032" spans="1:7">
      <c r="A7032" t="s">
        <v>1876</v>
      </c>
      <c r="B7032" t="s">
        <v>368</v>
      </c>
      <c r="C7032" t="s">
        <v>1954</v>
      </c>
      <c r="D7032">
        <v>295571</v>
      </c>
      <c r="E7032">
        <v>297030</v>
      </c>
      <c r="F7032">
        <v>298634</v>
      </c>
      <c r="G7032">
        <v>297504</v>
      </c>
    </row>
    <row r="7033" spans="1:7">
      <c r="A7033" t="s">
        <v>1876</v>
      </c>
      <c r="B7033" t="s">
        <v>368</v>
      </c>
      <c r="C7033" t="s">
        <v>323</v>
      </c>
      <c r="D7033">
        <v>1379</v>
      </c>
      <c r="E7033">
        <v>1392</v>
      </c>
      <c r="F7033">
        <v>1402</v>
      </c>
      <c r="G7033">
        <v>1408</v>
      </c>
    </row>
    <row r="7034" spans="1:7">
      <c r="A7034" t="s">
        <v>1876</v>
      </c>
      <c r="B7034" t="s">
        <v>368</v>
      </c>
      <c r="C7034" t="s">
        <v>324</v>
      </c>
      <c r="D7034">
        <v>0</v>
      </c>
      <c r="E7034">
        <v>0</v>
      </c>
      <c r="F7034">
        <v>0</v>
      </c>
      <c r="G7034">
        <v>0</v>
      </c>
    </row>
    <row r="7035" spans="1:7">
      <c r="A7035" t="s">
        <v>1876</v>
      </c>
      <c r="B7035" t="s">
        <v>368</v>
      </c>
      <c r="C7035" t="s">
        <v>325</v>
      </c>
      <c r="D7035">
        <v>0</v>
      </c>
      <c r="E7035">
        <v>0</v>
      </c>
      <c r="F7035">
        <v>0</v>
      </c>
      <c r="G7035">
        <v>0</v>
      </c>
    </row>
    <row r="7036" spans="1:7">
      <c r="A7036" t="s">
        <v>1876</v>
      </c>
      <c r="B7036" t="s">
        <v>368</v>
      </c>
      <c r="C7036" t="s">
        <v>326</v>
      </c>
      <c r="D7036">
        <v>1654</v>
      </c>
      <c r="E7036">
        <v>1654</v>
      </c>
      <c r="F7036">
        <v>1654</v>
      </c>
      <c r="G7036">
        <v>1654</v>
      </c>
    </row>
    <row r="7037" spans="1:7">
      <c r="A7037" t="s">
        <v>1876</v>
      </c>
      <c r="B7037" t="s">
        <v>368</v>
      </c>
      <c r="C7037" t="s">
        <v>327</v>
      </c>
      <c r="D7037">
        <v>20932</v>
      </c>
      <c r="E7037">
        <v>18245</v>
      </c>
      <c r="F7037">
        <v>15274</v>
      </c>
      <c r="G7037">
        <v>17357</v>
      </c>
    </row>
    <row r="7038" spans="1:7">
      <c r="A7038" t="s">
        <v>1876</v>
      </c>
      <c r="B7038" t="s">
        <v>368</v>
      </c>
      <c r="C7038" t="s">
        <v>1723</v>
      </c>
      <c r="D7038">
        <v>450</v>
      </c>
      <c r="E7038">
        <v>450</v>
      </c>
      <c r="F7038">
        <v>450</v>
      </c>
      <c r="G7038">
        <v>450</v>
      </c>
    </row>
    <row r="7039" spans="1:7">
      <c r="A7039" t="s">
        <v>1876</v>
      </c>
      <c r="B7039" t="s">
        <v>368</v>
      </c>
      <c r="C7039" t="s">
        <v>328</v>
      </c>
      <c r="D7039">
        <v>36799</v>
      </c>
      <c r="E7039">
        <v>35083</v>
      </c>
      <c r="F7039">
        <v>32071</v>
      </c>
      <c r="G7039">
        <v>33740</v>
      </c>
    </row>
    <row r="7040" spans="1:7">
      <c r="A7040" t="s">
        <v>1876</v>
      </c>
      <c r="B7040" t="s">
        <v>368</v>
      </c>
      <c r="C7040" t="s">
        <v>329</v>
      </c>
      <c r="D7040">
        <v>8592</v>
      </c>
      <c r="E7040">
        <v>10825</v>
      </c>
      <c r="F7040">
        <v>9202</v>
      </c>
      <c r="G7040">
        <v>8627</v>
      </c>
    </row>
    <row r="7041" spans="1:7">
      <c r="A7041" t="s">
        <v>1876</v>
      </c>
      <c r="B7041" t="s">
        <v>368</v>
      </c>
      <c r="C7041" t="s">
        <v>330</v>
      </c>
      <c r="D7041">
        <v>67977</v>
      </c>
      <c r="E7041">
        <v>65806</v>
      </c>
      <c r="F7041">
        <v>58202</v>
      </c>
      <c r="G7041">
        <v>61378</v>
      </c>
    </row>
    <row r="7042" spans="1:7">
      <c r="A7042" t="s">
        <v>1876</v>
      </c>
      <c r="B7042" t="s">
        <v>368</v>
      </c>
      <c r="C7042" t="s">
        <v>331</v>
      </c>
      <c r="D7042">
        <v>806</v>
      </c>
      <c r="E7042">
        <v>878</v>
      </c>
      <c r="F7042">
        <v>364</v>
      </c>
      <c r="G7042">
        <v>289</v>
      </c>
    </row>
    <row r="7043" spans="1:7">
      <c r="A7043" t="s">
        <v>1876</v>
      </c>
      <c r="B7043" t="s">
        <v>368</v>
      </c>
      <c r="C7043" t="s">
        <v>332</v>
      </c>
      <c r="D7043">
        <v>1146</v>
      </c>
      <c r="E7043">
        <v>778</v>
      </c>
      <c r="F7043">
        <v>1044</v>
      </c>
      <c r="G7043">
        <v>1021</v>
      </c>
    </row>
    <row r="7044" spans="1:7">
      <c r="A7044" t="s">
        <v>1876</v>
      </c>
      <c r="B7044" t="s">
        <v>368</v>
      </c>
      <c r="C7044" t="s">
        <v>1724</v>
      </c>
      <c r="D7044">
        <v>39</v>
      </c>
      <c r="E7044">
        <v>39</v>
      </c>
      <c r="F7044">
        <v>39</v>
      </c>
      <c r="G7044">
        <v>39</v>
      </c>
    </row>
    <row r="7045" spans="1:7">
      <c r="A7045" t="s">
        <v>1876</v>
      </c>
      <c r="B7045" t="s">
        <v>368</v>
      </c>
      <c r="C7045" t="s">
        <v>333</v>
      </c>
      <c r="D7045">
        <v>417</v>
      </c>
      <c r="E7045">
        <v>280</v>
      </c>
      <c r="F7045">
        <v>280</v>
      </c>
      <c r="G7045">
        <v>704</v>
      </c>
    </row>
    <row r="7046" spans="1:7">
      <c r="A7046" t="s">
        <v>1876</v>
      </c>
      <c r="B7046" t="s">
        <v>368</v>
      </c>
      <c r="C7046" t="s">
        <v>334</v>
      </c>
      <c r="D7046">
        <v>2369</v>
      </c>
      <c r="E7046">
        <v>1936</v>
      </c>
      <c r="F7046">
        <v>1688</v>
      </c>
      <c r="G7046">
        <v>2013</v>
      </c>
    </row>
    <row r="7047" spans="1:7">
      <c r="A7047" t="s">
        <v>1876</v>
      </c>
      <c r="B7047" t="s">
        <v>368</v>
      </c>
      <c r="C7047" t="s">
        <v>335</v>
      </c>
      <c r="D7047">
        <v>2460</v>
      </c>
      <c r="E7047">
        <v>2531</v>
      </c>
      <c r="F7047">
        <v>2018</v>
      </c>
      <c r="G7047">
        <v>1943</v>
      </c>
    </row>
    <row r="7048" spans="1:7">
      <c r="A7048" t="s">
        <v>1876</v>
      </c>
      <c r="B7048" t="s">
        <v>368</v>
      </c>
      <c r="C7048" t="s">
        <v>336</v>
      </c>
      <c r="D7048">
        <v>22078</v>
      </c>
      <c r="E7048">
        <v>19023</v>
      </c>
      <c r="F7048">
        <v>16318</v>
      </c>
      <c r="G7048">
        <v>18378</v>
      </c>
    </row>
    <row r="7049" spans="1:7">
      <c r="A7049" t="s">
        <v>1876</v>
      </c>
      <c r="B7049" t="s">
        <v>368</v>
      </c>
      <c r="C7049" t="s">
        <v>337</v>
      </c>
      <c r="D7049">
        <v>37216</v>
      </c>
      <c r="E7049">
        <v>35363</v>
      </c>
      <c r="F7049">
        <v>32351</v>
      </c>
      <c r="G7049">
        <v>34444</v>
      </c>
    </row>
    <row r="7050" spans="1:7">
      <c r="A7050" t="s">
        <v>1876</v>
      </c>
      <c r="B7050" t="s">
        <v>368</v>
      </c>
      <c r="C7050" t="s">
        <v>338</v>
      </c>
      <c r="D7050">
        <v>70346</v>
      </c>
      <c r="E7050">
        <v>67743</v>
      </c>
      <c r="F7050">
        <v>59890</v>
      </c>
      <c r="G7050">
        <v>63391</v>
      </c>
    </row>
    <row r="7051" spans="1:7">
      <c r="A7051" t="s">
        <v>1876</v>
      </c>
      <c r="B7051" t="s">
        <v>368</v>
      </c>
      <c r="C7051" t="s">
        <v>339</v>
      </c>
      <c r="D7051">
        <v>48268</v>
      </c>
      <c r="E7051">
        <v>48719</v>
      </c>
      <c r="F7051">
        <v>43571</v>
      </c>
      <c r="G7051">
        <v>45013</v>
      </c>
    </row>
    <row r="7052" spans="1:7">
      <c r="A7052" t="s">
        <v>1876</v>
      </c>
      <c r="B7052" t="s">
        <v>368</v>
      </c>
      <c r="C7052" t="s">
        <v>340</v>
      </c>
      <c r="D7052">
        <v>26</v>
      </c>
      <c r="E7052">
        <v>0</v>
      </c>
      <c r="F7052">
        <v>0</v>
      </c>
      <c r="G7052">
        <v>0</v>
      </c>
    </row>
    <row r="7053" spans="1:7">
      <c r="A7053" t="s">
        <v>1876</v>
      </c>
      <c r="B7053" t="s">
        <v>368</v>
      </c>
      <c r="C7053" t="s">
        <v>1955</v>
      </c>
      <c r="D7053">
        <v>29.2</v>
      </c>
      <c r="E7053">
        <v>30.6</v>
      </c>
      <c r="F7053">
        <v>25.9</v>
      </c>
      <c r="G7053">
        <v>27.1</v>
      </c>
    </row>
    <row r="7054" spans="1:7">
      <c r="A7054" t="s">
        <v>1876</v>
      </c>
      <c r="B7054" t="s">
        <v>368</v>
      </c>
      <c r="C7054" t="s">
        <v>341</v>
      </c>
      <c r="D7054">
        <v>0</v>
      </c>
      <c r="E7054">
        <v>0</v>
      </c>
      <c r="F7054">
        <v>0</v>
      </c>
      <c r="G7054">
        <v>0</v>
      </c>
    </row>
    <row r="7055" spans="1:7">
      <c r="A7055" t="s">
        <v>1876</v>
      </c>
      <c r="B7055" t="s">
        <v>368</v>
      </c>
      <c r="C7055" t="s">
        <v>342</v>
      </c>
      <c r="D7055">
        <v>8681</v>
      </c>
      <c r="E7055">
        <v>9268</v>
      </c>
      <c r="F7055">
        <v>7980</v>
      </c>
      <c r="G7055">
        <v>8347</v>
      </c>
    </row>
    <row r="7056" spans="1:7">
      <c r="A7056" t="s">
        <v>1876</v>
      </c>
      <c r="B7056" t="s">
        <v>368</v>
      </c>
      <c r="C7056" t="s">
        <v>1725</v>
      </c>
      <c r="D7056">
        <v>1010</v>
      </c>
      <c r="E7056">
        <v>1030</v>
      </c>
      <c r="F7056">
        <v>1030</v>
      </c>
      <c r="G7056">
        <v>1030</v>
      </c>
    </row>
    <row r="7057" spans="1:7">
      <c r="A7057" t="s">
        <v>1876</v>
      </c>
      <c r="B7057" t="s">
        <v>368</v>
      </c>
      <c r="C7057" t="s">
        <v>343</v>
      </c>
      <c r="D7057">
        <v>0</v>
      </c>
      <c r="E7057">
        <v>0</v>
      </c>
      <c r="F7057">
        <v>0</v>
      </c>
      <c r="G7057">
        <v>0</v>
      </c>
    </row>
    <row r="7058" spans="1:7">
      <c r="A7058" t="s">
        <v>1876</v>
      </c>
      <c r="B7058" t="s">
        <v>368</v>
      </c>
      <c r="C7058" t="s">
        <v>344</v>
      </c>
      <c r="D7058">
        <v>8681</v>
      </c>
      <c r="E7058">
        <v>9268</v>
      </c>
      <c r="F7058">
        <v>7980</v>
      </c>
      <c r="G7058">
        <v>8347</v>
      </c>
    </row>
    <row r="7059" spans="1:7">
      <c r="A7059" t="s">
        <v>1876</v>
      </c>
      <c r="B7059" t="s">
        <v>368</v>
      </c>
      <c r="C7059" t="s">
        <v>345</v>
      </c>
      <c r="D7059">
        <v>0</v>
      </c>
      <c r="E7059">
        <v>0</v>
      </c>
      <c r="F7059">
        <v>0</v>
      </c>
      <c r="G7059">
        <v>0</v>
      </c>
    </row>
    <row r="7060" spans="1:7">
      <c r="A7060" t="s">
        <v>1876</v>
      </c>
      <c r="B7060" t="s">
        <v>368</v>
      </c>
      <c r="C7060" t="s">
        <v>1956</v>
      </c>
      <c r="D7060">
        <v>1146</v>
      </c>
      <c r="E7060">
        <v>778</v>
      </c>
      <c r="F7060">
        <v>1044</v>
      </c>
      <c r="G7060">
        <v>1021</v>
      </c>
    </row>
    <row r="7061" spans="1:7">
      <c r="A7061" t="s">
        <v>1876</v>
      </c>
      <c r="B7061" t="s">
        <v>368</v>
      </c>
      <c r="C7061" t="s">
        <v>1957</v>
      </c>
      <c r="D7061">
        <v>2369</v>
      </c>
      <c r="E7061">
        <v>1936</v>
      </c>
      <c r="F7061">
        <v>1688</v>
      </c>
      <c r="G7061">
        <v>2013</v>
      </c>
    </row>
    <row r="7062" spans="1:7">
      <c r="A7062" t="s">
        <v>1876</v>
      </c>
      <c r="B7062" t="s">
        <v>368</v>
      </c>
      <c r="C7062" t="s">
        <v>346</v>
      </c>
      <c r="D7062">
        <v>305</v>
      </c>
      <c r="E7062">
        <v>336</v>
      </c>
      <c r="F7062">
        <v>289</v>
      </c>
      <c r="G7062">
        <v>359</v>
      </c>
    </row>
    <row r="7063" spans="1:7">
      <c r="A7063" t="s">
        <v>1876</v>
      </c>
      <c r="B7063" t="s">
        <v>368</v>
      </c>
      <c r="C7063" t="s">
        <v>347</v>
      </c>
      <c r="D7063">
        <v>6959</v>
      </c>
      <c r="E7063">
        <v>7238</v>
      </c>
      <c r="F7063">
        <v>6926</v>
      </c>
      <c r="G7063">
        <v>6846</v>
      </c>
    </row>
    <row r="7064" spans="1:7">
      <c r="A7064" t="s">
        <v>1876</v>
      </c>
      <c r="B7064" t="s">
        <v>369</v>
      </c>
      <c r="C7064" t="s">
        <v>133</v>
      </c>
      <c r="D7064">
        <v>-7</v>
      </c>
      <c r="E7064">
        <v>-5</v>
      </c>
      <c r="F7064">
        <v>-5</v>
      </c>
      <c r="G7064">
        <v>-7</v>
      </c>
    </row>
    <row r="7065" spans="1:7">
      <c r="A7065" t="s">
        <v>1876</v>
      </c>
      <c r="B7065" t="s">
        <v>369</v>
      </c>
      <c r="C7065" t="s">
        <v>134</v>
      </c>
      <c r="D7065">
        <v>28817</v>
      </c>
      <c r="E7065">
        <v>28889</v>
      </c>
      <c r="F7065">
        <v>30191</v>
      </c>
      <c r="G7065">
        <v>26826</v>
      </c>
    </row>
    <row r="7066" spans="1:7">
      <c r="A7066" t="s">
        <v>1876</v>
      </c>
      <c r="B7066" t="s">
        <v>369</v>
      </c>
      <c r="C7066" t="s">
        <v>135</v>
      </c>
      <c r="D7066">
        <v>28817</v>
      </c>
      <c r="E7066">
        <v>28889</v>
      </c>
      <c r="F7066">
        <v>30191</v>
      </c>
      <c r="G7066">
        <v>26826</v>
      </c>
    </row>
    <row r="7067" spans="1:7">
      <c r="A7067" t="s">
        <v>1876</v>
      </c>
      <c r="B7067" t="s">
        <v>369</v>
      </c>
      <c r="C7067" t="s">
        <v>136</v>
      </c>
      <c r="D7067">
        <v>28817</v>
      </c>
      <c r="E7067">
        <v>28889</v>
      </c>
      <c r="F7067">
        <v>30191</v>
      </c>
      <c r="G7067">
        <v>26826</v>
      </c>
    </row>
    <row r="7068" spans="1:7">
      <c r="A7068" t="s">
        <v>1876</v>
      </c>
      <c r="B7068" t="s">
        <v>369</v>
      </c>
      <c r="C7068" t="s">
        <v>137</v>
      </c>
      <c r="D7068">
        <v>451</v>
      </c>
      <c r="E7068">
        <v>467</v>
      </c>
      <c r="F7068">
        <v>443</v>
      </c>
      <c r="G7068">
        <v>476</v>
      </c>
    </row>
    <row r="7069" spans="1:7">
      <c r="A7069" t="s">
        <v>1876</v>
      </c>
      <c r="B7069" t="s">
        <v>369</v>
      </c>
      <c r="C7069" t="s">
        <v>138</v>
      </c>
      <c r="D7069">
        <v>451</v>
      </c>
      <c r="E7069">
        <v>467</v>
      </c>
      <c r="F7069">
        <v>443</v>
      </c>
      <c r="G7069">
        <v>476</v>
      </c>
    </row>
    <row r="7070" spans="1:7">
      <c r="A7070" t="s">
        <v>1876</v>
      </c>
      <c r="B7070" t="s">
        <v>369</v>
      </c>
      <c r="C7070" t="s">
        <v>139</v>
      </c>
      <c r="D7070">
        <v>451</v>
      </c>
      <c r="E7070">
        <v>467</v>
      </c>
      <c r="F7070">
        <v>443</v>
      </c>
      <c r="G7070">
        <v>476</v>
      </c>
    </row>
    <row r="7071" spans="1:7">
      <c r="A7071" t="s">
        <v>1876</v>
      </c>
      <c r="B7071" t="s">
        <v>369</v>
      </c>
      <c r="C7071" t="s">
        <v>1877</v>
      </c>
      <c r="D7071">
        <v>0</v>
      </c>
      <c r="E7071">
        <v>0</v>
      </c>
      <c r="F7071">
        <v>0</v>
      </c>
      <c r="G7071">
        <v>0</v>
      </c>
    </row>
    <row r="7072" spans="1:7">
      <c r="A7072" t="s">
        <v>1876</v>
      </c>
      <c r="B7072" t="s">
        <v>369</v>
      </c>
      <c r="C7072" t="s">
        <v>1700</v>
      </c>
      <c r="D7072">
        <v>0</v>
      </c>
      <c r="E7072">
        <v>0</v>
      </c>
      <c r="F7072">
        <v>0</v>
      </c>
      <c r="G7072">
        <v>0</v>
      </c>
    </row>
    <row r="7073" spans="1:7">
      <c r="A7073" t="s">
        <v>1876</v>
      </c>
      <c r="B7073" t="s">
        <v>369</v>
      </c>
      <c r="C7073" t="s">
        <v>1878</v>
      </c>
      <c r="D7073">
        <v>0</v>
      </c>
      <c r="E7073">
        <v>0</v>
      </c>
      <c r="F7073">
        <v>0</v>
      </c>
      <c r="G7073">
        <v>0</v>
      </c>
    </row>
    <row r="7074" spans="1:7">
      <c r="A7074" t="s">
        <v>1876</v>
      </c>
      <c r="B7074" t="s">
        <v>369</v>
      </c>
      <c r="C7074" t="s">
        <v>1879</v>
      </c>
      <c r="D7074">
        <v>0</v>
      </c>
      <c r="E7074">
        <v>0</v>
      </c>
      <c r="F7074">
        <v>0</v>
      </c>
      <c r="G7074">
        <v>0</v>
      </c>
    </row>
    <row r="7075" spans="1:7">
      <c r="A7075" t="s">
        <v>1876</v>
      </c>
      <c r="B7075" t="s">
        <v>369</v>
      </c>
      <c r="C7075" t="s">
        <v>1701</v>
      </c>
      <c r="D7075">
        <v>0</v>
      </c>
      <c r="E7075">
        <v>0</v>
      </c>
      <c r="F7075">
        <v>0</v>
      </c>
      <c r="G7075">
        <v>0</v>
      </c>
    </row>
    <row r="7076" spans="1:7">
      <c r="A7076" t="s">
        <v>1876</v>
      </c>
      <c r="B7076" t="s">
        <v>369</v>
      </c>
      <c r="C7076" t="s">
        <v>1880</v>
      </c>
      <c r="D7076">
        <v>1323</v>
      </c>
      <c r="E7076">
        <v>1220</v>
      </c>
      <c r="F7076">
        <v>1425</v>
      </c>
      <c r="G7076">
        <v>1358</v>
      </c>
    </row>
    <row r="7077" spans="1:7">
      <c r="A7077" t="s">
        <v>1876</v>
      </c>
      <c r="B7077" t="s">
        <v>369</v>
      </c>
      <c r="C7077" t="s">
        <v>140</v>
      </c>
      <c r="D7077">
        <v>3109</v>
      </c>
      <c r="E7077">
        <v>2948</v>
      </c>
      <c r="F7077">
        <v>3844</v>
      </c>
      <c r="G7077">
        <v>3871</v>
      </c>
    </row>
    <row r="7078" spans="1:7">
      <c r="A7078" t="s">
        <v>1876</v>
      </c>
      <c r="B7078" t="s">
        <v>369</v>
      </c>
      <c r="C7078" t="s">
        <v>1881</v>
      </c>
      <c r="D7078">
        <v>1786</v>
      </c>
      <c r="E7078">
        <v>1728</v>
      </c>
      <c r="F7078">
        <v>2419</v>
      </c>
      <c r="G7078">
        <v>2513</v>
      </c>
    </row>
    <row r="7079" spans="1:7">
      <c r="A7079" t="s">
        <v>1876</v>
      </c>
      <c r="B7079" t="s">
        <v>369</v>
      </c>
      <c r="C7079" t="s">
        <v>1882</v>
      </c>
      <c r="D7079">
        <v>0</v>
      </c>
      <c r="E7079">
        <v>0</v>
      </c>
      <c r="F7079">
        <v>0</v>
      </c>
      <c r="G7079">
        <v>0</v>
      </c>
    </row>
    <row r="7080" spans="1:7">
      <c r="A7080" t="s">
        <v>1876</v>
      </c>
      <c r="B7080" t="s">
        <v>369</v>
      </c>
      <c r="C7080" t="s">
        <v>1883</v>
      </c>
      <c r="D7080">
        <v>0</v>
      </c>
      <c r="E7080">
        <v>0</v>
      </c>
      <c r="F7080">
        <v>0</v>
      </c>
      <c r="G7080">
        <v>0</v>
      </c>
    </row>
    <row r="7081" spans="1:7">
      <c r="A7081" t="s">
        <v>1876</v>
      </c>
      <c r="B7081" t="s">
        <v>369</v>
      </c>
      <c r="C7081" t="s">
        <v>1884</v>
      </c>
      <c r="D7081">
        <v>0</v>
      </c>
      <c r="E7081">
        <v>0</v>
      </c>
      <c r="F7081">
        <v>0</v>
      </c>
      <c r="G7081">
        <v>0</v>
      </c>
    </row>
    <row r="7082" spans="1:7">
      <c r="A7082" t="s">
        <v>1876</v>
      </c>
      <c r="B7082" t="s">
        <v>369</v>
      </c>
      <c r="C7082" t="s">
        <v>1885</v>
      </c>
      <c r="D7082">
        <v>0</v>
      </c>
      <c r="E7082">
        <v>0</v>
      </c>
      <c r="F7082">
        <v>0</v>
      </c>
      <c r="G7082">
        <v>0</v>
      </c>
    </row>
    <row r="7083" spans="1:7">
      <c r="A7083" t="s">
        <v>1876</v>
      </c>
      <c r="B7083" t="s">
        <v>369</v>
      </c>
      <c r="C7083" t="s">
        <v>1886</v>
      </c>
      <c r="D7083">
        <v>0</v>
      </c>
      <c r="E7083">
        <v>0</v>
      </c>
      <c r="F7083">
        <v>0</v>
      </c>
      <c r="G7083">
        <v>0</v>
      </c>
    </row>
    <row r="7084" spans="1:7">
      <c r="A7084" t="s">
        <v>1876</v>
      </c>
      <c r="B7084" t="s">
        <v>369</v>
      </c>
      <c r="C7084" t="s">
        <v>141</v>
      </c>
      <c r="D7084">
        <v>24</v>
      </c>
      <c r="E7084">
        <v>24</v>
      </c>
      <c r="F7084">
        <v>25</v>
      </c>
      <c r="G7084">
        <v>25</v>
      </c>
    </row>
    <row r="7085" spans="1:7">
      <c r="A7085" t="s">
        <v>1876</v>
      </c>
      <c r="B7085" t="s">
        <v>369</v>
      </c>
      <c r="C7085" t="s">
        <v>1887</v>
      </c>
      <c r="D7085">
        <v>0</v>
      </c>
      <c r="E7085">
        <v>0</v>
      </c>
      <c r="F7085">
        <v>0</v>
      </c>
      <c r="G7085">
        <v>0</v>
      </c>
    </row>
    <row r="7086" spans="1:7">
      <c r="A7086" t="s">
        <v>1876</v>
      </c>
      <c r="B7086" t="s">
        <v>369</v>
      </c>
      <c r="C7086" t="s">
        <v>1888</v>
      </c>
      <c r="D7086">
        <v>0</v>
      </c>
      <c r="E7086">
        <v>0</v>
      </c>
      <c r="F7086">
        <v>0</v>
      </c>
      <c r="G7086">
        <v>0</v>
      </c>
    </row>
    <row r="7087" spans="1:7">
      <c r="A7087" t="s">
        <v>1876</v>
      </c>
      <c r="B7087" t="s">
        <v>369</v>
      </c>
      <c r="C7087" t="s">
        <v>1889</v>
      </c>
      <c r="D7087">
        <v>1323</v>
      </c>
      <c r="E7087">
        <v>1220</v>
      </c>
      <c r="F7087">
        <v>1425</v>
      </c>
      <c r="G7087">
        <v>1358</v>
      </c>
    </row>
    <row r="7088" spans="1:7">
      <c r="A7088" t="s">
        <v>1876</v>
      </c>
      <c r="B7088" t="s">
        <v>369</v>
      </c>
      <c r="C7088" t="s">
        <v>1890</v>
      </c>
      <c r="D7088">
        <v>0</v>
      </c>
      <c r="E7088">
        <v>0</v>
      </c>
      <c r="F7088">
        <v>0</v>
      </c>
      <c r="G7088">
        <v>0</v>
      </c>
    </row>
    <row r="7089" spans="1:7">
      <c r="A7089" t="s">
        <v>1876</v>
      </c>
      <c r="B7089" t="s">
        <v>369</v>
      </c>
      <c r="C7089" t="s">
        <v>1891</v>
      </c>
    </row>
    <row r="7090" spans="1:7">
      <c r="A7090" t="s">
        <v>1876</v>
      </c>
      <c r="B7090" t="s">
        <v>369</v>
      </c>
      <c r="C7090" t="s">
        <v>1892</v>
      </c>
      <c r="D7090">
        <v>1786</v>
      </c>
      <c r="E7090">
        <v>1728</v>
      </c>
      <c r="F7090">
        <v>2419</v>
      </c>
      <c r="G7090">
        <v>2513</v>
      </c>
    </row>
    <row r="7091" spans="1:7">
      <c r="A7091" t="s">
        <v>1876</v>
      </c>
      <c r="B7091" t="s">
        <v>369</v>
      </c>
      <c r="C7091" t="s">
        <v>142</v>
      </c>
      <c r="D7091">
        <v>3109</v>
      </c>
      <c r="E7091">
        <v>2948</v>
      </c>
      <c r="F7091">
        <v>3844</v>
      </c>
      <c r="G7091">
        <v>3871</v>
      </c>
    </row>
    <row r="7092" spans="1:7">
      <c r="A7092" t="s">
        <v>1876</v>
      </c>
      <c r="B7092" t="s">
        <v>369</v>
      </c>
      <c r="C7092" t="s">
        <v>1893</v>
      </c>
      <c r="D7092">
        <v>3109</v>
      </c>
      <c r="E7092">
        <v>2948</v>
      </c>
      <c r="F7092">
        <v>3844</v>
      </c>
      <c r="G7092">
        <v>3871</v>
      </c>
    </row>
    <row r="7093" spans="1:7">
      <c r="A7093" t="s">
        <v>1876</v>
      </c>
      <c r="B7093" t="s">
        <v>369</v>
      </c>
      <c r="C7093" t="s">
        <v>1894</v>
      </c>
      <c r="D7093">
        <v>1786</v>
      </c>
      <c r="E7093">
        <v>1728</v>
      </c>
      <c r="F7093">
        <v>2419</v>
      </c>
      <c r="G7093">
        <v>2513</v>
      </c>
    </row>
    <row r="7094" spans="1:7">
      <c r="A7094" t="s">
        <v>1876</v>
      </c>
      <c r="B7094" t="s">
        <v>369</v>
      </c>
      <c r="C7094" t="s">
        <v>143</v>
      </c>
      <c r="D7094">
        <v>16867</v>
      </c>
      <c r="E7094">
        <v>17427</v>
      </c>
      <c r="F7094">
        <v>17394</v>
      </c>
      <c r="G7094">
        <v>17395</v>
      </c>
    </row>
    <row r="7095" spans="1:7">
      <c r="A7095" t="s">
        <v>1876</v>
      </c>
      <c r="B7095" t="s">
        <v>369</v>
      </c>
      <c r="C7095" t="s">
        <v>144</v>
      </c>
      <c r="D7095">
        <v>56250</v>
      </c>
      <c r="E7095">
        <v>56198</v>
      </c>
      <c r="F7095">
        <v>57523</v>
      </c>
      <c r="G7095">
        <v>57749</v>
      </c>
    </row>
    <row r="7096" spans="1:7">
      <c r="A7096" t="s">
        <v>1876</v>
      </c>
      <c r="B7096" t="s">
        <v>369</v>
      </c>
      <c r="C7096" t="s">
        <v>1895</v>
      </c>
      <c r="D7096">
        <v>59.9</v>
      </c>
      <c r="E7096">
        <v>58.6</v>
      </c>
      <c r="F7096">
        <v>52.6</v>
      </c>
      <c r="G7096">
        <v>50.8</v>
      </c>
    </row>
    <row r="7097" spans="1:7">
      <c r="A7097" t="s">
        <v>1876</v>
      </c>
      <c r="B7097" t="s">
        <v>369</v>
      </c>
      <c r="C7097" t="s">
        <v>145</v>
      </c>
      <c r="D7097">
        <v>155433</v>
      </c>
      <c r="E7097">
        <v>165939</v>
      </c>
      <c r="F7097">
        <v>158767</v>
      </c>
      <c r="G7097">
        <v>157738</v>
      </c>
    </row>
    <row r="7098" spans="1:7">
      <c r="A7098" t="s">
        <v>1876</v>
      </c>
      <c r="B7098" t="s">
        <v>369</v>
      </c>
      <c r="C7098" t="s">
        <v>146</v>
      </c>
      <c r="D7098">
        <v>0</v>
      </c>
      <c r="E7098">
        <v>0</v>
      </c>
      <c r="F7098">
        <v>0</v>
      </c>
      <c r="G7098">
        <v>0</v>
      </c>
    </row>
    <row r="7099" spans="1:7">
      <c r="A7099" t="s">
        <v>1876</v>
      </c>
      <c r="B7099" t="s">
        <v>369</v>
      </c>
      <c r="C7099" t="s">
        <v>147</v>
      </c>
      <c r="D7099">
        <v>0</v>
      </c>
      <c r="E7099">
        <v>0</v>
      </c>
      <c r="F7099">
        <v>0</v>
      </c>
      <c r="G7099">
        <v>0</v>
      </c>
    </row>
    <row r="7100" spans="1:7">
      <c r="A7100" t="s">
        <v>1876</v>
      </c>
      <c r="B7100" t="s">
        <v>369</v>
      </c>
      <c r="C7100" t="s">
        <v>1896</v>
      </c>
      <c r="D7100">
        <v>0.8</v>
      </c>
      <c r="E7100">
        <v>0.6</v>
      </c>
      <c r="F7100">
        <v>0.6</v>
      </c>
      <c r="G7100">
        <v>0.5</v>
      </c>
    </row>
    <row r="7101" spans="1:7">
      <c r="A7101" t="s">
        <v>1876</v>
      </c>
      <c r="B7101" t="s">
        <v>369</v>
      </c>
      <c r="C7101" t="s">
        <v>1702</v>
      </c>
      <c r="D7101">
        <v>1</v>
      </c>
      <c r="E7101">
        <v>1</v>
      </c>
      <c r="F7101">
        <v>1</v>
      </c>
      <c r="G7101">
        <v>1</v>
      </c>
    </row>
    <row r="7102" spans="1:7">
      <c r="A7102" t="s">
        <v>1876</v>
      </c>
      <c r="B7102" t="s">
        <v>369</v>
      </c>
      <c r="C7102" t="s">
        <v>1897</v>
      </c>
      <c r="D7102">
        <v>16.899999999999999</v>
      </c>
      <c r="E7102">
        <v>27.8</v>
      </c>
      <c r="F7102">
        <v>48.1</v>
      </c>
      <c r="G7102">
        <v>73.2</v>
      </c>
    </row>
    <row r="7103" spans="1:7">
      <c r="A7103" t="s">
        <v>1876</v>
      </c>
      <c r="B7103" t="s">
        <v>369</v>
      </c>
      <c r="C7103" t="s">
        <v>1898</v>
      </c>
      <c r="D7103">
        <v>27</v>
      </c>
      <c r="E7103">
        <v>56</v>
      </c>
      <c r="F7103">
        <v>180</v>
      </c>
      <c r="G7103">
        <v>256</v>
      </c>
    </row>
    <row r="7104" spans="1:7">
      <c r="A7104" t="s">
        <v>1876</v>
      </c>
      <c r="B7104" t="s">
        <v>369</v>
      </c>
      <c r="C7104" t="s">
        <v>1899</v>
      </c>
      <c r="D7104">
        <v>1786</v>
      </c>
      <c r="E7104">
        <v>1728</v>
      </c>
      <c r="F7104">
        <v>2419</v>
      </c>
      <c r="G7104">
        <v>2513</v>
      </c>
    </row>
    <row r="7105" spans="1:7">
      <c r="A7105" t="s">
        <v>1876</v>
      </c>
      <c r="B7105" t="s">
        <v>369</v>
      </c>
      <c r="C7105" t="s">
        <v>148</v>
      </c>
      <c r="D7105">
        <v>0</v>
      </c>
      <c r="E7105">
        <v>0</v>
      </c>
      <c r="F7105">
        <v>0</v>
      </c>
      <c r="G7105">
        <v>0</v>
      </c>
    </row>
    <row r="7106" spans="1:7">
      <c r="A7106" t="s">
        <v>1876</v>
      </c>
      <c r="B7106" t="s">
        <v>369</v>
      </c>
      <c r="C7106" t="s">
        <v>149</v>
      </c>
      <c r="D7106">
        <v>0</v>
      </c>
      <c r="E7106">
        <v>0</v>
      </c>
      <c r="F7106">
        <v>0</v>
      </c>
      <c r="G7106">
        <v>0</v>
      </c>
    </row>
    <row r="7107" spans="1:7">
      <c r="A7107" t="s">
        <v>1876</v>
      </c>
      <c r="B7107" t="s">
        <v>369</v>
      </c>
      <c r="C7107" t="s">
        <v>150</v>
      </c>
      <c r="D7107">
        <v>0</v>
      </c>
      <c r="E7107">
        <v>0</v>
      </c>
      <c r="F7107">
        <v>0</v>
      </c>
      <c r="G7107">
        <v>0</v>
      </c>
    </row>
    <row r="7108" spans="1:7">
      <c r="A7108" t="s">
        <v>1876</v>
      </c>
      <c r="B7108" t="s">
        <v>369</v>
      </c>
      <c r="C7108" t="s">
        <v>1900</v>
      </c>
      <c r="D7108">
        <v>53.8</v>
      </c>
      <c r="E7108">
        <v>52.5</v>
      </c>
      <c r="F7108">
        <v>47.6</v>
      </c>
      <c r="G7108">
        <v>53.9</v>
      </c>
    </row>
    <row r="7109" spans="1:7">
      <c r="A7109" t="s">
        <v>1876</v>
      </c>
      <c r="B7109" t="s">
        <v>369</v>
      </c>
      <c r="C7109" t="s">
        <v>151</v>
      </c>
      <c r="D7109">
        <v>0</v>
      </c>
      <c r="E7109">
        <v>0</v>
      </c>
      <c r="F7109">
        <v>0</v>
      </c>
      <c r="G7109">
        <v>0</v>
      </c>
    </row>
    <row r="7110" spans="1:7">
      <c r="A7110" t="s">
        <v>1876</v>
      </c>
      <c r="B7110" t="s">
        <v>369</v>
      </c>
      <c r="C7110" t="s">
        <v>152</v>
      </c>
      <c r="D7110">
        <v>390708</v>
      </c>
      <c r="E7110">
        <v>376445</v>
      </c>
      <c r="F7110">
        <v>239528</v>
      </c>
      <c r="G7110">
        <v>270995</v>
      </c>
    </row>
    <row r="7111" spans="1:7">
      <c r="A7111" t="s">
        <v>1876</v>
      </c>
      <c r="B7111" t="s">
        <v>369</v>
      </c>
      <c r="C7111" t="s">
        <v>1703</v>
      </c>
      <c r="D7111">
        <v>8035</v>
      </c>
      <c r="E7111">
        <v>6291</v>
      </c>
      <c r="F7111">
        <v>5802</v>
      </c>
      <c r="G7111">
        <v>5732</v>
      </c>
    </row>
    <row r="7112" spans="1:7">
      <c r="A7112" t="s">
        <v>1876</v>
      </c>
      <c r="B7112" t="s">
        <v>369</v>
      </c>
      <c r="C7112" t="s">
        <v>153</v>
      </c>
      <c r="D7112">
        <v>45495</v>
      </c>
      <c r="E7112">
        <v>47058</v>
      </c>
      <c r="F7112">
        <v>47961</v>
      </c>
      <c r="G7112">
        <v>44711</v>
      </c>
    </row>
    <row r="7113" spans="1:7">
      <c r="A7113" t="s">
        <v>1876</v>
      </c>
      <c r="B7113" t="s">
        <v>369</v>
      </c>
      <c r="C7113" t="s">
        <v>154</v>
      </c>
      <c r="D7113">
        <v>38313</v>
      </c>
      <c r="E7113">
        <v>39590</v>
      </c>
      <c r="F7113">
        <v>40027</v>
      </c>
      <c r="G7113">
        <v>37896</v>
      </c>
    </row>
    <row r="7114" spans="1:7">
      <c r="A7114" t="s">
        <v>1876</v>
      </c>
      <c r="B7114" t="s">
        <v>369</v>
      </c>
      <c r="C7114" t="s">
        <v>155</v>
      </c>
      <c r="D7114">
        <v>7182</v>
      </c>
      <c r="E7114">
        <v>7468</v>
      </c>
      <c r="F7114">
        <v>7934</v>
      </c>
      <c r="G7114">
        <v>6815</v>
      </c>
    </row>
    <row r="7115" spans="1:7">
      <c r="A7115" t="s">
        <v>1876</v>
      </c>
      <c r="B7115" t="s">
        <v>369</v>
      </c>
      <c r="C7115" t="s">
        <v>156</v>
      </c>
      <c r="D7115">
        <v>0</v>
      </c>
      <c r="E7115">
        <v>0</v>
      </c>
      <c r="F7115">
        <v>0</v>
      </c>
      <c r="G7115">
        <v>0</v>
      </c>
    </row>
    <row r="7116" spans="1:7">
      <c r="A7116" t="s">
        <v>1876</v>
      </c>
      <c r="B7116" t="s">
        <v>369</v>
      </c>
      <c r="C7116" t="s">
        <v>157</v>
      </c>
      <c r="D7116">
        <v>436203</v>
      </c>
      <c r="E7116">
        <v>423504</v>
      </c>
      <c r="F7116">
        <v>287490</v>
      </c>
      <c r="G7116">
        <v>315707</v>
      </c>
    </row>
    <row r="7117" spans="1:7">
      <c r="A7117" t="s">
        <v>1876</v>
      </c>
      <c r="B7117" t="s">
        <v>369</v>
      </c>
      <c r="C7117" t="s">
        <v>158</v>
      </c>
      <c r="D7117">
        <v>45495</v>
      </c>
      <c r="E7117">
        <v>47058</v>
      </c>
      <c r="F7117">
        <v>47961</v>
      </c>
      <c r="G7117">
        <v>44711</v>
      </c>
    </row>
    <row r="7118" spans="1:7">
      <c r="A7118" t="s">
        <v>1876</v>
      </c>
      <c r="B7118" t="s">
        <v>369</v>
      </c>
      <c r="C7118" t="s">
        <v>159</v>
      </c>
      <c r="D7118">
        <v>0</v>
      </c>
      <c r="E7118">
        <v>0</v>
      </c>
      <c r="F7118">
        <v>0</v>
      </c>
      <c r="G7118">
        <v>0</v>
      </c>
    </row>
    <row r="7119" spans="1:7">
      <c r="A7119" t="s">
        <v>1876</v>
      </c>
      <c r="B7119" t="s">
        <v>369</v>
      </c>
      <c r="C7119" t="s">
        <v>1901</v>
      </c>
      <c r="D7119">
        <v>54.8</v>
      </c>
      <c r="E7119">
        <v>58.7</v>
      </c>
      <c r="F7119">
        <v>58.9</v>
      </c>
      <c r="G7119">
        <v>58.6</v>
      </c>
    </row>
    <row r="7120" spans="1:7">
      <c r="A7120" t="s">
        <v>1876</v>
      </c>
      <c r="B7120" t="s">
        <v>369</v>
      </c>
      <c r="C7120" t="s">
        <v>1902</v>
      </c>
      <c r="D7120">
        <v>128301</v>
      </c>
      <c r="E7120">
        <v>131671</v>
      </c>
      <c r="F7120">
        <v>125229</v>
      </c>
      <c r="G7120">
        <v>120455</v>
      </c>
    </row>
    <row r="7121" spans="1:7">
      <c r="A7121" t="s">
        <v>1876</v>
      </c>
      <c r="B7121" t="s">
        <v>369</v>
      </c>
      <c r="C7121" t="s">
        <v>1903</v>
      </c>
      <c r="D7121">
        <v>6566</v>
      </c>
      <c r="E7121">
        <v>6852</v>
      </c>
      <c r="F7121">
        <v>6496</v>
      </c>
      <c r="G7121">
        <v>6038</v>
      </c>
    </row>
    <row r="7122" spans="1:7">
      <c r="A7122" t="s">
        <v>1876</v>
      </c>
      <c r="B7122" t="s">
        <v>369</v>
      </c>
      <c r="C7122" t="s">
        <v>1904</v>
      </c>
      <c r="D7122">
        <v>1452</v>
      </c>
      <c r="E7122">
        <v>1080</v>
      </c>
      <c r="F7122">
        <v>927</v>
      </c>
      <c r="G7122">
        <v>905</v>
      </c>
    </row>
    <row r="7123" spans="1:7">
      <c r="A7123" t="s">
        <v>1876</v>
      </c>
      <c r="B7123" t="s">
        <v>369</v>
      </c>
      <c r="C7123" t="s">
        <v>1905</v>
      </c>
      <c r="D7123">
        <v>21353</v>
      </c>
      <c r="E7123">
        <v>21585</v>
      </c>
      <c r="F7123">
        <v>21067</v>
      </c>
      <c r="G7123">
        <v>20444</v>
      </c>
    </row>
    <row r="7124" spans="1:7">
      <c r="A7124" t="s">
        <v>1876</v>
      </c>
      <c r="B7124" t="s">
        <v>369</v>
      </c>
      <c r="C7124" t="s">
        <v>1906</v>
      </c>
      <c r="D7124">
        <v>2926</v>
      </c>
      <c r="E7124">
        <v>3093</v>
      </c>
      <c r="F7124">
        <v>2931</v>
      </c>
      <c r="G7124">
        <v>2665</v>
      </c>
    </row>
    <row r="7125" spans="1:7">
      <c r="A7125" t="s">
        <v>1876</v>
      </c>
      <c r="B7125" t="s">
        <v>369</v>
      </c>
      <c r="C7125" t="s">
        <v>1907</v>
      </c>
      <c r="D7125">
        <v>160598</v>
      </c>
      <c r="E7125">
        <v>164281</v>
      </c>
      <c r="F7125">
        <v>156651</v>
      </c>
      <c r="G7125">
        <v>150507</v>
      </c>
    </row>
    <row r="7126" spans="1:7">
      <c r="A7126" t="s">
        <v>1876</v>
      </c>
      <c r="B7126" t="s">
        <v>369</v>
      </c>
      <c r="C7126" t="s">
        <v>160</v>
      </c>
      <c r="D7126">
        <v>126515</v>
      </c>
      <c r="E7126">
        <v>129943</v>
      </c>
      <c r="F7126">
        <v>122810</v>
      </c>
      <c r="G7126">
        <v>117942</v>
      </c>
    </row>
    <row r="7127" spans="1:7">
      <c r="A7127" t="s">
        <v>1876</v>
      </c>
      <c r="B7127" t="s">
        <v>369</v>
      </c>
      <c r="C7127" t="s">
        <v>161</v>
      </c>
      <c r="D7127">
        <v>6566</v>
      </c>
      <c r="E7127">
        <v>6852</v>
      </c>
      <c r="F7127">
        <v>6496</v>
      </c>
      <c r="G7127">
        <v>6038</v>
      </c>
    </row>
    <row r="7128" spans="1:7">
      <c r="A7128" t="s">
        <v>1876</v>
      </c>
      <c r="B7128" t="s">
        <v>369</v>
      </c>
      <c r="C7128" t="s">
        <v>162</v>
      </c>
      <c r="D7128">
        <v>1452</v>
      </c>
      <c r="E7128">
        <v>1080</v>
      </c>
      <c r="F7128">
        <v>927</v>
      </c>
      <c r="G7128">
        <v>905</v>
      </c>
    </row>
    <row r="7129" spans="1:7">
      <c r="A7129" t="s">
        <v>1876</v>
      </c>
      <c r="B7129" t="s">
        <v>369</v>
      </c>
      <c r="C7129" t="s">
        <v>163</v>
      </c>
      <c r="D7129">
        <v>21353</v>
      </c>
      <c r="E7129">
        <v>21585</v>
      </c>
      <c r="F7129">
        <v>21067</v>
      </c>
      <c r="G7129">
        <v>20444</v>
      </c>
    </row>
    <row r="7130" spans="1:7">
      <c r="A7130" t="s">
        <v>1876</v>
      </c>
      <c r="B7130" t="s">
        <v>369</v>
      </c>
      <c r="C7130" t="s">
        <v>164</v>
      </c>
      <c r="D7130">
        <v>2926</v>
      </c>
      <c r="E7130">
        <v>3093</v>
      </c>
      <c r="F7130">
        <v>2931</v>
      </c>
      <c r="G7130">
        <v>2665</v>
      </c>
    </row>
    <row r="7131" spans="1:7">
      <c r="A7131" t="s">
        <v>1876</v>
      </c>
      <c r="B7131" t="s">
        <v>369</v>
      </c>
      <c r="C7131" t="s">
        <v>165</v>
      </c>
      <c r="D7131">
        <v>158812</v>
      </c>
      <c r="E7131">
        <v>162553</v>
      </c>
      <c r="F7131">
        <v>154232</v>
      </c>
      <c r="G7131">
        <v>147994</v>
      </c>
    </row>
    <row r="7132" spans="1:7">
      <c r="A7132" t="s">
        <v>1876</v>
      </c>
      <c r="B7132" t="s">
        <v>369</v>
      </c>
      <c r="C7132" t="s">
        <v>166</v>
      </c>
      <c r="D7132">
        <v>157359</v>
      </c>
      <c r="E7132">
        <v>161473</v>
      </c>
      <c r="F7132">
        <v>153305</v>
      </c>
      <c r="G7132">
        <v>147089</v>
      </c>
    </row>
    <row r="7133" spans="1:7">
      <c r="A7133" t="s">
        <v>1876</v>
      </c>
      <c r="B7133" t="s">
        <v>369</v>
      </c>
      <c r="C7133" t="s">
        <v>167</v>
      </c>
      <c r="D7133">
        <v>1452</v>
      </c>
      <c r="E7133">
        <v>1080</v>
      </c>
      <c r="F7133">
        <v>927</v>
      </c>
      <c r="G7133">
        <v>905</v>
      </c>
    </row>
    <row r="7134" spans="1:7">
      <c r="A7134" t="s">
        <v>1876</v>
      </c>
      <c r="B7134" t="s">
        <v>369</v>
      </c>
      <c r="C7134" t="s">
        <v>1908</v>
      </c>
      <c r="D7134">
        <v>125192</v>
      </c>
      <c r="E7134">
        <v>128723</v>
      </c>
      <c r="F7134">
        <v>121385</v>
      </c>
      <c r="G7134">
        <v>116584</v>
      </c>
    </row>
    <row r="7135" spans="1:7">
      <c r="A7135" t="s">
        <v>1876</v>
      </c>
      <c r="B7135" t="s">
        <v>369</v>
      </c>
      <c r="C7135" t="s">
        <v>1909</v>
      </c>
      <c r="D7135">
        <v>6566</v>
      </c>
      <c r="E7135">
        <v>6852</v>
      </c>
      <c r="F7135">
        <v>6496</v>
      </c>
      <c r="G7135">
        <v>6038</v>
      </c>
    </row>
    <row r="7136" spans="1:7">
      <c r="A7136" t="s">
        <v>1876</v>
      </c>
      <c r="B7136" t="s">
        <v>369</v>
      </c>
      <c r="C7136" t="s">
        <v>1910</v>
      </c>
      <c r="D7136">
        <v>1452</v>
      </c>
      <c r="E7136">
        <v>1080</v>
      </c>
      <c r="F7136">
        <v>927</v>
      </c>
      <c r="G7136">
        <v>905</v>
      </c>
    </row>
    <row r="7137" spans="1:7">
      <c r="A7137" t="s">
        <v>1876</v>
      </c>
      <c r="B7137" t="s">
        <v>369</v>
      </c>
      <c r="C7137" t="s">
        <v>1911</v>
      </c>
      <c r="D7137">
        <v>21353</v>
      </c>
      <c r="E7137">
        <v>21585</v>
      </c>
      <c r="F7137">
        <v>21067</v>
      </c>
      <c r="G7137">
        <v>20444</v>
      </c>
    </row>
    <row r="7138" spans="1:7">
      <c r="A7138" t="s">
        <v>1876</v>
      </c>
      <c r="B7138" t="s">
        <v>369</v>
      </c>
      <c r="C7138" t="s">
        <v>1912</v>
      </c>
      <c r="D7138">
        <v>2926</v>
      </c>
      <c r="E7138">
        <v>3093</v>
      </c>
      <c r="F7138">
        <v>2931</v>
      </c>
      <c r="G7138">
        <v>2665</v>
      </c>
    </row>
    <row r="7139" spans="1:7">
      <c r="A7139" t="s">
        <v>1876</v>
      </c>
      <c r="B7139" t="s">
        <v>369</v>
      </c>
      <c r="C7139" t="s">
        <v>168</v>
      </c>
      <c r="D7139">
        <v>157488</v>
      </c>
      <c r="E7139">
        <v>161333</v>
      </c>
      <c r="F7139">
        <v>152807</v>
      </c>
      <c r="G7139">
        <v>146636</v>
      </c>
    </row>
    <row r="7140" spans="1:7">
      <c r="A7140" t="s">
        <v>1876</v>
      </c>
      <c r="B7140" t="s">
        <v>369</v>
      </c>
      <c r="C7140" t="s">
        <v>169</v>
      </c>
      <c r="D7140">
        <v>10556</v>
      </c>
      <c r="E7140">
        <v>11917</v>
      </c>
      <c r="F7140">
        <v>11782</v>
      </c>
      <c r="G7140">
        <v>8074</v>
      </c>
    </row>
    <row r="7141" spans="1:7">
      <c r="A7141" t="s">
        <v>1876</v>
      </c>
      <c r="B7141" t="s">
        <v>369</v>
      </c>
      <c r="C7141" t="s">
        <v>1704</v>
      </c>
      <c r="D7141">
        <v>30141</v>
      </c>
      <c r="E7141">
        <v>30538</v>
      </c>
      <c r="F7141">
        <v>31120</v>
      </c>
      <c r="G7141">
        <v>31371</v>
      </c>
    </row>
    <row r="7142" spans="1:7">
      <c r="A7142" t="s">
        <v>1876</v>
      </c>
      <c r="B7142" t="s">
        <v>369</v>
      </c>
      <c r="C7142" t="s">
        <v>170</v>
      </c>
      <c r="D7142">
        <v>18023</v>
      </c>
      <c r="E7142">
        <v>17872</v>
      </c>
      <c r="F7142">
        <v>14638</v>
      </c>
      <c r="G7142">
        <v>11479</v>
      </c>
    </row>
    <row r="7143" spans="1:7">
      <c r="A7143" t="s">
        <v>1876</v>
      </c>
      <c r="B7143" t="s">
        <v>369</v>
      </c>
      <c r="C7143" t="s">
        <v>171</v>
      </c>
      <c r="D7143">
        <v>-100922</v>
      </c>
      <c r="E7143">
        <v>-104079</v>
      </c>
      <c r="F7143">
        <v>-153169</v>
      </c>
      <c r="G7143">
        <v>-171575</v>
      </c>
    </row>
    <row r="7144" spans="1:7">
      <c r="A7144" t="s">
        <v>1876</v>
      </c>
      <c r="B7144" t="s">
        <v>369</v>
      </c>
      <c r="C7144" t="s">
        <v>172</v>
      </c>
      <c r="D7144">
        <v>7467</v>
      </c>
      <c r="E7144">
        <v>5954</v>
      </c>
      <c r="F7144">
        <v>2856</v>
      </c>
      <c r="G7144">
        <v>3406</v>
      </c>
    </row>
    <row r="7145" spans="1:7">
      <c r="A7145" t="s">
        <v>1876</v>
      </c>
      <c r="B7145" t="s">
        <v>369</v>
      </c>
      <c r="C7145" t="s">
        <v>1913</v>
      </c>
      <c r="D7145">
        <v>33.700000000000003</v>
      </c>
      <c r="E7145">
        <v>50.2</v>
      </c>
      <c r="F7145">
        <v>73.8</v>
      </c>
      <c r="G7145">
        <v>105.6</v>
      </c>
    </row>
    <row r="7146" spans="1:7">
      <c r="A7146" t="s">
        <v>1876</v>
      </c>
      <c r="B7146" t="s">
        <v>369</v>
      </c>
      <c r="C7146" t="s">
        <v>1914</v>
      </c>
      <c r="D7146">
        <v>0.4</v>
      </c>
      <c r="E7146">
        <v>0.6</v>
      </c>
      <c r="F7146">
        <v>0.9</v>
      </c>
      <c r="G7146">
        <v>1.3</v>
      </c>
    </row>
    <row r="7147" spans="1:7">
      <c r="A7147" t="s">
        <v>1876</v>
      </c>
      <c r="B7147" t="s">
        <v>369</v>
      </c>
      <c r="C7147" t="s">
        <v>173</v>
      </c>
      <c r="D7147">
        <v>34979</v>
      </c>
      <c r="E7147">
        <v>34472</v>
      </c>
      <c r="F7147">
        <v>34912</v>
      </c>
      <c r="G7147">
        <v>35454</v>
      </c>
    </row>
    <row r="7148" spans="1:7">
      <c r="A7148" t="s">
        <v>1876</v>
      </c>
      <c r="B7148" t="s">
        <v>369</v>
      </c>
      <c r="C7148" t="s">
        <v>174</v>
      </c>
      <c r="D7148">
        <v>746</v>
      </c>
      <c r="E7148">
        <v>769</v>
      </c>
      <c r="F7148">
        <v>798</v>
      </c>
      <c r="G7148">
        <v>524</v>
      </c>
    </row>
    <row r="7149" spans="1:7">
      <c r="A7149" t="s">
        <v>1876</v>
      </c>
      <c r="B7149" t="s">
        <v>369</v>
      </c>
      <c r="C7149" t="s">
        <v>175</v>
      </c>
      <c r="D7149">
        <v>548</v>
      </c>
      <c r="E7149">
        <v>581</v>
      </c>
      <c r="F7149">
        <v>575</v>
      </c>
      <c r="G7149">
        <v>505</v>
      </c>
    </row>
    <row r="7150" spans="1:7">
      <c r="A7150" t="s">
        <v>1876</v>
      </c>
      <c r="B7150" t="s">
        <v>369</v>
      </c>
      <c r="C7150" t="s">
        <v>176</v>
      </c>
      <c r="D7150">
        <v>16843</v>
      </c>
      <c r="E7150">
        <v>17404</v>
      </c>
      <c r="F7150">
        <v>17369</v>
      </c>
      <c r="G7150">
        <v>17370</v>
      </c>
    </row>
    <row r="7151" spans="1:7">
      <c r="A7151" t="s">
        <v>1876</v>
      </c>
      <c r="B7151" t="s">
        <v>369</v>
      </c>
      <c r="C7151" t="s">
        <v>177</v>
      </c>
      <c r="D7151">
        <v>36273</v>
      </c>
      <c r="E7151">
        <v>35822</v>
      </c>
      <c r="F7151">
        <v>36285</v>
      </c>
      <c r="G7151">
        <v>36483</v>
      </c>
    </row>
    <row r="7152" spans="1:7">
      <c r="A7152" t="s">
        <v>1876</v>
      </c>
      <c r="B7152" t="s">
        <v>369</v>
      </c>
      <c r="C7152" t="s">
        <v>178</v>
      </c>
      <c r="D7152">
        <v>0</v>
      </c>
      <c r="E7152">
        <v>0</v>
      </c>
      <c r="F7152">
        <v>0</v>
      </c>
      <c r="G7152">
        <v>0</v>
      </c>
    </row>
    <row r="7153" spans="1:7">
      <c r="A7153" t="s">
        <v>1876</v>
      </c>
      <c r="B7153" t="s">
        <v>369</v>
      </c>
      <c r="C7153" t="s">
        <v>179</v>
      </c>
      <c r="D7153">
        <v>0</v>
      </c>
      <c r="E7153">
        <v>0</v>
      </c>
      <c r="F7153">
        <v>0</v>
      </c>
      <c r="G7153">
        <v>0</v>
      </c>
    </row>
    <row r="7154" spans="1:7">
      <c r="A7154" t="s">
        <v>1876</v>
      </c>
      <c r="B7154" t="s">
        <v>369</v>
      </c>
      <c r="C7154" t="s">
        <v>180</v>
      </c>
      <c r="D7154">
        <v>11</v>
      </c>
      <c r="E7154">
        <v>15</v>
      </c>
      <c r="F7154">
        <v>19</v>
      </c>
      <c r="G7154">
        <v>19</v>
      </c>
    </row>
    <row r="7155" spans="1:7">
      <c r="A7155" t="s">
        <v>1876</v>
      </c>
      <c r="B7155" t="s">
        <v>369</v>
      </c>
      <c r="C7155" t="s">
        <v>181</v>
      </c>
      <c r="D7155">
        <v>125769</v>
      </c>
      <c r="E7155">
        <v>126634</v>
      </c>
      <c r="F7155">
        <v>124655</v>
      </c>
      <c r="G7155">
        <v>126895</v>
      </c>
    </row>
    <row r="7156" spans="1:7">
      <c r="A7156" t="s">
        <v>1876</v>
      </c>
      <c r="B7156" t="s">
        <v>369</v>
      </c>
      <c r="C7156" t="s">
        <v>182</v>
      </c>
      <c r="D7156">
        <v>92401</v>
      </c>
      <c r="E7156">
        <v>97193</v>
      </c>
      <c r="F7156">
        <v>97294</v>
      </c>
      <c r="G7156">
        <v>96525</v>
      </c>
    </row>
    <row r="7157" spans="1:7">
      <c r="A7157" t="s">
        <v>1876</v>
      </c>
      <c r="B7157" t="s">
        <v>369</v>
      </c>
      <c r="C7157" t="s">
        <v>183</v>
      </c>
      <c r="D7157">
        <v>122382</v>
      </c>
      <c r="E7157">
        <v>119539</v>
      </c>
      <c r="F7157">
        <v>111005</v>
      </c>
      <c r="G7157">
        <v>114319</v>
      </c>
    </row>
    <row r="7158" spans="1:7">
      <c r="A7158" t="s">
        <v>1876</v>
      </c>
      <c r="B7158" t="s">
        <v>369</v>
      </c>
      <c r="C7158" t="s">
        <v>184</v>
      </c>
      <c r="D7158">
        <v>340563</v>
      </c>
      <c r="E7158">
        <v>343381</v>
      </c>
      <c r="F7158">
        <v>332973</v>
      </c>
      <c r="G7158">
        <v>337757</v>
      </c>
    </row>
    <row r="7159" spans="1:7">
      <c r="A7159" t="s">
        <v>1876</v>
      </c>
      <c r="B7159" t="s">
        <v>369</v>
      </c>
      <c r="C7159" t="s">
        <v>185</v>
      </c>
      <c r="D7159">
        <v>340563</v>
      </c>
      <c r="E7159">
        <v>343381</v>
      </c>
      <c r="F7159">
        <v>332973</v>
      </c>
      <c r="G7159">
        <v>337757</v>
      </c>
    </row>
    <row r="7160" spans="1:7">
      <c r="A7160" t="s">
        <v>1876</v>
      </c>
      <c r="B7160" t="s">
        <v>369</v>
      </c>
      <c r="C7160" t="s">
        <v>1915</v>
      </c>
      <c r="D7160">
        <v>59</v>
      </c>
      <c r="E7160">
        <v>103</v>
      </c>
      <c r="F7160">
        <v>257</v>
      </c>
      <c r="G7160">
        <v>348</v>
      </c>
    </row>
    <row r="7161" spans="1:7">
      <c r="A7161" t="s">
        <v>1876</v>
      </c>
      <c r="B7161" t="s">
        <v>369</v>
      </c>
      <c r="C7161" t="s">
        <v>1916</v>
      </c>
      <c r="D7161">
        <v>10</v>
      </c>
      <c r="E7161">
        <v>10</v>
      </c>
      <c r="F7161">
        <v>7</v>
      </c>
      <c r="G7161">
        <v>7</v>
      </c>
    </row>
    <row r="7162" spans="1:7">
      <c r="A7162" t="s">
        <v>1876</v>
      </c>
      <c r="B7162" t="s">
        <v>369</v>
      </c>
      <c r="C7162" t="s">
        <v>1917</v>
      </c>
      <c r="D7162">
        <v>40</v>
      </c>
      <c r="E7162">
        <v>15</v>
      </c>
      <c r="F7162">
        <v>14</v>
      </c>
      <c r="G7162">
        <v>14</v>
      </c>
    </row>
    <row r="7163" spans="1:7">
      <c r="A7163" t="s">
        <v>1876</v>
      </c>
      <c r="B7163" t="s">
        <v>369</v>
      </c>
      <c r="C7163" t="s">
        <v>1918</v>
      </c>
      <c r="D7163">
        <v>1528</v>
      </c>
      <c r="E7163">
        <v>2418</v>
      </c>
      <c r="F7163">
        <v>2931</v>
      </c>
      <c r="G7163">
        <v>3731</v>
      </c>
    </row>
    <row r="7164" spans="1:7">
      <c r="A7164" t="s">
        <v>1876</v>
      </c>
      <c r="B7164" t="s">
        <v>369</v>
      </c>
      <c r="C7164" t="s">
        <v>1919</v>
      </c>
      <c r="D7164">
        <v>2.2200000000000002</v>
      </c>
      <c r="E7164">
        <v>2.41</v>
      </c>
      <c r="F7164">
        <v>2.35</v>
      </c>
      <c r="G7164">
        <v>2.4500000000000002</v>
      </c>
    </row>
    <row r="7165" spans="1:7">
      <c r="A7165" t="s">
        <v>1876</v>
      </c>
      <c r="B7165" t="s">
        <v>369</v>
      </c>
      <c r="C7165" t="s">
        <v>1920</v>
      </c>
      <c r="D7165">
        <v>2023</v>
      </c>
      <c r="E7165">
        <v>3020</v>
      </c>
      <c r="F7165">
        <v>3800</v>
      </c>
      <c r="G7165">
        <v>4948</v>
      </c>
    </row>
    <row r="7166" spans="1:7">
      <c r="A7166" t="s">
        <v>1876</v>
      </c>
      <c r="B7166" t="s">
        <v>369</v>
      </c>
      <c r="C7166" t="s">
        <v>1921</v>
      </c>
      <c r="D7166">
        <v>835</v>
      </c>
      <c r="E7166">
        <v>1191</v>
      </c>
      <c r="F7166">
        <v>1528</v>
      </c>
      <c r="G7166">
        <v>1904</v>
      </c>
    </row>
    <row r="7167" spans="1:7">
      <c r="A7167" t="s">
        <v>1876</v>
      </c>
      <c r="B7167" t="s">
        <v>369</v>
      </c>
      <c r="C7167" t="s">
        <v>1922</v>
      </c>
      <c r="D7167">
        <v>445</v>
      </c>
      <c r="E7167">
        <v>577</v>
      </c>
      <c r="F7167">
        <v>848</v>
      </c>
      <c r="G7167">
        <v>1196</v>
      </c>
    </row>
    <row r="7168" spans="1:7">
      <c r="A7168" t="s">
        <v>1876</v>
      </c>
      <c r="B7168" t="s">
        <v>369</v>
      </c>
      <c r="C7168" t="s">
        <v>1923</v>
      </c>
      <c r="D7168">
        <v>2.65</v>
      </c>
      <c r="E7168">
        <v>2.67</v>
      </c>
      <c r="F7168">
        <v>2.56</v>
      </c>
      <c r="G7168">
        <v>2.61</v>
      </c>
    </row>
    <row r="7169" spans="1:7">
      <c r="A7169" t="s">
        <v>1876</v>
      </c>
      <c r="B7169" t="s">
        <v>369</v>
      </c>
      <c r="C7169" t="s">
        <v>1924</v>
      </c>
      <c r="D7169">
        <v>36</v>
      </c>
      <c r="E7169">
        <v>14</v>
      </c>
      <c r="F7169">
        <v>16</v>
      </c>
      <c r="G7169">
        <v>12</v>
      </c>
    </row>
    <row r="7170" spans="1:7">
      <c r="A7170" t="s">
        <v>1876</v>
      </c>
      <c r="B7170" t="s">
        <v>369</v>
      </c>
      <c r="C7170" t="s">
        <v>1925</v>
      </c>
      <c r="D7170">
        <v>249</v>
      </c>
      <c r="E7170">
        <v>435</v>
      </c>
      <c r="F7170">
        <v>403</v>
      </c>
      <c r="G7170">
        <v>391</v>
      </c>
    </row>
    <row r="7171" spans="1:7">
      <c r="A7171" t="s">
        <v>1876</v>
      </c>
      <c r="B7171" t="s">
        <v>369</v>
      </c>
      <c r="C7171" t="s">
        <v>1926</v>
      </c>
      <c r="D7171">
        <v>550</v>
      </c>
      <c r="E7171">
        <v>742</v>
      </c>
      <c r="F7171">
        <v>1109</v>
      </c>
      <c r="G7171">
        <v>1501</v>
      </c>
    </row>
    <row r="7172" spans="1:7">
      <c r="A7172" t="s">
        <v>1876</v>
      </c>
      <c r="B7172" t="s">
        <v>369</v>
      </c>
      <c r="C7172" t="s">
        <v>1927</v>
      </c>
      <c r="D7172">
        <v>23</v>
      </c>
      <c r="E7172">
        <v>44</v>
      </c>
      <c r="F7172">
        <v>41</v>
      </c>
      <c r="G7172">
        <v>36</v>
      </c>
    </row>
    <row r="7173" spans="1:7">
      <c r="A7173" t="s">
        <v>1876</v>
      </c>
      <c r="B7173" t="s">
        <v>369</v>
      </c>
      <c r="C7173" t="s">
        <v>1928</v>
      </c>
      <c r="D7173">
        <v>766</v>
      </c>
      <c r="E7173">
        <v>1072</v>
      </c>
      <c r="F7173">
        <v>1419</v>
      </c>
      <c r="G7173">
        <v>1784</v>
      </c>
    </row>
    <row r="7174" spans="1:7">
      <c r="A7174" t="s">
        <v>1876</v>
      </c>
      <c r="B7174" t="s">
        <v>369</v>
      </c>
      <c r="C7174" t="s">
        <v>1929</v>
      </c>
      <c r="D7174">
        <v>46</v>
      </c>
      <c r="E7174">
        <v>75</v>
      </c>
      <c r="F7174">
        <v>68</v>
      </c>
      <c r="G7174">
        <v>84</v>
      </c>
    </row>
    <row r="7175" spans="1:7">
      <c r="A7175" t="s">
        <v>1876</v>
      </c>
      <c r="B7175" t="s">
        <v>369</v>
      </c>
      <c r="C7175" t="s">
        <v>186</v>
      </c>
      <c r="D7175">
        <v>0</v>
      </c>
      <c r="E7175">
        <v>0</v>
      </c>
      <c r="F7175">
        <v>0</v>
      </c>
      <c r="G7175">
        <v>0</v>
      </c>
    </row>
    <row r="7176" spans="1:7">
      <c r="A7176" t="s">
        <v>1876</v>
      </c>
      <c r="B7176" t="s">
        <v>369</v>
      </c>
      <c r="C7176" t="s">
        <v>187</v>
      </c>
      <c r="D7176">
        <v>0</v>
      </c>
      <c r="E7176">
        <v>0</v>
      </c>
      <c r="F7176">
        <v>0</v>
      </c>
      <c r="G7176">
        <v>0</v>
      </c>
    </row>
    <row r="7177" spans="1:7">
      <c r="A7177" t="s">
        <v>1876</v>
      </c>
      <c r="B7177" t="s">
        <v>369</v>
      </c>
      <c r="C7177" t="s">
        <v>1705</v>
      </c>
      <c r="D7177">
        <v>19597</v>
      </c>
      <c r="E7177">
        <v>20329</v>
      </c>
      <c r="F7177">
        <v>20307</v>
      </c>
      <c r="G7177">
        <v>20198</v>
      </c>
    </row>
    <row r="7178" spans="1:7">
      <c r="A7178" t="s">
        <v>1876</v>
      </c>
      <c r="B7178" t="s">
        <v>369</v>
      </c>
      <c r="C7178" t="s">
        <v>188</v>
      </c>
      <c r="D7178">
        <v>2202933</v>
      </c>
      <c r="E7178">
        <v>2334616</v>
      </c>
      <c r="F7178">
        <v>2199486</v>
      </c>
      <c r="G7178">
        <v>2210850</v>
      </c>
    </row>
    <row r="7179" spans="1:7">
      <c r="A7179" t="s">
        <v>1876</v>
      </c>
      <c r="B7179" t="s">
        <v>369</v>
      </c>
      <c r="C7179" t="s">
        <v>189</v>
      </c>
      <c r="D7179">
        <v>0</v>
      </c>
      <c r="E7179">
        <v>0</v>
      </c>
      <c r="F7179">
        <v>0</v>
      </c>
      <c r="G7179">
        <v>0</v>
      </c>
    </row>
    <row r="7180" spans="1:7">
      <c r="A7180" t="s">
        <v>1876</v>
      </c>
      <c r="B7180" t="s">
        <v>369</v>
      </c>
      <c r="C7180" t="s">
        <v>190</v>
      </c>
      <c r="D7180">
        <v>0</v>
      </c>
      <c r="E7180">
        <v>0</v>
      </c>
      <c r="F7180">
        <v>0</v>
      </c>
      <c r="G7180">
        <v>0</v>
      </c>
    </row>
    <row r="7181" spans="1:7">
      <c r="A7181" t="s">
        <v>1876</v>
      </c>
      <c r="B7181" t="s">
        <v>369</v>
      </c>
      <c r="C7181" t="s">
        <v>191</v>
      </c>
      <c r="D7181">
        <v>0</v>
      </c>
      <c r="E7181">
        <v>0</v>
      </c>
      <c r="F7181">
        <v>0</v>
      </c>
      <c r="G7181">
        <v>0</v>
      </c>
    </row>
    <row r="7182" spans="1:7">
      <c r="A7182" t="s">
        <v>1876</v>
      </c>
      <c r="B7182" t="s">
        <v>369</v>
      </c>
      <c r="C7182" t="s">
        <v>192</v>
      </c>
      <c r="D7182">
        <v>573329.4</v>
      </c>
      <c r="E7182">
        <v>624173.19999999995</v>
      </c>
      <c r="F7182">
        <v>676030.8</v>
      </c>
      <c r="G7182">
        <v>702466.9</v>
      </c>
    </row>
    <row r="7183" spans="1:7">
      <c r="A7183" t="s">
        <v>1876</v>
      </c>
      <c r="B7183" t="s">
        <v>369</v>
      </c>
      <c r="C7183" t="s">
        <v>193</v>
      </c>
      <c r="D7183">
        <v>528701.80000000005</v>
      </c>
      <c r="E7183">
        <v>539807.5</v>
      </c>
      <c r="F7183">
        <v>554556.19999999995</v>
      </c>
      <c r="G7183">
        <v>562177.6</v>
      </c>
    </row>
    <row r="7184" spans="1:7">
      <c r="A7184" t="s">
        <v>1876</v>
      </c>
      <c r="B7184" t="s">
        <v>369</v>
      </c>
      <c r="C7184" t="s">
        <v>1930</v>
      </c>
      <c r="D7184">
        <v>0</v>
      </c>
      <c r="E7184">
        <v>0</v>
      </c>
      <c r="F7184">
        <v>0</v>
      </c>
      <c r="G7184">
        <v>0</v>
      </c>
    </row>
    <row r="7185" spans="1:7">
      <c r="A7185" t="s">
        <v>1876</v>
      </c>
      <c r="B7185" t="s">
        <v>369</v>
      </c>
      <c r="C7185" t="s">
        <v>194</v>
      </c>
      <c r="D7185">
        <v>874</v>
      </c>
      <c r="E7185">
        <v>874</v>
      </c>
      <c r="F7185">
        <v>874</v>
      </c>
      <c r="G7185">
        <v>874</v>
      </c>
    </row>
    <row r="7186" spans="1:7">
      <c r="A7186" t="s">
        <v>1876</v>
      </c>
      <c r="B7186" t="s">
        <v>369</v>
      </c>
      <c r="C7186" t="s">
        <v>195</v>
      </c>
      <c r="D7186">
        <v>0</v>
      </c>
      <c r="E7186">
        <v>0</v>
      </c>
      <c r="F7186">
        <v>0</v>
      </c>
      <c r="G7186">
        <v>0</v>
      </c>
    </row>
    <row r="7187" spans="1:7">
      <c r="A7187" t="s">
        <v>1876</v>
      </c>
      <c r="B7187" t="s">
        <v>369</v>
      </c>
      <c r="C7187" t="s">
        <v>1706</v>
      </c>
      <c r="D7187">
        <v>0</v>
      </c>
      <c r="E7187">
        <v>0</v>
      </c>
      <c r="F7187">
        <v>0</v>
      </c>
      <c r="G7187">
        <v>0</v>
      </c>
    </row>
    <row r="7188" spans="1:7">
      <c r="A7188" t="s">
        <v>1876</v>
      </c>
      <c r="B7188" t="s">
        <v>369</v>
      </c>
      <c r="C7188" t="s">
        <v>196</v>
      </c>
      <c r="D7188">
        <v>0</v>
      </c>
      <c r="E7188">
        <v>0</v>
      </c>
      <c r="F7188">
        <v>0</v>
      </c>
      <c r="G7188">
        <v>0</v>
      </c>
    </row>
    <row r="7189" spans="1:7">
      <c r="A7189" t="s">
        <v>1876</v>
      </c>
      <c r="B7189" t="s">
        <v>369</v>
      </c>
      <c r="C7189" t="s">
        <v>197</v>
      </c>
      <c r="D7189">
        <v>4320</v>
      </c>
      <c r="E7189">
        <v>4320</v>
      </c>
      <c r="F7189">
        <v>4320</v>
      </c>
      <c r="G7189">
        <v>4320</v>
      </c>
    </row>
    <row r="7190" spans="1:7">
      <c r="A7190" t="s">
        <v>1876</v>
      </c>
      <c r="B7190" t="s">
        <v>369</v>
      </c>
      <c r="C7190" t="s">
        <v>198</v>
      </c>
      <c r="D7190">
        <v>5193</v>
      </c>
      <c r="E7190">
        <v>5193</v>
      </c>
      <c r="F7190">
        <v>5193</v>
      </c>
      <c r="G7190">
        <v>5193</v>
      </c>
    </row>
    <row r="7191" spans="1:7">
      <c r="A7191" t="s">
        <v>1876</v>
      </c>
      <c r="B7191" t="s">
        <v>369</v>
      </c>
      <c r="C7191" t="s">
        <v>199</v>
      </c>
      <c r="D7191">
        <v>5193</v>
      </c>
      <c r="E7191">
        <v>5193</v>
      </c>
      <c r="F7191">
        <v>5193</v>
      </c>
      <c r="G7191">
        <v>5193</v>
      </c>
    </row>
    <row r="7192" spans="1:7">
      <c r="A7192" t="s">
        <v>1876</v>
      </c>
      <c r="B7192" t="s">
        <v>369</v>
      </c>
      <c r="C7192" t="s">
        <v>200</v>
      </c>
      <c r="D7192">
        <v>507</v>
      </c>
      <c r="E7192">
        <v>469</v>
      </c>
      <c r="F7192">
        <v>418</v>
      </c>
      <c r="G7192">
        <v>499</v>
      </c>
    </row>
    <row r="7193" spans="1:7">
      <c r="A7193" t="s">
        <v>1876</v>
      </c>
      <c r="B7193" t="s">
        <v>369</v>
      </c>
      <c r="C7193" t="s">
        <v>201</v>
      </c>
      <c r="D7193">
        <v>7515</v>
      </c>
      <c r="E7193">
        <v>7028</v>
      </c>
      <c r="F7193">
        <v>4956</v>
      </c>
      <c r="G7193">
        <v>4686</v>
      </c>
    </row>
    <row r="7194" spans="1:7">
      <c r="A7194" t="s">
        <v>1876</v>
      </c>
      <c r="B7194" t="s">
        <v>369</v>
      </c>
      <c r="C7194" t="s">
        <v>202</v>
      </c>
      <c r="D7194">
        <v>5343</v>
      </c>
      <c r="E7194">
        <v>7316</v>
      </c>
      <c r="F7194">
        <v>6323</v>
      </c>
      <c r="G7194">
        <v>5721</v>
      </c>
    </row>
    <row r="7195" spans="1:7">
      <c r="A7195" t="s">
        <v>1876</v>
      </c>
      <c r="B7195" t="s">
        <v>369</v>
      </c>
      <c r="C7195" t="s">
        <v>203</v>
      </c>
      <c r="D7195">
        <v>34329</v>
      </c>
      <c r="E7195">
        <v>33721</v>
      </c>
      <c r="F7195">
        <v>33229</v>
      </c>
      <c r="G7195">
        <v>30240</v>
      </c>
    </row>
    <row r="7196" spans="1:7">
      <c r="A7196" t="s">
        <v>1876</v>
      </c>
      <c r="B7196" t="s">
        <v>369</v>
      </c>
      <c r="C7196" t="s">
        <v>204</v>
      </c>
      <c r="D7196">
        <v>47694</v>
      </c>
      <c r="E7196">
        <v>48535</v>
      </c>
      <c r="F7196">
        <v>44926</v>
      </c>
      <c r="G7196">
        <v>41145</v>
      </c>
    </row>
    <row r="7197" spans="1:7">
      <c r="A7197" t="s">
        <v>1876</v>
      </c>
      <c r="B7197" t="s">
        <v>369</v>
      </c>
      <c r="C7197" t="s">
        <v>205</v>
      </c>
      <c r="D7197">
        <v>47694</v>
      </c>
      <c r="E7197">
        <v>48535</v>
      </c>
      <c r="F7197">
        <v>44926</v>
      </c>
      <c r="G7197">
        <v>41145</v>
      </c>
    </row>
    <row r="7198" spans="1:7">
      <c r="A7198" t="s">
        <v>1876</v>
      </c>
      <c r="B7198" t="s">
        <v>369</v>
      </c>
      <c r="C7198" t="s">
        <v>1931</v>
      </c>
      <c r="D7198">
        <v>10.3</v>
      </c>
      <c r="E7198">
        <v>12.6</v>
      </c>
      <c r="F7198">
        <v>11.9</v>
      </c>
      <c r="G7198">
        <v>14.2</v>
      </c>
    </row>
    <row r="7199" spans="1:7">
      <c r="A7199" t="s">
        <v>1876</v>
      </c>
      <c r="B7199" t="s">
        <v>369</v>
      </c>
      <c r="C7199" t="s">
        <v>1707</v>
      </c>
      <c r="D7199">
        <v>2144</v>
      </c>
      <c r="E7199">
        <v>2186</v>
      </c>
      <c r="F7199">
        <v>2186</v>
      </c>
      <c r="G7199">
        <v>2180</v>
      </c>
    </row>
    <row r="7200" spans="1:7">
      <c r="A7200" t="s">
        <v>1876</v>
      </c>
      <c r="B7200" t="s">
        <v>369</v>
      </c>
      <c r="C7200" t="s">
        <v>1932</v>
      </c>
      <c r="D7200">
        <v>58</v>
      </c>
      <c r="E7200">
        <v>59.9</v>
      </c>
      <c r="F7200">
        <v>60.4</v>
      </c>
      <c r="G7200">
        <v>54.2</v>
      </c>
    </row>
    <row r="7201" spans="1:7">
      <c r="A7201" t="s">
        <v>1876</v>
      </c>
      <c r="B7201" t="s">
        <v>369</v>
      </c>
      <c r="C7201" t="s">
        <v>1708</v>
      </c>
      <c r="D7201">
        <v>264</v>
      </c>
      <c r="E7201">
        <v>264</v>
      </c>
      <c r="F7201">
        <v>264</v>
      </c>
      <c r="G7201">
        <v>264</v>
      </c>
    </row>
    <row r="7202" spans="1:7">
      <c r="A7202" t="s">
        <v>1876</v>
      </c>
      <c r="B7202" t="s">
        <v>369</v>
      </c>
      <c r="C7202" t="s">
        <v>206</v>
      </c>
      <c r="D7202">
        <v>0</v>
      </c>
      <c r="E7202">
        <v>0</v>
      </c>
      <c r="F7202">
        <v>0</v>
      </c>
      <c r="G7202">
        <v>0</v>
      </c>
    </row>
    <row r="7203" spans="1:7">
      <c r="A7203" t="s">
        <v>1876</v>
      </c>
      <c r="B7203" t="s">
        <v>369</v>
      </c>
      <c r="C7203" t="s">
        <v>207</v>
      </c>
      <c r="D7203">
        <v>4535</v>
      </c>
      <c r="E7203">
        <v>4695</v>
      </c>
      <c r="F7203">
        <v>4727</v>
      </c>
      <c r="G7203">
        <v>4255</v>
      </c>
    </row>
    <row r="7204" spans="1:7">
      <c r="A7204" t="s">
        <v>1876</v>
      </c>
      <c r="B7204" t="s">
        <v>369</v>
      </c>
      <c r="C7204" t="s">
        <v>208</v>
      </c>
      <c r="D7204">
        <v>37</v>
      </c>
      <c r="E7204">
        <v>34</v>
      </c>
      <c r="F7204">
        <v>33</v>
      </c>
      <c r="G7204">
        <v>27</v>
      </c>
    </row>
    <row r="7205" spans="1:7">
      <c r="A7205" t="s">
        <v>1876</v>
      </c>
      <c r="B7205" t="s">
        <v>369</v>
      </c>
      <c r="C7205" t="s">
        <v>209</v>
      </c>
      <c r="D7205">
        <v>4571</v>
      </c>
      <c r="E7205">
        <v>4729</v>
      </c>
      <c r="F7205">
        <v>4760</v>
      </c>
      <c r="G7205">
        <v>4282</v>
      </c>
    </row>
    <row r="7206" spans="1:7">
      <c r="A7206" t="s">
        <v>1876</v>
      </c>
      <c r="B7206" t="s">
        <v>369</v>
      </c>
      <c r="C7206" t="s">
        <v>210</v>
      </c>
      <c r="D7206">
        <v>37</v>
      </c>
      <c r="E7206">
        <v>34</v>
      </c>
      <c r="F7206">
        <v>33</v>
      </c>
      <c r="G7206">
        <v>27</v>
      </c>
    </row>
    <row r="7207" spans="1:7">
      <c r="A7207" t="s">
        <v>1876</v>
      </c>
      <c r="B7207" t="s">
        <v>369</v>
      </c>
      <c r="C7207" t="s">
        <v>211</v>
      </c>
      <c r="D7207">
        <v>0</v>
      </c>
      <c r="E7207">
        <v>0</v>
      </c>
      <c r="F7207">
        <v>0</v>
      </c>
      <c r="G7207">
        <v>0</v>
      </c>
    </row>
    <row r="7208" spans="1:7">
      <c r="A7208" t="s">
        <v>1876</v>
      </c>
      <c r="B7208" t="s">
        <v>369</v>
      </c>
      <c r="C7208" t="s">
        <v>212</v>
      </c>
      <c r="D7208">
        <v>0</v>
      </c>
      <c r="E7208">
        <v>0</v>
      </c>
      <c r="F7208">
        <v>0</v>
      </c>
      <c r="G7208">
        <v>0</v>
      </c>
    </row>
    <row r="7209" spans="1:7">
      <c r="A7209" t="s">
        <v>1876</v>
      </c>
      <c r="B7209" t="s">
        <v>369</v>
      </c>
      <c r="C7209" t="s">
        <v>213</v>
      </c>
      <c r="D7209">
        <v>0</v>
      </c>
      <c r="E7209">
        <v>0</v>
      </c>
      <c r="F7209">
        <v>0</v>
      </c>
      <c r="G7209">
        <v>0</v>
      </c>
    </row>
    <row r="7210" spans="1:7">
      <c r="A7210" t="s">
        <v>1876</v>
      </c>
      <c r="B7210" t="s">
        <v>369</v>
      </c>
      <c r="C7210" t="s">
        <v>214</v>
      </c>
      <c r="D7210">
        <v>0</v>
      </c>
      <c r="E7210">
        <v>0</v>
      </c>
      <c r="F7210">
        <v>0</v>
      </c>
      <c r="G7210">
        <v>0</v>
      </c>
    </row>
    <row r="7211" spans="1:7">
      <c r="A7211" t="s">
        <v>1876</v>
      </c>
      <c r="B7211" t="s">
        <v>369</v>
      </c>
      <c r="C7211" t="s">
        <v>215</v>
      </c>
      <c r="D7211">
        <v>39783</v>
      </c>
      <c r="E7211">
        <v>44251</v>
      </c>
      <c r="F7211">
        <v>49834</v>
      </c>
      <c r="G7211">
        <v>50502</v>
      </c>
    </row>
    <row r="7212" spans="1:7">
      <c r="A7212" t="s">
        <v>1876</v>
      </c>
      <c r="B7212" t="s">
        <v>369</v>
      </c>
      <c r="C7212" t="s">
        <v>216</v>
      </c>
      <c r="D7212">
        <v>39783</v>
      </c>
      <c r="E7212">
        <v>44251</v>
      </c>
      <c r="F7212">
        <v>49834</v>
      </c>
      <c r="G7212">
        <v>50502</v>
      </c>
    </row>
    <row r="7213" spans="1:7">
      <c r="A7213" t="s">
        <v>1876</v>
      </c>
      <c r="B7213" t="s">
        <v>369</v>
      </c>
      <c r="C7213" t="s">
        <v>217</v>
      </c>
      <c r="D7213">
        <v>39783</v>
      </c>
      <c r="E7213">
        <v>44251</v>
      </c>
      <c r="F7213">
        <v>49834</v>
      </c>
      <c r="G7213">
        <v>50502</v>
      </c>
    </row>
    <row r="7214" spans="1:7">
      <c r="A7214" t="s">
        <v>1876</v>
      </c>
      <c r="B7214" t="s">
        <v>369</v>
      </c>
      <c r="C7214" t="s">
        <v>218</v>
      </c>
      <c r="D7214">
        <v>45</v>
      </c>
      <c r="E7214">
        <v>42</v>
      </c>
      <c r="F7214">
        <v>73</v>
      </c>
      <c r="G7214">
        <v>52</v>
      </c>
    </row>
    <row r="7215" spans="1:7">
      <c r="A7215" t="s">
        <v>1876</v>
      </c>
      <c r="B7215" t="s">
        <v>369</v>
      </c>
      <c r="C7215" t="s">
        <v>219</v>
      </c>
      <c r="D7215">
        <v>5</v>
      </c>
      <c r="E7215">
        <v>4</v>
      </c>
      <c r="F7215">
        <v>16</v>
      </c>
      <c r="G7215">
        <v>9</v>
      </c>
    </row>
    <row r="7216" spans="1:7">
      <c r="A7216" t="s">
        <v>1876</v>
      </c>
      <c r="B7216" t="s">
        <v>369</v>
      </c>
      <c r="C7216" t="s">
        <v>220</v>
      </c>
      <c r="D7216">
        <v>102</v>
      </c>
      <c r="E7216">
        <v>95</v>
      </c>
      <c r="F7216">
        <v>166</v>
      </c>
      <c r="G7216">
        <v>120</v>
      </c>
    </row>
    <row r="7217" spans="1:7">
      <c r="A7217" t="s">
        <v>1876</v>
      </c>
      <c r="B7217" t="s">
        <v>369</v>
      </c>
      <c r="C7217" t="s">
        <v>221</v>
      </c>
      <c r="D7217">
        <v>152</v>
      </c>
      <c r="E7217">
        <v>141</v>
      </c>
      <c r="F7217">
        <v>255</v>
      </c>
      <c r="G7217">
        <v>181</v>
      </c>
    </row>
    <row r="7218" spans="1:7">
      <c r="A7218" t="s">
        <v>1876</v>
      </c>
      <c r="B7218" t="s">
        <v>369</v>
      </c>
      <c r="C7218" t="s">
        <v>222</v>
      </c>
      <c r="D7218">
        <v>152</v>
      </c>
      <c r="E7218">
        <v>141</v>
      </c>
      <c r="F7218">
        <v>255</v>
      </c>
      <c r="G7218">
        <v>181</v>
      </c>
    </row>
    <row r="7219" spans="1:7">
      <c r="A7219" t="s">
        <v>1876</v>
      </c>
      <c r="B7219" t="s">
        <v>369</v>
      </c>
      <c r="C7219" t="s">
        <v>1933</v>
      </c>
      <c r="D7219">
        <v>7845.7</v>
      </c>
      <c r="E7219">
        <v>7840.3</v>
      </c>
      <c r="F7219">
        <v>7861.3</v>
      </c>
      <c r="G7219">
        <v>7915.8</v>
      </c>
    </row>
    <row r="7220" spans="1:7">
      <c r="A7220" t="s">
        <v>1876</v>
      </c>
      <c r="B7220" t="s">
        <v>369</v>
      </c>
      <c r="C7220" t="s">
        <v>223</v>
      </c>
      <c r="D7220">
        <v>21</v>
      </c>
      <c r="E7220">
        <v>27</v>
      </c>
      <c r="F7220">
        <v>31</v>
      </c>
      <c r="G7220">
        <v>32</v>
      </c>
    </row>
    <row r="7221" spans="1:7">
      <c r="A7221" t="s">
        <v>1876</v>
      </c>
      <c r="B7221" t="s">
        <v>369</v>
      </c>
      <c r="C7221" t="s">
        <v>224</v>
      </c>
      <c r="D7221">
        <v>239881</v>
      </c>
      <c r="E7221">
        <v>230884</v>
      </c>
      <c r="F7221">
        <v>208144</v>
      </c>
      <c r="G7221">
        <v>215131</v>
      </c>
    </row>
    <row r="7222" spans="1:7">
      <c r="A7222" t="s">
        <v>1876</v>
      </c>
      <c r="B7222" t="s">
        <v>369</v>
      </c>
      <c r="C7222" t="s">
        <v>225</v>
      </c>
      <c r="D7222">
        <v>176236</v>
      </c>
      <c r="E7222">
        <v>177205</v>
      </c>
      <c r="F7222">
        <v>162457</v>
      </c>
      <c r="G7222">
        <v>163642</v>
      </c>
    </row>
    <row r="7223" spans="1:7">
      <c r="A7223" t="s">
        <v>1876</v>
      </c>
      <c r="B7223" t="s">
        <v>369</v>
      </c>
      <c r="C7223" t="s">
        <v>226</v>
      </c>
      <c r="D7223">
        <v>233420</v>
      </c>
      <c r="E7223">
        <v>217948</v>
      </c>
      <c r="F7223">
        <v>185352</v>
      </c>
      <c r="G7223">
        <v>193810</v>
      </c>
    </row>
    <row r="7224" spans="1:7">
      <c r="A7224" t="s">
        <v>1876</v>
      </c>
      <c r="B7224" t="s">
        <v>369</v>
      </c>
      <c r="C7224" t="s">
        <v>227</v>
      </c>
      <c r="D7224">
        <v>649558</v>
      </c>
      <c r="E7224">
        <v>626064</v>
      </c>
      <c r="F7224">
        <v>555984</v>
      </c>
      <c r="G7224">
        <v>572615</v>
      </c>
    </row>
    <row r="7225" spans="1:7">
      <c r="A7225" t="s">
        <v>1876</v>
      </c>
      <c r="B7225" t="s">
        <v>369</v>
      </c>
      <c r="C7225" t="s">
        <v>228</v>
      </c>
      <c r="D7225">
        <v>649558</v>
      </c>
      <c r="E7225">
        <v>626064</v>
      </c>
      <c r="F7225">
        <v>555984</v>
      </c>
      <c r="G7225">
        <v>572615</v>
      </c>
    </row>
    <row r="7226" spans="1:7">
      <c r="A7226" t="s">
        <v>1876</v>
      </c>
      <c r="B7226" t="s">
        <v>369</v>
      </c>
      <c r="C7226" t="s">
        <v>229</v>
      </c>
      <c r="D7226">
        <v>3185</v>
      </c>
      <c r="E7226">
        <v>3359</v>
      </c>
      <c r="F7226">
        <v>2406</v>
      </c>
      <c r="G7226">
        <v>2341</v>
      </c>
    </row>
    <row r="7227" spans="1:7">
      <c r="A7227" t="s">
        <v>1876</v>
      </c>
      <c r="B7227" t="s">
        <v>369</v>
      </c>
      <c r="C7227" t="s">
        <v>230</v>
      </c>
      <c r="D7227">
        <v>2749</v>
      </c>
      <c r="E7227">
        <v>2899</v>
      </c>
      <c r="F7227">
        <v>2145</v>
      </c>
      <c r="G7227">
        <v>1995</v>
      </c>
    </row>
    <row r="7228" spans="1:7">
      <c r="A7228" t="s">
        <v>1876</v>
      </c>
      <c r="B7228" t="s">
        <v>369</v>
      </c>
      <c r="C7228" t="s">
        <v>231</v>
      </c>
      <c r="D7228">
        <v>5933</v>
      </c>
      <c r="E7228">
        <v>6258</v>
      </c>
      <c r="F7228">
        <v>4551</v>
      </c>
      <c r="G7228">
        <v>4336</v>
      </c>
    </row>
    <row r="7229" spans="1:7">
      <c r="A7229" t="s">
        <v>1876</v>
      </c>
      <c r="B7229" t="s">
        <v>369</v>
      </c>
      <c r="C7229" t="s">
        <v>232</v>
      </c>
      <c r="D7229">
        <v>5933</v>
      </c>
      <c r="E7229">
        <v>6258</v>
      </c>
      <c r="F7229">
        <v>4551</v>
      </c>
      <c r="G7229">
        <v>4336</v>
      </c>
    </row>
    <row r="7230" spans="1:7">
      <c r="A7230" t="s">
        <v>1876</v>
      </c>
      <c r="B7230" t="s">
        <v>369</v>
      </c>
      <c r="C7230" t="s">
        <v>233</v>
      </c>
      <c r="D7230">
        <v>0</v>
      </c>
      <c r="E7230">
        <v>0</v>
      </c>
      <c r="F7230">
        <v>0</v>
      </c>
      <c r="G7230">
        <v>0</v>
      </c>
    </row>
    <row r="7231" spans="1:7">
      <c r="A7231" t="s">
        <v>1876</v>
      </c>
      <c r="B7231" t="s">
        <v>369</v>
      </c>
      <c r="C7231" t="s">
        <v>234</v>
      </c>
      <c r="D7231">
        <v>505201</v>
      </c>
      <c r="E7231">
        <v>495873</v>
      </c>
      <c r="F7231">
        <v>495365</v>
      </c>
      <c r="G7231">
        <v>512607</v>
      </c>
    </row>
    <row r="7232" spans="1:7">
      <c r="A7232" t="s">
        <v>1876</v>
      </c>
      <c r="B7232" t="s">
        <v>369</v>
      </c>
      <c r="C7232" t="s">
        <v>235</v>
      </c>
      <c r="D7232">
        <v>10776</v>
      </c>
      <c r="E7232">
        <v>11068</v>
      </c>
      <c r="F7232">
        <v>11318</v>
      </c>
      <c r="G7232">
        <v>7570</v>
      </c>
    </row>
    <row r="7233" spans="1:7">
      <c r="A7233" t="s">
        <v>1876</v>
      </c>
      <c r="B7233" t="s">
        <v>369</v>
      </c>
      <c r="C7233" t="s">
        <v>236</v>
      </c>
      <c r="D7233">
        <v>7919</v>
      </c>
      <c r="E7233">
        <v>8360</v>
      </c>
      <c r="F7233">
        <v>8162</v>
      </c>
      <c r="G7233">
        <v>7304</v>
      </c>
    </row>
    <row r="7234" spans="1:7">
      <c r="A7234" t="s">
        <v>1876</v>
      </c>
      <c r="B7234" t="s">
        <v>369</v>
      </c>
      <c r="C7234" t="s">
        <v>237</v>
      </c>
      <c r="D7234">
        <v>523896</v>
      </c>
      <c r="E7234">
        <v>515301</v>
      </c>
      <c r="F7234">
        <v>514844</v>
      </c>
      <c r="G7234">
        <v>527481</v>
      </c>
    </row>
    <row r="7235" spans="1:7">
      <c r="A7235" t="s">
        <v>1876</v>
      </c>
      <c r="B7235" t="s">
        <v>369</v>
      </c>
      <c r="C7235" t="s">
        <v>238</v>
      </c>
      <c r="D7235">
        <v>523896</v>
      </c>
      <c r="E7235">
        <v>515301</v>
      </c>
      <c r="F7235">
        <v>514844</v>
      </c>
      <c r="G7235">
        <v>527481</v>
      </c>
    </row>
    <row r="7236" spans="1:7">
      <c r="A7236" t="s">
        <v>1876</v>
      </c>
      <c r="B7236" t="s">
        <v>369</v>
      </c>
      <c r="C7236" t="s">
        <v>1934</v>
      </c>
      <c r="D7236">
        <v>470222</v>
      </c>
      <c r="E7236">
        <v>461401</v>
      </c>
      <c r="F7236">
        <v>460453</v>
      </c>
      <c r="G7236">
        <v>477153</v>
      </c>
    </row>
    <row r="7237" spans="1:7">
      <c r="A7237" t="s">
        <v>1876</v>
      </c>
      <c r="B7237" t="s">
        <v>369</v>
      </c>
      <c r="C7237" t="s">
        <v>1935</v>
      </c>
      <c r="D7237">
        <v>10030</v>
      </c>
      <c r="E7237">
        <v>10299</v>
      </c>
      <c r="F7237">
        <v>10520</v>
      </c>
      <c r="G7237">
        <v>7047</v>
      </c>
    </row>
    <row r="7238" spans="1:7">
      <c r="A7238" t="s">
        <v>1876</v>
      </c>
      <c r="B7238" t="s">
        <v>369</v>
      </c>
      <c r="C7238" t="s">
        <v>1936</v>
      </c>
      <c r="D7238">
        <v>7371</v>
      </c>
      <c r="E7238">
        <v>7779</v>
      </c>
      <c r="F7238">
        <v>7586</v>
      </c>
      <c r="G7238">
        <v>6799</v>
      </c>
    </row>
    <row r="7239" spans="1:7">
      <c r="A7239" t="s">
        <v>1876</v>
      </c>
      <c r="B7239" t="s">
        <v>369</v>
      </c>
      <c r="C7239" t="s">
        <v>239</v>
      </c>
      <c r="D7239">
        <v>487623</v>
      </c>
      <c r="E7239">
        <v>479479</v>
      </c>
      <c r="F7239">
        <v>478559</v>
      </c>
      <c r="G7239">
        <v>490998</v>
      </c>
    </row>
    <row r="7240" spans="1:7">
      <c r="A7240" t="s">
        <v>1876</v>
      </c>
      <c r="B7240" t="s">
        <v>369</v>
      </c>
      <c r="C7240" t="s">
        <v>240</v>
      </c>
      <c r="D7240">
        <v>1760</v>
      </c>
      <c r="E7240">
        <v>1132</v>
      </c>
      <c r="F7240">
        <v>1088</v>
      </c>
      <c r="G7240">
        <v>1065</v>
      </c>
    </row>
    <row r="7241" spans="1:7">
      <c r="A7241" t="s">
        <v>1876</v>
      </c>
      <c r="B7241" t="s">
        <v>369</v>
      </c>
      <c r="C7241" t="s">
        <v>241</v>
      </c>
      <c r="D7241">
        <v>0</v>
      </c>
      <c r="E7241">
        <v>0</v>
      </c>
      <c r="F7241">
        <v>0</v>
      </c>
      <c r="G7241">
        <v>0</v>
      </c>
    </row>
    <row r="7242" spans="1:7">
      <c r="A7242" t="s">
        <v>1876</v>
      </c>
      <c r="B7242" t="s">
        <v>369</v>
      </c>
      <c r="C7242" t="s">
        <v>242</v>
      </c>
      <c r="D7242">
        <v>27482</v>
      </c>
      <c r="E7242">
        <v>30507</v>
      </c>
      <c r="F7242">
        <v>23447</v>
      </c>
      <c r="G7242">
        <v>21042</v>
      </c>
    </row>
    <row r="7243" spans="1:7">
      <c r="A7243" t="s">
        <v>1876</v>
      </c>
      <c r="B7243" t="s">
        <v>369</v>
      </c>
      <c r="C7243" t="s">
        <v>243</v>
      </c>
      <c r="D7243">
        <v>170860</v>
      </c>
      <c r="E7243">
        <v>189709</v>
      </c>
      <c r="F7243">
        <v>171124</v>
      </c>
      <c r="G7243">
        <v>161958</v>
      </c>
    </row>
    <row r="7244" spans="1:7">
      <c r="A7244" t="s">
        <v>1876</v>
      </c>
      <c r="B7244" t="s">
        <v>369</v>
      </c>
      <c r="C7244" t="s">
        <v>244</v>
      </c>
      <c r="D7244">
        <v>265373</v>
      </c>
      <c r="E7244">
        <v>337665</v>
      </c>
      <c r="F7244">
        <v>432985</v>
      </c>
      <c r="G7244">
        <v>449759</v>
      </c>
    </row>
    <row r="7245" spans="1:7">
      <c r="A7245" t="s">
        <v>1876</v>
      </c>
      <c r="B7245" t="s">
        <v>369</v>
      </c>
      <c r="C7245" t="s">
        <v>1709</v>
      </c>
      <c r="D7245">
        <v>10822</v>
      </c>
      <c r="E7245">
        <v>13301</v>
      </c>
      <c r="F7245">
        <v>13775</v>
      </c>
      <c r="G7245">
        <v>13780</v>
      </c>
    </row>
    <row r="7246" spans="1:7">
      <c r="A7246" t="s">
        <v>1876</v>
      </c>
      <c r="B7246" t="s">
        <v>369</v>
      </c>
      <c r="C7246" t="s">
        <v>245</v>
      </c>
      <c r="D7246">
        <v>173259</v>
      </c>
      <c r="E7246">
        <v>182565</v>
      </c>
      <c r="F7246">
        <v>176592</v>
      </c>
      <c r="G7246">
        <v>166678</v>
      </c>
    </row>
    <row r="7247" spans="1:7">
      <c r="A7247" t="s">
        <v>1876</v>
      </c>
      <c r="B7247" t="s">
        <v>369</v>
      </c>
      <c r="C7247" t="s">
        <v>246</v>
      </c>
      <c r="D7247">
        <v>313393</v>
      </c>
      <c r="E7247">
        <v>347846</v>
      </c>
      <c r="F7247">
        <v>299832</v>
      </c>
      <c r="G7247">
        <v>288516</v>
      </c>
    </row>
    <row r="7248" spans="1:7">
      <c r="A7248" t="s">
        <v>1876</v>
      </c>
      <c r="B7248" t="s">
        <v>369</v>
      </c>
      <c r="C7248" t="s">
        <v>247</v>
      </c>
      <c r="D7248">
        <v>950364</v>
      </c>
      <c r="E7248">
        <v>1088289</v>
      </c>
      <c r="F7248">
        <v>1103983</v>
      </c>
      <c r="G7248">
        <v>1087952</v>
      </c>
    </row>
    <row r="7249" spans="1:7">
      <c r="A7249" t="s">
        <v>1876</v>
      </c>
      <c r="B7249" t="s">
        <v>369</v>
      </c>
      <c r="C7249" t="s">
        <v>248</v>
      </c>
      <c r="D7249">
        <v>94.6</v>
      </c>
      <c r="E7249">
        <v>108.4</v>
      </c>
      <c r="F7249">
        <v>109.7</v>
      </c>
      <c r="G7249">
        <v>107.7</v>
      </c>
    </row>
    <row r="7250" spans="1:7">
      <c r="A7250" t="s">
        <v>1876</v>
      </c>
      <c r="B7250" t="s">
        <v>369</v>
      </c>
      <c r="C7250" t="s">
        <v>249</v>
      </c>
      <c r="D7250">
        <v>684994</v>
      </c>
      <c r="E7250">
        <v>750628</v>
      </c>
      <c r="F7250">
        <v>670996</v>
      </c>
      <c r="G7250">
        <v>638194</v>
      </c>
    </row>
    <row r="7251" spans="1:7">
      <c r="A7251" t="s">
        <v>1876</v>
      </c>
      <c r="B7251" t="s">
        <v>369</v>
      </c>
      <c r="C7251" t="s">
        <v>250</v>
      </c>
      <c r="D7251">
        <v>950364</v>
      </c>
      <c r="E7251">
        <v>1087716</v>
      </c>
      <c r="F7251">
        <v>1102604</v>
      </c>
      <c r="G7251">
        <v>1086396</v>
      </c>
    </row>
    <row r="7252" spans="1:7">
      <c r="A7252" t="s">
        <v>1876</v>
      </c>
      <c r="B7252" t="s">
        <v>369</v>
      </c>
      <c r="C7252" t="s">
        <v>1937</v>
      </c>
      <c r="D7252">
        <v>18.5</v>
      </c>
      <c r="E7252">
        <v>20.399999999999999</v>
      </c>
      <c r="F7252">
        <v>28.6</v>
      </c>
      <c r="G7252">
        <v>32.5</v>
      </c>
    </row>
    <row r="7253" spans="1:7">
      <c r="A7253" t="s">
        <v>1876</v>
      </c>
      <c r="B7253" t="s">
        <v>369</v>
      </c>
      <c r="C7253" t="s">
        <v>1938</v>
      </c>
      <c r="D7253">
        <v>95.3</v>
      </c>
      <c r="E7253">
        <v>81.7</v>
      </c>
      <c r="F7253">
        <v>96.3</v>
      </c>
      <c r="G7253">
        <v>73.2</v>
      </c>
    </row>
    <row r="7254" spans="1:7">
      <c r="A7254" t="s">
        <v>1876</v>
      </c>
      <c r="B7254" t="s">
        <v>369</v>
      </c>
      <c r="C7254" t="s">
        <v>251</v>
      </c>
      <c r="D7254">
        <v>358114</v>
      </c>
      <c r="E7254">
        <v>271788</v>
      </c>
      <c r="F7254">
        <v>292615</v>
      </c>
      <c r="G7254">
        <v>274450</v>
      </c>
    </row>
    <row r="7255" spans="1:7">
      <c r="A7255" t="s">
        <v>1876</v>
      </c>
      <c r="B7255" t="s">
        <v>369</v>
      </c>
      <c r="C7255" t="s">
        <v>252</v>
      </c>
      <c r="D7255">
        <v>358114</v>
      </c>
      <c r="E7255">
        <v>271788</v>
      </c>
      <c r="F7255">
        <v>292615</v>
      </c>
      <c r="G7255">
        <v>274450</v>
      </c>
    </row>
    <row r="7256" spans="1:7">
      <c r="A7256" t="s">
        <v>1876</v>
      </c>
      <c r="B7256" t="s">
        <v>369</v>
      </c>
      <c r="C7256" t="s">
        <v>1710</v>
      </c>
      <c r="D7256">
        <v>4114</v>
      </c>
      <c r="E7256">
        <v>3318</v>
      </c>
      <c r="F7256">
        <v>3318</v>
      </c>
      <c r="G7256">
        <v>3318</v>
      </c>
    </row>
    <row r="7257" spans="1:7">
      <c r="A7257" t="s">
        <v>1876</v>
      </c>
      <c r="B7257" t="s">
        <v>369</v>
      </c>
      <c r="C7257" t="s">
        <v>1939</v>
      </c>
      <c r="D7257">
        <v>6.5</v>
      </c>
      <c r="E7257">
        <v>4.3</v>
      </c>
      <c r="F7257">
        <v>6.7</v>
      </c>
      <c r="G7257">
        <v>8.8000000000000007</v>
      </c>
    </row>
    <row r="7258" spans="1:7">
      <c r="A7258" t="s">
        <v>1876</v>
      </c>
      <c r="B7258" t="s">
        <v>369</v>
      </c>
      <c r="C7258" t="s">
        <v>253</v>
      </c>
      <c r="D7258">
        <v>0</v>
      </c>
      <c r="E7258">
        <v>0</v>
      </c>
      <c r="F7258">
        <v>0</v>
      </c>
      <c r="G7258">
        <v>0</v>
      </c>
    </row>
    <row r="7259" spans="1:7">
      <c r="A7259" t="s">
        <v>1876</v>
      </c>
      <c r="B7259" t="s">
        <v>369</v>
      </c>
      <c r="C7259" t="s">
        <v>1711</v>
      </c>
      <c r="D7259">
        <v>250</v>
      </c>
      <c r="E7259">
        <v>250</v>
      </c>
      <c r="F7259">
        <v>250</v>
      </c>
      <c r="G7259">
        <v>250</v>
      </c>
    </row>
    <row r="7260" spans="1:7">
      <c r="A7260" t="s">
        <v>1876</v>
      </c>
      <c r="B7260" t="s">
        <v>369</v>
      </c>
      <c r="C7260" t="s">
        <v>1712</v>
      </c>
      <c r="D7260">
        <v>18072</v>
      </c>
      <c r="E7260">
        <v>17126</v>
      </c>
      <c r="F7260">
        <v>16710</v>
      </c>
      <c r="G7260">
        <v>14982</v>
      </c>
    </row>
    <row r="7261" spans="1:7">
      <c r="A7261" t="s">
        <v>1876</v>
      </c>
      <c r="B7261" t="s">
        <v>369</v>
      </c>
      <c r="C7261" t="s">
        <v>1713</v>
      </c>
      <c r="D7261">
        <v>1786</v>
      </c>
      <c r="E7261">
        <v>1728</v>
      </c>
      <c r="F7261">
        <v>2419</v>
      </c>
      <c r="G7261">
        <v>2513</v>
      </c>
    </row>
    <row r="7262" spans="1:7">
      <c r="A7262" t="s">
        <v>1876</v>
      </c>
      <c r="B7262" t="s">
        <v>369</v>
      </c>
      <c r="C7262" t="s">
        <v>1940</v>
      </c>
      <c r="D7262">
        <v>0</v>
      </c>
      <c r="E7262">
        <v>0</v>
      </c>
      <c r="F7262">
        <v>0</v>
      </c>
      <c r="G7262">
        <v>0</v>
      </c>
    </row>
    <row r="7263" spans="1:7">
      <c r="A7263" t="s">
        <v>1876</v>
      </c>
      <c r="B7263" t="s">
        <v>369</v>
      </c>
      <c r="C7263" t="s">
        <v>1941</v>
      </c>
      <c r="D7263">
        <v>0</v>
      </c>
      <c r="E7263">
        <v>0</v>
      </c>
      <c r="F7263">
        <v>0</v>
      </c>
      <c r="G7263">
        <v>0</v>
      </c>
    </row>
    <row r="7264" spans="1:7">
      <c r="A7264" t="s">
        <v>1876</v>
      </c>
      <c r="B7264" t="s">
        <v>369</v>
      </c>
      <c r="C7264" t="s">
        <v>254</v>
      </c>
      <c r="D7264">
        <v>18072</v>
      </c>
      <c r="E7264">
        <v>17126</v>
      </c>
      <c r="F7264">
        <v>16710</v>
      </c>
      <c r="G7264">
        <v>14982</v>
      </c>
    </row>
    <row r="7265" spans="1:7">
      <c r="A7265" t="s">
        <v>1876</v>
      </c>
      <c r="B7265" t="s">
        <v>369</v>
      </c>
      <c r="C7265" t="s">
        <v>1942</v>
      </c>
      <c r="D7265">
        <v>0</v>
      </c>
      <c r="E7265">
        <v>0</v>
      </c>
      <c r="F7265">
        <v>0</v>
      </c>
      <c r="G7265">
        <v>0</v>
      </c>
    </row>
    <row r="7266" spans="1:7">
      <c r="A7266" t="s">
        <v>1876</v>
      </c>
      <c r="B7266" t="s">
        <v>369</v>
      </c>
      <c r="C7266" t="s">
        <v>255</v>
      </c>
      <c r="D7266">
        <v>19858</v>
      </c>
      <c r="E7266">
        <v>18855</v>
      </c>
      <c r="F7266">
        <v>19129</v>
      </c>
      <c r="G7266">
        <v>17495</v>
      </c>
    </row>
    <row r="7267" spans="1:7">
      <c r="A7267" t="s">
        <v>1876</v>
      </c>
      <c r="B7267" t="s">
        <v>369</v>
      </c>
      <c r="C7267" t="s">
        <v>256</v>
      </c>
      <c r="D7267">
        <v>19858</v>
      </c>
      <c r="E7267">
        <v>18855</v>
      </c>
      <c r="F7267">
        <v>19129</v>
      </c>
      <c r="G7267">
        <v>17495</v>
      </c>
    </row>
    <row r="7268" spans="1:7">
      <c r="A7268" t="s">
        <v>1876</v>
      </c>
      <c r="B7268" t="s">
        <v>369</v>
      </c>
      <c r="C7268" t="s">
        <v>1714</v>
      </c>
      <c r="D7268">
        <v>0</v>
      </c>
      <c r="E7268">
        <v>4</v>
      </c>
      <c r="F7268">
        <v>4</v>
      </c>
      <c r="G7268">
        <v>0</v>
      </c>
    </row>
    <row r="7269" spans="1:7">
      <c r="A7269" t="s">
        <v>1876</v>
      </c>
      <c r="B7269" t="s">
        <v>369</v>
      </c>
      <c r="C7269" t="s">
        <v>257</v>
      </c>
      <c r="D7269">
        <v>61699</v>
      </c>
      <c r="E7269">
        <v>60690</v>
      </c>
      <c r="F7269">
        <v>60493</v>
      </c>
      <c r="G7269">
        <v>51934</v>
      </c>
    </row>
    <row r="7270" spans="1:7">
      <c r="A7270" t="s">
        <v>1876</v>
      </c>
      <c r="B7270" t="s">
        <v>369</v>
      </c>
      <c r="C7270" t="s">
        <v>258</v>
      </c>
      <c r="D7270">
        <v>80188</v>
      </c>
      <c r="E7270">
        <v>86074</v>
      </c>
      <c r="F7270">
        <v>81152</v>
      </c>
      <c r="G7270">
        <v>77028</v>
      </c>
    </row>
    <row r="7271" spans="1:7">
      <c r="A7271" t="s">
        <v>1876</v>
      </c>
      <c r="B7271" t="s">
        <v>369</v>
      </c>
      <c r="C7271" t="s">
        <v>259</v>
      </c>
      <c r="D7271">
        <v>67267</v>
      </c>
      <c r="E7271">
        <v>66381</v>
      </c>
      <c r="F7271">
        <v>66000</v>
      </c>
      <c r="G7271">
        <v>57437</v>
      </c>
    </row>
    <row r="7272" spans="1:7">
      <c r="A7272" t="s">
        <v>1876</v>
      </c>
      <c r="B7272" t="s">
        <v>369</v>
      </c>
      <c r="C7272" t="s">
        <v>260</v>
      </c>
      <c r="D7272">
        <v>682497</v>
      </c>
      <c r="E7272">
        <v>681284</v>
      </c>
      <c r="F7272">
        <v>678007</v>
      </c>
      <c r="G7272">
        <v>691548</v>
      </c>
    </row>
    <row r="7273" spans="1:7">
      <c r="A7273" t="s">
        <v>1876</v>
      </c>
      <c r="B7273" t="s">
        <v>369</v>
      </c>
      <c r="C7273" t="s">
        <v>1943</v>
      </c>
      <c r="D7273">
        <v>4</v>
      </c>
      <c r="E7273">
        <v>4.0999999999999996</v>
      </c>
      <c r="F7273">
        <v>4.5</v>
      </c>
      <c r="G7273">
        <v>5</v>
      </c>
    </row>
    <row r="7274" spans="1:7">
      <c r="A7274" t="s">
        <v>1876</v>
      </c>
      <c r="B7274" t="s">
        <v>369</v>
      </c>
      <c r="C7274" t="s">
        <v>261</v>
      </c>
      <c r="D7274">
        <v>24920</v>
      </c>
      <c r="E7274">
        <v>25009</v>
      </c>
      <c r="F7274">
        <v>22858</v>
      </c>
      <c r="G7274">
        <v>18363</v>
      </c>
    </row>
    <row r="7275" spans="1:7">
      <c r="A7275" t="s">
        <v>1876</v>
      </c>
      <c r="B7275" t="s">
        <v>369</v>
      </c>
      <c r="C7275" t="s">
        <v>262</v>
      </c>
      <c r="D7275">
        <v>14511</v>
      </c>
      <c r="E7275">
        <v>20859</v>
      </c>
      <c r="F7275">
        <v>16158</v>
      </c>
      <c r="G7275">
        <v>20625</v>
      </c>
    </row>
    <row r="7276" spans="1:7">
      <c r="A7276" t="s">
        <v>1876</v>
      </c>
      <c r="B7276" t="s">
        <v>369</v>
      </c>
      <c r="C7276" t="s">
        <v>1715</v>
      </c>
      <c r="D7276">
        <v>491</v>
      </c>
      <c r="E7276">
        <v>487</v>
      </c>
      <c r="F7276">
        <v>480</v>
      </c>
      <c r="G7276">
        <v>435</v>
      </c>
    </row>
    <row r="7277" spans="1:7">
      <c r="A7277" t="s">
        <v>1876</v>
      </c>
      <c r="B7277" t="s">
        <v>369</v>
      </c>
      <c r="C7277" t="s">
        <v>263</v>
      </c>
      <c r="D7277">
        <v>96463</v>
      </c>
      <c r="E7277">
        <v>98105</v>
      </c>
      <c r="F7277">
        <v>96173</v>
      </c>
      <c r="G7277">
        <v>85540</v>
      </c>
    </row>
    <row r="7278" spans="1:7">
      <c r="A7278" t="s">
        <v>1876</v>
      </c>
      <c r="B7278" t="s">
        <v>369</v>
      </c>
      <c r="C7278" t="s">
        <v>264</v>
      </c>
      <c r="D7278">
        <v>37357</v>
      </c>
      <c r="E7278">
        <v>36910</v>
      </c>
      <c r="F7278">
        <v>36327</v>
      </c>
      <c r="G7278">
        <v>33025</v>
      </c>
    </row>
    <row r="7279" spans="1:7">
      <c r="A7279" t="s">
        <v>1876</v>
      </c>
      <c r="B7279" t="s">
        <v>369</v>
      </c>
      <c r="C7279" t="s">
        <v>265</v>
      </c>
      <c r="D7279">
        <v>855749</v>
      </c>
      <c r="E7279">
        <v>862167</v>
      </c>
      <c r="F7279">
        <v>849522</v>
      </c>
      <c r="G7279">
        <v>849101</v>
      </c>
    </row>
    <row r="7280" spans="1:7">
      <c r="A7280" t="s">
        <v>1876</v>
      </c>
      <c r="B7280" t="s">
        <v>369</v>
      </c>
      <c r="C7280" t="s">
        <v>266</v>
      </c>
      <c r="D7280">
        <v>85.2</v>
      </c>
      <c r="E7280">
        <v>85.8</v>
      </c>
      <c r="F7280">
        <v>84.4</v>
      </c>
      <c r="G7280">
        <v>84.1</v>
      </c>
    </row>
    <row r="7281" spans="1:7">
      <c r="A7281" t="s">
        <v>1876</v>
      </c>
      <c r="B7281" t="s">
        <v>369</v>
      </c>
      <c r="C7281" t="s">
        <v>267</v>
      </c>
      <c r="D7281">
        <v>841237</v>
      </c>
      <c r="E7281">
        <v>841308</v>
      </c>
      <c r="F7281">
        <v>833364</v>
      </c>
      <c r="G7281">
        <v>828476</v>
      </c>
    </row>
    <row r="7282" spans="1:7">
      <c r="A7282" t="s">
        <v>1876</v>
      </c>
      <c r="B7282" t="s">
        <v>369</v>
      </c>
      <c r="C7282" t="s">
        <v>268</v>
      </c>
      <c r="D7282">
        <v>0</v>
      </c>
      <c r="E7282">
        <v>0</v>
      </c>
      <c r="F7282">
        <v>0</v>
      </c>
      <c r="G7282">
        <v>0</v>
      </c>
    </row>
    <row r="7283" spans="1:7">
      <c r="A7283" t="s">
        <v>1876</v>
      </c>
      <c r="B7283" t="s">
        <v>369</v>
      </c>
      <c r="C7283" t="s">
        <v>269</v>
      </c>
      <c r="D7283">
        <v>12921</v>
      </c>
      <c r="E7283">
        <v>19692</v>
      </c>
      <c r="F7283">
        <v>15152</v>
      </c>
      <c r="G7283">
        <v>19592</v>
      </c>
    </row>
    <row r="7284" spans="1:7">
      <c r="A7284" t="s">
        <v>1876</v>
      </c>
      <c r="B7284" t="s">
        <v>369</v>
      </c>
      <c r="C7284" t="s">
        <v>270</v>
      </c>
      <c r="D7284">
        <v>12056</v>
      </c>
      <c r="E7284">
        <v>11771</v>
      </c>
      <c r="F7284">
        <v>11431</v>
      </c>
      <c r="G7284">
        <v>8123</v>
      </c>
    </row>
    <row r="7285" spans="1:7">
      <c r="A7285" t="s">
        <v>1876</v>
      </c>
      <c r="B7285" t="s">
        <v>369</v>
      </c>
      <c r="C7285" t="s">
        <v>271</v>
      </c>
      <c r="D7285">
        <v>24978</v>
      </c>
      <c r="E7285">
        <v>31464</v>
      </c>
      <c r="F7285">
        <v>26584</v>
      </c>
      <c r="G7285">
        <v>27714</v>
      </c>
    </row>
    <row r="7286" spans="1:7">
      <c r="A7286" t="s">
        <v>1876</v>
      </c>
      <c r="B7286" t="s">
        <v>369</v>
      </c>
      <c r="C7286" t="s">
        <v>272</v>
      </c>
      <c r="D7286">
        <v>12056</v>
      </c>
      <c r="E7286">
        <v>11771</v>
      </c>
      <c r="F7286">
        <v>11431</v>
      </c>
      <c r="G7286">
        <v>8123</v>
      </c>
    </row>
    <row r="7287" spans="1:7">
      <c r="A7287" t="s">
        <v>1876</v>
      </c>
      <c r="B7287" t="s">
        <v>369</v>
      </c>
      <c r="C7287" t="s">
        <v>1944</v>
      </c>
      <c r="D7287">
        <v>16.8</v>
      </c>
      <c r="E7287">
        <v>22.5</v>
      </c>
      <c r="F7287">
        <v>25.6</v>
      </c>
      <c r="G7287">
        <v>32.4</v>
      </c>
    </row>
    <row r="7288" spans="1:7">
      <c r="A7288" t="s">
        <v>1876</v>
      </c>
      <c r="B7288" t="s">
        <v>369</v>
      </c>
      <c r="C7288" t="s">
        <v>1945</v>
      </c>
      <c r="D7288">
        <v>32</v>
      </c>
      <c r="E7288">
        <v>47</v>
      </c>
      <c r="F7288">
        <v>78</v>
      </c>
      <c r="G7288">
        <v>91</v>
      </c>
    </row>
    <row r="7289" spans="1:7">
      <c r="A7289" t="s">
        <v>1876</v>
      </c>
      <c r="B7289" t="s">
        <v>369</v>
      </c>
      <c r="C7289" t="s">
        <v>273</v>
      </c>
      <c r="D7289">
        <v>0</v>
      </c>
      <c r="E7289">
        <v>0</v>
      </c>
      <c r="F7289">
        <v>0</v>
      </c>
      <c r="G7289">
        <v>0</v>
      </c>
    </row>
    <row r="7290" spans="1:7">
      <c r="A7290" t="s">
        <v>1876</v>
      </c>
      <c r="B7290" t="s">
        <v>369</v>
      </c>
      <c r="C7290" t="s">
        <v>1946</v>
      </c>
      <c r="D7290">
        <v>644409</v>
      </c>
      <c r="E7290">
        <v>643865</v>
      </c>
      <c r="F7290">
        <v>639250</v>
      </c>
      <c r="G7290">
        <v>652223</v>
      </c>
    </row>
    <row r="7291" spans="1:7">
      <c r="A7291" t="s">
        <v>1876</v>
      </c>
      <c r="B7291" t="s">
        <v>369</v>
      </c>
      <c r="C7291" t="s">
        <v>1947</v>
      </c>
      <c r="D7291">
        <v>24174</v>
      </c>
      <c r="E7291">
        <v>24239</v>
      </c>
      <c r="F7291">
        <v>22060</v>
      </c>
      <c r="G7291">
        <v>17839</v>
      </c>
    </row>
    <row r="7292" spans="1:7">
      <c r="A7292" t="s">
        <v>1876</v>
      </c>
      <c r="B7292" t="s">
        <v>369</v>
      </c>
      <c r="C7292" t="s">
        <v>1948</v>
      </c>
      <c r="D7292">
        <v>14511</v>
      </c>
      <c r="E7292">
        <v>20859</v>
      </c>
      <c r="F7292">
        <v>16158</v>
      </c>
      <c r="G7292">
        <v>20625</v>
      </c>
    </row>
    <row r="7293" spans="1:7">
      <c r="A7293" t="s">
        <v>1876</v>
      </c>
      <c r="B7293" t="s">
        <v>369</v>
      </c>
      <c r="C7293" t="s">
        <v>1949</v>
      </c>
      <c r="D7293">
        <v>95915</v>
      </c>
      <c r="E7293">
        <v>97524</v>
      </c>
      <c r="F7293">
        <v>95597</v>
      </c>
      <c r="G7293">
        <v>85035</v>
      </c>
    </row>
    <row r="7294" spans="1:7">
      <c r="A7294" t="s">
        <v>1876</v>
      </c>
      <c r="B7294" t="s">
        <v>369</v>
      </c>
      <c r="C7294" t="s">
        <v>1950</v>
      </c>
      <c r="D7294">
        <v>37357</v>
      </c>
      <c r="E7294">
        <v>36910</v>
      </c>
      <c r="F7294">
        <v>36327</v>
      </c>
      <c r="G7294">
        <v>33025</v>
      </c>
    </row>
    <row r="7295" spans="1:7">
      <c r="A7295" t="s">
        <v>1876</v>
      </c>
      <c r="B7295" t="s">
        <v>369</v>
      </c>
      <c r="C7295" t="s">
        <v>274</v>
      </c>
      <c r="D7295">
        <v>816366</v>
      </c>
      <c r="E7295">
        <v>823396</v>
      </c>
      <c r="F7295">
        <v>809392</v>
      </c>
      <c r="G7295">
        <v>808747</v>
      </c>
    </row>
    <row r="7296" spans="1:7">
      <c r="A7296" t="s">
        <v>1876</v>
      </c>
      <c r="B7296" t="s">
        <v>369</v>
      </c>
      <c r="C7296" t="s">
        <v>275</v>
      </c>
      <c r="D7296">
        <v>0</v>
      </c>
      <c r="E7296">
        <v>0</v>
      </c>
      <c r="F7296">
        <v>0</v>
      </c>
      <c r="G7296">
        <v>0</v>
      </c>
    </row>
    <row r="7297" spans="1:7">
      <c r="A7297" t="s">
        <v>1876</v>
      </c>
      <c r="B7297" t="s">
        <v>369</v>
      </c>
      <c r="C7297" t="s">
        <v>276</v>
      </c>
      <c r="D7297">
        <v>0</v>
      </c>
      <c r="E7297">
        <v>0</v>
      </c>
      <c r="F7297">
        <v>0</v>
      </c>
      <c r="G7297">
        <v>0</v>
      </c>
    </row>
    <row r="7298" spans="1:7">
      <c r="A7298" t="s">
        <v>1876</v>
      </c>
      <c r="B7298" t="s">
        <v>369</v>
      </c>
      <c r="C7298" t="s">
        <v>277</v>
      </c>
      <c r="D7298">
        <v>507</v>
      </c>
      <c r="E7298">
        <v>469</v>
      </c>
      <c r="F7298">
        <v>418</v>
      </c>
      <c r="G7298">
        <v>499</v>
      </c>
    </row>
    <row r="7299" spans="1:7">
      <c r="A7299" t="s">
        <v>1876</v>
      </c>
      <c r="B7299" t="s">
        <v>369</v>
      </c>
      <c r="C7299" t="s">
        <v>278</v>
      </c>
      <c r="D7299">
        <v>7515</v>
      </c>
      <c r="E7299">
        <v>7028</v>
      </c>
      <c r="F7299">
        <v>4956</v>
      </c>
      <c r="G7299">
        <v>4686</v>
      </c>
    </row>
    <row r="7300" spans="1:7">
      <c r="A7300" t="s">
        <v>1876</v>
      </c>
      <c r="B7300" t="s">
        <v>369</v>
      </c>
      <c r="C7300" t="s">
        <v>279</v>
      </c>
      <c r="D7300">
        <v>5343</v>
      </c>
      <c r="E7300">
        <v>7316</v>
      </c>
      <c r="F7300">
        <v>6323</v>
      </c>
      <c r="G7300">
        <v>5721</v>
      </c>
    </row>
    <row r="7301" spans="1:7">
      <c r="A7301" t="s">
        <v>1876</v>
      </c>
      <c r="B7301" t="s">
        <v>369</v>
      </c>
      <c r="C7301" t="s">
        <v>280</v>
      </c>
      <c r="D7301">
        <v>34329</v>
      </c>
      <c r="E7301">
        <v>33721</v>
      </c>
      <c r="F7301">
        <v>33229</v>
      </c>
      <c r="G7301">
        <v>30240</v>
      </c>
    </row>
    <row r="7302" spans="1:7">
      <c r="A7302" t="s">
        <v>1876</v>
      </c>
      <c r="B7302" t="s">
        <v>369</v>
      </c>
      <c r="C7302" t="s">
        <v>281</v>
      </c>
      <c r="D7302">
        <v>47694</v>
      </c>
      <c r="E7302">
        <v>48535</v>
      </c>
      <c r="F7302">
        <v>44926</v>
      </c>
      <c r="G7302">
        <v>41145</v>
      </c>
    </row>
    <row r="7303" spans="1:7">
      <c r="A7303" t="s">
        <v>1876</v>
      </c>
      <c r="B7303" t="s">
        <v>369</v>
      </c>
      <c r="C7303" t="s">
        <v>282</v>
      </c>
      <c r="D7303">
        <v>47694</v>
      </c>
      <c r="E7303">
        <v>48535</v>
      </c>
      <c r="F7303">
        <v>44926</v>
      </c>
      <c r="G7303">
        <v>41145</v>
      </c>
    </row>
    <row r="7304" spans="1:7">
      <c r="A7304" t="s">
        <v>1876</v>
      </c>
      <c r="B7304" t="s">
        <v>369</v>
      </c>
      <c r="C7304" t="s">
        <v>283</v>
      </c>
      <c r="D7304">
        <v>0</v>
      </c>
      <c r="E7304">
        <v>0</v>
      </c>
      <c r="F7304">
        <v>0</v>
      </c>
      <c r="G7304">
        <v>0</v>
      </c>
    </row>
    <row r="7305" spans="1:7">
      <c r="A7305" t="s">
        <v>1876</v>
      </c>
      <c r="B7305" t="s">
        <v>369</v>
      </c>
      <c r="C7305" t="s">
        <v>284</v>
      </c>
      <c r="D7305">
        <v>0</v>
      </c>
      <c r="E7305">
        <v>0</v>
      </c>
      <c r="F7305">
        <v>0</v>
      </c>
      <c r="G7305">
        <v>0</v>
      </c>
    </row>
    <row r="7306" spans="1:7">
      <c r="A7306" t="s">
        <v>1876</v>
      </c>
      <c r="B7306" t="s">
        <v>369</v>
      </c>
      <c r="C7306" t="s">
        <v>1716</v>
      </c>
      <c r="D7306">
        <v>38088</v>
      </c>
      <c r="E7306">
        <v>37420</v>
      </c>
      <c r="F7306">
        <v>38756</v>
      </c>
      <c r="G7306">
        <v>39325</v>
      </c>
    </row>
    <row r="7307" spans="1:7">
      <c r="A7307" t="s">
        <v>1876</v>
      </c>
      <c r="B7307" t="s">
        <v>369</v>
      </c>
      <c r="C7307" t="s">
        <v>1717</v>
      </c>
      <c r="D7307">
        <v>7918</v>
      </c>
      <c r="E7307">
        <v>7966</v>
      </c>
      <c r="F7307">
        <v>8018</v>
      </c>
      <c r="G7307">
        <v>7860</v>
      </c>
    </row>
    <row r="7308" spans="1:7">
      <c r="A7308" t="s">
        <v>1876</v>
      </c>
      <c r="B7308" t="s">
        <v>369</v>
      </c>
      <c r="C7308" t="s">
        <v>1718</v>
      </c>
      <c r="D7308">
        <v>54869</v>
      </c>
      <c r="E7308">
        <v>60997</v>
      </c>
      <c r="F7308">
        <v>58538</v>
      </c>
      <c r="G7308">
        <v>63370</v>
      </c>
    </row>
    <row r="7309" spans="1:7">
      <c r="A7309" t="s">
        <v>1876</v>
      </c>
      <c r="B7309" t="s">
        <v>369</v>
      </c>
      <c r="C7309" t="s">
        <v>1719</v>
      </c>
      <c r="D7309">
        <v>4285</v>
      </c>
      <c r="E7309">
        <v>4700</v>
      </c>
      <c r="F7309">
        <v>5305</v>
      </c>
      <c r="G7309">
        <v>5674</v>
      </c>
    </row>
    <row r="7310" spans="1:7">
      <c r="A7310" t="s">
        <v>1876</v>
      </c>
      <c r="B7310" t="s">
        <v>369</v>
      </c>
      <c r="C7310" t="s">
        <v>1720</v>
      </c>
      <c r="D7310">
        <v>61474</v>
      </c>
      <c r="E7310">
        <v>66238</v>
      </c>
      <c r="F7310">
        <v>63685</v>
      </c>
      <c r="G7310">
        <v>66091</v>
      </c>
    </row>
    <row r="7311" spans="1:7">
      <c r="A7311" t="s">
        <v>1876</v>
      </c>
      <c r="B7311" t="s">
        <v>369</v>
      </c>
      <c r="C7311" t="s">
        <v>1721</v>
      </c>
      <c r="D7311">
        <v>31713</v>
      </c>
      <c r="E7311">
        <v>38735</v>
      </c>
      <c r="F7311">
        <v>33853</v>
      </c>
      <c r="G7311">
        <v>32159</v>
      </c>
    </row>
    <row r="7312" spans="1:7">
      <c r="A7312" t="s">
        <v>1876</v>
      </c>
      <c r="B7312" t="s">
        <v>369</v>
      </c>
      <c r="C7312" t="s">
        <v>285</v>
      </c>
      <c r="D7312">
        <v>194063</v>
      </c>
      <c r="E7312">
        <v>211357</v>
      </c>
      <c r="F7312">
        <v>202851</v>
      </c>
      <c r="G7312">
        <v>208805</v>
      </c>
    </row>
    <row r="7313" spans="1:7">
      <c r="A7313" t="s">
        <v>1876</v>
      </c>
      <c r="B7313" t="s">
        <v>369</v>
      </c>
      <c r="C7313" t="s">
        <v>1951</v>
      </c>
      <c r="D7313">
        <v>7.3</v>
      </c>
      <c r="E7313">
        <v>7.8</v>
      </c>
      <c r="F7313">
        <v>8</v>
      </c>
      <c r="G7313">
        <v>8.3000000000000007</v>
      </c>
    </row>
    <row r="7314" spans="1:7">
      <c r="A7314" t="s">
        <v>1876</v>
      </c>
      <c r="B7314" t="s">
        <v>369</v>
      </c>
      <c r="C7314" t="s">
        <v>286</v>
      </c>
      <c r="D7314">
        <v>5070</v>
      </c>
      <c r="E7314">
        <v>5195</v>
      </c>
      <c r="F7314">
        <v>4312</v>
      </c>
      <c r="G7314">
        <v>4668</v>
      </c>
    </row>
    <row r="7315" spans="1:7">
      <c r="A7315" t="s">
        <v>1876</v>
      </c>
      <c r="B7315" t="s">
        <v>369</v>
      </c>
      <c r="C7315" t="s">
        <v>287</v>
      </c>
      <c r="D7315">
        <v>18</v>
      </c>
      <c r="E7315">
        <v>18</v>
      </c>
      <c r="F7315">
        <v>15</v>
      </c>
      <c r="G7315">
        <v>17</v>
      </c>
    </row>
    <row r="7316" spans="1:7">
      <c r="A7316" t="s">
        <v>1876</v>
      </c>
      <c r="B7316" t="s">
        <v>369</v>
      </c>
      <c r="C7316" t="s">
        <v>288</v>
      </c>
      <c r="D7316">
        <v>138</v>
      </c>
      <c r="E7316">
        <v>87</v>
      </c>
      <c r="F7316">
        <v>78</v>
      </c>
      <c r="G7316">
        <v>128</v>
      </c>
    </row>
    <row r="7317" spans="1:7">
      <c r="A7317" t="s">
        <v>1876</v>
      </c>
      <c r="B7317" t="s">
        <v>369</v>
      </c>
      <c r="C7317" t="s">
        <v>289</v>
      </c>
      <c r="D7317">
        <v>149</v>
      </c>
      <c r="E7317">
        <v>153</v>
      </c>
      <c r="F7317">
        <v>127</v>
      </c>
      <c r="G7317">
        <v>138</v>
      </c>
    </row>
    <row r="7318" spans="1:7">
      <c r="A7318" t="s">
        <v>1876</v>
      </c>
      <c r="B7318" t="s">
        <v>369</v>
      </c>
      <c r="C7318" t="s">
        <v>290</v>
      </c>
      <c r="D7318">
        <v>5375</v>
      </c>
      <c r="E7318">
        <v>5454</v>
      </c>
      <c r="F7318">
        <v>4533</v>
      </c>
      <c r="G7318">
        <v>4951</v>
      </c>
    </row>
    <row r="7319" spans="1:7">
      <c r="A7319" t="s">
        <v>1876</v>
      </c>
      <c r="B7319" t="s">
        <v>369</v>
      </c>
      <c r="C7319" t="s">
        <v>291</v>
      </c>
      <c r="D7319">
        <v>5237</v>
      </c>
      <c r="E7319">
        <v>5367</v>
      </c>
      <c r="F7319">
        <v>4455</v>
      </c>
      <c r="G7319">
        <v>4822</v>
      </c>
    </row>
    <row r="7320" spans="1:7">
      <c r="A7320" t="s">
        <v>1876</v>
      </c>
      <c r="B7320" t="s">
        <v>369</v>
      </c>
      <c r="C7320" t="s">
        <v>292</v>
      </c>
      <c r="D7320">
        <v>0</v>
      </c>
      <c r="E7320">
        <v>103</v>
      </c>
      <c r="F7320">
        <v>219</v>
      </c>
      <c r="G7320">
        <v>237</v>
      </c>
    </row>
    <row r="7321" spans="1:7">
      <c r="A7321" t="s">
        <v>1876</v>
      </c>
      <c r="B7321" t="s">
        <v>369</v>
      </c>
      <c r="C7321" t="s">
        <v>293</v>
      </c>
      <c r="D7321">
        <v>0</v>
      </c>
      <c r="E7321">
        <v>184</v>
      </c>
      <c r="F7321">
        <v>555</v>
      </c>
      <c r="G7321">
        <v>659</v>
      </c>
    </row>
    <row r="7322" spans="1:7">
      <c r="A7322" t="s">
        <v>1876</v>
      </c>
      <c r="B7322" t="s">
        <v>369</v>
      </c>
      <c r="C7322" t="s">
        <v>294</v>
      </c>
      <c r="D7322">
        <v>0</v>
      </c>
      <c r="E7322">
        <v>97</v>
      </c>
      <c r="F7322">
        <v>220</v>
      </c>
      <c r="G7322">
        <v>237</v>
      </c>
    </row>
    <row r="7323" spans="1:7">
      <c r="A7323" t="s">
        <v>1876</v>
      </c>
      <c r="B7323" t="s">
        <v>369</v>
      </c>
      <c r="C7323" t="s">
        <v>295</v>
      </c>
      <c r="D7323">
        <v>0</v>
      </c>
      <c r="E7323">
        <v>189</v>
      </c>
      <c r="F7323">
        <v>384</v>
      </c>
      <c r="G7323">
        <v>423</v>
      </c>
    </row>
    <row r="7324" spans="1:7">
      <c r="A7324" t="s">
        <v>1876</v>
      </c>
      <c r="B7324" t="s">
        <v>369</v>
      </c>
      <c r="C7324" t="s">
        <v>296</v>
      </c>
      <c r="D7324">
        <v>0</v>
      </c>
      <c r="E7324">
        <v>573</v>
      </c>
      <c r="F7324">
        <v>1379</v>
      </c>
      <c r="G7324">
        <v>1556</v>
      </c>
    </row>
    <row r="7325" spans="1:7">
      <c r="A7325" t="s">
        <v>1876</v>
      </c>
      <c r="B7325" t="s">
        <v>369</v>
      </c>
      <c r="C7325" t="s">
        <v>297</v>
      </c>
      <c r="D7325">
        <v>11877</v>
      </c>
      <c r="E7325">
        <v>11932</v>
      </c>
      <c r="F7325">
        <v>11697</v>
      </c>
      <c r="G7325">
        <v>10373</v>
      </c>
    </row>
    <row r="7326" spans="1:7">
      <c r="A7326" t="s">
        <v>1876</v>
      </c>
      <c r="B7326" t="s">
        <v>369</v>
      </c>
      <c r="C7326" t="s">
        <v>1952</v>
      </c>
      <c r="D7326">
        <v>0</v>
      </c>
      <c r="E7326">
        <v>0</v>
      </c>
      <c r="F7326">
        <v>0</v>
      </c>
      <c r="G7326">
        <v>0</v>
      </c>
    </row>
    <row r="7327" spans="1:7">
      <c r="A7327" t="s">
        <v>1876</v>
      </c>
      <c r="B7327" t="s">
        <v>369</v>
      </c>
      <c r="C7327" t="s">
        <v>298</v>
      </c>
      <c r="D7327">
        <v>3647</v>
      </c>
      <c r="E7327">
        <v>3607</v>
      </c>
      <c r="F7327">
        <v>3611</v>
      </c>
      <c r="G7327">
        <v>3158</v>
      </c>
    </row>
    <row r="7328" spans="1:7">
      <c r="A7328" t="s">
        <v>1876</v>
      </c>
      <c r="B7328" t="s">
        <v>369</v>
      </c>
      <c r="C7328" t="s">
        <v>299</v>
      </c>
      <c r="D7328">
        <v>270</v>
      </c>
      <c r="E7328">
        <v>318</v>
      </c>
      <c r="F7328">
        <v>359</v>
      </c>
      <c r="G7328">
        <v>443</v>
      </c>
    </row>
    <row r="7329" spans="1:7">
      <c r="A7329" t="s">
        <v>1876</v>
      </c>
      <c r="B7329" t="s">
        <v>369</v>
      </c>
      <c r="C7329" t="s">
        <v>300</v>
      </c>
      <c r="D7329">
        <v>1446</v>
      </c>
      <c r="E7329">
        <v>2932</v>
      </c>
      <c r="F7329">
        <v>4328</v>
      </c>
      <c r="G7329">
        <v>6343</v>
      </c>
    </row>
    <row r="7330" spans="1:7">
      <c r="A7330" t="s">
        <v>1876</v>
      </c>
      <c r="B7330" t="s">
        <v>369</v>
      </c>
      <c r="C7330" t="s">
        <v>1722</v>
      </c>
      <c r="D7330">
        <v>353</v>
      </c>
      <c r="E7330">
        <v>708</v>
      </c>
      <c r="F7330">
        <v>975</v>
      </c>
      <c r="G7330">
        <v>1158</v>
      </c>
    </row>
    <row r="7331" spans="1:7">
      <c r="A7331" t="s">
        <v>1876</v>
      </c>
      <c r="B7331" t="s">
        <v>369</v>
      </c>
      <c r="C7331" t="s">
        <v>301</v>
      </c>
      <c r="D7331">
        <v>14</v>
      </c>
      <c r="E7331">
        <v>16</v>
      </c>
      <c r="F7331">
        <v>18</v>
      </c>
      <c r="G7331">
        <v>21</v>
      </c>
    </row>
    <row r="7332" spans="1:7">
      <c r="A7332" t="s">
        <v>1876</v>
      </c>
      <c r="B7332" t="s">
        <v>369</v>
      </c>
      <c r="C7332" t="s">
        <v>302</v>
      </c>
      <c r="D7332">
        <v>874</v>
      </c>
      <c r="E7332">
        <v>1005</v>
      </c>
      <c r="F7332">
        <v>1131</v>
      </c>
      <c r="G7332">
        <v>1214</v>
      </c>
    </row>
    <row r="7333" spans="1:7">
      <c r="A7333" t="s">
        <v>1876</v>
      </c>
      <c r="B7333" t="s">
        <v>369</v>
      </c>
      <c r="C7333" t="s">
        <v>303</v>
      </c>
      <c r="D7333">
        <v>2604</v>
      </c>
      <c r="E7333">
        <v>4272</v>
      </c>
      <c r="F7333">
        <v>5836</v>
      </c>
      <c r="G7333">
        <v>8021</v>
      </c>
    </row>
    <row r="7334" spans="1:7">
      <c r="A7334" t="s">
        <v>1876</v>
      </c>
      <c r="B7334" t="s">
        <v>369</v>
      </c>
      <c r="C7334" t="s">
        <v>304</v>
      </c>
      <c r="D7334">
        <v>1158</v>
      </c>
      <c r="E7334">
        <v>1339</v>
      </c>
      <c r="F7334">
        <v>1508</v>
      </c>
      <c r="G7334">
        <v>1678</v>
      </c>
    </row>
    <row r="7335" spans="1:7">
      <c r="A7335" t="s">
        <v>1876</v>
      </c>
      <c r="B7335" t="s">
        <v>369</v>
      </c>
      <c r="C7335" t="s">
        <v>1953</v>
      </c>
      <c r="D7335">
        <v>19.8</v>
      </c>
      <c r="E7335">
        <v>21.2</v>
      </c>
      <c r="F7335">
        <v>19.5</v>
      </c>
      <c r="G7335">
        <v>20.8</v>
      </c>
    </row>
    <row r="7336" spans="1:7">
      <c r="A7336" t="s">
        <v>1876</v>
      </c>
      <c r="B7336" t="s">
        <v>369</v>
      </c>
      <c r="C7336" t="s">
        <v>305</v>
      </c>
      <c r="D7336">
        <v>710011</v>
      </c>
      <c r="E7336">
        <v>711833</v>
      </c>
      <c r="F7336">
        <v>701504</v>
      </c>
      <c r="G7336">
        <v>712640</v>
      </c>
    </row>
    <row r="7337" spans="1:7">
      <c r="A7337" t="s">
        <v>1876</v>
      </c>
      <c r="B7337" t="s">
        <v>369</v>
      </c>
      <c r="C7337" t="s">
        <v>306</v>
      </c>
      <c r="D7337">
        <v>70.7</v>
      </c>
      <c r="E7337">
        <v>70.900000000000006</v>
      </c>
      <c r="F7337">
        <v>69.7</v>
      </c>
      <c r="G7337">
        <v>70.599999999999994</v>
      </c>
    </row>
    <row r="7338" spans="1:7">
      <c r="A7338" t="s">
        <v>1876</v>
      </c>
      <c r="B7338" t="s">
        <v>369</v>
      </c>
      <c r="C7338" t="s">
        <v>307</v>
      </c>
      <c r="D7338">
        <v>568602</v>
      </c>
      <c r="E7338">
        <v>579330</v>
      </c>
      <c r="F7338">
        <v>533782</v>
      </c>
      <c r="G7338">
        <v>529446</v>
      </c>
    </row>
    <row r="7339" spans="1:7">
      <c r="A7339" t="s">
        <v>1876</v>
      </c>
      <c r="B7339" t="s">
        <v>369</v>
      </c>
      <c r="C7339" t="s">
        <v>308</v>
      </c>
      <c r="D7339">
        <v>56.6</v>
      </c>
      <c r="E7339">
        <v>57.7</v>
      </c>
      <c r="F7339">
        <v>53</v>
      </c>
      <c r="G7339">
        <v>52.4</v>
      </c>
    </row>
    <row r="7340" spans="1:7">
      <c r="A7340" t="s">
        <v>1876</v>
      </c>
      <c r="B7340" t="s">
        <v>369</v>
      </c>
      <c r="C7340" t="s">
        <v>309</v>
      </c>
      <c r="D7340">
        <v>1091043</v>
      </c>
      <c r="E7340">
        <v>1073525</v>
      </c>
      <c r="F7340">
        <v>1042125</v>
      </c>
      <c r="G7340">
        <v>1081947</v>
      </c>
    </row>
    <row r="7341" spans="1:7">
      <c r="A7341" t="s">
        <v>1876</v>
      </c>
      <c r="B7341" t="s">
        <v>369</v>
      </c>
      <c r="C7341" t="s">
        <v>310</v>
      </c>
      <c r="D7341">
        <v>644780</v>
      </c>
      <c r="E7341">
        <v>667687</v>
      </c>
      <c r="F7341">
        <v>643367</v>
      </c>
      <c r="G7341">
        <v>622445</v>
      </c>
    </row>
    <row r="7342" spans="1:7">
      <c r="A7342" t="s">
        <v>1876</v>
      </c>
      <c r="B7342" t="s">
        <v>369</v>
      </c>
      <c r="C7342" t="s">
        <v>311</v>
      </c>
      <c r="D7342">
        <v>64.2</v>
      </c>
      <c r="E7342">
        <v>66.5</v>
      </c>
      <c r="F7342">
        <v>63.9</v>
      </c>
      <c r="G7342">
        <v>61.6</v>
      </c>
    </row>
    <row r="7343" spans="1:7">
      <c r="A7343" t="s">
        <v>1876</v>
      </c>
      <c r="B7343" t="s">
        <v>369</v>
      </c>
      <c r="C7343" t="s">
        <v>312</v>
      </c>
      <c r="D7343">
        <v>738265</v>
      </c>
      <c r="E7343">
        <v>760789</v>
      </c>
      <c r="F7343">
        <v>665984</v>
      </c>
      <c r="G7343">
        <v>661406</v>
      </c>
    </row>
    <row r="7344" spans="1:7">
      <c r="A7344" t="s">
        <v>1876</v>
      </c>
      <c r="B7344" t="s">
        <v>369</v>
      </c>
      <c r="C7344" t="s">
        <v>313</v>
      </c>
      <c r="D7344">
        <v>73.5</v>
      </c>
      <c r="E7344">
        <v>75.7</v>
      </c>
      <c r="F7344">
        <v>66.2</v>
      </c>
      <c r="G7344">
        <v>65.5</v>
      </c>
    </row>
    <row r="7345" spans="1:7">
      <c r="A7345" t="s">
        <v>1876</v>
      </c>
      <c r="B7345" t="s">
        <v>369</v>
      </c>
      <c r="C7345" t="s">
        <v>314</v>
      </c>
      <c r="D7345">
        <v>2661655</v>
      </c>
      <c r="E7345">
        <v>2719636</v>
      </c>
      <c r="F7345">
        <v>2544640</v>
      </c>
      <c r="G7345">
        <v>2525936</v>
      </c>
    </row>
    <row r="7346" spans="1:7">
      <c r="A7346" t="s">
        <v>1876</v>
      </c>
      <c r="B7346" t="s">
        <v>369</v>
      </c>
      <c r="C7346" t="s">
        <v>315</v>
      </c>
      <c r="D7346">
        <v>5.03</v>
      </c>
      <c r="E7346">
        <v>5.04</v>
      </c>
      <c r="F7346">
        <v>4.59</v>
      </c>
      <c r="G7346">
        <v>4.49</v>
      </c>
    </row>
    <row r="7347" spans="1:7">
      <c r="A7347" t="s">
        <v>1876</v>
      </c>
      <c r="B7347" t="s">
        <v>369</v>
      </c>
      <c r="C7347" t="s">
        <v>316</v>
      </c>
      <c r="D7347">
        <v>265</v>
      </c>
      <c r="E7347">
        <v>270.8</v>
      </c>
      <c r="F7347">
        <v>252.9</v>
      </c>
      <c r="G7347">
        <v>250.1</v>
      </c>
    </row>
    <row r="7348" spans="1:7">
      <c r="A7348" t="s">
        <v>1876</v>
      </c>
      <c r="B7348" t="s">
        <v>369</v>
      </c>
      <c r="C7348" t="s">
        <v>317</v>
      </c>
      <c r="D7348">
        <v>2661658</v>
      </c>
      <c r="E7348">
        <v>2719639</v>
      </c>
      <c r="F7348">
        <v>2544636</v>
      </c>
      <c r="G7348">
        <v>2525937</v>
      </c>
    </row>
    <row r="7349" spans="1:7">
      <c r="A7349" t="s">
        <v>1876</v>
      </c>
      <c r="B7349" t="s">
        <v>369</v>
      </c>
      <c r="C7349" t="s">
        <v>318</v>
      </c>
      <c r="D7349">
        <v>709990</v>
      </c>
      <c r="E7349">
        <v>711807</v>
      </c>
      <c r="F7349">
        <v>701473</v>
      </c>
      <c r="G7349">
        <v>712609</v>
      </c>
    </row>
    <row r="7350" spans="1:7">
      <c r="A7350" t="s">
        <v>1876</v>
      </c>
      <c r="B7350" t="s">
        <v>369</v>
      </c>
      <c r="C7350" t="s">
        <v>319</v>
      </c>
      <c r="D7350">
        <v>328721</v>
      </c>
      <c r="E7350">
        <v>348446</v>
      </c>
      <c r="F7350">
        <v>325638</v>
      </c>
      <c r="G7350">
        <v>314315</v>
      </c>
    </row>
    <row r="7351" spans="1:7">
      <c r="A7351" t="s">
        <v>1876</v>
      </c>
      <c r="B7351" t="s">
        <v>369</v>
      </c>
      <c r="C7351" t="s">
        <v>320</v>
      </c>
      <c r="D7351">
        <v>468544</v>
      </c>
      <c r="E7351">
        <v>490481</v>
      </c>
      <c r="F7351">
        <v>480910</v>
      </c>
      <c r="G7351">
        <v>458802</v>
      </c>
    </row>
    <row r="7352" spans="1:7">
      <c r="A7352" t="s">
        <v>1876</v>
      </c>
      <c r="B7352" t="s">
        <v>369</v>
      </c>
      <c r="C7352" t="s">
        <v>321</v>
      </c>
      <c r="D7352">
        <v>504845</v>
      </c>
      <c r="E7352">
        <v>542841</v>
      </c>
      <c r="F7352">
        <v>480632</v>
      </c>
      <c r="G7352">
        <v>467596</v>
      </c>
    </row>
    <row r="7353" spans="1:7">
      <c r="A7353" t="s">
        <v>1876</v>
      </c>
      <c r="B7353" t="s">
        <v>369</v>
      </c>
      <c r="C7353" t="s">
        <v>1954</v>
      </c>
      <c r="D7353">
        <v>2012100</v>
      </c>
      <c r="E7353">
        <v>2093575</v>
      </c>
      <c r="F7353">
        <v>1988652</v>
      </c>
      <c r="G7353">
        <v>1953322</v>
      </c>
    </row>
    <row r="7354" spans="1:7">
      <c r="A7354" t="s">
        <v>1876</v>
      </c>
      <c r="B7354" t="s">
        <v>369</v>
      </c>
      <c r="C7354" t="s">
        <v>323</v>
      </c>
      <c r="D7354">
        <v>10042</v>
      </c>
      <c r="E7354">
        <v>10044</v>
      </c>
      <c r="F7354">
        <v>10062</v>
      </c>
      <c r="G7354">
        <v>10100</v>
      </c>
    </row>
    <row r="7355" spans="1:7">
      <c r="A7355" t="s">
        <v>1876</v>
      </c>
      <c r="B7355" t="s">
        <v>369</v>
      </c>
      <c r="C7355" t="s">
        <v>324</v>
      </c>
      <c r="D7355">
        <v>394</v>
      </c>
      <c r="E7355">
        <v>0</v>
      </c>
      <c r="F7355">
        <v>0</v>
      </c>
      <c r="G7355">
        <v>0</v>
      </c>
    </row>
    <row r="7356" spans="1:7">
      <c r="A7356" t="s">
        <v>1876</v>
      </c>
      <c r="B7356" t="s">
        <v>369</v>
      </c>
      <c r="C7356" t="s">
        <v>325</v>
      </c>
      <c r="D7356">
        <v>0</v>
      </c>
      <c r="E7356">
        <v>0</v>
      </c>
      <c r="F7356">
        <v>0</v>
      </c>
      <c r="G7356">
        <v>0</v>
      </c>
    </row>
    <row r="7357" spans="1:7">
      <c r="A7357" t="s">
        <v>1876</v>
      </c>
      <c r="B7357" t="s">
        <v>369</v>
      </c>
      <c r="C7357" t="s">
        <v>326</v>
      </c>
      <c r="D7357">
        <v>5105</v>
      </c>
      <c r="E7357">
        <v>5105</v>
      </c>
      <c r="F7357">
        <v>5105</v>
      </c>
      <c r="G7357">
        <v>5105</v>
      </c>
    </row>
    <row r="7358" spans="1:7">
      <c r="A7358" t="s">
        <v>1876</v>
      </c>
      <c r="B7358" t="s">
        <v>369</v>
      </c>
      <c r="C7358" t="s">
        <v>327</v>
      </c>
      <c r="D7358">
        <v>12267</v>
      </c>
      <c r="E7358">
        <v>12718</v>
      </c>
      <c r="F7358">
        <v>11889</v>
      </c>
      <c r="G7358">
        <v>10468</v>
      </c>
    </row>
    <row r="7359" spans="1:7">
      <c r="A7359" t="s">
        <v>1876</v>
      </c>
      <c r="B7359" t="s">
        <v>369</v>
      </c>
      <c r="C7359" t="s">
        <v>1723</v>
      </c>
      <c r="D7359">
        <v>338</v>
      </c>
      <c r="E7359">
        <v>321</v>
      </c>
      <c r="F7359">
        <v>323</v>
      </c>
      <c r="G7359">
        <v>323</v>
      </c>
    </row>
    <row r="7360" spans="1:7">
      <c r="A7360" t="s">
        <v>1876</v>
      </c>
      <c r="B7360" t="s">
        <v>369</v>
      </c>
      <c r="C7360" t="s">
        <v>328</v>
      </c>
      <c r="D7360">
        <v>38057</v>
      </c>
      <c r="E7360">
        <v>43273</v>
      </c>
      <c r="F7360">
        <v>40384</v>
      </c>
      <c r="G7360">
        <v>42073</v>
      </c>
    </row>
    <row r="7361" spans="1:7">
      <c r="A7361" t="s">
        <v>1876</v>
      </c>
      <c r="B7361" t="s">
        <v>369</v>
      </c>
      <c r="C7361" t="s">
        <v>329</v>
      </c>
      <c r="D7361">
        <v>26519</v>
      </c>
      <c r="E7361">
        <v>33410</v>
      </c>
      <c r="F7361">
        <v>28402</v>
      </c>
      <c r="G7361">
        <v>26625</v>
      </c>
    </row>
    <row r="7362" spans="1:7">
      <c r="A7362" t="s">
        <v>1876</v>
      </c>
      <c r="B7362" t="s">
        <v>369</v>
      </c>
      <c r="C7362" t="s">
        <v>330</v>
      </c>
      <c r="D7362">
        <v>81948</v>
      </c>
      <c r="E7362">
        <v>94506</v>
      </c>
      <c r="F7362">
        <v>85780</v>
      </c>
      <c r="G7362">
        <v>84270</v>
      </c>
    </row>
    <row r="7363" spans="1:7">
      <c r="A7363" t="s">
        <v>1876</v>
      </c>
      <c r="B7363" t="s">
        <v>369</v>
      </c>
      <c r="C7363" t="s">
        <v>331</v>
      </c>
      <c r="D7363">
        <v>923</v>
      </c>
      <c r="E7363">
        <v>900</v>
      </c>
      <c r="F7363">
        <v>883</v>
      </c>
      <c r="G7363">
        <v>915</v>
      </c>
    </row>
    <row r="7364" spans="1:7">
      <c r="A7364" t="s">
        <v>1876</v>
      </c>
      <c r="B7364" t="s">
        <v>369</v>
      </c>
      <c r="C7364" t="s">
        <v>332</v>
      </c>
      <c r="D7364">
        <v>10360</v>
      </c>
      <c r="E7364">
        <v>9428</v>
      </c>
      <c r="F7364">
        <v>9300</v>
      </c>
      <c r="G7364">
        <v>8733</v>
      </c>
    </row>
    <row r="7365" spans="1:7">
      <c r="A7365" t="s">
        <v>1876</v>
      </c>
      <c r="B7365" t="s">
        <v>369</v>
      </c>
      <c r="C7365" t="s">
        <v>1724</v>
      </c>
      <c r="D7365">
        <v>162</v>
      </c>
      <c r="E7365">
        <v>168</v>
      </c>
      <c r="F7365">
        <v>168</v>
      </c>
      <c r="G7365">
        <v>156</v>
      </c>
    </row>
    <row r="7366" spans="1:7">
      <c r="A7366" t="s">
        <v>1876</v>
      </c>
      <c r="B7366" t="s">
        <v>369</v>
      </c>
      <c r="C7366" t="s">
        <v>333</v>
      </c>
      <c r="D7366">
        <v>5951</v>
      </c>
      <c r="E7366">
        <v>4907</v>
      </c>
      <c r="F7366">
        <v>5281</v>
      </c>
      <c r="G7366">
        <v>6071</v>
      </c>
    </row>
    <row r="7367" spans="1:7">
      <c r="A7367" t="s">
        <v>1876</v>
      </c>
      <c r="B7367" t="s">
        <v>369</v>
      </c>
      <c r="C7367" t="s">
        <v>334</v>
      </c>
      <c r="D7367">
        <v>17234</v>
      </c>
      <c r="E7367">
        <v>15235</v>
      </c>
      <c r="F7367">
        <v>15464</v>
      </c>
      <c r="G7367">
        <v>15719</v>
      </c>
    </row>
    <row r="7368" spans="1:7">
      <c r="A7368" t="s">
        <v>1876</v>
      </c>
      <c r="B7368" t="s">
        <v>369</v>
      </c>
      <c r="C7368" t="s">
        <v>335</v>
      </c>
      <c r="D7368">
        <v>6028</v>
      </c>
      <c r="E7368">
        <v>6005</v>
      </c>
      <c r="F7368">
        <v>5988</v>
      </c>
      <c r="G7368">
        <v>6019</v>
      </c>
    </row>
    <row r="7369" spans="1:7">
      <c r="A7369" t="s">
        <v>1876</v>
      </c>
      <c r="B7369" t="s">
        <v>369</v>
      </c>
      <c r="C7369" t="s">
        <v>336</v>
      </c>
      <c r="D7369">
        <v>22627</v>
      </c>
      <c r="E7369">
        <v>22147</v>
      </c>
      <c r="F7369">
        <v>21189</v>
      </c>
      <c r="G7369">
        <v>19201</v>
      </c>
    </row>
    <row r="7370" spans="1:7">
      <c r="A7370" t="s">
        <v>1876</v>
      </c>
      <c r="B7370" t="s">
        <v>369</v>
      </c>
      <c r="C7370" t="s">
        <v>337</v>
      </c>
      <c r="D7370">
        <v>44008</v>
      </c>
      <c r="E7370">
        <v>48180</v>
      </c>
      <c r="F7370">
        <v>45665</v>
      </c>
      <c r="G7370">
        <v>48143</v>
      </c>
    </row>
    <row r="7371" spans="1:7">
      <c r="A7371" t="s">
        <v>1876</v>
      </c>
      <c r="B7371" t="s">
        <v>369</v>
      </c>
      <c r="C7371" t="s">
        <v>338</v>
      </c>
      <c r="D7371">
        <v>99183</v>
      </c>
      <c r="E7371">
        <v>109742</v>
      </c>
      <c r="F7371">
        <v>101244</v>
      </c>
      <c r="G7371">
        <v>99989</v>
      </c>
    </row>
    <row r="7372" spans="1:7">
      <c r="A7372" t="s">
        <v>1876</v>
      </c>
      <c r="B7372" t="s">
        <v>369</v>
      </c>
      <c r="C7372" t="s">
        <v>339</v>
      </c>
      <c r="D7372">
        <v>76556</v>
      </c>
      <c r="E7372">
        <v>87595</v>
      </c>
      <c r="F7372">
        <v>80055</v>
      </c>
      <c r="G7372">
        <v>80788</v>
      </c>
    </row>
    <row r="7373" spans="1:7">
      <c r="A7373" t="s">
        <v>1876</v>
      </c>
      <c r="B7373" t="s">
        <v>369</v>
      </c>
      <c r="C7373" t="s">
        <v>340</v>
      </c>
      <c r="D7373">
        <v>400</v>
      </c>
      <c r="E7373">
        <v>460</v>
      </c>
      <c r="F7373">
        <v>319</v>
      </c>
      <c r="G7373">
        <v>393</v>
      </c>
    </row>
    <row r="7374" spans="1:7">
      <c r="A7374" t="s">
        <v>1876</v>
      </c>
      <c r="B7374" t="s">
        <v>369</v>
      </c>
      <c r="C7374" t="s">
        <v>1955</v>
      </c>
      <c r="D7374">
        <v>29.5</v>
      </c>
      <c r="E7374">
        <v>32.200000000000003</v>
      </c>
      <c r="F7374">
        <v>27.1</v>
      </c>
      <c r="G7374">
        <v>30</v>
      </c>
    </row>
    <row r="7375" spans="1:7">
      <c r="A7375" t="s">
        <v>1876</v>
      </c>
      <c r="B7375" t="s">
        <v>369</v>
      </c>
      <c r="C7375" t="s">
        <v>341</v>
      </c>
      <c r="D7375">
        <v>0</v>
      </c>
      <c r="E7375">
        <v>0</v>
      </c>
      <c r="F7375">
        <v>0</v>
      </c>
      <c r="G7375">
        <v>0</v>
      </c>
    </row>
    <row r="7376" spans="1:7">
      <c r="A7376" t="s">
        <v>1876</v>
      </c>
      <c r="B7376" t="s">
        <v>369</v>
      </c>
      <c r="C7376" t="s">
        <v>342</v>
      </c>
      <c r="D7376">
        <v>26262</v>
      </c>
      <c r="E7376">
        <v>31224</v>
      </c>
      <c r="F7376">
        <v>28294</v>
      </c>
      <c r="G7376">
        <v>33570</v>
      </c>
    </row>
    <row r="7377" spans="1:7">
      <c r="A7377" t="s">
        <v>1876</v>
      </c>
      <c r="B7377" t="s">
        <v>369</v>
      </c>
      <c r="C7377" t="s">
        <v>1725</v>
      </c>
      <c r="D7377">
        <v>3168</v>
      </c>
      <c r="E7377">
        <v>3239</v>
      </c>
      <c r="F7377">
        <v>3575</v>
      </c>
      <c r="G7377">
        <v>3774</v>
      </c>
    </row>
    <row r="7378" spans="1:7">
      <c r="A7378" t="s">
        <v>1876</v>
      </c>
      <c r="B7378" t="s">
        <v>369</v>
      </c>
      <c r="C7378" t="s">
        <v>343</v>
      </c>
      <c r="D7378">
        <v>0</v>
      </c>
      <c r="E7378">
        <v>0</v>
      </c>
      <c r="F7378">
        <v>0</v>
      </c>
      <c r="G7378">
        <v>0</v>
      </c>
    </row>
    <row r="7379" spans="1:7">
      <c r="A7379" t="s">
        <v>1876</v>
      </c>
      <c r="B7379" t="s">
        <v>369</v>
      </c>
      <c r="C7379" t="s">
        <v>344</v>
      </c>
      <c r="D7379">
        <v>26262</v>
      </c>
      <c r="E7379">
        <v>31224</v>
      </c>
      <c r="F7379">
        <v>28294</v>
      </c>
      <c r="G7379">
        <v>33570</v>
      </c>
    </row>
    <row r="7380" spans="1:7">
      <c r="A7380" t="s">
        <v>1876</v>
      </c>
      <c r="B7380" t="s">
        <v>369</v>
      </c>
      <c r="C7380" t="s">
        <v>345</v>
      </c>
      <c r="D7380">
        <v>0</v>
      </c>
      <c r="E7380">
        <v>0</v>
      </c>
      <c r="F7380">
        <v>0</v>
      </c>
      <c r="G7380">
        <v>0</v>
      </c>
    </row>
    <row r="7381" spans="1:7">
      <c r="A7381" t="s">
        <v>1876</v>
      </c>
      <c r="B7381" t="s">
        <v>369</v>
      </c>
      <c r="C7381" t="s">
        <v>1956</v>
      </c>
      <c r="D7381">
        <v>10360</v>
      </c>
      <c r="E7381">
        <v>9428</v>
      </c>
      <c r="F7381">
        <v>9300</v>
      </c>
      <c r="G7381">
        <v>8733</v>
      </c>
    </row>
    <row r="7382" spans="1:7">
      <c r="A7382" t="s">
        <v>1876</v>
      </c>
      <c r="B7382" t="s">
        <v>369</v>
      </c>
      <c r="C7382" t="s">
        <v>1957</v>
      </c>
      <c r="D7382">
        <v>17234</v>
      </c>
      <c r="E7382">
        <v>15235</v>
      </c>
      <c r="F7382">
        <v>15464</v>
      </c>
      <c r="G7382">
        <v>15719</v>
      </c>
    </row>
    <row r="7383" spans="1:7">
      <c r="A7383" t="s">
        <v>1876</v>
      </c>
      <c r="B7383" t="s">
        <v>369</v>
      </c>
      <c r="C7383" t="s">
        <v>346</v>
      </c>
      <c r="D7383">
        <v>762</v>
      </c>
      <c r="E7383">
        <v>669</v>
      </c>
      <c r="F7383">
        <v>532</v>
      </c>
      <c r="G7383">
        <v>714</v>
      </c>
    </row>
    <row r="7384" spans="1:7">
      <c r="A7384" t="s">
        <v>1876</v>
      </c>
      <c r="B7384" t="s">
        <v>369</v>
      </c>
      <c r="C7384" t="s">
        <v>347</v>
      </c>
      <c r="D7384">
        <v>6079</v>
      </c>
      <c r="E7384">
        <v>6708</v>
      </c>
      <c r="F7384">
        <v>5867</v>
      </c>
      <c r="G7384">
        <v>5560</v>
      </c>
    </row>
    <row r="7385" spans="1:7">
      <c r="A7385" t="s">
        <v>1876</v>
      </c>
      <c r="B7385" t="s">
        <v>370</v>
      </c>
      <c r="C7385" t="s">
        <v>133</v>
      </c>
      <c r="D7385">
        <v>-21</v>
      </c>
      <c r="E7385">
        <v>-16</v>
      </c>
      <c r="F7385">
        <v>-16</v>
      </c>
      <c r="G7385">
        <v>-25</v>
      </c>
    </row>
    <row r="7386" spans="1:7">
      <c r="A7386" t="s">
        <v>1876</v>
      </c>
      <c r="B7386" t="s">
        <v>370</v>
      </c>
      <c r="C7386" t="s">
        <v>134</v>
      </c>
      <c r="D7386">
        <v>19211</v>
      </c>
      <c r="E7386">
        <v>19527</v>
      </c>
      <c r="F7386">
        <v>18999</v>
      </c>
      <c r="G7386">
        <v>25003</v>
      </c>
    </row>
    <row r="7387" spans="1:7">
      <c r="A7387" t="s">
        <v>1876</v>
      </c>
      <c r="B7387" t="s">
        <v>370</v>
      </c>
      <c r="C7387" t="s">
        <v>135</v>
      </c>
      <c r="D7387">
        <v>19211</v>
      </c>
      <c r="E7387">
        <v>19527</v>
      </c>
      <c r="F7387">
        <v>18999</v>
      </c>
      <c r="G7387">
        <v>25003</v>
      </c>
    </row>
    <row r="7388" spans="1:7">
      <c r="A7388" t="s">
        <v>1876</v>
      </c>
      <c r="B7388" t="s">
        <v>370</v>
      </c>
      <c r="C7388" t="s">
        <v>136</v>
      </c>
      <c r="D7388">
        <v>19211</v>
      </c>
      <c r="E7388">
        <v>19527</v>
      </c>
      <c r="F7388">
        <v>18999</v>
      </c>
      <c r="G7388">
        <v>25003</v>
      </c>
    </row>
    <row r="7389" spans="1:7">
      <c r="A7389" t="s">
        <v>1876</v>
      </c>
      <c r="B7389" t="s">
        <v>370</v>
      </c>
      <c r="C7389" t="s">
        <v>137</v>
      </c>
      <c r="D7389">
        <v>405</v>
      </c>
      <c r="E7389">
        <v>419</v>
      </c>
      <c r="F7389">
        <v>398</v>
      </c>
      <c r="G7389">
        <v>428</v>
      </c>
    </row>
    <row r="7390" spans="1:7">
      <c r="A7390" t="s">
        <v>1876</v>
      </c>
      <c r="B7390" t="s">
        <v>370</v>
      </c>
      <c r="C7390" t="s">
        <v>138</v>
      </c>
      <c r="D7390">
        <v>405</v>
      </c>
      <c r="E7390">
        <v>419</v>
      </c>
      <c r="F7390">
        <v>398</v>
      </c>
      <c r="G7390">
        <v>428</v>
      </c>
    </row>
    <row r="7391" spans="1:7">
      <c r="A7391" t="s">
        <v>1876</v>
      </c>
      <c r="B7391" t="s">
        <v>370</v>
      </c>
      <c r="C7391" t="s">
        <v>139</v>
      </c>
      <c r="D7391">
        <v>405</v>
      </c>
      <c r="E7391">
        <v>419</v>
      </c>
      <c r="F7391">
        <v>398</v>
      </c>
      <c r="G7391">
        <v>428</v>
      </c>
    </row>
    <row r="7392" spans="1:7">
      <c r="A7392" t="s">
        <v>1876</v>
      </c>
      <c r="B7392" t="s">
        <v>370</v>
      </c>
      <c r="C7392" t="s">
        <v>1877</v>
      </c>
      <c r="D7392">
        <v>0</v>
      </c>
      <c r="E7392">
        <v>0</v>
      </c>
      <c r="F7392">
        <v>0</v>
      </c>
      <c r="G7392">
        <v>0</v>
      </c>
    </row>
    <row r="7393" spans="1:7">
      <c r="A7393" t="s">
        <v>1876</v>
      </c>
      <c r="B7393" t="s">
        <v>370</v>
      </c>
      <c r="C7393" t="s">
        <v>1700</v>
      </c>
      <c r="D7393">
        <v>0</v>
      </c>
      <c r="E7393">
        <v>0</v>
      </c>
      <c r="F7393">
        <v>0</v>
      </c>
      <c r="G7393">
        <v>0</v>
      </c>
    </row>
    <row r="7394" spans="1:7">
      <c r="A7394" t="s">
        <v>1876</v>
      </c>
      <c r="B7394" t="s">
        <v>370</v>
      </c>
      <c r="C7394" t="s">
        <v>1878</v>
      </c>
      <c r="D7394">
        <v>0</v>
      </c>
      <c r="E7394">
        <v>0</v>
      </c>
      <c r="F7394">
        <v>0</v>
      </c>
      <c r="G7394">
        <v>0</v>
      </c>
    </row>
    <row r="7395" spans="1:7">
      <c r="A7395" t="s">
        <v>1876</v>
      </c>
      <c r="B7395" t="s">
        <v>370</v>
      </c>
      <c r="C7395" t="s">
        <v>1879</v>
      </c>
      <c r="D7395">
        <v>0</v>
      </c>
      <c r="E7395">
        <v>0</v>
      </c>
      <c r="F7395">
        <v>0</v>
      </c>
      <c r="G7395">
        <v>0</v>
      </c>
    </row>
    <row r="7396" spans="1:7">
      <c r="A7396" t="s">
        <v>1876</v>
      </c>
      <c r="B7396" t="s">
        <v>370</v>
      </c>
      <c r="C7396" t="s">
        <v>1701</v>
      </c>
      <c r="D7396">
        <v>0</v>
      </c>
      <c r="E7396">
        <v>0</v>
      </c>
      <c r="F7396">
        <v>0</v>
      </c>
      <c r="G7396">
        <v>0</v>
      </c>
    </row>
    <row r="7397" spans="1:7">
      <c r="A7397" t="s">
        <v>1876</v>
      </c>
      <c r="B7397" t="s">
        <v>370</v>
      </c>
      <c r="C7397" t="s">
        <v>1880</v>
      </c>
      <c r="D7397">
        <v>6748</v>
      </c>
      <c r="E7397">
        <v>6612</v>
      </c>
      <c r="F7397">
        <v>5744</v>
      </c>
      <c r="G7397">
        <v>5168</v>
      </c>
    </row>
    <row r="7398" spans="1:7">
      <c r="A7398" t="s">
        <v>1876</v>
      </c>
      <c r="B7398" t="s">
        <v>370</v>
      </c>
      <c r="C7398" t="s">
        <v>140</v>
      </c>
      <c r="D7398">
        <v>15856</v>
      </c>
      <c r="E7398">
        <v>15981</v>
      </c>
      <c r="F7398">
        <v>15491</v>
      </c>
      <c r="G7398">
        <v>14731</v>
      </c>
    </row>
    <row r="7399" spans="1:7">
      <c r="A7399" t="s">
        <v>1876</v>
      </c>
      <c r="B7399" t="s">
        <v>370</v>
      </c>
      <c r="C7399" t="s">
        <v>1881</v>
      </c>
      <c r="D7399">
        <v>9109</v>
      </c>
      <c r="E7399">
        <v>9369</v>
      </c>
      <c r="F7399">
        <v>9747</v>
      </c>
      <c r="G7399">
        <v>9564</v>
      </c>
    </row>
    <row r="7400" spans="1:7">
      <c r="A7400" t="s">
        <v>1876</v>
      </c>
      <c r="B7400" t="s">
        <v>370</v>
      </c>
      <c r="C7400" t="s">
        <v>1882</v>
      </c>
      <c r="D7400">
        <v>0</v>
      </c>
      <c r="E7400">
        <v>0</v>
      </c>
      <c r="F7400">
        <v>0</v>
      </c>
      <c r="G7400">
        <v>0</v>
      </c>
    </row>
    <row r="7401" spans="1:7">
      <c r="A7401" t="s">
        <v>1876</v>
      </c>
      <c r="B7401" t="s">
        <v>370</v>
      </c>
      <c r="C7401" t="s">
        <v>1883</v>
      </c>
      <c r="D7401">
        <v>0</v>
      </c>
      <c r="E7401">
        <v>0</v>
      </c>
      <c r="F7401">
        <v>0</v>
      </c>
      <c r="G7401">
        <v>0</v>
      </c>
    </row>
    <row r="7402" spans="1:7">
      <c r="A7402" t="s">
        <v>1876</v>
      </c>
      <c r="B7402" t="s">
        <v>370</v>
      </c>
      <c r="C7402" t="s">
        <v>1884</v>
      </c>
      <c r="D7402">
        <v>0</v>
      </c>
      <c r="E7402">
        <v>0</v>
      </c>
      <c r="F7402">
        <v>0</v>
      </c>
      <c r="G7402">
        <v>0</v>
      </c>
    </row>
    <row r="7403" spans="1:7">
      <c r="A7403" t="s">
        <v>1876</v>
      </c>
      <c r="B7403" t="s">
        <v>370</v>
      </c>
      <c r="C7403" t="s">
        <v>1885</v>
      </c>
      <c r="D7403">
        <v>0</v>
      </c>
      <c r="E7403">
        <v>0</v>
      </c>
      <c r="F7403">
        <v>0</v>
      </c>
      <c r="G7403">
        <v>0</v>
      </c>
    </row>
    <row r="7404" spans="1:7">
      <c r="A7404" t="s">
        <v>1876</v>
      </c>
      <c r="B7404" t="s">
        <v>370</v>
      </c>
      <c r="C7404" t="s">
        <v>1886</v>
      </c>
      <c r="D7404">
        <v>0</v>
      </c>
      <c r="E7404">
        <v>0</v>
      </c>
      <c r="F7404">
        <v>0</v>
      </c>
      <c r="G7404">
        <v>0</v>
      </c>
    </row>
    <row r="7405" spans="1:7">
      <c r="A7405" t="s">
        <v>1876</v>
      </c>
      <c r="B7405" t="s">
        <v>370</v>
      </c>
      <c r="C7405" t="s">
        <v>141</v>
      </c>
      <c r="D7405">
        <v>134</v>
      </c>
      <c r="E7405">
        <v>131</v>
      </c>
      <c r="F7405">
        <v>133</v>
      </c>
      <c r="G7405">
        <v>134</v>
      </c>
    </row>
    <row r="7406" spans="1:7">
      <c r="A7406" t="s">
        <v>1876</v>
      </c>
      <c r="B7406" t="s">
        <v>370</v>
      </c>
      <c r="C7406" t="s">
        <v>1887</v>
      </c>
      <c r="D7406">
        <v>0</v>
      </c>
      <c r="E7406">
        <v>0</v>
      </c>
      <c r="F7406">
        <v>0</v>
      </c>
      <c r="G7406">
        <v>0</v>
      </c>
    </row>
    <row r="7407" spans="1:7">
      <c r="A7407" t="s">
        <v>1876</v>
      </c>
      <c r="B7407" t="s">
        <v>370</v>
      </c>
      <c r="C7407" t="s">
        <v>1888</v>
      </c>
      <c r="D7407">
        <v>0</v>
      </c>
      <c r="E7407">
        <v>0</v>
      </c>
      <c r="F7407">
        <v>0</v>
      </c>
      <c r="G7407">
        <v>0</v>
      </c>
    </row>
    <row r="7408" spans="1:7">
      <c r="A7408" t="s">
        <v>1876</v>
      </c>
      <c r="B7408" t="s">
        <v>370</v>
      </c>
      <c r="C7408" t="s">
        <v>1889</v>
      </c>
      <c r="D7408">
        <v>6748</v>
      </c>
      <c r="E7408">
        <v>6612</v>
      </c>
      <c r="F7408">
        <v>5744</v>
      </c>
      <c r="G7408">
        <v>5168</v>
      </c>
    </row>
    <row r="7409" spans="1:7">
      <c r="A7409" t="s">
        <v>1876</v>
      </c>
      <c r="B7409" t="s">
        <v>370</v>
      </c>
      <c r="C7409" t="s">
        <v>1890</v>
      </c>
      <c r="D7409">
        <v>0</v>
      </c>
      <c r="E7409">
        <v>0</v>
      </c>
      <c r="F7409">
        <v>0</v>
      </c>
      <c r="G7409">
        <v>0</v>
      </c>
    </row>
    <row r="7410" spans="1:7">
      <c r="A7410" t="s">
        <v>1876</v>
      </c>
      <c r="B7410" t="s">
        <v>370</v>
      </c>
      <c r="C7410" t="s">
        <v>1891</v>
      </c>
    </row>
    <row r="7411" spans="1:7">
      <c r="A7411" t="s">
        <v>1876</v>
      </c>
      <c r="B7411" t="s">
        <v>370</v>
      </c>
      <c r="C7411" t="s">
        <v>1892</v>
      </c>
      <c r="D7411">
        <v>9109</v>
      </c>
      <c r="E7411">
        <v>9369</v>
      </c>
      <c r="F7411">
        <v>9747</v>
      </c>
      <c r="G7411">
        <v>9564</v>
      </c>
    </row>
    <row r="7412" spans="1:7">
      <c r="A7412" t="s">
        <v>1876</v>
      </c>
      <c r="B7412" t="s">
        <v>370</v>
      </c>
      <c r="C7412" t="s">
        <v>142</v>
      </c>
      <c r="D7412">
        <v>15856</v>
      </c>
      <c r="E7412">
        <v>15981</v>
      </c>
      <c r="F7412">
        <v>15491</v>
      </c>
      <c r="G7412">
        <v>14731</v>
      </c>
    </row>
    <row r="7413" spans="1:7">
      <c r="A7413" t="s">
        <v>1876</v>
      </c>
      <c r="B7413" t="s">
        <v>370</v>
      </c>
      <c r="C7413" t="s">
        <v>1893</v>
      </c>
      <c r="D7413">
        <v>15856</v>
      </c>
      <c r="E7413">
        <v>15981</v>
      </c>
      <c r="F7413">
        <v>15491</v>
      </c>
      <c r="G7413">
        <v>14731</v>
      </c>
    </row>
    <row r="7414" spans="1:7">
      <c r="A7414" t="s">
        <v>1876</v>
      </c>
      <c r="B7414" t="s">
        <v>370</v>
      </c>
      <c r="C7414" t="s">
        <v>1894</v>
      </c>
      <c r="D7414">
        <v>9109</v>
      </c>
      <c r="E7414">
        <v>9369</v>
      </c>
      <c r="F7414">
        <v>9747</v>
      </c>
      <c r="G7414">
        <v>9564</v>
      </c>
    </row>
    <row r="7415" spans="1:7">
      <c r="A7415" t="s">
        <v>1876</v>
      </c>
      <c r="B7415" t="s">
        <v>370</v>
      </c>
      <c r="C7415" t="s">
        <v>143</v>
      </c>
      <c r="D7415">
        <v>67112</v>
      </c>
      <c r="E7415">
        <v>69033</v>
      </c>
      <c r="F7415">
        <v>70812</v>
      </c>
      <c r="G7415">
        <v>72126</v>
      </c>
    </row>
    <row r="7416" spans="1:7">
      <c r="A7416" t="s">
        <v>1876</v>
      </c>
      <c r="B7416" t="s">
        <v>370</v>
      </c>
      <c r="C7416" t="s">
        <v>144</v>
      </c>
      <c r="D7416">
        <v>107833</v>
      </c>
      <c r="E7416">
        <v>110214</v>
      </c>
      <c r="F7416">
        <v>111925</v>
      </c>
      <c r="G7416">
        <v>112716</v>
      </c>
    </row>
    <row r="7417" spans="1:7">
      <c r="A7417" t="s">
        <v>1876</v>
      </c>
      <c r="B7417" t="s">
        <v>370</v>
      </c>
      <c r="C7417" t="s">
        <v>1895</v>
      </c>
      <c r="D7417">
        <v>59.2</v>
      </c>
      <c r="E7417">
        <v>56.7</v>
      </c>
      <c r="F7417">
        <v>55.6</v>
      </c>
      <c r="G7417">
        <v>57.3</v>
      </c>
    </row>
    <row r="7418" spans="1:7">
      <c r="A7418" t="s">
        <v>1876</v>
      </c>
      <c r="B7418" t="s">
        <v>370</v>
      </c>
      <c r="C7418" t="s">
        <v>145</v>
      </c>
      <c r="D7418">
        <v>163547</v>
      </c>
      <c r="E7418">
        <v>166699</v>
      </c>
      <c r="F7418">
        <v>162783</v>
      </c>
      <c r="G7418">
        <v>163541</v>
      </c>
    </row>
    <row r="7419" spans="1:7">
      <c r="A7419" t="s">
        <v>1876</v>
      </c>
      <c r="B7419" t="s">
        <v>370</v>
      </c>
      <c r="C7419" t="s">
        <v>146</v>
      </c>
      <c r="D7419">
        <v>0</v>
      </c>
      <c r="E7419">
        <v>0</v>
      </c>
      <c r="F7419">
        <v>0</v>
      </c>
      <c r="G7419">
        <v>0</v>
      </c>
    </row>
    <row r="7420" spans="1:7">
      <c r="A7420" t="s">
        <v>1876</v>
      </c>
      <c r="B7420" t="s">
        <v>370</v>
      </c>
      <c r="C7420" t="s">
        <v>147</v>
      </c>
      <c r="D7420">
        <v>0</v>
      </c>
      <c r="E7420">
        <v>0</v>
      </c>
      <c r="F7420">
        <v>0</v>
      </c>
      <c r="G7420">
        <v>0</v>
      </c>
    </row>
    <row r="7421" spans="1:7">
      <c r="A7421" t="s">
        <v>1876</v>
      </c>
      <c r="B7421" t="s">
        <v>370</v>
      </c>
      <c r="C7421" t="s">
        <v>1896</v>
      </c>
      <c r="D7421">
        <v>0.5</v>
      </c>
      <c r="E7421">
        <v>0.5</v>
      </c>
      <c r="F7421">
        <v>0.2</v>
      </c>
      <c r="G7421">
        <v>0.3</v>
      </c>
    </row>
    <row r="7422" spans="1:7">
      <c r="A7422" t="s">
        <v>1876</v>
      </c>
      <c r="B7422" t="s">
        <v>370</v>
      </c>
      <c r="C7422" t="s">
        <v>1702</v>
      </c>
      <c r="D7422">
        <v>15</v>
      </c>
      <c r="E7422">
        <v>16</v>
      </c>
      <c r="F7422">
        <v>16</v>
      </c>
      <c r="G7422">
        <v>21</v>
      </c>
    </row>
    <row r="7423" spans="1:7">
      <c r="A7423" t="s">
        <v>1876</v>
      </c>
      <c r="B7423" t="s">
        <v>370</v>
      </c>
      <c r="C7423" t="s">
        <v>1897</v>
      </c>
      <c r="D7423">
        <v>14.5</v>
      </c>
      <c r="E7423">
        <v>20.399999999999999</v>
      </c>
      <c r="F7423">
        <v>35.5</v>
      </c>
      <c r="G7423">
        <v>45.8</v>
      </c>
    </row>
    <row r="7424" spans="1:7">
      <c r="A7424" t="s">
        <v>1876</v>
      </c>
      <c r="B7424" t="s">
        <v>370</v>
      </c>
      <c r="C7424" t="s">
        <v>1898</v>
      </c>
      <c r="D7424">
        <v>26</v>
      </c>
      <c r="E7424">
        <v>44</v>
      </c>
      <c r="F7424">
        <v>120</v>
      </c>
      <c r="G7424">
        <v>166</v>
      </c>
    </row>
    <row r="7425" spans="1:7">
      <c r="A7425" t="s">
        <v>1876</v>
      </c>
      <c r="B7425" t="s">
        <v>370</v>
      </c>
      <c r="C7425" t="s">
        <v>1899</v>
      </c>
      <c r="D7425">
        <v>9109</v>
      </c>
      <c r="E7425">
        <v>9369</v>
      </c>
      <c r="F7425">
        <v>9747</v>
      </c>
      <c r="G7425">
        <v>9564</v>
      </c>
    </row>
    <row r="7426" spans="1:7">
      <c r="A7426" t="s">
        <v>1876</v>
      </c>
      <c r="B7426" t="s">
        <v>370</v>
      </c>
      <c r="C7426" t="s">
        <v>148</v>
      </c>
      <c r="D7426">
        <v>0</v>
      </c>
      <c r="E7426">
        <v>0</v>
      </c>
      <c r="F7426">
        <v>0</v>
      </c>
      <c r="G7426">
        <v>0</v>
      </c>
    </row>
    <row r="7427" spans="1:7">
      <c r="A7427" t="s">
        <v>1876</v>
      </c>
      <c r="B7427" t="s">
        <v>370</v>
      </c>
      <c r="C7427" t="s">
        <v>149</v>
      </c>
      <c r="D7427">
        <v>0</v>
      </c>
      <c r="E7427">
        <v>0</v>
      </c>
      <c r="F7427">
        <v>0</v>
      </c>
      <c r="G7427">
        <v>0</v>
      </c>
    </row>
    <row r="7428" spans="1:7">
      <c r="A7428" t="s">
        <v>1876</v>
      </c>
      <c r="B7428" t="s">
        <v>370</v>
      </c>
      <c r="C7428" t="s">
        <v>150</v>
      </c>
      <c r="D7428">
        <v>0</v>
      </c>
      <c r="E7428">
        <v>0</v>
      </c>
      <c r="F7428">
        <v>0</v>
      </c>
      <c r="G7428">
        <v>0</v>
      </c>
    </row>
    <row r="7429" spans="1:7">
      <c r="A7429" t="s">
        <v>1876</v>
      </c>
      <c r="B7429" t="s">
        <v>370</v>
      </c>
      <c r="C7429" t="s">
        <v>1900</v>
      </c>
      <c r="D7429">
        <v>44.6</v>
      </c>
      <c r="E7429">
        <v>46.7</v>
      </c>
      <c r="F7429">
        <v>38.700000000000003</v>
      </c>
      <c r="G7429">
        <v>41.7</v>
      </c>
    </row>
    <row r="7430" spans="1:7">
      <c r="A7430" t="s">
        <v>1876</v>
      </c>
      <c r="B7430" t="s">
        <v>370</v>
      </c>
      <c r="C7430" t="s">
        <v>151</v>
      </c>
      <c r="D7430">
        <v>117</v>
      </c>
      <c r="E7430">
        <v>71</v>
      </c>
      <c r="F7430">
        <v>43</v>
      </c>
      <c r="G7430">
        <v>36</v>
      </c>
    </row>
    <row r="7431" spans="1:7">
      <c r="A7431" t="s">
        <v>1876</v>
      </c>
      <c r="B7431" t="s">
        <v>370</v>
      </c>
      <c r="C7431" t="s">
        <v>152</v>
      </c>
      <c r="D7431">
        <v>164315</v>
      </c>
      <c r="E7431">
        <v>168076</v>
      </c>
      <c r="F7431">
        <v>131981</v>
      </c>
      <c r="G7431">
        <v>119003</v>
      </c>
    </row>
    <row r="7432" spans="1:7">
      <c r="A7432" t="s">
        <v>1876</v>
      </c>
      <c r="B7432" t="s">
        <v>370</v>
      </c>
      <c r="C7432" t="s">
        <v>1703</v>
      </c>
      <c r="D7432">
        <v>4009</v>
      </c>
      <c r="E7432">
        <v>3979</v>
      </c>
      <c r="F7432">
        <v>3142</v>
      </c>
      <c r="G7432">
        <v>3136</v>
      </c>
    </row>
    <row r="7433" spans="1:7">
      <c r="A7433" t="s">
        <v>1876</v>
      </c>
      <c r="B7433" t="s">
        <v>370</v>
      </c>
      <c r="C7433" t="s">
        <v>153</v>
      </c>
      <c r="D7433">
        <v>14623</v>
      </c>
      <c r="E7433">
        <v>16370</v>
      </c>
      <c r="F7433">
        <v>16943</v>
      </c>
      <c r="G7433">
        <v>15608</v>
      </c>
    </row>
    <row r="7434" spans="1:7">
      <c r="A7434" t="s">
        <v>1876</v>
      </c>
      <c r="B7434" t="s">
        <v>370</v>
      </c>
      <c r="C7434" t="s">
        <v>154</v>
      </c>
      <c r="D7434">
        <v>0</v>
      </c>
      <c r="E7434">
        <v>0</v>
      </c>
      <c r="F7434">
        <v>0</v>
      </c>
      <c r="G7434">
        <v>0</v>
      </c>
    </row>
    <row r="7435" spans="1:7">
      <c r="A7435" t="s">
        <v>1876</v>
      </c>
      <c r="B7435" t="s">
        <v>370</v>
      </c>
      <c r="C7435" t="s">
        <v>155</v>
      </c>
      <c r="D7435">
        <v>14623</v>
      </c>
      <c r="E7435">
        <v>16370</v>
      </c>
      <c r="F7435">
        <v>16943</v>
      </c>
      <c r="G7435">
        <v>15608</v>
      </c>
    </row>
    <row r="7436" spans="1:7">
      <c r="A7436" t="s">
        <v>1876</v>
      </c>
      <c r="B7436" t="s">
        <v>370</v>
      </c>
      <c r="C7436" t="s">
        <v>156</v>
      </c>
      <c r="D7436">
        <v>0</v>
      </c>
      <c r="E7436">
        <v>0</v>
      </c>
      <c r="F7436">
        <v>0</v>
      </c>
      <c r="G7436">
        <v>0</v>
      </c>
    </row>
    <row r="7437" spans="1:7">
      <c r="A7437" t="s">
        <v>1876</v>
      </c>
      <c r="B7437" t="s">
        <v>370</v>
      </c>
      <c r="C7437" t="s">
        <v>157</v>
      </c>
      <c r="D7437">
        <v>179055</v>
      </c>
      <c r="E7437">
        <v>184517</v>
      </c>
      <c r="F7437">
        <v>148968</v>
      </c>
      <c r="G7437">
        <v>134647</v>
      </c>
    </row>
    <row r="7438" spans="1:7">
      <c r="A7438" t="s">
        <v>1876</v>
      </c>
      <c r="B7438" t="s">
        <v>370</v>
      </c>
      <c r="C7438" t="s">
        <v>158</v>
      </c>
      <c r="D7438">
        <v>14740</v>
      </c>
      <c r="E7438">
        <v>16441</v>
      </c>
      <c r="F7438">
        <v>16987</v>
      </c>
      <c r="G7438">
        <v>15644</v>
      </c>
    </row>
    <row r="7439" spans="1:7">
      <c r="A7439" t="s">
        <v>1876</v>
      </c>
      <c r="B7439" t="s">
        <v>370</v>
      </c>
      <c r="C7439" t="s">
        <v>159</v>
      </c>
      <c r="D7439">
        <v>0</v>
      </c>
      <c r="E7439">
        <v>0</v>
      </c>
      <c r="F7439">
        <v>0</v>
      </c>
      <c r="G7439">
        <v>0</v>
      </c>
    </row>
    <row r="7440" spans="1:7">
      <c r="A7440" t="s">
        <v>1876</v>
      </c>
      <c r="B7440" t="s">
        <v>370</v>
      </c>
      <c r="C7440" t="s">
        <v>1901</v>
      </c>
      <c r="D7440">
        <v>47.4</v>
      </c>
      <c r="E7440">
        <v>32</v>
      </c>
      <c r="F7440">
        <v>50.9</v>
      </c>
      <c r="G7440">
        <v>58.7</v>
      </c>
    </row>
    <row r="7441" spans="1:7">
      <c r="A7441" t="s">
        <v>1876</v>
      </c>
      <c r="B7441" t="s">
        <v>370</v>
      </c>
      <c r="C7441" t="s">
        <v>1902</v>
      </c>
      <c r="D7441">
        <v>112303</v>
      </c>
      <c r="E7441">
        <v>113287</v>
      </c>
      <c r="F7441">
        <v>110270</v>
      </c>
      <c r="G7441">
        <v>104680</v>
      </c>
    </row>
    <row r="7442" spans="1:7">
      <c r="A7442" t="s">
        <v>1876</v>
      </c>
      <c r="B7442" t="s">
        <v>370</v>
      </c>
      <c r="C7442" t="s">
        <v>1903</v>
      </c>
      <c r="D7442">
        <v>5366</v>
      </c>
      <c r="E7442">
        <v>5906</v>
      </c>
      <c r="F7442">
        <v>5489</v>
      </c>
      <c r="G7442">
        <v>4971</v>
      </c>
    </row>
    <row r="7443" spans="1:7">
      <c r="A7443" t="s">
        <v>1876</v>
      </c>
      <c r="B7443" t="s">
        <v>370</v>
      </c>
      <c r="C7443" t="s">
        <v>1904</v>
      </c>
      <c r="D7443">
        <v>1232</v>
      </c>
      <c r="E7443">
        <v>575</v>
      </c>
      <c r="F7443">
        <v>903</v>
      </c>
      <c r="G7443">
        <v>275</v>
      </c>
    </row>
    <row r="7444" spans="1:7">
      <c r="A7444" t="s">
        <v>1876</v>
      </c>
      <c r="B7444" t="s">
        <v>370</v>
      </c>
      <c r="C7444" t="s">
        <v>1905</v>
      </c>
      <c r="D7444">
        <v>36914</v>
      </c>
      <c r="E7444">
        <v>37316</v>
      </c>
      <c r="F7444">
        <v>36421</v>
      </c>
      <c r="G7444">
        <v>35343</v>
      </c>
    </row>
    <row r="7445" spans="1:7">
      <c r="A7445" t="s">
        <v>1876</v>
      </c>
      <c r="B7445" t="s">
        <v>370</v>
      </c>
      <c r="C7445" t="s">
        <v>1906</v>
      </c>
      <c r="D7445">
        <v>4401</v>
      </c>
      <c r="E7445">
        <v>4907</v>
      </c>
      <c r="F7445">
        <v>4558</v>
      </c>
      <c r="G7445">
        <v>4038</v>
      </c>
    </row>
    <row r="7446" spans="1:7">
      <c r="A7446" t="s">
        <v>1876</v>
      </c>
      <c r="B7446" t="s">
        <v>370</v>
      </c>
      <c r="C7446" t="s">
        <v>1907</v>
      </c>
      <c r="D7446">
        <v>160216</v>
      </c>
      <c r="E7446">
        <v>161991</v>
      </c>
      <c r="F7446">
        <v>157640</v>
      </c>
      <c r="G7446">
        <v>149307</v>
      </c>
    </row>
    <row r="7447" spans="1:7">
      <c r="A7447" t="s">
        <v>1876</v>
      </c>
      <c r="B7447" t="s">
        <v>370</v>
      </c>
      <c r="C7447" t="s">
        <v>160</v>
      </c>
      <c r="D7447">
        <v>103195</v>
      </c>
      <c r="E7447">
        <v>103918</v>
      </c>
      <c r="F7447">
        <v>100523</v>
      </c>
      <c r="G7447">
        <v>95117</v>
      </c>
    </row>
    <row r="7448" spans="1:7">
      <c r="A7448" t="s">
        <v>1876</v>
      </c>
      <c r="B7448" t="s">
        <v>370</v>
      </c>
      <c r="C7448" t="s">
        <v>161</v>
      </c>
      <c r="D7448">
        <v>5366</v>
      </c>
      <c r="E7448">
        <v>5906</v>
      </c>
      <c r="F7448">
        <v>5489</v>
      </c>
      <c r="G7448">
        <v>4971</v>
      </c>
    </row>
    <row r="7449" spans="1:7">
      <c r="A7449" t="s">
        <v>1876</v>
      </c>
      <c r="B7449" t="s">
        <v>370</v>
      </c>
      <c r="C7449" t="s">
        <v>162</v>
      </c>
      <c r="D7449">
        <v>1232</v>
      </c>
      <c r="E7449">
        <v>575</v>
      </c>
      <c r="F7449">
        <v>903</v>
      </c>
      <c r="G7449">
        <v>275</v>
      </c>
    </row>
    <row r="7450" spans="1:7">
      <c r="A7450" t="s">
        <v>1876</v>
      </c>
      <c r="B7450" t="s">
        <v>370</v>
      </c>
      <c r="C7450" t="s">
        <v>163</v>
      </c>
      <c r="D7450">
        <v>36914</v>
      </c>
      <c r="E7450">
        <v>37316</v>
      </c>
      <c r="F7450">
        <v>36421</v>
      </c>
      <c r="G7450">
        <v>35343</v>
      </c>
    </row>
    <row r="7451" spans="1:7">
      <c r="A7451" t="s">
        <v>1876</v>
      </c>
      <c r="B7451" t="s">
        <v>370</v>
      </c>
      <c r="C7451" t="s">
        <v>164</v>
      </c>
      <c r="D7451">
        <v>4401</v>
      </c>
      <c r="E7451">
        <v>4907</v>
      </c>
      <c r="F7451">
        <v>4558</v>
      </c>
      <c r="G7451">
        <v>4038</v>
      </c>
    </row>
    <row r="7452" spans="1:7">
      <c r="A7452" t="s">
        <v>1876</v>
      </c>
      <c r="B7452" t="s">
        <v>370</v>
      </c>
      <c r="C7452" t="s">
        <v>165</v>
      </c>
      <c r="D7452">
        <v>151108</v>
      </c>
      <c r="E7452">
        <v>152622</v>
      </c>
      <c r="F7452">
        <v>147893</v>
      </c>
      <c r="G7452">
        <v>139743</v>
      </c>
    </row>
    <row r="7453" spans="1:7">
      <c r="A7453" t="s">
        <v>1876</v>
      </c>
      <c r="B7453" t="s">
        <v>370</v>
      </c>
      <c r="C7453" t="s">
        <v>166</v>
      </c>
      <c r="D7453">
        <v>149875</v>
      </c>
      <c r="E7453">
        <v>152047</v>
      </c>
      <c r="F7453">
        <v>146991</v>
      </c>
      <c r="G7453">
        <v>139469</v>
      </c>
    </row>
    <row r="7454" spans="1:7">
      <c r="A7454" t="s">
        <v>1876</v>
      </c>
      <c r="B7454" t="s">
        <v>370</v>
      </c>
      <c r="C7454" t="s">
        <v>167</v>
      </c>
      <c r="D7454">
        <v>1232</v>
      </c>
      <c r="E7454">
        <v>575</v>
      </c>
      <c r="F7454">
        <v>903</v>
      </c>
      <c r="G7454">
        <v>275</v>
      </c>
    </row>
    <row r="7455" spans="1:7">
      <c r="A7455" t="s">
        <v>1876</v>
      </c>
      <c r="B7455" t="s">
        <v>370</v>
      </c>
      <c r="C7455" t="s">
        <v>1908</v>
      </c>
      <c r="D7455">
        <v>96447</v>
      </c>
      <c r="E7455">
        <v>97306</v>
      </c>
      <c r="F7455">
        <v>94779</v>
      </c>
      <c r="G7455">
        <v>89949</v>
      </c>
    </row>
    <row r="7456" spans="1:7">
      <c r="A7456" t="s">
        <v>1876</v>
      </c>
      <c r="B7456" t="s">
        <v>370</v>
      </c>
      <c r="C7456" t="s">
        <v>1909</v>
      </c>
      <c r="D7456">
        <v>5366</v>
      </c>
      <c r="E7456">
        <v>5906</v>
      </c>
      <c r="F7456">
        <v>5489</v>
      </c>
      <c r="G7456">
        <v>4971</v>
      </c>
    </row>
    <row r="7457" spans="1:7">
      <c r="A7457" t="s">
        <v>1876</v>
      </c>
      <c r="B7457" t="s">
        <v>370</v>
      </c>
      <c r="C7457" t="s">
        <v>1910</v>
      </c>
      <c r="D7457">
        <v>1232</v>
      </c>
      <c r="E7457">
        <v>575</v>
      </c>
      <c r="F7457">
        <v>903</v>
      </c>
      <c r="G7457">
        <v>275</v>
      </c>
    </row>
    <row r="7458" spans="1:7">
      <c r="A7458" t="s">
        <v>1876</v>
      </c>
      <c r="B7458" t="s">
        <v>370</v>
      </c>
      <c r="C7458" t="s">
        <v>1911</v>
      </c>
      <c r="D7458">
        <v>36914</v>
      </c>
      <c r="E7458">
        <v>37316</v>
      </c>
      <c r="F7458">
        <v>36421</v>
      </c>
      <c r="G7458">
        <v>35343</v>
      </c>
    </row>
    <row r="7459" spans="1:7">
      <c r="A7459" t="s">
        <v>1876</v>
      </c>
      <c r="B7459" t="s">
        <v>370</v>
      </c>
      <c r="C7459" t="s">
        <v>1912</v>
      </c>
      <c r="D7459">
        <v>4401</v>
      </c>
      <c r="E7459">
        <v>4907</v>
      </c>
      <c r="F7459">
        <v>4558</v>
      </c>
      <c r="G7459">
        <v>4038</v>
      </c>
    </row>
    <row r="7460" spans="1:7">
      <c r="A7460" t="s">
        <v>1876</v>
      </c>
      <c r="B7460" t="s">
        <v>370</v>
      </c>
      <c r="C7460" t="s">
        <v>168</v>
      </c>
      <c r="D7460">
        <v>144360</v>
      </c>
      <c r="E7460">
        <v>146010</v>
      </c>
      <c r="F7460">
        <v>142149</v>
      </c>
      <c r="G7460">
        <v>134576</v>
      </c>
    </row>
    <row r="7461" spans="1:7">
      <c r="A7461" t="s">
        <v>1876</v>
      </c>
      <c r="B7461" t="s">
        <v>370</v>
      </c>
      <c r="C7461" t="s">
        <v>169</v>
      </c>
      <c r="D7461">
        <v>2252</v>
      </c>
      <c r="E7461">
        <v>2360</v>
      </c>
      <c r="F7461">
        <v>2235</v>
      </c>
      <c r="G7461">
        <v>4167</v>
      </c>
    </row>
    <row r="7462" spans="1:7">
      <c r="A7462" t="s">
        <v>1876</v>
      </c>
      <c r="B7462" t="s">
        <v>370</v>
      </c>
      <c r="C7462" t="s">
        <v>1704</v>
      </c>
      <c r="D7462">
        <v>18286</v>
      </c>
      <c r="E7462">
        <v>18460</v>
      </c>
      <c r="F7462">
        <v>17842</v>
      </c>
      <c r="G7462">
        <v>18213</v>
      </c>
    </row>
    <row r="7463" spans="1:7">
      <c r="A7463" t="s">
        <v>1876</v>
      </c>
      <c r="B7463" t="s">
        <v>370</v>
      </c>
      <c r="C7463" t="s">
        <v>170</v>
      </c>
      <c r="D7463">
        <v>9682</v>
      </c>
      <c r="E7463">
        <v>17894</v>
      </c>
      <c r="F7463">
        <v>22565</v>
      </c>
      <c r="G7463">
        <v>17339</v>
      </c>
    </row>
    <row r="7464" spans="1:7">
      <c r="A7464" t="s">
        <v>1876</v>
      </c>
      <c r="B7464" t="s">
        <v>370</v>
      </c>
      <c r="C7464" t="s">
        <v>171</v>
      </c>
      <c r="D7464">
        <v>87266</v>
      </c>
      <c r="E7464">
        <v>69203</v>
      </c>
      <c r="F7464">
        <v>67712</v>
      </c>
      <c r="G7464">
        <v>62199</v>
      </c>
    </row>
    <row r="7465" spans="1:7">
      <c r="A7465" t="s">
        <v>1876</v>
      </c>
      <c r="B7465" t="s">
        <v>370</v>
      </c>
      <c r="C7465" t="s">
        <v>172</v>
      </c>
      <c r="D7465">
        <v>7431</v>
      </c>
      <c r="E7465">
        <v>15534</v>
      </c>
      <c r="F7465">
        <v>20330</v>
      </c>
      <c r="G7465">
        <v>13172</v>
      </c>
    </row>
    <row r="7466" spans="1:7">
      <c r="A7466" t="s">
        <v>1876</v>
      </c>
      <c r="B7466" t="s">
        <v>370</v>
      </c>
      <c r="C7466" t="s">
        <v>1913</v>
      </c>
      <c r="D7466">
        <v>23.2</v>
      </c>
      <c r="E7466">
        <v>31.4</v>
      </c>
      <c r="F7466">
        <v>49.7</v>
      </c>
      <c r="G7466">
        <v>65.2</v>
      </c>
    </row>
    <row r="7467" spans="1:7">
      <c r="A7467" t="s">
        <v>1876</v>
      </c>
      <c r="B7467" t="s">
        <v>370</v>
      </c>
      <c r="C7467" t="s">
        <v>1914</v>
      </c>
      <c r="D7467">
        <v>0.5</v>
      </c>
      <c r="E7467">
        <v>0.7</v>
      </c>
      <c r="F7467">
        <v>1.1000000000000001</v>
      </c>
      <c r="G7467">
        <v>1.4</v>
      </c>
    </row>
    <row r="7468" spans="1:7">
      <c r="A7468" t="s">
        <v>1876</v>
      </c>
      <c r="B7468" t="s">
        <v>370</v>
      </c>
      <c r="C7468" t="s">
        <v>173</v>
      </c>
      <c r="D7468">
        <v>23856</v>
      </c>
      <c r="E7468">
        <v>23840</v>
      </c>
      <c r="F7468">
        <v>24605</v>
      </c>
      <c r="G7468">
        <v>24917</v>
      </c>
    </row>
    <row r="7469" spans="1:7">
      <c r="A7469" t="s">
        <v>1876</v>
      </c>
      <c r="B7469" t="s">
        <v>370</v>
      </c>
      <c r="C7469" t="s">
        <v>174</v>
      </c>
      <c r="D7469">
        <v>455</v>
      </c>
      <c r="E7469">
        <v>772</v>
      </c>
      <c r="F7469">
        <v>469</v>
      </c>
      <c r="G7469">
        <v>434</v>
      </c>
    </row>
    <row r="7470" spans="1:7">
      <c r="A7470" t="s">
        <v>1876</v>
      </c>
      <c r="B7470" t="s">
        <v>370</v>
      </c>
      <c r="C7470" t="s">
        <v>175</v>
      </c>
      <c r="D7470">
        <v>555</v>
      </c>
      <c r="E7470">
        <v>588</v>
      </c>
      <c r="F7470">
        <v>548</v>
      </c>
      <c r="G7470">
        <v>507</v>
      </c>
    </row>
    <row r="7471" spans="1:7">
      <c r="A7471" t="s">
        <v>1876</v>
      </c>
      <c r="B7471" t="s">
        <v>370</v>
      </c>
      <c r="C7471" t="s">
        <v>176</v>
      </c>
      <c r="D7471">
        <v>66977</v>
      </c>
      <c r="E7471">
        <v>68901</v>
      </c>
      <c r="F7471">
        <v>70680</v>
      </c>
      <c r="G7471">
        <v>71992</v>
      </c>
    </row>
    <row r="7472" spans="1:7">
      <c r="A7472" t="s">
        <v>1876</v>
      </c>
      <c r="B7472" t="s">
        <v>370</v>
      </c>
      <c r="C7472" t="s">
        <v>177</v>
      </c>
      <c r="D7472">
        <v>24865</v>
      </c>
      <c r="E7472">
        <v>25200</v>
      </c>
      <c r="F7472">
        <v>25622</v>
      </c>
      <c r="G7472">
        <v>25859</v>
      </c>
    </row>
    <row r="7473" spans="1:7">
      <c r="A7473" t="s">
        <v>1876</v>
      </c>
      <c r="B7473" t="s">
        <v>370</v>
      </c>
      <c r="C7473" t="s">
        <v>178</v>
      </c>
      <c r="D7473">
        <v>0</v>
      </c>
      <c r="E7473">
        <v>0</v>
      </c>
      <c r="F7473">
        <v>0</v>
      </c>
      <c r="G7473">
        <v>0</v>
      </c>
    </row>
    <row r="7474" spans="1:7">
      <c r="A7474" t="s">
        <v>1876</v>
      </c>
      <c r="B7474" t="s">
        <v>370</v>
      </c>
      <c r="C7474" t="s">
        <v>179</v>
      </c>
      <c r="D7474">
        <v>0</v>
      </c>
      <c r="E7474">
        <v>0</v>
      </c>
      <c r="F7474">
        <v>0</v>
      </c>
      <c r="G7474">
        <v>0</v>
      </c>
    </row>
    <row r="7475" spans="1:7">
      <c r="A7475" t="s">
        <v>1876</v>
      </c>
      <c r="B7475" t="s">
        <v>370</v>
      </c>
      <c r="C7475" t="s">
        <v>180</v>
      </c>
      <c r="D7475">
        <v>78</v>
      </c>
      <c r="E7475">
        <v>68</v>
      </c>
      <c r="F7475">
        <v>62</v>
      </c>
      <c r="G7475">
        <v>52</v>
      </c>
    </row>
    <row r="7476" spans="1:7">
      <c r="A7476" t="s">
        <v>1876</v>
      </c>
      <c r="B7476" t="s">
        <v>370</v>
      </c>
      <c r="C7476" t="s">
        <v>181</v>
      </c>
      <c r="D7476">
        <v>75382</v>
      </c>
      <c r="E7476">
        <v>76936</v>
      </c>
      <c r="F7476">
        <v>77158</v>
      </c>
      <c r="G7476">
        <v>76662</v>
      </c>
    </row>
    <row r="7477" spans="1:7">
      <c r="A7477" t="s">
        <v>1876</v>
      </c>
      <c r="B7477" t="s">
        <v>370</v>
      </c>
      <c r="C7477" t="s">
        <v>182</v>
      </c>
      <c r="D7477">
        <v>72427</v>
      </c>
      <c r="E7477">
        <v>70453</v>
      </c>
      <c r="F7477">
        <v>70153</v>
      </c>
      <c r="G7477">
        <v>68293</v>
      </c>
    </row>
    <row r="7478" spans="1:7">
      <c r="A7478" t="s">
        <v>1876</v>
      </c>
      <c r="B7478" t="s">
        <v>370</v>
      </c>
      <c r="C7478" t="s">
        <v>183</v>
      </c>
      <c r="D7478">
        <v>79316</v>
      </c>
      <c r="E7478">
        <v>79903</v>
      </c>
      <c r="F7478">
        <v>78555</v>
      </c>
      <c r="G7478">
        <v>75278</v>
      </c>
    </row>
    <row r="7479" spans="1:7">
      <c r="A7479" t="s">
        <v>1876</v>
      </c>
      <c r="B7479" t="s">
        <v>370</v>
      </c>
      <c r="C7479" t="s">
        <v>184</v>
      </c>
      <c r="D7479">
        <v>227202</v>
      </c>
      <c r="E7479">
        <v>227360</v>
      </c>
      <c r="F7479">
        <v>225928</v>
      </c>
      <c r="G7479">
        <v>220286</v>
      </c>
    </row>
    <row r="7480" spans="1:7">
      <c r="A7480" t="s">
        <v>1876</v>
      </c>
      <c r="B7480" t="s">
        <v>370</v>
      </c>
      <c r="C7480" t="s">
        <v>185</v>
      </c>
      <c r="D7480">
        <v>227202</v>
      </c>
      <c r="E7480">
        <v>227360</v>
      </c>
      <c r="F7480">
        <v>225928</v>
      </c>
      <c r="G7480">
        <v>220286</v>
      </c>
    </row>
    <row r="7481" spans="1:7">
      <c r="A7481" t="s">
        <v>1876</v>
      </c>
      <c r="B7481" t="s">
        <v>370</v>
      </c>
      <c r="C7481" t="s">
        <v>1915</v>
      </c>
      <c r="D7481">
        <v>42</v>
      </c>
      <c r="E7481">
        <v>68</v>
      </c>
      <c r="F7481">
        <v>161</v>
      </c>
      <c r="G7481">
        <v>218</v>
      </c>
    </row>
    <row r="7482" spans="1:7">
      <c r="A7482" t="s">
        <v>1876</v>
      </c>
      <c r="B7482" t="s">
        <v>370</v>
      </c>
      <c r="C7482" t="s">
        <v>1916</v>
      </c>
      <c r="D7482">
        <v>0</v>
      </c>
      <c r="E7482">
        <v>0</v>
      </c>
      <c r="F7482">
        <v>0</v>
      </c>
      <c r="G7482">
        <v>0</v>
      </c>
    </row>
    <row r="7483" spans="1:7">
      <c r="A7483" t="s">
        <v>1876</v>
      </c>
      <c r="B7483" t="s">
        <v>370</v>
      </c>
      <c r="C7483" t="s">
        <v>1917</v>
      </c>
      <c r="D7483">
        <v>137</v>
      </c>
      <c r="E7483">
        <v>75</v>
      </c>
      <c r="F7483">
        <v>73</v>
      </c>
      <c r="G7483">
        <v>70</v>
      </c>
    </row>
    <row r="7484" spans="1:7">
      <c r="A7484" t="s">
        <v>1876</v>
      </c>
      <c r="B7484" t="s">
        <v>370</v>
      </c>
      <c r="C7484" t="s">
        <v>1918</v>
      </c>
      <c r="D7484">
        <v>1216</v>
      </c>
      <c r="E7484">
        <v>1480</v>
      </c>
      <c r="F7484">
        <v>1580</v>
      </c>
      <c r="G7484">
        <v>1945</v>
      </c>
    </row>
    <row r="7485" spans="1:7">
      <c r="A7485" t="s">
        <v>1876</v>
      </c>
      <c r="B7485" t="s">
        <v>370</v>
      </c>
      <c r="C7485" t="s">
        <v>1919</v>
      </c>
      <c r="D7485">
        <v>2.33</v>
      </c>
      <c r="E7485">
        <v>2.4500000000000002</v>
      </c>
      <c r="F7485">
        <v>2.2799999999999998</v>
      </c>
      <c r="G7485">
        <v>2.4</v>
      </c>
    </row>
    <row r="7486" spans="1:7">
      <c r="A7486" t="s">
        <v>1876</v>
      </c>
      <c r="B7486" t="s">
        <v>370</v>
      </c>
      <c r="C7486" t="s">
        <v>1920</v>
      </c>
      <c r="D7486">
        <v>1626</v>
      </c>
      <c r="E7486">
        <v>1898</v>
      </c>
      <c r="F7486">
        <v>2171</v>
      </c>
      <c r="G7486">
        <v>2759</v>
      </c>
    </row>
    <row r="7487" spans="1:7">
      <c r="A7487" t="s">
        <v>1876</v>
      </c>
      <c r="B7487" t="s">
        <v>370</v>
      </c>
      <c r="C7487" t="s">
        <v>1921</v>
      </c>
      <c r="D7487">
        <v>618</v>
      </c>
      <c r="E7487">
        <v>666</v>
      </c>
      <c r="F7487">
        <v>806</v>
      </c>
      <c r="G7487">
        <v>977</v>
      </c>
    </row>
    <row r="7488" spans="1:7">
      <c r="A7488" t="s">
        <v>1876</v>
      </c>
      <c r="B7488" t="s">
        <v>370</v>
      </c>
      <c r="C7488" t="s">
        <v>1922</v>
      </c>
      <c r="D7488">
        <v>273</v>
      </c>
      <c r="E7488">
        <v>343</v>
      </c>
      <c r="F7488">
        <v>518</v>
      </c>
      <c r="G7488">
        <v>744</v>
      </c>
    </row>
    <row r="7489" spans="1:7">
      <c r="A7489" t="s">
        <v>1876</v>
      </c>
      <c r="B7489" t="s">
        <v>370</v>
      </c>
      <c r="C7489" t="s">
        <v>1923</v>
      </c>
      <c r="D7489">
        <v>3.33</v>
      </c>
      <c r="E7489">
        <v>3.57</v>
      </c>
      <c r="F7489">
        <v>3.2</v>
      </c>
      <c r="G7489">
        <v>3.17</v>
      </c>
    </row>
    <row r="7490" spans="1:7">
      <c r="A7490" t="s">
        <v>1876</v>
      </c>
      <c r="B7490" t="s">
        <v>370</v>
      </c>
      <c r="C7490" t="s">
        <v>1924</v>
      </c>
      <c r="D7490">
        <v>61</v>
      </c>
      <c r="E7490">
        <v>24</v>
      </c>
      <c r="F7490">
        <v>7</v>
      </c>
      <c r="G7490">
        <v>6</v>
      </c>
    </row>
    <row r="7491" spans="1:7">
      <c r="A7491" t="s">
        <v>1876</v>
      </c>
      <c r="B7491" t="s">
        <v>370</v>
      </c>
      <c r="C7491" t="s">
        <v>1925</v>
      </c>
      <c r="D7491">
        <v>153</v>
      </c>
      <c r="E7491">
        <v>120</v>
      </c>
      <c r="F7491">
        <v>125</v>
      </c>
      <c r="G7491">
        <v>114</v>
      </c>
    </row>
    <row r="7492" spans="1:7">
      <c r="A7492" t="s">
        <v>1876</v>
      </c>
      <c r="B7492" t="s">
        <v>370</v>
      </c>
      <c r="C7492" t="s">
        <v>1926</v>
      </c>
      <c r="D7492">
        <v>404</v>
      </c>
      <c r="E7492">
        <v>522</v>
      </c>
      <c r="F7492">
        <v>674</v>
      </c>
      <c r="G7492">
        <v>857</v>
      </c>
    </row>
    <row r="7493" spans="1:7">
      <c r="A7493" t="s">
        <v>1876</v>
      </c>
      <c r="B7493" t="s">
        <v>370</v>
      </c>
      <c r="C7493" t="s">
        <v>1927</v>
      </c>
      <c r="D7493">
        <v>14</v>
      </c>
      <c r="E7493">
        <v>13</v>
      </c>
      <c r="F7493">
        <v>9</v>
      </c>
      <c r="G7493">
        <v>10</v>
      </c>
    </row>
    <row r="7494" spans="1:7">
      <c r="A7494" t="s">
        <v>1876</v>
      </c>
      <c r="B7494" t="s">
        <v>370</v>
      </c>
      <c r="C7494" t="s">
        <v>1928</v>
      </c>
      <c r="D7494">
        <v>579</v>
      </c>
      <c r="E7494">
        <v>625</v>
      </c>
      <c r="F7494">
        <v>764</v>
      </c>
      <c r="G7494">
        <v>931</v>
      </c>
    </row>
    <row r="7495" spans="1:7">
      <c r="A7495" t="s">
        <v>1876</v>
      </c>
      <c r="B7495" t="s">
        <v>370</v>
      </c>
      <c r="C7495" t="s">
        <v>1929</v>
      </c>
      <c r="D7495">
        <v>25</v>
      </c>
      <c r="E7495">
        <v>28</v>
      </c>
      <c r="F7495">
        <v>33</v>
      </c>
      <c r="G7495">
        <v>36</v>
      </c>
    </row>
    <row r="7496" spans="1:7">
      <c r="A7496" t="s">
        <v>1876</v>
      </c>
      <c r="B7496" t="s">
        <v>370</v>
      </c>
      <c r="C7496" t="s">
        <v>186</v>
      </c>
      <c r="D7496">
        <v>0</v>
      </c>
      <c r="E7496">
        <v>0</v>
      </c>
      <c r="F7496">
        <v>0</v>
      </c>
      <c r="G7496">
        <v>0</v>
      </c>
    </row>
    <row r="7497" spans="1:7">
      <c r="A7497" t="s">
        <v>1876</v>
      </c>
      <c r="B7497" t="s">
        <v>370</v>
      </c>
      <c r="C7497" t="s">
        <v>187</v>
      </c>
      <c r="D7497">
        <v>0</v>
      </c>
      <c r="E7497">
        <v>0</v>
      </c>
      <c r="F7497">
        <v>0</v>
      </c>
      <c r="G7497">
        <v>0</v>
      </c>
    </row>
    <row r="7498" spans="1:7">
      <c r="A7498" t="s">
        <v>1876</v>
      </c>
      <c r="B7498" t="s">
        <v>370</v>
      </c>
      <c r="C7498" t="s">
        <v>1705</v>
      </c>
      <c r="D7498">
        <v>10281</v>
      </c>
      <c r="E7498">
        <v>10280</v>
      </c>
      <c r="F7498">
        <v>9414</v>
      </c>
      <c r="G7498">
        <v>9457</v>
      </c>
    </row>
    <row r="7499" spans="1:7">
      <c r="A7499" t="s">
        <v>1876</v>
      </c>
      <c r="B7499" t="s">
        <v>370</v>
      </c>
      <c r="C7499" t="s">
        <v>188</v>
      </c>
      <c r="D7499">
        <v>1264688</v>
      </c>
      <c r="E7499">
        <v>1288482</v>
      </c>
      <c r="F7499">
        <v>1251196</v>
      </c>
      <c r="G7499">
        <v>1222295</v>
      </c>
    </row>
    <row r="7500" spans="1:7">
      <c r="A7500" t="s">
        <v>1876</v>
      </c>
      <c r="B7500" t="s">
        <v>370</v>
      </c>
      <c r="C7500" t="s">
        <v>189</v>
      </c>
      <c r="D7500">
        <v>0</v>
      </c>
      <c r="E7500">
        <v>0</v>
      </c>
      <c r="F7500">
        <v>0</v>
      </c>
      <c r="G7500">
        <v>0</v>
      </c>
    </row>
    <row r="7501" spans="1:7">
      <c r="A7501" t="s">
        <v>1876</v>
      </c>
      <c r="B7501" t="s">
        <v>370</v>
      </c>
      <c r="C7501" t="s">
        <v>190</v>
      </c>
      <c r="D7501">
        <v>0</v>
      </c>
      <c r="E7501">
        <v>0</v>
      </c>
      <c r="F7501">
        <v>0</v>
      </c>
      <c r="G7501">
        <v>0</v>
      </c>
    </row>
    <row r="7502" spans="1:7">
      <c r="A7502" t="s">
        <v>1876</v>
      </c>
      <c r="B7502" t="s">
        <v>370</v>
      </c>
      <c r="C7502" t="s">
        <v>191</v>
      </c>
      <c r="D7502">
        <v>0</v>
      </c>
      <c r="E7502">
        <v>0</v>
      </c>
      <c r="F7502">
        <v>0</v>
      </c>
      <c r="G7502">
        <v>0</v>
      </c>
    </row>
    <row r="7503" spans="1:7">
      <c r="A7503" t="s">
        <v>1876</v>
      </c>
      <c r="B7503" t="s">
        <v>370</v>
      </c>
      <c r="C7503" t="s">
        <v>192</v>
      </c>
      <c r="D7503">
        <v>416141.9</v>
      </c>
      <c r="E7503">
        <v>457393.8</v>
      </c>
      <c r="F7503">
        <v>483222</v>
      </c>
      <c r="G7503">
        <v>507687.8</v>
      </c>
    </row>
    <row r="7504" spans="1:7">
      <c r="A7504" t="s">
        <v>1876</v>
      </c>
      <c r="B7504" t="s">
        <v>370</v>
      </c>
      <c r="C7504" t="s">
        <v>193</v>
      </c>
      <c r="D7504">
        <v>377975.8</v>
      </c>
      <c r="E7504">
        <v>385921.8</v>
      </c>
      <c r="F7504">
        <v>389864.5</v>
      </c>
      <c r="G7504">
        <v>399253.3</v>
      </c>
    </row>
    <row r="7505" spans="1:7">
      <c r="A7505" t="s">
        <v>1876</v>
      </c>
      <c r="B7505" t="s">
        <v>370</v>
      </c>
      <c r="C7505" t="s">
        <v>1930</v>
      </c>
      <c r="D7505">
        <v>0</v>
      </c>
      <c r="E7505">
        <v>0</v>
      </c>
      <c r="F7505">
        <v>0</v>
      </c>
      <c r="G7505">
        <v>0</v>
      </c>
    </row>
    <row r="7506" spans="1:7">
      <c r="A7506" t="s">
        <v>1876</v>
      </c>
      <c r="B7506" t="s">
        <v>370</v>
      </c>
      <c r="C7506" t="s">
        <v>194</v>
      </c>
      <c r="D7506">
        <v>0</v>
      </c>
      <c r="E7506">
        <v>0</v>
      </c>
      <c r="F7506">
        <v>0</v>
      </c>
      <c r="G7506">
        <v>0</v>
      </c>
    </row>
    <row r="7507" spans="1:7">
      <c r="A7507" t="s">
        <v>1876</v>
      </c>
      <c r="B7507" t="s">
        <v>370</v>
      </c>
      <c r="C7507" t="s">
        <v>195</v>
      </c>
      <c r="D7507">
        <v>0</v>
      </c>
      <c r="E7507">
        <v>0</v>
      </c>
      <c r="F7507">
        <v>0</v>
      </c>
      <c r="G7507">
        <v>0</v>
      </c>
    </row>
    <row r="7508" spans="1:7">
      <c r="A7508" t="s">
        <v>1876</v>
      </c>
      <c r="B7508" t="s">
        <v>370</v>
      </c>
      <c r="C7508" t="s">
        <v>1706</v>
      </c>
      <c r="D7508">
        <v>0</v>
      </c>
      <c r="E7508">
        <v>0</v>
      </c>
      <c r="F7508">
        <v>0</v>
      </c>
      <c r="G7508">
        <v>0</v>
      </c>
    </row>
    <row r="7509" spans="1:7">
      <c r="A7509" t="s">
        <v>1876</v>
      </c>
      <c r="B7509" t="s">
        <v>370</v>
      </c>
      <c r="C7509" t="s">
        <v>196</v>
      </c>
      <c r="D7509">
        <v>0</v>
      </c>
      <c r="E7509">
        <v>0</v>
      </c>
      <c r="F7509">
        <v>0</v>
      </c>
      <c r="G7509">
        <v>0</v>
      </c>
    </row>
    <row r="7510" spans="1:7">
      <c r="A7510" t="s">
        <v>1876</v>
      </c>
      <c r="B7510" t="s">
        <v>370</v>
      </c>
      <c r="C7510" t="s">
        <v>197</v>
      </c>
      <c r="D7510">
        <v>1075</v>
      </c>
      <c r="E7510">
        <v>1075</v>
      </c>
      <c r="F7510">
        <v>1075</v>
      </c>
      <c r="G7510">
        <v>1075</v>
      </c>
    </row>
    <row r="7511" spans="1:7">
      <c r="A7511" t="s">
        <v>1876</v>
      </c>
      <c r="B7511" t="s">
        <v>370</v>
      </c>
      <c r="C7511" t="s">
        <v>198</v>
      </c>
      <c r="D7511">
        <v>1075</v>
      </c>
      <c r="E7511">
        <v>1075</v>
      </c>
      <c r="F7511">
        <v>1075</v>
      </c>
      <c r="G7511">
        <v>1075</v>
      </c>
    </row>
    <row r="7512" spans="1:7">
      <c r="A7512" t="s">
        <v>1876</v>
      </c>
      <c r="B7512" t="s">
        <v>370</v>
      </c>
      <c r="C7512" t="s">
        <v>199</v>
      </c>
      <c r="D7512">
        <v>1075</v>
      </c>
      <c r="E7512">
        <v>1075</v>
      </c>
      <c r="F7512">
        <v>1075</v>
      </c>
      <c r="G7512">
        <v>1075</v>
      </c>
    </row>
    <row r="7513" spans="1:7">
      <c r="A7513" t="s">
        <v>1876</v>
      </c>
      <c r="B7513" t="s">
        <v>370</v>
      </c>
      <c r="C7513" t="s">
        <v>200</v>
      </c>
      <c r="D7513">
        <v>75</v>
      </c>
      <c r="E7513">
        <v>406</v>
      </c>
      <c r="F7513">
        <v>425</v>
      </c>
      <c r="G7513">
        <v>568</v>
      </c>
    </row>
    <row r="7514" spans="1:7">
      <c r="A7514" t="s">
        <v>1876</v>
      </c>
      <c r="B7514" t="s">
        <v>370</v>
      </c>
      <c r="C7514" t="s">
        <v>201</v>
      </c>
      <c r="D7514">
        <v>5717</v>
      </c>
      <c r="E7514">
        <v>6449</v>
      </c>
      <c r="F7514">
        <v>5061</v>
      </c>
      <c r="G7514">
        <v>4705</v>
      </c>
    </row>
    <row r="7515" spans="1:7">
      <c r="A7515" t="s">
        <v>1876</v>
      </c>
      <c r="B7515" t="s">
        <v>370</v>
      </c>
      <c r="C7515" t="s">
        <v>202</v>
      </c>
      <c r="D7515">
        <v>11717</v>
      </c>
      <c r="E7515">
        <v>9255</v>
      </c>
      <c r="F7515">
        <v>8940</v>
      </c>
      <c r="G7515">
        <v>8455</v>
      </c>
    </row>
    <row r="7516" spans="1:7">
      <c r="A7516" t="s">
        <v>1876</v>
      </c>
      <c r="B7516" t="s">
        <v>370</v>
      </c>
      <c r="C7516" t="s">
        <v>203</v>
      </c>
      <c r="D7516">
        <v>26792</v>
      </c>
      <c r="E7516">
        <v>29751</v>
      </c>
      <c r="F7516">
        <v>26732</v>
      </c>
      <c r="G7516">
        <v>25243</v>
      </c>
    </row>
    <row r="7517" spans="1:7">
      <c r="A7517" t="s">
        <v>1876</v>
      </c>
      <c r="B7517" t="s">
        <v>370</v>
      </c>
      <c r="C7517" t="s">
        <v>204</v>
      </c>
      <c r="D7517">
        <v>44302</v>
      </c>
      <c r="E7517">
        <v>45860</v>
      </c>
      <c r="F7517">
        <v>41159</v>
      </c>
      <c r="G7517">
        <v>38971</v>
      </c>
    </row>
    <row r="7518" spans="1:7">
      <c r="A7518" t="s">
        <v>1876</v>
      </c>
      <c r="B7518" t="s">
        <v>370</v>
      </c>
      <c r="C7518" t="s">
        <v>205</v>
      </c>
      <c r="D7518">
        <v>44302</v>
      </c>
      <c r="E7518">
        <v>45860</v>
      </c>
      <c r="F7518">
        <v>41159</v>
      </c>
      <c r="G7518">
        <v>38971</v>
      </c>
    </row>
    <row r="7519" spans="1:7">
      <c r="A7519" t="s">
        <v>1876</v>
      </c>
      <c r="B7519" t="s">
        <v>370</v>
      </c>
      <c r="C7519" t="s">
        <v>1931</v>
      </c>
      <c r="D7519">
        <v>0</v>
      </c>
      <c r="E7519">
        <v>0</v>
      </c>
      <c r="F7519">
        <v>0</v>
      </c>
      <c r="G7519">
        <v>0</v>
      </c>
    </row>
    <row r="7520" spans="1:7">
      <c r="A7520" t="s">
        <v>1876</v>
      </c>
      <c r="B7520" t="s">
        <v>370</v>
      </c>
      <c r="C7520" t="s">
        <v>1707</v>
      </c>
      <c r="D7520">
        <v>0</v>
      </c>
      <c r="E7520">
        <v>0</v>
      </c>
      <c r="F7520">
        <v>0</v>
      </c>
      <c r="G7520">
        <v>0</v>
      </c>
    </row>
    <row r="7521" spans="1:7">
      <c r="A7521" t="s">
        <v>1876</v>
      </c>
      <c r="B7521" t="s">
        <v>370</v>
      </c>
      <c r="C7521" t="s">
        <v>1932</v>
      </c>
      <c r="D7521">
        <v>36.1</v>
      </c>
      <c r="E7521">
        <v>51.2</v>
      </c>
      <c r="F7521">
        <v>40.4</v>
      </c>
      <c r="G7521">
        <v>46.6</v>
      </c>
    </row>
    <row r="7522" spans="1:7">
      <c r="A7522" t="s">
        <v>1876</v>
      </c>
      <c r="B7522" t="s">
        <v>370</v>
      </c>
      <c r="C7522" t="s">
        <v>1708</v>
      </c>
      <c r="D7522">
        <v>215</v>
      </c>
      <c r="E7522">
        <v>212</v>
      </c>
      <c r="F7522">
        <v>212</v>
      </c>
      <c r="G7522">
        <v>212</v>
      </c>
    </row>
    <row r="7523" spans="1:7">
      <c r="A7523" t="s">
        <v>1876</v>
      </c>
      <c r="B7523" t="s">
        <v>370</v>
      </c>
      <c r="C7523" t="s">
        <v>206</v>
      </c>
      <c r="D7523">
        <v>0</v>
      </c>
      <c r="E7523">
        <v>0</v>
      </c>
      <c r="F7523">
        <v>0</v>
      </c>
      <c r="G7523">
        <v>0</v>
      </c>
    </row>
    <row r="7524" spans="1:7">
      <c r="A7524" t="s">
        <v>1876</v>
      </c>
      <c r="B7524" t="s">
        <v>370</v>
      </c>
      <c r="C7524" t="s">
        <v>207</v>
      </c>
      <c r="D7524">
        <v>2144</v>
      </c>
      <c r="E7524">
        <v>2994</v>
      </c>
      <c r="F7524">
        <v>2364</v>
      </c>
      <c r="G7524">
        <v>2746</v>
      </c>
    </row>
    <row r="7525" spans="1:7">
      <c r="A7525" t="s">
        <v>1876</v>
      </c>
      <c r="B7525" t="s">
        <v>370</v>
      </c>
      <c r="C7525" t="s">
        <v>208</v>
      </c>
      <c r="D7525">
        <v>174</v>
      </c>
      <c r="E7525">
        <v>249</v>
      </c>
      <c r="F7525">
        <v>196</v>
      </c>
      <c r="G7525">
        <v>215</v>
      </c>
    </row>
    <row r="7526" spans="1:7">
      <c r="A7526" t="s">
        <v>1876</v>
      </c>
      <c r="B7526" t="s">
        <v>370</v>
      </c>
      <c r="C7526" t="s">
        <v>209</v>
      </c>
      <c r="D7526">
        <v>2317</v>
      </c>
      <c r="E7526">
        <v>3243</v>
      </c>
      <c r="F7526">
        <v>2560</v>
      </c>
      <c r="G7526">
        <v>2961</v>
      </c>
    </row>
    <row r="7527" spans="1:7">
      <c r="A7527" t="s">
        <v>1876</v>
      </c>
      <c r="B7527" t="s">
        <v>370</v>
      </c>
      <c r="C7527" t="s">
        <v>210</v>
      </c>
      <c r="D7527">
        <v>174</v>
      </c>
      <c r="E7527">
        <v>249</v>
      </c>
      <c r="F7527">
        <v>196</v>
      </c>
      <c r="G7527">
        <v>215</v>
      </c>
    </row>
    <row r="7528" spans="1:7">
      <c r="A7528" t="s">
        <v>1876</v>
      </c>
      <c r="B7528" t="s">
        <v>370</v>
      </c>
      <c r="C7528" t="s">
        <v>211</v>
      </c>
      <c r="D7528">
        <v>0</v>
      </c>
      <c r="E7528">
        <v>0</v>
      </c>
      <c r="F7528">
        <v>0</v>
      </c>
      <c r="G7528">
        <v>0</v>
      </c>
    </row>
    <row r="7529" spans="1:7">
      <c r="A7529" t="s">
        <v>1876</v>
      </c>
      <c r="B7529" t="s">
        <v>370</v>
      </c>
      <c r="C7529" t="s">
        <v>212</v>
      </c>
      <c r="D7529">
        <v>0</v>
      </c>
      <c r="E7529">
        <v>0</v>
      </c>
      <c r="F7529">
        <v>0</v>
      </c>
      <c r="G7529">
        <v>0</v>
      </c>
    </row>
    <row r="7530" spans="1:7">
      <c r="A7530" t="s">
        <v>1876</v>
      </c>
      <c r="B7530" t="s">
        <v>370</v>
      </c>
      <c r="C7530" t="s">
        <v>213</v>
      </c>
      <c r="D7530">
        <v>0</v>
      </c>
      <c r="E7530">
        <v>0</v>
      </c>
      <c r="F7530">
        <v>0</v>
      </c>
      <c r="G7530">
        <v>0</v>
      </c>
    </row>
    <row r="7531" spans="1:7">
      <c r="A7531" t="s">
        <v>1876</v>
      </c>
      <c r="B7531" t="s">
        <v>370</v>
      </c>
      <c r="C7531" t="s">
        <v>214</v>
      </c>
      <c r="D7531">
        <v>0</v>
      </c>
      <c r="E7531">
        <v>0</v>
      </c>
      <c r="F7531">
        <v>0</v>
      </c>
      <c r="G7531">
        <v>0</v>
      </c>
    </row>
    <row r="7532" spans="1:7">
      <c r="A7532" t="s">
        <v>1876</v>
      </c>
      <c r="B7532" t="s">
        <v>370</v>
      </c>
      <c r="C7532" t="s">
        <v>215</v>
      </c>
      <c r="D7532">
        <v>36745</v>
      </c>
      <c r="E7532">
        <v>41607</v>
      </c>
      <c r="F7532">
        <v>47786</v>
      </c>
      <c r="G7532">
        <v>47825</v>
      </c>
    </row>
    <row r="7533" spans="1:7">
      <c r="A7533" t="s">
        <v>1876</v>
      </c>
      <c r="B7533" t="s">
        <v>370</v>
      </c>
      <c r="C7533" t="s">
        <v>216</v>
      </c>
      <c r="D7533">
        <v>36745</v>
      </c>
      <c r="E7533">
        <v>41607</v>
      </c>
      <c r="F7533">
        <v>47786</v>
      </c>
      <c r="G7533">
        <v>47825</v>
      </c>
    </row>
    <row r="7534" spans="1:7">
      <c r="A7534" t="s">
        <v>1876</v>
      </c>
      <c r="B7534" t="s">
        <v>370</v>
      </c>
      <c r="C7534" t="s">
        <v>217</v>
      </c>
      <c r="D7534">
        <v>36745</v>
      </c>
      <c r="E7534">
        <v>41607</v>
      </c>
      <c r="F7534">
        <v>47786</v>
      </c>
      <c r="G7534">
        <v>47825</v>
      </c>
    </row>
    <row r="7535" spans="1:7">
      <c r="A7535" t="s">
        <v>1876</v>
      </c>
      <c r="B7535" t="s">
        <v>370</v>
      </c>
      <c r="C7535" t="s">
        <v>218</v>
      </c>
      <c r="D7535">
        <v>9</v>
      </c>
      <c r="E7535">
        <v>9</v>
      </c>
      <c r="F7535">
        <v>15</v>
      </c>
      <c r="G7535">
        <v>11</v>
      </c>
    </row>
    <row r="7536" spans="1:7">
      <c r="A7536" t="s">
        <v>1876</v>
      </c>
      <c r="B7536" t="s">
        <v>370</v>
      </c>
      <c r="C7536" t="s">
        <v>219</v>
      </c>
      <c r="D7536">
        <v>15</v>
      </c>
      <c r="E7536">
        <v>12</v>
      </c>
      <c r="F7536">
        <v>46</v>
      </c>
      <c r="G7536">
        <v>25</v>
      </c>
    </row>
    <row r="7537" spans="1:7">
      <c r="A7537" t="s">
        <v>1876</v>
      </c>
      <c r="B7537" t="s">
        <v>370</v>
      </c>
      <c r="C7537" t="s">
        <v>220</v>
      </c>
      <c r="D7537">
        <v>55</v>
      </c>
      <c r="E7537">
        <v>55</v>
      </c>
      <c r="F7537">
        <v>94</v>
      </c>
      <c r="G7537">
        <v>66</v>
      </c>
    </row>
    <row r="7538" spans="1:7">
      <c r="A7538" t="s">
        <v>1876</v>
      </c>
      <c r="B7538" t="s">
        <v>370</v>
      </c>
      <c r="C7538" t="s">
        <v>221</v>
      </c>
      <c r="D7538">
        <v>80</v>
      </c>
      <c r="E7538">
        <v>75</v>
      </c>
      <c r="F7538">
        <v>155</v>
      </c>
      <c r="G7538">
        <v>101</v>
      </c>
    </row>
    <row r="7539" spans="1:7">
      <c r="A7539" t="s">
        <v>1876</v>
      </c>
      <c r="B7539" t="s">
        <v>370</v>
      </c>
      <c r="C7539" t="s">
        <v>222</v>
      </c>
      <c r="D7539">
        <v>80</v>
      </c>
      <c r="E7539">
        <v>75</v>
      </c>
      <c r="F7539">
        <v>155</v>
      </c>
      <c r="G7539">
        <v>101</v>
      </c>
    </row>
    <row r="7540" spans="1:7">
      <c r="A7540" t="s">
        <v>1876</v>
      </c>
      <c r="B7540" t="s">
        <v>370</v>
      </c>
      <c r="C7540" t="s">
        <v>1933</v>
      </c>
      <c r="D7540">
        <v>4866.8</v>
      </c>
      <c r="E7540">
        <v>4691.1000000000004</v>
      </c>
      <c r="F7540">
        <v>4719.8</v>
      </c>
      <c r="G7540">
        <v>4781.7</v>
      </c>
    </row>
    <row r="7541" spans="1:7">
      <c r="A7541" t="s">
        <v>1876</v>
      </c>
      <c r="B7541" t="s">
        <v>370</v>
      </c>
      <c r="C7541" t="s">
        <v>223</v>
      </c>
      <c r="D7541">
        <v>116</v>
      </c>
      <c r="E7541">
        <v>96</v>
      </c>
      <c r="F7541">
        <v>80</v>
      </c>
      <c r="G7541">
        <v>69</v>
      </c>
    </row>
    <row r="7542" spans="1:7">
      <c r="A7542" t="s">
        <v>1876</v>
      </c>
      <c r="B7542" t="s">
        <v>370</v>
      </c>
      <c r="C7542" t="s">
        <v>224</v>
      </c>
      <c r="D7542">
        <v>113082</v>
      </c>
      <c r="E7542">
        <v>108346</v>
      </c>
      <c r="F7542">
        <v>100557</v>
      </c>
      <c r="G7542">
        <v>101121</v>
      </c>
    </row>
    <row r="7543" spans="1:7">
      <c r="A7543" t="s">
        <v>1876</v>
      </c>
      <c r="B7543" t="s">
        <v>370</v>
      </c>
      <c r="C7543" t="s">
        <v>225</v>
      </c>
      <c r="D7543">
        <v>108649</v>
      </c>
      <c r="E7543">
        <v>99216</v>
      </c>
      <c r="F7543">
        <v>91427</v>
      </c>
      <c r="G7543">
        <v>90081</v>
      </c>
    </row>
    <row r="7544" spans="1:7">
      <c r="A7544" t="s">
        <v>1876</v>
      </c>
      <c r="B7544" t="s">
        <v>370</v>
      </c>
      <c r="C7544" t="s">
        <v>226</v>
      </c>
      <c r="D7544">
        <v>118982</v>
      </c>
      <c r="E7544">
        <v>112525</v>
      </c>
      <c r="F7544">
        <v>102378</v>
      </c>
      <c r="G7544">
        <v>99295</v>
      </c>
    </row>
    <row r="7545" spans="1:7">
      <c r="A7545" t="s">
        <v>1876</v>
      </c>
      <c r="B7545" t="s">
        <v>370</v>
      </c>
      <c r="C7545" t="s">
        <v>227</v>
      </c>
      <c r="D7545">
        <v>340829</v>
      </c>
      <c r="E7545">
        <v>320183</v>
      </c>
      <c r="F7545">
        <v>294443</v>
      </c>
      <c r="G7545">
        <v>290566</v>
      </c>
    </row>
    <row r="7546" spans="1:7">
      <c r="A7546" t="s">
        <v>1876</v>
      </c>
      <c r="B7546" t="s">
        <v>370</v>
      </c>
      <c r="C7546" t="s">
        <v>228</v>
      </c>
      <c r="D7546">
        <v>340829</v>
      </c>
      <c r="E7546">
        <v>320183</v>
      </c>
      <c r="F7546">
        <v>294443</v>
      </c>
      <c r="G7546">
        <v>290566</v>
      </c>
    </row>
    <row r="7547" spans="1:7">
      <c r="A7547" t="s">
        <v>1876</v>
      </c>
      <c r="B7547" t="s">
        <v>370</v>
      </c>
      <c r="C7547" t="s">
        <v>229</v>
      </c>
      <c r="D7547">
        <v>2031</v>
      </c>
      <c r="E7547">
        <v>2143</v>
      </c>
      <c r="F7547">
        <v>1560</v>
      </c>
      <c r="G7547">
        <v>1490</v>
      </c>
    </row>
    <row r="7548" spans="1:7">
      <c r="A7548" t="s">
        <v>1876</v>
      </c>
      <c r="B7548" t="s">
        <v>370</v>
      </c>
      <c r="C7548" t="s">
        <v>230</v>
      </c>
      <c r="D7548">
        <v>1931</v>
      </c>
      <c r="E7548">
        <v>2045</v>
      </c>
      <c r="F7548">
        <v>1520</v>
      </c>
      <c r="G7548">
        <v>1433</v>
      </c>
    </row>
    <row r="7549" spans="1:7">
      <c r="A7549" t="s">
        <v>1876</v>
      </c>
      <c r="B7549" t="s">
        <v>370</v>
      </c>
      <c r="C7549" t="s">
        <v>231</v>
      </c>
      <c r="D7549">
        <v>3962</v>
      </c>
      <c r="E7549">
        <v>4187</v>
      </c>
      <c r="F7549">
        <v>3080</v>
      </c>
      <c r="G7549">
        <v>2923</v>
      </c>
    </row>
    <row r="7550" spans="1:7">
      <c r="A7550" t="s">
        <v>1876</v>
      </c>
      <c r="B7550" t="s">
        <v>370</v>
      </c>
      <c r="C7550" t="s">
        <v>232</v>
      </c>
      <c r="D7550">
        <v>3962</v>
      </c>
      <c r="E7550">
        <v>4187</v>
      </c>
      <c r="F7550">
        <v>3080</v>
      </c>
      <c r="G7550">
        <v>2923</v>
      </c>
    </row>
    <row r="7551" spans="1:7">
      <c r="A7551" t="s">
        <v>1876</v>
      </c>
      <c r="B7551" t="s">
        <v>370</v>
      </c>
      <c r="C7551" t="s">
        <v>233</v>
      </c>
      <c r="D7551">
        <v>0</v>
      </c>
      <c r="E7551">
        <v>0</v>
      </c>
      <c r="F7551">
        <v>0</v>
      </c>
      <c r="G7551">
        <v>0</v>
      </c>
    </row>
    <row r="7552" spans="1:7">
      <c r="A7552" t="s">
        <v>1876</v>
      </c>
      <c r="B7552" t="s">
        <v>370</v>
      </c>
      <c r="C7552" t="s">
        <v>234</v>
      </c>
      <c r="D7552">
        <v>275394</v>
      </c>
      <c r="E7552">
        <v>271785</v>
      </c>
      <c r="F7552">
        <v>277931</v>
      </c>
      <c r="G7552">
        <v>282609</v>
      </c>
    </row>
    <row r="7553" spans="1:7">
      <c r="A7553" t="s">
        <v>1876</v>
      </c>
      <c r="B7553" t="s">
        <v>370</v>
      </c>
      <c r="C7553" t="s">
        <v>235</v>
      </c>
      <c r="D7553">
        <v>5248</v>
      </c>
      <c r="E7553">
        <v>8805</v>
      </c>
      <c r="F7553">
        <v>5298</v>
      </c>
      <c r="G7553">
        <v>4927</v>
      </c>
    </row>
    <row r="7554" spans="1:7">
      <c r="A7554" t="s">
        <v>1876</v>
      </c>
      <c r="B7554" t="s">
        <v>370</v>
      </c>
      <c r="C7554" t="s">
        <v>236</v>
      </c>
      <c r="D7554">
        <v>6402</v>
      </c>
      <c r="E7554">
        <v>6707</v>
      </c>
      <c r="F7554">
        <v>6192</v>
      </c>
      <c r="G7554">
        <v>5752</v>
      </c>
    </row>
    <row r="7555" spans="1:7">
      <c r="A7555" t="s">
        <v>1876</v>
      </c>
      <c r="B7555" t="s">
        <v>370</v>
      </c>
      <c r="C7555" t="s">
        <v>237</v>
      </c>
      <c r="D7555">
        <v>287044</v>
      </c>
      <c r="E7555">
        <v>287298</v>
      </c>
      <c r="F7555">
        <v>289421</v>
      </c>
      <c r="G7555">
        <v>293289</v>
      </c>
    </row>
    <row r="7556" spans="1:7">
      <c r="A7556" t="s">
        <v>1876</v>
      </c>
      <c r="B7556" t="s">
        <v>370</v>
      </c>
      <c r="C7556" t="s">
        <v>238</v>
      </c>
      <c r="D7556">
        <v>287044</v>
      </c>
      <c r="E7556">
        <v>287298</v>
      </c>
      <c r="F7556">
        <v>289421</v>
      </c>
      <c r="G7556">
        <v>293289</v>
      </c>
    </row>
    <row r="7557" spans="1:7">
      <c r="A7557" t="s">
        <v>1876</v>
      </c>
      <c r="B7557" t="s">
        <v>370</v>
      </c>
      <c r="C7557" t="s">
        <v>1934</v>
      </c>
      <c r="D7557">
        <v>251538</v>
      </c>
      <c r="E7557">
        <v>247946</v>
      </c>
      <c r="F7557">
        <v>253326</v>
      </c>
      <c r="G7557">
        <v>257692</v>
      </c>
    </row>
    <row r="7558" spans="1:7">
      <c r="A7558" t="s">
        <v>1876</v>
      </c>
      <c r="B7558" t="s">
        <v>370</v>
      </c>
      <c r="C7558" t="s">
        <v>1935</v>
      </c>
      <c r="D7558">
        <v>4793</v>
      </c>
      <c r="E7558">
        <v>8033</v>
      </c>
      <c r="F7558">
        <v>4829</v>
      </c>
      <c r="G7558">
        <v>4493</v>
      </c>
    </row>
    <row r="7559" spans="1:7">
      <c r="A7559" t="s">
        <v>1876</v>
      </c>
      <c r="B7559" t="s">
        <v>370</v>
      </c>
      <c r="C7559" t="s">
        <v>1936</v>
      </c>
      <c r="D7559">
        <v>5847</v>
      </c>
      <c r="E7559">
        <v>6119</v>
      </c>
      <c r="F7559">
        <v>5644</v>
      </c>
      <c r="G7559">
        <v>5245</v>
      </c>
    </row>
    <row r="7560" spans="1:7">
      <c r="A7560" t="s">
        <v>1876</v>
      </c>
      <c r="B7560" t="s">
        <v>370</v>
      </c>
      <c r="C7560" t="s">
        <v>239</v>
      </c>
      <c r="D7560">
        <v>262178</v>
      </c>
      <c r="E7560">
        <v>262097</v>
      </c>
      <c r="F7560">
        <v>263799</v>
      </c>
      <c r="G7560">
        <v>267430</v>
      </c>
    </row>
    <row r="7561" spans="1:7">
      <c r="A7561" t="s">
        <v>1876</v>
      </c>
      <c r="B7561" t="s">
        <v>370</v>
      </c>
      <c r="C7561" t="s">
        <v>240</v>
      </c>
      <c r="D7561">
        <v>407</v>
      </c>
      <c r="E7561">
        <v>706</v>
      </c>
      <c r="F7561">
        <v>678</v>
      </c>
      <c r="G7561">
        <v>664</v>
      </c>
    </row>
    <row r="7562" spans="1:7">
      <c r="A7562" t="s">
        <v>1876</v>
      </c>
      <c r="B7562" t="s">
        <v>370</v>
      </c>
      <c r="C7562" t="s">
        <v>241</v>
      </c>
      <c r="D7562">
        <v>0</v>
      </c>
      <c r="E7562">
        <v>0</v>
      </c>
      <c r="F7562">
        <v>0</v>
      </c>
      <c r="G7562">
        <v>0</v>
      </c>
    </row>
    <row r="7563" spans="1:7">
      <c r="A7563" t="s">
        <v>1876</v>
      </c>
      <c r="B7563" t="s">
        <v>370</v>
      </c>
      <c r="C7563" t="s">
        <v>242</v>
      </c>
      <c r="D7563">
        <v>16365</v>
      </c>
      <c r="E7563">
        <v>18530</v>
      </c>
      <c r="F7563">
        <v>14924</v>
      </c>
      <c r="G7563">
        <v>17664</v>
      </c>
    </row>
    <row r="7564" spans="1:7">
      <c r="A7564" t="s">
        <v>1876</v>
      </c>
      <c r="B7564" t="s">
        <v>370</v>
      </c>
      <c r="C7564" t="s">
        <v>243</v>
      </c>
      <c r="D7564">
        <v>107687</v>
      </c>
      <c r="E7564">
        <v>125713</v>
      </c>
      <c r="F7564">
        <v>113484</v>
      </c>
      <c r="G7564">
        <v>102358</v>
      </c>
    </row>
    <row r="7565" spans="1:7">
      <c r="A7565" t="s">
        <v>1876</v>
      </c>
      <c r="B7565" t="s">
        <v>370</v>
      </c>
      <c r="C7565" t="s">
        <v>244</v>
      </c>
      <c r="D7565">
        <v>101622</v>
      </c>
      <c r="E7565">
        <v>70796</v>
      </c>
      <c r="F7565">
        <v>108437</v>
      </c>
      <c r="G7565">
        <v>124126</v>
      </c>
    </row>
    <row r="7566" spans="1:7">
      <c r="A7566" t="s">
        <v>1876</v>
      </c>
      <c r="B7566" t="s">
        <v>370</v>
      </c>
      <c r="C7566" t="s">
        <v>1709</v>
      </c>
      <c r="D7566">
        <v>5503</v>
      </c>
      <c r="E7566">
        <v>5528</v>
      </c>
      <c r="F7566">
        <v>5500</v>
      </c>
      <c r="G7566">
        <v>5531</v>
      </c>
    </row>
    <row r="7567" spans="1:7">
      <c r="A7567" t="s">
        <v>1876</v>
      </c>
      <c r="B7567" t="s">
        <v>370</v>
      </c>
      <c r="C7567" t="s">
        <v>245</v>
      </c>
      <c r="D7567">
        <v>160568</v>
      </c>
      <c r="E7567">
        <v>161466</v>
      </c>
      <c r="F7567">
        <v>162320</v>
      </c>
      <c r="G7567">
        <v>160247</v>
      </c>
    </row>
    <row r="7568" spans="1:7">
      <c r="A7568" t="s">
        <v>1876</v>
      </c>
      <c r="B7568" t="s">
        <v>370</v>
      </c>
      <c r="C7568" t="s">
        <v>246</v>
      </c>
      <c r="D7568">
        <v>137602</v>
      </c>
      <c r="E7568">
        <v>158527</v>
      </c>
      <c r="F7568">
        <v>137998</v>
      </c>
      <c r="G7568">
        <v>126263</v>
      </c>
    </row>
    <row r="7569" spans="1:7">
      <c r="A7569" t="s">
        <v>1876</v>
      </c>
      <c r="B7569" t="s">
        <v>370</v>
      </c>
      <c r="C7569" t="s">
        <v>247</v>
      </c>
      <c r="D7569">
        <v>523843</v>
      </c>
      <c r="E7569">
        <v>535033</v>
      </c>
      <c r="F7569">
        <v>537163</v>
      </c>
      <c r="G7569">
        <v>530658</v>
      </c>
    </row>
    <row r="7570" spans="1:7">
      <c r="A7570" t="s">
        <v>1876</v>
      </c>
      <c r="B7570" t="s">
        <v>370</v>
      </c>
      <c r="C7570" t="s">
        <v>248</v>
      </c>
      <c r="D7570">
        <v>91.7</v>
      </c>
      <c r="E7570">
        <v>93.4</v>
      </c>
      <c r="F7570">
        <v>93.4</v>
      </c>
      <c r="G7570">
        <v>91.5</v>
      </c>
    </row>
    <row r="7571" spans="1:7">
      <c r="A7571" t="s">
        <v>1876</v>
      </c>
      <c r="B7571" t="s">
        <v>370</v>
      </c>
      <c r="C7571" t="s">
        <v>249</v>
      </c>
      <c r="D7571">
        <v>422222</v>
      </c>
      <c r="E7571">
        <v>464236</v>
      </c>
      <c r="F7571">
        <v>428726</v>
      </c>
      <c r="G7571">
        <v>406532</v>
      </c>
    </row>
    <row r="7572" spans="1:7">
      <c r="A7572" t="s">
        <v>1876</v>
      </c>
      <c r="B7572" t="s">
        <v>370</v>
      </c>
      <c r="C7572" t="s">
        <v>250</v>
      </c>
      <c r="D7572">
        <v>523812</v>
      </c>
      <c r="E7572">
        <v>535010</v>
      </c>
      <c r="F7572">
        <v>536178</v>
      </c>
      <c r="G7572">
        <v>529606</v>
      </c>
    </row>
    <row r="7573" spans="1:7">
      <c r="A7573" t="s">
        <v>1876</v>
      </c>
      <c r="B7573" t="s">
        <v>370</v>
      </c>
      <c r="C7573" t="s">
        <v>1937</v>
      </c>
      <c r="D7573">
        <v>7.5</v>
      </c>
      <c r="E7573">
        <v>4.5999999999999996</v>
      </c>
      <c r="F7573">
        <v>8.6</v>
      </c>
      <c r="G7573">
        <v>9.4</v>
      </c>
    </row>
    <row r="7574" spans="1:7">
      <c r="A7574" t="s">
        <v>1876</v>
      </c>
      <c r="B7574" t="s">
        <v>370</v>
      </c>
      <c r="C7574" t="s">
        <v>1938</v>
      </c>
      <c r="D7574">
        <v>97.3</v>
      </c>
      <c r="E7574">
        <v>101.2</v>
      </c>
      <c r="F7574">
        <v>82.1</v>
      </c>
      <c r="G7574">
        <v>82</v>
      </c>
    </row>
    <row r="7575" spans="1:7">
      <c r="A7575" t="s">
        <v>1876</v>
      </c>
      <c r="B7575" t="s">
        <v>370</v>
      </c>
      <c r="C7575" t="s">
        <v>251</v>
      </c>
      <c r="D7575">
        <v>147286</v>
      </c>
      <c r="E7575">
        <v>153546</v>
      </c>
      <c r="F7575">
        <v>124626</v>
      </c>
      <c r="G7575">
        <v>123693</v>
      </c>
    </row>
    <row r="7576" spans="1:7">
      <c r="A7576" t="s">
        <v>1876</v>
      </c>
      <c r="B7576" t="s">
        <v>370</v>
      </c>
      <c r="C7576" t="s">
        <v>252</v>
      </c>
      <c r="D7576">
        <v>147286</v>
      </c>
      <c r="E7576">
        <v>153546</v>
      </c>
      <c r="F7576">
        <v>124626</v>
      </c>
      <c r="G7576">
        <v>123693</v>
      </c>
    </row>
    <row r="7577" spans="1:7">
      <c r="A7577" t="s">
        <v>1876</v>
      </c>
      <c r="B7577" t="s">
        <v>370</v>
      </c>
      <c r="C7577" t="s">
        <v>1710</v>
      </c>
      <c r="D7577">
        <v>1657</v>
      </c>
      <c r="E7577">
        <v>1657</v>
      </c>
      <c r="F7577">
        <v>1657</v>
      </c>
      <c r="G7577">
        <v>1657</v>
      </c>
    </row>
    <row r="7578" spans="1:7">
      <c r="A7578" t="s">
        <v>1876</v>
      </c>
      <c r="B7578" t="s">
        <v>370</v>
      </c>
      <c r="C7578" t="s">
        <v>1939</v>
      </c>
      <c r="D7578">
        <v>13.4</v>
      </c>
      <c r="E7578">
        <v>12.7</v>
      </c>
      <c r="F7578">
        <v>16.5</v>
      </c>
      <c r="G7578">
        <v>19.100000000000001</v>
      </c>
    </row>
    <row r="7579" spans="1:7">
      <c r="A7579" t="s">
        <v>1876</v>
      </c>
      <c r="B7579" t="s">
        <v>370</v>
      </c>
      <c r="C7579" t="s">
        <v>253</v>
      </c>
      <c r="D7579">
        <v>0</v>
      </c>
      <c r="E7579">
        <v>0</v>
      </c>
      <c r="F7579">
        <v>0</v>
      </c>
      <c r="G7579">
        <v>0</v>
      </c>
    </row>
    <row r="7580" spans="1:7">
      <c r="A7580" t="s">
        <v>1876</v>
      </c>
      <c r="B7580" t="s">
        <v>370</v>
      </c>
      <c r="C7580" t="s">
        <v>1711</v>
      </c>
      <c r="D7580">
        <v>0</v>
      </c>
      <c r="E7580">
        <v>0</v>
      </c>
      <c r="F7580">
        <v>0</v>
      </c>
      <c r="G7580">
        <v>0</v>
      </c>
    </row>
    <row r="7581" spans="1:7">
      <c r="A7581" t="s">
        <v>1876</v>
      </c>
      <c r="B7581" t="s">
        <v>370</v>
      </c>
      <c r="C7581" t="s">
        <v>1712</v>
      </c>
      <c r="D7581">
        <v>39706</v>
      </c>
      <c r="E7581">
        <v>39092</v>
      </c>
      <c r="F7581">
        <v>38304</v>
      </c>
      <c r="G7581">
        <v>37062</v>
      </c>
    </row>
    <row r="7582" spans="1:7">
      <c r="A7582" t="s">
        <v>1876</v>
      </c>
      <c r="B7582" t="s">
        <v>370</v>
      </c>
      <c r="C7582" t="s">
        <v>1713</v>
      </c>
      <c r="D7582">
        <v>9109</v>
      </c>
      <c r="E7582">
        <v>9369</v>
      </c>
      <c r="F7582">
        <v>9747</v>
      </c>
      <c r="G7582">
        <v>9564</v>
      </c>
    </row>
    <row r="7583" spans="1:7">
      <c r="A7583" t="s">
        <v>1876</v>
      </c>
      <c r="B7583" t="s">
        <v>370</v>
      </c>
      <c r="C7583" t="s">
        <v>1940</v>
      </c>
      <c r="D7583">
        <v>0</v>
      </c>
      <c r="E7583">
        <v>0</v>
      </c>
      <c r="F7583">
        <v>0</v>
      </c>
      <c r="G7583">
        <v>0</v>
      </c>
    </row>
    <row r="7584" spans="1:7">
      <c r="A7584" t="s">
        <v>1876</v>
      </c>
      <c r="B7584" t="s">
        <v>370</v>
      </c>
      <c r="C7584" t="s">
        <v>1941</v>
      </c>
      <c r="D7584">
        <v>0</v>
      </c>
      <c r="E7584">
        <v>0</v>
      </c>
      <c r="F7584">
        <v>0</v>
      </c>
      <c r="G7584">
        <v>0</v>
      </c>
    </row>
    <row r="7585" spans="1:7">
      <c r="A7585" t="s">
        <v>1876</v>
      </c>
      <c r="B7585" t="s">
        <v>370</v>
      </c>
      <c r="C7585" t="s">
        <v>254</v>
      </c>
      <c r="D7585">
        <v>39706</v>
      </c>
      <c r="E7585">
        <v>39092</v>
      </c>
      <c r="F7585">
        <v>38304</v>
      </c>
      <c r="G7585">
        <v>37062</v>
      </c>
    </row>
    <row r="7586" spans="1:7">
      <c r="A7586" t="s">
        <v>1876</v>
      </c>
      <c r="B7586" t="s">
        <v>370</v>
      </c>
      <c r="C7586" t="s">
        <v>1942</v>
      </c>
      <c r="D7586">
        <v>0</v>
      </c>
      <c r="E7586">
        <v>0</v>
      </c>
      <c r="F7586">
        <v>0</v>
      </c>
      <c r="G7586">
        <v>0</v>
      </c>
    </row>
    <row r="7587" spans="1:7">
      <c r="A7587" t="s">
        <v>1876</v>
      </c>
      <c r="B7587" t="s">
        <v>370</v>
      </c>
      <c r="C7587" t="s">
        <v>255</v>
      </c>
      <c r="D7587">
        <v>48814</v>
      </c>
      <c r="E7587">
        <v>48461</v>
      </c>
      <c r="F7587">
        <v>48051</v>
      </c>
      <c r="G7587">
        <v>46625</v>
      </c>
    </row>
    <row r="7588" spans="1:7">
      <c r="A7588" t="s">
        <v>1876</v>
      </c>
      <c r="B7588" t="s">
        <v>370</v>
      </c>
      <c r="C7588" t="s">
        <v>256</v>
      </c>
      <c r="D7588">
        <v>48814</v>
      </c>
      <c r="E7588">
        <v>48461</v>
      </c>
      <c r="F7588">
        <v>48051</v>
      </c>
      <c r="G7588">
        <v>46625</v>
      </c>
    </row>
    <row r="7589" spans="1:7">
      <c r="A7589" t="s">
        <v>1876</v>
      </c>
      <c r="B7589" t="s">
        <v>370</v>
      </c>
      <c r="C7589" t="s">
        <v>1714</v>
      </c>
      <c r="D7589">
        <v>6</v>
      </c>
      <c r="E7589">
        <v>6</v>
      </c>
      <c r="F7589">
        <v>6</v>
      </c>
      <c r="G7589">
        <v>6</v>
      </c>
    </row>
    <row r="7590" spans="1:7">
      <c r="A7590" t="s">
        <v>1876</v>
      </c>
      <c r="B7590" t="s">
        <v>370</v>
      </c>
      <c r="C7590" t="s">
        <v>257</v>
      </c>
      <c r="D7590">
        <v>71570</v>
      </c>
      <c r="E7590">
        <v>70584</v>
      </c>
      <c r="F7590">
        <v>68947</v>
      </c>
      <c r="G7590">
        <v>67093</v>
      </c>
    </row>
    <row r="7591" spans="1:7">
      <c r="A7591" t="s">
        <v>1876</v>
      </c>
      <c r="B7591" t="s">
        <v>370</v>
      </c>
      <c r="C7591" t="s">
        <v>258</v>
      </c>
      <c r="D7591">
        <v>83179</v>
      </c>
      <c r="E7591">
        <v>82578</v>
      </c>
      <c r="F7591">
        <v>80762</v>
      </c>
      <c r="G7591">
        <v>78651</v>
      </c>
    </row>
    <row r="7592" spans="1:7">
      <c r="A7592" t="s">
        <v>1876</v>
      </c>
      <c r="B7592" t="s">
        <v>370</v>
      </c>
      <c r="C7592" t="s">
        <v>259</v>
      </c>
      <c r="D7592">
        <v>83179</v>
      </c>
      <c r="E7592">
        <v>82578</v>
      </c>
      <c r="F7592">
        <v>80762</v>
      </c>
      <c r="G7592">
        <v>78651</v>
      </c>
    </row>
    <row r="7593" spans="1:7">
      <c r="A7593" t="s">
        <v>1876</v>
      </c>
      <c r="B7593" t="s">
        <v>370</v>
      </c>
      <c r="C7593" t="s">
        <v>260</v>
      </c>
      <c r="D7593">
        <v>426953</v>
      </c>
      <c r="E7593">
        <v>429647</v>
      </c>
      <c r="F7593">
        <v>438371</v>
      </c>
      <c r="G7593">
        <v>437601</v>
      </c>
    </row>
    <row r="7594" spans="1:7">
      <c r="A7594" t="s">
        <v>1876</v>
      </c>
      <c r="B7594" t="s">
        <v>370</v>
      </c>
      <c r="C7594" t="s">
        <v>1943</v>
      </c>
      <c r="D7594">
        <v>1.2</v>
      </c>
      <c r="E7594">
        <v>0.8</v>
      </c>
      <c r="F7594">
        <v>0.6</v>
      </c>
      <c r="G7594">
        <v>1.7</v>
      </c>
    </row>
    <row r="7595" spans="1:7">
      <c r="A7595" t="s">
        <v>1876</v>
      </c>
      <c r="B7595" t="s">
        <v>370</v>
      </c>
      <c r="C7595" t="s">
        <v>261</v>
      </c>
      <c r="D7595">
        <v>16364</v>
      </c>
      <c r="E7595">
        <v>21194</v>
      </c>
      <c r="F7595">
        <v>15883</v>
      </c>
      <c r="G7595">
        <v>14636</v>
      </c>
    </row>
    <row r="7596" spans="1:7">
      <c r="A7596" t="s">
        <v>1876</v>
      </c>
      <c r="B7596" t="s">
        <v>370</v>
      </c>
      <c r="C7596" t="s">
        <v>262</v>
      </c>
      <c r="D7596">
        <v>1232</v>
      </c>
      <c r="E7596">
        <v>575</v>
      </c>
      <c r="F7596">
        <v>903</v>
      </c>
      <c r="G7596">
        <v>275</v>
      </c>
    </row>
    <row r="7597" spans="1:7">
      <c r="A7597" t="s">
        <v>1876</v>
      </c>
      <c r="B7597" t="s">
        <v>370</v>
      </c>
      <c r="C7597" t="s">
        <v>1715</v>
      </c>
      <c r="D7597">
        <v>769</v>
      </c>
      <c r="E7597">
        <v>774</v>
      </c>
      <c r="F7597">
        <v>772</v>
      </c>
      <c r="G7597">
        <v>790</v>
      </c>
    </row>
    <row r="7598" spans="1:7">
      <c r="A7598" t="s">
        <v>1876</v>
      </c>
      <c r="B7598" t="s">
        <v>370</v>
      </c>
      <c r="C7598" t="s">
        <v>263</v>
      </c>
      <c r="D7598">
        <v>126745</v>
      </c>
      <c r="E7598">
        <v>124008</v>
      </c>
      <c r="F7598">
        <v>120622</v>
      </c>
      <c r="G7598">
        <v>116775</v>
      </c>
    </row>
    <row r="7599" spans="1:7">
      <c r="A7599" t="s">
        <v>1876</v>
      </c>
      <c r="B7599" t="s">
        <v>370</v>
      </c>
      <c r="C7599" t="s">
        <v>264</v>
      </c>
      <c r="D7599">
        <v>31248</v>
      </c>
      <c r="E7599">
        <v>34712</v>
      </c>
      <c r="F7599">
        <v>31384</v>
      </c>
      <c r="G7599">
        <v>29346</v>
      </c>
    </row>
    <row r="7600" spans="1:7">
      <c r="A7600" t="s">
        <v>1876</v>
      </c>
      <c r="B7600" t="s">
        <v>370</v>
      </c>
      <c r="C7600" t="s">
        <v>265</v>
      </c>
      <c r="D7600">
        <v>602543</v>
      </c>
      <c r="E7600">
        <v>610136</v>
      </c>
      <c r="F7600">
        <v>607163</v>
      </c>
      <c r="G7600">
        <v>598633</v>
      </c>
    </row>
    <row r="7601" spans="1:7">
      <c r="A7601" t="s">
        <v>1876</v>
      </c>
      <c r="B7601" t="s">
        <v>370</v>
      </c>
      <c r="C7601" t="s">
        <v>266</v>
      </c>
      <c r="D7601">
        <v>105.4</v>
      </c>
      <c r="E7601">
        <v>106.5</v>
      </c>
      <c r="F7601">
        <v>105.5</v>
      </c>
      <c r="G7601">
        <v>103.3</v>
      </c>
    </row>
    <row r="7602" spans="1:7">
      <c r="A7602" t="s">
        <v>1876</v>
      </c>
      <c r="B7602" t="s">
        <v>370</v>
      </c>
      <c r="C7602" t="s">
        <v>267</v>
      </c>
      <c r="D7602">
        <v>601311</v>
      </c>
      <c r="E7602">
        <v>609561</v>
      </c>
      <c r="F7602">
        <v>606260</v>
      </c>
      <c r="G7602">
        <v>598358</v>
      </c>
    </row>
    <row r="7603" spans="1:7">
      <c r="A7603" t="s">
        <v>1876</v>
      </c>
      <c r="B7603" t="s">
        <v>370</v>
      </c>
      <c r="C7603" t="s">
        <v>268</v>
      </c>
      <c r="D7603">
        <v>0</v>
      </c>
      <c r="E7603">
        <v>0</v>
      </c>
      <c r="F7603">
        <v>0</v>
      </c>
      <c r="G7603">
        <v>0</v>
      </c>
    </row>
    <row r="7604" spans="1:7">
      <c r="A7604" t="s">
        <v>1876</v>
      </c>
      <c r="B7604" t="s">
        <v>370</v>
      </c>
      <c r="C7604" t="s">
        <v>269</v>
      </c>
      <c r="D7604">
        <v>0</v>
      </c>
      <c r="E7604">
        <v>0</v>
      </c>
      <c r="F7604">
        <v>0</v>
      </c>
      <c r="G7604">
        <v>0</v>
      </c>
    </row>
    <row r="7605" spans="1:7">
      <c r="A7605" t="s">
        <v>1876</v>
      </c>
      <c r="B7605" t="s">
        <v>370</v>
      </c>
      <c r="C7605" t="s">
        <v>270</v>
      </c>
      <c r="D7605">
        <v>10707</v>
      </c>
      <c r="E7605">
        <v>9908</v>
      </c>
      <c r="F7605">
        <v>10078</v>
      </c>
      <c r="G7605">
        <v>3571</v>
      </c>
    </row>
    <row r="7606" spans="1:7">
      <c r="A7606" t="s">
        <v>1876</v>
      </c>
      <c r="B7606" t="s">
        <v>370</v>
      </c>
      <c r="C7606" t="s">
        <v>271</v>
      </c>
      <c r="D7606">
        <v>10707</v>
      </c>
      <c r="E7606">
        <v>9908</v>
      </c>
      <c r="F7606">
        <v>10078</v>
      </c>
      <c r="G7606">
        <v>3571</v>
      </c>
    </row>
    <row r="7607" spans="1:7">
      <c r="A7607" t="s">
        <v>1876</v>
      </c>
      <c r="B7607" t="s">
        <v>370</v>
      </c>
      <c r="C7607" t="s">
        <v>272</v>
      </c>
      <c r="D7607">
        <v>10707</v>
      </c>
      <c r="E7607">
        <v>9908</v>
      </c>
      <c r="F7607">
        <v>10078</v>
      </c>
      <c r="G7607">
        <v>3571</v>
      </c>
    </row>
    <row r="7608" spans="1:7">
      <c r="A7608" t="s">
        <v>1876</v>
      </c>
      <c r="B7608" t="s">
        <v>370</v>
      </c>
      <c r="C7608" t="s">
        <v>1944</v>
      </c>
      <c r="D7608">
        <v>8.6999999999999993</v>
      </c>
      <c r="E7608">
        <v>11</v>
      </c>
      <c r="F7608">
        <v>14.2</v>
      </c>
      <c r="G7608">
        <v>19.399999999999999</v>
      </c>
    </row>
    <row r="7609" spans="1:7">
      <c r="A7609" t="s">
        <v>1876</v>
      </c>
      <c r="B7609" t="s">
        <v>370</v>
      </c>
      <c r="C7609" t="s">
        <v>1945</v>
      </c>
      <c r="D7609">
        <v>16</v>
      </c>
      <c r="E7609">
        <v>24</v>
      </c>
      <c r="F7609">
        <v>41</v>
      </c>
      <c r="G7609">
        <v>52</v>
      </c>
    </row>
    <row r="7610" spans="1:7">
      <c r="A7610" t="s">
        <v>1876</v>
      </c>
      <c r="B7610" t="s">
        <v>370</v>
      </c>
      <c r="C7610" t="s">
        <v>273</v>
      </c>
      <c r="D7610">
        <v>0</v>
      </c>
      <c r="E7610">
        <v>0</v>
      </c>
      <c r="F7610">
        <v>0</v>
      </c>
      <c r="G7610">
        <v>0</v>
      </c>
    </row>
    <row r="7611" spans="1:7">
      <c r="A7611" t="s">
        <v>1876</v>
      </c>
      <c r="B7611" t="s">
        <v>370</v>
      </c>
      <c r="C7611" t="s">
        <v>1946</v>
      </c>
      <c r="D7611">
        <v>387241</v>
      </c>
      <c r="E7611">
        <v>389826</v>
      </c>
      <c r="F7611">
        <v>398275</v>
      </c>
      <c r="G7611">
        <v>397952</v>
      </c>
    </row>
    <row r="7612" spans="1:7">
      <c r="A7612" t="s">
        <v>1876</v>
      </c>
      <c r="B7612" t="s">
        <v>370</v>
      </c>
      <c r="C7612" t="s">
        <v>1947</v>
      </c>
      <c r="D7612">
        <v>15909</v>
      </c>
      <c r="E7612">
        <v>20421</v>
      </c>
      <c r="F7612">
        <v>15414</v>
      </c>
      <c r="G7612">
        <v>14201</v>
      </c>
    </row>
    <row r="7613" spans="1:7">
      <c r="A7613" t="s">
        <v>1876</v>
      </c>
      <c r="B7613" t="s">
        <v>370</v>
      </c>
      <c r="C7613" t="s">
        <v>1948</v>
      </c>
      <c r="D7613">
        <v>1232</v>
      </c>
      <c r="E7613">
        <v>575</v>
      </c>
      <c r="F7613">
        <v>903</v>
      </c>
      <c r="G7613">
        <v>275</v>
      </c>
    </row>
    <row r="7614" spans="1:7">
      <c r="A7614" t="s">
        <v>1876</v>
      </c>
      <c r="B7614" t="s">
        <v>370</v>
      </c>
      <c r="C7614" t="s">
        <v>1949</v>
      </c>
      <c r="D7614">
        <v>126191</v>
      </c>
      <c r="E7614">
        <v>123420</v>
      </c>
      <c r="F7614">
        <v>120074</v>
      </c>
      <c r="G7614">
        <v>116268</v>
      </c>
    </row>
    <row r="7615" spans="1:7">
      <c r="A7615" t="s">
        <v>1876</v>
      </c>
      <c r="B7615" t="s">
        <v>370</v>
      </c>
      <c r="C7615" t="s">
        <v>1950</v>
      </c>
      <c r="D7615">
        <v>31248</v>
      </c>
      <c r="E7615">
        <v>34712</v>
      </c>
      <c r="F7615">
        <v>31384</v>
      </c>
      <c r="G7615">
        <v>29346</v>
      </c>
    </row>
    <row r="7616" spans="1:7">
      <c r="A7616" t="s">
        <v>1876</v>
      </c>
      <c r="B7616" t="s">
        <v>370</v>
      </c>
      <c r="C7616" t="s">
        <v>274</v>
      </c>
      <c r="D7616">
        <v>561822</v>
      </c>
      <c r="E7616">
        <v>568955</v>
      </c>
      <c r="F7616">
        <v>566050</v>
      </c>
      <c r="G7616">
        <v>558043</v>
      </c>
    </row>
    <row r="7617" spans="1:7">
      <c r="A7617" t="s">
        <v>1876</v>
      </c>
      <c r="B7617" t="s">
        <v>370</v>
      </c>
      <c r="C7617" t="s">
        <v>275</v>
      </c>
      <c r="D7617">
        <v>0</v>
      </c>
      <c r="E7617">
        <v>0</v>
      </c>
      <c r="F7617">
        <v>0</v>
      </c>
      <c r="G7617">
        <v>0</v>
      </c>
    </row>
    <row r="7618" spans="1:7">
      <c r="A7618" t="s">
        <v>1876</v>
      </c>
      <c r="B7618" t="s">
        <v>370</v>
      </c>
      <c r="C7618" t="s">
        <v>276</v>
      </c>
      <c r="D7618">
        <v>0</v>
      </c>
      <c r="E7618">
        <v>0</v>
      </c>
      <c r="F7618">
        <v>0</v>
      </c>
      <c r="G7618">
        <v>0</v>
      </c>
    </row>
    <row r="7619" spans="1:7">
      <c r="A7619" t="s">
        <v>1876</v>
      </c>
      <c r="B7619" t="s">
        <v>370</v>
      </c>
      <c r="C7619" t="s">
        <v>277</v>
      </c>
      <c r="D7619">
        <v>75</v>
      </c>
      <c r="E7619">
        <v>406</v>
      </c>
      <c r="F7619">
        <v>425</v>
      </c>
      <c r="G7619">
        <v>568</v>
      </c>
    </row>
    <row r="7620" spans="1:7">
      <c r="A7620" t="s">
        <v>1876</v>
      </c>
      <c r="B7620" t="s">
        <v>370</v>
      </c>
      <c r="C7620" t="s">
        <v>278</v>
      </c>
      <c r="D7620">
        <v>5717</v>
      </c>
      <c r="E7620">
        <v>6449</v>
      </c>
      <c r="F7620">
        <v>5061</v>
      </c>
      <c r="G7620">
        <v>4705</v>
      </c>
    </row>
    <row r="7621" spans="1:7">
      <c r="A7621" t="s">
        <v>1876</v>
      </c>
      <c r="B7621" t="s">
        <v>370</v>
      </c>
      <c r="C7621" t="s">
        <v>279</v>
      </c>
      <c r="D7621">
        <v>11717</v>
      </c>
      <c r="E7621">
        <v>9255</v>
      </c>
      <c r="F7621">
        <v>8940</v>
      </c>
      <c r="G7621">
        <v>8455</v>
      </c>
    </row>
    <row r="7622" spans="1:7">
      <c r="A7622" t="s">
        <v>1876</v>
      </c>
      <c r="B7622" t="s">
        <v>370</v>
      </c>
      <c r="C7622" t="s">
        <v>280</v>
      </c>
      <c r="D7622">
        <v>26792</v>
      </c>
      <c r="E7622">
        <v>29751</v>
      </c>
      <c r="F7622">
        <v>26732</v>
      </c>
      <c r="G7622">
        <v>25243</v>
      </c>
    </row>
    <row r="7623" spans="1:7">
      <c r="A7623" t="s">
        <v>1876</v>
      </c>
      <c r="B7623" t="s">
        <v>370</v>
      </c>
      <c r="C7623" t="s">
        <v>281</v>
      </c>
      <c r="D7623">
        <v>44302</v>
      </c>
      <c r="E7623">
        <v>45860</v>
      </c>
      <c r="F7623">
        <v>41159</v>
      </c>
      <c r="G7623">
        <v>38971</v>
      </c>
    </row>
    <row r="7624" spans="1:7">
      <c r="A7624" t="s">
        <v>1876</v>
      </c>
      <c r="B7624" t="s">
        <v>370</v>
      </c>
      <c r="C7624" t="s">
        <v>282</v>
      </c>
      <c r="D7624">
        <v>44302</v>
      </c>
      <c r="E7624">
        <v>45860</v>
      </c>
      <c r="F7624">
        <v>41159</v>
      </c>
      <c r="G7624">
        <v>38971</v>
      </c>
    </row>
    <row r="7625" spans="1:7">
      <c r="A7625" t="s">
        <v>1876</v>
      </c>
      <c r="B7625" t="s">
        <v>370</v>
      </c>
      <c r="C7625" t="s">
        <v>283</v>
      </c>
      <c r="D7625">
        <v>0</v>
      </c>
      <c r="E7625">
        <v>0</v>
      </c>
      <c r="F7625">
        <v>0</v>
      </c>
      <c r="G7625">
        <v>0</v>
      </c>
    </row>
    <row r="7626" spans="1:7">
      <c r="A7626" t="s">
        <v>1876</v>
      </c>
      <c r="B7626" t="s">
        <v>370</v>
      </c>
      <c r="C7626" t="s">
        <v>284</v>
      </c>
      <c r="D7626">
        <v>0</v>
      </c>
      <c r="E7626">
        <v>0</v>
      </c>
      <c r="F7626">
        <v>0</v>
      </c>
      <c r="G7626">
        <v>0</v>
      </c>
    </row>
    <row r="7627" spans="1:7">
      <c r="A7627" t="s">
        <v>1876</v>
      </c>
      <c r="B7627" t="s">
        <v>370</v>
      </c>
      <c r="C7627" t="s">
        <v>1716</v>
      </c>
      <c r="D7627">
        <v>39712</v>
      </c>
      <c r="E7627">
        <v>39821</v>
      </c>
      <c r="F7627">
        <v>40096</v>
      </c>
      <c r="G7627">
        <v>39648</v>
      </c>
    </row>
    <row r="7628" spans="1:7">
      <c r="A7628" t="s">
        <v>1876</v>
      </c>
      <c r="B7628" t="s">
        <v>370</v>
      </c>
      <c r="C7628" t="s">
        <v>1717</v>
      </c>
      <c r="D7628">
        <v>5702</v>
      </c>
      <c r="E7628">
        <v>6641</v>
      </c>
      <c r="F7628">
        <v>5380</v>
      </c>
      <c r="G7628">
        <v>5427</v>
      </c>
    </row>
    <row r="7629" spans="1:7">
      <c r="A7629" t="s">
        <v>1876</v>
      </c>
      <c r="B7629" t="s">
        <v>370</v>
      </c>
      <c r="C7629" t="s">
        <v>1718</v>
      </c>
      <c r="D7629">
        <v>58886</v>
      </c>
      <c r="E7629">
        <v>69816</v>
      </c>
      <c r="F7629">
        <v>66587</v>
      </c>
      <c r="G7629">
        <v>68639</v>
      </c>
    </row>
    <row r="7630" spans="1:7">
      <c r="A7630" t="s">
        <v>1876</v>
      </c>
      <c r="B7630" t="s">
        <v>370</v>
      </c>
      <c r="C7630" t="s">
        <v>1719</v>
      </c>
      <c r="D7630">
        <v>6326</v>
      </c>
      <c r="E7630">
        <v>6501</v>
      </c>
      <c r="F7630">
        <v>6749</v>
      </c>
      <c r="G7630">
        <v>7072</v>
      </c>
    </row>
    <row r="7631" spans="1:7">
      <c r="A7631" t="s">
        <v>1876</v>
      </c>
      <c r="B7631" t="s">
        <v>370</v>
      </c>
      <c r="C7631" t="s">
        <v>1720</v>
      </c>
      <c r="D7631">
        <v>96286</v>
      </c>
      <c r="E7631">
        <v>94045</v>
      </c>
      <c r="F7631">
        <v>94849</v>
      </c>
      <c r="G7631">
        <v>97397</v>
      </c>
    </row>
    <row r="7632" spans="1:7">
      <c r="A7632" t="s">
        <v>1876</v>
      </c>
      <c r="B7632" t="s">
        <v>370</v>
      </c>
      <c r="C7632" t="s">
        <v>1721</v>
      </c>
      <c r="D7632">
        <v>15521</v>
      </c>
      <c r="E7632">
        <v>19715</v>
      </c>
      <c r="F7632">
        <v>17089</v>
      </c>
      <c r="G7632">
        <v>16287</v>
      </c>
    </row>
    <row r="7633" spans="1:7">
      <c r="A7633" t="s">
        <v>1876</v>
      </c>
      <c r="B7633" t="s">
        <v>370</v>
      </c>
      <c r="C7633" t="s">
        <v>285</v>
      </c>
      <c r="D7633">
        <v>216108</v>
      </c>
      <c r="E7633">
        <v>230038</v>
      </c>
      <c r="F7633">
        <v>224000</v>
      </c>
      <c r="G7633">
        <v>227397</v>
      </c>
    </row>
    <row r="7634" spans="1:7">
      <c r="A7634" t="s">
        <v>1876</v>
      </c>
      <c r="B7634" t="s">
        <v>370</v>
      </c>
      <c r="C7634" t="s">
        <v>1951</v>
      </c>
      <c r="D7634">
        <v>12.5</v>
      </c>
      <c r="E7634">
        <v>13.1</v>
      </c>
      <c r="F7634">
        <v>13.3</v>
      </c>
      <c r="G7634">
        <v>13.8</v>
      </c>
    </row>
    <row r="7635" spans="1:7">
      <c r="A7635" t="s">
        <v>1876</v>
      </c>
      <c r="B7635" t="s">
        <v>370</v>
      </c>
      <c r="C7635" t="s">
        <v>286</v>
      </c>
      <c r="D7635">
        <v>0</v>
      </c>
      <c r="E7635">
        <v>0</v>
      </c>
      <c r="F7635">
        <v>0</v>
      </c>
      <c r="G7635">
        <v>0</v>
      </c>
    </row>
    <row r="7636" spans="1:7">
      <c r="A7636" t="s">
        <v>1876</v>
      </c>
      <c r="B7636" t="s">
        <v>370</v>
      </c>
      <c r="C7636" t="s">
        <v>287</v>
      </c>
      <c r="D7636">
        <v>24</v>
      </c>
      <c r="E7636">
        <v>25</v>
      </c>
      <c r="F7636">
        <v>20</v>
      </c>
      <c r="G7636">
        <v>22</v>
      </c>
    </row>
    <row r="7637" spans="1:7">
      <c r="A7637" t="s">
        <v>1876</v>
      </c>
      <c r="B7637" t="s">
        <v>370</v>
      </c>
      <c r="C7637" t="s">
        <v>288</v>
      </c>
      <c r="D7637">
        <v>0</v>
      </c>
      <c r="E7637">
        <v>0</v>
      </c>
      <c r="F7637">
        <v>0</v>
      </c>
      <c r="G7637">
        <v>0</v>
      </c>
    </row>
    <row r="7638" spans="1:7">
      <c r="A7638" t="s">
        <v>1876</v>
      </c>
      <c r="B7638" t="s">
        <v>370</v>
      </c>
      <c r="C7638" t="s">
        <v>289</v>
      </c>
      <c r="D7638">
        <v>143</v>
      </c>
      <c r="E7638">
        <v>146</v>
      </c>
      <c r="F7638">
        <v>121</v>
      </c>
      <c r="G7638">
        <v>131</v>
      </c>
    </row>
    <row r="7639" spans="1:7">
      <c r="A7639" t="s">
        <v>1876</v>
      </c>
      <c r="B7639" t="s">
        <v>370</v>
      </c>
      <c r="C7639" t="s">
        <v>290</v>
      </c>
      <c r="D7639">
        <v>167</v>
      </c>
      <c r="E7639">
        <v>171</v>
      </c>
      <c r="F7639">
        <v>142</v>
      </c>
      <c r="G7639">
        <v>154</v>
      </c>
    </row>
    <row r="7640" spans="1:7">
      <c r="A7640" t="s">
        <v>1876</v>
      </c>
      <c r="B7640" t="s">
        <v>370</v>
      </c>
      <c r="C7640" t="s">
        <v>291</v>
      </c>
      <c r="D7640">
        <v>167</v>
      </c>
      <c r="E7640">
        <v>171</v>
      </c>
      <c r="F7640">
        <v>142</v>
      </c>
      <c r="G7640">
        <v>154</v>
      </c>
    </row>
    <row r="7641" spans="1:7">
      <c r="A7641" t="s">
        <v>1876</v>
      </c>
      <c r="B7641" t="s">
        <v>370</v>
      </c>
      <c r="C7641" t="s">
        <v>292</v>
      </c>
      <c r="D7641">
        <v>7</v>
      </c>
      <c r="E7641">
        <v>6</v>
      </c>
      <c r="F7641">
        <v>214</v>
      </c>
      <c r="G7641">
        <v>210</v>
      </c>
    </row>
    <row r="7642" spans="1:7">
      <c r="A7642" t="s">
        <v>1876</v>
      </c>
      <c r="B7642" t="s">
        <v>370</v>
      </c>
      <c r="C7642" t="s">
        <v>293</v>
      </c>
      <c r="D7642">
        <v>6</v>
      </c>
      <c r="E7642">
        <v>3</v>
      </c>
      <c r="F7642">
        <v>205</v>
      </c>
      <c r="G7642">
        <v>255</v>
      </c>
    </row>
    <row r="7643" spans="1:7">
      <c r="A7643" t="s">
        <v>1876</v>
      </c>
      <c r="B7643" t="s">
        <v>370</v>
      </c>
      <c r="C7643" t="s">
        <v>294</v>
      </c>
      <c r="D7643">
        <v>10</v>
      </c>
      <c r="E7643">
        <v>7</v>
      </c>
      <c r="F7643">
        <v>306</v>
      </c>
      <c r="G7643">
        <v>329</v>
      </c>
    </row>
    <row r="7644" spans="1:7">
      <c r="A7644" t="s">
        <v>1876</v>
      </c>
      <c r="B7644" t="s">
        <v>370</v>
      </c>
      <c r="C7644" t="s">
        <v>295</v>
      </c>
      <c r="D7644">
        <v>8</v>
      </c>
      <c r="E7644">
        <v>7</v>
      </c>
      <c r="F7644">
        <v>260</v>
      </c>
      <c r="G7644">
        <v>259</v>
      </c>
    </row>
    <row r="7645" spans="1:7">
      <c r="A7645" t="s">
        <v>1876</v>
      </c>
      <c r="B7645" t="s">
        <v>370</v>
      </c>
      <c r="C7645" t="s">
        <v>296</v>
      </c>
      <c r="D7645">
        <v>31</v>
      </c>
      <c r="E7645">
        <v>23</v>
      </c>
      <c r="F7645">
        <v>986</v>
      </c>
      <c r="G7645">
        <v>1052</v>
      </c>
    </row>
    <row r="7646" spans="1:7">
      <c r="A7646" t="s">
        <v>1876</v>
      </c>
      <c r="B7646" t="s">
        <v>370</v>
      </c>
      <c r="C7646" t="s">
        <v>297</v>
      </c>
      <c r="D7646">
        <v>37158</v>
      </c>
      <c r="E7646">
        <v>37414</v>
      </c>
      <c r="F7646">
        <v>36760</v>
      </c>
      <c r="G7646">
        <v>35565</v>
      </c>
    </row>
    <row r="7647" spans="1:7">
      <c r="A7647" t="s">
        <v>1876</v>
      </c>
      <c r="B7647" t="s">
        <v>370</v>
      </c>
      <c r="C7647" t="s">
        <v>1952</v>
      </c>
      <c r="D7647">
        <v>0</v>
      </c>
      <c r="E7647">
        <v>0</v>
      </c>
      <c r="F7647">
        <v>0</v>
      </c>
      <c r="G7647">
        <v>0</v>
      </c>
    </row>
    <row r="7648" spans="1:7">
      <c r="A7648" t="s">
        <v>1876</v>
      </c>
      <c r="B7648" t="s">
        <v>370</v>
      </c>
      <c r="C7648" t="s">
        <v>298</v>
      </c>
      <c r="D7648">
        <v>612</v>
      </c>
      <c r="E7648">
        <v>636</v>
      </c>
      <c r="F7648">
        <v>637</v>
      </c>
      <c r="G7648">
        <v>557</v>
      </c>
    </row>
    <row r="7649" spans="1:7">
      <c r="A7649" t="s">
        <v>1876</v>
      </c>
      <c r="B7649" t="s">
        <v>370</v>
      </c>
      <c r="C7649" t="s">
        <v>299</v>
      </c>
      <c r="D7649">
        <v>178</v>
      </c>
      <c r="E7649">
        <v>241</v>
      </c>
      <c r="F7649">
        <v>300</v>
      </c>
      <c r="G7649">
        <v>384</v>
      </c>
    </row>
    <row r="7650" spans="1:7">
      <c r="A7650" t="s">
        <v>1876</v>
      </c>
      <c r="B7650" t="s">
        <v>370</v>
      </c>
      <c r="C7650" t="s">
        <v>300</v>
      </c>
      <c r="D7650">
        <v>6461</v>
      </c>
      <c r="E7650">
        <v>6487</v>
      </c>
      <c r="F7650">
        <v>7146</v>
      </c>
      <c r="G7650">
        <v>7487</v>
      </c>
    </row>
    <row r="7651" spans="1:7">
      <c r="A7651" t="s">
        <v>1876</v>
      </c>
      <c r="B7651" t="s">
        <v>370</v>
      </c>
      <c r="C7651" t="s">
        <v>1722</v>
      </c>
      <c r="D7651">
        <v>1094</v>
      </c>
      <c r="E7651">
        <v>1143</v>
      </c>
      <c r="F7651">
        <v>1291</v>
      </c>
      <c r="G7651">
        <v>1642</v>
      </c>
    </row>
    <row r="7652" spans="1:7">
      <c r="A7652" t="s">
        <v>1876</v>
      </c>
      <c r="B7652" t="s">
        <v>370</v>
      </c>
      <c r="C7652" t="s">
        <v>301</v>
      </c>
      <c r="D7652">
        <v>73</v>
      </c>
      <c r="E7652">
        <v>79</v>
      </c>
      <c r="F7652">
        <v>79</v>
      </c>
      <c r="G7652">
        <v>391</v>
      </c>
    </row>
    <row r="7653" spans="1:7">
      <c r="A7653" t="s">
        <v>1876</v>
      </c>
      <c r="B7653" t="s">
        <v>370</v>
      </c>
      <c r="C7653" t="s">
        <v>302</v>
      </c>
      <c r="D7653">
        <v>587</v>
      </c>
      <c r="E7653">
        <v>722</v>
      </c>
      <c r="F7653">
        <v>931</v>
      </c>
      <c r="G7653">
        <v>1124</v>
      </c>
    </row>
    <row r="7654" spans="1:7">
      <c r="A7654" t="s">
        <v>1876</v>
      </c>
      <c r="B7654" t="s">
        <v>370</v>
      </c>
      <c r="C7654" t="s">
        <v>303</v>
      </c>
      <c r="D7654">
        <v>7299</v>
      </c>
      <c r="E7654">
        <v>7529</v>
      </c>
      <c r="F7654">
        <v>8455</v>
      </c>
      <c r="G7654">
        <v>9385</v>
      </c>
    </row>
    <row r="7655" spans="1:7">
      <c r="A7655" t="s">
        <v>1876</v>
      </c>
      <c r="B7655" t="s">
        <v>370</v>
      </c>
      <c r="C7655" t="s">
        <v>304</v>
      </c>
      <c r="D7655">
        <v>838</v>
      </c>
      <c r="E7655">
        <v>1042</v>
      </c>
      <c r="F7655">
        <v>1309</v>
      </c>
      <c r="G7655">
        <v>1898</v>
      </c>
    </row>
    <row r="7656" spans="1:7">
      <c r="A7656" t="s">
        <v>1876</v>
      </c>
      <c r="B7656" t="s">
        <v>370</v>
      </c>
      <c r="C7656" t="s">
        <v>1953</v>
      </c>
      <c r="D7656">
        <v>20.399999999999999</v>
      </c>
      <c r="E7656">
        <v>19.600000000000001</v>
      </c>
      <c r="F7656">
        <v>20</v>
      </c>
      <c r="G7656">
        <v>19.399999999999999</v>
      </c>
    </row>
    <row r="7657" spans="1:7">
      <c r="A7657" t="s">
        <v>1876</v>
      </c>
      <c r="B7657" t="s">
        <v>370</v>
      </c>
      <c r="C7657" t="s">
        <v>305</v>
      </c>
      <c r="D7657">
        <v>443512</v>
      </c>
      <c r="E7657">
        <v>448341</v>
      </c>
      <c r="F7657">
        <v>453437</v>
      </c>
      <c r="G7657">
        <v>455386</v>
      </c>
    </row>
    <row r="7658" spans="1:7">
      <c r="A7658" t="s">
        <v>1876</v>
      </c>
      <c r="B7658" t="s">
        <v>370</v>
      </c>
      <c r="C7658" t="s">
        <v>306</v>
      </c>
      <c r="D7658">
        <v>77.599999999999994</v>
      </c>
      <c r="E7658">
        <v>78.3</v>
      </c>
      <c r="F7658">
        <v>78.8</v>
      </c>
      <c r="G7658">
        <v>78.5</v>
      </c>
    </row>
    <row r="7659" spans="1:7">
      <c r="A7659" t="s">
        <v>1876</v>
      </c>
      <c r="B7659" t="s">
        <v>370</v>
      </c>
      <c r="C7659" t="s">
        <v>307</v>
      </c>
      <c r="D7659">
        <v>317872</v>
      </c>
      <c r="E7659">
        <v>338122</v>
      </c>
      <c r="F7659">
        <v>311824</v>
      </c>
      <c r="G7659">
        <v>299596</v>
      </c>
    </row>
    <row r="7660" spans="1:7">
      <c r="A7660" t="s">
        <v>1876</v>
      </c>
      <c r="B7660" t="s">
        <v>370</v>
      </c>
      <c r="C7660" t="s">
        <v>308</v>
      </c>
      <c r="D7660">
        <v>55.6</v>
      </c>
      <c r="E7660">
        <v>59</v>
      </c>
      <c r="F7660">
        <v>54.2</v>
      </c>
      <c r="G7660">
        <v>51.7</v>
      </c>
    </row>
    <row r="7661" spans="1:7">
      <c r="A7661" t="s">
        <v>1876</v>
      </c>
      <c r="B7661" t="s">
        <v>370</v>
      </c>
      <c r="C7661" t="s">
        <v>309</v>
      </c>
      <c r="D7661">
        <v>480766</v>
      </c>
      <c r="E7661">
        <v>478340</v>
      </c>
      <c r="F7661">
        <v>452659</v>
      </c>
      <c r="G7661">
        <v>448653</v>
      </c>
    </row>
    <row r="7662" spans="1:7">
      <c r="A7662" t="s">
        <v>1876</v>
      </c>
      <c r="B7662" t="s">
        <v>370</v>
      </c>
      <c r="C7662" t="s">
        <v>310</v>
      </c>
      <c r="D7662">
        <v>578734</v>
      </c>
      <c r="E7662">
        <v>564963</v>
      </c>
      <c r="F7662">
        <v>555459</v>
      </c>
      <c r="G7662">
        <v>547566</v>
      </c>
    </row>
    <row r="7663" spans="1:7">
      <c r="A7663" t="s">
        <v>1876</v>
      </c>
      <c r="B7663" t="s">
        <v>370</v>
      </c>
      <c r="C7663" t="s">
        <v>311</v>
      </c>
      <c r="D7663">
        <v>101.3</v>
      </c>
      <c r="E7663">
        <v>98.6</v>
      </c>
      <c r="F7663">
        <v>96.6</v>
      </c>
      <c r="G7663">
        <v>94.5</v>
      </c>
    </row>
    <row r="7664" spans="1:7">
      <c r="A7664" t="s">
        <v>1876</v>
      </c>
      <c r="B7664" t="s">
        <v>370</v>
      </c>
      <c r="C7664" t="s">
        <v>312</v>
      </c>
      <c r="D7664">
        <v>382661</v>
      </c>
      <c r="E7664">
        <v>405375</v>
      </c>
      <c r="F7664">
        <v>367144</v>
      </c>
      <c r="G7664">
        <v>346210</v>
      </c>
    </row>
    <row r="7665" spans="1:7">
      <c r="A7665" t="s">
        <v>1876</v>
      </c>
      <c r="B7665" t="s">
        <v>370</v>
      </c>
      <c r="C7665" t="s">
        <v>313</v>
      </c>
      <c r="D7665">
        <v>67</v>
      </c>
      <c r="E7665">
        <v>70.8</v>
      </c>
      <c r="F7665">
        <v>63.8</v>
      </c>
      <c r="G7665">
        <v>59.7</v>
      </c>
    </row>
    <row r="7666" spans="1:7">
      <c r="A7666" t="s">
        <v>1876</v>
      </c>
      <c r="B7666" t="s">
        <v>370</v>
      </c>
      <c r="C7666" t="s">
        <v>314</v>
      </c>
      <c r="D7666">
        <v>1722779</v>
      </c>
      <c r="E7666">
        <v>1756803</v>
      </c>
      <c r="F7666">
        <v>1687864</v>
      </c>
      <c r="G7666">
        <v>1648756</v>
      </c>
    </row>
    <row r="7667" spans="1:7">
      <c r="A7667" t="s">
        <v>1876</v>
      </c>
      <c r="B7667" t="s">
        <v>370</v>
      </c>
      <c r="C7667" t="s">
        <v>315</v>
      </c>
      <c r="D7667">
        <v>4.5599999999999996</v>
      </c>
      <c r="E7667">
        <v>4.55</v>
      </c>
      <c r="F7667">
        <v>4.33</v>
      </c>
      <c r="G7667">
        <v>4.13</v>
      </c>
    </row>
    <row r="7668" spans="1:7">
      <c r="A7668" t="s">
        <v>1876</v>
      </c>
      <c r="B7668" t="s">
        <v>370</v>
      </c>
      <c r="C7668" t="s">
        <v>316</v>
      </c>
      <c r="D7668">
        <v>301.5</v>
      </c>
      <c r="E7668">
        <v>306.7</v>
      </c>
      <c r="F7668">
        <v>293.39999999999998</v>
      </c>
      <c r="G7668">
        <v>284.39999999999998</v>
      </c>
    </row>
    <row r="7669" spans="1:7">
      <c r="A7669" t="s">
        <v>1876</v>
      </c>
      <c r="B7669" t="s">
        <v>370</v>
      </c>
      <c r="C7669" t="s">
        <v>317</v>
      </c>
      <c r="D7669">
        <v>1722780</v>
      </c>
      <c r="E7669">
        <v>1756801</v>
      </c>
      <c r="F7669">
        <v>1687864</v>
      </c>
      <c r="G7669">
        <v>1648757</v>
      </c>
    </row>
    <row r="7670" spans="1:7">
      <c r="A7670" t="s">
        <v>1876</v>
      </c>
      <c r="B7670" t="s">
        <v>370</v>
      </c>
      <c r="C7670" t="s">
        <v>318</v>
      </c>
      <c r="D7670">
        <v>443396</v>
      </c>
      <c r="E7670">
        <v>448245</v>
      </c>
      <c r="F7670">
        <v>453357</v>
      </c>
      <c r="G7670">
        <v>455317</v>
      </c>
    </row>
    <row r="7671" spans="1:7">
      <c r="A7671" t="s">
        <v>1876</v>
      </c>
      <c r="B7671" t="s">
        <v>370</v>
      </c>
      <c r="C7671" t="s">
        <v>319</v>
      </c>
      <c r="D7671">
        <v>204791</v>
      </c>
      <c r="E7671">
        <v>229776</v>
      </c>
      <c r="F7671">
        <v>211266</v>
      </c>
      <c r="G7671">
        <v>198475</v>
      </c>
    </row>
    <row r="7672" spans="1:7">
      <c r="A7672" t="s">
        <v>1876</v>
      </c>
      <c r="B7672" t="s">
        <v>370</v>
      </c>
      <c r="C7672" t="s">
        <v>320</v>
      </c>
      <c r="D7672">
        <v>470085</v>
      </c>
      <c r="E7672">
        <v>465746</v>
      </c>
      <c r="F7672">
        <v>464032</v>
      </c>
      <c r="G7672">
        <v>457484</v>
      </c>
    </row>
    <row r="7673" spans="1:7">
      <c r="A7673" t="s">
        <v>1876</v>
      </c>
      <c r="B7673" t="s">
        <v>370</v>
      </c>
      <c r="C7673" t="s">
        <v>321</v>
      </c>
      <c r="D7673">
        <v>263678</v>
      </c>
      <c r="E7673">
        <v>292850</v>
      </c>
      <c r="F7673">
        <v>264766</v>
      </c>
      <c r="G7673">
        <v>246915</v>
      </c>
    </row>
    <row r="7674" spans="1:7">
      <c r="A7674" t="s">
        <v>1876</v>
      </c>
      <c r="B7674" t="s">
        <v>370</v>
      </c>
      <c r="C7674" t="s">
        <v>1954</v>
      </c>
      <c r="D7674">
        <v>1381950</v>
      </c>
      <c r="E7674">
        <v>1436618</v>
      </c>
      <c r="F7674">
        <v>1393421</v>
      </c>
      <c r="G7674">
        <v>1358191</v>
      </c>
    </row>
    <row r="7675" spans="1:7">
      <c r="A7675" t="s">
        <v>1876</v>
      </c>
      <c r="B7675" t="s">
        <v>370</v>
      </c>
      <c r="C7675" t="s">
        <v>323</v>
      </c>
      <c r="D7675">
        <v>5714</v>
      </c>
      <c r="E7675">
        <v>5728</v>
      </c>
      <c r="F7675">
        <v>5753</v>
      </c>
      <c r="G7675">
        <v>5797</v>
      </c>
    </row>
    <row r="7676" spans="1:7">
      <c r="A7676" t="s">
        <v>1876</v>
      </c>
      <c r="B7676" t="s">
        <v>370</v>
      </c>
      <c r="C7676" t="s">
        <v>324</v>
      </c>
      <c r="D7676">
        <v>1234</v>
      </c>
      <c r="E7676">
        <v>0</v>
      </c>
      <c r="F7676">
        <v>0</v>
      </c>
      <c r="G7676">
        <v>0</v>
      </c>
    </row>
    <row r="7677" spans="1:7">
      <c r="A7677" t="s">
        <v>1876</v>
      </c>
      <c r="B7677" t="s">
        <v>370</v>
      </c>
      <c r="C7677" t="s">
        <v>325</v>
      </c>
      <c r="D7677">
        <v>0</v>
      </c>
      <c r="E7677">
        <v>0</v>
      </c>
      <c r="F7677">
        <v>0</v>
      </c>
      <c r="G7677">
        <v>0</v>
      </c>
    </row>
    <row r="7678" spans="1:7">
      <c r="A7678" t="s">
        <v>1876</v>
      </c>
      <c r="B7678" t="s">
        <v>370</v>
      </c>
      <c r="C7678" t="s">
        <v>326</v>
      </c>
      <c r="D7678">
        <v>4451</v>
      </c>
      <c r="E7678">
        <v>4962</v>
      </c>
      <c r="F7678">
        <v>3970</v>
      </c>
      <c r="G7678">
        <v>3935</v>
      </c>
    </row>
    <row r="7679" spans="1:7">
      <c r="A7679" t="s">
        <v>1876</v>
      </c>
      <c r="B7679" t="s">
        <v>370</v>
      </c>
      <c r="C7679" t="s">
        <v>327</v>
      </c>
      <c r="D7679">
        <v>3192</v>
      </c>
      <c r="E7679">
        <v>3417</v>
      </c>
      <c r="F7679">
        <v>2901</v>
      </c>
      <c r="G7679">
        <v>3011</v>
      </c>
    </row>
    <row r="7680" spans="1:7">
      <c r="A7680" t="s">
        <v>1876</v>
      </c>
      <c r="B7680" t="s">
        <v>370</v>
      </c>
      <c r="C7680" t="s">
        <v>1723</v>
      </c>
      <c r="D7680">
        <v>206</v>
      </c>
      <c r="E7680">
        <v>206</v>
      </c>
      <c r="F7680">
        <v>206</v>
      </c>
      <c r="G7680">
        <v>206</v>
      </c>
    </row>
    <row r="7681" spans="1:7">
      <c r="A7681" t="s">
        <v>1876</v>
      </c>
      <c r="B7681" t="s">
        <v>370</v>
      </c>
      <c r="C7681" t="s">
        <v>328</v>
      </c>
      <c r="D7681">
        <v>26302</v>
      </c>
      <c r="E7681">
        <v>21229</v>
      </c>
      <c r="F7681">
        <v>20088</v>
      </c>
      <c r="G7681">
        <v>21114</v>
      </c>
    </row>
    <row r="7682" spans="1:7">
      <c r="A7682" t="s">
        <v>1876</v>
      </c>
      <c r="B7682" t="s">
        <v>370</v>
      </c>
      <c r="C7682" t="s">
        <v>329</v>
      </c>
      <c r="D7682">
        <v>13859</v>
      </c>
      <c r="E7682">
        <v>17917</v>
      </c>
      <c r="F7682">
        <v>15083</v>
      </c>
      <c r="G7682">
        <v>14088</v>
      </c>
    </row>
    <row r="7683" spans="1:7">
      <c r="A7683" t="s">
        <v>1876</v>
      </c>
      <c r="B7683" t="s">
        <v>370</v>
      </c>
      <c r="C7683" t="s">
        <v>330</v>
      </c>
      <c r="D7683">
        <v>47804</v>
      </c>
      <c r="E7683">
        <v>47526</v>
      </c>
      <c r="F7683">
        <v>42042</v>
      </c>
      <c r="G7683">
        <v>42148</v>
      </c>
    </row>
    <row r="7684" spans="1:7">
      <c r="A7684" t="s">
        <v>1876</v>
      </c>
      <c r="B7684" t="s">
        <v>370</v>
      </c>
      <c r="C7684" t="s">
        <v>331</v>
      </c>
      <c r="D7684">
        <v>538</v>
      </c>
      <c r="E7684">
        <v>575</v>
      </c>
      <c r="F7684">
        <v>577</v>
      </c>
      <c r="G7684">
        <v>592</v>
      </c>
    </row>
    <row r="7685" spans="1:7">
      <c r="A7685" t="s">
        <v>1876</v>
      </c>
      <c r="B7685" t="s">
        <v>370</v>
      </c>
      <c r="C7685" t="s">
        <v>332</v>
      </c>
      <c r="D7685">
        <v>5301</v>
      </c>
      <c r="E7685">
        <v>5517</v>
      </c>
      <c r="F7685">
        <v>5114</v>
      </c>
      <c r="G7685">
        <v>5042</v>
      </c>
    </row>
    <row r="7686" spans="1:7">
      <c r="A7686" t="s">
        <v>1876</v>
      </c>
      <c r="B7686" t="s">
        <v>370</v>
      </c>
      <c r="C7686" t="s">
        <v>1724</v>
      </c>
      <c r="D7686">
        <v>118</v>
      </c>
      <c r="E7686">
        <v>111</v>
      </c>
      <c r="F7686">
        <v>111</v>
      </c>
      <c r="G7686">
        <v>111</v>
      </c>
    </row>
    <row r="7687" spans="1:7">
      <c r="A7687" t="s">
        <v>1876</v>
      </c>
      <c r="B7687" t="s">
        <v>370</v>
      </c>
      <c r="C7687" t="s">
        <v>333</v>
      </c>
      <c r="D7687">
        <v>2071</v>
      </c>
      <c r="E7687">
        <v>2868</v>
      </c>
      <c r="F7687">
        <v>3125</v>
      </c>
      <c r="G7687">
        <v>3044</v>
      </c>
    </row>
    <row r="7688" spans="1:7">
      <c r="A7688" t="s">
        <v>1876</v>
      </c>
      <c r="B7688" t="s">
        <v>370</v>
      </c>
      <c r="C7688" t="s">
        <v>334</v>
      </c>
      <c r="D7688">
        <v>7910</v>
      </c>
      <c r="E7688">
        <v>8959</v>
      </c>
      <c r="F7688">
        <v>8816</v>
      </c>
      <c r="G7688">
        <v>8678</v>
      </c>
    </row>
    <row r="7689" spans="1:7">
      <c r="A7689" t="s">
        <v>1876</v>
      </c>
      <c r="B7689" t="s">
        <v>370</v>
      </c>
      <c r="C7689" t="s">
        <v>335</v>
      </c>
      <c r="D7689">
        <v>4990</v>
      </c>
      <c r="E7689">
        <v>5537</v>
      </c>
      <c r="F7689">
        <v>4547</v>
      </c>
      <c r="G7689">
        <v>4527</v>
      </c>
    </row>
    <row r="7690" spans="1:7">
      <c r="A7690" t="s">
        <v>1876</v>
      </c>
      <c r="B7690" t="s">
        <v>370</v>
      </c>
      <c r="C7690" t="s">
        <v>336</v>
      </c>
      <c r="D7690">
        <v>8493</v>
      </c>
      <c r="E7690">
        <v>8934</v>
      </c>
      <c r="F7690">
        <v>8014</v>
      </c>
      <c r="G7690">
        <v>8053</v>
      </c>
    </row>
    <row r="7691" spans="1:7">
      <c r="A7691" t="s">
        <v>1876</v>
      </c>
      <c r="B7691" t="s">
        <v>370</v>
      </c>
      <c r="C7691" t="s">
        <v>337</v>
      </c>
      <c r="D7691">
        <v>28373</v>
      </c>
      <c r="E7691">
        <v>24096</v>
      </c>
      <c r="F7691">
        <v>23213</v>
      </c>
      <c r="G7691">
        <v>24158</v>
      </c>
    </row>
    <row r="7692" spans="1:7">
      <c r="A7692" t="s">
        <v>1876</v>
      </c>
      <c r="B7692" t="s">
        <v>370</v>
      </c>
      <c r="C7692" t="s">
        <v>338</v>
      </c>
      <c r="D7692">
        <v>55714</v>
      </c>
      <c r="E7692">
        <v>56485</v>
      </c>
      <c r="F7692">
        <v>50857</v>
      </c>
      <c r="G7692">
        <v>50826</v>
      </c>
    </row>
    <row r="7693" spans="1:7">
      <c r="A7693" t="s">
        <v>1876</v>
      </c>
      <c r="B7693" t="s">
        <v>370</v>
      </c>
      <c r="C7693" t="s">
        <v>339</v>
      </c>
      <c r="D7693">
        <v>47221</v>
      </c>
      <c r="E7693">
        <v>47551</v>
      </c>
      <c r="F7693">
        <v>42843</v>
      </c>
      <c r="G7693">
        <v>42773</v>
      </c>
    </row>
    <row r="7694" spans="1:7">
      <c r="A7694" t="s">
        <v>1876</v>
      </c>
      <c r="B7694" t="s">
        <v>370</v>
      </c>
      <c r="C7694" t="s">
        <v>340</v>
      </c>
      <c r="D7694">
        <v>316</v>
      </c>
      <c r="E7694">
        <v>352</v>
      </c>
      <c r="F7694">
        <v>244</v>
      </c>
      <c r="G7694">
        <v>300</v>
      </c>
    </row>
    <row r="7695" spans="1:7">
      <c r="A7695" t="s">
        <v>1876</v>
      </c>
      <c r="B7695" t="s">
        <v>370</v>
      </c>
      <c r="C7695" t="s">
        <v>1955</v>
      </c>
      <c r="D7695">
        <v>30.4</v>
      </c>
      <c r="E7695">
        <v>36.6</v>
      </c>
      <c r="F7695">
        <v>33.4</v>
      </c>
      <c r="G7695">
        <v>34.299999999999997</v>
      </c>
    </row>
    <row r="7696" spans="1:7">
      <c r="A7696" t="s">
        <v>1876</v>
      </c>
      <c r="B7696" t="s">
        <v>370</v>
      </c>
      <c r="C7696" t="s">
        <v>341</v>
      </c>
      <c r="D7696">
        <v>81</v>
      </c>
      <c r="E7696">
        <v>90</v>
      </c>
      <c r="F7696">
        <v>64</v>
      </c>
      <c r="G7696">
        <v>81</v>
      </c>
    </row>
    <row r="7697" spans="1:7">
      <c r="A7697" t="s">
        <v>1876</v>
      </c>
      <c r="B7697" t="s">
        <v>370</v>
      </c>
      <c r="C7697" t="s">
        <v>342</v>
      </c>
      <c r="D7697">
        <v>41789</v>
      </c>
      <c r="E7697">
        <v>51401</v>
      </c>
      <c r="F7697">
        <v>49062</v>
      </c>
      <c r="G7697">
        <v>50353</v>
      </c>
    </row>
    <row r="7698" spans="1:7">
      <c r="A7698" t="s">
        <v>1876</v>
      </c>
      <c r="B7698" t="s">
        <v>370</v>
      </c>
      <c r="C7698" t="s">
        <v>1725</v>
      </c>
      <c r="D7698">
        <v>4694</v>
      </c>
      <c r="E7698">
        <v>4829</v>
      </c>
      <c r="F7698">
        <v>4929</v>
      </c>
      <c r="G7698">
        <v>4901</v>
      </c>
    </row>
    <row r="7699" spans="1:7">
      <c r="A7699" t="s">
        <v>1876</v>
      </c>
      <c r="B7699" t="s">
        <v>370</v>
      </c>
      <c r="C7699" t="s">
        <v>343</v>
      </c>
      <c r="D7699">
        <v>0</v>
      </c>
      <c r="E7699">
        <v>0</v>
      </c>
      <c r="F7699">
        <v>0</v>
      </c>
      <c r="G7699">
        <v>0</v>
      </c>
    </row>
    <row r="7700" spans="1:7">
      <c r="A7700" t="s">
        <v>1876</v>
      </c>
      <c r="B7700" t="s">
        <v>370</v>
      </c>
      <c r="C7700" t="s">
        <v>344</v>
      </c>
      <c r="D7700">
        <v>41870</v>
      </c>
      <c r="E7700">
        <v>51491</v>
      </c>
      <c r="F7700">
        <v>49127</v>
      </c>
      <c r="G7700">
        <v>50434</v>
      </c>
    </row>
    <row r="7701" spans="1:7">
      <c r="A7701" t="s">
        <v>1876</v>
      </c>
      <c r="B7701" t="s">
        <v>370</v>
      </c>
      <c r="C7701" t="s">
        <v>345</v>
      </c>
      <c r="D7701">
        <v>81</v>
      </c>
      <c r="E7701">
        <v>90</v>
      </c>
      <c r="F7701">
        <v>64</v>
      </c>
      <c r="G7701">
        <v>81</v>
      </c>
    </row>
    <row r="7702" spans="1:7">
      <c r="A7702" t="s">
        <v>1876</v>
      </c>
      <c r="B7702" t="s">
        <v>370</v>
      </c>
      <c r="C7702" t="s">
        <v>1956</v>
      </c>
      <c r="D7702">
        <v>5301</v>
      </c>
      <c r="E7702">
        <v>5517</v>
      </c>
      <c r="F7702">
        <v>5114</v>
      </c>
      <c r="G7702">
        <v>5042</v>
      </c>
    </row>
    <row r="7703" spans="1:7">
      <c r="A7703" t="s">
        <v>1876</v>
      </c>
      <c r="B7703" t="s">
        <v>370</v>
      </c>
      <c r="C7703" t="s">
        <v>1957</v>
      </c>
      <c r="D7703">
        <v>7910</v>
      </c>
      <c r="E7703">
        <v>8959</v>
      </c>
      <c r="F7703">
        <v>8816</v>
      </c>
      <c r="G7703">
        <v>8678</v>
      </c>
    </row>
    <row r="7704" spans="1:7">
      <c r="A7704" t="s">
        <v>1876</v>
      </c>
      <c r="B7704" t="s">
        <v>370</v>
      </c>
      <c r="C7704" t="s">
        <v>346</v>
      </c>
      <c r="D7704">
        <v>651</v>
      </c>
      <c r="E7704">
        <v>496</v>
      </c>
      <c r="F7704">
        <v>582</v>
      </c>
      <c r="G7704">
        <v>535</v>
      </c>
    </row>
    <row r="7705" spans="1:7">
      <c r="A7705" t="s">
        <v>1876</v>
      </c>
      <c r="B7705" t="s">
        <v>370</v>
      </c>
      <c r="C7705" t="s">
        <v>347</v>
      </c>
      <c r="D7705">
        <v>7826</v>
      </c>
      <c r="E7705">
        <v>9123</v>
      </c>
      <c r="F7705">
        <v>7809</v>
      </c>
      <c r="G7705">
        <v>7215</v>
      </c>
    </row>
    <row r="7706" spans="1:7">
      <c r="A7706" t="s">
        <v>1876</v>
      </c>
      <c r="B7706" t="s">
        <v>371</v>
      </c>
      <c r="C7706" t="s">
        <v>133</v>
      </c>
      <c r="D7706">
        <v>0</v>
      </c>
      <c r="E7706">
        <v>0</v>
      </c>
      <c r="F7706">
        <v>0</v>
      </c>
      <c r="G7706">
        <v>0</v>
      </c>
    </row>
    <row r="7707" spans="1:7">
      <c r="A7707" t="s">
        <v>1876</v>
      </c>
      <c r="B7707" t="s">
        <v>371</v>
      </c>
      <c r="C7707" t="s">
        <v>134</v>
      </c>
      <c r="D7707">
        <v>15476</v>
      </c>
      <c r="E7707">
        <v>15782</v>
      </c>
      <c r="F7707">
        <v>16136</v>
      </c>
      <c r="G7707">
        <v>21357</v>
      </c>
    </row>
    <row r="7708" spans="1:7">
      <c r="A7708" t="s">
        <v>1876</v>
      </c>
      <c r="B7708" t="s">
        <v>371</v>
      </c>
      <c r="C7708" t="s">
        <v>135</v>
      </c>
      <c r="D7708">
        <v>15476</v>
      </c>
      <c r="E7708">
        <v>15782</v>
      </c>
      <c r="F7708">
        <v>16136</v>
      </c>
      <c r="G7708">
        <v>21357</v>
      </c>
    </row>
    <row r="7709" spans="1:7">
      <c r="A7709" t="s">
        <v>1876</v>
      </c>
      <c r="B7709" t="s">
        <v>371</v>
      </c>
      <c r="C7709" t="s">
        <v>136</v>
      </c>
      <c r="D7709">
        <v>15476</v>
      </c>
      <c r="E7709">
        <v>15782</v>
      </c>
      <c r="F7709">
        <v>16136</v>
      </c>
      <c r="G7709">
        <v>21357</v>
      </c>
    </row>
    <row r="7710" spans="1:7">
      <c r="A7710" t="s">
        <v>1876</v>
      </c>
      <c r="B7710" t="s">
        <v>371</v>
      </c>
      <c r="C7710" t="s">
        <v>137</v>
      </c>
      <c r="D7710">
        <v>384</v>
      </c>
      <c r="E7710">
        <v>397</v>
      </c>
      <c r="F7710">
        <v>377</v>
      </c>
      <c r="G7710">
        <v>406</v>
      </c>
    </row>
    <row r="7711" spans="1:7">
      <c r="A7711" t="s">
        <v>1876</v>
      </c>
      <c r="B7711" t="s">
        <v>371</v>
      </c>
      <c r="C7711" t="s">
        <v>138</v>
      </c>
      <c r="D7711">
        <v>384</v>
      </c>
      <c r="E7711">
        <v>397</v>
      </c>
      <c r="F7711">
        <v>377</v>
      </c>
      <c r="G7711">
        <v>406</v>
      </c>
    </row>
    <row r="7712" spans="1:7">
      <c r="A7712" t="s">
        <v>1876</v>
      </c>
      <c r="B7712" t="s">
        <v>371</v>
      </c>
      <c r="C7712" t="s">
        <v>139</v>
      </c>
      <c r="D7712">
        <v>384</v>
      </c>
      <c r="E7712">
        <v>397</v>
      </c>
      <c r="F7712">
        <v>377</v>
      </c>
      <c r="G7712">
        <v>406</v>
      </c>
    </row>
    <row r="7713" spans="1:7">
      <c r="A7713" t="s">
        <v>1876</v>
      </c>
      <c r="B7713" t="s">
        <v>371</v>
      </c>
      <c r="C7713" t="s">
        <v>1877</v>
      </c>
      <c r="D7713">
        <v>0</v>
      </c>
      <c r="E7713">
        <v>0</v>
      </c>
      <c r="F7713">
        <v>0</v>
      </c>
      <c r="G7713">
        <v>0</v>
      </c>
    </row>
    <row r="7714" spans="1:7">
      <c r="A7714" t="s">
        <v>1876</v>
      </c>
      <c r="B7714" t="s">
        <v>371</v>
      </c>
      <c r="C7714" t="s">
        <v>1700</v>
      </c>
      <c r="D7714">
        <v>0</v>
      </c>
      <c r="E7714">
        <v>0</v>
      </c>
      <c r="F7714">
        <v>0</v>
      </c>
      <c r="G7714">
        <v>0</v>
      </c>
    </row>
    <row r="7715" spans="1:7">
      <c r="A7715" t="s">
        <v>1876</v>
      </c>
      <c r="B7715" t="s">
        <v>371</v>
      </c>
      <c r="C7715" t="s">
        <v>1878</v>
      </c>
      <c r="D7715">
        <v>0</v>
      </c>
      <c r="E7715">
        <v>0</v>
      </c>
      <c r="F7715">
        <v>0</v>
      </c>
      <c r="G7715">
        <v>0</v>
      </c>
    </row>
    <row r="7716" spans="1:7">
      <c r="A7716" t="s">
        <v>1876</v>
      </c>
      <c r="B7716" t="s">
        <v>371</v>
      </c>
      <c r="C7716" t="s">
        <v>1879</v>
      </c>
      <c r="D7716">
        <v>0</v>
      </c>
      <c r="E7716">
        <v>0</v>
      </c>
      <c r="F7716">
        <v>0</v>
      </c>
      <c r="G7716">
        <v>0</v>
      </c>
    </row>
    <row r="7717" spans="1:7">
      <c r="A7717" t="s">
        <v>1876</v>
      </c>
      <c r="B7717" t="s">
        <v>371</v>
      </c>
      <c r="C7717" t="s">
        <v>1701</v>
      </c>
      <c r="D7717">
        <v>0</v>
      </c>
      <c r="E7717">
        <v>0</v>
      </c>
      <c r="F7717">
        <v>0</v>
      </c>
      <c r="G7717">
        <v>0</v>
      </c>
    </row>
    <row r="7718" spans="1:7">
      <c r="A7718" t="s">
        <v>1876</v>
      </c>
      <c r="B7718" t="s">
        <v>371</v>
      </c>
      <c r="C7718" t="s">
        <v>1880</v>
      </c>
      <c r="D7718">
        <v>1542</v>
      </c>
      <c r="E7718">
        <v>1316</v>
      </c>
      <c r="F7718">
        <v>1542</v>
      </c>
      <c r="G7718">
        <v>1478</v>
      </c>
    </row>
    <row r="7719" spans="1:7">
      <c r="A7719" t="s">
        <v>1876</v>
      </c>
      <c r="B7719" t="s">
        <v>371</v>
      </c>
      <c r="C7719" t="s">
        <v>140</v>
      </c>
      <c r="D7719">
        <v>3623</v>
      </c>
      <c r="E7719">
        <v>3180</v>
      </c>
      <c r="F7719">
        <v>4158</v>
      </c>
      <c r="G7719">
        <v>4213</v>
      </c>
    </row>
    <row r="7720" spans="1:7">
      <c r="A7720" t="s">
        <v>1876</v>
      </c>
      <c r="B7720" t="s">
        <v>371</v>
      </c>
      <c r="C7720" t="s">
        <v>1881</v>
      </c>
      <c r="D7720">
        <v>2081</v>
      </c>
      <c r="E7720">
        <v>1864</v>
      </c>
      <c r="F7720">
        <v>2616</v>
      </c>
      <c r="G7720">
        <v>2735</v>
      </c>
    </row>
    <row r="7721" spans="1:7">
      <c r="A7721" t="s">
        <v>1876</v>
      </c>
      <c r="B7721" t="s">
        <v>371</v>
      </c>
      <c r="C7721" t="s">
        <v>1882</v>
      </c>
      <c r="D7721">
        <v>0</v>
      </c>
      <c r="E7721">
        <v>0</v>
      </c>
      <c r="F7721">
        <v>0</v>
      </c>
      <c r="G7721">
        <v>0</v>
      </c>
    </row>
    <row r="7722" spans="1:7">
      <c r="A7722" t="s">
        <v>1876</v>
      </c>
      <c r="B7722" t="s">
        <v>371</v>
      </c>
      <c r="C7722" t="s">
        <v>1883</v>
      </c>
      <c r="D7722">
        <v>0</v>
      </c>
      <c r="E7722">
        <v>0</v>
      </c>
      <c r="F7722">
        <v>0</v>
      </c>
      <c r="G7722">
        <v>0</v>
      </c>
    </row>
    <row r="7723" spans="1:7">
      <c r="A7723" t="s">
        <v>1876</v>
      </c>
      <c r="B7723" t="s">
        <v>371</v>
      </c>
      <c r="C7723" t="s">
        <v>1884</v>
      </c>
      <c r="D7723">
        <v>0</v>
      </c>
      <c r="E7723">
        <v>0</v>
      </c>
      <c r="F7723">
        <v>0</v>
      </c>
      <c r="G7723">
        <v>0</v>
      </c>
    </row>
    <row r="7724" spans="1:7">
      <c r="A7724" t="s">
        <v>1876</v>
      </c>
      <c r="B7724" t="s">
        <v>371</v>
      </c>
      <c r="C7724" t="s">
        <v>1885</v>
      </c>
      <c r="D7724">
        <v>0</v>
      </c>
      <c r="E7724">
        <v>0</v>
      </c>
      <c r="F7724">
        <v>0</v>
      </c>
      <c r="G7724">
        <v>0</v>
      </c>
    </row>
    <row r="7725" spans="1:7">
      <c r="A7725" t="s">
        <v>1876</v>
      </c>
      <c r="B7725" t="s">
        <v>371</v>
      </c>
      <c r="C7725" t="s">
        <v>1886</v>
      </c>
      <c r="D7725">
        <v>0</v>
      </c>
      <c r="E7725">
        <v>0</v>
      </c>
      <c r="F7725">
        <v>0</v>
      </c>
      <c r="G7725">
        <v>0</v>
      </c>
    </row>
    <row r="7726" spans="1:7">
      <c r="A7726" t="s">
        <v>1876</v>
      </c>
      <c r="B7726" t="s">
        <v>371</v>
      </c>
      <c r="C7726" t="s">
        <v>141</v>
      </c>
      <c r="D7726">
        <v>373</v>
      </c>
      <c r="E7726">
        <v>359</v>
      </c>
      <c r="F7726">
        <v>385</v>
      </c>
      <c r="G7726">
        <v>399</v>
      </c>
    </row>
    <row r="7727" spans="1:7">
      <c r="A7727" t="s">
        <v>1876</v>
      </c>
      <c r="B7727" t="s">
        <v>371</v>
      </c>
      <c r="C7727" t="s">
        <v>1887</v>
      </c>
      <c r="D7727">
        <v>0</v>
      </c>
      <c r="E7727">
        <v>0</v>
      </c>
      <c r="F7727">
        <v>0</v>
      </c>
      <c r="G7727">
        <v>0</v>
      </c>
    </row>
    <row r="7728" spans="1:7">
      <c r="A7728" t="s">
        <v>1876</v>
      </c>
      <c r="B7728" t="s">
        <v>371</v>
      </c>
      <c r="C7728" t="s">
        <v>1888</v>
      </c>
      <c r="D7728">
        <v>0</v>
      </c>
      <c r="E7728">
        <v>0</v>
      </c>
      <c r="F7728">
        <v>0</v>
      </c>
      <c r="G7728">
        <v>0</v>
      </c>
    </row>
    <row r="7729" spans="1:7">
      <c r="A7729" t="s">
        <v>1876</v>
      </c>
      <c r="B7729" t="s">
        <v>371</v>
      </c>
      <c r="C7729" t="s">
        <v>1889</v>
      </c>
      <c r="D7729">
        <v>1542</v>
      </c>
      <c r="E7729">
        <v>1316</v>
      </c>
      <c r="F7729">
        <v>1542</v>
      </c>
      <c r="G7729">
        <v>1478</v>
      </c>
    </row>
    <row r="7730" spans="1:7">
      <c r="A7730" t="s">
        <v>1876</v>
      </c>
      <c r="B7730" t="s">
        <v>371</v>
      </c>
      <c r="C7730" t="s">
        <v>1890</v>
      </c>
      <c r="D7730">
        <v>0</v>
      </c>
      <c r="E7730">
        <v>0</v>
      </c>
      <c r="F7730">
        <v>0</v>
      </c>
      <c r="G7730">
        <v>0</v>
      </c>
    </row>
    <row r="7731" spans="1:7">
      <c r="A7731" t="s">
        <v>1876</v>
      </c>
      <c r="B7731" t="s">
        <v>371</v>
      </c>
      <c r="C7731" t="s">
        <v>1891</v>
      </c>
    </row>
    <row r="7732" spans="1:7">
      <c r="A7732" t="s">
        <v>1876</v>
      </c>
      <c r="B7732" t="s">
        <v>371</v>
      </c>
      <c r="C7732" t="s">
        <v>1892</v>
      </c>
      <c r="D7732">
        <v>2081</v>
      </c>
      <c r="E7732">
        <v>1864</v>
      </c>
      <c r="F7732">
        <v>2616</v>
      </c>
      <c r="G7732">
        <v>2735</v>
      </c>
    </row>
    <row r="7733" spans="1:7">
      <c r="A7733" t="s">
        <v>1876</v>
      </c>
      <c r="B7733" t="s">
        <v>371</v>
      </c>
      <c r="C7733" t="s">
        <v>142</v>
      </c>
      <c r="D7733">
        <v>3623</v>
      </c>
      <c r="E7733">
        <v>3180</v>
      </c>
      <c r="F7733">
        <v>4158</v>
      </c>
      <c r="G7733">
        <v>4213</v>
      </c>
    </row>
    <row r="7734" spans="1:7">
      <c r="A7734" t="s">
        <v>1876</v>
      </c>
      <c r="B7734" t="s">
        <v>371</v>
      </c>
      <c r="C7734" t="s">
        <v>1893</v>
      </c>
      <c r="D7734">
        <v>3623</v>
      </c>
      <c r="E7734">
        <v>3180</v>
      </c>
      <c r="F7734">
        <v>4158</v>
      </c>
      <c r="G7734">
        <v>4213</v>
      </c>
    </row>
    <row r="7735" spans="1:7">
      <c r="A7735" t="s">
        <v>1876</v>
      </c>
      <c r="B7735" t="s">
        <v>371</v>
      </c>
      <c r="C7735" t="s">
        <v>1894</v>
      </c>
      <c r="D7735">
        <v>2081</v>
      </c>
      <c r="E7735">
        <v>1864</v>
      </c>
      <c r="F7735">
        <v>2616</v>
      </c>
      <c r="G7735">
        <v>2735</v>
      </c>
    </row>
    <row r="7736" spans="1:7">
      <c r="A7736" t="s">
        <v>1876</v>
      </c>
      <c r="B7736" t="s">
        <v>371</v>
      </c>
      <c r="C7736" t="s">
        <v>143</v>
      </c>
      <c r="D7736">
        <v>14656</v>
      </c>
      <c r="E7736">
        <v>16257</v>
      </c>
      <c r="F7736">
        <v>15192</v>
      </c>
      <c r="G7736">
        <v>15533</v>
      </c>
    </row>
    <row r="7737" spans="1:7">
      <c r="A7737" t="s">
        <v>1876</v>
      </c>
      <c r="B7737" t="s">
        <v>371</v>
      </c>
      <c r="C7737" t="s">
        <v>144</v>
      </c>
      <c r="D7737">
        <v>44117</v>
      </c>
      <c r="E7737">
        <v>45653</v>
      </c>
      <c r="F7737">
        <v>46127</v>
      </c>
      <c r="G7737">
        <v>46218</v>
      </c>
    </row>
    <row r="7738" spans="1:7">
      <c r="A7738" t="s">
        <v>1876</v>
      </c>
      <c r="B7738" t="s">
        <v>371</v>
      </c>
      <c r="C7738" t="s">
        <v>1895</v>
      </c>
      <c r="D7738">
        <v>52.9</v>
      </c>
      <c r="E7738">
        <v>45.7</v>
      </c>
      <c r="F7738">
        <v>37.799999999999997</v>
      </c>
      <c r="G7738">
        <v>35.6</v>
      </c>
    </row>
    <row r="7739" spans="1:7">
      <c r="A7739" t="s">
        <v>1876</v>
      </c>
      <c r="B7739" t="s">
        <v>371</v>
      </c>
      <c r="C7739" t="s">
        <v>145</v>
      </c>
      <c r="D7739">
        <v>58533</v>
      </c>
      <c r="E7739">
        <v>62631</v>
      </c>
      <c r="F7739">
        <v>61557</v>
      </c>
      <c r="G7739">
        <v>61034</v>
      </c>
    </row>
    <row r="7740" spans="1:7">
      <c r="A7740" t="s">
        <v>1876</v>
      </c>
      <c r="B7740" t="s">
        <v>371</v>
      </c>
      <c r="C7740" t="s">
        <v>146</v>
      </c>
      <c r="D7740">
        <v>0</v>
      </c>
      <c r="E7740">
        <v>0</v>
      </c>
      <c r="F7740">
        <v>0</v>
      </c>
      <c r="G7740">
        <v>0</v>
      </c>
    </row>
    <row r="7741" spans="1:7">
      <c r="A7741" t="s">
        <v>1876</v>
      </c>
      <c r="B7741" t="s">
        <v>371</v>
      </c>
      <c r="C7741" t="s">
        <v>147</v>
      </c>
      <c r="D7741">
        <v>0</v>
      </c>
      <c r="E7741">
        <v>0</v>
      </c>
      <c r="F7741">
        <v>0</v>
      </c>
      <c r="G7741">
        <v>0</v>
      </c>
    </row>
    <row r="7742" spans="1:7">
      <c r="A7742" t="s">
        <v>1876</v>
      </c>
      <c r="B7742" t="s">
        <v>371</v>
      </c>
      <c r="C7742" t="s">
        <v>1896</v>
      </c>
      <c r="D7742">
        <v>0</v>
      </c>
      <c r="E7742">
        <v>0</v>
      </c>
      <c r="F7742">
        <v>0</v>
      </c>
      <c r="G7742">
        <v>0</v>
      </c>
    </row>
    <row r="7743" spans="1:7">
      <c r="A7743" t="s">
        <v>1876</v>
      </c>
      <c r="B7743" t="s">
        <v>371</v>
      </c>
      <c r="C7743" t="s">
        <v>1702</v>
      </c>
      <c r="D7743">
        <v>2</v>
      </c>
      <c r="E7743">
        <v>2</v>
      </c>
      <c r="F7743">
        <v>1</v>
      </c>
      <c r="G7743">
        <v>1</v>
      </c>
    </row>
    <row r="7744" spans="1:7">
      <c r="A7744" t="s">
        <v>1876</v>
      </c>
      <c r="B7744" t="s">
        <v>371</v>
      </c>
      <c r="C7744" t="s">
        <v>1897</v>
      </c>
      <c r="D7744">
        <v>9.6999999999999993</v>
      </c>
      <c r="E7744">
        <v>15</v>
      </c>
      <c r="F7744">
        <v>25.7</v>
      </c>
      <c r="G7744">
        <v>33</v>
      </c>
    </row>
    <row r="7745" spans="1:7">
      <c r="A7745" t="s">
        <v>1876</v>
      </c>
      <c r="B7745" t="s">
        <v>371</v>
      </c>
      <c r="C7745" t="s">
        <v>1898</v>
      </c>
      <c r="D7745">
        <v>17</v>
      </c>
      <c r="E7745">
        <v>29</v>
      </c>
      <c r="F7745">
        <v>80</v>
      </c>
      <c r="G7745">
        <v>114</v>
      </c>
    </row>
    <row r="7746" spans="1:7">
      <c r="A7746" t="s">
        <v>1876</v>
      </c>
      <c r="B7746" t="s">
        <v>371</v>
      </c>
      <c r="C7746" t="s">
        <v>1899</v>
      </c>
      <c r="D7746">
        <v>2081</v>
      </c>
      <c r="E7746">
        <v>1864</v>
      </c>
      <c r="F7746">
        <v>2616</v>
      </c>
      <c r="G7746">
        <v>2735</v>
      </c>
    </row>
    <row r="7747" spans="1:7">
      <c r="A7747" t="s">
        <v>1876</v>
      </c>
      <c r="B7747" t="s">
        <v>371</v>
      </c>
      <c r="C7747" t="s">
        <v>148</v>
      </c>
      <c r="D7747">
        <v>0</v>
      </c>
      <c r="E7747">
        <v>0</v>
      </c>
      <c r="F7747">
        <v>0</v>
      </c>
      <c r="G7747">
        <v>0</v>
      </c>
    </row>
    <row r="7748" spans="1:7">
      <c r="A7748" t="s">
        <v>1876</v>
      </c>
      <c r="B7748" t="s">
        <v>371</v>
      </c>
      <c r="C7748" t="s">
        <v>149</v>
      </c>
      <c r="D7748">
        <v>0</v>
      </c>
      <c r="E7748">
        <v>0</v>
      </c>
      <c r="F7748">
        <v>0</v>
      </c>
      <c r="G7748">
        <v>0</v>
      </c>
    </row>
    <row r="7749" spans="1:7">
      <c r="A7749" t="s">
        <v>1876</v>
      </c>
      <c r="B7749" t="s">
        <v>371</v>
      </c>
      <c r="C7749" t="s">
        <v>150</v>
      </c>
      <c r="D7749">
        <v>0</v>
      </c>
      <c r="E7749">
        <v>0</v>
      </c>
      <c r="F7749">
        <v>0</v>
      </c>
      <c r="G7749">
        <v>0</v>
      </c>
    </row>
    <row r="7750" spans="1:7">
      <c r="A7750" t="s">
        <v>1876</v>
      </c>
      <c r="B7750" t="s">
        <v>371</v>
      </c>
      <c r="C7750" t="s">
        <v>1900</v>
      </c>
      <c r="D7750">
        <v>64.7</v>
      </c>
      <c r="E7750">
        <v>59.8</v>
      </c>
      <c r="F7750">
        <v>47.7</v>
      </c>
      <c r="G7750">
        <v>47.3</v>
      </c>
    </row>
    <row r="7751" spans="1:7">
      <c r="A7751" t="s">
        <v>1876</v>
      </c>
      <c r="B7751" t="s">
        <v>371</v>
      </c>
      <c r="C7751" t="s">
        <v>151</v>
      </c>
      <c r="D7751">
        <v>271</v>
      </c>
      <c r="E7751">
        <v>275</v>
      </c>
      <c r="F7751">
        <v>57</v>
      </c>
      <c r="G7751">
        <v>151</v>
      </c>
    </row>
    <row r="7752" spans="1:7">
      <c r="A7752" t="s">
        <v>1876</v>
      </c>
      <c r="B7752" t="s">
        <v>371</v>
      </c>
      <c r="C7752" t="s">
        <v>152</v>
      </c>
      <c r="D7752">
        <v>595265</v>
      </c>
      <c r="E7752">
        <v>547762</v>
      </c>
      <c r="F7752">
        <v>425906</v>
      </c>
      <c r="G7752">
        <v>405030</v>
      </c>
    </row>
    <row r="7753" spans="1:7">
      <c r="A7753" t="s">
        <v>1876</v>
      </c>
      <c r="B7753" t="s">
        <v>371</v>
      </c>
      <c r="C7753" t="s">
        <v>1703</v>
      </c>
      <c r="D7753">
        <v>10242</v>
      </c>
      <c r="E7753">
        <v>9656</v>
      </c>
      <c r="F7753">
        <v>9714</v>
      </c>
      <c r="G7753">
        <v>8539</v>
      </c>
    </row>
    <row r="7754" spans="1:7">
      <c r="A7754" t="s">
        <v>1876</v>
      </c>
      <c r="B7754" t="s">
        <v>371</v>
      </c>
      <c r="C7754" t="s">
        <v>153</v>
      </c>
      <c r="D7754">
        <v>20877</v>
      </c>
      <c r="E7754">
        <v>18903</v>
      </c>
      <c r="F7754">
        <v>16937</v>
      </c>
      <c r="G7754">
        <v>18034</v>
      </c>
    </row>
    <row r="7755" spans="1:7">
      <c r="A7755" t="s">
        <v>1876</v>
      </c>
      <c r="B7755" t="s">
        <v>371</v>
      </c>
      <c r="C7755" t="s">
        <v>154</v>
      </c>
      <c r="D7755">
        <v>0</v>
      </c>
      <c r="E7755">
        <v>0</v>
      </c>
      <c r="F7755">
        <v>0</v>
      </c>
      <c r="G7755">
        <v>0</v>
      </c>
    </row>
    <row r="7756" spans="1:7">
      <c r="A7756" t="s">
        <v>1876</v>
      </c>
      <c r="B7756" t="s">
        <v>371</v>
      </c>
      <c r="C7756" t="s">
        <v>155</v>
      </c>
      <c r="D7756">
        <v>20877</v>
      </c>
      <c r="E7756">
        <v>18903</v>
      </c>
      <c r="F7756">
        <v>16937</v>
      </c>
      <c r="G7756">
        <v>18034</v>
      </c>
    </row>
    <row r="7757" spans="1:7">
      <c r="A7757" t="s">
        <v>1876</v>
      </c>
      <c r="B7757" t="s">
        <v>371</v>
      </c>
      <c r="C7757" t="s">
        <v>156</v>
      </c>
      <c r="D7757">
        <v>0</v>
      </c>
      <c r="E7757">
        <v>0</v>
      </c>
      <c r="F7757">
        <v>0</v>
      </c>
      <c r="G7757">
        <v>0</v>
      </c>
    </row>
    <row r="7758" spans="1:7">
      <c r="A7758" t="s">
        <v>1876</v>
      </c>
      <c r="B7758" t="s">
        <v>371</v>
      </c>
      <c r="C7758" t="s">
        <v>157</v>
      </c>
      <c r="D7758">
        <v>616413</v>
      </c>
      <c r="E7758">
        <v>566940</v>
      </c>
      <c r="F7758">
        <v>442901</v>
      </c>
      <c r="G7758">
        <v>423216</v>
      </c>
    </row>
    <row r="7759" spans="1:7">
      <c r="A7759" t="s">
        <v>1876</v>
      </c>
      <c r="B7759" t="s">
        <v>371</v>
      </c>
      <c r="C7759" t="s">
        <v>158</v>
      </c>
      <c r="D7759">
        <v>21148</v>
      </c>
      <c r="E7759">
        <v>19177</v>
      </c>
      <c r="F7759">
        <v>16995</v>
      </c>
      <c r="G7759">
        <v>18186</v>
      </c>
    </row>
    <row r="7760" spans="1:7">
      <c r="A7760" t="s">
        <v>1876</v>
      </c>
      <c r="B7760" t="s">
        <v>371</v>
      </c>
      <c r="C7760" t="s">
        <v>159</v>
      </c>
      <c r="D7760">
        <v>0</v>
      </c>
      <c r="E7760">
        <v>0</v>
      </c>
      <c r="F7760">
        <v>0</v>
      </c>
      <c r="G7760">
        <v>0</v>
      </c>
    </row>
    <row r="7761" spans="1:7">
      <c r="A7761" t="s">
        <v>1876</v>
      </c>
      <c r="B7761" t="s">
        <v>371</v>
      </c>
      <c r="C7761" t="s">
        <v>1901</v>
      </c>
      <c r="D7761">
        <v>27.9</v>
      </c>
      <c r="E7761">
        <v>33.5</v>
      </c>
      <c r="F7761">
        <v>43.3</v>
      </c>
      <c r="G7761">
        <v>38.799999999999997</v>
      </c>
    </row>
    <row r="7762" spans="1:7">
      <c r="A7762" t="s">
        <v>1876</v>
      </c>
      <c r="B7762" t="s">
        <v>371</v>
      </c>
      <c r="C7762" t="s">
        <v>1902</v>
      </c>
      <c r="D7762">
        <v>149476</v>
      </c>
      <c r="E7762">
        <v>142015</v>
      </c>
      <c r="F7762">
        <v>135447</v>
      </c>
      <c r="G7762">
        <v>131097</v>
      </c>
    </row>
    <row r="7763" spans="1:7">
      <c r="A7763" t="s">
        <v>1876</v>
      </c>
      <c r="B7763" t="s">
        <v>371</v>
      </c>
      <c r="C7763" t="s">
        <v>1903</v>
      </c>
      <c r="D7763">
        <v>3857</v>
      </c>
      <c r="E7763">
        <v>4091</v>
      </c>
      <c r="F7763">
        <v>3644</v>
      </c>
      <c r="G7763">
        <v>3474</v>
      </c>
    </row>
    <row r="7764" spans="1:7">
      <c r="A7764" t="s">
        <v>1876</v>
      </c>
      <c r="B7764" t="s">
        <v>371</v>
      </c>
      <c r="C7764" t="s">
        <v>1904</v>
      </c>
      <c r="D7764">
        <v>2782</v>
      </c>
      <c r="E7764">
        <v>2199</v>
      </c>
      <c r="F7764">
        <v>1871</v>
      </c>
      <c r="G7764">
        <v>2205</v>
      </c>
    </row>
    <row r="7765" spans="1:7">
      <c r="A7765" t="s">
        <v>1876</v>
      </c>
      <c r="B7765" t="s">
        <v>371</v>
      </c>
      <c r="C7765" t="s">
        <v>1905</v>
      </c>
      <c r="D7765">
        <v>27423</v>
      </c>
      <c r="E7765">
        <v>27722</v>
      </c>
      <c r="F7765">
        <v>27057</v>
      </c>
      <c r="G7765">
        <v>26256</v>
      </c>
    </row>
    <row r="7766" spans="1:7">
      <c r="A7766" t="s">
        <v>1876</v>
      </c>
      <c r="B7766" t="s">
        <v>371</v>
      </c>
      <c r="C7766" t="s">
        <v>1906</v>
      </c>
      <c r="D7766">
        <v>190</v>
      </c>
      <c r="E7766">
        <v>204</v>
      </c>
      <c r="F7766">
        <v>182</v>
      </c>
      <c r="G7766">
        <v>170</v>
      </c>
    </row>
    <row r="7767" spans="1:7">
      <c r="A7767" t="s">
        <v>1876</v>
      </c>
      <c r="B7767" t="s">
        <v>371</v>
      </c>
      <c r="C7767" t="s">
        <v>1907</v>
      </c>
      <c r="D7767">
        <v>183729</v>
      </c>
      <c r="E7767">
        <v>176231</v>
      </c>
      <c r="F7767">
        <v>168200</v>
      </c>
      <c r="G7767">
        <v>163201</v>
      </c>
    </row>
    <row r="7768" spans="1:7">
      <c r="A7768" t="s">
        <v>1876</v>
      </c>
      <c r="B7768" t="s">
        <v>371</v>
      </c>
      <c r="C7768" t="s">
        <v>160</v>
      </c>
      <c r="D7768">
        <v>147395</v>
      </c>
      <c r="E7768">
        <v>140151</v>
      </c>
      <c r="F7768">
        <v>132830</v>
      </c>
      <c r="G7768">
        <v>128362</v>
      </c>
    </row>
    <row r="7769" spans="1:7">
      <c r="A7769" t="s">
        <v>1876</v>
      </c>
      <c r="B7769" t="s">
        <v>371</v>
      </c>
      <c r="C7769" t="s">
        <v>161</v>
      </c>
      <c r="D7769">
        <v>3857</v>
      </c>
      <c r="E7769">
        <v>4091</v>
      </c>
      <c r="F7769">
        <v>3644</v>
      </c>
      <c r="G7769">
        <v>3474</v>
      </c>
    </row>
    <row r="7770" spans="1:7">
      <c r="A7770" t="s">
        <v>1876</v>
      </c>
      <c r="B7770" t="s">
        <v>371</v>
      </c>
      <c r="C7770" t="s">
        <v>162</v>
      </c>
      <c r="D7770">
        <v>2782</v>
      </c>
      <c r="E7770">
        <v>2199</v>
      </c>
      <c r="F7770">
        <v>1871</v>
      </c>
      <c r="G7770">
        <v>2205</v>
      </c>
    </row>
    <row r="7771" spans="1:7">
      <c r="A7771" t="s">
        <v>1876</v>
      </c>
      <c r="B7771" t="s">
        <v>371</v>
      </c>
      <c r="C7771" t="s">
        <v>163</v>
      </c>
      <c r="D7771">
        <v>27423</v>
      </c>
      <c r="E7771">
        <v>27722</v>
      </c>
      <c r="F7771">
        <v>27057</v>
      </c>
      <c r="G7771">
        <v>26256</v>
      </c>
    </row>
    <row r="7772" spans="1:7">
      <c r="A7772" t="s">
        <v>1876</v>
      </c>
      <c r="B7772" t="s">
        <v>371</v>
      </c>
      <c r="C7772" t="s">
        <v>164</v>
      </c>
      <c r="D7772">
        <v>190</v>
      </c>
      <c r="E7772">
        <v>204</v>
      </c>
      <c r="F7772">
        <v>182</v>
      </c>
      <c r="G7772">
        <v>170</v>
      </c>
    </row>
    <row r="7773" spans="1:7">
      <c r="A7773" t="s">
        <v>1876</v>
      </c>
      <c r="B7773" t="s">
        <v>371</v>
      </c>
      <c r="C7773" t="s">
        <v>165</v>
      </c>
      <c r="D7773">
        <v>181648</v>
      </c>
      <c r="E7773">
        <v>174367</v>
      </c>
      <c r="F7773">
        <v>165583</v>
      </c>
      <c r="G7773">
        <v>160466</v>
      </c>
    </row>
    <row r="7774" spans="1:7">
      <c r="A7774" t="s">
        <v>1876</v>
      </c>
      <c r="B7774" t="s">
        <v>371</v>
      </c>
      <c r="C7774" t="s">
        <v>166</v>
      </c>
      <c r="D7774">
        <v>178866</v>
      </c>
      <c r="E7774">
        <v>172168</v>
      </c>
      <c r="F7774">
        <v>163713</v>
      </c>
      <c r="G7774">
        <v>158262</v>
      </c>
    </row>
    <row r="7775" spans="1:7">
      <c r="A7775" t="s">
        <v>1876</v>
      </c>
      <c r="B7775" t="s">
        <v>371</v>
      </c>
      <c r="C7775" t="s">
        <v>167</v>
      </c>
      <c r="D7775">
        <v>2782</v>
      </c>
      <c r="E7775">
        <v>2199</v>
      </c>
      <c r="F7775">
        <v>1871</v>
      </c>
      <c r="G7775">
        <v>2205</v>
      </c>
    </row>
    <row r="7776" spans="1:7">
      <c r="A7776" t="s">
        <v>1876</v>
      </c>
      <c r="B7776" t="s">
        <v>371</v>
      </c>
      <c r="C7776" t="s">
        <v>1908</v>
      </c>
      <c r="D7776">
        <v>145853</v>
      </c>
      <c r="E7776">
        <v>138835</v>
      </c>
      <c r="F7776">
        <v>131288</v>
      </c>
      <c r="G7776">
        <v>126884</v>
      </c>
    </row>
    <row r="7777" spans="1:7">
      <c r="A7777" t="s">
        <v>1876</v>
      </c>
      <c r="B7777" t="s">
        <v>371</v>
      </c>
      <c r="C7777" t="s">
        <v>1909</v>
      </c>
      <c r="D7777">
        <v>3857</v>
      </c>
      <c r="E7777">
        <v>4091</v>
      </c>
      <c r="F7777">
        <v>3644</v>
      </c>
      <c r="G7777">
        <v>3474</v>
      </c>
    </row>
    <row r="7778" spans="1:7">
      <c r="A7778" t="s">
        <v>1876</v>
      </c>
      <c r="B7778" t="s">
        <v>371</v>
      </c>
      <c r="C7778" t="s">
        <v>1910</v>
      </c>
      <c r="D7778">
        <v>2782</v>
      </c>
      <c r="E7778">
        <v>2199</v>
      </c>
      <c r="F7778">
        <v>1871</v>
      </c>
      <c r="G7778">
        <v>2205</v>
      </c>
    </row>
    <row r="7779" spans="1:7">
      <c r="A7779" t="s">
        <v>1876</v>
      </c>
      <c r="B7779" t="s">
        <v>371</v>
      </c>
      <c r="C7779" t="s">
        <v>1911</v>
      </c>
      <c r="D7779">
        <v>27423</v>
      </c>
      <c r="E7779">
        <v>27722</v>
      </c>
      <c r="F7779">
        <v>27057</v>
      </c>
      <c r="G7779">
        <v>26256</v>
      </c>
    </row>
    <row r="7780" spans="1:7">
      <c r="A7780" t="s">
        <v>1876</v>
      </c>
      <c r="B7780" t="s">
        <v>371</v>
      </c>
      <c r="C7780" t="s">
        <v>1912</v>
      </c>
      <c r="D7780">
        <v>190</v>
      </c>
      <c r="E7780">
        <v>204</v>
      </c>
      <c r="F7780">
        <v>182</v>
      </c>
      <c r="G7780">
        <v>170</v>
      </c>
    </row>
    <row r="7781" spans="1:7">
      <c r="A7781" t="s">
        <v>1876</v>
      </c>
      <c r="B7781" t="s">
        <v>371</v>
      </c>
      <c r="C7781" t="s">
        <v>168</v>
      </c>
      <c r="D7781">
        <v>180107</v>
      </c>
      <c r="E7781">
        <v>173051</v>
      </c>
      <c r="F7781">
        <v>164042</v>
      </c>
      <c r="G7781">
        <v>158989</v>
      </c>
    </row>
    <row r="7782" spans="1:7">
      <c r="A7782" t="s">
        <v>1876</v>
      </c>
      <c r="B7782" t="s">
        <v>371</v>
      </c>
      <c r="C7782" t="s">
        <v>169</v>
      </c>
      <c r="D7782">
        <v>0</v>
      </c>
      <c r="E7782">
        <v>0</v>
      </c>
      <c r="F7782">
        <v>0</v>
      </c>
      <c r="G7782">
        <v>0</v>
      </c>
    </row>
    <row r="7783" spans="1:7">
      <c r="A7783" t="s">
        <v>1876</v>
      </c>
      <c r="B7783" t="s">
        <v>371</v>
      </c>
      <c r="C7783" t="s">
        <v>1704</v>
      </c>
      <c r="D7783">
        <v>21835</v>
      </c>
      <c r="E7783">
        <v>21128</v>
      </c>
      <c r="F7783">
        <v>21172</v>
      </c>
      <c r="G7783">
        <v>20419</v>
      </c>
    </row>
    <row r="7784" spans="1:7">
      <c r="A7784" t="s">
        <v>1876</v>
      </c>
      <c r="B7784" t="s">
        <v>371</v>
      </c>
      <c r="C7784" t="s">
        <v>170</v>
      </c>
      <c r="D7784">
        <v>0</v>
      </c>
      <c r="E7784">
        <v>0</v>
      </c>
      <c r="F7784">
        <v>0</v>
      </c>
      <c r="G7784">
        <v>0</v>
      </c>
    </row>
    <row r="7785" spans="1:7">
      <c r="A7785" t="s">
        <v>1876</v>
      </c>
      <c r="B7785" t="s">
        <v>371</v>
      </c>
      <c r="C7785" t="s">
        <v>171</v>
      </c>
      <c r="D7785">
        <v>45175</v>
      </c>
      <c r="E7785">
        <v>45710</v>
      </c>
      <c r="F7785">
        <v>123565</v>
      </c>
      <c r="G7785">
        <v>130863</v>
      </c>
    </row>
    <row r="7786" spans="1:7">
      <c r="A7786" t="s">
        <v>1876</v>
      </c>
      <c r="B7786" t="s">
        <v>371</v>
      </c>
      <c r="C7786" t="s">
        <v>172</v>
      </c>
      <c r="D7786">
        <v>0</v>
      </c>
      <c r="E7786">
        <v>0</v>
      </c>
      <c r="F7786">
        <v>0</v>
      </c>
      <c r="G7786">
        <v>0</v>
      </c>
    </row>
    <row r="7787" spans="1:7">
      <c r="A7787" t="s">
        <v>1876</v>
      </c>
      <c r="B7787" t="s">
        <v>371</v>
      </c>
      <c r="C7787" t="s">
        <v>1913</v>
      </c>
      <c r="D7787">
        <v>16.7</v>
      </c>
      <c r="E7787">
        <v>24.6</v>
      </c>
      <c r="F7787">
        <v>38</v>
      </c>
      <c r="G7787">
        <v>49.2</v>
      </c>
    </row>
    <row r="7788" spans="1:7">
      <c r="A7788" t="s">
        <v>1876</v>
      </c>
      <c r="B7788" t="s">
        <v>371</v>
      </c>
      <c r="C7788" t="s">
        <v>1914</v>
      </c>
      <c r="D7788">
        <v>0.3</v>
      </c>
      <c r="E7788">
        <v>0.5</v>
      </c>
      <c r="F7788">
        <v>0.7</v>
      </c>
      <c r="G7788">
        <v>0.9</v>
      </c>
    </row>
    <row r="7789" spans="1:7">
      <c r="A7789" t="s">
        <v>1876</v>
      </c>
      <c r="B7789" t="s">
        <v>371</v>
      </c>
      <c r="C7789" t="s">
        <v>173</v>
      </c>
      <c r="D7789">
        <v>25028</v>
      </c>
      <c r="E7789">
        <v>25374</v>
      </c>
      <c r="F7789">
        <v>25937</v>
      </c>
      <c r="G7789">
        <v>25721</v>
      </c>
    </row>
    <row r="7790" spans="1:7">
      <c r="A7790" t="s">
        <v>1876</v>
      </c>
      <c r="B7790" t="s">
        <v>371</v>
      </c>
      <c r="C7790" t="s">
        <v>174</v>
      </c>
      <c r="D7790">
        <v>483</v>
      </c>
      <c r="E7790">
        <v>498</v>
      </c>
      <c r="F7790">
        <v>488</v>
      </c>
      <c r="G7790">
        <v>415</v>
      </c>
    </row>
    <row r="7791" spans="1:7">
      <c r="A7791" t="s">
        <v>1876</v>
      </c>
      <c r="B7791" t="s">
        <v>371</v>
      </c>
      <c r="C7791" t="s">
        <v>175</v>
      </c>
      <c r="D7791">
        <v>329</v>
      </c>
      <c r="E7791">
        <v>345</v>
      </c>
      <c r="F7791">
        <v>351</v>
      </c>
      <c r="G7791">
        <v>336</v>
      </c>
    </row>
    <row r="7792" spans="1:7">
      <c r="A7792" t="s">
        <v>1876</v>
      </c>
      <c r="B7792" t="s">
        <v>371</v>
      </c>
      <c r="C7792" t="s">
        <v>176</v>
      </c>
      <c r="D7792">
        <v>14283</v>
      </c>
      <c r="E7792">
        <v>15898</v>
      </c>
      <c r="F7792">
        <v>14808</v>
      </c>
      <c r="G7792">
        <v>15134</v>
      </c>
    </row>
    <row r="7793" spans="1:7">
      <c r="A7793" t="s">
        <v>1876</v>
      </c>
      <c r="B7793" t="s">
        <v>371</v>
      </c>
      <c r="C7793" t="s">
        <v>177</v>
      </c>
      <c r="D7793">
        <v>25839</v>
      </c>
      <c r="E7793">
        <v>26217</v>
      </c>
      <c r="F7793">
        <v>26777</v>
      </c>
      <c r="G7793">
        <v>26473</v>
      </c>
    </row>
    <row r="7794" spans="1:7">
      <c r="A7794" t="s">
        <v>1876</v>
      </c>
      <c r="B7794" t="s">
        <v>371</v>
      </c>
      <c r="C7794" t="s">
        <v>178</v>
      </c>
      <c r="D7794">
        <v>0</v>
      </c>
      <c r="E7794">
        <v>0</v>
      </c>
      <c r="F7794">
        <v>0</v>
      </c>
      <c r="G7794">
        <v>0</v>
      </c>
    </row>
    <row r="7795" spans="1:7">
      <c r="A7795" t="s">
        <v>1876</v>
      </c>
      <c r="B7795" t="s">
        <v>371</v>
      </c>
      <c r="C7795" t="s">
        <v>179</v>
      </c>
      <c r="D7795">
        <v>0</v>
      </c>
      <c r="E7795">
        <v>0</v>
      </c>
      <c r="F7795">
        <v>0</v>
      </c>
      <c r="G7795">
        <v>0</v>
      </c>
    </row>
    <row r="7796" spans="1:7">
      <c r="A7796" t="s">
        <v>1876</v>
      </c>
      <c r="B7796" t="s">
        <v>371</v>
      </c>
      <c r="C7796" t="s">
        <v>180</v>
      </c>
      <c r="D7796">
        <v>70</v>
      </c>
      <c r="E7796">
        <v>86</v>
      </c>
      <c r="F7796">
        <v>81</v>
      </c>
      <c r="G7796">
        <v>87</v>
      </c>
    </row>
    <row r="7797" spans="1:7">
      <c r="A7797" t="s">
        <v>1876</v>
      </c>
      <c r="B7797" t="s">
        <v>371</v>
      </c>
      <c r="C7797" t="s">
        <v>181</v>
      </c>
      <c r="D7797">
        <v>98905</v>
      </c>
      <c r="E7797">
        <v>101645</v>
      </c>
      <c r="F7797">
        <v>99543</v>
      </c>
      <c r="G7797">
        <v>100892</v>
      </c>
    </row>
    <row r="7798" spans="1:7">
      <c r="A7798" t="s">
        <v>1876</v>
      </c>
      <c r="B7798" t="s">
        <v>371</v>
      </c>
      <c r="C7798" t="s">
        <v>182</v>
      </c>
      <c r="D7798">
        <v>44651</v>
      </c>
      <c r="E7798">
        <v>45194</v>
      </c>
      <c r="F7798">
        <v>43719</v>
      </c>
      <c r="G7798">
        <v>44199</v>
      </c>
    </row>
    <row r="7799" spans="1:7">
      <c r="A7799" t="s">
        <v>1876</v>
      </c>
      <c r="B7799" t="s">
        <v>371</v>
      </c>
      <c r="C7799" t="s">
        <v>183</v>
      </c>
      <c r="D7799">
        <v>121701</v>
      </c>
      <c r="E7799">
        <v>127080</v>
      </c>
      <c r="F7799">
        <v>119299</v>
      </c>
      <c r="G7799">
        <v>120194</v>
      </c>
    </row>
    <row r="7800" spans="1:7">
      <c r="A7800" t="s">
        <v>1876</v>
      </c>
      <c r="B7800" t="s">
        <v>371</v>
      </c>
      <c r="C7800" t="s">
        <v>184</v>
      </c>
      <c r="D7800">
        <v>265327</v>
      </c>
      <c r="E7800">
        <v>274005</v>
      </c>
      <c r="F7800">
        <v>262641</v>
      </c>
      <c r="G7800">
        <v>265372</v>
      </c>
    </row>
    <row r="7801" spans="1:7">
      <c r="A7801" t="s">
        <v>1876</v>
      </c>
      <c r="B7801" t="s">
        <v>371</v>
      </c>
      <c r="C7801" t="s">
        <v>185</v>
      </c>
      <c r="D7801">
        <v>265327</v>
      </c>
      <c r="E7801">
        <v>274005</v>
      </c>
      <c r="F7801">
        <v>262641</v>
      </c>
      <c r="G7801">
        <v>265372</v>
      </c>
    </row>
    <row r="7802" spans="1:7">
      <c r="A7802" t="s">
        <v>1876</v>
      </c>
      <c r="B7802" t="s">
        <v>371</v>
      </c>
      <c r="C7802" t="s">
        <v>1915</v>
      </c>
      <c r="D7802">
        <v>29</v>
      </c>
      <c r="E7802">
        <v>49</v>
      </c>
      <c r="F7802">
        <v>118</v>
      </c>
      <c r="G7802">
        <v>157</v>
      </c>
    </row>
    <row r="7803" spans="1:7">
      <c r="A7803" t="s">
        <v>1876</v>
      </c>
      <c r="B7803" t="s">
        <v>371</v>
      </c>
      <c r="C7803" t="s">
        <v>1916</v>
      </c>
      <c r="D7803">
        <v>0</v>
      </c>
      <c r="E7803">
        <v>0</v>
      </c>
      <c r="F7803">
        <v>0</v>
      </c>
      <c r="G7803">
        <v>0</v>
      </c>
    </row>
    <row r="7804" spans="1:7">
      <c r="A7804" t="s">
        <v>1876</v>
      </c>
      <c r="B7804" t="s">
        <v>371</v>
      </c>
      <c r="C7804" t="s">
        <v>1917</v>
      </c>
      <c r="D7804">
        <v>21</v>
      </c>
      <c r="E7804">
        <v>15</v>
      </c>
      <c r="F7804">
        <v>16</v>
      </c>
      <c r="G7804">
        <v>15</v>
      </c>
    </row>
    <row r="7805" spans="1:7">
      <c r="A7805" t="s">
        <v>1876</v>
      </c>
      <c r="B7805" t="s">
        <v>371</v>
      </c>
      <c r="C7805" t="s">
        <v>1918</v>
      </c>
      <c r="D7805">
        <v>1998</v>
      </c>
      <c r="E7805">
        <v>2046</v>
      </c>
      <c r="F7805">
        <v>2454</v>
      </c>
      <c r="G7805">
        <v>2637</v>
      </c>
    </row>
    <row r="7806" spans="1:7">
      <c r="A7806" t="s">
        <v>1876</v>
      </c>
      <c r="B7806" t="s">
        <v>371</v>
      </c>
      <c r="C7806" t="s">
        <v>1919</v>
      </c>
      <c r="D7806">
        <v>2.74</v>
      </c>
      <c r="E7806">
        <v>2.7</v>
      </c>
      <c r="F7806">
        <v>2.57</v>
      </c>
      <c r="G7806">
        <v>2.56</v>
      </c>
    </row>
    <row r="7807" spans="1:7">
      <c r="A7807" t="s">
        <v>1876</v>
      </c>
      <c r="B7807" t="s">
        <v>371</v>
      </c>
      <c r="C7807" t="s">
        <v>1920</v>
      </c>
      <c r="D7807">
        <v>2268</v>
      </c>
      <c r="E7807">
        <v>2364</v>
      </c>
      <c r="F7807">
        <v>2943</v>
      </c>
      <c r="G7807">
        <v>3313</v>
      </c>
    </row>
    <row r="7808" spans="1:7">
      <c r="A7808" t="s">
        <v>1876</v>
      </c>
      <c r="B7808" t="s">
        <v>371</v>
      </c>
      <c r="C7808" t="s">
        <v>1921</v>
      </c>
      <c r="D7808">
        <v>818</v>
      </c>
      <c r="E7808">
        <v>851</v>
      </c>
      <c r="F7808">
        <v>1088</v>
      </c>
      <c r="G7808">
        <v>1211</v>
      </c>
    </row>
    <row r="7809" spans="1:7">
      <c r="A7809" t="s">
        <v>1876</v>
      </c>
      <c r="B7809" t="s">
        <v>371</v>
      </c>
      <c r="C7809" t="s">
        <v>1922</v>
      </c>
      <c r="D7809">
        <v>249</v>
      </c>
      <c r="E7809">
        <v>303</v>
      </c>
      <c r="F7809">
        <v>473</v>
      </c>
      <c r="G7809">
        <v>661</v>
      </c>
    </row>
    <row r="7810" spans="1:7">
      <c r="A7810" t="s">
        <v>1876</v>
      </c>
      <c r="B7810" t="s">
        <v>371</v>
      </c>
      <c r="C7810" t="s">
        <v>1923</v>
      </c>
      <c r="D7810">
        <v>2.62</v>
      </c>
      <c r="E7810">
        <v>2.86</v>
      </c>
      <c r="F7810">
        <v>3.05</v>
      </c>
      <c r="G7810">
        <v>3.19</v>
      </c>
    </row>
    <row r="7811" spans="1:7">
      <c r="A7811" t="s">
        <v>1876</v>
      </c>
      <c r="B7811" t="s">
        <v>371</v>
      </c>
      <c r="C7811" t="s">
        <v>1924</v>
      </c>
      <c r="D7811">
        <v>27</v>
      </c>
      <c r="E7811">
        <v>2</v>
      </c>
      <c r="F7811">
        <v>4</v>
      </c>
      <c r="G7811">
        <v>5</v>
      </c>
    </row>
    <row r="7812" spans="1:7">
      <c r="A7812" t="s">
        <v>1876</v>
      </c>
      <c r="B7812" t="s">
        <v>371</v>
      </c>
      <c r="C7812" t="s">
        <v>1925</v>
      </c>
      <c r="D7812">
        <v>78</v>
      </c>
      <c r="E7812">
        <v>79</v>
      </c>
      <c r="F7812">
        <v>78</v>
      </c>
      <c r="G7812">
        <v>91</v>
      </c>
    </row>
    <row r="7813" spans="1:7">
      <c r="A7813" t="s">
        <v>1876</v>
      </c>
      <c r="B7813" t="s">
        <v>371</v>
      </c>
      <c r="C7813" t="s">
        <v>1926</v>
      </c>
      <c r="D7813">
        <v>713</v>
      </c>
      <c r="E7813">
        <v>770</v>
      </c>
      <c r="F7813">
        <v>1006</v>
      </c>
      <c r="G7813">
        <v>1115</v>
      </c>
    </row>
    <row r="7814" spans="1:7">
      <c r="A7814" t="s">
        <v>1876</v>
      </c>
      <c r="B7814" t="s">
        <v>371</v>
      </c>
      <c r="C7814" t="s">
        <v>1927</v>
      </c>
      <c r="D7814">
        <v>11</v>
      </c>
      <c r="E7814">
        <v>11</v>
      </c>
      <c r="F7814">
        <v>12</v>
      </c>
      <c r="G7814">
        <v>12</v>
      </c>
    </row>
    <row r="7815" spans="1:7">
      <c r="A7815" t="s">
        <v>1876</v>
      </c>
      <c r="B7815" t="s">
        <v>371</v>
      </c>
      <c r="C7815" t="s">
        <v>1928</v>
      </c>
      <c r="D7815">
        <v>777</v>
      </c>
      <c r="E7815">
        <v>810</v>
      </c>
      <c r="F7815">
        <v>1041</v>
      </c>
      <c r="G7815">
        <v>1159</v>
      </c>
    </row>
    <row r="7816" spans="1:7">
      <c r="A7816" t="s">
        <v>1876</v>
      </c>
      <c r="B7816" t="s">
        <v>371</v>
      </c>
      <c r="C7816" t="s">
        <v>1929</v>
      </c>
      <c r="D7816">
        <v>30</v>
      </c>
      <c r="E7816">
        <v>30</v>
      </c>
      <c r="F7816">
        <v>35</v>
      </c>
      <c r="G7816">
        <v>40</v>
      </c>
    </row>
    <row r="7817" spans="1:7">
      <c r="A7817" t="s">
        <v>1876</v>
      </c>
      <c r="B7817" t="s">
        <v>371</v>
      </c>
      <c r="C7817" t="s">
        <v>186</v>
      </c>
      <c r="D7817">
        <v>0</v>
      </c>
      <c r="E7817">
        <v>0</v>
      </c>
      <c r="F7817">
        <v>0</v>
      </c>
      <c r="G7817">
        <v>0</v>
      </c>
    </row>
    <row r="7818" spans="1:7">
      <c r="A7818" t="s">
        <v>1876</v>
      </c>
      <c r="B7818" t="s">
        <v>371</v>
      </c>
      <c r="C7818" t="s">
        <v>187</v>
      </c>
      <c r="D7818">
        <v>0</v>
      </c>
      <c r="E7818">
        <v>0</v>
      </c>
      <c r="F7818">
        <v>0</v>
      </c>
      <c r="G7818">
        <v>0</v>
      </c>
    </row>
    <row r="7819" spans="1:7">
      <c r="A7819" t="s">
        <v>1876</v>
      </c>
      <c r="B7819" t="s">
        <v>371</v>
      </c>
      <c r="C7819" t="s">
        <v>1705</v>
      </c>
      <c r="D7819">
        <v>17168</v>
      </c>
      <c r="E7819">
        <v>16251</v>
      </c>
      <c r="F7819">
        <v>16286</v>
      </c>
      <c r="G7819">
        <v>15146</v>
      </c>
    </row>
    <row r="7820" spans="1:7">
      <c r="A7820" t="s">
        <v>1876</v>
      </c>
      <c r="B7820" t="s">
        <v>371</v>
      </c>
      <c r="C7820" t="s">
        <v>188</v>
      </c>
      <c r="D7820">
        <v>1517371</v>
      </c>
      <c r="E7820">
        <v>1495909</v>
      </c>
      <c r="F7820">
        <v>1368140</v>
      </c>
      <c r="G7820">
        <v>1335151</v>
      </c>
    </row>
    <row r="7821" spans="1:7">
      <c r="A7821" t="s">
        <v>1876</v>
      </c>
      <c r="B7821" t="s">
        <v>371</v>
      </c>
      <c r="C7821" t="s">
        <v>189</v>
      </c>
      <c r="D7821">
        <v>0</v>
      </c>
      <c r="E7821">
        <v>0</v>
      </c>
      <c r="F7821">
        <v>0</v>
      </c>
      <c r="G7821">
        <v>0</v>
      </c>
    </row>
    <row r="7822" spans="1:7">
      <c r="A7822" t="s">
        <v>1876</v>
      </c>
      <c r="B7822" t="s">
        <v>371</v>
      </c>
      <c r="C7822" t="s">
        <v>190</v>
      </c>
      <c r="D7822">
        <v>0</v>
      </c>
      <c r="E7822">
        <v>0</v>
      </c>
      <c r="F7822">
        <v>0</v>
      </c>
      <c r="G7822">
        <v>0</v>
      </c>
    </row>
    <row r="7823" spans="1:7">
      <c r="A7823" t="s">
        <v>1876</v>
      </c>
      <c r="B7823" t="s">
        <v>371</v>
      </c>
      <c r="C7823" t="s">
        <v>191</v>
      </c>
      <c r="D7823">
        <v>0</v>
      </c>
      <c r="E7823">
        <v>0</v>
      </c>
      <c r="F7823">
        <v>0</v>
      </c>
      <c r="G7823">
        <v>0</v>
      </c>
    </row>
    <row r="7824" spans="1:7">
      <c r="A7824" t="s">
        <v>1876</v>
      </c>
      <c r="B7824" t="s">
        <v>371</v>
      </c>
      <c r="C7824" t="s">
        <v>192</v>
      </c>
      <c r="D7824">
        <v>366193.1</v>
      </c>
      <c r="E7824">
        <v>397536.9</v>
      </c>
      <c r="F7824">
        <v>428887.3</v>
      </c>
      <c r="G7824">
        <v>448713.7</v>
      </c>
    </row>
    <row r="7825" spans="1:7">
      <c r="A7825" t="s">
        <v>1876</v>
      </c>
      <c r="B7825" t="s">
        <v>371</v>
      </c>
      <c r="C7825" t="s">
        <v>193</v>
      </c>
      <c r="D7825">
        <v>331578</v>
      </c>
      <c r="E7825">
        <v>337225.4</v>
      </c>
      <c r="F7825">
        <v>346895.3</v>
      </c>
      <c r="G7825">
        <v>353307.4</v>
      </c>
    </row>
    <row r="7826" spans="1:7">
      <c r="A7826" t="s">
        <v>1876</v>
      </c>
      <c r="B7826" t="s">
        <v>371</v>
      </c>
      <c r="C7826" t="s">
        <v>1930</v>
      </c>
      <c r="D7826">
        <v>0</v>
      </c>
      <c r="E7826">
        <v>0</v>
      </c>
      <c r="F7826">
        <v>0</v>
      </c>
      <c r="G7826">
        <v>0</v>
      </c>
    </row>
    <row r="7827" spans="1:7">
      <c r="A7827" t="s">
        <v>1876</v>
      </c>
      <c r="B7827" t="s">
        <v>371</v>
      </c>
      <c r="C7827" t="s">
        <v>194</v>
      </c>
      <c r="D7827">
        <v>0</v>
      </c>
      <c r="E7827">
        <v>0</v>
      </c>
      <c r="F7827">
        <v>0</v>
      </c>
      <c r="G7827">
        <v>0</v>
      </c>
    </row>
    <row r="7828" spans="1:7">
      <c r="A7828" t="s">
        <v>1876</v>
      </c>
      <c r="B7828" t="s">
        <v>371</v>
      </c>
      <c r="C7828" t="s">
        <v>195</v>
      </c>
      <c r="D7828">
        <v>0</v>
      </c>
      <c r="E7828">
        <v>0</v>
      </c>
      <c r="F7828">
        <v>0</v>
      </c>
      <c r="G7828">
        <v>0</v>
      </c>
    </row>
    <row r="7829" spans="1:7">
      <c r="A7829" t="s">
        <v>1876</v>
      </c>
      <c r="B7829" t="s">
        <v>371</v>
      </c>
      <c r="C7829" t="s">
        <v>1706</v>
      </c>
      <c r="D7829">
        <v>0</v>
      </c>
      <c r="E7829">
        <v>0</v>
      </c>
      <c r="F7829">
        <v>0</v>
      </c>
      <c r="G7829">
        <v>0</v>
      </c>
    </row>
    <row r="7830" spans="1:7">
      <c r="A7830" t="s">
        <v>1876</v>
      </c>
      <c r="B7830" t="s">
        <v>371</v>
      </c>
      <c r="C7830" t="s">
        <v>196</v>
      </c>
      <c r="D7830">
        <v>0</v>
      </c>
      <c r="E7830">
        <v>0</v>
      </c>
      <c r="F7830">
        <v>0</v>
      </c>
      <c r="G7830">
        <v>0</v>
      </c>
    </row>
    <row r="7831" spans="1:7">
      <c r="A7831" t="s">
        <v>1876</v>
      </c>
      <c r="B7831" t="s">
        <v>371</v>
      </c>
      <c r="C7831" t="s">
        <v>197</v>
      </c>
      <c r="D7831">
        <v>352</v>
      </c>
      <c r="E7831">
        <v>352</v>
      </c>
      <c r="F7831">
        <v>352</v>
      </c>
      <c r="G7831">
        <v>352</v>
      </c>
    </row>
    <row r="7832" spans="1:7">
      <c r="A7832" t="s">
        <v>1876</v>
      </c>
      <c r="B7832" t="s">
        <v>371</v>
      </c>
      <c r="C7832" t="s">
        <v>198</v>
      </c>
      <c r="D7832">
        <v>352</v>
      </c>
      <c r="E7832">
        <v>352</v>
      </c>
      <c r="F7832">
        <v>352</v>
      </c>
      <c r="G7832">
        <v>352</v>
      </c>
    </row>
    <row r="7833" spans="1:7">
      <c r="A7833" t="s">
        <v>1876</v>
      </c>
      <c r="B7833" t="s">
        <v>371</v>
      </c>
      <c r="C7833" t="s">
        <v>199</v>
      </c>
      <c r="D7833">
        <v>352</v>
      </c>
      <c r="E7833">
        <v>352</v>
      </c>
      <c r="F7833">
        <v>352</v>
      </c>
      <c r="G7833">
        <v>352</v>
      </c>
    </row>
    <row r="7834" spans="1:7">
      <c r="A7834" t="s">
        <v>1876</v>
      </c>
      <c r="B7834" t="s">
        <v>371</v>
      </c>
      <c r="C7834" t="s">
        <v>200</v>
      </c>
      <c r="D7834">
        <v>162</v>
      </c>
      <c r="E7834">
        <v>186</v>
      </c>
      <c r="F7834">
        <v>203</v>
      </c>
      <c r="G7834">
        <v>169</v>
      </c>
    </row>
    <row r="7835" spans="1:7">
      <c r="A7835" t="s">
        <v>1876</v>
      </c>
      <c r="B7835" t="s">
        <v>371</v>
      </c>
      <c r="C7835" t="s">
        <v>201</v>
      </c>
      <c r="D7835">
        <v>7313</v>
      </c>
      <c r="E7835">
        <v>4237</v>
      </c>
      <c r="F7835">
        <v>3239</v>
      </c>
      <c r="G7835">
        <v>2906</v>
      </c>
    </row>
    <row r="7836" spans="1:7">
      <c r="A7836" t="s">
        <v>1876</v>
      </c>
      <c r="B7836" t="s">
        <v>371</v>
      </c>
      <c r="C7836" t="s">
        <v>202</v>
      </c>
      <c r="D7836">
        <v>4276</v>
      </c>
      <c r="E7836">
        <v>3892</v>
      </c>
      <c r="F7836">
        <v>2862</v>
      </c>
      <c r="G7836">
        <v>2610</v>
      </c>
    </row>
    <row r="7837" spans="1:7">
      <c r="A7837" t="s">
        <v>1876</v>
      </c>
      <c r="B7837" t="s">
        <v>371</v>
      </c>
      <c r="C7837" t="s">
        <v>203</v>
      </c>
      <c r="D7837">
        <v>13508</v>
      </c>
      <c r="E7837">
        <v>19655</v>
      </c>
      <c r="F7837">
        <v>18203</v>
      </c>
      <c r="G7837">
        <v>16298</v>
      </c>
    </row>
    <row r="7838" spans="1:7">
      <c r="A7838" t="s">
        <v>1876</v>
      </c>
      <c r="B7838" t="s">
        <v>371</v>
      </c>
      <c r="C7838" t="s">
        <v>204</v>
      </c>
      <c r="D7838">
        <v>25259</v>
      </c>
      <c r="E7838">
        <v>27970</v>
      </c>
      <c r="F7838">
        <v>24507</v>
      </c>
      <c r="G7838">
        <v>21983</v>
      </c>
    </row>
    <row r="7839" spans="1:7">
      <c r="A7839" t="s">
        <v>1876</v>
      </c>
      <c r="B7839" t="s">
        <v>371</v>
      </c>
      <c r="C7839" t="s">
        <v>205</v>
      </c>
      <c r="D7839">
        <v>25259</v>
      </c>
      <c r="E7839">
        <v>27970</v>
      </c>
      <c r="F7839">
        <v>24507</v>
      </c>
      <c r="G7839">
        <v>21983</v>
      </c>
    </row>
    <row r="7840" spans="1:7">
      <c r="A7840" t="s">
        <v>1876</v>
      </c>
      <c r="B7840" t="s">
        <v>371</v>
      </c>
      <c r="C7840" t="s">
        <v>1931</v>
      </c>
      <c r="D7840">
        <v>13.1</v>
      </c>
      <c r="E7840">
        <v>12.2</v>
      </c>
      <c r="F7840">
        <v>7.4</v>
      </c>
      <c r="G7840">
        <v>10.9</v>
      </c>
    </row>
    <row r="7841" spans="1:7">
      <c r="A7841" t="s">
        <v>1876</v>
      </c>
      <c r="B7841" t="s">
        <v>371</v>
      </c>
      <c r="C7841" t="s">
        <v>1707</v>
      </c>
      <c r="D7841">
        <v>657</v>
      </c>
      <c r="E7841">
        <v>657</v>
      </c>
      <c r="F7841">
        <v>657</v>
      </c>
      <c r="G7841">
        <v>657</v>
      </c>
    </row>
    <row r="7842" spans="1:7">
      <c r="A7842" t="s">
        <v>1876</v>
      </c>
      <c r="B7842" t="s">
        <v>371</v>
      </c>
      <c r="C7842" t="s">
        <v>1932</v>
      </c>
      <c r="D7842">
        <v>35.299999999999997</v>
      </c>
      <c r="E7842">
        <v>28.8</v>
      </c>
      <c r="F7842">
        <v>16.3</v>
      </c>
      <c r="G7842">
        <v>21.2</v>
      </c>
    </row>
    <row r="7843" spans="1:7">
      <c r="A7843" t="s">
        <v>1876</v>
      </c>
      <c r="B7843" t="s">
        <v>371</v>
      </c>
      <c r="C7843" t="s">
        <v>1708</v>
      </c>
      <c r="D7843">
        <v>549</v>
      </c>
      <c r="E7843">
        <v>549</v>
      </c>
      <c r="F7843">
        <v>549</v>
      </c>
      <c r="G7843">
        <v>549</v>
      </c>
    </row>
    <row r="7844" spans="1:7">
      <c r="A7844" t="s">
        <v>1876</v>
      </c>
      <c r="B7844" t="s">
        <v>371</v>
      </c>
      <c r="C7844" t="s">
        <v>206</v>
      </c>
      <c r="D7844">
        <v>0</v>
      </c>
      <c r="E7844">
        <v>0</v>
      </c>
      <c r="F7844">
        <v>0</v>
      </c>
      <c r="G7844">
        <v>0</v>
      </c>
    </row>
    <row r="7845" spans="1:7">
      <c r="A7845" t="s">
        <v>1876</v>
      </c>
      <c r="B7845" t="s">
        <v>371</v>
      </c>
      <c r="C7845" t="s">
        <v>207</v>
      </c>
      <c r="D7845">
        <v>5792</v>
      </c>
      <c r="E7845">
        <v>4721</v>
      </c>
      <c r="F7845">
        <v>2679</v>
      </c>
      <c r="G7845">
        <v>3482</v>
      </c>
    </row>
    <row r="7846" spans="1:7">
      <c r="A7846" t="s">
        <v>1876</v>
      </c>
      <c r="B7846" t="s">
        <v>371</v>
      </c>
      <c r="C7846" t="s">
        <v>208</v>
      </c>
      <c r="D7846">
        <v>0</v>
      </c>
      <c r="E7846">
        <v>0</v>
      </c>
      <c r="F7846">
        <v>0</v>
      </c>
      <c r="G7846">
        <v>0</v>
      </c>
    </row>
    <row r="7847" spans="1:7">
      <c r="A7847" t="s">
        <v>1876</v>
      </c>
      <c r="B7847" t="s">
        <v>371</v>
      </c>
      <c r="C7847" t="s">
        <v>209</v>
      </c>
      <c r="D7847">
        <v>5792</v>
      </c>
      <c r="E7847">
        <v>4721</v>
      </c>
      <c r="F7847">
        <v>2679</v>
      </c>
      <c r="G7847">
        <v>3482</v>
      </c>
    </row>
    <row r="7848" spans="1:7">
      <c r="A7848" t="s">
        <v>1876</v>
      </c>
      <c r="B7848" t="s">
        <v>371</v>
      </c>
      <c r="C7848" t="s">
        <v>210</v>
      </c>
      <c r="D7848">
        <v>0</v>
      </c>
      <c r="E7848">
        <v>0</v>
      </c>
      <c r="F7848">
        <v>0</v>
      </c>
      <c r="G7848">
        <v>0</v>
      </c>
    </row>
    <row r="7849" spans="1:7">
      <c r="A7849" t="s">
        <v>1876</v>
      </c>
      <c r="B7849" t="s">
        <v>371</v>
      </c>
      <c r="C7849" t="s">
        <v>211</v>
      </c>
      <c r="D7849">
        <v>0</v>
      </c>
      <c r="E7849">
        <v>0</v>
      </c>
      <c r="F7849">
        <v>0</v>
      </c>
      <c r="G7849">
        <v>0</v>
      </c>
    </row>
    <row r="7850" spans="1:7">
      <c r="A7850" t="s">
        <v>1876</v>
      </c>
      <c r="B7850" t="s">
        <v>371</v>
      </c>
      <c r="C7850" t="s">
        <v>212</v>
      </c>
      <c r="D7850">
        <v>0</v>
      </c>
      <c r="E7850">
        <v>0</v>
      </c>
      <c r="F7850">
        <v>0</v>
      </c>
      <c r="G7850">
        <v>0</v>
      </c>
    </row>
    <row r="7851" spans="1:7">
      <c r="A7851" t="s">
        <v>1876</v>
      </c>
      <c r="B7851" t="s">
        <v>371</v>
      </c>
      <c r="C7851" t="s">
        <v>213</v>
      </c>
      <c r="D7851">
        <v>0</v>
      </c>
      <c r="E7851">
        <v>0</v>
      </c>
      <c r="F7851">
        <v>0</v>
      </c>
      <c r="G7851">
        <v>0</v>
      </c>
    </row>
    <row r="7852" spans="1:7">
      <c r="A7852" t="s">
        <v>1876</v>
      </c>
      <c r="B7852" t="s">
        <v>371</v>
      </c>
      <c r="C7852" t="s">
        <v>214</v>
      </c>
      <c r="D7852">
        <v>0</v>
      </c>
      <c r="E7852">
        <v>0</v>
      </c>
      <c r="F7852">
        <v>0</v>
      </c>
      <c r="G7852">
        <v>0</v>
      </c>
    </row>
    <row r="7853" spans="1:7">
      <c r="A7853" t="s">
        <v>1876</v>
      </c>
      <c r="B7853" t="s">
        <v>371</v>
      </c>
      <c r="C7853" t="s">
        <v>215</v>
      </c>
      <c r="D7853">
        <v>23048</v>
      </c>
      <c r="E7853">
        <v>26628</v>
      </c>
      <c r="F7853">
        <v>29020</v>
      </c>
      <c r="G7853">
        <v>32093</v>
      </c>
    </row>
    <row r="7854" spans="1:7">
      <c r="A7854" t="s">
        <v>1876</v>
      </c>
      <c r="B7854" t="s">
        <v>371</v>
      </c>
      <c r="C7854" t="s">
        <v>216</v>
      </c>
      <c r="D7854">
        <v>23048</v>
      </c>
      <c r="E7854">
        <v>26628</v>
      </c>
      <c r="F7854">
        <v>29020</v>
      </c>
      <c r="G7854">
        <v>32093</v>
      </c>
    </row>
    <row r="7855" spans="1:7">
      <c r="A7855" t="s">
        <v>1876</v>
      </c>
      <c r="B7855" t="s">
        <v>371</v>
      </c>
      <c r="C7855" t="s">
        <v>217</v>
      </c>
      <c r="D7855">
        <v>23048</v>
      </c>
      <c r="E7855">
        <v>26628</v>
      </c>
      <c r="F7855">
        <v>29020</v>
      </c>
      <c r="G7855">
        <v>32093</v>
      </c>
    </row>
    <row r="7856" spans="1:7">
      <c r="A7856" t="s">
        <v>1876</v>
      </c>
      <c r="B7856" t="s">
        <v>371</v>
      </c>
      <c r="C7856" t="s">
        <v>218</v>
      </c>
      <c r="D7856">
        <v>12</v>
      </c>
      <c r="E7856">
        <v>11</v>
      </c>
      <c r="F7856">
        <v>19</v>
      </c>
      <c r="G7856">
        <v>14</v>
      </c>
    </row>
    <row r="7857" spans="1:7">
      <c r="A7857" t="s">
        <v>1876</v>
      </c>
      <c r="B7857" t="s">
        <v>371</v>
      </c>
      <c r="C7857" t="s">
        <v>219</v>
      </c>
      <c r="D7857">
        <v>5</v>
      </c>
      <c r="E7857">
        <v>4</v>
      </c>
      <c r="F7857">
        <v>16</v>
      </c>
      <c r="G7857">
        <v>9</v>
      </c>
    </row>
    <row r="7858" spans="1:7">
      <c r="A7858" t="s">
        <v>1876</v>
      </c>
      <c r="B7858" t="s">
        <v>371</v>
      </c>
      <c r="C7858" t="s">
        <v>220</v>
      </c>
      <c r="D7858">
        <v>35</v>
      </c>
      <c r="E7858">
        <v>33</v>
      </c>
      <c r="F7858">
        <v>55</v>
      </c>
      <c r="G7858">
        <v>40</v>
      </c>
    </row>
    <row r="7859" spans="1:7">
      <c r="A7859" t="s">
        <v>1876</v>
      </c>
      <c r="B7859" t="s">
        <v>371</v>
      </c>
      <c r="C7859" t="s">
        <v>221</v>
      </c>
      <c r="D7859">
        <v>52</v>
      </c>
      <c r="E7859">
        <v>49</v>
      </c>
      <c r="F7859">
        <v>89</v>
      </c>
      <c r="G7859">
        <v>63</v>
      </c>
    </row>
    <row r="7860" spans="1:7">
      <c r="A7860" t="s">
        <v>1876</v>
      </c>
      <c r="B7860" t="s">
        <v>371</v>
      </c>
      <c r="C7860" t="s">
        <v>222</v>
      </c>
      <c r="D7860">
        <v>52</v>
      </c>
      <c r="E7860">
        <v>49</v>
      </c>
      <c r="F7860">
        <v>89</v>
      </c>
      <c r="G7860">
        <v>63</v>
      </c>
    </row>
    <row r="7861" spans="1:7">
      <c r="A7861" t="s">
        <v>1876</v>
      </c>
      <c r="B7861" t="s">
        <v>371</v>
      </c>
      <c r="C7861" t="s">
        <v>1933</v>
      </c>
      <c r="D7861">
        <v>5192.2</v>
      </c>
      <c r="E7861">
        <v>5033.6000000000004</v>
      </c>
      <c r="F7861">
        <v>5187.8</v>
      </c>
      <c r="G7861">
        <v>5280.4</v>
      </c>
    </row>
    <row r="7862" spans="1:7">
      <c r="A7862" t="s">
        <v>1876</v>
      </c>
      <c r="B7862" t="s">
        <v>371</v>
      </c>
      <c r="C7862" t="s">
        <v>223</v>
      </c>
      <c r="D7862">
        <v>135</v>
      </c>
      <c r="E7862">
        <v>164</v>
      </c>
      <c r="F7862">
        <v>153</v>
      </c>
      <c r="G7862">
        <v>162</v>
      </c>
    </row>
    <row r="7863" spans="1:7">
      <c r="A7863" t="s">
        <v>1876</v>
      </c>
      <c r="B7863" t="s">
        <v>371</v>
      </c>
      <c r="C7863" t="s">
        <v>224</v>
      </c>
      <c r="D7863">
        <v>189403</v>
      </c>
      <c r="E7863">
        <v>194490</v>
      </c>
      <c r="F7863">
        <v>189254</v>
      </c>
      <c r="G7863">
        <v>188940</v>
      </c>
    </row>
    <row r="7864" spans="1:7">
      <c r="A7864" t="s">
        <v>1876</v>
      </c>
      <c r="B7864" t="s">
        <v>371</v>
      </c>
      <c r="C7864" t="s">
        <v>225</v>
      </c>
      <c r="D7864">
        <v>85508</v>
      </c>
      <c r="E7864">
        <v>86476</v>
      </c>
      <c r="F7864">
        <v>83119</v>
      </c>
      <c r="G7864">
        <v>82771</v>
      </c>
    </row>
    <row r="7865" spans="1:7">
      <c r="A7865" t="s">
        <v>1876</v>
      </c>
      <c r="B7865" t="s">
        <v>371</v>
      </c>
      <c r="C7865" t="s">
        <v>226</v>
      </c>
      <c r="D7865">
        <v>233057</v>
      </c>
      <c r="E7865">
        <v>243157</v>
      </c>
      <c r="F7865">
        <v>226815</v>
      </c>
      <c r="G7865">
        <v>225087</v>
      </c>
    </row>
    <row r="7866" spans="1:7">
      <c r="A7866" t="s">
        <v>1876</v>
      </c>
      <c r="B7866" t="s">
        <v>371</v>
      </c>
      <c r="C7866" t="s">
        <v>227</v>
      </c>
      <c r="D7866">
        <v>508103</v>
      </c>
      <c r="E7866">
        <v>524287</v>
      </c>
      <c r="F7866">
        <v>499341</v>
      </c>
      <c r="G7866">
        <v>496960</v>
      </c>
    </row>
    <row r="7867" spans="1:7">
      <c r="A7867" t="s">
        <v>1876</v>
      </c>
      <c r="B7867" t="s">
        <v>371</v>
      </c>
      <c r="C7867" t="s">
        <v>228</v>
      </c>
      <c r="D7867">
        <v>508103</v>
      </c>
      <c r="E7867">
        <v>524287</v>
      </c>
      <c r="F7867">
        <v>499341</v>
      </c>
      <c r="G7867">
        <v>496960</v>
      </c>
    </row>
    <row r="7868" spans="1:7">
      <c r="A7868" t="s">
        <v>1876</v>
      </c>
      <c r="B7868" t="s">
        <v>371</v>
      </c>
      <c r="C7868" t="s">
        <v>229</v>
      </c>
      <c r="D7868">
        <v>2793</v>
      </c>
      <c r="E7868">
        <v>2895</v>
      </c>
      <c r="F7868">
        <v>2091</v>
      </c>
      <c r="G7868">
        <v>1999</v>
      </c>
    </row>
    <row r="7869" spans="1:7">
      <c r="A7869" t="s">
        <v>1876</v>
      </c>
      <c r="B7869" t="s">
        <v>371</v>
      </c>
      <c r="C7869" t="s">
        <v>230</v>
      </c>
      <c r="D7869">
        <v>1489</v>
      </c>
      <c r="E7869">
        <v>1554</v>
      </c>
      <c r="F7869">
        <v>1162</v>
      </c>
      <c r="G7869">
        <v>1082</v>
      </c>
    </row>
    <row r="7870" spans="1:7">
      <c r="A7870" t="s">
        <v>1876</v>
      </c>
      <c r="B7870" t="s">
        <v>371</v>
      </c>
      <c r="C7870" t="s">
        <v>231</v>
      </c>
      <c r="D7870">
        <v>4282</v>
      </c>
      <c r="E7870">
        <v>4448</v>
      </c>
      <c r="F7870">
        <v>3253</v>
      </c>
      <c r="G7870">
        <v>3082</v>
      </c>
    </row>
    <row r="7871" spans="1:7">
      <c r="A7871" t="s">
        <v>1876</v>
      </c>
      <c r="B7871" t="s">
        <v>371</v>
      </c>
      <c r="C7871" t="s">
        <v>232</v>
      </c>
      <c r="D7871">
        <v>4282</v>
      </c>
      <c r="E7871">
        <v>4448</v>
      </c>
      <c r="F7871">
        <v>3253</v>
      </c>
      <c r="G7871">
        <v>3082</v>
      </c>
    </row>
    <row r="7872" spans="1:7">
      <c r="A7872" t="s">
        <v>1876</v>
      </c>
      <c r="B7872" t="s">
        <v>371</v>
      </c>
      <c r="C7872" t="s">
        <v>233</v>
      </c>
      <c r="D7872">
        <v>0</v>
      </c>
      <c r="E7872">
        <v>0</v>
      </c>
      <c r="F7872">
        <v>0</v>
      </c>
      <c r="G7872">
        <v>0</v>
      </c>
    </row>
    <row r="7873" spans="1:7">
      <c r="A7873" t="s">
        <v>1876</v>
      </c>
      <c r="B7873" t="s">
        <v>371</v>
      </c>
      <c r="C7873" t="s">
        <v>234</v>
      </c>
      <c r="D7873">
        <v>364097</v>
      </c>
      <c r="E7873">
        <v>367511</v>
      </c>
      <c r="F7873">
        <v>375943</v>
      </c>
      <c r="G7873">
        <v>376758</v>
      </c>
    </row>
    <row r="7874" spans="1:7">
      <c r="A7874" t="s">
        <v>1876</v>
      </c>
      <c r="B7874" t="s">
        <v>371</v>
      </c>
      <c r="C7874" t="s">
        <v>235</v>
      </c>
      <c r="D7874">
        <v>7022</v>
      </c>
      <c r="E7874">
        <v>7210</v>
      </c>
      <c r="F7874">
        <v>7078</v>
      </c>
      <c r="G7874">
        <v>6082</v>
      </c>
    </row>
    <row r="7875" spans="1:7">
      <c r="A7875" t="s">
        <v>1876</v>
      </c>
      <c r="B7875" t="s">
        <v>371</v>
      </c>
      <c r="C7875" t="s">
        <v>236</v>
      </c>
      <c r="D7875">
        <v>4781</v>
      </c>
      <c r="E7875">
        <v>4999</v>
      </c>
      <c r="F7875">
        <v>5091</v>
      </c>
      <c r="G7875">
        <v>4925</v>
      </c>
    </row>
    <row r="7876" spans="1:7">
      <c r="A7876" t="s">
        <v>1876</v>
      </c>
      <c r="B7876" t="s">
        <v>371</v>
      </c>
      <c r="C7876" t="s">
        <v>237</v>
      </c>
      <c r="D7876">
        <v>375899</v>
      </c>
      <c r="E7876">
        <v>379720</v>
      </c>
      <c r="F7876">
        <v>388112</v>
      </c>
      <c r="G7876">
        <v>387764</v>
      </c>
    </row>
    <row r="7877" spans="1:7">
      <c r="A7877" t="s">
        <v>1876</v>
      </c>
      <c r="B7877" t="s">
        <v>371</v>
      </c>
      <c r="C7877" t="s">
        <v>238</v>
      </c>
      <c r="D7877">
        <v>375899</v>
      </c>
      <c r="E7877">
        <v>379720</v>
      </c>
      <c r="F7877">
        <v>388112</v>
      </c>
      <c r="G7877">
        <v>387764</v>
      </c>
    </row>
    <row r="7878" spans="1:7">
      <c r="A7878" t="s">
        <v>1876</v>
      </c>
      <c r="B7878" t="s">
        <v>371</v>
      </c>
      <c r="C7878" t="s">
        <v>1934</v>
      </c>
      <c r="D7878">
        <v>339069</v>
      </c>
      <c r="E7878">
        <v>342137</v>
      </c>
      <c r="F7878">
        <v>350006</v>
      </c>
      <c r="G7878">
        <v>351036</v>
      </c>
    </row>
    <row r="7879" spans="1:7">
      <c r="A7879" t="s">
        <v>1876</v>
      </c>
      <c r="B7879" t="s">
        <v>371</v>
      </c>
      <c r="C7879" t="s">
        <v>1935</v>
      </c>
      <c r="D7879">
        <v>6539</v>
      </c>
      <c r="E7879">
        <v>6713</v>
      </c>
      <c r="F7879">
        <v>6590</v>
      </c>
      <c r="G7879">
        <v>5666</v>
      </c>
    </row>
    <row r="7880" spans="1:7">
      <c r="A7880" t="s">
        <v>1876</v>
      </c>
      <c r="B7880" t="s">
        <v>371</v>
      </c>
      <c r="C7880" t="s">
        <v>1936</v>
      </c>
      <c r="D7880">
        <v>4452</v>
      </c>
      <c r="E7880">
        <v>4654</v>
      </c>
      <c r="F7880">
        <v>4740</v>
      </c>
      <c r="G7880">
        <v>4589</v>
      </c>
    </row>
    <row r="7881" spans="1:7">
      <c r="A7881" t="s">
        <v>1876</v>
      </c>
      <c r="B7881" t="s">
        <v>371</v>
      </c>
      <c r="C7881" t="s">
        <v>239</v>
      </c>
      <c r="D7881">
        <v>350060</v>
      </c>
      <c r="E7881">
        <v>353504</v>
      </c>
      <c r="F7881">
        <v>361336</v>
      </c>
      <c r="G7881">
        <v>361292</v>
      </c>
    </row>
    <row r="7882" spans="1:7">
      <c r="A7882" t="s">
        <v>1876</v>
      </c>
      <c r="B7882" t="s">
        <v>371</v>
      </c>
      <c r="C7882" t="s">
        <v>240</v>
      </c>
      <c r="D7882">
        <v>823</v>
      </c>
      <c r="E7882">
        <v>931</v>
      </c>
      <c r="F7882">
        <v>895</v>
      </c>
      <c r="G7882">
        <v>876</v>
      </c>
    </row>
    <row r="7883" spans="1:7">
      <c r="A7883" t="s">
        <v>1876</v>
      </c>
      <c r="B7883" t="s">
        <v>371</v>
      </c>
      <c r="C7883" t="s">
        <v>241</v>
      </c>
      <c r="D7883">
        <v>0</v>
      </c>
      <c r="E7883">
        <v>0</v>
      </c>
      <c r="F7883">
        <v>0</v>
      </c>
      <c r="G7883">
        <v>0</v>
      </c>
    </row>
    <row r="7884" spans="1:7">
      <c r="A7884" t="s">
        <v>1876</v>
      </c>
      <c r="B7884" t="s">
        <v>371</v>
      </c>
      <c r="C7884" t="s">
        <v>242</v>
      </c>
      <c r="D7884">
        <v>4482</v>
      </c>
      <c r="E7884">
        <v>4823</v>
      </c>
      <c r="F7884">
        <v>4122</v>
      </c>
      <c r="G7884">
        <v>4626</v>
      </c>
    </row>
    <row r="7885" spans="1:7">
      <c r="A7885" t="s">
        <v>1876</v>
      </c>
      <c r="B7885" t="s">
        <v>371</v>
      </c>
      <c r="C7885" t="s">
        <v>243</v>
      </c>
      <c r="D7885">
        <v>63748</v>
      </c>
      <c r="E7885">
        <v>67363</v>
      </c>
      <c r="F7885">
        <v>63040</v>
      </c>
      <c r="G7885">
        <v>61361</v>
      </c>
    </row>
    <row r="7886" spans="1:7">
      <c r="A7886" t="s">
        <v>1876</v>
      </c>
      <c r="B7886" t="s">
        <v>371</v>
      </c>
      <c r="C7886" t="s">
        <v>244</v>
      </c>
      <c r="D7886">
        <v>56132</v>
      </c>
      <c r="E7886">
        <v>78291</v>
      </c>
      <c r="F7886">
        <v>87597</v>
      </c>
      <c r="G7886">
        <v>86298</v>
      </c>
    </row>
    <row r="7887" spans="1:7">
      <c r="A7887" t="s">
        <v>1876</v>
      </c>
      <c r="B7887" t="s">
        <v>371</v>
      </c>
      <c r="C7887" t="s">
        <v>1709</v>
      </c>
      <c r="D7887">
        <v>5812</v>
      </c>
      <c r="E7887">
        <v>5582</v>
      </c>
      <c r="F7887">
        <v>5486</v>
      </c>
      <c r="G7887">
        <v>5546</v>
      </c>
    </row>
    <row r="7888" spans="1:7">
      <c r="A7888" t="s">
        <v>1876</v>
      </c>
      <c r="B7888" t="s">
        <v>371</v>
      </c>
      <c r="C7888" t="s">
        <v>245</v>
      </c>
      <c r="D7888">
        <v>65720</v>
      </c>
      <c r="E7888">
        <v>66242</v>
      </c>
      <c r="F7888">
        <v>67869</v>
      </c>
      <c r="G7888">
        <v>69514</v>
      </c>
    </row>
    <row r="7889" spans="1:7">
      <c r="A7889" t="s">
        <v>1876</v>
      </c>
      <c r="B7889" t="s">
        <v>371</v>
      </c>
      <c r="C7889" t="s">
        <v>246</v>
      </c>
      <c r="D7889">
        <v>103569</v>
      </c>
      <c r="E7889">
        <v>105827</v>
      </c>
      <c r="F7889">
        <v>93870</v>
      </c>
      <c r="G7889">
        <v>87256</v>
      </c>
    </row>
    <row r="7890" spans="1:7">
      <c r="A7890" t="s">
        <v>1876</v>
      </c>
      <c r="B7890" t="s">
        <v>371</v>
      </c>
      <c r="C7890" t="s">
        <v>247</v>
      </c>
      <c r="D7890">
        <v>293652</v>
      </c>
      <c r="E7890">
        <v>322547</v>
      </c>
      <c r="F7890">
        <v>316498</v>
      </c>
      <c r="G7890">
        <v>309055</v>
      </c>
    </row>
    <row r="7891" spans="1:7">
      <c r="A7891" t="s">
        <v>1876</v>
      </c>
      <c r="B7891" t="s">
        <v>371</v>
      </c>
      <c r="C7891" t="s">
        <v>248</v>
      </c>
      <c r="D7891">
        <v>47.6</v>
      </c>
      <c r="E7891">
        <v>52.2</v>
      </c>
      <c r="F7891">
        <v>51</v>
      </c>
      <c r="G7891">
        <v>49.5</v>
      </c>
    </row>
    <row r="7892" spans="1:7">
      <c r="A7892" t="s">
        <v>1876</v>
      </c>
      <c r="B7892" t="s">
        <v>371</v>
      </c>
      <c r="C7892" t="s">
        <v>249</v>
      </c>
      <c r="D7892">
        <v>237519</v>
      </c>
      <c r="E7892">
        <v>244255</v>
      </c>
      <c r="F7892">
        <v>228902</v>
      </c>
      <c r="G7892">
        <v>222757</v>
      </c>
    </row>
    <row r="7893" spans="1:7">
      <c r="A7893" t="s">
        <v>1876</v>
      </c>
      <c r="B7893" t="s">
        <v>371</v>
      </c>
      <c r="C7893" t="s">
        <v>250</v>
      </c>
      <c r="D7893">
        <v>293633</v>
      </c>
      <c r="E7893">
        <v>322547</v>
      </c>
      <c r="F7893">
        <v>316498</v>
      </c>
      <c r="G7893">
        <v>309048</v>
      </c>
    </row>
    <row r="7894" spans="1:7">
      <c r="A7894" t="s">
        <v>1876</v>
      </c>
      <c r="B7894" t="s">
        <v>371</v>
      </c>
      <c r="C7894" t="s">
        <v>1937</v>
      </c>
      <c r="D7894">
        <v>4.5</v>
      </c>
      <c r="E7894">
        <v>7.5</v>
      </c>
      <c r="F7894">
        <v>7.3</v>
      </c>
      <c r="G7894">
        <v>7.8</v>
      </c>
    </row>
    <row r="7895" spans="1:7">
      <c r="A7895" t="s">
        <v>1876</v>
      </c>
      <c r="B7895" t="s">
        <v>371</v>
      </c>
      <c r="C7895" t="s">
        <v>1938</v>
      </c>
      <c r="D7895">
        <v>39.6</v>
      </c>
      <c r="E7895">
        <v>85.1</v>
      </c>
      <c r="F7895">
        <v>88.1</v>
      </c>
      <c r="G7895">
        <v>100.7</v>
      </c>
    </row>
    <row r="7896" spans="1:7">
      <c r="A7896" t="s">
        <v>1876</v>
      </c>
      <c r="B7896" t="s">
        <v>371</v>
      </c>
      <c r="C7896" t="s">
        <v>251</v>
      </c>
      <c r="D7896">
        <v>44766</v>
      </c>
      <c r="E7896">
        <v>92724</v>
      </c>
      <c r="F7896">
        <v>95947</v>
      </c>
      <c r="G7896">
        <v>109921</v>
      </c>
    </row>
    <row r="7897" spans="1:7">
      <c r="A7897" t="s">
        <v>1876</v>
      </c>
      <c r="B7897" t="s">
        <v>371</v>
      </c>
      <c r="C7897" t="s">
        <v>252</v>
      </c>
      <c r="D7897">
        <v>44766</v>
      </c>
      <c r="E7897">
        <v>92724</v>
      </c>
      <c r="F7897">
        <v>95947</v>
      </c>
      <c r="G7897">
        <v>109921</v>
      </c>
    </row>
    <row r="7898" spans="1:7">
      <c r="A7898" t="s">
        <v>1876</v>
      </c>
      <c r="B7898" t="s">
        <v>371</v>
      </c>
      <c r="C7898" t="s">
        <v>1710</v>
      </c>
      <c r="D7898">
        <v>1247</v>
      </c>
      <c r="E7898">
        <v>1190</v>
      </c>
      <c r="F7898">
        <v>1190</v>
      </c>
      <c r="G7898">
        <v>1190</v>
      </c>
    </row>
    <row r="7899" spans="1:7">
      <c r="A7899" t="s">
        <v>1876</v>
      </c>
      <c r="B7899" t="s">
        <v>371</v>
      </c>
      <c r="C7899" t="s">
        <v>1939</v>
      </c>
      <c r="D7899">
        <v>5.5</v>
      </c>
      <c r="E7899">
        <v>7.6</v>
      </c>
      <c r="F7899">
        <v>10.8</v>
      </c>
      <c r="G7899">
        <v>11.2</v>
      </c>
    </row>
    <row r="7900" spans="1:7">
      <c r="A7900" t="s">
        <v>1876</v>
      </c>
      <c r="B7900" t="s">
        <v>371</v>
      </c>
      <c r="C7900" t="s">
        <v>253</v>
      </c>
      <c r="D7900">
        <v>0</v>
      </c>
      <c r="E7900">
        <v>0</v>
      </c>
      <c r="F7900">
        <v>0</v>
      </c>
      <c r="G7900">
        <v>0</v>
      </c>
    </row>
    <row r="7901" spans="1:7">
      <c r="A7901" t="s">
        <v>1876</v>
      </c>
      <c r="B7901" t="s">
        <v>371</v>
      </c>
      <c r="C7901" t="s">
        <v>1711</v>
      </c>
      <c r="D7901">
        <v>0</v>
      </c>
      <c r="E7901">
        <v>0</v>
      </c>
      <c r="F7901">
        <v>0</v>
      </c>
      <c r="G7901">
        <v>0</v>
      </c>
    </row>
    <row r="7902" spans="1:7">
      <c r="A7902" t="s">
        <v>1876</v>
      </c>
      <c r="B7902" t="s">
        <v>371</v>
      </c>
      <c r="C7902" t="s">
        <v>1712</v>
      </c>
      <c r="D7902">
        <v>2745</v>
      </c>
      <c r="E7902">
        <v>3388</v>
      </c>
      <c r="F7902">
        <v>3214</v>
      </c>
      <c r="G7902">
        <v>3016</v>
      </c>
    </row>
    <row r="7903" spans="1:7">
      <c r="A7903" t="s">
        <v>1876</v>
      </c>
      <c r="B7903" t="s">
        <v>371</v>
      </c>
      <c r="C7903" t="s">
        <v>1713</v>
      </c>
      <c r="D7903">
        <v>2081</v>
      </c>
      <c r="E7903">
        <v>1864</v>
      </c>
      <c r="F7903">
        <v>2616</v>
      </c>
      <c r="G7903">
        <v>2735</v>
      </c>
    </row>
    <row r="7904" spans="1:7">
      <c r="A7904" t="s">
        <v>1876</v>
      </c>
      <c r="B7904" t="s">
        <v>371</v>
      </c>
      <c r="C7904" t="s">
        <v>1940</v>
      </c>
      <c r="D7904">
        <v>0</v>
      </c>
      <c r="E7904">
        <v>0</v>
      </c>
      <c r="F7904">
        <v>0</v>
      </c>
      <c r="G7904">
        <v>0</v>
      </c>
    </row>
    <row r="7905" spans="1:7">
      <c r="A7905" t="s">
        <v>1876</v>
      </c>
      <c r="B7905" t="s">
        <v>371</v>
      </c>
      <c r="C7905" t="s">
        <v>1941</v>
      </c>
      <c r="D7905">
        <v>0</v>
      </c>
      <c r="E7905">
        <v>0</v>
      </c>
      <c r="F7905">
        <v>0</v>
      </c>
      <c r="G7905">
        <v>0</v>
      </c>
    </row>
    <row r="7906" spans="1:7">
      <c r="A7906" t="s">
        <v>1876</v>
      </c>
      <c r="B7906" t="s">
        <v>371</v>
      </c>
      <c r="C7906" t="s">
        <v>254</v>
      </c>
      <c r="D7906">
        <v>2745</v>
      </c>
      <c r="E7906">
        <v>3388</v>
      </c>
      <c r="F7906">
        <v>3214</v>
      </c>
      <c r="G7906">
        <v>3016</v>
      </c>
    </row>
    <row r="7907" spans="1:7">
      <c r="A7907" t="s">
        <v>1876</v>
      </c>
      <c r="B7907" t="s">
        <v>371</v>
      </c>
      <c r="C7907" t="s">
        <v>1942</v>
      </c>
      <c r="D7907">
        <v>0</v>
      </c>
      <c r="E7907">
        <v>0</v>
      </c>
      <c r="F7907">
        <v>0</v>
      </c>
      <c r="G7907">
        <v>0</v>
      </c>
    </row>
    <row r="7908" spans="1:7">
      <c r="A7908" t="s">
        <v>1876</v>
      </c>
      <c r="B7908" t="s">
        <v>371</v>
      </c>
      <c r="C7908" t="s">
        <v>255</v>
      </c>
      <c r="D7908">
        <v>4826</v>
      </c>
      <c r="E7908">
        <v>5252</v>
      </c>
      <c r="F7908">
        <v>5830</v>
      </c>
      <c r="G7908">
        <v>5751</v>
      </c>
    </row>
    <row r="7909" spans="1:7">
      <c r="A7909" t="s">
        <v>1876</v>
      </c>
      <c r="B7909" t="s">
        <v>371</v>
      </c>
      <c r="C7909" t="s">
        <v>256</v>
      </c>
      <c r="D7909">
        <v>4826</v>
      </c>
      <c r="E7909">
        <v>5252</v>
      </c>
      <c r="F7909">
        <v>5830</v>
      </c>
      <c r="G7909">
        <v>5751</v>
      </c>
    </row>
    <row r="7910" spans="1:7">
      <c r="A7910" t="s">
        <v>1876</v>
      </c>
      <c r="B7910" t="s">
        <v>371</v>
      </c>
      <c r="C7910" t="s">
        <v>1714</v>
      </c>
      <c r="D7910">
        <v>0</v>
      </c>
      <c r="E7910">
        <v>0</v>
      </c>
      <c r="F7910">
        <v>0</v>
      </c>
      <c r="G7910">
        <v>0</v>
      </c>
    </row>
    <row r="7911" spans="1:7">
      <c r="A7911" t="s">
        <v>1876</v>
      </c>
      <c r="B7911" t="s">
        <v>371</v>
      </c>
      <c r="C7911" t="s">
        <v>257</v>
      </c>
      <c r="D7911">
        <v>25622</v>
      </c>
      <c r="E7911">
        <v>21925</v>
      </c>
      <c r="F7911">
        <v>27289</v>
      </c>
      <c r="G7911">
        <v>26065</v>
      </c>
    </row>
    <row r="7912" spans="1:7">
      <c r="A7912" t="s">
        <v>1876</v>
      </c>
      <c r="B7912" t="s">
        <v>371</v>
      </c>
      <c r="C7912" t="s">
        <v>258</v>
      </c>
      <c r="D7912">
        <v>30926</v>
      </c>
      <c r="E7912">
        <v>27126</v>
      </c>
      <c r="F7912">
        <v>32447</v>
      </c>
      <c r="G7912">
        <v>31259</v>
      </c>
    </row>
    <row r="7913" spans="1:7">
      <c r="A7913" t="s">
        <v>1876</v>
      </c>
      <c r="B7913" t="s">
        <v>371</v>
      </c>
      <c r="C7913" t="s">
        <v>259</v>
      </c>
      <c r="D7913">
        <v>30926</v>
      </c>
      <c r="E7913">
        <v>27126</v>
      </c>
      <c r="F7913">
        <v>32447</v>
      </c>
      <c r="G7913">
        <v>31259</v>
      </c>
    </row>
    <row r="7914" spans="1:7">
      <c r="A7914" t="s">
        <v>1876</v>
      </c>
      <c r="B7914" t="s">
        <v>371</v>
      </c>
      <c r="C7914" t="s">
        <v>260</v>
      </c>
      <c r="D7914">
        <v>539960</v>
      </c>
      <c r="E7914">
        <v>539632</v>
      </c>
      <c r="F7914">
        <v>543081</v>
      </c>
      <c r="G7914">
        <v>542523</v>
      </c>
    </row>
    <row r="7915" spans="1:7">
      <c r="A7915" t="s">
        <v>1876</v>
      </c>
      <c r="B7915" t="s">
        <v>371</v>
      </c>
      <c r="C7915" t="s">
        <v>1943</v>
      </c>
      <c r="D7915">
        <v>0.7</v>
      </c>
      <c r="E7915">
        <v>0.5</v>
      </c>
      <c r="F7915">
        <v>0.6</v>
      </c>
      <c r="G7915">
        <v>0.6</v>
      </c>
    </row>
    <row r="7916" spans="1:7">
      <c r="A7916" t="s">
        <v>1876</v>
      </c>
      <c r="B7916" t="s">
        <v>371</v>
      </c>
      <c r="C7916" t="s">
        <v>261</v>
      </c>
      <c r="D7916">
        <v>18203</v>
      </c>
      <c r="E7916">
        <v>15550</v>
      </c>
      <c r="F7916">
        <v>13980</v>
      </c>
      <c r="G7916">
        <v>12475</v>
      </c>
    </row>
    <row r="7917" spans="1:7">
      <c r="A7917" t="s">
        <v>1876</v>
      </c>
      <c r="B7917" t="s">
        <v>371</v>
      </c>
      <c r="C7917" t="s">
        <v>262</v>
      </c>
      <c r="D7917">
        <v>2782</v>
      </c>
      <c r="E7917">
        <v>2199</v>
      </c>
      <c r="F7917">
        <v>1871</v>
      </c>
      <c r="G7917">
        <v>2205</v>
      </c>
    </row>
    <row r="7918" spans="1:7">
      <c r="A7918" t="s">
        <v>1876</v>
      </c>
      <c r="B7918" t="s">
        <v>371</v>
      </c>
      <c r="C7918" t="s">
        <v>1715</v>
      </c>
      <c r="D7918">
        <v>1113</v>
      </c>
      <c r="E7918">
        <v>1012</v>
      </c>
      <c r="F7918">
        <v>1086</v>
      </c>
      <c r="G7918">
        <v>1060</v>
      </c>
    </row>
    <row r="7919" spans="1:7">
      <c r="A7919" t="s">
        <v>1876</v>
      </c>
      <c r="B7919" t="s">
        <v>371</v>
      </c>
      <c r="C7919" t="s">
        <v>263</v>
      </c>
      <c r="D7919">
        <v>62109</v>
      </c>
      <c r="E7919">
        <v>58545</v>
      </c>
      <c r="F7919">
        <v>62305</v>
      </c>
      <c r="G7919">
        <v>59863</v>
      </c>
    </row>
    <row r="7920" spans="1:7">
      <c r="A7920" t="s">
        <v>1876</v>
      </c>
      <c r="B7920" t="s">
        <v>371</v>
      </c>
      <c r="C7920" t="s">
        <v>264</v>
      </c>
      <c r="D7920">
        <v>13733</v>
      </c>
      <c r="E7920">
        <v>19893</v>
      </c>
      <c r="F7920">
        <v>18439</v>
      </c>
      <c r="G7920">
        <v>16508</v>
      </c>
    </row>
    <row r="7921" spans="1:7">
      <c r="A7921" t="s">
        <v>1876</v>
      </c>
      <c r="B7921" t="s">
        <v>371</v>
      </c>
      <c r="C7921" t="s">
        <v>265</v>
      </c>
      <c r="D7921">
        <v>636787</v>
      </c>
      <c r="E7921">
        <v>635818</v>
      </c>
      <c r="F7921">
        <v>639676</v>
      </c>
      <c r="G7921">
        <v>633573</v>
      </c>
    </row>
    <row r="7922" spans="1:7">
      <c r="A7922" t="s">
        <v>1876</v>
      </c>
      <c r="B7922" t="s">
        <v>371</v>
      </c>
      <c r="C7922" t="s">
        <v>266</v>
      </c>
      <c r="D7922">
        <v>103.2</v>
      </c>
      <c r="E7922">
        <v>102.9</v>
      </c>
      <c r="F7922">
        <v>103.1</v>
      </c>
      <c r="G7922">
        <v>101.5</v>
      </c>
    </row>
    <row r="7923" spans="1:7">
      <c r="A7923" t="s">
        <v>1876</v>
      </c>
      <c r="B7923" t="s">
        <v>371</v>
      </c>
      <c r="C7923" t="s">
        <v>267</v>
      </c>
      <c r="D7923">
        <v>634005</v>
      </c>
      <c r="E7923">
        <v>633619</v>
      </c>
      <c r="F7923">
        <v>637805</v>
      </c>
      <c r="G7923">
        <v>631368</v>
      </c>
    </row>
    <row r="7924" spans="1:7">
      <c r="A7924" t="s">
        <v>1876</v>
      </c>
      <c r="B7924" t="s">
        <v>371</v>
      </c>
      <c r="C7924" t="s">
        <v>268</v>
      </c>
      <c r="D7924">
        <v>0</v>
      </c>
      <c r="E7924">
        <v>0</v>
      </c>
      <c r="F7924">
        <v>0</v>
      </c>
      <c r="G7924">
        <v>0</v>
      </c>
    </row>
    <row r="7925" spans="1:7">
      <c r="A7925" t="s">
        <v>1876</v>
      </c>
      <c r="B7925" t="s">
        <v>371</v>
      </c>
      <c r="C7925" t="s">
        <v>269</v>
      </c>
      <c r="D7925">
        <v>0</v>
      </c>
      <c r="E7925">
        <v>0</v>
      </c>
      <c r="F7925">
        <v>0</v>
      </c>
      <c r="G7925">
        <v>0</v>
      </c>
    </row>
    <row r="7926" spans="1:7">
      <c r="A7926" t="s">
        <v>1876</v>
      </c>
      <c r="B7926" t="s">
        <v>371</v>
      </c>
      <c r="C7926" t="s">
        <v>270</v>
      </c>
      <c r="D7926">
        <v>5906</v>
      </c>
      <c r="E7926">
        <v>1197</v>
      </c>
      <c r="F7926">
        <v>6762</v>
      </c>
      <c r="G7926">
        <v>602</v>
      </c>
    </row>
    <row r="7927" spans="1:7">
      <c r="A7927" t="s">
        <v>1876</v>
      </c>
      <c r="B7927" t="s">
        <v>371</v>
      </c>
      <c r="C7927" t="s">
        <v>271</v>
      </c>
      <c r="D7927">
        <v>5906</v>
      </c>
      <c r="E7927">
        <v>1197</v>
      </c>
      <c r="F7927">
        <v>6762</v>
      </c>
      <c r="G7927">
        <v>602</v>
      </c>
    </row>
    <row r="7928" spans="1:7">
      <c r="A7928" t="s">
        <v>1876</v>
      </c>
      <c r="B7928" t="s">
        <v>371</v>
      </c>
      <c r="C7928" t="s">
        <v>272</v>
      </c>
      <c r="D7928">
        <v>5906</v>
      </c>
      <c r="E7928">
        <v>1197</v>
      </c>
      <c r="F7928">
        <v>6762</v>
      </c>
      <c r="G7928">
        <v>602</v>
      </c>
    </row>
    <row r="7929" spans="1:7">
      <c r="A7929" t="s">
        <v>1876</v>
      </c>
      <c r="B7929" t="s">
        <v>371</v>
      </c>
      <c r="C7929" t="s">
        <v>1944</v>
      </c>
      <c r="D7929">
        <v>7</v>
      </c>
      <c r="E7929">
        <v>9.6</v>
      </c>
      <c r="F7929">
        <v>12.2</v>
      </c>
      <c r="G7929">
        <v>16.2</v>
      </c>
    </row>
    <row r="7930" spans="1:7">
      <c r="A7930" t="s">
        <v>1876</v>
      </c>
      <c r="B7930" t="s">
        <v>371</v>
      </c>
      <c r="C7930" t="s">
        <v>1945</v>
      </c>
      <c r="D7930">
        <v>12</v>
      </c>
      <c r="E7930">
        <v>19</v>
      </c>
      <c r="F7930">
        <v>38</v>
      </c>
      <c r="G7930">
        <v>44</v>
      </c>
    </row>
    <row r="7931" spans="1:7">
      <c r="A7931" t="s">
        <v>1876</v>
      </c>
      <c r="B7931" t="s">
        <v>371</v>
      </c>
      <c r="C7931" t="s">
        <v>273</v>
      </c>
      <c r="D7931">
        <v>0</v>
      </c>
      <c r="E7931">
        <v>0</v>
      </c>
      <c r="F7931">
        <v>0</v>
      </c>
      <c r="G7931">
        <v>0</v>
      </c>
    </row>
    <row r="7932" spans="1:7">
      <c r="A7932" t="s">
        <v>1876</v>
      </c>
      <c r="B7932" t="s">
        <v>371</v>
      </c>
      <c r="C7932" t="s">
        <v>1946</v>
      </c>
      <c r="D7932">
        <v>511309</v>
      </c>
      <c r="E7932">
        <v>511078</v>
      </c>
      <c r="F7932">
        <v>512986</v>
      </c>
      <c r="G7932">
        <v>512589</v>
      </c>
    </row>
    <row r="7933" spans="1:7">
      <c r="A7933" t="s">
        <v>1876</v>
      </c>
      <c r="B7933" t="s">
        <v>371</v>
      </c>
      <c r="C7933" t="s">
        <v>1947</v>
      </c>
      <c r="D7933">
        <v>17721</v>
      </c>
      <c r="E7933">
        <v>15052</v>
      </c>
      <c r="F7933">
        <v>13491</v>
      </c>
      <c r="G7933">
        <v>12060</v>
      </c>
    </row>
    <row r="7934" spans="1:7">
      <c r="A7934" t="s">
        <v>1876</v>
      </c>
      <c r="B7934" t="s">
        <v>371</v>
      </c>
      <c r="C7934" t="s">
        <v>1948</v>
      </c>
      <c r="D7934">
        <v>2782</v>
      </c>
      <c r="E7934">
        <v>2199</v>
      </c>
      <c r="F7934">
        <v>1871</v>
      </c>
      <c r="G7934">
        <v>2205</v>
      </c>
    </row>
    <row r="7935" spans="1:7">
      <c r="A7935" t="s">
        <v>1876</v>
      </c>
      <c r="B7935" t="s">
        <v>371</v>
      </c>
      <c r="C7935" t="s">
        <v>1949</v>
      </c>
      <c r="D7935">
        <v>61780</v>
      </c>
      <c r="E7935">
        <v>58200</v>
      </c>
      <c r="F7935">
        <v>61954</v>
      </c>
      <c r="G7935">
        <v>59526</v>
      </c>
    </row>
    <row r="7936" spans="1:7">
      <c r="A7936" t="s">
        <v>1876</v>
      </c>
      <c r="B7936" t="s">
        <v>371</v>
      </c>
      <c r="C7936" t="s">
        <v>1950</v>
      </c>
      <c r="D7936">
        <v>13733</v>
      </c>
      <c r="E7936">
        <v>19893</v>
      </c>
      <c r="F7936">
        <v>18439</v>
      </c>
      <c r="G7936">
        <v>16508</v>
      </c>
    </row>
    <row r="7937" spans="1:7">
      <c r="A7937" t="s">
        <v>1876</v>
      </c>
      <c r="B7937" t="s">
        <v>371</v>
      </c>
      <c r="C7937" t="s">
        <v>274</v>
      </c>
      <c r="D7937">
        <v>607325</v>
      </c>
      <c r="E7937">
        <v>606422</v>
      </c>
      <c r="F7937">
        <v>608741</v>
      </c>
      <c r="G7937">
        <v>602887</v>
      </c>
    </row>
    <row r="7938" spans="1:7">
      <c r="A7938" t="s">
        <v>1876</v>
      </c>
      <c r="B7938" t="s">
        <v>371</v>
      </c>
      <c r="C7938" t="s">
        <v>275</v>
      </c>
      <c r="D7938">
        <v>0</v>
      </c>
      <c r="E7938">
        <v>0</v>
      </c>
      <c r="F7938">
        <v>0</v>
      </c>
      <c r="G7938">
        <v>0</v>
      </c>
    </row>
    <row r="7939" spans="1:7">
      <c r="A7939" t="s">
        <v>1876</v>
      </c>
      <c r="B7939" t="s">
        <v>371</v>
      </c>
      <c r="C7939" t="s">
        <v>276</v>
      </c>
      <c r="D7939">
        <v>0</v>
      </c>
      <c r="E7939">
        <v>0</v>
      </c>
      <c r="F7939">
        <v>0</v>
      </c>
      <c r="G7939">
        <v>0</v>
      </c>
    </row>
    <row r="7940" spans="1:7">
      <c r="A7940" t="s">
        <v>1876</v>
      </c>
      <c r="B7940" t="s">
        <v>371</v>
      </c>
      <c r="C7940" t="s">
        <v>277</v>
      </c>
      <c r="D7940">
        <v>162</v>
      </c>
      <c r="E7940">
        <v>186</v>
      </c>
      <c r="F7940">
        <v>203</v>
      </c>
      <c r="G7940">
        <v>169</v>
      </c>
    </row>
    <row r="7941" spans="1:7">
      <c r="A7941" t="s">
        <v>1876</v>
      </c>
      <c r="B7941" t="s">
        <v>371</v>
      </c>
      <c r="C7941" t="s">
        <v>278</v>
      </c>
      <c r="D7941">
        <v>7313</v>
      </c>
      <c r="E7941">
        <v>4237</v>
      </c>
      <c r="F7941">
        <v>3239</v>
      </c>
      <c r="G7941">
        <v>2906</v>
      </c>
    </row>
    <row r="7942" spans="1:7">
      <c r="A7942" t="s">
        <v>1876</v>
      </c>
      <c r="B7942" t="s">
        <v>371</v>
      </c>
      <c r="C7942" t="s">
        <v>279</v>
      </c>
      <c r="D7942">
        <v>4276</v>
      </c>
      <c r="E7942">
        <v>3892</v>
      </c>
      <c r="F7942">
        <v>2862</v>
      </c>
      <c r="G7942">
        <v>2610</v>
      </c>
    </row>
    <row r="7943" spans="1:7">
      <c r="A7943" t="s">
        <v>1876</v>
      </c>
      <c r="B7943" t="s">
        <v>371</v>
      </c>
      <c r="C7943" t="s">
        <v>280</v>
      </c>
      <c r="D7943">
        <v>13508</v>
      </c>
      <c r="E7943">
        <v>19655</v>
      </c>
      <c r="F7943">
        <v>18203</v>
      </c>
      <c r="G7943">
        <v>16298</v>
      </c>
    </row>
    <row r="7944" spans="1:7">
      <c r="A7944" t="s">
        <v>1876</v>
      </c>
      <c r="B7944" t="s">
        <v>371</v>
      </c>
      <c r="C7944" t="s">
        <v>281</v>
      </c>
      <c r="D7944">
        <v>25259</v>
      </c>
      <c r="E7944">
        <v>27970</v>
      </c>
      <c r="F7944">
        <v>24507</v>
      </c>
      <c r="G7944">
        <v>21983</v>
      </c>
    </row>
    <row r="7945" spans="1:7">
      <c r="A7945" t="s">
        <v>1876</v>
      </c>
      <c r="B7945" t="s">
        <v>371</v>
      </c>
      <c r="C7945" t="s">
        <v>282</v>
      </c>
      <c r="D7945">
        <v>25259</v>
      </c>
      <c r="E7945">
        <v>27970</v>
      </c>
      <c r="F7945">
        <v>24507</v>
      </c>
      <c r="G7945">
        <v>21983</v>
      </c>
    </row>
    <row r="7946" spans="1:7">
      <c r="A7946" t="s">
        <v>1876</v>
      </c>
      <c r="B7946" t="s">
        <v>371</v>
      </c>
      <c r="C7946" t="s">
        <v>283</v>
      </c>
      <c r="D7946">
        <v>0</v>
      </c>
      <c r="E7946">
        <v>0</v>
      </c>
      <c r="F7946">
        <v>0</v>
      </c>
      <c r="G7946">
        <v>0</v>
      </c>
    </row>
    <row r="7947" spans="1:7">
      <c r="A7947" t="s">
        <v>1876</v>
      </c>
      <c r="B7947" t="s">
        <v>371</v>
      </c>
      <c r="C7947" t="s">
        <v>284</v>
      </c>
      <c r="D7947">
        <v>0</v>
      </c>
      <c r="E7947">
        <v>0</v>
      </c>
      <c r="F7947">
        <v>0</v>
      </c>
      <c r="G7947">
        <v>0</v>
      </c>
    </row>
    <row r="7948" spans="1:7">
      <c r="A7948" t="s">
        <v>1876</v>
      </c>
      <c r="B7948" t="s">
        <v>371</v>
      </c>
      <c r="C7948" t="s">
        <v>1716</v>
      </c>
      <c r="D7948">
        <v>28650</v>
      </c>
      <c r="E7948">
        <v>28553</v>
      </c>
      <c r="F7948">
        <v>30095</v>
      </c>
      <c r="G7948">
        <v>29934</v>
      </c>
    </row>
    <row r="7949" spans="1:7">
      <c r="A7949" t="s">
        <v>1876</v>
      </c>
      <c r="B7949" t="s">
        <v>371</v>
      </c>
      <c r="C7949" t="s">
        <v>1717</v>
      </c>
      <c r="D7949">
        <v>3635</v>
      </c>
      <c r="E7949">
        <v>3741</v>
      </c>
      <c r="F7949">
        <v>3783</v>
      </c>
      <c r="G7949">
        <v>3951</v>
      </c>
    </row>
    <row r="7950" spans="1:7">
      <c r="A7950" t="s">
        <v>1876</v>
      </c>
      <c r="B7950" t="s">
        <v>371</v>
      </c>
      <c r="C7950" t="s">
        <v>1718</v>
      </c>
      <c r="D7950">
        <v>29313</v>
      </c>
      <c r="E7950">
        <v>31606</v>
      </c>
      <c r="F7950">
        <v>27096</v>
      </c>
      <c r="G7950">
        <v>28017</v>
      </c>
    </row>
    <row r="7951" spans="1:7">
      <c r="A7951" t="s">
        <v>1876</v>
      </c>
      <c r="B7951" t="s">
        <v>371</v>
      </c>
      <c r="C7951" t="s">
        <v>1719</v>
      </c>
      <c r="D7951">
        <v>2761</v>
      </c>
      <c r="E7951">
        <v>3028</v>
      </c>
      <c r="F7951">
        <v>3038</v>
      </c>
      <c r="G7951">
        <v>3425</v>
      </c>
    </row>
    <row r="7952" spans="1:7">
      <c r="A7952" t="s">
        <v>1876</v>
      </c>
      <c r="B7952" t="s">
        <v>371</v>
      </c>
      <c r="C7952" t="s">
        <v>1720</v>
      </c>
      <c r="D7952">
        <v>18131</v>
      </c>
      <c r="E7952">
        <v>20353</v>
      </c>
      <c r="F7952">
        <v>19299</v>
      </c>
      <c r="G7952">
        <v>19488</v>
      </c>
    </row>
    <row r="7953" spans="1:7">
      <c r="A7953" t="s">
        <v>1876</v>
      </c>
      <c r="B7953" t="s">
        <v>371</v>
      </c>
      <c r="C7953" t="s">
        <v>1721</v>
      </c>
      <c r="D7953">
        <v>9148</v>
      </c>
      <c r="E7953">
        <v>11481</v>
      </c>
      <c r="F7953">
        <v>10419</v>
      </c>
      <c r="G7953">
        <v>9919</v>
      </c>
    </row>
    <row r="7954" spans="1:7">
      <c r="A7954" t="s">
        <v>1876</v>
      </c>
      <c r="B7954" t="s">
        <v>371</v>
      </c>
      <c r="C7954" t="s">
        <v>285</v>
      </c>
      <c r="D7954">
        <v>88878</v>
      </c>
      <c r="E7954">
        <v>95734</v>
      </c>
      <c r="F7954">
        <v>90693</v>
      </c>
      <c r="G7954">
        <v>91309</v>
      </c>
    </row>
    <row r="7955" spans="1:7">
      <c r="A7955" t="s">
        <v>1876</v>
      </c>
      <c r="B7955" t="s">
        <v>371</v>
      </c>
      <c r="C7955" t="s">
        <v>1951</v>
      </c>
      <c r="D7955">
        <v>5.2</v>
      </c>
      <c r="E7955">
        <v>5.5</v>
      </c>
      <c r="F7955">
        <v>5.4</v>
      </c>
      <c r="G7955">
        <v>5.5</v>
      </c>
    </row>
    <row r="7956" spans="1:7">
      <c r="A7956" t="s">
        <v>1876</v>
      </c>
      <c r="B7956" t="s">
        <v>371</v>
      </c>
      <c r="C7956" t="s">
        <v>286</v>
      </c>
      <c r="D7956">
        <v>1</v>
      </c>
      <c r="E7956">
        <v>1</v>
      </c>
      <c r="F7956">
        <v>1</v>
      </c>
      <c r="G7956">
        <v>1</v>
      </c>
    </row>
    <row r="7957" spans="1:7">
      <c r="A7957" t="s">
        <v>1876</v>
      </c>
      <c r="B7957" t="s">
        <v>371</v>
      </c>
      <c r="C7957" t="s">
        <v>287</v>
      </c>
      <c r="D7957">
        <v>0</v>
      </c>
      <c r="E7957">
        <v>0</v>
      </c>
      <c r="F7957">
        <v>0</v>
      </c>
      <c r="G7957">
        <v>0</v>
      </c>
    </row>
    <row r="7958" spans="1:7">
      <c r="A7958" t="s">
        <v>1876</v>
      </c>
      <c r="B7958" t="s">
        <v>371</v>
      </c>
      <c r="C7958" t="s">
        <v>288</v>
      </c>
      <c r="D7958">
        <v>0</v>
      </c>
      <c r="E7958">
        <v>0</v>
      </c>
      <c r="F7958">
        <v>0</v>
      </c>
      <c r="G7958">
        <v>0</v>
      </c>
    </row>
    <row r="7959" spans="1:7">
      <c r="A7959" t="s">
        <v>1876</v>
      </c>
      <c r="B7959" t="s">
        <v>371</v>
      </c>
      <c r="C7959" t="s">
        <v>289</v>
      </c>
      <c r="D7959">
        <v>6</v>
      </c>
      <c r="E7959">
        <v>7</v>
      </c>
      <c r="F7959">
        <v>6</v>
      </c>
      <c r="G7959">
        <v>6</v>
      </c>
    </row>
    <row r="7960" spans="1:7">
      <c r="A7960" t="s">
        <v>1876</v>
      </c>
      <c r="B7960" t="s">
        <v>371</v>
      </c>
      <c r="C7960" t="s">
        <v>290</v>
      </c>
      <c r="D7960">
        <v>7</v>
      </c>
      <c r="E7960">
        <v>8</v>
      </c>
      <c r="F7960">
        <v>6</v>
      </c>
      <c r="G7960">
        <v>7</v>
      </c>
    </row>
    <row r="7961" spans="1:7">
      <c r="A7961" t="s">
        <v>1876</v>
      </c>
      <c r="B7961" t="s">
        <v>371</v>
      </c>
      <c r="C7961" t="s">
        <v>291</v>
      </c>
      <c r="D7961">
        <v>7</v>
      </c>
      <c r="E7961">
        <v>8</v>
      </c>
      <c r="F7961">
        <v>6</v>
      </c>
      <c r="G7961">
        <v>7</v>
      </c>
    </row>
    <row r="7962" spans="1:7">
      <c r="A7962" t="s">
        <v>1876</v>
      </c>
      <c r="B7962" t="s">
        <v>371</v>
      </c>
      <c r="C7962" t="s">
        <v>292</v>
      </c>
      <c r="D7962">
        <v>4</v>
      </c>
      <c r="E7962">
        <v>0</v>
      </c>
      <c r="F7962">
        <v>0</v>
      </c>
      <c r="G7962">
        <v>1</v>
      </c>
    </row>
    <row r="7963" spans="1:7">
      <c r="A7963" t="s">
        <v>1876</v>
      </c>
      <c r="B7963" t="s">
        <v>371</v>
      </c>
      <c r="C7963" t="s">
        <v>293</v>
      </c>
      <c r="D7963">
        <v>4</v>
      </c>
      <c r="E7963">
        <v>0</v>
      </c>
      <c r="F7963">
        <v>0</v>
      </c>
      <c r="G7963">
        <v>2</v>
      </c>
    </row>
    <row r="7964" spans="1:7">
      <c r="A7964" t="s">
        <v>1876</v>
      </c>
      <c r="B7964" t="s">
        <v>371</v>
      </c>
      <c r="C7964" t="s">
        <v>294</v>
      </c>
      <c r="D7964">
        <v>4</v>
      </c>
      <c r="E7964">
        <v>0</v>
      </c>
      <c r="F7964">
        <v>0</v>
      </c>
      <c r="G7964">
        <v>2</v>
      </c>
    </row>
    <row r="7965" spans="1:7">
      <c r="A7965" t="s">
        <v>1876</v>
      </c>
      <c r="B7965" t="s">
        <v>371</v>
      </c>
      <c r="C7965" t="s">
        <v>295</v>
      </c>
      <c r="D7965">
        <v>7</v>
      </c>
      <c r="E7965">
        <v>0</v>
      </c>
      <c r="F7965">
        <v>0</v>
      </c>
      <c r="G7965">
        <v>2</v>
      </c>
    </row>
    <row r="7966" spans="1:7">
      <c r="A7966" t="s">
        <v>1876</v>
      </c>
      <c r="B7966" t="s">
        <v>371</v>
      </c>
      <c r="C7966" t="s">
        <v>296</v>
      </c>
      <c r="D7966">
        <v>19</v>
      </c>
      <c r="E7966">
        <v>0</v>
      </c>
      <c r="F7966">
        <v>0</v>
      </c>
      <c r="G7966">
        <v>7</v>
      </c>
    </row>
    <row r="7967" spans="1:7">
      <c r="A7967" t="s">
        <v>1876</v>
      </c>
      <c r="B7967" t="s">
        <v>371</v>
      </c>
      <c r="C7967" t="s">
        <v>297</v>
      </c>
      <c r="D7967">
        <v>0</v>
      </c>
      <c r="E7967">
        <v>0</v>
      </c>
      <c r="F7967">
        <v>0</v>
      </c>
      <c r="G7967">
        <v>0</v>
      </c>
    </row>
    <row r="7968" spans="1:7">
      <c r="A7968" t="s">
        <v>1876</v>
      </c>
      <c r="B7968" t="s">
        <v>371</v>
      </c>
      <c r="C7968" t="s">
        <v>1952</v>
      </c>
      <c r="D7968">
        <v>0</v>
      </c>
      <c r="E7968">
        <v>0</v>
      </c>
      <c r="F7968">
        <v>0</v>
      </c>
      <c r="G7968">
        <v>0</v>
      </c>
    </row>
    <row r="7969" spans="1:7">
      <c r="A7969" t="s">
        <v>1876</v>
      </c>
      <c r="B7969" t="s">
        <v>371</v>
      </c>
      <c r="C7969" t="s">
        <v>298</v>
      </c>
      <c r="D7969">
        <v>1522</v>
      </c>
      <c r="E7969">
        <v>2000</v>
      </c>
      <c r="F7969">
        <v>2002</v>
      </c>
      <c r="G7969">
        <v>1751</v>
      </c>
    </row>
    <row r="7970" spans="1:7">
      <c r="A7970" t="s">
        <v>1876</v>
      </c>
      <c r="B7970" t="s">
        <v>371</v>
      </c>
      <c r="C7970" t="s">
        <v>299</v>
      </c>
      <c r="D7970">
        <v>588</v>
      </c>
      <c r="E7970">
        <v>626</v>
      </c>
      <c r="F7970">
        <v>742</v>
      </c>
      <c r="G7970">
        <v>872</v>
      </c>
    </row>
    <row r="7971" spans="1:7">
      <c r="A7971" t="s">
        <v>1876</v>
      </c>
      <c r="B7971" t="s">
        <v>371</v>
      </c>
      <c r="C7971" t="s">
        <v>300</v>
      </c>
      <c r="D7971">
        <v>395</v>
      </c>
      <c r="E7971">
        <v>518</v>
      </c>
      <c r="F7971">
        <v>594</v>
      </c>
      <c r="G7971">
        <v>708</v>
      </c>
    </row>
    <row r="7972" spans="1:7">
      <c r="A7972" t="s">
        <v>1876</v>
      </c>
      <c r="B7972" t="s">
        <v>371</v>
      </c>
      <c r="C7972" t="s">
        <v>1722</v>
      </c>
      <c r="D7972">
        <v>76</v>
      </c>
      <c r="E7972">
        <v>91</v>
      </c>
      <c r="F7972">
        <v>101</v>
      </c>
      <c r="G7972">
        <v>470</v>
      </c>
    </row>
    <row r="7973" spans="1:7">
      <c r="A7973" t="s">
        <v>1876</v>
      </c>
      <c r="B7973" t="s">
        <v>371</v>
      </c>
      <c r="C7973" t="s">
        <v>301</v>
      </c>
      <c r="D7973">
        <v>34</v>
      </c>
      <c r="E7973">
        <v>42</v>
      </c>
      <c r="F7973">
        <v>52</v>
      </c>
      <c r="G7973">
        <v>65</v>
      </c>
    </row>
    <row r="7974" spans="1:7">
      <c r="A7974" t="s">
        <v>1876</v>
      </c>
      <c r="B7974" t="s">
        <v>371</v>
      </c>
      <c r="C7974" t="s">
        <v>302</v>
      </c>
      <c r="D7974">
        <v>889</v>
      </c>
      <c r="E7974">
        <v>1168</v>
      </c>
      <c r="F7974">
        <v>1599</v>
      </c>
      <c r="G7974">
        <v>1628</v>
      </c>
    </row>
    <row r="7975" spans="1:7">
      <c r="A7975" t="s">
        <v>1876</v>
      </c>
      <c r="B7975" t="s">
        <v>371</v>
      </c>
      <c r="C7975" t="s">
        <v>303</v>
      </c>
      <c r="D7975">
        <v>1906</v>
      </c>
      <c r="E7975">
        <v>2355</v>
      </c>
      <c r="F7975">
        <v>2988</v>
      </c>
      <c r="G7975">
        <v>3273</v>
      </c>
    </row>
    <row r="7976" spans="1:7">
      <c r="A7976" t="s">
        <v>1876</v>
      </c>
      <c r="B7976" t="s">
        <v>371</v>
      </c>
      <c r="C7976" t="s">
        <v>304</v>
      </c>
      <c r="D7976">
        <v>1511</v>
      </c>
      <c r="E7976">
        <v>1837</v>
      </c>
      <c r="F7976">
        <v>2394</v>
      </c>
      <c r="G7976">
        <v>2565</v>
      </c>
    </row>
    <row r="7977" spans="1:7">
      <c r="A7977" t="s">
        <v>1876</v>
      </c>
      <c r="B7977" t="s">
        <v>371</v>
      </c>
      <c r="C7977" t="s">
        <v>1953</v>
      </c>
      <c r="D7977">
        <v>18.399999999999999</v>
      </c>
      <c r="E7977">
        <v>19.600000000000001</v>
      </c>
      <c r="F7977">
        <v>19.8</v>
      </c>
      <c r="G7977">
        <v>18.5</v>
      </c>
    </row>
    <row r="7978" spans="1:7">
      <c r="A7978" t="s">
        <v>1876</v>
      </c>
      <c r="B7978" t="s">
        <v>371</v>
      </c>
      <c r="C7978" t="s">
        <v>305</v>
      </c>
      <c r="D7978">
        <v>544647</v>
      </c>
      <c r="E7978">
        <v>544705</v>
      </c>
      <c r="F7978">
        <v>547438</v>
      </c>
      <c r="G7978">
        <v>547398</v>
      </c>
    </row>
    <row r="7979" spans="1:7">
      <c r="A7979" t="s">
        <v>1876</v>
      </c>
      <c r="B7979" t="s">
        <v>371</v>
      </c>
      <c r="C7979" t="s">
        <v>306</v>
      </c>
      <c r="D7979">
        <v>88.2</v>
      </c>
      <c r="E7979">
        <v>88.2</v>
      </c>
      <c r="F7979">
        <v>88.2</v>
      </c>
      <c r="G7979">
        <v>87.7</v>
      </c>
    </row>
    <row r="7980" spans="1:7">
      <c r="A7980" t="s">
        <v>1876</v>
      </c>
      <c r="B7980" t="s">
        <v>371</v>
      </c>
      <c r="C7980" t="s">
        <v>307</v>
      </c>
      <c r="D7980">
        <v>373679</v>
      </c>
      <c r="E7980">
        <v>382566</v>
      </c>
      <c r="F7980">
        <v>369168</v>
      </c>
      <c r="G7980">
        <v>367354</v>
      </c>
    </row>
    <row r="7981" spans="1:7">
      <c r="A7981" t="s">
        <v>1876</v>
      </c>
      <c r="B7981" t="s">
        <v>371</v>
      </c>
      <c r="C7981" t="s">
        <v>308</v>
      </c>
      <c r="D7981">
        <v>60.5</v>
      </c>
      <c r="E7981">
        <v>61.9</v>
      </c>
      <c r="F7981">
        <v>59.5</v>
      </c>
      <c r="G7981">
        <v>58.8</v>
      </c>
    </row>
    <row r="7982" spans="1:7">
      <c r="A7982" t="s">
        <v>1876</v>
      </c>
      <c r="B7982" t="s">
        <v>371</v>
      </c>
      <c r="C7982" t="s">
        <v>309</v>
      </c>
      <c r="D7982">
        <v>728255</v>
      </c>
      <c r="E7982">
        <v>752582</v>
      </c>
      <c r="F7982">
        <v>638418</v>
      </c>
      <c r="G7982">
        <v>631469</v>
      </c>
    </row>
    <row r="7983" spans="1:7">
      <c r="A7983" t="s">
        <v>1876</v>
      </c>
      <c r="B7983" t="s">
        <v>371</v>
      </c>
      <c r="C7983" t="s">
        <v>310</v>
      </c>
      <c r="D7983">
        <v>296663</v>
      </c>
      <c r="E7983">
        <v>295367</v>
      </c>
      <c r="F7983">
        <v>292898</v>
      </c>
      <c r="G7983">
        <v>293531</v>
      </c>
    </row>
    <row r="7984" spans="1:7">
      <c r="A7984" t="s">
        <v>1876</v>
      </c>
      <c r="B7984" t="s">
        <v>371</v>
      </c>
      <c r="C7984" t="s">
        <v>311</v>
      </c>
      <c r="D7984">
        <v>48.1</v>
      </c>
      <c r="E7984">
        <v>47.8</v>
      </c>
      <c r="F7984">
        <v>47.2</v>
      </c>
      <c r="G7984">
        <v>47</v>
      </c>
    </row>
    <row r="7985" spans="1:7">
      <c r="A7985" t="s">
        <v>1876</v>
      </c>
      <c r="B7985" t="s">
        <v>371</v>
      </c>
      <c r="C7985" t="s">
        <v>312</v>
      </c>
      <c r="D7985">
        <v>481201</v>
      </c>
      <c r="E7985">
        <v>507439</v>
      </c>
      <c r="F7985">
        <v>468843</v>
      </c>
      <c r="G7985">
        <v>458961</v>
      </c>
    </row>
    <row r="7986" spans="1:7">
      <c r="A7986" t="s">
        <v>1876</v>
      </c>
      <c r="B7986" t="s">
        <v>371</v>
      </c>
      <c r="C7986" t="s">
        <v>313</v>
      </c>
      <c r="D7986">
        <v>78</v>
      </c>
      <c r="E7986">
        <v>82.1</v>
      </c>
      <c r="F7986">
        <v>75.5</v>
      </c>
      <c r="G7986">
        <v>73.5</v>
      </c>
    </row>
    <row r="7987" spans="1:7">
      <c r="A7987" t="s">
        <v>1876</v>
      </c>
      <c r="B7987" t="s">
        <v>371</v>
      </c>
      <c r="C7987" t="s">
        <v>314</v>
      </c>
      <c r="D7987">
        <v>1696190</v>
      </c>
      <c r="E7987">
        <v>1730077</v>
      </c>
      <c r="F7987">
        <v>1678345</v>
      </c>
      <c r="G7987">
        <v>1667243</v>
      </c>
    </row>
    <row r="7988" spans="1:7">
      <c r="A7988" t="s">
        <v>1876</v>
      </c>
      <c r="B7988" t="s">
        <v>371</v>
      </c>
      <c r="C7988" t="s">
        <v>315</v>
      </c>
      <c r="D7988">
        <v>5.12</v>
      </c>
      <c r="E7988">
        <v>5.13</v>
      </c>
      <c r="F7988">
        <v>4.84</v>
      </c>
      <c r="G7988">
        <v>4.72</v>
      </c>
    </row>
    <row r="7989" spans="1:7">
      <c r="A7989" t="s">
        <v>1876</v>
      </c>
      <c r="B7989" t="s">
        <v>371</v>
      </c>
      <c r="C7989" t="s">
        <v>316</v>
      </c>
      <c r="D7989">
        <v>274.8</v>
      </c>
      <c r="E7989">
        <v>280</v>
      </c>
      <c r="F7989">
        <v>270.39999999999998</v>
      </c>
      <c r="G7989">
        <v>267</v>
      </c>
    </row>
    <row r="7990" spans="1:7">
      <c r="A7990" t="s">
        <v>1876</v>
      </c>
      <c r="B7990" t="s">
        <v>371</v>
      </c>
      <c r="C7990" t="s">
        <v>317</v>
      </c>
      <c r="D7990">
        <v>1696189</v>
      </c>
      <c r="E7990">
        <v>1730076</v>
      </c>
      <c r="F7990">
        <v>1678346</v>
      </c>
      <c r="G7990">
        <v>1667243</v>
      </c>
    </row>
    <row r="7991" spans="1:7">
      <c r="A7991" t="s">
        <v>1876</v>
      </c>
      <c r="B7991" t="s">
        <v>371</v>
      </c>
      <c r="C7991" t="s">
        <v>318</v>
      </c>
      <c r="D7991">
        <v>544512</v>
      </c>
      <c r="E7991">
        <v>544541</v>
      </c>
      <c r="F7991">
        <v>547284</v>
      </c>
      <c r="G7991">
        <v>547235</v>
      </c>
    </row>
    <row r="7992" spans="1:7">
      <c r="A7992" t="s">
        <v>1876</v>
      </c>
      <c r="B7992" t="s">
        <v>371</v>
      </c>
      <c r="C7992" t="s">
        <v>319</v>
      </c>
      <c r="D7992">
        <v>184275</v>
      </c>
      <c r="E7992">
        <v>188075</v>
      </c>
      <c r="F7992">
        <v>179914</v>
      </c>
      <c r="G7992">
        <v>178414</v>
      </c>
    </row>
    <row r="7993" spans="1:7">
      <c r="A7993" t="s">
        <v>1876</v>
      </c>
      <c r="B7993" t="s">
        <v>371</v>
      </c>
      <c r="C7993" t="s">
        <v>320</v>
      </c>
      <c r="D7993">
        <v>211156</v>
      </c>
      <c r="E7993">
        <v>208892</v>
      </c>
      <c r="F7993">
        <v>209778</v>
      </c>
      <c r="G7993">
        <v>210760</v>
      </c>
    </row>
    <row r="7994" spans="1:7">
      <c r="A7994" t="s">
        <v>1876</v>
      </c>
      <c r="B7994" t="s">
        <v>371</v>
      </c>
      <c r="C7994" t="s">
        <v>321</v>
      </c>
      <c r="D7994">
        <v>248144</v>
      </c>
      <c r="E7994">
        <v>264281</v>
      </c>
      <c r="F7994">
        <v>242028</v>
      </c>
      <c r="G7994">
        <v>233874</v>
      </c>
    </row>
    <row r="7995" spans="1:7">
      <c r="A7995" t="s">
        <v>1876</v>
      </c>
      <c r="B7995" t="s">
        <v>371</v>
      </c>
      <c r="C7995" t="s">
        <v>1954</v>
      </c>
      <c r="D7995">
        <v>1188087</v>
      </c>
      <c r="E7995">
        <v>1205789</v>
      </c>
      <c r="F7995">
        <v>1179005</v>
      </c>
      <c r="G7995">
        <v>1170283</v>
      </c>
    </row>
    <row r="7996" spans="1:7">
      <c r="A7996" t="s">
        <v>1876</v>
      </c>
      <c r="B7996" t="s">
        <v>371</v>
      </c>
      <c r="C7996" t="s">
        <v>323</v>
      </c>
      <c r="D7996">
        <v>6173</v>
      </c>
      <c r="E7996">
        <v>6179</v>
      </c>
      <c r="F7996">
        <v>6206</v>
      </c>
      <c r="G7996">
        <v>6244</v>
      </c>
    </row>
    <row r="7997" spans="1:7">
      <c r="A7997" t="s">
        <v>1876</v>
      </c>
      <c r="B7997" t="s">
        <v>371</v>
      </c>
      <c r="C7997" t="s">
        <v>324</v>
      </c>
      <c r="D7997">
        <v>0</v>
      </c>
      <c r="E7997">
        <v>0</v>
      </c>
      <c r="F7997">
        <v>0</v>
      </c>
      <c r="G7997">
        <v>0</v>
      </c>
    </row>
    <row r="7998" spans="1:7">
      <c r="A7998" t="s">
        <v>1876</v>
      </c>
      <c r="B7998" t="s">
        <v>371</v>
      </c>
      <c r="C7998" t="s">
        <v>325</v>
      </c>
      <c r="D7998">
        <v>0</v>
      </c>
      <c r="E7998">
        <v>0</v>
      </c>
      <c r="F7998">
        <v>0</v>
      </c>
      <c r="G7998">
        <v>0</v>
      </c>
    </row>
    <row r="7999" spans="1:7">
      <c r="A7999" t="s">
        <v>1876</v>
      </c>
      <c r="B7999" t="s">
        <v>371</v>
      </c>
      <c r="C7999" t="s">
        <v>326</v>
      </c>
      <c r="D7999">
        <v>2565</v>
      </c>
      <c r="E7999">
        <v>2617</v>
      </c>
      <c r="F7999">
        <v>2552</v>
      </c>
      <c r="G7999">
        <v>2663</v>
      </c>
    </row>
    <row r="8000" spans="1:7">
      <c r="A8000" t="s">
        <v>1876</v>
      </c>
      <c r="B8000" t="s">
        <v>371</v>
      </c>
      <c r="C8000" t="s">
        <v>327</v>
      </c>
      <c r="D8000">
        <v>0</v>
      </c>
      <c r="E8000">
        <v>0</v>
      </c>
      <c r="F8000">
        <v>0</v>
      </c>
      <c r="G8000">
        <v>0</v>
      </c>
    </row>
    <row r="8001" spans="1:7">
      <c r="A8001" t="s">
        <v>1876</v>
      </c>
      <c r="B8001" t="s">
        <v>371</v>
      </c>
      <c r="C8001" t="s">
        <v>1723</v>
      </c>
      <c r="D8001">
        <v>0</v>
      </c>
      <c r="E8001">
        <v>0</v>
      </c>
      <c r="F8001">
        <v>0</v>
      </c>
      <c r="G8001">
        <v>0</v>
      </c>
    </row>
    <row r="8002" spans="1:7">
      <c r="A8002" t="s">
        <v>1876</v>
      </c>
      <c r="B8002" t="s">
        <v>371</v>
      </c>
      <c r="C8002" t="s">
        <v>328</v>
      </c>
      <c r="D8002">
        <v>764</v>
      </c>
      <c r="E8002">
        <v>1992</v>
      </c>
      <c r="F8002">
        <v>1992</v>
      </c>
      <c r="G8002">
        <v>1992</v>
      </c>
    </row>
    <row r="8003" spans="1:7">
      <c r="A8003" t="s">
        <v>1876</v>
      </c>
      <c r="B8003" t="s">
        <v>371</v>
      </c>
      <c r="C8003" t="s">
        <v>329</v>
      </c>
      <c r="D8003">
        <v>7906</v>
      </c>
      <c r="E8003">
        <v>9961</v>
      </c>
      <c r="F8003">
        <v>8468</v>
      </c>
      <c r="G8003">
        <v>7938</v>
      </c>
    </row>
    <row r="8004" spans="1:7">
      <c r="A8004" t="s">
        <v>1876</v>
      </c>
      <c r="B8004" t="s">
        <v>371</v>
      </c>
      <c r="C8004" t="s">
        <v>330</v>
      </c>
      <c r="D8004">
        <v>11235</v>
      </c>
      <c r="E8004">
        <v>14569</v>
      </c>
      <c r="F8004">
        <v>13012</v>
      </c>
      <c r="G8004">
        <v>12593</v>
      </c>
    </row>
    <row r="8005" spans="1:7">
      <c r="A8005" t="s">
        <v>1876</v>
      </c>
      <c r="B8005" t="s">
        <v>371</v>
      </c>
      <c r="C8005" t="s">
        <v>331</v>
      </c>
      <c r="D8005">
        <v>0</v>
      </c>
      <c r="E8005">
        <v>0</v>
      </c>
      <c r="F8005">
        <v>0</v>
      </c>
      <c r="G8005">
        <v>0</v>
      </c>
    </row>
    <row r="8006" spans="1:7">
      <c r="A8006" t="s">
        <v>1876</v>
      </c>
      <c r="B8006" t="s">
        <v>371</v>
      </c>
      <c r="C8006" t="s">
        <v>332</v>
      </c>
      <c r="D8006">
        <v>832</v>
      </c>
      <c r="E8006">
        <v>692</v>
      </c>
      <c r="F8006">
        <v>706</v>
      </c>
      <c r="G8006">
        <v>661</v>
      </c>
    </row>
    <row r="8007" spans="1:7">
      <c r="A8007" t="s">
        <v>1876</v>
      </c>
      <c r="B8007" t="s">
        <v>371</v>
      </c>
      <c r="C8007" t="s">
        <v>1724</v>
      </c>
      <c r="D8007">
        <v>14</v>
      </c>
      <c r="E8007">
        <v>14</v>
      </c>
      <c r="F8007">
        <v>14</v>
      </c>
      <c r="G8007">
        <v>14</v>
      </c>
    </row>
    <row r="8008" spans="1:7">
      <c r="A8008" t="s">
        <v>1876</v>
      </c>
      <c r="B8008" t="s">
        <v>371</v>
      </c>
      <c r="C8008" t="s">
        <v>333</v>
      </c>
      <c r="D8008">
        <v>2349</v>
      </c>
      <c r="E8008">
        <v>1717</v>
      </c>
      <c r="F8008">
        <v>1712</v>
      </c>
      <c r="G8008">
        <v>1563</v>
      </c>
    </row>
    <row r="8009" spans="1:7">
      <c r="A8009" t="s">
        <v>1876</v>
      </c>
      <c r="B8009" t="s">
        <v>371</v>
      </c>
      <c r="C8009" t="s">
        <v>334</v>
      </c>
      <c r="D8009">
        <v>3180</v>
      </c>
      <c r="E8009">
        <v>2409</v>
      </c>
      <c r="F8009">
        <v>2418</v>
      </c>
      <c r="G8009">
        <v>2223</v>
      </c>
    </row>
    <row r="8010" spans="1:7">
      <c r="A8010" t="s">
        <v>1876</v>
      </c>
      <c r="B8010" t="s">
        <v>371</v>
      </c>
      <c r="C8010" t="s">
        <v>335</v>
      </c>
      <c r="D8010">
        <v>2565</v>
      </c>
      <c r="E8010">
        <v>2617</v>
      </c>
      <c r="F8010">
        <v>2552</v>
      </c>
      <c r="G8010">
        <v>2663</v>
      </c>
    </row>
    <row r="8011" spans="1:7">
      <c r="A8011" t="s">
        <v>1876</v>
      </c>
      <c r="B8011" t="s">
        <v>371</v>
      </c>
      <c r="C8011" t="s">
        <v>336</v>
      </c>
      <c r="D8011">
        <v>832</v>
      </c>
      <c r="E8011">
        <v>692</v>
      </c>
      <c r="F8011">
        <v>706</v>
      </c>
      <c r="G8011">
        <v>661</v>
      </c>
    </row>
    <row r="8012" spans="1:7">
      <c r="A8012" t="s">
        <v>1876</v>
      </c>
      <c r="B8012" t="s">
        <v>371</v>
      </c>
      <c r="C8012" t="s">
        <v>337</v>
      </c>
      <c r="D8012">
        <v>3113</v>
      </c>
      <c r="E8012">
        <v>3709</v>
      </c>
      <c r="F8012">
        <v>3704</v>
      </c>
      <c r="G8012">
        <v>3554</v>
      </c>
    </row>
    <row r="8013" spans="1:7">
      <c r="A8013" t="s">
        <v>1876</v>
      </c>
      <c r="B8013" t="s">
        <v>371</v>
      </c>
      <c r="C8013" t="s">
        <v>338</v>
      </c>
      <c r="D8013">
        <v>14415</v>
      </c>
      <c r="E8013">
        <v>16978</v>
      </c>
      <c r="F8013">
        <v>15430</v>
      </c>
      <c r="G8013">
        <v>14816</v>
      </c>
    </row>
    <row r="8014" spans="1:7">
      <c r="A8014" t="s">
        <v>1876</v>
      </c>
      <c r="B8014" t="s">
        <v>371</v>
      </c>
      <c r="C8014" t="s">
        <v>339</v>
      </c>
      <c r="D8014">
        <v>13584</v>
      </c>
      <c r="E8014">
        <v>16286</v>
      </c>
      <c r="F8014">
        <v>14723</v>
      </c>
      <c r="G8014">
        <v>14156</v>
      </c>
    </row>
    <row r="8015" spans="1:7">
      <c r="A8015" t="s">
        <v>1876</v>
      </c>
      <c r="B8015" t="s">
        <v>371</v>
      </c>
      <c r="C8015" t="s">
        <v>340</v>
      </c>
      <c r="D8015">
        <v>401</v>
      </c>
      <c r="E8015">
        <v>456</v>
      </c>
      <c r="F8015">
        <v>317</v>
      </c>
      <c r="G8015">
        <v>389</v>
      </c>
    </row>
    <row r="8016" spans="1:7">
      <c r="A8016" t="s">
        <v>1876</v>
      </c>
      <c r="B8016" t="s">
        <v>371</v>
      </c>
      <c r="C8016" t="s">
        <v>1955</v>
      </c>
      <c r="D8016">
        <v>36.799999999999997</v>
      </c>
      <c r="E8016">
        <v>36.200000000000003</v>
      </c>
      <c r="F8016">
        <v>32.6</v>
      </c>
      <c r="G8016">
        <v>32.299999999999997</v>
      </c>
    </row>
    <row r="8017" spans="1:7">
      <c r="A8017" t="s">
        <v>1876</v>
      </c>
      <c r="B8017" t="s">
        <v>371</v>
      </c>
      <c r="C8017" t="s">
        <v>341</v>
      </c>
      <c r="D8017">
        <v>0</v>
      </c>
      <c r="E8017">
        <v>0</v>
      </c>
      <c r="F8017">
        <v>0</v>
      </c>
      <c r="G8017">
        <v>0</v>
      </c>
    </row>
    <row r="8018" spans="1:7">
      <c r="A8018" t="s">
        <v>1876</v>
      </c>
      <c r="B8018" t="s">
        <v>371</v>
      </c>
      <c r="C8018" t="s">
        <v>342</v>
      </c>
      <c r="D8018">
        <v>22295</v>
      </c>
      <c r="E8018">
        <v>25674</v>
      </c>
      <c r="F8018">
        <v>23117</v>
      </c>
      <c r="G8018">
        <v>23167</v>
      </c>
    </row>
    <row r="8019" spans="1:7">
      <c r="A8019" t="s">
        <v>1876</v>
      </c>
      <c r="B8019" t="s">
        <v>371</v>
      </c>
      <c r="C8019" t="s">
        <v>1725</v>
      </c>
      <c r="D8019">
        <v>2122</v>
      </c>
      <c r="E8019">
        <v>2375</v>
      </c>
      <c r="F8019">
        <v>2375</v>
      </c>
      <c r="G8019">
        <v>2393</v>
      </c>
    </row>
    <row r="8020" spans="1:7">
      <c r="A8020" t="s">
        <v>1876</v>
      </c>
      <c r="B8020" t="s">
        <v>371</v>
      </c>
      <c r="C8020" t="s">
        <v>343</v>
      </c>
      <c r="D8020">
        <v>0</v>
      </c>
      <c r="E8020">
        <v>0</v>
      </c>
      <c r="F8020">
        <v>0</v>
      </c>
      <c r="G8020">
        <v>0</v>
      </c>
    </row>
    <row r="8021" spans="1:7">
      <c r="A8021" t="s">
        <v>1876</v>
      </c>
      <c r="B8021" t="s">
        <v>371</v>
      </c>
      <c r="C8021" t="s">
        <v>344</v>
      </c>
      <c r="D8021">
        <v>22295</v>
      </c>
      <c r="E8021">
        <v>25674</v>
      </c>
      <c r="F8021">
        <v>23117</v>
      </c>
      <c r="G8021">
        <v>23167</v>
      </c>
    </row>
    <row r="8022" spans="1:7">
      <c r="A8022" t="s">
        <v>1876</v>
      </c>
      <c r="B8022" t="s">
        <v>371</v>
      </c>
      <c r="C8022" t="s">
        <v>345</v>
      </c>
      <c r="D8022">
        <v>0</v>
      </c>
      <c r="E8022">
        <v>0</v>
      </c>
      <c r="F8022">
        <v>0</v>
      </c>
      <c r="G8022">
        <v>0</v>
      </c>
    </row>
    <row r="8023" spans="1:7">
      <c r="A8023" t="s">
        <v>1876</v>
      </c>
      <c r="B8023" t="s">
        <v>371</v>
      </c>
      <c r="C8023" t="s">
        <v>1956</v>
      </c>
      <c r="D8023">
        <v>832</v>
      </c>
      <c r="E8023">
        <v>692</v>
      </c>
      <c r="F8023">
        <v>706</v>
      </c>
      <c r="G8023">
        <v>661</v>
      </c>
    </row>
    <row r="8024" spans="1:7">
      <c r="A8024" t="s">
        <v>1876</v>
      </c>
      <c r="B8024" t="s">
        <v>371</v>
      </c>
      <c r="C8024" t="s">
        <v>1957</v>
      </c>
      <c r="D8024">
        <v>3180</v>
      </c>
      <c r="E8024">
        <v>2409</v>
      </c>
      <c r="F8024">
        <v>2418</v>
      </c>
      <c r="G8024">
        <v>2223</v>
      </c>
    </row>
    <row r="8025" spans="1:7">
      <c r="A8025" t="s">
        <v>1876</v>
      </c>
      <c r="B8025" t="s">
        <v>371</v>
      </c>
      <c r="C8025" t="s">
        <v>346</v>
      </c>
      <c r="D8025">
        <v>1378</v>
      </c>
      <c r="E8025">
        <v>1399</v>
      </c>
      <c r="F8025">
        <v>1353</v>
      </c>
      <c r="G8025">
        <v>1406</v>
      </c>
    </row>
    <row r="8026" spans="1:7">
      <c r="A8026" t="s">
        <v>1876</v>
      </c>
      <c r="B8026" t="s">
        <v>371</v>
      </c>
      <c r="C8026" t="s">
        <v>347</v>
      </c>
      <c r="D8026">
        <v>4645</v>
      </c>
      <c r="E8026">
        <v>5216</v>
      </c>
      <c r="F8026">
        <v>4280</v>
      </c>
      <c r="G8026">
        <v>4165</v>
      </c>
    </row>
    <row r="8027" spans="1:7">
      <c r="A8027" t="s">
        <v>1876</v>
      </c>
      <c r="B8027" t="s">
        <v>372</v>
      </c>
      <c r="C8027" t="s">
        <v>133</v>
      </c>
      <c r="D8027">
        <v>-19</v>
      </c>
      <c r="E8027">
        <v>-15</v>
      </c>
      <c r="F8027">
        <v>-14</v>
      </c>
      <c r="G8027">
        <v>-22</v>
      </c>
    </row>
    <row r="8028" spans="1:7">
      <c r="A8028" t="s">
        <v>1876</v>
      </c>
      <c r="B8028" t="s">
        <v>372</v>
      </c>
      <c r="C8028" t="s">
        <v>134</v>
      </c>
      <c r="D8028">
        <v>11473</v>
      </c>
      <c r="E8028">
        <v>12305</v>
      </c>
      <c r="F8028">
        <v>11191</v>
      </c>
      <c r="G8028">
        <v>11460</v>
      </c>
    </row>
    <row r="8029" spans="1:7">
      <c r="A8029" t="s">
        <v>1876</v>
      </c>
      <c r="B8029" t="s">
        <v>372</v>
      </c>
      <c r="C8029" t="s">
        <v>135</v>
      </c>
      <c r="D8029">
        <v>11473</v>
      </c>
      <c r="E8029">
        <v>12305</v>
      </c>
      <c r="F8029">
        <v>11191</v>
      </c>
      <c r="G8029">
        <v>11460</v>
      </c>
    </row>
    <row r="8030" spans="1:7">
      <c r="A8030" t="s">
        <v>1876</v>
      </c>
      <c r="B8030" t="s">
        <v>372</v>
      </c>
      <c r="C8030" t="s">
        <v>136</v>
      </c>
      <c r="D8030">
        <v>11473</v>
      </c>
      <c r="E8030">
        <v>12305</v>
      </c>
      <c r="F8030">
        <v>11191</v>
      </c>
      <c r="G8030">
        <v>11460</v>
      </c>
    </row>
    <row r="8031" spans="1:7">
      <c r="A8031" t="s">
        <v>1876</v>
      </c>
      <c r="B8031" t="s">
        <v>372</v>
      </c>
      <c r="C8031" t="s">
        <v>137</v>
      </c>
      <c r="D8031">
        <v>321</v>
      </c>
      <c r="E8031">
        <v>333</v>
      </c>
      <c r="F8031">
        <v>316</v>
      </c>
      <c r="G8031">
        <v>339</v>
      </c>
    </row>
    <row r="8032" spans="1:7">
      <c r="A8032" t="s">
        <v>1876</v>
      </c>
      <c r="B8032" t="s">
        <v>372</v>
      </c>
      <c r="C8032" t="s">
        <v>138</v>
      </c>
      <c r="D8032">
        <v>321</v>
      </c>
      <c r="E8032">
        <v>333</v>
      </c>
      <c r="F8032">
        <v>316</v>
      </c>
      <c r="G8032">
        <v>339</v>
      </c>
    </row>
    <row r="8033" spans="1:7">
      <c r="A8033" t="s">
        <v>1876</v>
      </c>
      <c r="B8033" t="s">
        <v>372</v>
      </c>
      <c r="C8033" t="s">
        <v>139</v>
      </c>
      <c r="D8033">
        <v>321</v>
      </c>
      <c r="E8033">
        <v>333</v>
      </c>
      <c r="F8033">
        <v>316</v>
      </c>
      <c r="G8033">
        <v>339</v>
      </c>
    </row>
    <row r="8034" spans="1:7">
      <c r="A8034" t="s">
        <v>1876</v>
      </c>
      <c r="B8034" t="s">
        <v>372</v>
      </c>
      <c r="C8034" t="s">
        <v>1877</v>
      </c>
      <c r="D8034">
        <v>0</v>
      </c>
      <c r="E8034">
        <v>0</v>
      </c>
      <c r="F8034">
        <v>0</v>
      </c>
      <c r="G8034">
        <v>0</v>
      </c>
    </row>
    <row r="8035" spans="1:7">
      <c r="A8035" t="s">
        <v>1876</v>
      </c>
      <c r="B8035" t="s">
        <v>372</v>
      </c>
      <c r="C8035" t="s">
        <v>1700</v>
      </c>
      <c r="D8035">
        <v>0</v>
      </c>
      <c r="E8035">
        <v>0</v>
      </c>
      <c r="F8035">
        <v>0</v>
      </c>
      <c r="G8035">
        <v>0</v>
      </c>
    </row>
    <row r="8036" spans="1:7">
      <c r="A8036" t="s">
        <v>1876</v>
      </c>
      <c r="B8036" t="s">
        <v>372</v>
      </c>
      <c r="C8036" t="s">
        <v>1878</v>
      </c>
      <c r="D8036">
        <v>0</v>
      </c>
      <c r="E8036">
        <v>0</v>
      </c>
      <c r="F8036">
        <v>0</v>
      </c>
      <c r="G8036">
        <v>0</v>
      </c>
    </row>
    <row r="8037" spans="1:7">
      <c r="A8037" t="s">
        <v>1876</v>
      </c>
      <c r="B8037" t="s">
        <v>372</v>
      </c>
      <c r="C8037" t="s">
        <v>1879</v>
      </c>
      <c r="D8037">
        <v>0</v>
      </c>
      <c r="E8037">
        <v>0</v>
      </c>
      <c r="F8037">
        <v>0</v>
      </c>
      <c r="G8037">
        <v>0</v>
      </c>
    </row>
    <row r="8038" spans="1:7">
      <c r="A8038" t="s">
        <v>1876</v>
      </c>
      <c r="B8038" t="s">
        <v>372</v>
      </c>
      <c r="C8038" t="s">
        <v>1701</v>
      </c>
      <c r="D8038">
        <v>0</v>
      </c>
      <c r="E8038">
        <v>0</v>
      </c>
      <c r="F8038">
        <v>0</v>
      </c>
      <c r="G8038">
        <v>0</v>
      </c>
    </row>
    <row r="8039" spans="1:7">
      <c r="A8039" t="s">
        <v>1876</v>
      </c>
      <c r="B8039" t="s">
        <v>372</v>
      </c>
      <c r="C8039" t="s">
        <v>1880</v>
      </c>
      <c r="D8039">
        <v>1059</v>
      </c>
      <c r="E8039">
        <v>976</v>
      </c>
      <c r="F8039">
        <v>1181</v>
      </c>
      <c r="G8039">
        <v>1127</v>
      </c>
    </row>
    <row r="8040" spans="1:7">
      <c r="A8040" t="s">
        <v>1876</v>
      </c>
      <c r="B8040" t="s">
        <v>372</v>
      </c>
      <c r="C8040" t="s">
        <v>140</v>
      </c>
      <c r="D8040">
        <v>2489</v>
      </c>
      <c r="E8040">
        <v>2359</v>
      </c>
      <c r="F8040">
        <v>3184</v>
      </c>
      <c r="G8040">
        <v>3212</v>
      </c>
    </row>
    <row r="8041" spans="1:7">
      <c r="A8041" t="s">
        <v>1876</v>
      </c>
      <c r="B8041" t="s">
        <v>372</v>
      </c>
      <c r="C8041" t="s">
        <v>1881</v>
      </c>
      <c r="D8041">
        <v>1430</v>
      </c>
      <c r="E8041">
        <v>1383</v>
      </c>
      <c r="F8041">
        <v>2003</v>
      </c>
      <c r="G8041">
        <v>2086</v>
      </c>
    </row>
    <row r="8042" spans="1:7">
      <c r="A8042" t="s">
        <v>1876</v>
      </c>
      <c r="B8042" t="s">
        <v>372</v>
      </c>
      <c r="C8042" t="s">
        <v>1882</v>
      </c>
      <c r="D8042">
        <v>0</v>
      </c>
      <c r="E8042">
        <v>0</v>
      </c>
      <c r="F8042">
        <v>0</v>
      </c>
      <c r="G8042">
        <v>0</v>
      </c>
    </row>
    <row r="8043" spans="1:7">
      <c r="A8043" t="s">
        <v>1876</v>
      </c>
      <c r="B8043" t="s">
        <v>372</v>
      </c>
      <c r="C8043" t="s">
        <v>1883</v>
      </c>
      <c r="D8043">
        <v>0</v>
      </c>
      <c r="E8043">
        <v>0</v>
      </c>
      <c r="F8043">
        <v>0</v>
      </c>
      <c r="G8043">
        <v>0</v>
      </c>
    </row>
    <row r="8044" spans="1:7">
      <c r="A8044" t="s">
        <v>1876</v>
      </c>
      <c r="B8044" t="s">
        <v>372</v>
      </c>
      <c r="C8044" t="s">
        <v>1884</v>
      </c>
      <c r="D8044">
        <v>0</v>
      </c>
      <c r="E8044">
        <v>0</v>
      </c>
      <c r="F8044">
        <v>0</v>
      </c>
      <c r="G8044">
        <v>0</v>
      </c>
    </row>
    <row r="8045" spans="1:7">
      <c r="A8045" t="s">
        <v>1876</v>
      </c>
      <c r="B8045" t="s">
        <v>372</v>
      </c>
      <c r="C8045" t="s">
        <v>1885</v>
      </c>
      <c r="D8045">
        <v>0</v>
      </c>
      <c r="E8045">
        <v>0</v>
      </c>
      <c r="F8045">
        <v>0</v>
      </c>
      <c r="G8045">
        <v>0</v>
      </c>
    </row>
    <row r="8046" spans="1:7">
      <c r="A8046" t="s">
        <v>1876</v>
      </c>
      <c r="B8046" t="s">
        <v>372</v>
      </c>
      <c r="C8046" t="s">
        <v>1886</v>
      </c>
      <c r="D8046">
        <v>0</v>
      </c>
      <c r="E8046">
        <v>0</v>
      </c>
      <c r="F8046">
        <v>0</v>
      </c>
      <c r="G8046">
        <v>0</v>
      </c>
    </row>
    <row r="8047" spans="1:7">
      <c r="A8047" t="s">
        <v>1876</v>
      </c>
      <c r="B8047" t="s">
        <v>372</v>
      </c>
      <c r="C8047" t="s">
        <v>141</v>
      </c>
      <c r="D8047">
        <v>32</v>
      </c>
      <c r="E8047">
        <v>31</v>
      </c>
      <c r="F8047">
        <v>42</v>
      </c>
      <c r="G8047">
        <v>31</v>
      </c>
    </row>
    <row r="8048" spans="1:7">
      <c r="A8048" t="s">
        <v>1876</v>
      </c>
      <c r="B8048" t="s">
        <v>372</v>
      </c>
      <c r="C8048" t="s">
        <v>1887</v>
      </c>
      <c r="D8048">
        <v>0</v>
      </c>
      <c r="E8048">
        <v>0</v>
      </c>
      <c r="F8048">
        <v>0</v>
      </c>
      <c r="G8048">
        <v>0</v>
      </c>
    </row>
    <row r="8049" spans="1:7">
      <c r="A8049" t="s">
        <v>1876</v>
      </c>
      <c r="B8049" t="s">
        <v>372</v>
      </c>
      <c r="C8049" t="s">
        <v>1888</v>
      </c>
      <c r="D8049">
        <v>0</v>
      </c>
      <c r="E8049">
        <v>0</v>
      </c>
      <c r="F8049">
        <v>0</v>
      </c>
      <c r="G8049">
        <v>0</v>
      </c>
    </row>
    <row r="8050" spans="1:7">
      <c r="A8050" t="s">
        <v>1876</v>
      </c>
      <c r="B8050" t="s">
        <v>372</v>
      </c>
      <c r="C8050" t="s">
        <v>1889</v>
      </c>
      <c r="D8050">
        <v>1059</v>
      </c>
      <c r="E8050">
        <v>976</v>
      </c>
      <c r="F8050">
        <v>1181</v>
      </c>
      <c r="G8050">
        <v>1127</v>
      </c>
    </row>
    <row r="8051" spans="1:7">
      <c r="A8051" t="s">
        <v>1876</v>
      </c>
      <c r="B8051" t="s">
        <v>372</v>
      </c>
      <c r="C8051" t="s">
        <v>1890</v>
      </c>
      <c r="D8051">
        <v>0</v>
      </c>
      <c r="E8051">
        <v>0</v>
      </c>
      <c r="F8051">
        <v>0</v>
      </c>
      <c r="G8051">
        <v>0</v>
      </c>
    </row>
    <row r="8052" spans="1:7">
      <c r="A8052" t="s">
        <v>1876</v>
      </c>
      <c r="B8052" t="s">
        <v>372</v>
      </c>
      <c r="C8052" t="s">
        <v>1891</v>
      </c>
    </row>
    <row r="8053" spans="1:7">
      <c r="A8053" t="s">
        <v>1876</v>
      </c>
      <c r="B8053" t="s">
        <v>372</v>
      </c>
      <c r="C8053" t="s">
        <v>1892</v>
      </c>
      <c r="D8053">
        <v>1430</v>
      </c>
      <c r="E8053">
        <v>1383</v>
      </c>
      <c r="F8053">
        <v>2003</v>
      </c>
      <c r="G8053">
        <v>2086</v>
      </c>
    </row>
    <row r="8054" spans="1:7">
      <c r="A8054" t="s">
        <v>1876</v>
      </c>
      <c r="B8054" t="s">
        <v>372</v>
      </c>
      <c r="C8054" t="s">
        <v>142</v>
      </c>
      <c r="D8054">
        <v>2489</v>
      </c>
      <c r="E8054">
        <v>2359</v>
      </c>
      <c r="F8054">
        <v>3184</v>
      </c>
      <c r="G8054">
        <v>3212</v>
      </c>
    </row>
    <row r="8055" spans="1:7">
      <c r="A8055" t="s">
        <v>1876</v>
      </c>
      <c r="B8055" t="s">
        <v>372</v>
      </c>
      <c r="C8055" t="s">
        <v>1893</v>
      </c>
      <c r="D8055">
        <v>2489</v>
      </c>
      <c r="E8055">
        <v>2359</v>
      </c>
      <c r="F8055">
        <v>3184</v>
      </c>
      <c r="G8055">
        <v>3212</v>
      </c>
    </row>
    <row r="8056" spans="1:7">
      <c r="A8056" t="s">
        <v>1876</v>
      </c>
      <c r="B8056" t="s">
        <v>372</v>
      </c>
      <c r="C8056" t="s">
        <v>1894</v>
      </c>
      <c r="D8056">
        <v>1430</v>
      </c>
      <c r="E8056">
        <v>1383</v>
      </c>
      <c r="F8056">
        <v>2003</v>
      </c>
      <c r="G8056">
        <v>2086</v>
      </c>
    </row>
    <row r="8057" spans="1:7">
      <c r="A8057" t="s">
        <v>1876</v>
      </c>
      <c r="B8057" t="s">
        <v>372</v>
      </c>
      <c r="C8057" t="s">
        <v>143</v>
      </c>
      <c r="D8057">
        <v>32</v>
      </c>
      <c r="E8057">
        <v>31</v>
      </c>
      <c r="F8057">
        <v>42</v>
      </c>
      <c r="G8057">
        <v>31</v>
      </c>
    </row>
    <row r="8058" spans="1:7">
      <c r="A8058" t="s">
        <v>1876</v>
      </c>
      <c r="B8058" t="s">
        <v>372</v>
      </c>
      <c r="C8058" t="s">
        <v>144</v>
      </c>
      <c r="D8058">
        <v>16083</v>
      </c>
      <c r="E8058">
        <v>16858</v>
      </c>
      <c r="F8058">
        <v>17393</v>
      </c>
      <c r="G8058">
        <v>17945</v>
      </c>
    </row>
    <row r="8059" spans="1:7">
      <c r="A8059" t="s">
        <v>1876</v>
      </c>
      <c r="B8059" t="s">
        <v>372</v>
      </c>
      <c r="C8059" t="s">
        <v>1895</v>
      </c>
      <c r="D8059">
        <v>63.3</v>
      </c>
      <c r="E8059">
        <v>58.8</v>
      </c>
      <c r="F8059">
        <v>62.6</v>
      </c>
      <c r="G8059">
        <v>61.3</v>
      </c>
    </row>
    <row r="8060" spans="1:7">
      <c r="A8060" t="s">
        <v>1876</v>
      </c>
      <c r="B8060" t="s">
        <v>372</v>
      </c>
      <c r="C8060" t="s">
        <v>145</v>
      </c>
      <c r="D8060">
        <v>63655</v>
      </c>
      <c r="E8060">
        <v>65192</v>
      </c>
      <c r="F8060">
        <v>65425</v>
      </c>
      <c r="G8060">
        <v>63007</v>
      </c>
    </row>
    <row r="8061" spans="1:7">
      <c r="A8061" t="s">
        <v>1876</v>
      </c>
      <c r="B8061" t="s">
        <v>372</v>
      </c>
      <c r="C8061" t="s">
        <v>146</v>
      </c>
      <c r="D8061">
        <v>0</v>
      </c>
      <c r="E8061">
        <v>0</v>
      </c>
      <c r="F8061">
        <v>0</v>
      </c>
      <c r="G8061">
        <v>0</v>
      </c>
    </row>
    <row r="8062" spans="1:7">
      <c r="A8062" t="s">
        <v>1876</v>
      </c>
      <c r="B8062" t="s">
        <v>372</v>
      </c>
      <c r="C8062" t="s">
        <v>147</v>
      </c>
      <c r="D8062">
        <v>0</v>
      </c>
      <c r="E8062">
        <v>0</v>
      </c>
      <c r="F8062">
        <v>0</v>
      </c>
      <c r="G8062">
        <v>0</v>
      </c>
    </row>
    <row r="8063" spans="1:7">
      <c r="A8063" t="s">
        <v>1876</v>
      </c>
      <c r="B8063" t="s">
        <v>372</v>
      </c>
      <c r="C8063" t="s">
        <v>1896</v>
      </c>
      <c r="D8063">
        <v>0</v>
      </c>
      <c r="E8063">
        <v>0</v>
      </c>
      <c r="F8063">
        <v>0</v>
      </c>
      <c r="G8063">
        <v>4.8</v>
      </c>
    </row>
    <row r="8064" spans="1:7">
      <c r="A8064" t="s">
        <v>1876</v>
      </c>
      <c r="B8064" t="s">
        <v>372</v>
      </c>
      <c r="C8064" t="s">
        <v>1702</v>
      </c>
      <c r="D8064">
        <v>0</v>
      </c>
      <c r="E8064">
        <v>0</v>
      </c>
      <c r="F8064">
        <v>2</v>
      </c>
      <c r="G8064">
        <v>52</v>
      </c>
    </row>
    <row r="8065" spans="1:7">
      <c r="A8065" t="s">
        <v>1876</v>
      </c>
      <c r="B8065" t="s">
        <v>372</v>
      </c>
      <c r="C8065" t="s">
        <v>1897</v>
      </c>
      <c r="D8065">
        <v>1.3</v>
      </c>
      <c r="E8065">
        <v>2</v>
      </c>
      <c r="F8065">
        <v>3.4</v>
      </c>
      <c r="G8065">
        <v>4.7</v>
      </c>
    </row>
    <row r="8066" spans="1:7">
      <c r="A8066" t="s">
        <v>1876</v>
      </c>
      <c r="B8066" t="s">
        <v>372</v>
      </c>
      <c r="C8066" t="s">
        <v>1898</v>
      </c>
      <c r="D8066">
        <v>2</v>
      </c>
      <c r="E8066">
        <v>3</v>
      </c>
      <c r="F8066">
        <v>11</v>
      </c>
      <c r="G8066">
        <v>15</v>
      </c>
    </row>
    <row r="8067" spans="1:7">
      <c r="A8067" t="s">
        <v>1876</v>
      </c>
      <c r="B8067" t="s">
        <v>372</v>
      </c>
      <c r="C8067" t="s">
        <v>1899</v>
      </c>
      <c r="D8067">
        <v>1430</v>
      </c>
      <c r="E8067">
        <v>1383</v>
      </c>
      <c r="F8067">
        <v>2003</v>
      </c>
      <c r="G8067">
        <v>2086</v>
      </c>
    </row>
    <row r="8068" spans="1:7">
      <c r="A8068" t="s">
        <v>1876</v>
      </c>
      <c r="B8068" t="s">
        <v>372</v>
      </c>
      <c r="C8068" t="s">
        <v>148</v>
      </c>
      <c r="D8068">
        <v>0</v>
      </c>
      <c r="E8068">
        <v>0</v>
      </c>
      <c r="F8068">
        <v>0</v>
      </c>
      <c r="G8068">
        <v>0</v>
      </c>
    </row>
    <row r="8069" spans="1:7">
      <c r="A8069" t="s">
        <v>1876</v>
      </c>
      <c r="B8069" t="s">
        <v>372</v>
      </c>
      <c r="C8069" t="s">
        <v>149</v>
      </c>
      <c r="D8069">
        <v>0</v>
      </c>
      <c r="E8069">
        <v>0</v>
      </c>
      <c r="F8069">
        <v>0</v>
      </c>
      <c r="G8069">
        <v>0</v>
      </c>
    </row>
    <row r="8070" spans="1:7">
      <c r="A8070" t="s">
        <v>1876</v>
      </c>
      <c r="B8070" t="s">
        <v>372</v>
      </c>
      <c r="C8070" t="s">
        <v>150</v>
      </c>
      <c r="D8070">
        <v>0</v>
      </c>
      <c r="E8070">
        <v>0</v>
      </c>
      <c r="F8070">
        <v>0</v>
      </c>
      <c r="G8070">
        <v>0</v>
      </c>
    </row>
    <row r="8071" spans="1:7">
      <c r="A8071" t="s">
        <v>1876</v>
      </c>
      <c r="B8071" t="s">
        <v>372</v>
      </c>
      <c r="C8071" t="s">
        <v>1900</v>
      </c>
      <c r="D8071">
        <v>44</v>
      </c>
      <c r="E8071">
        <v>44.9</v>
      </c>
      <c r="F8071">
        <v>32.4</v>
      </c>
      <c r="G8071">
        <v>26.7</v>
      </c>
    </row>
    <row r="8072" spans="1:7">
      <c r="A8072" t="s">
        <v>1876</v>
      </c>
      <c r="B8072" t="s">
        <v>372</v>
      </c>
      <c r="C8072" t="s">
        <v>151</v>
      </c>
      <c r="D8072">
        <v>0</v>
      </c>
      <c r="E8072">
        <v>0</v>
      </c>
      <c r="F8072">
        <v>0</v>
      </c>
      <c r="G8072">
        <v>0</v>
      </c>
    </row>
    <row r="8073" spans="1:7">
      <c r="A8073" t="s">
        <v>1876</v>
      </c>
      <c r="B8073" t="s">
        <v>372</v>
      </c>
      <c r="C8073" t="s">
        <v>152</v>
      </c>
      <c r="D8073">
        <v>62254</v>
      </c>
      <c r="E8073">
        <v>64180</v>
      </c>
      <c r="F8073">
        <v>47280</v>
      </c>
      <c r="G8073">
        <v>39611</v>
      </c>
    </row>
    <row r="8074" spans="1:7">
      <c r="A8074" t="s">
        <v>1876</v>
      </c>
      <c r="B8074" t="s">
        <v>372</v>
      </c>
      <c r="C8074" t="s">
        <v>1703</v>
      </c>
      <c r="D8074">
        <v>1444</v>
      </c>
      <c r="E8074">
        <v>1444</v>
      </c>
      <c r="F8074">
        <v>1444</v>
      </c>
      <c r="G8074">
        <v>1444</v>
      </c>
    </row>
    <row r="8075" spans="1:7">
      <c r="A8075" t="s">
        <v>1876</v>
      </c>
      <c r="B8075" t="s">
        <v>372</v>
      </c>
      <c r="C8075" t="s">
        <v>153</v>
      </c>
      <c r="D8075">
        <v>2191</v>
      </c>
      <c r="E8075">
        <v>2034</v>
      </c>
      <c r="F8075">
        <v>2326</v>
      </c>
      <c r="G8075">
        <v>2888</v>
      </c>
    </row>
    <row r="8076" spans="1:7">
      <c r="A8076" t="s">
        <v>1876</v>
      </c>
      <c r="B8076" t="s">
        <v>372</v>
      </c>
      <c r="C8076" t="s">
        <v>154</v>
      </c>
      <c r="D8076">
        <v>0</v>
      </c>
      <c r="E8076">
        <v>0</v>
      </c>
      <c r="F8076">
        <v>0</v>
      </c>
      <c r="G8076">
        <v>0</v>
      </c>
    </row>
    <row r="8077" spans="1:7">
      <c r="A8077" t="s">
        <v>1876</v>
      </c>
      <c r="B8077" t="s">
        <v>372</v>
      </c>
      <c r="C8077" t="s">
        <v>155</v>
      </c>
      <c r="D8077">
        <v>2191</v>
      </c>
      <c r="E8077">
        <v>2034</v>
      </c>
      <c r="F8077">
        <v>2326</v>
      </c>
      <c r="G8077">
        <v>2888</v>
      </c>
    </row>
    <row r="8078" spans="1:7">
      <c r="A8078" t="s">
        <v>1876</v>
      </c>
      <c r="B8078" t="s">
        <v>372</v>
      </c>
      <c r="C8078" t="s">
        <v>156</v>
      </c>
      <c r="D8078">
        <v>0</v>
      </c>
      <c r="E8078">
        <v>0</v>
      </c>
      <c r="F8078">
        <v>0</v>
      </c>
      <c r="G8078">
        <v>0</v>
      </c>
    </row>
    <row r="8079" spans="1:7">
      <c r="A8079" t="s">
        <v>1876</v>
      </c>
      <c r="B8079" t="s">
        <v>372</v>
      </c>
      <c r="C8079" t="s">
        <v>157</v>
      </c>
      <c r="D8079">
        <v>64446</v>
      </c>
      <c r="E8079">
        <v>66214</v>
      </c>
      <c r="F8079">
        <v>49606</v>
      </c>
      <c r="G8079">
        <v>42499</v>
      </c>
    </row>
    <row r="8080" spans="1:7">
      <c r="A8080" t="s">
        <v>1876</v>
      </c>
      <c r="B8080" t="s">
        <v>372</v>
      </c>
      <c r="C8080" t="s">
        <v>158</v>
      </c>
      <c r="D8080">
        <v>2191</v>
      </c>
      <c r="E8080">
        <v>2034</v>
      </c>
      <c r="F8080">
        <v>2326</v>
      </c>
      <c r="G8080">
        <v>2888</v>
      </c>
    </row>
    <row r="8081" spans="1:7">
      <c r="A8081" t="s">
        <v>1876</v>
      </c>
      <c r="B8081" t="s">
        <v>372</v>
      </c>
      <c r="C8081" t="s">
        <v>159</v>
      </c>
      <c r="D8081">
        <v>0</v>
      </c>
      <c r="E8081">
        <v>0</v>
      </c>
      <c r="F8081">
        <v>0</v>
      </c>
      <c r="G8081">
        <v>0</v>
      </c>
    </row>
    <row r="8082" spans="1:7">
      <c r="A8082" t="s">
        <v>1876</v>
      </c>
      <c r="B8082" t="s">
        <v>372</v>
      </c>
      <c r="C8082" t="s">
        <v>1901</v>
      </c>
      <c r="D8082">
        <v>62.8</v>
      </c>
      <c r="E8082">
        <v>66.5</v>
      </c>
      <c r="F8082">
        <v>67.8</v>
      </c>
      <c r="G8082">
        <v>73.400000000000006</v>
      </c>
    </row>
    <row r="8083" spans="1:7">
      <c r="A8083" t="s">
        <v>1876</v>
      </c>
      <c r="B8083" t="s">
        <v>372</v>
      </c>
      <c r="C8083" t="s">
        <v>1902</v>
      </c>
      <c r="D8083">
        <v>102717</v>
      </c>
      <c r="E8083">
        <v>105357</v>
      </c>
      <c r="F8083">
        <v>103717</v>
      </c>
      <c r="G8083">
        <v>99970</v>
      </c>
    </row>
    <row r="8084" spans="1:7">
      <c r="A8084" t="s">
        <v>1876</v>
      </c>
      <c r="B8084" t="s">
        <v>372</v>
      </c>
      <c r="C8084" t="s">
        <v>1903</v>
      </c>
      <c r="D8084">
        <v>3342</v>
      </c>
      <c r="E8084">
        <v>3442</v>
      </c>
      <c r="F8084">
        <v>2921</v>
      </c>
      <c r="G8084">
        <v>3039</v>
      </c>
    </row>
    <row r="8085" spans="1:7">
      <c r="A8085" t="s">
        <v>1876</v>
      </c>
      <c r="B8085" t="s">
        <v>372</v>
      </c>
      <c r="C8085" t="s">
        <v>1904</v>
      </c>
      <c r="D8085">
        <v>68</v>
      </c>
      <c r="E8085">
        <v>70</v>
      </c>
      <c r="F8085">
        <v>56</v>
      </c>
      <c r="G8085">
        <v>55</v>
      </c>
    </row>
    <row r="8086" spans="1:7">
      <c r="A8086" t="s">
        <v>1876</v>
      </c>
      <c r="B8086" t="s">
        <v>372</v>
      </c>
      <c r="C8086" t="s">
        <v>1905</v>
      </c>
      <c r="D8086">
        <v>14902</v>
      </c>
      <c r="E8086">
        <v>15065</v>
      </c>
      <c r="F8086">
        <v>14703</v>
      </c>
      <c r="G8086">
        <v>14268</v>
      </c>
    </row>
    <row r="8087" spans="1:7">
      <c r="A8087" t="s">
        <v>1876</v>
      </c>
      <c r="B8087" t="s">
        <v>372</v>
      </c>
      <c r="C8087" t="s">
        <v>1906</v>
      </c>
      <c r="D8087">
        <v>1</v>
      </c>
      <c r="E8087">
        <v>1</v>
      </c>
      <c r="F8087">
        <v>1</v>
      </c>
      <c r="G8087">
        <v>1</v>
      </c>
    </row>
    <row r="8088" spans="1:7">
      <c r="A8088" t="s">
        <v>1876</v>
      </c>
      <c r="B8088" t="s">
        <v>372</v>
      </c>
      <c r="C8088" t="s">
        <v>1907</v>
      </c>
      <c r="D8088">
        <v>121031</v>
      </c>
      <c r="E8088">
        <v>123934</v>
      </c>
      <c r="F8088">
        <v>121397</v>
      </c>
      <c r="G8088">
        <v>117334</v>
      </c>
    </row>
    <row r="8089" spans="1:7">
      <c r="A8089" t="s">
        <v>1876</v>
      </c>
      <c r="B8089" t="s">
        <v>372</v>
      </c>
      <c r="C8089" t="s">
        <v>160</v>
      </c>
      <c r="D8089">
        <v>101287</v>
      </c>
      <c r="E8089">
        <v>103974</v>
      </c>
      <c r="F8089">
        <v>101713</v>
      </c>
      <c r="G8089">
        <v>97885</v>
      </c>
    </row>
    <row r="8090" spans="1:7">
      <c r="A8090" t="s">
        <v>1876</v>
      </c>
      <c r="B8090" t="s">
        <v>372</v>
      </c>
      <c r="C8090" t="s">
        <v>161</v>
      </c>
      <c r="D8090">
        <v>3342</v>
      </c>
      <c r="E8090">
        <v>3442</v>
      </c>
      <c r="F8090">
        <v>2921</v>
      </c>
      <c r="G8090">
        <v>3039</v>
      </c>
    </row>
    <row r="8091" spans="1:7">
      <c r="A8091" t="s">
        <v>1876</v>
      </c>
      <c r="B8091" t="s">
        <v>372</v>
      </c>
      <c r="C8091" t="s">
        <v>162</v>
      </c>
      <c r="D8091">
        <v>68</v>
      </c>
      <c r="E8091">
        <v>70</v>
      </c>
      <c r="F8091">
        <v>56</v>
      </c>
      <c r="G8091">
        <v>55</v>
      </c>
    </row>
    <row r="8092" spans="1:7">
      <c r="A8092" t="s">
        <v>1876</v>
      </c>
      <c r="B8092" t="s">
        <v>372</v>
      </c>
      <c r="C8092" t="s">
        <v>163</v>
      </c>
      <c r="D8092">
        <v>14902</v>
      </c>
      <c r="E8092">
        <v>15065</v>
      </c>
      <c r="F8092">
        <v>14703</v>
      </c>
      <c r="G8092">
        <v>14268</v>
      </c>
    </row>
    <row r="8093" spans="1:7">
      <c r="A8093" t="s">
        <v>1876</v>
      </c>
      <c r="B8093" t="s">
        <v>372</v>
      </c>
      <c r="C8093" t="s">
        <v>164</v>
      </c>
      <c r="D8093">
        <v>1</v>
      </c>
      <c r="E8093">
        <v>1</v>
      </c>
      <c r="F8093">
        <v>1</v>
      </c>
      <c r="G8093">
        <v>1</v>
      </c>
    </row>
    <row r="8094" spans="1:7">
      <c r="A8094" t="s">
        <v>1876</v>
      </c>
      <c r="B8094" t="s">
        <v>372</v>
      </c>
      <c r="C8094" t="s">
        <v>165</v>
      </c>
      <c r="D8094">
        <v>119601</v>
      </c>
      <c r="E8094">
        <v>122551</v>
      </c>
      <c r="F8094">
        <v>119394</v>
      </c>
      <c r="G8094">
        <v>115248</v>
      </c>
    </row>
    <row r="8095" spans="1:7">
      <c r="A8095" t="s">
        <v>1876</v>
      </c>
      <c r="B8095" t="s">
        <v>372</v>
      </c>
      <c r="C8095" t="s">
        <v>166</v>
      </c>
      <c r="D8095">
        <v>119533</v>
      </c>
      <c r="E8095">
        <v>122482</v>
      </c>
      <c r="F8095">
        <v>119338</v>
      </c>
      <c r="G8095">
        <v>115193</v>
      </c>
    </row>
    <row r="8096" spans="1:7">
      <c r="A8096" t="s">
        <v>1876</v>
      </c>
      <c r="B8096" t="s">
        <v>372</v>
      </c>
      <c r="C8096" t="s">
        <v>167</v>
      </c>
      <c r="D8096">
        <v>68</v>
      </c>
      <c r="E8096">
        <v>70</v>
      </c>
      <c r="F8096">
        <v>56</v>
      </c>
      <c r="G8096">
        <v>55</v>
      </c>
    </row>
    <row r="8097" spans="1:7">
      <c r="A8097" t="s">
        <v>1876</v>
      </c>
      <c r="B8097" t="s">
        <v>372</v>
      </c>
      <c r="C8097" t="s">
        <v>1908</v>
      </c>
      <c r="D8097">
        <v>100228</v>
      </c>
      <c r="E8097">
        <v>102998</v>
      </c>
      <c r="F8097">
        <v>100533</v>
      </c>
      <c r="G8097">
        <v>96758</v>
      </c>
    </row>
    <row r="8098" spans="1:7">
      <c r="A8098" t="s">
        <v>1876</v>
      </c>
      <c r="B8098" t="s">
        <v>372</v>
      </c>
      <c r="C8098" t="s">
        <v>1909</v>
      </c>
      <c r="D8098">
        <v>3342</v>
      </c>
      <c r="E8098">
        <v>3442</v>
      </c>
      <c r="F8098">
        <v>2921</v>
      </c>
      <c r="G8098">
        <v>3039</v>
      </c>
    </row>
    <row r="8099" spans="1:7">
      <c r="A8099" t="s">
        <v>1876</v>
      </c>
      <c r="B8099" t="s">
        <v>372</v>
      </c>
      <c r="C8099" t="s">
        <v>1910</v>
      </c>
      <c r="D8099">
        <v>68</v>
      </c>
      <c r="E8099">
        <v>70</v>
      </c>
      <c r="F8099">
        <v>56</v>
      </c>
      <c r="G8099">
        <v>55</v>
      </c>
    </row>
    <row r="8100" spans="1:7">
      <c r="A8100" t="s">
        <v>1876</v>
      </c>
      <c r="B8100" t="s">
        <v>372</v>
      </c>
      <c r="C8100" t="s">
        <v>1911</v>
      </c>
      <c r="D8100">
        <v>14902</v>
      </c>
      <c r="E8100">
        <v>15065</v>
      </c>
      <c r="F8100">
        <v>14703</v>
      </c>
      <c r="G8100">
        <v>14268</v>
      </c>
    </row>
    <row r="8101" spans="1:7">
      <c r="A8101" t="s">
        <v>1876</v>
      </c>
      <c r="B8101" t="s">
        <v>372</v>
      </c>
      <c r="C8101" t="s">
        <v>1912</v>
      </c>
      <c r="D8101">
        <v>1</v>
      </c>
      <c r="E8101">
        <v>1</v>
      </c>
      <c r="F8101">
        <v>1</v>
      </c>
      <c r="G8101">
        <v>1</v>
      </c>
    </row>
    <row r="8102" spans="1:7">
      <c r="A8102" t="s">
        <v>1876</v>
      </c>
      <c r="B8102" t="s">
        <v>372</v>
      </c>
      <c r="C8102" t="s">
        <v>168</v>
      </c>
      <c r="D8102">
        <v>118541</v>
      </c>
      <c r="E8102">
        <v>121575</v>
      </c>
      <c r="F8102">
        <v>118213</v>
      </c>
      <c r="G8102">
        <v>114121</v>
      </c>
    </row>
    <row r="8103" spans="1:7">
      <c r="A8103" t="s">
        <v>1876</v>
      </c>
      <c r="B8103" t="s">
        <v>372</v>
      </c>
      <c r="C8103" t="s">
        <v>169</v>
      </c>
      <c r="D8103">
        <v>0</v>
      </c>
      <c r="E8103">
        <v>0</v>
      </c>
      <c r="F8103">
        <v>0</v>
      </c>
      <c r="G8103">
        <v>0</v>
      </c>
    </row>
    <row r="8104" spans="1:7">
      <c r="A8104" t="s">
        <v>1876</v>
      </c>
      <c r="B8104" t="s">
        <v>372</v>
      </c>
      <c r="C8104" t="s">
        <v>1704</v>
      </c>
      <c r="D8104">
        <v>14605</v>
      </c>
      <c r="E8104">
        <v>14724</v>
      </c>
      <c r="F8104">
        <v>14833</v>
      </c>
      <c r="G8104">
        <v>15961</v>
      </c>
    </row>
    <row r="8105" spans="1:7">
      <c r="A8105" t="s">
        <v>1876</v>
      </c>
      <c r="B8105" t="s">
        <v>372</v>
      </c>
      <c r="C8105" t="s">
        <v>170</v>
      </c>
      <c r="D8105">
        <v>0</v>
      </c>
      <c r="E8105">
        <v>0</v>
      </c>
      <c r="F8105">
        <v>0</v>
      </c>
      <c r="G8105">
        <v>0</v>
      </c>
    </row>
    <row r="8106" spans="1:7">
      <c r="A8106" t="s">
        <v>1876</v>
      </c>
      <c r="B8106" t="s">
        <v>372</v>
      </c>
      <c r="C8106" t="s">
        <v>171</v>
      </c>
      <c r="D8106">
        <v>-133104</v>
      </c>
      <c r="E8106">
        <v>-125637</v>
      </c>
      <c r="F8106">
        <v>-173579</v>
      </c>
      <c r="G8106">
        <v>-199960</v>
      </c>
    </row>
    <row r="8107" spans="1:7">
      <c r="A8107" t="s">
        <v>1876</v>
      </c>
      <c r="B8107" t="s">
        <v>372</v>
      </c>
      <c r="C8107" t="s">
        <v>172</v>
      </c>
      <c r="D8107">
        <v>0</v>
      </c>
      <c r="E8107">
        <v>0</v>
      </c>
      <c r="F8107">
        <v>0</v>
      </c>
      <c r="G8107">
        <v>0</v>
      </c>
    </row>
    <row r="8108" spans="1:7">
      <c r="A8108" t="s">
        <v>1876</v>
      </c>
      <c r="B8108" t="s">
        <v>372</v>
      </c>
      <c r="C8108" t="s">
        <v>1913</v>
      </c>
      <c r="D8108">
        <v>2.2999999999999998</v>
      </c>
      <c r="E8108">
        <v>3.5</v>
      </c>
      <c r="F8108">
        <v>5.2</v>
      </c>
      <c r="G8108">
        <v>7</v>
      </c>
    </row>
    <row r="8109" spans="1:7">
      <c r="A8109" t="s">
        <v>1876</v>
      </c>
      <c r="B8109" t="s">
        <v>372</v>
      </c>
      <c r="C8109" t="s">
        <v>1914</v>
      </c>
      <c r="D8109">
        <v>0.1</v>
      </c>
      <c r="E8109">
        <v>0.1</v>
      </c>
      <c r="F8109">
        <v>0.2</v>
      </c>
      <c r="G8109">
        <v>0.3</v>
      </c>
    </row>
    <row r="8110" spans="1:7">
      <c r="A8110" t="s">
        <v>1876</v>
      </c>
      <c r="B8110" t="s">
        <v>372</v>
      </c>
      <c r="C8110" t="s">
        <v>173</v>
      </c>
      <c r="D8110">
        <v>13273</v>
      </c>
      <c r="E8110">
        <v>14146</v>
      </c>
      <c r="F8110">
        <v>13848</v>
      </c>
      <c r="G8110">
        <v>14469</v>
      </c>
    </row>
    <row r="8111" spans="1:7">
      <c r="A8111" t="s">
        <v>1876</v>
      </c>
      <c r="B8111" t="s">
        <v>372</v>
      </c>
      <c r="C8111" t="s">
        <v>174</v>
      </c>
      <c r="D8111">
        <v>161</v>
      </c>
      <c r="E8111">
        <v>180</v>
      </c>
      <c r="F8111">
        <v>177</v>
      </c>
      <c r="G8111">
        <v>120</v>
      </c>
    </row>
    <row r="8112" spans="1:7">
      <c r="A8112" t="s">
        <v>1876</v>
      </c>
      <c r="B8112" t="s">
        <v>372</v>
      </c>
      <c r="C8112" t="s">
        <v>175</v>
      </c>
      <c r="D8112">
        <v>127</v>
      </c>
      <c r="E8112">
        <v>142</v>
      </c>
      <c r="F8112">
        <v>142</v>
      </c>
      <c r="G8112">
        <v>113</v>
      </c>
    </row>
    <row r="8113" spans="1:7">
      <c r="A8113" t="s">
        <v>1876</v>
      </c>
      <c r="B8113" t="s">
        <v>372</v>
      </c>
      <c r="C8113" t="s">
        <v>176</v>
      </c>
      <c r="D8113">
        <v>0</v>
      </c>
      <c r="E8113">
        <v>0</v>
      </c>
      <c r="F8113">
        <v>0</v>
      </c>
      <c r="G8113">
        <v>0</v>
      </c>
    </row>
    <row r="8114" spans="1:7">
      <c r="A8114" t="s">
        <v>1876</v>
      </c>
      <c r="B8114" t="s">
        <v>372</v>
      </c>
      <c r="C8114" t="s">
        <v>177</v>
      </c>
      <c r="D8114">
        <v>13562</v>
      </c>
      <c r="E8114">
        <v>14468</v>
      </c>
      <c r="F8114">
        <v>14167</v>
      </c>
      <c r="G8114">
        <v>14702</v>
      </c>
    </row>
    <row r="8115" spans="1:7">
      <c r="A8115" t="s">
        <v>1876</v>
      </c>
      <c r="B8115" t="s">
        <v>372</v>
      </c>
      <c r="C8115" t="s">
        <v>178</v>
      </c>
      <c r="D8115">
        <v>0</v>
      </c>
      <c r="E8115">
        <v>0</v>
      </c>
      <c r="F8115">
        <v>0</v>
      </c>
      <c r="G8115">
        <v>0</v>
      </c>
    </row>
    <row r="8116" spans="1:7">
      <c r="A8116" t="s">
        <v>1876</v>
      </c>
      <c r="B8116" t="s">
        <v>372</v>
      </c>
      <c r="C8116" t="s">
        <v>179</v>
      </c>
      <c r="D8116">
        <v>0</v>
      </c>
      <c r="E8116">
        <v>0</v>
      </c>
      <c r="F8116">
        <v>0</v>
      </c>
      <c r="G8116">
        <v>0</v>
      </c>
    </row>
    <row r="8117" spans="1:7">
      <c r="A8117" t="s">
        <v>1876</v>
      </c>
      <c r="B8117" t="s">
        <v>372</v>
      </c>
      <c r="C8117" t="s">
        <v>180</v>
      </c>
      <c r="D8117">
        <v>0</v>
      </c>
      <c r="E8117">
        <v>0</v>
      </c>
      <c r="F8117">
        <v>0</v>
      </c>
      <c r="G8117">
        <v>0</v>
      </c>
    </row>
    <row r="8118" spans="1:7">
      <c r="A8118" t="s">
        <v>1876</v>
      </c>
      <c r="B8118" t="s">
        <v>372</v>
      </c>
      <c r="C8118" t="s">
        <v>181</v>
      </c>
      <c r="D8118">
        <v>46663</v>
      </c>
      <c r="E8118">
        <v>48074</v>
      </c>
      <c r="F8118">
        <v>48556</v>
      </c>
      <c r="G8118">
        <v>48355</v>
      </c>
    </row>
    <row r="8119" spans="1:7">
      <c r="A8119" t="s">
        <v>1876</v>
      </c>
      <c r="B8119" t="s">
        <v>372</v>
      </c>
      <c r="C8119" t="s">
        <v>182</v>
      </c>
      <c r="D8119">
        <v>53805</v>
      </c>
      <c r="E8119">
        <v>54497</v>
      </c>
      <c r="F8119">
        <v>53386</v>
      </c>
      <c r="G8119">
        <v>54316</v>
      </c>
    </row>
    <row r="8120" spans="1:7">
      <c r="A8120" t="s">
        <v>1876</v>
      </c>
      <c r="B8120" t="s">
        <v>372</v>
      </c>
      <c r="C8120" t="s">
        <v>183</v>
      </c>
      <c r="D8120">
        <v>63361</v>
      </c>
      <c r="E8120">
        <v>64548</v>
      </c>
      <c r="F8120">
        <v>63273</v>
      </c>
      <c r="G8120">
        <v>63440</v>
      </c>
    </row>
    <row r="8121" spans="1:7">
      <c r="A8121" t="s">
        <v>1876</v>
      </c>
      <c r="B8121" t="s">
        <v>372</v>
      </c>
      <c r="C8121" t="s">
        <v>184</v>
      </c>
      <c r="D8121">
        <v>163828</v>
      </c>
      <c r="E8121">
        <v>167118</v>
      </c>
      <c r="F8121">
        <v>165215</v>
      </c>
      <c r="G8121">
        <v>166112</v>
      </c>
    </row>
    <row r="8122" spans="1:7">
      <c r="A8122" t="s">
        <v>1876</v>
      </c>
      <c r="B8122" t="s">
        <v>372</v>
      </c>
      <c r="C8122" t="s">
        <v>185</v>
      </c>
      <c r="D8122">
        <v>163828</v>
      </c>
      <c r="E8122">
        <v>167118</v>
      </c>
      <c r="F8122">
        <v>165215</v>
      </c>
      <c r="G8122">
        <v>166112</v>
      </c>
    </row>
    <row r="8123" spans="1:7">
      <c r="A8123" t="s">
        <v>1876</v>
      </c>
      <c r="B8123" t="s">
        <v>372</v>
      </c>
      <c r="C8123" t="s">
        <v>1915</v>
      </c>
      <c r="D8123">
        <v>4</v>
      </c>
      <c r="E8123">
        <v>6</v>
      </c>
      <c r="F8123">
        <v>16</v>
      </c>
      <c r="G8123">
        <v>21</v>
      </c>
    </row>
    <row r="8124" spans="1:7">
      <c r="A8124" t="s">
        <v>1876</v>
      </c>
      <c r="B8124" t="s">
        <v>372</v>
      </c>
      <c r="C8124" t="s">
        <v>1916</v>
      </c>
      <c r="D8124">
        <v>0</v>
      </c>
      <c r="E8124">
        <v>0</v>
      </c>
      <c r="F8124">
        <v>0</v>
      </c>
      <c r="G8124">
        <v>0</v>
      </c>
    </row>
    <row r="8125" spans="1:7">
      <c r="A8125" t="s">
        <v>1876</v>
      </c>
      <c r="B8125" t="s">
        <v>372</v>
      </c>
      <c r="C8125" t="s">
        <v>1917</v>
      </c>
      <c r="D8125">
        <v>126</v>
      </c>
      <c r="E8125">
        <v>126</v>
      </c>
      <c r="F8125">
        <v>126</v>
      </c>
      <c r="G8125">
        <v>126</v>
      </c>
    </row>
    <row r="8126" spans="1:7">
      <c r="A8126" t="s">
        <v>1876</v>
      </c>
      <c r="B8126" t="s">
        <v>372</v>
      </c>
      <c r="C8126" t="s">
        <v>1918</v>
      </c>
      <c r="D8126">
        <v>231</v>
      </c>
      <c r="E8126">
        <v>255</v>
      </c>
      <c r="F8126">
        <v>338</v>
      </c>
      <c r="G8126">
        <v>379</v>
      </c>
    </row>
    <row r="8127" spans="1:7">
      <c r="A8127" t="s">
        <v>1876</v>
      </c>
      <c r="B8127" t="s">
        <v>372</v>
      </c>
      <c r="C8127" t="s">
        <v>1919</v>
      </c>
      <c r="D8127">
        <v>2.66</v>
      </c>
      <c r="E8127">
        <v>2.71</v>
      </c>
      <c r="F8127">
        <v>2.75</v>
      </c>
      <c r="G8127">
        <v>2.67</v>
      </c>
    </row>
    <row r="8128" spans="1:7">
      <c r="A8128" t="s">
        <v>1876</v>
      </c>
      <c r="B8128" t="s">
        <v>372</v>
      </c>
      <c r="C8128" t="s">
        <v>1920</v>
      </c>
      <c r="D8128">
        <v>427</v>
      </c>
      <c r="E8128">
        <v>462</v>
      </c>
      <c r="F8128">
        <v>591</v>
      </c>
      <c r="G8128">
        <v>676</v>
      </c>
    </row>
    <row r="8129" spans="1:7">
      <c r="A8129" t="s">
        <v>1876</v>
      </c>
      <c r="B8129" t="s">
        <v>372</v>
      </c>
      <c r="C8129" t="s">
        <v>1921</v>
      </c>
      <c r="D8129">
        <v>103</v>
      </c>
      <c r="E8129">
        <v>114</v>
      </c>
      <c r="F8129">
        <v>161</v>
      </c>
      <c r="G8129">
        <v>205</v>
      </c>
    </row>
    <row r="8130" spans="1:7">
      <c r="A8130" t="s">
        <v>1876</v>
      </c>
      <c r="B8130" t="s">
        <v>372</v>
      </c>
      <c r="C8130" t="s">
        <v>1922</v>
      </c>
      <c r="D8130">
        <v>70</v>
      </c>
      <c r="E8130">
        <v>81</v>
      </c>
      <c r="F8130">
        <v>127</v>
      </c>
      <c r="G8130">
        <v>171</v>
      </c>
    </row>
    <row r="8131" spans="1:7">
      <c r="A8131" t="s">
        <v>1876</v>
      </c>
      <c r="B8131" t="s">
        <v>372</v>
      </c>
      <c r="C8131" t="s">
        <v>1923</v>
      </c>
      <c r="D8131">
        <v>5.83</v>
      </c>
      <c r="E8131">
        <v>5.0599999999999996</v>
      </c>
      <c r="F8131">
        <v>3.43</v>
      </c>
      <c r="G8131">
        <v>2.67</v>
      </c>
    </row>
    <row r="8132" spans="1:7">
      <c r="A8132" t="s">
        <v>1876</v>
      </c>
      <c r="B8132" t="s">
        <v>372</v>
      </c>
      <c r="C8132" t="s">
        <v>1924</v>
      </c>
      <c r="D8132">
        <v>17</v>
      </c>
      <c r="E8132">
        <v>0</v>
      </c>
      <c r="F8132">
        <v>1</v>
      </c>
      <c r="G8132">
        <v>1</v>
      </c>
    </row>
    <row r="8133" spans="1:7">
      <c r="A8133" t="s">
        <v>1876</v>
      </c>
      <c r="B8133" t="s">
        <v>372</v>
      </c>
      <c r="C8133" t="s">
        <v>1925</v>
      </c>
      <c r="D8133">
        <v>40</v>
      </c>
      <c r="E8133">
        <v>39</v>
      </c>
      <c r="F8133">
        <v>60</v>
      </c>
      <c r="G8133">
        <v>63</v>
      </c>
    </row>
    <row r="8134" spans="1:7">
      <c r="A8134" t="s">
        <v>1876</v>
      </c>
      <c r="B8134" t="s">
        <v>372</v>
      </c>
      <c r="C8134" t="s">
        <v>1926</v>
      </c>
      <c r="D8134">
        <v>46</v>
      </c>
      <c r="E8134">
        <v>75</v>
      </c>
      <c r="F8134">
        <v>100</v>
      </c>
      <c r="G8134">
        <v>141</v>
      </c>
    </row>
    <row r="8135" spans="1:7">
      <c r="A8135" t="s">
        <v>1876</v>
      </c>
      <c r="B8135" t="s">
        <v>372</v>
      </c>
      <c r="C8135" t="s">
        <v>1927</v>
      </c>
      <c r="D8135">
        <v>10</v>
      </c>
      <c r="E8135">
        <v>10</v>
      </c>
      <c r="F8135">
        <v>12</v>
      </c>
      <c r="G8135">
        <v>12</v>
      </c>
    </row>
    <row r="8136" spans="1:7">
      <c r="A8136" t="s">
        <v>1876</v>
      </c>
      <c r="B8136" t="s">
        <v>372</v>
      </c>
      <c r="C8136" t="s">
        <v>1928</v>
      </c>
      <c r="D8136">
        <v>85</v>
      </c>
      <c r="E8136">
        <v>92</v>
      </c>
      <c r="F8136">
        <v>137</v>
      </c>
      <c r="G8136">
        <v>181</v>
      </c>
    </row>
    <row r="8137" spans="1:7">
      <c r="A8137" t="s">
        <v>1876</v>
      </c>
      <c r="B8137" t="s">
        <v>372</v>
      </c>
      <c r="C8137" t="s">
        <v>1929</v>
      </c>
      <c r="D8137">
        <v>8</v>
      </c>
      <c r="E8137">
        <v>12</v>
      </c>
      <c r="F8137">
        <v>12</v>
      </c>
      <c r="G8137">
        <v>12</v>
      </c>
    </row>
    <row r="8138" spans="1:7">
      <c r="A8138" t="s">
        <v>1876</v>
      </c>
      <c r="B8138" t="s">
        <v>372</v>
      </c>
      <c r="C8138" t="s">
        <v>186</v>
      </c>
      <c r="D8138">
        <v>0</v>
      </c>
      <c r="E8138">
        <v>0</v>
      </c>
      <c r="F8138">
        <v>0</v>
      </c>
      <c r="G8138">
        <v>0</v>
      </c>
    </row>
    <row r="8139" spans="1:7">
      <c r="A8139" t="s">
        <v>1876</v>
      </c>
      <c r="B8139" t="s">
        <v>372</v>
      </c>
      <c r="C8139" t="s">
        <v>187</v>
      </c>
      <c r="D8139">
        <v>0</v>
      </c>
      <c r="E8139">
        <v>0</v>
      </c>
      <c r="F8139">
        <v>0</v>
      </c>
      <c r="G8139">
        <v>0</v>
      </c>
    </row>
    <row r="8140" spans="1:7">
      <c r="A8140" t="s">
        <v>1876</v>
      </c>
      <c r="B8140" t="s">
        <v>372</v>
      </c>
      <c r="C8140" t="s">
        <v>1705</v>
      </c>
      <c r="D8140">
        <v>12763</v>
      </c>
      <c r="E8140">
        <v>12700</v>
      </c>
      <c r="F8140">
        <v>12719</v>
      </c>
      <c r="G8140">
        <v>12811</v>
      </c>
    </row>
    <row r="8141" spans="1:7">
      <c r="A8141" t="s">
        <v>1876</v>
      </c>
      <c r="B8141" t="s">
        <v>372</v>
      </c>
      <c r="C8141" t="s">
        <v>188</v>
      </c>
      <c r="D8141">
        <v>1025717</v>
      </c>
      <c r="E8141">
        <v>1067427</v>
      </c>
      <c r="F8141">
        <v>1058604</v>
      </c>
      <c r="G8141">
        <v>1087501</v>
      </c>
    </row>
    <row r="8142" spans="1:7">
      <c r="A8142" t="s">
        <v>1876</v>
      </c>
      <c r="B8142" t="s">
        <v>372</v>
      </c>
      <c r="C8142" t="s">
        <v>189</v>
      </c>
      <c r="D8142">
        <v>0</v>
      </c>
      <c r="E8142">
        <v>0</v>
      </c>
      <c r="F8142">
        <v>0</v>
      </c>
      <c r="G8142">
        <v>0</v>
      </c>
    </row>
    <row r="8143" spans="1:7">
      <c r="A8143" t="s">
        <v>1876</v>
      </c>
      <c r="B8143" t="s">
        <v>372</v>
      </c>
      <c r="C8143" t="s">
        <v>190</v>
      </c>
      <c r="D8143">
        <v>0</v>
      </c>
      <c r="E8143">
        <v>0</v>
      </c>
      <c r="F8143">
        <v>0</v>
      </c>
      <c r="G8143">
        <v>0</v>
      </c>
    </row>
    <row r="8144" spans="1:7">
      <c r="A8144" t="s">
        <v>1876</v>
      </c>
      <c r="B8144" t="s">
        <v>372</v>
      </c>
      <c r="C8144" t="s">
        <v>191</v>
      </c>
      <c r="D8144">
        <v>0</v>
      </c>
      <c r="E8144">
        <v>0</v>
      </c>
      <c r="F8144">
        <v>0</v>
      </c>
      <c r="G8144">
        <v>0</v>
      </c>
    </row>
    <row r="8145" spans="1:7">
      <c r="A8145" t="s">
        <v>1876</v>
      </c>
      <c r="B8145" t="s">
        <v>372</v>
      </c>
      <c r="C8145" t="s">
        <v>192</v>
      </c>
      <c r="D8145">
        <v>130404.6</v>
      </c>
      <c r="E8145">
        <v>141724.20000000001</v>
      </c>
      <c r="F8145">
        <v>151511.9</v>
      </c>
      <c r="G8145">
        <v>158192.4</v>
      </c>
    </row>
    <row r="8146" spans="1:7">
      <c r="A8146" t="s">
        <v>1876</v>
      </c>
      <c r="B8146" t="s">
        <v>372</v>
      </c>
      <c r="C8146" t="s">
        <v>193</v>
      </c>
      <c r="D8146">
        <v>116078.39999999999</v>
      </c>
      <c r="E8146">
        <v>115700.3</v>
      </c>
      <c r="F8146">
        <v>119454.2</v>
      </c>
      <c r="G8146">
        <v>123419.3</v>
      </c>
    </row>
    <row r="8147" spans="1:7">
      <c r="A8147" t="s">
        <v>1876</v>
      </c>
      <c r="B8147" t="s">
        <v>372</v>
      </c>
      <c r="C8147" t="s">
        <v>1930</v>
      </c>
      <c r="D8147">
        <v>0</v>
      </c>
      <c r="E8147">
        <v>0</v>
      </c>
      <c r="F8147">
        <v>0</v>
      </c>
      <c r="G8147">
        <v>0</v>
      </c>
    </row>
    <row r="8148" spans="1:7">
      <c r="A8148" t="s">
        <v>1876</v>
      </c>
      <c r="B8148" t="s">
        <v>372</v>
      </c>
      <c r="C8148" t="s">
        <v>194</v>
      </c>
      <c r="D8148">
        <v>741</v>
      </c>
      <c r="E8148">
        <v>741</v>
      </c>
      <c r="F8148">
        <v>741</v>
      </c>
      <c r="G8148">
        <v>741</v>
      </c>
    </row>
    <row r="8149" spans="1:7">
      <c r="A8149" t="s">
        <v>1876</v>
      </c>
      <c r="B8149" t="s">
        <v>372</v>
      </c>
      <c r="C8149" t="s">
        <v>195</v>
      </c>
      <c r="D8149">
        <v>0</v>
      </c>
      <c r="E8149">
        <v>0</v>
      </c>
      <c r="F8149">
        <v>0</v>
      </c>
      <c r="G8149">
        <v>0</v>
      </c>
    </row>
    <row r="8150" spans="1:7">
      <c r="A8150" t="s">
        <v>1876</v>
      </c>
      <c r="B8150" t="s">
        <v>372</v>
      </c>
      <c r="C8150" t="s">
        <v>1706</v>
      </c>
      <c r="D8150">
        <v>0</v>
      </c>
      <c r="E8150">
        <v>0</v>
      </c>
      <c r="F8150">
        <v>0</v>
      </c>
      <c r="G8150">
        <v>0</v>
      </c>
    </row>
    <row r="8151" spans="1:7">
      <c r="A8151" t="s">
        <v>1876</v>
      </c>
      <c r="B8151" t="s">
        <v>372</v>
      </c>
      <c r="C8151" t="s">
        <v>196</v>
      </c>
      <c r="D8151">
        <v>42</v>
      </c>
      <c r="E8151">
        <v>42</v>
      </c>
      <c r="F8151">
        <v>42</v>
      </c>
      <c r="G8151">
        <v>42</v>
      </c>
    </row>
    <row r="8152" spans="1:7">
      <c r="A8152" t="s">
        <v>1876</v>
      </c>
      <c r="B8152" t="s">
        <v>372</v>
      </c>
      <c r="C8152" t="s">
        <v>197</v>
      </c>
      <c r="D8152">
        <v>175</v>
      </c>
      <c r="E8152">
        <v>175</v>
      </c>
      <c r="F8152">
        <v>175</v>
      </c>
      <c r="G8152">
        <v>175</v>
      </c>
    </row>
    <row r="8153" spans="1:7">
      <c r="A8153" t="s">
        <v>1876</v>
      </c>
      <c r="B8153" t="s">
        <v>372</v>
      </c>
      <c r="C8153" t="s">
        <v>198</v>
      </c>
      <c r="D8153">
        <v>958</v>
      </c>
      <c r="E8153">
        <v>958</v>
      </c>
      <c r="F8153">
        <v>958</v>
      </c>
      <c r="G8153">
        <v>958</v>
      </c>
    </row>
    <row r="8154" spans="1:7">
      <c r="A8154" t="s">
        <v>1876</v>
      </c>
      <c r="B8154" t="s">
        <v>372</v>
      </c>
      <c r="C8154" t="s">
        <v>199</v>
      </c>
      <c r="D8154">
        <v>958</v>
      </c>
      <c r="E8154">
        <v>958</v>
      </c>
      <c r="F8154">
        <v>958</v>
      </c>
      <c r="G8154">
        <v>958</v>
      </c>
    </row>
    <row r="8155" spans="1:7">
      <c r="A8155" t="s">
        <v>1876</v>
      </c>
      <c r="B8155" t="s">
        <v>372</v>
      </c>
      <c r="C8155" t="s">
        <v>200</v>
      </c>
      <c r="D8155">
        <v>283</v>
      </c>
      <c r="E8155">
        <v>6</v>
      </c>
      <c r="F8155">
        <v>201</v>
      </c>
      <c r="G8155">
        <v>67</v>
      </c>
    </row>
    <row r="8156" spans="1:7">
      <c r="A8156" t="s">
        <v>1876</v>
      </c>
      <c r="B8156" t="s">
        <v>372</v>
      </c>
      <c r="C8156" t="s">
        <v>201</v>
      </c>
      <c r="D8156">
        <v>1924</v>
      </c>
      <c r="E8156">
        <v>2391</v>
      </c>
      <c r="F8156">
        <v>1666</v>
      </c>
      <c r="G8156">
        <v>1804</v>
      </c>
    </row>
    <row r="8157" spans="1:7">
      <c r="A8157" t="s">
        <v>1876</v>
      </c>
      <c r="B8157" t="s">
        <v>372</v>
      </c>
      <c r="C8157" t="s">
        <v>202</v>
      </c>
      <c r="D8157">
        <v>3070</v>
      </c>
      <c r="E8157">
        <v>3075</v>
      </c>
      <c r="F8157">
        <v>2987</v>
      </c>
      <c r="G8157">
        <v>2986</v>
      </c>
    </row>
    <row r="8158" spans="1:7">
      <c r="A8158" t="s">
        <v>1876</v>
      </c>
      <c r="B8158" t="s">
        <v>372</v>
      </c>
      <c r="C8158" t="s">
        <v>203</v>
      </c>
      <c r="D8158">
        <v>5332</v>
      </c>
      <c r="E8158">
        <v>5180</v>
      </c>
      <c r="F8158">
        <v>4734</v>
      </c>
      <c r="G8158">
        <v>4795</v>
      </c>
    </row>
    <row r="8159" spans="1:7">
      <c r="A8159" t="s">
        <v>1876</v>
      </c>
      <c r="B8159" t="s">
        <v>372</v>
      </c>
      <c r="C8159" t="s">
        <v>204</v>
      </c>
      <c r="D8159">
        <v>10608</v>
      </c>
      <c r="E8159">
        <v>10652</v>
      </c>
      <c r="F8159">
        <v>9587</v>
      </c>
      <c r="G8159">
        <v>9652</v>
      </c>
    </row>
    <row r="8160" spans="1:7">
      <c r="A8160" t="s">
        <v>1876</v>
      </c>
      <c r="B8160" t="s">
        <v>372</v>
      </c>
      <c r="C8160" t="s">
        <v>205</v>
      </c>
      <c r="D8160">
        <v>10608</v>
      </c>
      <c r="E8160">
        <v>10652</v>
      </c>
      <c r="F8160">
        <v>9587</v>
      </c>
      <c r="G8160">
        <v>9652</v>
      </c>
    </row>
    <row r="8161" spans="1:7">
      <c r="A8161" t="s">
        <v>1876</v>
      </c>
      <c r="B8161" t="s">
        <v>372</v>
      </c>
      <c r="C8161" t="s">
        <v>1931</v>
      </c>
      <c r="D8161">
        <v>0</v>
      </c>
      <c r="E8161">
        <v>0</v>
      </c>
      <c r="F8161">
        <v>0</v>
      </c>
      <c r="G8161">
        <v>0</v>
      </c>
    </row>
    <row r="8162" spans="1:7">
      <c r="A8162" t="s">
        <v>1876</v>
      </c>
      <c r="B8162" t="s">
        <v>372</v>
      </c>
      <c r="C8162" t="s">
        <v>1707</v>
      </c>
      <c r="D8162">
        <v>0</v>
      </c>
      <c r="E8162">
        <v>0</v>
      </c>
      <c r="F8162">
        <v>0</v>
      </c>
      <c r="G8162">
        <v>0</v>
      </c>
    </row>
    <row r="8163" spans="1:7">
      <c r="A8163" t="s">
        <v>1876</v>
      </c>
      <c r="B8163" t="s">
        <v>372</v>
      </c>
      <c r="C8163" t="s">
        <v>1932</v>
      </c>
      <c r="D8163">
        <v>0</v>
      </c>
      <c r="E8163">
        <v>0</v>
      </c>
      <c r="F8163">
        <v>0</v>
      </c>
      <c r="G8163">
        <v>0</v>
      </c>
    </row>
    <row r="8164" spans="1:7">
      <c r="A8164" t="s">
        <v>1876</v>
      </c>
      <c r="B8164" t="s">
        <v>372</v>
      </c>
      <c r="C8164" t="s">
        <v>1708</v>
      </c>
      <c r="D8164">
        <v>0</v>
      </c>
      <c r="E8164">
        <v>0</v>
      </c>
      <c r="F8164">
        <v>0</v>
      </c>
      <c r="G8164">
        <v>0</v>
      </c>
    </row>
    <row r="8165" spans="1:7">
      <c r="A8165" t="s">
        <v>1876</v>
      </c>
      <c r="B8165" t="s">
        <v>372</v>
      </c>
      <c r="C8165" t="s">
        <v>206</v>
      </c>
      <c r="D8165">
        <v>0</v>
      </c>
      <c r="E8165">
        <v>0</v>
      </c>
      <c r="F8165">
        <v>0</v>
      </c>
      <c r="G8165">
        <v>0</v>
      </c>
    </row>
    <row r="8166" spans="1:7">
      <c r="A8166" t="s">
        <v>1876</v>
      </c>
      <c r="B8166" t="s">
        <v>372</v>
      </c>
      <c r="C8166" t="s">
        <v>207</v>
      </c>
      <c r="D8166">
        <v>0</v>
      </c>
      <c r="E8166">
        <v>0</v>
      </c>
      <c r="F8166">
        <v>0</v>
      </c>
      <c r="G8166">
        <v>0</v>
      </c>
    </row>
    <row r="8167" spans="1:7">
      <c r="A8167" t="s">
        <v>1876</v>
      </c>
      <c r="B8167" t="s">
        <v>372</v>
      </c>
      <c r="C8167" t="s">
        <v>208</v>
      </c>
      <c r="D8167">
        <v>0</v>
      </c>
      <c r="E8167">
        <v>0</v>
      </c>
      <c r="F8167">
        <v>0</v>
      </c>
      <c r="G8167">
        <v>0</v>
      </c>
    </row>
    <row r="8168" spans="1:7">
      <c r="A8168" t="s">
        <v>1876</v>
      </c>
      <c r="B8168" t="s">
        <v>372</v>
      </c>
      <c r="C8168" t="s">
        <v>209</v>
      </c>
      <c r="D8168">
        <v>0</v>
      </c>
      <c r="E8168">
        <v>0</v>
      </c>
      <c r="F8168">
        <v>0</v>
      </c>
      <c r="G8168">
        <v>0</v>
      </c>
    </row>
    <row r="8169" spans="1:7">
      <c r="A8169" t="s">
        <v>1876</v>
      </c>
      <c r="B8169" t="s">
        <v>372</v>
      </c>
      <c r="C8169" t="s">
        <v>210</v>
      </c>
      <c r="D8169">
        <v>0</v>
      </c>
      <c r="E8169">
        <v>0</v>
      </c>
      <c r="F8169">
        <v>0</v>
      </c>
      <c r="G8169">
        <v>0</v>
      </c>
    </row>
    <row r="8170" spans="1:7">
      <c r="A8170" t="s">
        <v>1876</v>
      </c>
      <c r="B8170" t="s">
        <v>372</v>
      </c>
      <c r="C8170" t="s">
        <v>211</v>
      </c>
      <c r="D8170">
        <v>0</v>
      </c>
      <c r="E8170">
        <v>0</v>
      </c>
      <c r="F8170">
        <v>0</v>
      </c>
      <c r="G8170">
        <v>0</v>
      </c>
    </row>
    <row r="8171" spans="1:7">
      <c r="A8171" t="s">
        <v>1876</v>
      </c>
      <c r="B8171" t="s">
        <v>372</v>
      </c>
      <c r="C8171" t="s">
        <v>212</v>
      </c>
      <c r="D8171">
        <v>0</v>
      </c>
      <c r="E8171">
        <v>0</v>
      </c>
      <c r="F8171">
        <v>0</v>
      </c>
      <c r="G8171">
        <v>0</v>
      </c>
    </row>
    <row r="8172" spans="1:7">
      <c r="A8172" t="s">
        <v>1876</v>
      </c>
      <c r="B8172" t="s">
        <v>372</v>
      </c>
      <c r="C8172" t="s">
        <v>213</v>
      </c>
      <c r="D8172">
        <v>0</v>
      </c>
      <c r="E8172">
        <v>0</v>
      </c>
      <c r="F8172">
        <v>0</v>
      </c>
      <c r="G8172">
        <v>0</v>
      </c>
    </row>
    <row r="8173" spans="1:7">
      <c r="A8173" t="s">
        <v>1876</v>
      </c>
      <c r="B8173" t="s">
        <v>372</v>
      </c>
      <c r="C8173" t="s">
        <v>214</v>
      </c>
      <c r="D8173">
        <v>0</v>
      </c>
      <c r="E8173">
        <v>0</v>
      </c>
      <c r="F8173">
        <v>0</v>
      </c>
      <c r="G8173">
        <v>0</v>
      </c>
    </row>
    <row r="8174" spans="1:7">
      <c r="A8174" t="s">
        <v>1876</v>
      </c>
      <c r="B8174" t="s">
        <v>372</v>
      </c>
      <c r="C8174" t="s">
        <v>215</v>
      </c>
      <c r="D8174">
        <v>6394</v>
      </c>
      <c r="E8174">
        <v>7429</v>
      </c>
      <c r="F8174">
        <v>8511</v>
      </c>
      <c r="G8174">
        <v>6568</v>
      </c>
    </row>
    <row r="8175" spans="1:7">
      <c r="A8175" t="s">
        <v>1876</v>
      </c>
      <c r="B8175" t="s">
        <v>372</v>
      </c>
      <c r="C8175" t="s">
        <v>216</v>
      </c>
      <c r="D8175">
        <v>6394</v>
      </c>
      <c r="E8175">
        <v>7429</v>
      </c>
      <c r="F8175">
        <v>8511</v>
      </c>
      <c r="G8175">
        <v>6568</v>
      </c>
    </row>
    <row r="8176" spans="1:7">
      <c r="A8176" t="s">
        <v>1876</v>
      </c>
      <c r="B8176" t="s">
        <v>372</v>
      </c>
      <c r="C8176" t="s">
        <v>217</v>
      </c>
      <c r="D8176">
        <v>6394</v>
      </c>
      <c r="E8176">
        <v>7429</v>
      </c>
      <c r="F8176">
        <v>8511</v>
      </c>
      <c r="G8176">
        <v>6568</v>
      </c>
    </row>
    <row r="8177" spans="1:7">
      <c r="A8177" t="s">
        <v>1876</v>
      </c>
      <c r="B8177" t="s">
        <v>372</v>
      </c>
      <c r="C8177" t="s">
        <v>218</v>
      </c>
      <c r="D8177">
        <v>3</v>
      </c>
      <c r="E8177">
        <v>3</v>
      </c>
      <c r="F8177">
        <v>5</v>
      </c>
      <c r="G8177">
        <v>4</v>
      </c>
    </row>
    <row r="8178" spans="1:7">
      <c r="A8178" t="s">
        <v>1876</v>
      </c>
      <c r="B8178" t="s">
        <v>372</v>
      </c>
      <c r="C8178" t="s">
        <v>219</v>
      </c>
      <c r="D8178">
        <v>2</v>
      </c>
      <c r="E8178">
        <v>1</v>
      </c>
      <c r="F8178">
        <v>5</v>
      </c>
      <c r="G8178">
        <v>3</v>
      </c>
    </row>
    <row r="8179" spans="1:7">
      <c r="A8179" t="s">
        <v>1876</v>
      </c>
      <c r="B8179" t="s">
        <v>372</v>
      </c>
      <c r="C8179" t="s">
        <v>220</v>
      </c>
      <c r="D8179">
        <v>10</v>
      </c>
      <c r="E8179">
        <v>9</v>
      </c>
      <c r="F8179">
        <v>14</v>
      </c>
      <c r="G8179">
        <v>11</v>
      </c>
    </row>
    <row r="8180" spans="1:7">
      <c r="A8180" t="s">
        <v>1876</v>
      </c>
      <c r="B8180" t="s">
        <v>372</v>
      </c>
      <c r="C8180" t="s">
        <v>221</v>
      </c>
      <c r="D8180">
        <v>15</v>
      </c>
      <c r="E8180">
        <v>13</v>
      </c>
      <c r="F8180">
        <v>24</v>
      </c>
      <c r="G8180">
        <v>18</v>
      </c>
    </row>
    <row r="8181" spans="1:7">
      <c r="A8181" t="s">
        <v>1876</v>
      </c>
      <c r="B8181" t="s">
        <v>372</v>
      </c>
      <c r="C8181" t="s">
        <v>222</v>
      </c>
      <c r="D8181">
        <v>15</v>
      </c>
      <c r="E8181">
        <v>13</v>
      </c>
      <c r="F8181">
        <v>24</v>
      </c>
      <c r="G8181">
        <v>18</v>
      </c>
    </row>
    <row r="8182" spans="1:7">
      <c r="A8182" t="s">
        <v>1876</v>
      </c>
      <c r="B8182" t="s">
        <v>372</v>
      </c>
      <c r="C8182" t="s">
        <v>1933</v>
      </c>
      <c r="D8182">
        <v>2549.6</v>
      </c>
      <c r="E8182">
        <v>2524.9</v>
      </c>
      <c r="F8182">
        <v>2511.1999999999998</v>
      </c>
      <c r="G8182">
        <v>2514.4</v>
      </c>
    </row>
    <row r="8183" spans="1:7">
      <c r="A8183" t="s">
        <v>1876</v>
      </c>
      <c r="B8183" t="s">
        <v>372</v>
      </c>
      <c r="C8183" t="s">
        <v>223</v>
      </c>
      <c r="D8183">
        <v>0</v>
      </c>
      <c r="E8183">
        <v>0</v>
      </c>
      <c r="F8183">
        <v>0</v>
      </c>
      <c r="G8183">
        <v>0</v>
      </c>
    </row>
    <row r="8184" spans="1:7">
      <c r="A8184" t="s">
        <v>1876</v>
      </c>
      <c r="B8184" t="s">
        <v>372</v>
      </c>
      <c r="C8184" t="s">
        <v>224</v>
      </c>
      <c r="D8184">
        <v>72080</v>
      </c>
      <c r="E8184">
        <v>72632</v>
      </c>
      <c r="F8184">
        <v>73047</v>
      </c>
      <c r="G8184">
        <v>68763</v>
      </c>
    </row>
    <row r="8185" spans="1:7">
      <c r="A8185" t="s">
        <v>1876</v>
      </c>
      <c r="B8185" t="s">
        <v>372</v>
      </c>
      <c r="C8185" t="s">
        <v>225</v>
      </c>
      <c r="D8185">
        <v>83112</v>
      </c>
      <c r="E8185">
        <v>82335</v>
      </c>
      <c r="F8185">
        <v>80313</v>
      </c>
      <c r="G8185">
        <v>77240</v>
      </c>
    </row>
    <row r="8186" spans="1:7">
      <c r="A8186" t="s">
        <v>1876</v>
      </c>
      <c r="B8186" t="s">
        <v>372</v>
      </c>
      <c r="C8186" t="s">
        <v>226</v>
      </c>
      <c r="D8186">
        <v>97873</v>
      </c>
      <c r="E8186">
        <v>97521</v>
      </c>
      <c r="F8186">
        <v>95186</v>
      </c>
      <c r="G8186">
        <v>90214</v>
      </c>
    </row>
    <row r="8187" spans="1:7">
      <c r="A8187" t="s">
        <v>1876</v>
      </c>
      <c r="B8187" t="s">
        <v>372</v>
      </c>
      <c r="C8187" t="s">
        <v>227</v>
      </c>
      <c r="D8187">
        <v>253066</v>
      </c>
      <c r="E8187">
        <v>252488</v>
      </c>
      <c r="F8187">
        <v>248546</v>
      </c>
      <c r="G8187">
        <v>236217</v>
      </c>
    </row>
    <row r="8188" spans="1:7">
      <c r="A8188" t="s">
        <v>1876</v>
      </c>
      <c r="B8188" t="s">
        <v>372</v>
      </c>
      <c r="C8188" t="s">
        <v>228</v>
      </c>
      <c r="D8188">
        <v>253066</v>
      </c>
      <c r="E8188">
        <v>252488</v>
      </c>
      <c r="F8188">
        <v>248546</v>
      </c>
      <c r="G8188">
        <v>236217</v>
      </c>
    </row>
    <row r="8189" spans="1:7">
      <c r="A8189" t="s">
        <v>1876</v>
      </c>
      <c r="B8189" t="s">
        <v>372</v>
      </c>
      <c r="C8189" t="s">
        <v>229</v>
      </c>
      <c r="D8189">
        <v>1752</v>
      </c>
      <c r="E8189">
        <v>1854</v>
      </c>
      <c r="F8189">
        <v>1344</v>
      </c>
      <c r="G8189">
        <v>1279</v>
      </c>
    </row>
    <row r="8190" spans="1:7">
      <c r="A8190" t="s">
        <v>1876</v>
      </c>
      <c r="B8190" t="s">
        <v>372</v>
      </c>
      <c r="C8190" t="s">
        <v>230</v>
      </c>
      <c r="D8190">
        <v>742</v>
      </c>
      <c r="E8190">
        <v>747</v>
      </c>
      <c r="F8190">
        <v>614</v>
      </c>
      <c r="G8190">
        <v>620</v>
      </c>
    </row>
    <row r="8191" spans="1:7">
      <c r="A8191" t="s">
        <v>1876</v>
      </c>
      <c r="B8191" t="s">
        <v>372</v>
      </c>
      <c r="C8191" t="s">
        <v>231</v>
      </c>
      <c r="D8191">
        <v>2493</v>
      </c>
      <c r="E8191">
        <v>2601</v>
      </c>
      <c r="F8191">
        <v>1958</v>
      </c>
      <c r="G8191">
        <v>1899</v>
      </c>
    </row>
    <row r="8192" spans="1:7">
      <c r="A8192" t="s">
        <v>1876</v>
      </c>
      <c r="B8192" t="s">
        <v>372</v>
      </c>
      <c r="C8192" t="s">
        <v>232</v>
      </c>
      <c r="D8192">
        <v>2493</v>
      </c>
      <c r="E8192">
        <v>2601</v>
      </c>
      <c r="F8192">
        <v>1958</v>
      </c>
      <c r="G8192">
        <v>1899</v>
      </c>
    </row>
    <row r="8193" spans="1:7">
      <c r="A8193" t="s">
        <v>1876</v>
      </c>
      <c r="B8193" t="s">
        <v>372</v>
      </c>
      <c r="C8193" t="s">
        <v>233</v>
      </c>
      <c r="D8193">
        <v>0</v>
      </c>
      <c r="E8193">
        <v>0</v>
      </c>
      <c r="F8193">
        <v>0</v>
      </c>
      <c r="G8193">
        <v>0</v>
      </c>
    </row>
    <row r="8194" spans="1:7">
      <c r="A8194" t="s">
        <v>1876</v>
      </c>
      <c r="B8194" t="s">
        <v>372</v>
      </c>
      <c r="C8194" t="s">
        <v>234</v>
      </c>
      <c r="D8194">
        <v>200899</v>
      </c>
      <c r="E8194">
        <v>196914</v>
      </c>
      <c r="F8194">
        <v>197291</v>
      </c>
      <c r="G8194">
        <v>196924</v>
      </c>
    </row>
    <row r="8195" spans="1:7">
      <c r="A8195" t="s">
        <v>1876</v>
      </c>
      <c r="B8195" t="s">
        <v>372</v>
      </c>
      <c r="C8195" t="s">
        <v>235</v>
      </c>
      <c r="D8195">
        <v>2444</v>
      </c>
      <c r="E8195">
        <v>2509</v>
      </c>
      <c r="F8195">
        <v>2520</v>
      </c>
      <c r="G8195">
        <v>1630</v>
      </c>
    </row>
    <row r="8196" spans="1:7">
      <c r="A8196" t="s">
        <v>1876</v>
      </c>
      <c r="B8196" t="s">
        <v>372</v>
      </c>
      <c r="C8196" t="s">
        <v>236</v>
      </c>
      <c r="D8196">
        <v>1920</v>
      </c>
      <c r="E8196">
        <v>1976</v>
      </c>
      <c r="F8196">
        <v>2021</v>
      </c>
      <c r="G8196">
        <v>1541</v>
      </c>
    </row>
    <row r="8197" spans="1:7">
      <c r="A8197" t="s">
        <v>1876</v>
      </c>
      <c r="B8197" t="s">
        <v>372</v>
      </c>
      <c r="C8197" t="s">
        <v>237</v>
      </c>
      <c r="D8197">
        <v>205264</v>
      </c>
      <c r="E8197">
        <v>201399</v>
      </c>
      <c r="F8197">
        <v>201832</v>
      </c>
      <c r="G8197">
        <v>200095</v>
      </c>
    </row>
    <row r="8198" spans="1:7">
      <c r="A8198" t="s">
        <v>1876</v>
      </c>
      <c r="B8198" t="s">
        <v>372</v>
      </c>
      <c r="C8198" t="s">
        <v>238</v>
      </c>
      <c r="D8198">
        <v>205264</v>
      </c>
      <c r="E8198">
        <v>201399</v>
      </c>
      <c r="F8198">
        <v>201832</v>
      </c>
      <c r="G8198">
        <v>200095</v>
      </c>
    </row>
    <row r="8199" spans="1:7">
      <c r="A8199" t="s">
        <v>1876</v>
      </c>
      <c r="B8199" t="s">
        <v>372</v>
      </c>
      <c r="C8199" t="s">
        <v>1934</v>
      </c>
      <c r="D8199">
        <v>187626</v>
      </c>
      <c r="E8199">
        <v>182768</v>
      </c>
      <c r="F8199">
        <v>183443</v>
      </c>
      <c r="G8199">
        <v>182455</v>
      </c>
    </row>
    <row r="8200" spans="1:7">
      <c r="A8200" t="s">
        <v>1876</v>
      </c>
      <c r="B8200" t="s">
        <v>372</v>
      </c>
      <c r="C8200" t="s">
        <v>1935</v>
      </c>
      <c r="D8200">
        <v>2283</v>
      </c>
      <c r="E8200">
        <v>2329</v>
      </c>
      <c r="F8200">
        <v>2343</v>
      </c>
      <c r="G8200">
        <v>1510</v>
      </c>
    </row>
    <row r="8201" spans="1:7">
      <c r="A8201" t="s">
        <v>1876</v>
      </c>
      <c r="B8201" t="s">
        <v>372</v>
      </c>
      <c r="C8201" t="s">
        <v>1936</v>
      </c>
      <c r="D8201">
        <v>1794</v>
      </c>
      <c r="E8201">
        <v>1834</v>
      </c>
      <c r="F8201">
        <v>1879</v>
      </c>
      <c r="G8201">
        <v>1428</v>
      </c>
    </row>
    <row r="8202" spans="1:7">
      <c r="A8202" t="s">
        <v>1876</v>
      </c>
      <c r="B8202" t="s">
        <v>372</v>
      </c>
      <c r="C8202" t="s">
        <v>239</v>
      </c>
      <c r="D8202">
        <v>191702</v>
      </c>
      <c r="E8202">
        <v>186931</v>
      </c>
      <c r="F8202">
        <v>187665</v>
      </c>
      <c r="G8202">
        <v>185393</v>
      </c>
    </row>
    <row r="8203" spans="1:7">
      <c r="A8203" t="s">
        <v>1876</v>
      </c>
      <c r="B8203" t="s">
        <v>372</v>
      </c>
      <c r="C8203" t="s">
        <v>240</v>
      </c>
      <c r="D8203">
        <v>307</v>
      </c>
      <c r="E8203">
        <v>192</v>
      </c>
      <c r="F8203">
        <v>184</v>
      </c>
      <c r="G8203">
        <v>180</v>
      </c>
    </row>
    <row r="8204" spans="1:7">
      <c r="A8204" t="s">
        <v>1876</v>
      </c>
      <c r="B8204" t="s">
        <v>372</v>
      </c>
      <c r="C8204" t="s">
        <v>241</v>
      </c>
      <c r="D8204">
        <v>0</v>
      </c>
      <c r="E8204">
        <v>0</v>
      </c>
      <c r="F8204">
        <v>0</v>
      </c>
      <c r="G8204">
        <v>0</v>
      </c>
    </row>
    <row r="8205" spans="1:7">
      <c r="A8205" t="s">
        <v>1876</v>
      </c>
      <c r="B8205" t="s">
        <v>372</v>
      </c>
      <c r="C8205" t="s">
        <v>242</v>
      </c>
      <c r="D8205">
        <v>33758</v>
      </c>
      <c r="E8205">
        <v>39245</v>
      </c>
      <c r="F8205">
        <v>43315</v>
      </c>
      <c r="G8205">
        <v>42209</v>
      </c>
    </row>
    <row r="8206" spans="1:7">
      <c r="A8206" t="s">
        <v>1876</v>
      </c>
      <c r="B8206" t="s">
        <v>372</v>
      </c>
      <c r="C8206" t="s">
        <v>243</v>
      </c>
      <c r="D8206">
        <v>19812</v>
      </c>
      <c r="E8206">
        <v>20744</v>
      </c>
      <c r="F8206">
        <v>20062</v>
      </c>
      <c r="G8206">
        <v>19977</v>
      </c>
    </row>
    <row r="8207" spans="1:7">
      <c r="A8207" t="s">
        <v>1876</v>
      </c>
      <c r="B8207" t="s">
        <v>372</v>
      </c>
      <c r="C8207" t="s">
        <v>244</v>
      </c>
      <c r="D8207">
        <v>363344</v>
      </c>
      <c r="E8207">
        <v>389319</v>
      </c>
      <c r="F8207">
        <v>414955</v>
      </c>
      <c r="G8207">
        <v>444338</v>
      </c>
    </row>
    <row r="8208" spans="1:7">
      <c r="A8208" t="s">
        <v>1876</v>
      </c>
      <c r="B8208" t="s">
        <v>372</v>
      </c>
      <c r="C8208" t="s">
        <v>1709</v>
      </c>
      <c r="D8208">
        <v>11310</v>
      </c>
      <c r="E8208">
        <v>11247</v>
      </c>
      <c r="F8208">
        <v>11266</v>
      </c>
      <c r="G8208">
        <v>11358</v>
      </c>
    </row>
    <row r="8209" spans="1:7">
      <c r="A8209" t="s">
        <v>1876</v>
      </c>
      <c r="B8209" t="s">
        <v>372</v>
      </c>
      <c r="C8209" t="s">
        <v>245</v>
      </c>
      <c r="D8209">
        <v>138108</v>
      </c>
      <c r="E8209">
        <v>145503</v>
      </c>
      <c r="F8209">
        <v>132346</v>
      </c>
      <c r="G8209">
        <v>152452</v>
      </c>
    </row>
    <row r="8210" spans="1:7">
      <c r="A8210" t="s">
        <v>1876</v>
      </c>
      <c r="B8210" t="s">
        <v>372</v>
      </c>
      <c r="C8210" t="s">
        <v>246</v>
      </c>
      <c r="D8210">
        <v>21882</v>
      </c>
      <c r="E8210">
        <v>23043</v>
      </c>
      <c r="F8210">
        <v>20068</v>
      </c>
      <c r="G8210">
        <v>19820</v>
      </c>
    </row>
    <row r="8211" spans="1:7">
      <c r="A8211" t="s">
        <v>1876</v>
      </c>
      <c r="B8211" t="s">
        <v>372</v>
      </c>
      <c r="C8211" t="s">
        <v>247</v>
      </c>
      <c r="D8211">
        <v>576903</v>
      </c>
      <c r="E8211">
        <v>617855</v>
      </c>
      <c r="F8211">
        <v>630746</v>
      </c>
      <c r="G8211">
        <v>678796</v>
      </c>
    </row>
    <row r="8212" spans="1:7">
      <c r="A8212" t="s">
        <v>1876</v>
      </c>
      <c r="B8212" t="s">
        <v>372</v>
      </c>
      <c r="C8212" t="s">
        <v>248</v>
      </c>
      <c r="D8212">
        <v>195.7</v>
      </c>
      <c r="E8212">
        <v>210.1</v>
      </c>
      <c r="F8212">
        <v>214.4</v>
      </c>
      <c r="G8212">
        <v>230.1</v>
      </c>
    </row>
    <row r="8213" spans="1:7">
      <c r="A8213" t="s">
        <v>1876</v>
      </c>
      <c r="B8213" t="s">
        <v>372</v>
      </c>
      <c r="C8213" t="s">
        <v>249</v>
      </c>
      <c r="D8213">
        <v>213560</v>
      </c>
      <c r="E8213">
        <v>228536</v>
      </c>
      <c r="F8213">
        <v>215791</v>
      </c>
      <c r="G8213">
        <v>234458</v>
      </c>
    </row>
    <row r="8214" spans="1:7">
      <c r="A8214" t="s">
        <v>1876</v>
      </c>
      <c r="B8214" t="s">
        <v>372</v>
      </c>
      <c r="C8214" t="s">
        <v>250</v>
      </c>
      <c r="D8214">
        <v>576903</v>
      </c>
      <c r="E8214">
        <v>617855</v>
      </c>
      <c r="F8214">
        <v>630746</v>
      </c>
      <c r="G8214">
        <v>678796</v>
      </c>
    </row>
    <row r="8215" spans="1:7">
      <c r="A8215" t="s">
        <v>1876</v>
      </c>
      <c r="B8215" t="s">
        <v>372</v>
      </c>
      <c r="C8215" t="s">
        <v>1937</v>
      </c>
      <c r="D8215">
        <v>16.399999999999999</v>
      </c>
      <c r="E8215">
        <v>16.5</v>
      </c>
      <c r="F8215">
        <v>18.600000000000001</v>
      </c>
      <c r="G8215">
        <v>20.2</v>
      </c>
    </row>
    <row r="8216" spans="1:7">
      <c r="A8216" t="s">
        <v>1876</v>
      </c>
      <c r="B8216" t="s">
        <v>372</v>
      </c>
      <c r="C8216" t="s">
        <v>1938</v>
      </c>
      <c r="D8216">
        <v>95.9</v>
      </c>
      <c r="E8216">
        <v>70.099999999999994</v>
      </c>
      <c r="F8216">
        <v>97</v>
      </c>
      <c r="G8216">
        <v>87.2</v>
      </c>
    </row>
    <row r="8217" spans="1:7">
      <c r="A8217" t="s">
        <v>1876</v>
      </c>
      <c r="B8217" t="s">
        <v>372</v>
      </c>
      <c r="C8217" t="s">
        <v>251</v>
      </c>
      <c r="D8217">
        <v>122771</v>
      </c>
      <c r="E8217">
        <v>89856</v>
      </c>
      <c r="F8217">
        <v>122807</v>
      </c>
      <c r="G8217">
        <v>111253</v>
      </c>
    </row>
    <row r="8218" spans="1:7">
      <c r="A8218" t="s">
        <v>1876</v>
      </c>
      <c r="B8218" t="s">
        <v>372</v>
      </c>
      <c r="C8218" t="s">
        <v>252</v>
      </c>
      <c r="D8218">
        <v>122771</v>
      </c>
      <c r="E8218">
        <v>89856</v>
      </c>
      <c r="F8218">
        <v>122807</v>
      </c>
      <c r="G8218">
        <v>111253</v>
      </c>
    </row>
    <row r="8219" spans="1:7">
      <c r="A8219" t="s">
        <v>1876</v>
      </c>
      <c r="B8219" t="s">
        <v>372</v>
      </c>
      <c r="C8219" t="s">
        <v>1710</v>
      </c>
      <c r="D8219">
        <v>1401</v>
      </c>
      <c r="E8219">
        <v>1401</v>
      </c>
      <c r="F8219">
        <v>1383</v>
      </c>
      <c r="G8219">
        <v>1390</v>
      </c>
    </row>
    <row r="8220" spans="1:7">
      <c r="A8220" t="s">
        <v>1876</v>
      </c>
      <c r="B8220" t="s">
        <v>372</v>
      </c>
      <c r="C8220" t="s">
        <v>1939</v>
      </c>
      <c r="D8220">
        <v>19.600000000000001</v>
      </c>
      <c r="E8220">
        <v>21.2</v>
      </c>
      <c r="F8220">
        <v>25.8</v>
      </c>
      <c r="G8220">
        <v>21.3</v>
      </c>
    </row>
    <row r="8221" spans="1:7">
      <c r="A8221" t="s">
        <v>1876</v>
      </c>
      <c r="B8221" t="s">
        <v>372</v>
      </c>
      <c r="C8221" t="s">
        <v>253</v>
      </c>
      <c r="D8221">
        <v>0</v>
      </c>
      <c r="E8221">
        <v>0</v>
      </c>
      <c r="F8221">
        <v>0</v>
      </c>
      <c r="G8221">
        <v>0</v>
      </c>
    </row>
    <row r="8222" spans="1:7">
      <c r="A8222" t="s">
        <v>1876</v>
      </c>
      <c r="B8222" t="s">
        <v>372</v>
      </c>
      <c r="C8222" t="s">
        <v>1711</v>
      </c>
      <c r="D8222">
        <v>0</v>
      </c>
      <c r="E8222">
        <v>0</v>
      </c>
      <c r="F8222">
        <v>0</v>
      </c>
      <c r="G8222">
        <v>0</v>
      </c>
    </row>
    <row r="8223" spans="1:7">
      <c r="A8223" t="s">
        <v>1876</v>
      </c>
      <c r="B8223" t="s">
        <v>372</v>
      </c>
      <c r="C8223" t="s">
        <v>1712</v>
      </c>
      <c r="D8223">
        <v>34969</v>
      </c>
      <c r="E8223">
        <v>34009</v>
      </c>
      <c r="F8223">
        <v>33290</v>
      </c>
      <c r="G8223">
        <v>32222</v>
      </c>
    </row>
    <row r="8224" spans="1:7">
      <c r="A8224" t="s">
        <v>1876</v>
      </c>
      <c r="B8224" t="s">
        <v>372</v>
      </c>
      <c r="C8224" t="s">
        <v>1713</v>
      </c>
      <c r="D8224">
        <v>1430</v>
      </c>
      <c r="E8224">
        <v>1383</v>
      </c>
      <c r="F8224">
        <v>2003</v>
      </c>
      <c r="G8224">
        <v>2086</v>
      </c>
    </row>
    <row r="8225" spans="1:7">
      <c r="A8225" t="s">
        <v>1876</v>
      </c>
      <c r="B8225" t="s">
        <v>372</v>
      </c>
      <c r="C8225" t="s">
        <v>1940</v>
      </c>
      <c r="D8225">
        <v>0</v>
      </c>
      <c r="E8225">
        <v>0</v>
      </c>
      <c r="F8225">
        <v>0</v>
      </c>
      <c r="G8225">
        <v>0</v>
      </c>
    </row>
    <row r="8226" spans="1:7">
      <c r="A8226" t="s">
        <v>1876</v>
      </c>
      <c r="B8226" t="s">
        <v>372</v>
      </c>
      <c r="C8226" t="s">
        <v>1941</v>
      </c>
      <c r="D8226">
        <v>0</v>
      </c>
      <c r="E8226">
        <v>0</v>
      </c>
      <c r="F8226">
        <v>0</v>
      </c>
      <c r="G8226">
        <v>0</v>
      </c>
    </row>
    <row r="8227" spans="1:7">
      <c r="A8227" t="s">
        <v>1876</v>
      </c>
      <c r="B8227" t="s">
        <v>372</v>
      </c>
      <c r="C8227" t="s">
        <v>254</v>
      </c>
      <c r="D8227">
        <v>34969</v>
      </c>
      <c r="E8227">
        <v>34009</v>
      </c>
      <c r="F8227">
        <v>33290</v>
      </c>
      <c r="G8227">
        <v>32222</v>
      </c>
    </row>
    <row r="8228" spans="1:7">
      <c r="A8228" t="s">
        <v>1876</v>
      </c>
      <c r="B8228" t="s">
        <v>372</v>
      </c>
      <c r="C8228" t="s">
        <v>1942</v>
      </c>
      <c r="D8228">
        <v>0</v>
      </c>
      <c r="E8228">
        <v>0</v>
      </c>
      <c r="F8228">
        <v>0</v>
      </c>
      <c r="G8228">
        <v>0</v>
      </c>
    </row>
    <row r="8229" spans="1:7">
      <c r="A8229" t="s">
        <v>1876</v>
      </c>
      <c r="B8229" t="s">
        <v>372</v>
      </c>
      <c r="C8229" t="s">
        <v>255</v>
      </c>
      <c r="D8229">
        <v>36399</v>
      </c>
      <c r="E8229">
        <v>35392</v>
      </c>
      <c r="F8229">
        <v>35294</v>
      </c>
      <c r="G8229">
        <v>34308</v>
      </c>
    </row>
    <row r="8230" spans="1:7">
      <c r="A8230" t="s">
        <v>1876</v>
      </c>
      <c r="B8230" t="s">
        <v>372</v>
      </c>
      <c r="C8230" t="s">
        <v>256</v>
      </c>
      <c r="D8230">
        <v>36399</v>
      </c>
      <c r="E8230">
        <v>35392</v>
      </c>
      <c r="F8230">
        <v>35294</v>
      </c>
      <c r="G8230">
        <v>34308</v>
      </c>
    </row>
    <row r="8231" spans="1:7">
      <c r="A8231" t="s">
        <v>1876</v>
      </c>
      <c r="B8231" t="s">
        <v>372</v>
      </c>
      <c r="C8231" t="s">
        <v>1714</v>
      </c>
      <c r="D8231">
        <v>1</v>
      </c>
      <c r="E8231">
        <v>1</v>
      </c>
      <c r="F8231">
        <v>1</v>
      </c>
      <c r="G8231">
        <v>1</v>
      </c>
    </row>
    <row r="8232" spans="1:7">
      <c r="A8232" t="s">
        <v>1876</v>
      </c>
      <c r="B8232" t="s">
        <v>372</v>
      </c>
      <c r="C8232" t="s">
        <v>257</v>
      </c>
      <c r="D8232">
        <v>52750</v>
      </c>
      <c r="E8232">
        <v>52230</v>
      </c>
      <c r="F8232">
        <v>50653</v>
      </c>
      <c r="G8232">
        <v>46732</v>
      </c>
    </row>
    <row r="8233" spans="1:7">
      <c r="A8233" t="s">
        <v>1876</v>
      </c>
      <c r="B8233" t="s">
        <v>372</v>
      </c>
      <c r="C8233" t="s">
        <v>258</v>
      </c>
      <c r="D8233">
        <v>56266</v>
      </c>
      <c r="E8233">
        <v>55811</v>
      </c>
      <c r="F8233">
        <v>54335</v>
      </c>
      <c r="G8233">
        <v>50451</v>
      </c>
    </row>
    <row r="8234" spans="1:7">
      <c r="A8234" t="s">
        <v>1876</v>
      </c>
      <c r="B8234" t="s">
        <v>372</v>
      </c>
      <c r="C8234" t="s">
        <v>259</v>
      </c>
      <c r="D8234">
        <v>56266</v>
      </c>
      <c r="E8234">
        <v>55811</v>
      </c>
      <c r="F8234">
        <v>54335</v>
      </c>
      <c r="G8234">
        <v>50451</v>
      </c>
    </row>
    <row r="8235" spans="1:7">
      <c r="A8235" t="s">
        <v>1876</v>
      </c>
      <c r="B8235" t="s">
        <v>372</v>
      </c>
      <c r="C8235" t="s">
        <v>260</v>
      </c>
      <c r="D8235">
        <v>314651</v>
      </c>
      <c r="E8235">
        <v>314234</v>
      </c>
      <c r="F8235">
        <v>313322</v>
      </c>
      <c r="G8235">
        <v>307251</v>
      </c>
    </row>
    <row r="8236" spans="1:7">
      <c r="A8236" t="s">
        <v>1876</v>
      </c>
      <c r="B8236" t="s">
        <v>372</v>
      </c>
      <c r="C8236" t="s">
        <v>1943</v>
      </c>
      <c r="D8236">
        <v>0.1</v>
      </c>
      <c r="E8236">
        <v>0</v>
      </c>
      <c r="F8236">
        <v>0.5</v>
      </c>
      <c r="G8236">
        <v>0</v>
      </c>
    </row>
    <row r="8237" spans="1:7">
      <c r="A8237" t="s">
        <v>1876</v>
      </c>
      <c r="B8237" t="s">
        <v>372</v>
      </c>
      <c r="C8237" t="s">
        <v>261</v>
      </c>
      <c r="D8237">
        <v>7714</v>
      </c>
      <c r="E8237">
        <v>8345</v>
      </c>
      <c r="F8237">
        <v>7111</v>
      </c>
      <c r="G8237">
        <v>6477</v>
      </c>
    </row>
    <row r="8238" spans="1:7">
      <c r="A8238" t="s">
        <v>1876</v>
      </c>
      <c r="B8238" t="s">
        <v>372</v>
      </c>
      <c r="C8238" t="s">
        <v>262</v>
      </c>
      <c r="D8238">
        <v>68</v>
      </c>
      <c r="E8238">
        <v>70</v>
      </c>
      <c r="F8238">
        <v>56</v>
      </c>
      <c r="G8238">
        <v>55</v>
      </c>
    </row>
    <row r="8239" spans="1:7">
      <c r="A8239" t="s">
        <v>1876</v>
      </c>
      <c r="B8239" t="s">
        <v>372</v>
      </c>
      <c r="C8239" t="s">
        <v>1715</v>
      </c>
      <c r="D8239">
        <v>9</v>
      </c>
      <c r="E8239">
        <v>9</v>
      </c>
      <c r="F8239">
        <v>9</v>
      </c>
      <c r="G8239">
        <v>9</v>
      </c>
    </row>
    <row r="8240" spans="1:7">
      <c r="A8240" t="s">
        <v>1876</v>
      </c>
      <c r="B8240" t="s">
        <v>372</v>
      </c>
      <c r="C8240" t="s">
        <v>263</v>
      </c>
      <c r="D8240">
        <v>72645</v>
      </c>
      <c r="E8240">
        <v>72347</v>
      </c>
      <c r="F8240">
        <v>70366</v>
      </c>
      <c r="G8240">
        <v>65529</v>
      </c>
    </row>
    <row r="8241" spans="1:7">
      <c r="A8241" t="s">
        <v>1876</v>
      </c>
      <c r="B8241" t="s">
        <v>372</v>
      </c>
      <c r="C8241" t="s">
        <v>264</v>
      </c>
      <c r="D8241">
        <v>5342</v>
      </c>
      <c r="E8241">
        <v>5189</v>
      </c>
      <c r="F8241">
        <v>4748</v>
      </c>
      <c r="G8241">
        <v>4807</v>
      </c>
    </row>
    <row r="8242" spans="1:7">
      <c r="A8242" t="s">
        <v>1876</v>
      </c>
      <c r="B8242" t="s">
        <v>372</v>
      </c>
      <c r="C8242" t="s">
        <v>265</v>
      </c>
      <c r="D8242">
        <v>400419</v>
      </c>
      <c r="E8242">
        <v>400185</v>
      </c>
      <c r="F8242">
        <v>395603</v>
      </c>
      <c r="G8242">
        <v>384119</v>
      </c>
    </row>
    <row r="8243" spans="1:7">
      <c r="A8243" t="s">
        <v>1876</v>
      </c>
      <c r="B8243" t="s">
        <v>372</v>
      </c>
      <c r="C8243" t="s">
        <v>266</v>
      </c>
      <c r="D8243">
        <v>135.80000000000001</v>
      </c>
      <c r="E8243">
        <v>136.1</v>
      </c>
      <c r="F8243">
        <v>134.4</v>
      </c>
      <c r="G8243">
        <v>130.19999999999999</v>
      </c>
    </row>
    <row r="8244" spans="1:7">
      <c r="A8244" t="s">
        <v>1876</v>
      </c>
      <c r="B8244" t="s">
        <v>372</v>
      </c>
      <c r="C8244" t="s">
        <v>267</v>
      </c>
      <c r="D8244">
        <v>400351</v>
      </c>
      <c r="E8244">
        <v>400115</v>
      </c>
      <c r="F8244">
        <v>395547</v>
      </c>
      <c r="G8244">
        <v>384064</v>
      </c>
    </row>
    <row r="8245" spans="1:7">
      <c r="A8245" t="s">
        <v>1876</v>
      </c>
      <c r="B8245" t="s">
        <v>372</v>
      </c>
      <c r="C8245" t="s">
        <v>268</v>
      </c>
      <c r="D8245">
        <v>0</v>
      </c>
      <c r="E8245">
        <v>0</v>
      </c>
      <c r="F8245">
        <v>0</v>
      </c>
      <c r="G8245">
        <v>0</v>
      </c>
    </row>
    <row r="8246" spans="1:7">
      <c r="A8246" t="s">
        <v>1876</v>
      </c>
      <c r="B8246" t="s">
        <v>372</v>
      </c>
      <c r="C8246" t="s">
        <v>269</v>
      </c>
      <c r="D8246">
        <v>0</v>
      </c>
      <c r="E8246">
        <v>0</v>
      </c>
      <c r="F8246">
        <v>0</v>
      </c>
      <c r="G8246">
        <v>0</v>
      </c>
    </row>
    <row r="8247" spans="1:7">
      <c r="A8247" t="s">
        <v>1876</v>
      </c>
      <c r="B8247" t="s">
        <v>372</v>
      </c>
      <c r="C8247" t="s">
        <v>270</v>
      </c>
      <c r="D8247">
        <v>5564</v>
      </c>
      <c r="E8247">
        <v>5168</v>
      </c>
      <c r="F8247">
        <v>5551</v>
      </c>
      <c r="G8247">
        <v>2427</v>
      </c>
    </row>
    <row r="8248" spans="1:7">
      <c r="A8248" t="s">
        <v>1876</v>
      </c>
      <c r="B8248" t="s">
        <v>372</v>
      </c>
      <c r="C8248" t="s">
        <v>271</v>
      </c>
      <c r="D8248">
        <v>5564</v>
      </c>
      <c r="E8248">
        <v>5168</v>
      </c>
      <c r="F8248">
        <v>5551</v>
      </c>
      <c r="G8248">
        <v>2427</v>
      </c>
    </row>
    <row r="8249" spans="1:7">
      <c r="A8249" t="s">
        <v>1876</v>
      </c>
      <c r="B8249" t="s">
        <v>372</v>
      </c>
      <c r="C8249" t="s">
        <v>272</v>
      </c>
      <c r="D8249">
        <v>5564</v>
      </c>
      <c r="E8249">
        <v>5168</v>
      </c>
      <c r="F8249">
        <v>5551</v>
      </c>
      <c r="G8249">
        <v>2427</v>
      </c>
    </row>
    <row r="8250" spans="1:7">
      <c r="A8250" t="s">
        <v>1876</v>
      </c>
      <c r="B8250" t="s">
        <v>372</v>
      </c>
      <c r="C8250" t="s">
        <v>1944</v>
      </c>
      <c r="D8250">
        <v>1.1000000000000001</v>
      </c>
      <c r="E8250">
        <v>1.5</v>
      </c>
      <c r="F8250">
        <v>1.8</v>
      </c>
      <c r="G8250">
        <v>2.2999999999999998</v>
      </c>
    </row>
    <row r="8251" spans="1:7">
      <c r="A8251" t="s">
        <v>1876</v>
      </c>
      <c r="B8251" t="s">
        <v>372</v>
      </c>
      <c r="C8251" t="s">
        <v>1945</v>
      </c>
      <c r="D8251">
        <v>2</v>
      </c>
      <c r="E8251">
        <v>3</v>
      </c>
      <c r="F8251">
        <v>5</v>
      </c>
      <c r="G8251">
        <v>6</v>
      </c>
    </row>
    <row r="8252" spans="1:7">
      <c r="A8252" t="s">
        <v>1876</v>
      </c>
      <c r="B8252" t="s">
        <v>372</v>
      </c>
      <c r="C8252" t="s">
        <v>273</v>
      </c>
      <c r="D8252">
        <v>0</v>
      </c>
      <c r="E8252">
        <v>0</v>
      </c>
      <c r="F8252">
        <v>0</v>
      </c>
      <c r="G8252">
        <v>0</v>
      </c>
    </row>
    <row r="8253" spans="1:7">
      <c r="A8253" t="s">
        <v>1876</v>
      </c>
      <c r="B8253" t="s">
        <v>372</v>
      </c>
      <c r="C8253" t="s">
        <v>1946</v>
      </c>
      <c r="D8253">
        <v>298888</v>
      </c>
      <c r="E8253">
        <v>297729</v>
      </c>
      <c r="F8253">
        <v>296290</v>
      </c>
      <c r="G8253">
        <v>289570</v>
      </c>
    </row>
    <row r="8254" spans="1:7">
      <c r="A8254" t="s">
        <v>1876</v>
      </c>
      <c r="B8254" t="s">
        <v>372</v>
      </c>
      <c r="C8254" t="s">
        <v>1947</v>
      </c>
      <c r="D8254">
        <v>7552</v>
      </c>
      <c r="E8254">
        <v>8165</v>
      </c>
      <c r="F8254">
        <v>6934</v>
      </c>
      <c r="G8254">
        <v>6357</v>
      </c>
    </row>
    <row r="8255" spans="1:7">
      <c r="A8255" t="s">
        <v>1876</v>
      </c>
      <c r="B8255" t="s">
        <v>372</v>
      </c>
      <c r="C8255" t="s">
        <v>1948</v>
      </c>
      <c r="D8255">
        <v>68</v>
      </c>
      <c r="E8255">
        <v>70</v>
      </c>
      <c r="F8255">
        <v>56</v>
      </c>
      <c r="G8255">
        <v>55</v>
      </c>
    </row>
    <row r="8256" spans="1:7">
      <c r="A8256" t="s">
        <v>1876</v>
      </c>
      <c r="B8256" t="s">
        <v>372</v>
      </c>
      <c r="C8256" t="s">
        <v>1949</v>
      </c>
      <c r="D8256">
        <v>72518</v>
      </c>
      <c r="E8256">
        <v>72205</v>
      </c>
      <c r="F8256">
        <v>70224</v>
      </c>
      <c r="G8256">
        <v>65415</v>
      </c>
    </row>
    <row r="8257" spans="1:7">
      <c r="A8257" t="s">
        <v>1876</v>
      </c>
      <c r="B8257" t="s">
        <v>372</v>
      </c>
      <c r="C8257" t="s">
        <v>1950</v>
      </c>
      <c r="D8257">
        <v>5342</v>
      </c>
      <c r="E8257">
        <v>5189</v>
      </c>
      <c r="F8257">
        <v>4748</v>
      </c>
      <c r="G8257">
        <v>4807</v>
      </c>
    </row>
    <row r="8258" spans="1:7">
      <c r="A8258" t="s">
        <v>1876</v>
      </c>
      <c r="B8258" t="s">
        <v>372</v>
      </c>
      <c r="C8258" t="s">
        <v>274</v>
      </c>
      <c r="D8258">
        <v>384368</v>
      </c>
      <c r="E8258">
        <v>383357</v>
      </c>
      <c r="F8258">
        <v>378252</v>
      </c>
      <c r="G8258">
        <v>366205</v>
      </c>
    </row>
    <row r="8259" spans="1:7">
      <c r="A8259" t="s">
        <v>1876</v>
      </c>
      <c r="B8259" t="s">
        <v>372</v>
      </c>
      <c r="C8259" t="s">
        <v>275</v>
      </c>
      <c r="D8259">
        <v>0</v>
      </c>
      <c r="E8259">
        <v>0</v>
      </c>
      <c r="F8259">
        <v>0</v>
      </c>
      <c r="G8259">
        <v>0</v>
      </c>
    </row>
    <row r="8260" spans="1:7">
      <c r="A8260" t="s">
        <v>1876</v>
      </c>
      <c r="B8260" t="s">
        <v>372</v>
      </c>
      <c r="C8260" t="s">
        <v>276</v>
      </c>
      <c r="D8260">
        <v>0</v>
      </c>
      <c r="E8260">
        <v>0</v>
      </c>
      <c r="F8260">
        <v>0</v>
      </c>
      <c r="G8260">
        <v>0</v>
      </c>
    </row>
    <row r="8261" spans="1:7">
      <c r="A8261" t="s">
        <v>1876</v>
      </c>
      <c r="B8261" t="s">
        <v>372</v>
      </c>
      <c r="C8261" t="s">
        <v>277</v>
      </c>
      <c r="D8261">
        <v>283</v>
      </c>
      <c r="E8261">
        <v>6</v>
      </c>
      <c r="F8261">
        <v>201</v>
      </c>
      <c r="G8261">
        <v>67</v>
      </c>
    </row>
    <row r="8262" spans="1:7">
      <c r="A8262" t="s">
        <v>1876</v>
      </c>
      <c r="B8262" t="s">
        <v>372</v>
      </c>
      <c r="C8262" t="s">
        <v>278</v>
      </c>
      <c r="D8262">
        <v>1924</v>
      </c>
      <c r="E8262">
        <v>2391</v>
      </c>
      <c r="F8262">
        <v>1666</v>
      </c>
      <c r="G8262">
        <v>1804</v>
      </c>
    </row>
    <row r="8263" spans="1:7">
      <c r="A8263" t="s">
        <v>1876</v>
      </c>
      <c r="B8263" t="s">
        <v>372</v>
      </c>
      <c r="C8263" t="s">
        <v>279</v>
      </c>
      <c r="D8263">
        <v>3070</v>
      </c>
      <c r="E8263">
        <v>3075</v>
      </c>
      <c r="F8263">
        <v>2987</v>
      </c>
      <c r="G8263">
        <v>2986</v>
      </c>
    </row>
    <row r="8264" spans="1:7">
      <c r="A8264" t="s">
        <v>1876</v>
      </c>
      <c r="B8264" t="s">
        <v>372</v>
      </c>
      <c r="C8264" t="s">
        <v>280</v>
      </c>
      <c r="D8264">
        <v>5332</v>
      </c>
      <c r="E8264">
        <v>5180</v>
      </c>
      <c r="F8264">
        <v>4734</v>
      </c>
      <c r="G8264">
        <v>4795</v>
      </c>
    </row>
    <row r="8265" spans="1:7">
      <c r="A8265" t="s">
        <v>1876</v>
      </c>
      <c r="B8265" t="s">
        <v>372</v>
      </c>
      <c r="C8265" t="s">
        <v>281</v>
      </c>
      <c r="D8265">
        <v>10608</v>
      </c>
      <c r="E8265">
        <v>10652</v>
      </c>
      <c r="F8265">
        <v>9587</v>
      </c>
      <c r="G8265">
        <v>9652</v>
      </c>
    </row>
    <row r="8266" spans="1:7">
      <c r="A8266" t="s">
        <v>1876</v>
      </c>
      <c r="B8266" t="s">
        <v>372</v>
      </c>
      <c r="C8266" t="s">
        <v>282</v>
      </c>
      <c r="D8266">
        <v>10608</v>
      </c>
      <c r="E8266">
        <v>10652</v>
      </c>
      <c r="F8266">
        <v>9587</v>
      </c>
      <c r="G8266">
        <v>9652</v>
      </c>
    </row>
    <row r="8267" spans="1:7">
      <c r="A8267" t="s">
        <v>1876</v>
      </c>
      <c r="B8267" t="s">
        <v>372</v>
      </c>
      <c r="C8267" t="s">
        <v>283</v>
      </c>
      <c r="D8267">
        <v>0</v>
      </c>
      <c r="E8267">
        <v>0</v>
      </c>
      <c r="F8267">
        <v>0</v>
      </c>
      <c r="G8267">
        <v>0</v>
      </c>
    </row>
    <row r="8268" spans="1:7">
      <c r="A8268" t="s">
        <v>1876</v>
      </c>
      <c r="B8268" t="s">
        <v>372</v>
      </c>
      <c r="C8268" t="s">
        <v>284</v>
      </c>
      <c r="D8268">
        <v>0</v>
      </c>
      <c r="E8268">
        <v>0</v>
      </c>
      <c r="F8268">
        <v>0</v>
      </c>
      <c r="G8268">
        <v>0</v>
      </c>
    </row>
    <row r="8269" spans="1:7">
      <c r="A8269" t="s">
        <v>1876</v>
      </c>
      <c r="B8269" t="s">
        <v>372</v>
      </c>
      <c r="C8269" t="s">
        <v>1716</v>
      </c>
      <c r="D8269">
        <v>15763</v>
      </c>
      <c r="E8269">
        <v>16505</v>
      </c>
      <c r="F8269">
        <v>17032</v>
      </c>
      <c r="G8269">
        <v>17681</v>
      </c>
    </row>
    <row r="8270" spans="1:7">
      <c r="A8270" t="s">
        <v>1876</v>
      </c>
      <c r="B8270" t="s">
        <v>372</v>
      </c>
      <c r="C8270" t="s">
        <v>1717</v>
      </c>
      <c r="D8270">
        <v>1123</v>
      </c>
      <c r="E8270">
        <v>1156</v>
      </c>
      <c r="F8270">
        <v>1115</v>
      </c>
      <c r="G8270">
        <v>1117</v>
      </c>
    </row>
    <row r="8271" spans="1:7">
      <c r="A8271" t="s">
        <v>1876</v>
      </c>
      <c r="B8271" t="s">
        <v>372</v>
      </c>
      <c r="C8271" t="s">
        <v>1718</v>
      </c>
      <c r="D8271">
        <v>1562</v>
      </c>
      <c r="E8271">
        <v>1818</v>
      </c>
      <c r="F8271">
        <v>2243</v>
      </c>
      <c r="G8271">
        <v>7031</v>
      </c>
    </row>
    <row r="8272" spans="1:7">
      <c r="A8272" t="s">
        <v>1876</v>
      </c>
      <c r="B8272" t="s">
        <v>372</v>
      </c>
      <c r="C8272" t="s">
        <v>1719</v>
      </c>
      <c r="D8272">
        <v>440</v>
      </c>
      <c r="E8272">
        <v>622</v>
      </c>
      <c r="F8272">
        <v>728</v>
      </c>
      <c r="G8272">
        <v>1707</v>
      </c>
    </row>
    <row r="8273" spans="1:7">
      <c r="A8273" t="s">
        <v>1876</v>
      </c>
      <c r="B8273" t="s">
        <v>372</v>
      </c>
      <c r="C8273" t="s">
        <v>1720</v>
      </c>
      <c r="D8273">
        <v>46457</v>
      </c>
      <c r="E8273">
        <v>46955</v>
      </c>
      <c r="F8273">
        <v>47090</v>
      </c>
      <c r="G8273">
        <v>43786</v>
      </c>
    </row>
    <row r="8274" spans="1:7">
      <c r="A8274" t="s">
        <v>1876</v>
      </c>
      <c r="B8274" t="s">
        <v>372</v>
      </c>
      <c r="C8274" t="s">
        <v>1721</v>
      </c>
      <c r="D8274">
        <v>1229</v>
      </c>
      <c r="E8274">
        <v>1524</v>
      </c>
      <c r="F8274">
        <v>1156</v>
      </c>
      <c r="G8274">
        <v>1420</v>
      </c>
    </row>
    <row r="8275" spans="1:7">
      <c r="A8275" t="s">
        <v>1876</v>
      </c>
      <c r="B8275" t="s">
        <v>372</v>
      </c>
      <c r="C8275" t="s">
        <v>285</v>
      </c>
      <c r="D8275">
        <v>66133</v>
      </c>
      <c r="E8275">
        <v>67958</v>
      </c>
      <c r="F8275">
        <v>68636</v>
      </c>
      <c r="G8275">
        <v>71035</v>
      </c>
    </row>
    <row r="8276" spans="1:7">
      <c r="A8276" t="s">
        <v>1876</v>
      </c>
      <c r="B8276" t="s">
        <v>372</v>
      </c>
      <c r="C8276" t="s">
        <v>1951</v>
      </c>
      <c r="D8276">
        <v>6.1</v>
      </c>
      <c r="E8276">
        <v>6.2</v>
      </c>
      <c r="F8276">
        <v>6.4</v>
      </c>
      <c r="G8276">
        <v>6.6</v>
      </c>
    </row>
    <row r="8277" spans="1:7">
      <c r="A8277" t="s">
        <v>1876</v>
      </c>
      <c r="B8277" t="s">
        <v>372</v>
      </c>
      <c r="C8277" t="s">
        <v>286</v>
      </c>
      <c r="D8277">
        <v>2284</v>
      </c>
      <c r="E8277">
        <v>2341</v>
      </c>
      <c r="F8277">
        <v>1943</v>
      </c>
      <c r="G8277">
        <v>2103</v>
      </c>
    </row>
    <row r="8278" spans="1:7">
      <c r="A8278" t="s">
        <v>1876</v>
      </c>
      <c r="B8278" t="s">
        <v>372</v>
      </c>
      <c r="C8278" t="s">
        <v>287</v>
      </c>
      <c r="D8278">
        <v>0</v>
      </c>
      <c r="E8278">
        <v>0</v>
      </c>
      <c r="F8278">
        <v>0</v>
      </c>
      <c r="G8278">
        <v>0</v>
      </c>
    </row>
    <row r="8279" spans="1:7">
      <c r="A8279" t="s">
        <v>1876</v>
      </c>
      <c r="B8279" t="s">
        <v>372</v>
      </c>
      <c r="C8279" t="s">
        <v>288</v>
      </c>
      <c r="D8279">
        <v>0</v>
      </c>
      <c r="E8279">
        <v>0</v>
      </c>
      <c r="F8279">
        <v>0</v>
      </c>
      <c r="G8279">
        <v>0</v>
      </c>
    </row>
    <row r="8280" spans="1:7">
      <c r="A8280" t="s">
        <v>1876</v>
      </c>
      <c r="B8280" t="s">
        <v>372</v>
      </c>
      <c r="C8280" t="s">
        <v>289</v>
      </c>
      <c r="D8280">
        <v>2</v>
      </c>
      <c r="E8280">
        <v>2</v>
      </c>
      <c r="F8280">
        <v>2</v>
      </c>
      <c r="G8280">
        <v>2</v>
      </c>
    </row>
    <row r="8281" spans="1:7">
      <c r="A8281" t="s">
        <v>1876</v>
      </c>
      <c r="B8281" t="s">
        <v>372</v>
      </c>
      <c r="C8281" t="s">
        <v>290</v>
      </c>
      <c r="D8281">
        <v>2286</v>
      </c>
      <c r="E8281">
        <v>2343</v>
      </c>
      <c r="F8281">
        <v>1945</v>
      </c>
      <c r="G8281">
        <v>2105</v>
      </c>
    </row>
    <row r="8282" spans="1:7">
      <c r="A8282" t="s">
        <v>1876</v>
      </c>
      <c r="B8282" t="s">
        <v>372</v>
      </c>
      <c r="C8282" t="s">
        <v>291</v>
      </c>
      <c r="D8282">
        <v>2286</v>
      </c>
      <c r="E8282">
        <v>2343</v>
      </c>
      <c r="F8282">
        <v>1945</v>
      </c>
      <c r="G8282">
        <v>2105</v>
      </c>
    </row>
    <row r="8283" spans="1:7">
      <c r="A8283" t="s">
        <v>1876</v>
      </c>
      <c r="B8283" t="s">
        <v>372</v>
      </c>
      <c r="C8283" t="s">
        <v>292</v>
      </c>
      <c r="D8283">
        <v>0</v>
      </c>
      <c r="E8283">
        <v>0</v>
      </c>
      <c r="F8283">
        <v>0</v>
      </c>
      <c r="G8283">
        <v>0</v>
      </c>
    </row>
    <row r="8284" spans="1:7">
      <c r="A8284" t="s">
        <v>1876</v>
      </c>
      <c r="B8284" t="s">
        <v>372</v>
      </c>
      <c r="C8284" t="s">
        <v>293</v>
      </c>
      <c r="D8284">
        <v>0</v>
      </c>
      <c r="E8284">
        <v>0</v>
      </c>
      <c r="F8284">
        <v>0</v>
      </c>
      <c r="G8284">
        <v>0</v>
      </c>
    </row>
    <row r="8285" spans="1:7">
      <c r="A8285" t="s">
        <v>1876</v>
      </c>
      <c r="B8285" t="s">
        <v>372</v>
      </c>
      <c r="C8285" t="s">
        <v>294</v>
      </c>
      <c r="D8285">
        <v>0</v>
      </c>
      <c r="E8285">
        <v>0</v>
      </c>
      <c r="F8285">
        <v>0</v>
      </c>
      <c r="G8285">
        <v>0</v>
      </c>
    </row>
    <row r="8286" spans="1:7">
      <c r="A8286" t="s">
        <v>1876</v>
      </c>
      <c r="B8286" t="s">
        <v>372</v>
      </c>
      <c r="C8286" t="s">
        <v>295</v>
      </c>
      <c r="D8286">
        <v>0</v>
      </c>
      <c r="E8286">
        <v>0</v>
      </c>
      <c r="F8286">
        <v>0</v>
      </c>
      <c r="G8286">
        <v>0</v>
      </c>
    </row>
    <row r="8287" spans="1:7">
      <c r="A8287" t="s">
        <v>1876</v>
      </c>
      <c r="B8287" t="s">
        <v>372</v>
      </c>
      <c r="C8287" t="s">
        <v>296</v>
      </c>
      <c r="D8287">
        <v>0</v>
      </c>
      <c r="E8287">
        <v>0</v>
      </c>
      <c r="F8287">
        <v>0</v>
      </c>
      <c r="G8287">
        <v>0</v>
      </c>
    </row>
    <row r="8288" spans="1:7">
      <c r="A8288" t="s">
        <v>1876</v>
      </c>
      <c r="B8288" t="s">
        <v>372</v>
      </c>
      <c r="C8288" t="s">
        <v>297</v>
      </c>
      <c r="D8288">
        <v>33264</v>
      </c>
      <c r="E8288">
        <v>33574</v>
      </c>
      <c r="F8288">
        <v>32912</v>
      </c>
      <c r="G8288">
        <v>31842</v>
      </c>
    </row>
    <row r="8289" spans="1:7">
      <c r="A8289" t="s">
        <v>1876</v>
      </c>
      <c r="B8289" t="s">
        <v>372</v>
      </c>
      <c r="C8289" t="s">
        <v>1952</v>
      </c>
      <c r="D8289">
        <v>0</v>
      </c>
      <c r="E8289">
        <v>0</v>
      </c>
      <c r="F8289">
        <v>0</v>
      </c>
      <c r="G8289">
        <v>0</v>
      </c>
    </row>
    <row r="8290" spans="1:7">
      <c r="A8290" t="s">
        <v>1876</v>
      </c>
      <c r="B8290" t="s">
        <v>372</v>
      </c>
      <c r="C8290" t="s">
        <v>298</v>
      </c>
      <c r="D8290">
        <v>156</v>
      </c>
      <c r="E8290">
        <v>95</v>
      </c>
      <c r="F8290">
        <v>95</v>
      </c>
      <c r="G8290">
        <v>83</v>
      </c>
    </row>
    <row r="8291" spans="1:7">
      <c r="A8291" t="s">
        <v>1876</v>
      </c>
      <c r="B8291" t="s">
        <v>372</v>
      </c>
      <c r="C8291" t="s">
        <v>299</v>
      </c>
      <c r="D8291">
        <v>25</v>
      </c>
      <c r="E8291">
        <v>36</v>
      </c>
      <c r="F8291">
        <v>31</v>
      </c>
      <c r="G8291">
        <v>33</v>
      </c>
    </row>
    <row r="8292" spans="1:7">
      <c r="A8292" t="s">
        <v>1876</v>
      </c>
      <c r="B8292" t="s">
        <v>372</v>
      </c>
      <c r="C8292" t="s">
        <v>300</v>
      </c>
      <c r="D8292">
        <v>1450</v>
      </c>
      <c r="E8292">
        <v>1719</v>
      </c>
      <c r="F8292">
        <v>2159</v>
      </c>
      <c r="G8292">
        <v>5769</v>
      </c>
    </row>
    <row r="8293" spans="1:7">
      <c r="A8293" t="s">
        <v>1876</v>
      </c>
      <c r="B8293" t="s">
        <v>372</v>
      </c>
      <c r="C8293" t="s">
        <v>1722</v>
      </c>
      <c r="D8293">
        <v>219</v>
      </c>
      <c r="E8293">
        <v>319</v>
      </c>
      <c r="F8293">
        <v>426</v>
      </c>
      <c r="G8293">
        <v>1220</v>
      </c>
    </row>
    <row r="8294" spans="1:7">
      <c r="A8294" t="s">
        <v>1876</v>
      </c>
      <c r="B8294" t="s">
        <v>372</v>
      </c>
      <c r="C8294" t="s">
        <v>301</v>
      </c>
      <c r="D8294">
        <v>2</v>
      </c>
      <c r="E8294">
        <v>2</v>
      </c>
      <c r="F8294">
        <v>3</v>
      </c>
      <c r="G8294">
        <v>2</v>
      </c>
    </row>
    <row r="8295" spans="1:7">
      <c r="A8295" t="s">
        <v>1876</v>
      </c>
      <c r="B8295" t="s">
        <v>372</v>
      </c>
      <c r="C8295" t="s">
        <v>302</v>
      </c>
      <c r="D8295">
        <v>42</v>
      </c>
      <c r="E8295">
        <v>51</v>
      </c>
      <c r="F8295">
        <v>59</v>
      </c>
      <c r="G8295">
        <v>82</v>
      </c>
    </row>
    <row r="8296" spans="1:7">
      <c r="A8296" t="s">
        <v>1876</v>
      </c>
      <c r="B8296" t="s">
        <v>372</v>
      </c>
      <c r="C8296" t="s">
        <v>303</v>
      </c>
      <c r="D8296">
        <v>1520</v>
      </c>
      <c r="E8296">
        <v>1808</v>
      </c>
      <c r="F8296">
        <v>2253</v>
      </c>
      <c r="G8296">
        <v>5886</v>
      </c>
    </row>
    <row r="8297" spans="1:7">
      <c r="A8297" t="s">
        <v>1876</v>
      </c>
      <c r="B8297" t="s">
        <v>372</v>
      </c>
      <c r="C8297" t="s">
        <v>304</v>
      </c>
      <c r="D8297">
        <v>70</v>
      </c>
      <c r="E8297">
        <v>89</v>
      </c>
      <c r="F8297">
        <v>93</v>
      </c>
      <c r="G8297">
        <v>116</v>
      </c>
    </row>
    <row r="8298" spans="1:7">
      <c r="A8298" t="s">
        <v>1876</v>
      </c>
      <c r="B8298" t="s">
        <v>372</v>
      </c>
      <c r="C8298" t="s">
        <v>1953</v>
      </c>
      <c r="D8298">
        <v>22.2</v>
      </c>
      <c r="E8298">
        <v>22.7</v>
      </c>
      <c r="F8298">
        <v>21.5</v>
      </c>
      <c r="G8298">
        <v>22</v>
      </c>
    </row>
    <row r="8299" spans="1:7">
      <c r="A8299" t="s">
        <v>1876</v>
      </c>
      <c r="B8299" t="s">
        <v>372</v>
      </c>
      <c r="C8299" t="s">
        <v>305</v>
      </c>
      <c r="D8299">
        <v>348408</v>
      </c>
      <c r="E8299">
        <v>353479</v>
      </c>
      <c r="F8299">
        <v>356637</v>
      </c>
      <c r="G8299">
        <v>349460</v>
      </c>
    </row>
    <row r="8300" spans="1:7">
      <c r="A8300" t="s">
        <v>1876</v>
      </c>
      <c r="B8300" t="s">
        <v>372</v>
      </c>
      <c r="C8300" t="s">
        <v>306</v>
      </c>
      <c r="D8300">
        <v>118.2</v>
      </c>
      <c r="E8300">
        <v>120.2</v>
      </c>
      <c r="F8300">
        <v>121.2</v>
      </c>
      <c r="G8300">
        <v>118.5</v>
      </c>
    </row>
    <row r="8301" spans="1:7">
      <c r="A8301" t="s">
        <v>1876</v>
      </c>
      <c r="B8301" t="s">
        <v>372</v>
      </c>
      <c r="C8301" t="s">
        <v>307</v>
      </c>
      <c r="D8301">
        <v>147230</v>
      </c>
      <c r="E8301">
        <v>150771</v>
      </c>
      <c r="F8301">
        <v>149714</v>
      </c>
      <c r="G8301">
        <v>144570</v>
      </c>
    </row>
    <row r="8302" spans="1:7">
      <c r="A8302" t="s">
        <v>1876</v>
      </c>
      <c r="B8302" t="s">
        <v>372</v>
      </c>
      <c r="C8302" t="s">
        <v>308</v>
      </c>
      <c r="D8302">
        <v>49.9</v>
      </c>
      <c r="E8302">
        <v>51.3</v>
      </c>
      <c r="F8302">
        <v>50.9</v>
      </c>
      <c r="G8302">
        <v>49</v>
      </c>
    </row>
    <row r="8303" spans="1:7">
      <c r="A8303" t="s">
        <v>1876</v>
      </c>
      <c r="B8303" t="s">
        <v>372</v>
      </c>
      <c r="C8303" t="s">
        <v>309</v>
      </c>
      <c r="D8303">
        <v>549998</v>
      </c>
      <c r="E8303">
        <v>545243</v>
      </c>
      <c r="F8303">
        <v>587340</v>
      </c>
      <c r="G8303">
        <v>602289</v>
      </c>
    </row>
    <row r="8304" spans="1:7">
      <c r="A8304" t="s">
        <v>1876</v>
      </c>
      <c r="B8304" t="s">
        <v>372</v>
      </c>
      <c r="C8304" t="s">
        <v>310</v>
      </c>
      <c r="D8304">
        <v>396191</v>
      </c>
      <c r="E8304">
        <v>403530</v>
      </c>
      <c r="F8304">
        <v>385686</v>
      </c>
      <c r="G8304">
        <v>396098</v>
      </c>
    </row>
    <row r="8305" spans="1:7">
      <c r="A8305" t="s">
        <v>1876</v>
      </c>
      <c r="B8305" t="s">
        <v>372</v>
      </c>
      <c r="C8305" t="s">
        <v>311</v>
      </c>
      <c r="D8305">
        <v>134.4</v>
      </c>
      <c r="E8305">
        <v>137.19999999999999</v>
      </c>
      <c r="F8305">
        <v>131.1</v>
      </c>
      <c r="G8305">
        <v>134.30000000000001</v>
      </c>
    </row>
    <row r="8306" spans="1:7">
      <c r="A8306" t="s">
        <v>1876</v>
      </c>
      <c r="B8306" t="s">
        <v>372</v>
      </c>
      <c r="C8306" t="s">
        <v>312</v>
      </c>
      <c r="D8306">
        <v>189687</v>
      </c>
      <c r="E8306">
        <v>191825</v>
      </c>
      <c r="F8306">
        <v>184431</v>
      </c>
      <c r="G8306">
        <v>179700</v>
      </c>
    </row>
    <row r="8307" spans="1:7">
      <c r="A8307" t="s">
        <v>1876</v>
      </c>
      <c r="B8307" t="s">
        <v>372</v>
      </c>
      <c r="C8307" t="s">
        <v>313</v>
      </c>
      <c r="D8307">
        <v>64.400000000000006</v>
      </c>
      <c r="E8307">
        <v>65.2</v>
      </c>
      <c r="F8307">
        <v>62.7</v>
      </c>
      <c r="G8307">
        <v>60.9</v>
      </c>
    </row>
    <row r="8308" spans="1:7">
      <c r="A8308" t="s">
        <v>1876</v>
      </c>
      <c r="B8308" t="s">
        <v>372</v>
      </c>
      <c r="C8308" t="s">
        <v>314</v>
      </c>
      <c r="D8308">
        <v>1081517</v>
      </c>
      <c r="E8308">
        <v>1099605</v>
      </c>
      <c r="F8308">
        <v>1076469</v>
      </c>
      <c r="G8308">
        <v>1069829</v>
      </c>
    </row>
    <row r="8309" spans="1:7">
      <c r="A8309" t="s">
        <v>1876</v>
      </c>
      <c r="B8309" t="s">
        <v>372</v>
      </c>
      <c r="C8309" t="s">
        <v>315</v>
      </c>
      <c r="D8309">
        <v>9.32</v>
      </c>
      <c r="E8309">
        <v>9.5</v>
      </c>
      <c r="F8309">
        <v>9.01</v>
      </c>
      <c r="G8309">
        <v>8.67</v>
      </c>
    </row>
    <row r="8310" spans="1:7">
      <c r="A8310" t="s">
        <v>1876</v>
      </c>
      <c r="B8310" t="s">
        <v>372</v>
      </c>
      <c r="C8310" t="s">
        <v>316</v>
      </c>
      <c r="D8310">
        <v>366.9</v>
      </c>
      <c r="E8310">
        <v>373.9</v>
      </c>
      <c r="F8310">
        <v>365.8</v>
      </c>
      <c r="G8310">
        <v>362.6</v>
      </c>
    </row>
    <row r="8311" spans="1:7">
      <c r="A8311" t="s">
        <v>1876</v>
      </c>
      <c r="B8311" t="s">
        <v>372</v>
      </c>
      <c r="C8311" t="s">
        <v>317</v>
      </c>
      <c r="D8311">
        <v>1081517</v>
      </c>
      <c r="E8311">
        <v>1099605</v>
      </c>
      <c r="F8311">
        <v>1076468</v>
      </c>
      <c r="G8311">
        <v>1069828</v>
      </c>
    </row>
    <row r="8312" spans="1:7">
      <c r="A8312" t="s">
        <v>1876</v>
      </c>
      <c r="B8312" t="s">
        <v>372</v>
      </c>
      <c r="C8312" t="s">
        <v>318</v>
      </c>
      <c r="D8312">
        <v>348408</v>
      </c>
      <c r="E8312">
        <v>353479</v>
      </c>
      <c r="F8312">
        <v>356637</v>
      </c>
      <c r="G8312">
        <v>349460</v>
      </c>
    </row>
    <row r="8313" spans="1:7">
      <c r="A8313" t="s">
        <v>1876</v>
      </c>
      <c r="B8313" t="s">
        <v>372</v>
      </c>
      <c r="C8313" t="s">
        <v>319</v>
      </c>
      <c r="D8313">
        <v>75150</v>
      </c>
      <c r="E8313">
        <v>78139</v>
      </c>
      <c r="F8313">
        <v>76667</v>
      </c>
      <c r="G8313">
        <v>75807</v>
      </c>
    </row>
    <row r="8314" spans="1:7">
      <c r="A8314" t="s">
        <v>1876</v>
      </c>
      <c r="B8314" t="s">
        <v>372</v>
      </c>
      <c r="C8314" t="s">
        <v>320</v>
      </c>
      <c r="D8314">
        <v>313079</v>
      </c>
      <c r="E8314">
        <v>321194</v>
      </c>
      <c r="F8314">
        <v>305372</v>
      </c>
      <c r="G8314">
        <v>318858</v>
      </c>
    </row>
    <row r="8315" spans="1:7">
      <c r="A8315" t="s">
        <v>1876</v>
      </c>
      <c r="B8315" t="s">
        <v>372</v>
      </c>
      <c r="C8315" t="s">
        <v>321</v>
      </c>
      <c r="D8315">
        <v>91814</v>
      </c>
      <c r="E8315">
        <v>94304</v>
      </c>
      <c r="F8315">
        <v>89245</v>
      </c>
      <c r="G8315">
        <v>89486</v>
      </c>
    </row>
    <row r="8316" spans="1:7">
      <c r="A8316" t="s">
        <v>1876</v>
      </c>
      <c r="B8316" t="s">
        <v>372</v>
      </c>
      <c r="C8316" t="s">
        <v>1954</v>
      </c>
      <c r="D8316">
        <v>828451</v>
      </c>
      <c r="E8316">
        <v>847116</v>
      </c>
      <c r="F8316">
        <v>827922</v>
      </c>
      <c r="G8316">
        <v>833611</v>
      </c>
    </row>
    <row r="8317" spans="1:7">
      <c r="A8317" t="s">
        <v>1876</v>
      </c>
      <c r="B8317" t="s">
        <v>372</v>
      </c>
      <c r="C8317" t="s">
        <v>323</v>
      </c>
      <c r="D8317">
        <v>2948</v>
      </c>
      <c r="E8317">
        <v>2941</v>
      </c>
      <c r="F8317">
        <v>2942</v>
      </c>
      <c r="G8317">
        <v>2950</v>
      </c>
    </row>
    <row r="8318" spans="1:7">
      <c r="A8318" t="s">
        <v>1876</v>
      </c>
      <c r="B8318" t="s">
        <v>372</v>
      </c>
      <c r="C8318" t="s">
        <v>324</v>
      </c>
      <c r="D8318">
        <v>1105</v>
      </c>
      <c r="E8318">
        <v>0</v>
      </c>
      <c r="F8318">
        <v>0</v>
      </c>
      <c r="G8318">
        <v>0</v>
      </c>
    </row>
    <row r="8319" spans="1:7">
      <c r="A8319" t="s">
        <v>1876</v>
      </c>
      <c r="B8319" t="s">
        <v>372</v>
      </c>
      <c r="C8319" t="s">
        <v>325</v>
      </c>
      <c r="D8319">
        <v>0</v>
      </c>
      <c r="E8319">
        <v>0</v>
      </c>
      <c r="F8319">
        <v>0</v>
      </c>
      <c r="G8319">
        <v>0</v>
      </c>
    </row>
    <row r="8320" spans="1:7">
      <c r="A8320" t="s">
        <v>1876</v>
      </c>
      <c r="B8320" t="s">
        <v>372</v>
      </c>
      <c r="C8320" t="s">
        <v>326</v>
      </c>
      <c r="D8320">
        <v>195</v>
      </c>
      <c r="E8320">
        <v>198</v>
      </c>
      <c r="F8320">
        <v>166</v>
      </c>
      <c r="G8320">
        <v>223</v>
      </c>
    </row>
    <row r="8321" spans="1:7">
      <c r="A8321" t="s">
        <v>1876</v>
      </c>
      <c r="B8321" t="s">
        <v>372</v>
      </c>
      <c r="C8321" t="s">
        <v>327</v>
      </c>
      <c r="D8321">
        <v>0</v>
      </c>
      <c r="E8321">
        <v>0</v>
      </c>
      <c r="F8321">
        <v>0</v>
      </c>
      <c r="G8321">
        <v>0</v>
      </c>
    </row>
    <row r="8322" spans="1:7">
      <c r="A8322" t="s">
        <v>1876</v>
      </c>
      <c r="B8322" t="s">
        <v>372</v>
      </c>
      <c r="C8322" t="s">
        <v>1723</v>
      </c>
      <c r="D8322">
        <v>219</v>
      </c>
      <c r="E8322">
        <v>301</v>
      </c>
      <c r="F8322">
        <v>301</v>
      </c>
      <c r="G8322">
        <v>301</v>
      </c>
    </row>
    <row r="8323" spans="1:7">
      <c r="A8323" t="s">
        <v>1876</v>
      </c>
      <c r="B8323" t="s">
        <v>372</v>
      </c>
      <c r="C8323" t="s">
        <v>328</v>
      </c>
      <c r="D8323">
        <v>45015</v>
      </c>
      <c r="E8323">
        <v>45808</v>
      </c>
      <c r="F8323">
        <v>45946</v>
      </c>
      <c r="G8323">
        <v>42756</v>
      </c>
    </row>
    <row r="8324" spans="1:7">
      <c r="A8324" t="s">
        <v>1876</v>
      </c>
      <c r="B8324" t="s">
        <v>372</v>
      </c>
      <c r="C8324" t="s">
        <v>329</v>
      </c>
      <c r="D8324">
        <v>1012</v>
      </c>
      <c r="E8324">
        <v>1298</v>
      </c>
      <c r="F8324">
        <v>921</v>
      </c>
      <c r="G8324">
        <v>1163</v>
      </c>
    </row>
    <row r="8325" spans="1:7">
      <c r="A8325" t="s">
        <v>1876</v>
      </c>
      <c r="B8325" t="s">
        <v>372</v>
      </c>
      <c r="C8325" t="s">
        <v>330</v>
      </c>
      <c r="D8325">
        <v>46221</v>
      </c>
      <c r="E8325">
        <v>47304</v>
      </c>
      <c r="F8325">
        <v>47033</v>
      </c>
      <c r="G8325">
        <v>44141</v>
      </c>
    </row>
    <row r="8326" spans="1:7">
      <c r="A8326" t="s">
        <v>1876</v>
      </c>
      <c r="B8326" t="s">
        <v>372</v>
      </c>
      <c r="C8326" t="s">
        <v>331</v>
      </c>
      <c r="D8326">
        <v>0</v>
      </c>
      <c r="E8326">
        <v>0</v>
      </c>
      <c r="F8326">
        <v>0</v>
      </c>
      <c r="G8326">
        <v>0</v>
      </c>
    </row>
    <row r="8327" spans="1:7">
      <c r="A8327" t="s">
        <v>1876</v>
      </c>
      <c r="B8327" t="s">
        <v>372</v>
      </c>
      <c r="C8327" t="s">
        <v>332</v>
      </c>
      <c r="D8327">
        <v>112</v>
      </c>
      <c r="E8327">
        <v>99</v>
      </c>
      <c r="F8327">
        <v>83</v>
      </c>
      <c r="G8327">
        <v>79</v>
      </c>
    </row>
    <row r="8328" spans="1:7">
      <c r="A8328" t="s">
        <v>1876</v>
      </c>
      <c r="B8328" t="s">
        <v>372</v>
      </c>
      <c r="C8328" t="s">
        <v>1724</v>
      </c>
      <c r="D8328">
        <v>2</v>
      </c>
      <c r="E8328">
        <v>2</v>
      </c>
      <c r="F8328">
        <v>2</v>
      </c>
      <c r="G8328">
        <v>2</v>
      </c>
    </row>
    <row r="8329" spans="1:7">
      <c r="A8329" t="s">
        <v>1876</v>
      </c>
      <c r="B8329" t="s">
        <v>372</v>
      </c>
      <c r="C8329" t="s">
        <v>333</v>
      </c>
      <c r="D8329">
        <v>1239</v>
      </c>
      <c r="E8329">
        <v>930</v>
      </c>
      <c r="F8329">
        <v>917</v>
      </c>
      <c r="G8329">
        <v>842</v>
      </c>
    </row>
    <row r="8330" spans="1:7">
      <c r="A8330" t="s">
        <v>1876</v>
      </c>
      <c r="B8330" t="s">
        <v>372</v>
      </c>
      <c r="C8330" t="s">
        <v>334</v>
      </c>
      <c r="D8330">
        <v>1351</v>
      </c>
      <c r="E8330">
        <v>1029</v>
      </c>
      <c r="F8330">
        <v>1000</v>
      </c>
      <c r="G8330">
        <v>921</v>
      </c>
    </row>
    <row r="8331" spans="1:7">
      <c r="A8331" t="s">
        <v>1876</v>
      </c>
      <c r="B8331" t="s">
        <v>372</v>
      </c>
      <c r="C8331" t="s">
        <v>335</v>
      </c>
      <c r="D8331">
        <v>195</v>
      </c>
      <c r="E8331">
        <v>198</v>
      </c>
      <c r="F8331">
        <v>166</v>
      </c>
      <c r="G8331">
        <v>223</v>
      </c>
    </row>
    <row r="8332" spans="1:7">
      <c r="A8332" t="s">
        <v>1876</v>
      </c>
      <c r="B8332" t="s">
        <v>372</v>
      </c>
      <c r="C8332" t="s">
        <v>336</v>
      </c>
      <c r="D8332">
        <v>112</v>
      </c>
      <c r="E8332">
        <v>99</v>
      </c>
      <c r="F8332">
        <v>83</v>
      </c>
      <c r="G8332">
        <v>79</v>
      </c>
    </row>
    <row r="8333" spans="1:7">
      <c r="A8333" t="s">
        <v>1876</v>
      </c>
      <c r="B8333" t="s">
        <v>372</v>
      </c>
      <c r="C8333" t="s">
        <v>337</v>
      </c>
      <c r="D8333">
        <v>46254</v>
      </c>
      <c r="E8333">
        <v>46738</v>
      </c>
      <c r="F8333">
        <v>46862</v>
      </c>
      <c r="G8333">
        <v>43598</v>
      </c>
    </row>
    <row r="8334" spans="1:7">
      <c r="A8334" t="s">
        <v>1876</v>
      </c>
      <c r="B8334" t="s">
        <v>372</v>
      </c>
      <c r="C8334" t="s">
        <v>338</v>
      </c>
      <c r="D8334">
        <v>47572</v>
      </c>
      <c r="E8334">
        <v>48333</v>
      </c>
      <c r="F8334">
        <v>48033</v>
      </c>
      <c r="G8334">
        <v>45063</v>
      </c>
    </row>
    <row r="8335" spans="1:7">
      <c r="A8335" t="s">
        <v>1876</v>
      </c>
      <c r="B8335" t="s">
        <v>372</v>
      </c>
      <c r="C8335" t="s">
        <v>339</v>
      </c>
      <c r="D8335">
        <v>47461</v>
      </c>
      <c r="E8335">
        <v>48235</v>
      </c>
      <c r="F8335">
        <v>47949</v>
      </c>
      <c r="G8335">
        <v>44984</v>
      </c>
    </row>
    <row r="8336" spans="1:7">
      <c r="A8336" t="s">
        <v>1876</v>
      </c>
      <c r="B8336" t="s">
        <v>372</v>
      </c>
      <c r="C8336" t="s">
        <v>340</v>
      </c>
      <c r="D8336">
        <v>156</v>
      </c>
      <c r="E8336">
        <v>163</v>
      </c>
      <c r="F8336">
        <v>113</v>
      </c>
      <c r="G8336">
        <v>139</v>
      </c>
    </row>
    <row r="8337" spans="1:7">
      <c r="A8337" t="s">
        <v>1876</v>
      </c>
      <c r="B8337" t="s">
        <v>372</v>
      </c>
      <c r="C8337" t="s">
        <v>1955</v>
      </c>
      <c r="D8337">
        <v>0</v>
      </c>
      <c r="E8337">
        <v>0</v>
      </c>
      <c r="F8337">
        <v>0</v>
      </c>
      <c r="G8337">
        <v>25.9</v>
      </c>
    </row>
    <row r="8338" spans="1:7">
      <c r="A8338" t="s">
        <v>1876</v>
      </c>
      <c r="B8338" t="s">
        <v>372</v>
      </c>
      <c r="C8338" t="s">
        <v>341</v>
      </c>
      <c r="D8338">
        <v>0</v>
      </c>
      <c r="E8338">
        <v>0</v>
      </c>
      <c r="F8338">
        <v>0</v>
      </c>
      <c r="G8338">
        <v>0</v>
      </c>
    </row>
    <row r="8339" spans="1:7">
      <c r="A8339" t="s">
        <v>1876</v>
      </c>
      <c r="B8339" t="s">
        <v>372</v>
      </c>
      <c r="C8339" t="s">
        <v>342</v>
      </c>
      <c r="D8339">
        <v>0</v>
      </c>
      <c r="E8339">
        <v>0</v>
      </c>
      <c r="F8339">
        <v>0</v>
      </c>
      <c r="G8339">
        <v>1183</v>
      </c>
    </row>
    <row r="8340" spans="1:7">
      <c r="A8340" t="s">
        <v>1876</v>
      </c>
      <c r="B8340" t="s">
        <v>372</v>
      </c>
      <c r="C8340" t="s">
        <v>1725</v>
      </c>
      <c r="D8340">
        <v>0</v>
      </c>
      <c r="E8340">
        <v>0</v>
      </c>
      <c r="F8340">
        <v>0</v>
      </c>
      <c r="G8340">
        <v>185</v>
      </c>
    </row>
    <row r="8341" spans="1:7">
      <c r="A8341" t="s">
        <v>1876</v>
      </c>
      <c r="B8341" t="s">
        <v>372</v>
      </c>
      <c r="C8341" t="s">
        <v>343</v>
      </c>
      <c r="D8341">
        <v>0</v>
      </c>
      <c r="E8341">
        <v>0</v>
      </c>
      <c r="F8341">
        <v>0</v>
      </c>
      <c r="G8341">
        <v>0</v>
      </c>
    </row>
    <row r="8342" spans="1:7">
      <c r="A8342" t="s">
        <v>1876</v>
      </c>
      <c r="B8342" t="s">
        <v>372</v>
      </c>
      <c r="C8342" t="s">
        <v>344</v>
      </c>
      <c r="D8342">
        <v>0</v>
      </c>
      <c r="E8342">
        <v>0</v>
      </c>
      <c r="F8342">
        <v>0</v>
      </c>
      <c r="G8342">
        <v>1183</v>
      </c>
    </row>
    <row r="8343" spans="1:7">
      <c r="A8343" t="s">
        <v>1876</v>
      </c>
      <c r="B8343" t="s">
        <v>372</v>
      </c>
      <c r="C8343" t="s">
        <v>345</v>
      </c>
      <c r="D8343">
        <v>0</v>
      </c>
      <c r="E8343">
        <v>0</v>
      </c>
      <c r="F8343">
        <v>0</v>
      </c>
      <c r="G8343">
        <v>0</v>
      </c>
    </row>
    <row r="8344" spans="1:7">
      <c r="A8344" t="s">
        <v>1876</v>
      </c>
      <c r="B8344" t="s">
        <v>372</v>
      </c>
      <c r="C8344" t="s">
        <v>1956</v>
      </c>
      <c r="D8344">
        <v>112</v>
      </c>
      <c r="E8344">
        <v>99</v>
      </c>
      <c r="F8344">
        <v>83</v>
      </c>
      <c r="G8344">
        <v>79</v>
      </c>
    </row>
    <row r="8345" spans="1:7">
      <c r="A8345" t="s">
        <v>1876</v>
      </c>
      <c r="B8345" t="s">
        <v>372</v>
      </c>
      <c r="C8345" t="s">
        <v>1957</v>
      </c>
      <c r="D8345">
        <v>1351</v>
      </c>
      <c r="E8345">
        <v>1029</v>
      </c>
      <c r="F8345">
        <v>1000</v>
      </c>
      <c r="G8345">
        <v>921</v>
      </c>
    </row>
    <row r="8346" spans="1:7">
      <c r="A8346" t="s">
        <v>1876</v>
      </c>
      <c r="B8346" t="s">
        <v>372</v>
      </c>
      <c r="C8346" t="s">
        <v>346</v>
      </c>
      <c r="D8346">
        <v>2174</v>
      </c>
      <c r="E8346">
        <v>2337</v>
      </c>
      <c r="F8346">
        <v>2569</v>
      </c>
      <c r="G8346">
        <v>2577</v>
      </c>
    </row>
    <row r="8347" spans="1:7">
      <c r="A8347" t="s">
        <v>1876</v>
      </c>
      <c r="B8347" t="s">
        <v>372</v>
      </c>
      <c r="C8347" t="s">
        <v>347</v>
      </c>
      <c r="D8347">
        <v>2162</v>
      </c>
      <c r="E8347">
        <v>2355</v>
      </c>
      <c r="F8347">
        <v>1843</v>
      </c>
      <c r="G8347">
        <v>1952</v>
      </c>
    </row>
    <row r="8348" spans="1:7">
      <c r="A8348" t="s">
        <v>1876</v>
      </c>
      <c r="B8348" t="s">
        <v>373</v>
      </c>
      <c r="C8348" t="s">
        <v>133</v>
      </c>
      <c r="D8348">
        <v>-10</v>
      </c>
      <c r="E8348">
        <v>-8</v>
      </c>
      <c r="F8348">
        <v>-7</v>
      </c>
      <c r="G8348">
        <v>-12</v>
      </c>
    </row>
    <row r="8349" spans="1:7">
      <c r="A8349" t="s">
        <v>1876</v>
      </c>
      <c r="B8349" t="s">
        <v>373</v>
      </c>
      <c r="C8349" t="s">
        <v>134</v>
      </c>
      <c r="D8349">
        <v>10288</v>
      </c>
      <c r="E8349">
        <v>10101</v>
      </c>
      <c r="F8349">
        <v>9692</v>
      </c>
      <c r="G8349">
        <v>10237</v>
      </c>
    </row>
    <row r="8350" spans="1:7">
      <c r="A8350" t="s">
        <v>1876</v>
      </c>
      <c r="B8350" t="s">
        <v>373</v>
      </c>
      <c r="C8350" t="s">
        <v>135</v>
      </c>
      <c r="D8350">
        <v>10288</v>
      </c>
      <c r="E8350">
        <v>10101</v>
      </c>
      <c r="F8350">
        <v>9692</v>
      </c>
      <c r="G8350">
        <v>10237</v>
      </c>
    </row>
    <row r="8351" spans="1:7">
      <c r="A8351" t="s">
        <v>1876</v>
      </c>
      <c r="B8351" t="s">
        <v>373</v>
      </c>
      <c r="C8351" t="s">
        <v>136</v>
      </c>
      <c r="D8351">
        <v>10288</v>
      </c>
      <c r="E8351">
        <v>10101</v>
      </c>
      <c r="F8351">
        <v>9692</v>
      </c>
      <c r="G8351">
        <v>10237</v>
      </c>
    </row>
    <row r="8352" spans="1:7">
      <c r="A8352" t="s">
        <v>1876</v>
      </c>
      <c r="B8352" t="s">
        <v>373</v>
      </c>
      <c r="C8352" t="s">
        <v>137</v>
      </c>
      <c r="D8352">
        <v>241</v>
      </c>
      <c r="E8352">
        <v>249</v>
      </c>
      <c r="F8352">
        <v>236</v>
      </c>
      <c r="G8352">
        <v>254</v>
      </c>
    </row>
    <row r="8353" spans="1:7">
      <c r="A8353" t="s">
        <v>1876</v>
      </c>
      <c r="B8353" t="s">
        <v>373</v>
      </c>
      <c r="C8353" t="s">
        <v>138</v>
      </c>
      <c r="D8353">
        <v>241</v>
      </c>
      <c r="E8353">
        <v>249</v>
      </c>
      <c r="F8353">
        <v>236</v>
      </c>
      <c r="G8353">
        <v>254</v>
      </c>
    </row>
    <row r="8354" spans="1:7">
      <c r="A8354" t="s">
        <v>1876</v>
      </c>
      <c r="B8354" t="s">
        <v>373</v>
      </c>
      <c r="C8354" t="s">
        <v>139</v>
      </c>
      <c r="D8354">
        <v>241</v>
      </c>
      <c r="E8354">
        <v>249</v>
      </c>
      <c r="F8354">
        <v>236</v>
      </c>
      <c r="G8354">
        <v>254</v>
      </c>
    </row>
    <row r="8355" spans="1:7">
      <c r="A8355" t="s">
        <v>1876</v>
      </c>
      <c r="B8355" t="s">
        <v>373</v>
      </c>
      <c r="C8355" t="s">
        <v>1877</v>
      </c>
      <c r="D8355">
        <v>0</v>
      </c>
      <c r="E8355">
        <v>0</v>
      </c>
      <c r="F8355">
        <v>0</v>
      </c>
      <c r="G8355">
        <v>0</v>
      </c>
    </row>
    <row r="8356" spans="1:7">
      <c r="A8356" t="s">
        <v>1876</v>
      </c>
      <c r="B8356" t="s">
        <v>373</v>
      </c>
      <c r="C8356" t="s">
        <v>1700</v>
      </c>
      <c r="D8356">
        <v>0</v>
      </c>
      <c r="E8356">
        <v>0</v>
      </c>
      <c r="F8356">
        <v>0</v>
      </c>
      <c r="G8356">
        <v>0</v>
      </c>
    </row>
    <row r="8357" spans="1:7">
      <c r="A8357" t="s">
        <v>1876</v>
      </c>
      <c r="B8357" t="s">
        <v>373</v>
      </c>
      <c r="C8357" t="s">
        <v>1878</v>
      </c>
      <c r="D8357">
        <v>0</v>
      </c>
      <c r="E8357">
        <v>0</v>
      </c>
      <c r="F8357">
        <v>0</v>
      </c>
      <c r="G8357">
        <v>0</v>
      </c>
    </row>
    <row r="8358" spans="1:7">
      <c r="A8358" t="s">
        <v>1876</v>
      </c>
      <c r="B8358" t="s">
        <v>373</v>
      </c>
      <c r="C8358" t="s">
        <v>1879</v>
      </c>
      <c r="D8358">
        <v>0</v>
      </c>
      <c r="E8358">
        <v>0</v>
      </c>
      <c r="F8358">
        <v>0</v>
      </c>
      <c r="G8358">
        <v>0</v>
      </c>
    </row>
    <row r="8359" spans="1:7">
      <c r="A8359" t="s">
        <v>1876</v>
      </c>
      <c r="B8359" t="s">
        <v>373</v>
      </c>
      <c r="C8359" t="s">
        <v>1701</v>
      </c>
      <c r="D8359">
        <v>0</v>
      </c>
      <c r="E8359">
        <v>0</v>
      </c>
      <c r="F8359">
        <v>0</v>
      </c>
      <c r="G8359">
        <v>0</v>
      </c>
    </row>
    <row r="8360" spans="1:7">
      <c r="A8360" t="s">
        <v>1876</v>
      </c>
      <c r="B8360" t="s">
        <v>373</v>
      </c>
      <c r="C8360" t="s">
        <v>1880</v>
      </c>
      <c r="D8360">
        <v>11</v>
      </c>
      <c r="E8360">
        <v>3</v>
      </c>
      <c r="F8360">
        <v>8</v>
      </c>
      <c r="G8360">
        <v>5</v>
      </c>
    </row>
    <row r="8361" spans="1:7">
      <c r="A8361" t="s">
        <v>1876</v>
      </c>
      <c r="B8361" t="s">
        <v>373</v>
      </c>
      <c r="C8361" t="s">
        <v>140</v>
      </c>
      <c r="D8361">
        <v>26</v>
      </c>
      <c r="E8361">
        <v>8</v>
      </c>
      <c r="F8361">
        <v>21</v>
      </c>
      <c r="G8361">
        <v>13</v>
      </c>
    </row>
    <row r="8362" spans="1:7">
      <c r="A8362" t="s">
        <v>1876</v>
      </c>
      <c r="B8362" t="s">
        <v>373</v>
      </c>
      <c r="C8362" t="s">
        <v>1881</v>
      </c>
      <c r="D8362">
        <v>15</v>
      </c>
      <c r="E8362">
        <v>5</v>
      </c>
      <c r="F8362">
        <v>13</v>
      </c>
      <c r="G8362">
        <v>8</v>
      </c>
    </row>
    <row r="8363" spans="1:7">
      <c r="A8363" t="s">
        <v>1876</v>
      </c>
      <c r="B8363" t="s">
        <v>373</v>
      </c>
      <c r="C8363" t="s">
        <v>1882</v>
      </c>
      <c r="D8363">
        <v>0</v>
      </c>
      <c r="E8363">
        <v>0</v>
      </c>
      <c r="F8363">
        <v>0</v>
      </c>
      <c r="G8363">
        <v>0</v>
      </c>
    </row>
    <row r="8364" spans="1:7">
      <c r="A8364" t="s">
        <v>1876</v>
      </c>
      <c r="B8364" t="s">
        <v>373</v>
      </c>
      <c r="C8364" t="s">
        <v>1883</v>
      </c>
      <c r="D8364">
        <v>0</v>
      </c>
      <c r="E8364">
        <v>0</v>
      </c>
      <c r="F8364">
        <v>0</v>
      </c>
      <c r="G8364">
        <v>0</v>
      </c>
    </row>
    <row r="8365" spans="1:7">
      <c r="A8365" t="s">
        <v>1876</v>
      </c>
      <c r="B8365" t="s">
        <v>373</v>
      </c>
      <c r="C8365" t="s">
        <v>1884</v>
      </c>
      <c r="D8365">
        <v>0</v>
      </c>
      <c r="E8365">
        <v>0</v>
      </c>
      <c r="F8365">
        <v>0</v>
      </c>
      <c r="G8365">
        <v>0</v>
      </c>
    </row>
    <row r="8366" spans="1:7">
      <c r="A8366" t="s">
        <v>1876</v>
      </c>
      <c r="B8366" t="s">
        <v>373</v>
      </c>
      <c r="C8366" t="s">
        <v>1885</v>
      </c>
      <c r="D8366">
        <v>0</v>
      </c>
      <c r="E8366">
        <v>0</v>
      </c>
      <c r="F8366">
        <v>0</v>
      </c>
      <c r="G8366">
        <v>0</v>
      </c>
    </row>
    <row r="8367" spans="1:7">
      <c r="A8367" t="s">
        <v>1876</v>
      </c>
      <c r="B8367" t="s">
        <v>373</v>
      </c>
      <c r="C8367" t="s">
        <v>1886</v>
      </c>
      <c r="D8367">
        <v>0</v>
      </c>
      <c r="E8367">
        <v>0</v>
      </c>
      <c r="F8367">
        <v>0</v>
      </c>
      <c r="G8367">
        <v>0</v>
      </c>
    </row>
    <row r="8368" spans="1:7">
      <c r="A8368" t="s">
        <v>1876</v>
      </c>
      <c r="B8368" t="s">
        <v>373</v>
      </c>
      <c r="C8368" t="s">
        <v>141</v>
      </c>
      <c r="D8368">
        <v>0</v>
      </c>
      <c r="E8368">
        <v>0</v>
      </c>
      <c r="F8368">
        <v>0</v>
      </c>
      <c r="G8368">
        <v>0</v>
      </c>
    </row>
    <row r="8369" spans="1:7">
      <c r="A8369" t="s">
        <v>1876</v>
      </c>
      <c r="B8369" t="s">
        <v>373</v>
      </c>
      <c r="C8369" t="s">
        <v>1887</v>
      </c>
      <c r="D8369">
        <v>0</v>
      </c>
      <c r="E8369">
        <v>0</v>
      </c>
      <c r="F8369">
        <v>0</v>
      </c>
      <c r="G8369">
        <v>0</v>
      </c>
    </row>
    <row r="8370" spans="1:7">
      <c r="A8370" t="s">
        <v>1876</v>
      </c>
      <c r="B8370" t="s">
        <v>373</v>
      </c>
      <c r="C8370" t="s">
        <v>1888</v>
      </c>
      <c r="D8370">
        <v>0</v>
      </c>
      <c r="E8370">
        <v>0</v>
      </c>
      <c r="F8370">
        <v>0</v>
      </c>
      <c r="G8370">
        <v>0</v>
      </c>
    </row>
    <row r="8371" spans="1:7">
      <c r="A8371" t="s">
        <v>1876</v>
      </c>
      <c r="B8371" t="s">
        <v>373</v>
      </c>
      <c r="C8371" t="s">
        <v>1889</v>
      </c>
      <c r="D8371">
        <v>11</v>
      </c>
      <c r="E8371">
        <v>3</v>
      </c>
      <c r="F8371">
        <v>8</v>
      </c>
      <c r="G8371">
        <v>5</v>
      </c>
    </row>
    <row r="8372" spans="1:7">
      <c r="A8372" t="s">
        <v>1876</v>
      </c>
      <c r="B8372" t="s">
        <v>373</v>
      </c>
      <c r="C8372" t="s">
        <v>1890</v>
      </c>
      <c r="D8372">
        <v>0</v>
      </c>
      <c r="E8372">
        <v>0</v>
      </c>
      <c r="F8372">
        <v>0</v>
      </c>
      <c r="G8372">
        <v>0</v>
      </c>
    </row>
    <row r="8373" spans="1:7">
      <c r="A8373" t="s">
        <v>1876</v>
      </c>
      <c r="B8373" t="s">
        <v>373</v>
      </c>
      <c r="C8373" t="s">
        <v>1891</v>
      </c>
    </row>
    <row r="8374" spans="1:7">
      <c r="A8374" t="s">
        <v>1876</v>
      </c>
      <c r="B8374" t="s">
        <v>373</v>
      </c>
      <c r="C8374" t="s">
        <v>1892</v>
      </c>
      <c r="D8374">
        <v>15</v>
      </c>
      <c r="E8374">
        <v>5</v>
      </c>
      <c r="F8374">
        <v>13</v>
      </c>
      <c r="G8374">
        <v>8</v>
      </c>
    </row>
    <row r="8375" spans="1:7">
      <c r="A8375" t="s">
        <v>1876</v>
      </c>
      <c r="B8375" t="s">
        <v>373</v>
      </c>
      <c r="C8375" t="s">
        <v>142</v>
      </c>
      <c r="D8375">
        <v>26</v>
      </c>
      <c r="E8375">
        <v>8</v>
      </c>
      <c r="F8375">
        <v>21</v>
      </c>
      <c r="G8375">
        <v>13</v>
      </c>
    </row>
    <row r="8376" spans="1:7">
      <c r="A8376" t="s">
        <v>1876</v>
      </c>
      <c r="B8376" t="s">
        <v>373</v>
      </c>
      <c r="C8376" t="s">
        <v>1893</v>
      </c>
      <c r="D8376">
        <v>26</v>
      </c>
      <c r="E8376">
        <v>8</v>
      </c>
      <c r="F8376">
        <v>21</v>
      </c>
      <c r="G8376">
        <v>13</v>
      </c>
    </row>
    <row r="8377" spans="1:7">
      <c r="A8377" t="s">
        <v>1876</v>
      </c>
      <c r="B8377" t="s">
        <v>373</v>
      </c>
      <c r="C8377" t="s">
        <v>1894</v>
      </c>
      <c r="D8377">
        <v>15</v>
      </c>
      <c r="E8377">
        <v>5</v>
      </c>
      <c r="F8377">
        <v>13</v>
      </c>
      <c r="G8377">
        <v>8</v>
      </c>
    </row>
    <row r="8378" spans="1:7">
      <c r="A8378" t="s">
        <v>1876</v>
      </c>
      <c r="B8378" t="s">
        <v>373</v>
      </c>
      <c r="C8378" t="s">
        <v>143</v>
      </c>
      <c r="D8378">
        <v>0</v>
      </c>
      <c r="E8378">
        <v>0</v>
      </c>
      <c r="F8378">
        <v>0</v>
      </c>
      <c r="G8378">
        <v>0</v>
      </c>
    </row>
    <row r="8379" spans="1:7">
      <c r="A8379" t="s">
        <v>1876</v>
      </c>
      <c r="B8379" t="s">
        <v>373</v>
      </c>
      <c r="C8379" t="s">
        <v>144</v>
      </c>
      <c r="D8379">
        <v>4631</v>
      </c>
      <c r="E8379">
        <v>4271</v>
      </c>
      <c r="F8379">
        <v>4103</v>
      </c>
      <c r="G8379">
        <v>4084</v>
      </c>
    </row>
    <row r="8380" spans="1:7">
      <c r="A8380" t="s">
        <v>1876</v>
      </c>
      <c r="B8380" t="s">
        <v>373</v>
      </c>
      <c r="C8380" t="s">
        <v>1895</v>
      </c>
      <c r="D8380">
        <v>80.099999999999994</v>
      </c>
      <c r="E8380">
        <v>69.400000000000006</v>
      </c>
      <c r="F8380">
        <v>63.6</v>
      </c>
      <c r="G8380">
        <v>64.2</v>
      </c>
    </row>
    <row r="8381" spans="1:7">
      <c r="A8381" t="s">
        <v>1876</v>
      </c>
      <c r="B8381" t="s">
        <v>373</v>
      </c>
      <c r="C8381" t="s">
        <v>145</v>
      </c>
      <c r="D8381">
        <v>12290</v>
      </c>
      <c r="E8381">
        <v>12816</v>
      </c>
      <c r="F8381">
        <v>11757</v>
      </c>
      <c r="G8381">
        <v>11436</v>
      </c>
    </row>
    <row r="8382" spans="1:7">
      <c r="A8382" t="s">
        <v>1876</v>
      </c>
      <c r="B8382" t="s">
        <v>373</v>
      </c>
      <c r="C8382" t="s">
        <v>146</v>
      </c>
      <c r="D8382">
        <v>0</v>
      </c>
      <c r="E8382">
        <v>0</v>
      </c>
      <c r="F8382">
        <v>0</v>
      </c>
      <c r="G8382">
        <v>0</v>
      </c>
    </row>
    <row r="8383" spans="1:7">
      <c r="A8383" t="s">
        <v>1876</v>
      </c>
      <c r="B8383" t="s">
        <v>373</v>
      </c>
      <c r="C8383" t="s">
        <v>147</v>
      </c>
      <c r="D8383">
        <v>0</v>
      </c>
      <c r="E8383">
        <v>0</v>
      </c>
      <c r="F8383">
        <v>0</v>
      </c>
      <c r="G8383">
        <v>0</v>
      </c>
    </row>
    <row r="8384" spans="1:7">
      <c r="A8384" t="s">
        <v>1876</v>
      </c>
      <c r="B8384" t="s">
        <v>373</v>
      </c>
      <c r="C8384" t="s">
        <v>1896</v>
      </c>
      <c r="D8384">
        <v>0</v>
      </c>
      <c r="E8384">
        <v>0</v>
      </c>
      <c r="F8384">
        <v>0</v>
      </c>
      <c r="G8384">
        <v>0</v>
      </c>
    </row>
    <row r="8385" spans="1:7">
      <c r="A8385" t="s">
        <v>1876</v>
      </c>
      <c r="B8385" t="s">
        <v>373</v>
      </c>
      <c r="C8385" t="s">
        <v>1702</v>
      </c>
      <c r="D8385">
        <v>0</v>
      </c>
      <c r="E8385">
        <v>0</v>
      </c>
      <c r="F8385">
        <v>0</v>
      </c>
      <c r="G8385">
        <v>0</v>
      </c>
    </row>
    <row r="8386" spans="1:7">
      <c r="A8386" t="s">
        <v>1876</v>
      </c>
      <c r="B8386" t="s">
        <v>373</v>
      </c>
      <c r="C8386" t="s">
        <v>1897</v>
      </c>
      <c r="D8386">
        <v>1.5</v>
      </c>
      <c r="E8386">
        <v>2.8</v>
      </c>
      <c r="F8386">
        <v>4.4000000000000004</v>
      </c>
      <c r="G8386">
        <v>5.4</v>
      </c>
    </row>
    <row r="8387" spans="1:7">
      <c r="A8387" t="s">
        <v>1876</v>
      </c>
      <c r="B8387" t="s">
        <v>373</v>
      </c>
      <c r="C8387" t="s">
        <v>1898</v>
      </c>
      <c r="D8387">
        <v>3</v>
      </c>
      <c r="E8387">
        <v>6</v>
      </c>
      <c r="F8387">
        <v>17</v>
      </c>
      <c r="G8387">
        <v>28</v>
      </c>
    </row>
    <row r="8388" spans="1:7">
      <c r="A8388" t="s">
        <v>1876</v>
      </c>
      <c r="B8388" t="s">
        <v>373</v>
      </c>
      <c r="C8388" t="s">
        <v>1899</v>
      </c>
      <c r="D8388">
        <v>15</v>
      </c>
      <c r="E8388">
        <v>5</v>
      </c>
      <c r="F8388">
        <v>13</v>
      </c>
      <c r="G8388">
        <v>8</v>
      </c>
    </row>
    <row r="8389" spans="1:7">
      <c r="A8389" t="s">
        <v>1876</v>
      </c>
      <c r="B8389" t="s">
        <v>373</v>
      </c>
      <c r="C8389" t="s">
        <v>148</v>
      </c>
      <c r="D8389">
        <v>0</v>
      </c>
      <c r="E8389">
        <v>0</v>
      </c>
      <c r="F8389">
        <v>0</v>
      </c>
      <c r="G8389">
        <v>0</v>
      </c>
    </row>
    <row r="8390" spans="1:7">
      <c r="A8390" t="s">
        <v>1876</v>
      </c>
      <c r="B8390" t="s">
        <v>373</v>
      </c>
      <c r="C8390" t="s">
        <v>149</v>
      </c>
      <c r="D8390">
        <v>0</v>
      </c>
      <c r="E8390">
        <v>0</v>
      </c>
      <c r="F8390">
        <v>0</v>
      </c>
      <c r="G8390">
        <v>0</v>
      </c>
    </row>
    <row r="8391" spans="1:7">
      <c r="A8391" t="s">
        <v>1876</v>
      </c>
      <c r="B8391" t="s">
        <v>373</v>
      </c>
      <c r="C8391" t="s">
        <v>150</v>
      </c>
      <c r="D8391">
        <v>0</v>
      </c>
      <c r="E8391">
        <v>0</v>
      </c>
      <c r="F8391">
        <v>0</v>
      </c>
      <c r="G8391">
        <v>0</v>
      </c>
    </row>
    <row r="8392" spans="1:7">
      <c r="A8392" t="s">
        <v>1876</v>
      </c>
      <c r="B8392" t="s">
        <v>373</v>
      </c>
      <c r="C8392" t="s">
        <v>1900</v>
      </c>
      <c r="D8392">
        <v>75.7</v>
      </c>
      <c r="E8392">
        <v>81.7</v>
      </c>
      <c r="F8392">
        <v>81.2</v>
      </c>
      <c r="G8392">
        <v>68.599999999999994</v>
      </c>
    </row>
    <row r="8393" spans="1:7">
      <c r="A8393" t="s">
        <v>1876</v>
      </c>
      <c r="B8393" t="s">
        <v>373</v>
      </c>
      <c r="C8393" t="s">
        <v>151</v>
      </c>
      <c r="D8393">
        <v>30</v>
      </c>
      <c r="E8393">
        <v>39</v>
      </c>
      <c r="F8393">
        <v>9</v>
      </c>
      <c r="G8393">
        <v>20</v>
      </c>
    </row>
    <row r="8394" spans="1:7">
      <c r="A8394" t="s">
        <v>1876</v>
      </c>
      <c r="B8394" t="s">
        <v>373</v>
      </c>
      <c r="C8394" t="s">
        <v>152</v>
      </c>
      <c r="D8394">
        <v>118554</v>
      </c>
      <c r="E8394">
        <v>126765</v>
      </c>
      <c r="F8394">
        <v>126669</v>
      </c>
      <c r="G8394">
        <v>108396</v>
      </c>
    </row>
    <row r="8395" spans="1:7">
      <c r="A8395" t="s">
        <v>1876</v>
      </c>
      <c r="B8395" t="s">
        <v>373</v>
      </c>
      <c r="C8395" t="s">
        <v>1703</v>
      </c>
      <c r="D8395">
        <v>1631</v>
      </c>
      <c r="E8395">
        <v>1631</v>
      </c>
      <c r="F8395">
        <v>1627</v>
      </c>
      <c r="G8395">
        <v>1627</v>
      </c>
    </row>
    <row r="8396" spans="1:7">
      <c r="A8396" t="s">
        <v>1876</v>
      </c>
      <c r="B8396" t="s">
        <v>373</v>
      </c>
      <c r="C8396" t="s">
        <v>153</v>
      </c>
      <c r="D8396">
        <v>4181</v>
      </c>
      <c r="E8396">
        <v>4541</v>
      </c>
      <c r="F8396">
        <v>3381</v>
      </c>
      <c r="G8396">
        <v>3024</v>
      </c>
    </row>
    <row r="8397" spans="1:7">
      <c r="A8397" t="s">
        <v>1876</v>
      </c>
      <c r="B8397" t="s">
        <v>373</v>
      </c>
      <c r="C8397" t="s">
        <v>154</v>
      </c>
      <c r="D8397">
        <v>0</v>
      </c>
      <c r="E8397">
        <v>0</v>
      </c>
      <c r="F8397">
        <v>0</v>
      </c>
      <c r="G8397">
        <v>0</v>
      </c>
    </row>
    <row r="8398" spans="1:7">
      <c r="A8398" t="s">
        <v>1876</v>
      </c>
      <c r="B8398" t="s">
        <v>373</v>
      </c>
      <c r="C8398" t="s">
        <v>155</v>
      </c>
      <c r="D8398">
        <v>4181</v>
      </c>
      <c r="E8398">
        <v>4541</v>
      </c>
      <c r="F8398">
        <v>3381</v>
      </c>
      <c r="G8398">
        <v>3024</v>
      </c>
    </row>
    <row r="8399" spans="1:7">
      <c r="A8399" t="s">
        <v>1876</v>
      </c>
      <c r="B8399" t="s">
        <v>373</v>
      </c>
      <c r="C8399" t="s">
        <v>156</v>
      </c>
      <c r="D8399">
        <v>0</v>
      </c>
      <c r="E8399">
        <v>0</v>
      </c>
      <c r="F8399">
        <v>0</v>
      </c>
      <c r="G8399">
        <v>0</v>
      </c>
    </row>
    <row r="8400" spans="1:7">
      <c r="A8400" t="s">
        <v>1876</v>
      </c>
      <c r="B8400" t="s">
        <v>373</v>
      </c>
      <c r="C8400" t="s">
        <v>157</v>
      </c>
      <c r="D8400">
        <v>122765</v>
      </c>
      <c r="E8400">
        <v>131345</v>
      </c>
      <c r="F8400">
        <v>130059</v>
      </c>
      <c r="G8400">
        <v>111439</v>
      </c>
    </row>
    <row r="8401" spans="1:7">
      <c r="A8401" t="s">
        <v>1876</v>
      </c>
      <c r="B8401" t="s">
        <v>373</v>
      </c>
      <c r="C8401" t="s">
        <v>158</v>
      </c>
      <c r="D8401">
        <v>4211</v>
      </c>
      <c r="E8401">
        <v>4580</v>
      </c>
      <c r="F8401">
        <v>3390</v>
      </c>
      <c r="G8401">
        <v>3044</v>
      </c>
    </row>
    <row r="8402" spans="1:7">
      <c r="A8402" t="s">
        <v>1876</v>
      </c>
      <c r="B8402" t="s">
        <v>373</v>
      </c>
      <c r="C8402" t="s">
        <v>159</v>
      </c>
      <c r="D8402">
        <v>0</v>
      </c>
      <c r="E8402">
        <v>0</v>
      </c>
      <c r="F8402">
        <v>0</v>
      </c>
      <c r="G8402">
        <v>0</v>
      </c>
    </row>
    <row r="8403" spans="1:7">
      <c r="A8403" t="s">
        <v>1876</v>
      </c>
      <c r="B8403" t="s">
        <v>373</v>
      </c>
      <c r="C8403" t="s">
        <v>1901</v>
      </c>
      <c r="D8403">
        <v>0</v>
      </c>
      <c r="E8403">
        <v>0</v>
      </c>
      <c r="F8403">
        <v>0</v>
      </c>
      <c r="G8403">
        <v>0</v>
      </c>
    </row>
    <row r="8404" spans="1:7">
      <c r="A8404" t="s">
        <v>1876</v>
      </c>
      <c r="B8404" t="s">
        <v>373</v>
      </c>
      <c r="C8404" t="s">
        <v>1902</v>
      </c>
      <c r="D8404">
        <v>42914</v>
      </c>
      <c r="E8404">
        <v>42386</v>
      </c>
      <c r="F8404">
        <v>40865</v>
      </c>
      <c r="G8404">
        <v>39974</v>
      </c>
    </row>
    <row r="8405" spans="1:7">
      <c r="A8405" t="s">
        <v>1876</v>
      </c>
      <c r="B8405" t="s">
        <v>373</v>
      </c>
      <c r="C8405" t="s">
        <v>1903</v>
      </c>
      <c r="D8405">
        <v>568</v>
      </c>
      <c r="E8405">
        <v>576</v>
      </c>
      <c r="F8405">
        <v>582</v>
      </c>
      <c r="G8405">
        <v>557</v>
      </c>
    </row>
    <row r="8406" spans="1:7">
      <c r="A8406" t="s">
        <v>1876</v>
      </c>
      <c r="B8406" t="s">
        <v>373</v>
      </c>
      <c r="C8406" t="s">
        <v>1904</v>
      </c>
      <c r="D8406">
        <v>102</v>
      </c>
      <c r="E8406">
        <v>131</v>
      </c>
      <c r="F8406">
        <v>104</v>
      </c>
      <c r="G8406">
        <v>217</v>
      </c>
    </row>
    <row r="8407" spans="1:7">
      <c r="A8407" t="s">
        <v>1876</v>
      </c>
      <c r="B8407" t="s">
        <v>373</v>
      </c>
      <c r="C8407" t="s">
        <v>1905</v>
      </c>
      <c r="D8407">
        <v>9034</v>
      </c>
      <c r="E8407">
        <v>9133</v>
      </c>
      <c r="F8407">
        <v>8914</v>
      </c>
      <c r="G8407">
        <v>8650</v>
      </c>
    </row>
    <row r="8408" spans="1:7">
      <c r="A8408" t="s">
        <v>1876</v>
      </c>
      <c r="B8408" t="s">
        <v>373</v>
      </c>
      <c r="C8408" t="s">
        <v>1906</v>
      </c>
      <c r="D8408">
        <v>433</v>
      </c>
      <c r="E8408">
        <v>445</v>
      </c>
      <c r="F8408">
        <v>449</v>
      </c>
      <c r="G8408">
        <v>421</v>
      </c>
    </row>
    <row r="8409" spans="1:7">
      <c r="A8409" t="s">
        <v>1876</v>
      </c>
      <c r="B8409" t="s">
        <v>373</v>
      </c>
      <c r="C8409" t="s">
        <v>1907</v>
      </c>
      <c r="D8409">
        <v>53051</v>
      </c>
      <c r="E8409">
        <v>52671</v>
      </c>
      <c r="F8409">
        <v>50914</v>
      </c>
      <c r="G8409">
        <v>49819</v>
      </c>
    </row>
    <row r="8410" spans="1:7">
      <c r="A8410" t="s">
        <v>1876</v>
      </c>
      <c r="B8410" t="s">
        <v>373</v>
      </c>
      <c r="C8410" t="s">
        <v>160</v>
      </c>
      <c r="D8410">
        <v>42899</v>
      </c>
      <c r="E8410">
        <v>42381</v>
      </c>
      <c r="F8410">
        <v>40851</v>
      </c>
      <c r="G8410">
        <v>39965</v>
      </c>
    </row>
    <row r="8411" spans="1:7">
      <c r="A8411" t="s">
        <v>1876</v>
      </c>
      <c r="B8411" t="s">
        <v>373</v>
      </c>
      <c r="C8411" t="s">
        <v>161</v>
      </c>
      <c r="D8411">
        <v>568</v>
      </c>
      <c r="E8411">
        <v>576</v>
      </c>
      <c r="F8411">
        <v>582</v>
      </c>
      <c r="G8411">
        <v>557</v>
      </c>
    </row>
    <row r="8412" spans="1:7">
      <c r="A8412" t="s">
        <v>1876</v>
      </c>
      <c r="B8412" t="s">
        <v>373</v>
      </c>
      <c r="C8412" t="s">
        <v>162</v>
      </c>
      <c r="D8412">
        <v>102</v>
      </c>
      <c r="E8412">
        <v>131</v>
      </c>
      <c r="F8412">
        <v>104</v>
      </c>
      <c r="G8412">
        <v>217</v>
      </c>
    </row>
    <row r="8413" spans="1:7">
      <c r="A8413" t="s">
        <v>1876</v>
      </c>
      <c r="B8413" t="s">
        <v>373</v>
      </c>
      <c r="C8413" t="s">
        <v>163</v>
      </c>
      <c r="D8413">
        <v>9034</v>
      </c>
      <c r="E8413">
        <v>9133</v>
      </c>
      <c r="F8413">
        <v>8914</v>
      </c>
      <c r="G8413">
        <v>8650</v>
      </c>
    </row>
    <row r="8414" spans="1:7">
      <c r="A8414" t="s">
        <v>1876</v>
      </c>
      <c r="B8414" t="s">
        <v>373</v>
      </c>
      <c r="C8414" t="s">
        <v>164</v>
      </c>
      <c r="D8414">
        <v>433</v>
      </c>
      <c r="E8414">
        <v>445</v>
      </c>
      <c r="F8414">
        <v>449</v>
      </c>
      <c r="G8414">
        <v>421</v>
      </c>
    </row>
    <row r="8415" spans="1:7">
      <c r="A8415" t="s">
        <v>1876</v>
      </c>
      <c r="B8415" t="s">
        <v>373</v>
      </c>
      <c r="C8415" t="s">
        <v>165</v>
      </c>
      <c r="D8415">
        <v>53036</v>
      </c>
      <c r="E8415">
        <v>52666</v>
      </c>
      <c r="F8415">
        <v>50901</v>
      </c>
      <c r="G8415">
        <v>49811</v>
      </c>
    </row>
    <row r="8416" spans="1:7">
      <c r="A8416" t="s">
        <v>1876</v>
      </c>
      <c r="B8416" t="s">
        <v>373</v>
      </c>
      <c r="C8416" t="s">
        <v>166</v>
      </c>
      <c r="D8416">
        <v>52934</v>
      </c>
      <c r="E8416">
        <v>52535</v>
      </c>
      <c r="F8416">
        <v>50797</v>
      </c>
      <c r="G8416">
        <v>49594</v>
      </c>
    </row>
    <row r="8417" spans="1:7">
      <c r="A8417" t="s">
        <v>1876</v>
      </c>
      <c r="B8417" t="s">
        <v>373</v>
      </c>
      <c r="C8417" t="s">
        <v>167</v>
      </c>
      <c r="D8417">
        <v>102</v>
      </c>
      <c r="E8417">
        <v>131</v>
      </c>
      <c r="F8417">
        <v>104</v>
      </c>
      <c r="G8417">
        <v>217</v>
      </c>
    </row>
    <row r="8418" spans="1:7">
      <c r="A8418" t="s">
        <v>1876</v>
      </c>
      <c r="B8418" t="s">
        <v>373</v>
      </c>
      <c r="C8418" t="s">
        <v>1908</v>
      </c>
      <c r="D8418">
        <v>42888</v>
      </c>
      <c r="E8418">
        <v>42378</v>
      </c>
      <c r="F8418">
        <v>40844</v>
      </c>
      <c r="G8418">
        <v>39961</v>
      </c>
    </row>
    <row r="8419" spans="1:7">
      <c r="A8419" t="s">
        <v>1876</v>
      </c>
      <c r="B8419" t="s">
        <v>373</v>
      </c>
      <c r="C8419" t="s">
        <v>1909</v>
      </c>
      <c r="D8419">
        <v>568</v>
      </c>
      <c r="E8419">
        <v>576</v>
      </c>
      <c r="F8419">
        <v>582</v>
      </c>
      <c r="G8419">
        <v>557</v>
      </c>
    </row>
    <row r="8420" spans="1:7">
      <c r="A8420" t="s">
        <v>1876</v>
      </c>
      <c r="B8420" t="s">
        <v>373</v>
      </c>
      <c r="C8420" t="s">
        <v>1910</v>
      </c>
      <c r="D8420">
        <v>102</v>
      </c>
      <c r="E8420">
        <v>131</v>
      </c>
      <c r="F8420">
        <v>104</v>
      </c>
      <c r="G8420">
        <v>217</v>
      </c>
    </row>
    <row r="8421" spans="1:7">
      <c r="A8421" t="s">
        <v>1876</v>
      </c>
      <c r="B8421" t="s">
        <v>373</v>
      </c>
      <c r="C8421" t="s">
        <v>1911</v>
      </c>
      <c r="D8421">
        <v>9034</v>
      </c>
      <c r="E8421">
        <v>9133</v>
      </c>
      <c r="F8421">
        <v>8914</v>
      </c>
      <c r="G8421">
        <v>8650</v>
      </c>
    </row>
    <row r="8422" spans="1:7">
      <c r="A8422" t="s">
        <v>1876</v>
      </c>
      <c r="B8422" t="s">
        <v>373</v>
      </c>
      <c r="C8422" t="s">
        <v>1912</v>
      </c>
      <c r="D8422">
        <v>433</v>
      </c>
      <c r="E8422">
        <v>445</v>
      </c>
      <c r="F8422">
        <v>449</v>
      </c>
      <c r="G8422">
        <v>421</v>
      </c>
    </row>
    <row r="8423" spans="1:7">
      <c r="A8423" t="s">
        <v>1876</v>
      </c>
      <c r="B8423" t="s">
        <v>373</v>
      </c>
      <c r="C8423" t="s">
        <v>168</v>
      </c>
      <c r="D8423">
        <v>53025</v>
      </c>
      <c r="E8423">
        <v>52663</v>
      </c>
      <c r="F8423">
        <v>50893</v>
      </c>
      <c r="G8423">
        <v>49806</v>
      </c>
    </row>
    <row r="8424" spans="1:7">
      <c r="A8424" t="s">
        <v>1876</v>
      </c>
      <c r="B8424" t="s">
        <v>373</v>
      </c>
      <c r="C8424" t="s">
        <v>169</v>
      </c>
      <c r="D8424">
        <v>4269</v>
      </c>
      <c r="E8424">
        <v>4374</v>
      </c>
      <c r="F8424">
        <v>2733</v>
      </c>
      <c r="G8424">
        <v>2026</v>
      </c>
    </row>
    <row r="8425" spans="1:7">
      <c r="A8425" t="s">
        <v>1876</v>
      </c>
      <c r="B8425" t="s">
        <v>373</v>
      </c>
      <c r="C8425" t="s">
        <v>1704</v>
      </c>
      <c r="D8425">
        <v>6067</v>
      </c>
      <c r="E8425">
        <v>6439</v>
      </c>
      <c r="F8425">
        <v>6698</v>
      </c>
      <c r="G8425">
        <v>7183</v>
      </c>
    </row>
    <row r="8426" spans="1:7">
      <c r="A8426" t="s">
        <v>1876</v>
      </c>
      <c r="B8426" t="s">
        <v>373</v>
      </c>
      <c r="C8426" t="s">
        <v>170</v>
      </c>
      <c r="D8426">
        <v>183</v>
      </c>
      <c r="E8426">
        <v>485</v>
      </c>
      <c r="F8426">
        <v>514</v>
      </c>
      <c r="G8426">
        <v>1240</v>
      </c>
    </row>
    <row r="8427" spans="1:7">
      <c r="A8427" t="s">
        <v>1876</v>
      </c>
      <c r="B8427" t="s">
        <v>373</v>
      </c>
      <c r="C8427" t="s">
        <v>171</v>
      </c>
      <c r="D8427">
        <v>-59672</v>
      </c>
      <c r="E8427">
        <v>-70564</v>
      </c>
      <c r="F8427">
        <v>-74152</v>
      </c>
      <c r="G8427">
        <v>-70291</v>
      </c>
    </row>
    <row r="8428" spans="1:7">
      <c r="A8428" t="s">
        <v>1876</v>
      </c>
      <c r="B8428" t="s">
        <v>373</v>
      </c>
      <c r="C8428" t="s">
        <v>172</v>
      </c>
      <c r="D8428">
        <v>-4086</v>
      </c>
      <c r="E8428">
        <v>-3889</v>
      </c>
      <c r="F8428">
        <v>-2219</v>
      </c>
      <c r="G8428">
        <v>-786</v>
      </c>
    </row>
    <row r="8429" spans="1:7">
      <c r="A8429" t="s">
        <v>1876</v>
      </c>
      <c r="B8429" t="s">
        <v>373</v>
      </c>
      <c r="C8429" t="s">
        <v>1913</v>
      </c>
      <c r="D8429">
        <v>2.6</v>
      </c>
      <c r="E8429">
        <v>4.3</v>
      </c>
      <c r="F8429">
        <v>6.6</v>
      </c>
      <c r="G8429">
        <v>8.5</v>
      </c>
    </row>
    <row r="8430" spans="1:7">
      <c r="A8430" t="s">
        <v>1876</v>
      </c>
      <c r="B8430" t="s">
        <v>373</v>
      </c>
      <c r="C8430" t="s">
        <v>1914</v>
      </c>
      <c r="D8430">
        <v>0.3</v>
      </c>
      <c r="E8430">
        <v>0.5</v>
      </c>
      <c r="F8430">
        <v>0.7</v>
      </c>
      <c r="G8430">
        <v>0.9</v>
      </c>
    </row>
    <row r="8431" spans="1:7">
      <c r="A8431" t="s">
        <v>1876</v>
      </c>
      <c r="B8431" t="s">
        <v>373</v>
      </c>
      <c r="C8431" t="s">
        <v>173</v>
      </c>
      <c r="D8431">
        <v>4433</v>
      </c>
      <c r="E8431">
        <v>4091</v>
      </c>
      <c r="F8431">
        <v>3912</v>
      </c>
      <c r="G8431">
        <v>3889</v>
      </c>
    </row>
    <row r="8432" spans="1:7">
      <c r="A8432" t="s">
        <v>1876</v>
      </c>
      <c r="B8432" t="s">
        <v>373</v>
      </c>
      <c r="C8432" t="s">
        <v>174</v>
      </c>
      <c r="D8432">
        <v>55</v>
      </c>
      <c r="E8432">
        <v>53</v>
      </c>
      <c r="F8432">
        <v>51</v>
      </c>
      <c r="G8432">
        <v>53</v>
      </c>
    </row>
    <row r="8433" spans="1:7">
      <c r="A8433" t="s">
        <v>1876</v>
      </c>
      <c r="B8433" t="s">
        <v>373</v>
      </c>
      <c r="C8433" t="s">
        <v>175</v>
      </c>
      <c r="D8433">
        <v>118</v>
      </c>
      <c r="E8433">
        <v>119</v>
      </c>
      <c r="F8433">
        <v>119</v>
      </c>
      <c r="G8433">
        <v>129</v>
      </c>
    </row>
    <row r="8434" spans="1:7">
      <c r="A8434" t="s">
        <v>1876</v>
      </c>
      <c r="B8434" t="s">
        <v>373</v>
      </c>
      <c r="C8434" t="s">
        <v>176</v>
      </c>
      <c r="D8434">
        <v>0</v>
      </c>
      <c r="E8434">
        <v>0</v>
      </c>
      <c r="F8434">
        <v>0</v>
      </c>
      <c r="G8434">
        <v>0</v>
      </c>
    </row>
    <row r="8435" spans="1:7">
      <c r="A8435" t="s">
        <v>1876</v>
      </c>
      <c r="B8435" t="s">
        <v>373</v>
      </c>
      <c r="C8435" t="s">
        <v>177</v>
      </c>
      <c r="D8435">
        <v>4605</v>
      </c>
      <c r="E8435">
        <v>4263</v>
      </c>
      <c r="F8435">
        <v>4082</v>
      </c>
      <c r="G8435">
        <v>4071</v>
      </c>
    </row>
    <row r="8436" spans="1:7">
      <c r="A8436" t="s">
        <v>1876</v>
      </c>
      <c r="B8436" t="s">
        <v>373</v>
      </c>
      <c r="C8436" t="s">
        <v>178</v>
      </c>
      <c r="D8436">
        <v>0</v>
      </c>
      <c r="E8436">
        <v>0</v>
      </c>
      <c r="F8436">
        <v>0</v>
      </c>
      <c r="G8436">
        <v>0</v>
      </c>
    </row>
    <row r="8437" spans="1:7">
      <c r="A8437" t="s">
        <v>1876</v>
      </c>
      <c r="B8437" t="s">
        <v>373</v>
      </c>
      <c r="C8437" t="s">
        <v>179</v>
      </c>
      <c r="D8437">
        <v>0</v>
      </c>
      <c r="E8437">
        <v>0</v>
      </c>
      <c r="F8437">
        <v>0</v>
      </c>
      <c r="G8437">
        <v>0</v>
      </c>
    </row>
    <row r="8438" spans="1:7">
      <c r="A8438" t="s">
        <v>1876</v>
      </c>
      <c r="B8438" t="s">
        <v>373</v>
      </c>
      <c r="C8438" t="s">
        <v>180</v>
      </c>
      <c r="D8438">
        <v>0</v>
      </c>
      <c r="E8438">
        <v>0</v>
      </c>
      <c r="F8438">
        <v>0</v>
      </c>
      <c r="G8438">
        <v>0</v>
      </c>
    </row>
    <row r="8439" spans="1:7">
      <c r="A8439" t="s">
        <v>1876</v>
      </c>
      <c r="B8439" t="s">
        <v>373</v>
      </c>
      <c r="C8439" t="s">
        <v>181</v>
      </c>
      <c r="D8439">
        <v>16740</v>
      </c>
      <c r="E8439">
        <v>17127</v>
      </c>
      <c r="F8439">
        <v>17275</v>
      </c>
      <c r="G8439">
        <v>17177</v>
      </c>
    </row>
    <row r="8440" spans="1:7">
      <c r="A8440" t="s">
        <v>1876</v>
      </c>
      <c r="B8440" t="s">
        <v>373</v>
      </c>
      <c r="C8440" t="s">
        <v>182</v>
      </c>
      <c r="D8440">
        <v>15340</v>
      </c>
      <c r="E8440">
        <v>15933</v>
      </c>
      <c r="F8440">
        <v>15989</v>
      </c>
      <c r="G8440">
        <v>16488</v>
      </c>
    </row>
    <row r="8441" spans="1:7">
      <c r="A8441" t="s">
        <v>1876</v>
      </c>
      <c r="B8441" t="s">
        <v>373</v>
      </c>
      <c r="C8441" t="s">
        <v>183</v>
      </c>
      <c r="D8441">
        <v>18969</v>
      </c>
      <c r="E8441">
        <v>20112</v>
      </c>
      <c r="F8441">
        <v>19638</v>
      </c>
      <c r="G8441">
        <v>19449</v>
      </c>
    </row>
    <row r="8442" spans="1:7">
      <c r="A8442" t="s">
        <v>1876</v>
      </c>
      <c r="B8442" t="s">
        <v>373</v>
      </c>
      <c r="C8442" t="s">
        <v>184</v>
      </c>
      <c r="D8442">
        <v>51049</v>
      </c>
      <c r="E8442">
        <v>53172</v>
      </c>
      <c r="F8442">
        <v>52902</v>
      </c>
      <c r="G8442">
        <v>53115</v>
      </c>
    </row>
    <row r="8443" spans="1:7">
      <c r="A8443" t="s">
        <v>1876</v>
      </c>
      <c r="B8443" t="s">
        <v>373</v>
      </c>
      <c r="C8443" t="s">
        <v>185</v>
      </c>
      <c r="D8443">
        <v>51049</v>
      </c>
      <c r="E8443">
        <v>53172</v>
      </c>
      <c r="F8443">
        <v>52902</v>
      </c>
      <c r="G8443">
        <v>53115</v>
      </c>
    </row>
    <row r="8444" spans="1:7">
      <c r="A8444" t="s">
        <v>1876</v>
      </c>
      <c r="B8444" t="s">
        <v>373</v>
      </c>
      <c r="C8444" t="s">
        <v>1915</v>
      </c>
      <c r="D8444">
        <v>5</v>
      </c>
      <c r="E8444">
        <v>10</v>
      </c>
      <c r="F8444">
        <v>24</v>
      </c>
      <c r="G8444">
        <v>37</v>
      </c>
    </row>
    <row r="8445" spans="1:7">
      <c r="A8445" t="s">
        <v>1876</v>
      </c>
      <c r="B8445" t="s">
        <v>373</v>
      </c>
      <c r="C8445" t="s">
        <v>1916</v>
      </c>
      <c r="D8445">
        <v>0</v>
      </c>
      <c r="E8445">
        <v>0</v>
      </c>
      <c r="F8445">
        <v>0</v>
      </c>
      <c r="G8445">
        <v>0</v>
      </c>
    </row>
    <row r="8446" spans="1:7">
      <c r="A8446" t="s">
        <v>1876</v>
      </c>
      <c r="B8446" t="s">
        <v>373</v>
      </c>
      <c r="C8446" t="s">
        <v>1917</v>
      </c>
      <c r="D8446">
        <v>3</v>
      </c>
      <c r="E8446">
        <v>3</v>
      </c>
      <c r="F8446">
        <v>3</v>
      </c>
      <c r="G8446">
        <v>3</v>
      </c>
    </row>
    <row r="8447" spans="1:7">
      <c r="A8447" t="s">
        <v>1876</v>
      </c>
      <c r="B8447" t="s">
        <v>373</v>
      </c>
      <c r="C8447" t="s">
        <v>1918</v>
      </c>
      <c r="D8447">
        <v>117</v>
      </c>
      <c r="E8447">
        <v>175</v>
      </c>
      <c r="F8447">
        <v>208</v>
      </c>
      <c r="G8447">
        <v>221</v>
      </c>
    </row>
    <row r="8448" spans="1:7">
      <c r="A8448" t="s">
        <v>1876</v>
      </c>
      <c r="B8448" t="s">
        <v>373</v>
      </c>
      <c r="C8448" t="s">
        <v>1919</v>
      </c>
      <c r="D8448">
        <v>2.21</v>
      </c>
      <c r="E8448">
        <v>2.36</v>
      </c>
      <c r="F8448">
        <v>2.31</v>
      </c>
      <c r="G8448">
        <v>2.19</v>
      </c>
    </row>
    <row r="8449" spans="1:7">
      <c r="A8449" t="s">
        <v>1876</v>
      </c>
      <c r="B8449" t="s">
        <v>373</v>
      </c>
      <c r="C8449" t="s">
        <v>1920</v>
      </c>
      <c r="D8449">
        <v>224</v>
      </c>
      <c r="E8449">
        <v>291</v>
      </c>
      <c r="F8449">
        <v>398</v>
      </c>
      <c r="G8449">
        <v>475</v>
      </c>
    </row>
    <row r="8450" spans="1:7">
      <c r="A8450" t="s">
        <v>1876</v>
      </c>
      <c r="B8450" t="s">
        <v>373</v>
      </c>
      <c r="C8450" t="s">
        <v>1921</v>
      </c>
      <c r="D8450">
        <v>74</v>
      </c>
      <c r="E8450">
        <v>104</v>
      </c>
      <c r="F8450">
        <v>132</v>
      </c>
      <c r="G8450">
        <v>160</v>
      </c>
    </row>
    <row r="8451" spans="1:7">
      <c r="A8451" t="s">
        <v>1876</v>
      </c>
      <c r="B8451" t="s">
        <v>373</v>
      </c>
      <c r="C8451" t="s">
        <v>1922</v>
      </c>
      <c r="D8451">
        <v>104</v>
      </c>
      <c r="E8451">
        <v>113</v>
      </c>
      <c r="F8451">
        <v>187</v>
      </c>
      <c r="G8451">
        <v>251</v>
      </c>
    </row>
    <row r="8452" spans="1:7">
      <c r="A8452" t="s">
        <v>1876</v>
      </c>
      <c r="B8452" t="s">
        <v>373</v>
      </c>
      <c r="C8452" t="s">
        <v>1923</v>
      </c>
      <c r="D8452">
        <v>5.47</v>
      </c>
      <c r="E8452">
        <v>3.9</v>
      </c>
      <c r="F8452">
        <v>4.45</v>
      </c>
      <c r="G8452">
        <v>4.33</v>
      </c>
    </row>
    <row r="8453" spans="1:7">
      <c r="A8453" t="s">
        <v>1876</v>
      </c>
      <c r="B8453" t="s">
        <v>373</v>
      </c>
      <c r="C8453" t="s">
        <v>1924</v>
      </c>
      <c r="D8453">
        <v>11</v>
      </c>
      <c r="E8453">
        <v>3</v>
      </c>
      <c r="F8453">
        <v>5</v>
      </c>
      <c r="G8453">
        <v>3</v>
      </c>
    </row>
    <row r="8454" spans="1:7">
      <c r="A8454" t="s">
        <v>1876</v>
      </c>
      <c r="B8454" t="s">
        <v>373</v>
      </c>
      <c r="C8454" t="s">
        <v>1925</v>
      </c>
      <c r="D8454">
        <v>26</v>
      </c>
      <c r="E8454">
        <v>28</v>
      </c>
      <c r="F8454">
        <v>33</v>
      </c>
      <c r="G8454">
        <v>32</v>
      </c>
    </row>
    <row r="8455" spans="1:7">
      <c r="A8455" t="s">
        <v>1876</v>
      </c>
      <c r="B8455" t="s">
        <v>373</v>
      </c>
      <c r="C8455" t="s">
        <v>1926</v>
      </c>
      <c r="D8455">
        <v>37</v>
      </c>
      <c r="E8455">
        <v>73</v>
      </c>
      <c r="F8455">
        <v>94</v>
      </c>
      <c r="G8455">
        <v>125</v>
      </c>
    </row>
    <row r="8456" spans="1:7">
      <c r="A8456" t="s">
        <v>1876</v>
      </c>
      <c r="B8456" t="s">
        <v>373</v>
      </c>
      <c r="C8456" t="s">
        <v>1927</v>
      </c>
      <c r="D8456">
        <v>2</v>
      </c>
      <c r="E8456">
        <v>2</v>
      </c>
      <c r="F8456">
        <v>2</v>
      </c>
      <c r="G8456">
        <v>2</v>
      </c>
    </row>
    <row r="8457" spans="1:7">
      <c r="A8457" t="s">
        <v>1876</v>
      </c>
      <c r="B8457" t="s">
        <v>373</v>
      </c>
      <c r="C8457" t="s">
        <v>1928</v>
      </c>
      <c r="D8457">
        <v>69</v>
      </c>
      <c r="E8457">
        <v>99</v>
      </c>
      <c r="F8457">
        <v>127</v>
      </c>
      <c r="G8457">
        <v>155</v>
      </c>
    </row>
    <row r="8458" spans="1:7">
      <c r="A8458" t="s">
        <v>1876</v>
      </c>
      <c r="B8458" t="s">
        <v>373</v>
      </c>
      <c r="C8458" t="s">
        <v>1929</v>
      </c>
      <c r="D8458">
        <v>3</v>
      </c>
      <c r="E8458">
        <v>3</v>
      </c>
      <c r="F8458">
        <v>3</v>
      </c>
      <c r="G8458">
        <v>3</v>
      </c>
    </row>
    <row r="8459" spans="1:7">
      <c r="A8459" t="s">
        <v>1876</v>
      </c>
      <c r="B8459" t="s">
        <v>373</v>
      </c>
      <c r="C8459" t="s">
        <v>186</v>
      </c>
      <c r="D8459">
        <v>0</v>
      </c>
      <c r="E8459">
        <v>0</v>
      </c>
      <c r="F8459">
        <v>0</v>
      </c>
      <c r="G8459">
        <v>0</v>
      </c>
    </row>
    <row r="8460" spans="1:7">
      <c r="A8460" t="s">
        <v>1876</v>
      </c>
      <c r="B8460" t="s">
        <v>373</v>
      </c>
      <c r="C8460" t="s">
        <v>187</v>
      </c>
      <c r="D8460">
        <v>0</v>
      </c>
      <c r="E8460">
        <v>0</v>
      </c>
      <c r="F8460">
        <v>0</v>
      </c>
      <c r="G8460">
        <v>0</v>
      </c>
    </row>
    <row r="8461" spans="1:7">
      <c r="A8461" t="s">
        <v>1876</v>
      </c>
      <c r="B8461" t="s">
        <v>373</v>
      </c>
      <c r="C8461" t="s">
        <v>1705</v>
      </c>
      <c r="D8461">
        <v>2072</v>
      </c>
      <c r="E8461">
        <v>2072</v>
      </c>
      <c r="F8461">
        <v>2068</v>
      </c>
      <c r="G8461">
        <v>2234</v>
      </c>
    </row>
    <row r="8462" spans="1:7">
      <c r="A8462" t="s">
        <v>1876</v>
      </c>
      <c r="B8462" t="s">
        <v>373</v>
      </c>
      <c r="C8462" t="s">
        <v>188</v>
      </c>
      <c r="D8462">
        <v>387679</v>
      </c>
      <c r="E8462">
        <v>402750</v>
      </c>
      <c r="F8462">
        <v>399854</v>
      </c>
      <c r="G8462">
        <v>375689</v>
      </c>
    </row>
    <row r="8463" spans="1:7">
      <c r="A8463" t="s">
        <v>1876</v>
      </c>
      <c r="B8463" t="s">
        <v>373</v>
      </c>
      <c r="C8463" t="s">
        <v>189</v>
      </c>
      <c r="D8463">
        <v>0</v>
      </c>
      <c r="E8463">
        <v>0</v>
      </c>
      <c r="F8463">
        <v>0</v>
      </c>
      <c r="G8463">
        <v>0</v>
      </c>
    </row>
    <row r="8464" spans="1:7">
      <c r="A8464" t="s">
        <v>1876</v>
      </c>
      <c r="B8464" t="s">
        <v>373</v>
      </c>
      <c r="C8464" t="s">
        <v>190</v>
      </c>
      <c r="D8464">
        <v>0</v>
      </c>
      <c r="E8464">
        <v>0</v>
      </c>
      <c r="F8464">
        <v>0</v>
      </c>
      <c r="G8464">
        <v>0</v>
      </c>
    </row>
    <row r="8465" spans="1:7">
      <c r="A8465" t="s">
        <v>1876</v>
      </c>
      <c r="B8465" t="s">
        <v>373</v>
      </c>
      <c r="C8465" t="s">
        <v>191</v>
      </c>
      <c r="D8465">
        <v>0</v>
      </c>
      <c r="E8465">
        <v>0</v>
      </c>
      <c r="F8465">
        <v>0</v>
      </c>
      <c r="G8465">
        <v>0</v>
      </c>
    </row>
    <row r="8466" spans="1:7">
      <c r="A8466" t="s">
        <v>1876</v>
      </c>
      <c r="B8466" t="s">
        <v>373</v>
      </c>
      <c r="C8466" t="s">
        <v>192</v>
      </c>
      <c r="D8466">
        <v>60314.8</v>
      </c>
      <c r="E8466">
        <v>69087.8</v>
      </c>
      <c r="F8466">
        <v>74690.3</v>
      </c>
      <c r="G8466">
        <v>78441</v>
      </c>
    </row>
    <row r="8467" spans="1:7">
      <c r="A8467" t="s">
        <v>1876</v>
      </c>
      <c r="B8467" t="s">
        <v>373</v>
      </c>
      <c r="C8467" t="s">
        <v>193</v>
      </c>
      <c r="D8467">
        <v>53345.9</v>
      </c>
      <c r="E8467">
        <v>55806.9</v>
      </c>
      <c r="F8467">
        <v>58604.9</v>
      </c>
      <c r="G8467">
        <v>60605.7</v>
      </c>
    </row>
    <row r="8468" spans="1:7">
      <c r="A8468" t="s">
        <v>1876</v>
      </c>
      <c r="B8468" t="s">
        <v>373</v>
      </c>
      <c r="C8468" t="s">
        <v>1930</v>
      </c>
      <c r="D8468">
        <v>0</v>
      </c>
      <c r="E8468">
        <v>0</v>
      </c>
      <c r="F8468">
        <v>0</v>
      </c>
      <c r="G8468">
        <v>0</v>
      </c>
    </row>
    <row r="8469" spans="1:7">
      <c r="A8469" t="s">
        <v>1876</v>
      </c>
      <c r="B8469" t="s">
        <v>373</v>
      </c>
      <c r="C8469" t="s">
        <v>194</v>
      </c>
      <c r="D8469">
        <v>144</v>
      </c>
      <c r="E8469">
        <v>144</v>
      </c>
      <c r="F8469">
        <v>144</v>
      </c>
      <c r="G8469">
        <v>144</v>
      </c>
    </row>
    <row r="8470" spans="1:7">
      <c r="A8470" t="s">
        <v>1876</v>
      </c>
      <c r="B8470" t="s">
        <v>373</v>
      </c>
      <c r="C8470" t="s">
        <v>195</v>
      </c>
      <c r="D8470">
        <v>0</v>
      </c>
      <c r="E8470">
        <v>0</v>
      </c>
      <c r="F8470">
        <v>0</v>
      </c>
      <c r="G8470">
        <v>0</v>
      </c>
    </row>
    <row r="8471" spans="1:7">
      <c r="A8471" t="s">
        <v>1876</v>
      </c>
      <c r="B8471" t="s">
        <v>373</v>
      </c>
      <c r="C8471" t="s">
        <v>1706</v>
      </c>
      <c r="D8471">
        <v>0</v>
      </c>
      <c r="E8471">
        <v>0</v>
      </c>
      <c r="F8471">
        <v>0</v>
      </c>
      <c r="G8471">
        <v>0</v>
      </c>
    </row>
    <row r="8472" spans="1:7">
      <c r="A8472" t="s">
        <v>1876</v>
      </c>
      <c r="B8472" t="s">
        <v>373</v>
      </c>
      <c r="C8472" t="s">
        <v>196</v>
      </c>
      <c r="D8472">
        <v>70</v>
      </c>
      <c r="E8472">
        <v>70</v>
      </c>
      <c r="F8472">
        <v>70</v>
      </c>
      <c r="G8472">
        <v>70</v>
      </c>
    </row>
    <row r="8473" spans="1:7">
      <c r="A8473" t="s">
        <v>1876</v>
      </c>
      <c r="B8473" t="s">
        <v>373</v>
      </c>
      <c r="C8473" t="s">
        <v>197</v>
      </c>
      <c r="D8473">
        <v>123</v>
      </c>
      <c r="E8473">
        <v>123</v>
      </c>
      <c r="F8473">
        <v>123</v>
      </c>
      <c r="G8473">
        <v>123</v>
      </c>
    </row>
    <row r="8474" spans="1:7">
      <c r="A8474" t="s">
        <v>1876</v>
      </c>
      <c r="B8474" t="s">
        <v>373</v>
      </c>
      <c r="C8474" t="s">
        <v>198</v>
      </c>
      <c r="D8474">
        <v>337</v>
      </c>
      <c r="E8474">
        <v>337</v>
      </c>
      <c r="F8474">
        <v>337</v>
      </c>
      <c r="G8474">
        <v>337</v>
      </c>
    </row>
    <row r="8475" spans="1:7">
      <c r="A8475" t="s">
        <v>1876</v>
      </c>
      <c r="B8475" t="s">
        <v>373</v>
      </c>
      <c r="C8475" t="s">
        <v>199</v>
      </c>
      <c r="D8475">
        <v>337</v>
      </c>
      <c r="E8475">
        <v>337</v>
      </c>
      <c r="F8475">
        <v>337</v>
      </c>
      <c r="G8475">
        <v>337</v>
      </c>
    </row>
    <row r="8476" spans="1:7">
      <c r="A8476" t="s">
        <v>1876</v>
      </c>
      <c r="B8476" t="s">
        <v>373</v>
      </c>
      <c r="C8476" t="s">
        <v>200</v>
      </c>
      <c r="D8476">
        <v>12</v>
      </c>
      <c r="E8476">
        <v>34</v>
      </c>
      <c r="F8476">
        <v>26</v>
      </c>
      <c r="G8476">
        <v>41</v>
      </c>
    </row>
    <row r="8477" spans="1:7">
      <c r="A8477" t="s">
        <v>1876</v>
      </c>
      <c r="B8477" t="s">
        <v>373</v>
      </c>
      <c r="C8477" t="s">
        <v>201</v>
      </c>
      <c r="D8477">
        <v>2291</v>
      </c>
      <c r="E8477">
        <v>2614</v>
      </c>
      <c r="F8477">
        <v>2865</v>
      </c>
      <c r="G8477">
        <v>2823</v>
      </c>
    </row>
    <row r="8478" spans="1:7">
      <c r="A8478" t="s">
        <v>1876</v>
      </c>
      <c r="B8478" t="s">
        <v>373</v>
      </c>
      <c r="C8478" t="s">
        <v>202</v>
      </c>
      <c r="D8478">
        <v>466</v>
      </c>
      <c r="E8478">
        <v>823</v>
      </c>
      <c r="F8478">
        <v>574</v>
      </c>
      <c r="G8478">
        <v>482</v>
      </c>
    </row>
    <row r="8479" spans="1:7">
      <c r="A8479" t="s">
        <v>1876</v>
      </c>
      <c r="B8479" t="s">
        <v>373</v>
      </c>
      <c r="C8479" t="s">
        <v>203</v>
      </c>
      <c r="D8479">
        <v>7863</v>
      </c>
      <c r="E8479">
        <v>10006</v>
      </c>
      <c r="F8479">
        <v>7961</v>
      </c>
      <c r="G8479">
        <v>6888</v>
      </c>
    </row>
    <row r="8480" spans="1:7">
      <c r="A8480" t="s">
        <v>1876</v>
      </c>
      <c r="B8480" t="s">
        <v>373</v>
      </c>
      <c r="C8480" t="s">
        <v>204</v>
      </c>
      <c r="D8480">
        <v>10633</v>
      </c>
      <c r="E8480">
        <v>13478</v>
      </c>
      <c r="F8480">
        <v>11427</v>
      </c>
      <c r="G8480">
        <v>10234</v>
      </c>
    </row>
    <row r="8481" spans="1:7">
      <c r="A8481" t="s">
        <v>1876</v>
      </c>
      <c r="B8481" t="s">
        <v>373</v>
      </c>
      <c r="C8481" t="s">
        <v>205</v>
      </c>
      <c r="D8481">
        <v>10633</v>
      </c>
      <c r="E8481">
        <v>13478</v>
      </c>
      <c r="F8481">
        <v>11427</v>
      </c>
      <c r="G8481">
        <v>10234</v>
      </c>
    </row>
    <row r="8482" spans="1:7">
      <c r="A8482" t="s">
        <v>1876</v>
      </c>
      <c r="B8482" t="s">
        <v>373</v>
      </c>
      <c r="C8482" t="s">
        <v>1931</v>
      </c>
      <c r="D8482">
        <v>0</v>
      </c>
      <c r="E8482">
        <v>0</v>
      </c>
      <c r="F8482">
        <v>0</v>
      </c>
      <c r="G8482">
        <v>0</v>
      </c>
    </row>
    <row r="8483" spans="1:7">
      <c r="A8483" t="s">
        <v>1876</v>
      </c>
      <c r="B8483" t="s">
        <v>373</v>
      </c>
      <c r="C8483" t="s">
        <v>1707</v>
      </c>
      <c r="D8483">
        <v>0</v>
      </c>
      <c r="E8483">
        <v>0</v>
      </c>
      <c r="F8483">
        <v>0</v>
      </c>
      <c r="G8483">
        <v>0</v>
      </c>
    </row>
    <row r="8484" spans="1:7">
      <c r="A8484" t="s">
        <v>1876</v>
      </c>
      <c r="B8484" t="s">
        <v>373</v>
      </c>
      <c r="C8484" t="s">
        <v>1932</v>
      </c>
      <c r="D8484">
        <v>37.5</v>
      </c>
      <c r="E8484">
        <v>40</v>
      </c>
      <c r="F8484">
        <v>35.5</v>
      </c>
      <c r="G8484">
        <v>37</v>
      </c>
    </row>
    <row r="8485" spans="1:7">
      <c r="A8485" t="s">
        <v>1876</v>
      </c>
      <c r="B8485" t="s">
        <v>373</v>
      </c>
      <c r="C8485" t="s">
        <v>1708</v>
      </c>
      <c r="D8485">
        <v>2821</v>
      </c>
      <c r="E8485">
        <v>2826</v>
      </c>
      <c r="F8485">
        <v>2825</v>
      </c>
      <c r="G8485">
        <v>2834</v>
      </c>
    </row>
    <row r="8486" spans="1:7">
      <c r="A8486" t="s">
        <v>1876</v>
      </c>
      <c r="B8486" t="s">
        <v>373</v>
      </c>
      <c r="C8486" t="s">
        <v>206</v>
      </c>
      <c r="D8486">
        <v>0</v>
      </c>
      <c r="E8486">
        <v>0</v>
      </c>
      <c r="F8486">
        <v>0</v>
      </c>
      <c r="G8486">
        <v>0</v>
      </c>
    </row>
    <row r="8487" spans="1:7">
      <c r="A8487" t="s">
        <v>1876</v>
      </c>
      <c r="B8487" t="s">
        <v>373</v>
      </c>
      <c r="C8487" t="s">
        <v>207</v>
      </c>
      <c r="D8487">
        <v>31590</v>
      </c>
      <c r="E8487">
        <v>33731</v>
      </c>
      <c r="F8487">
        <v>29999</v>
      </c>
      <c r="G8487">
        <v>31459</v>
      </c>
    </row>
    <row r="8488" spans="1:7">
      <c r="A8488" t="s">
        <v>1876</v>
      </c>
      <c r="B8488" t="s">
        <v>373</v>
      </c>
      <c r="C8488" t="s">
        <v>208</v>
      </c>
      <c r="D8488">
        <v>0</v>
      </c>
      <c r="E8488">
        <v>0</v>
      </c>
      <c r="F8488">
        <v>0</v>
      </c>
      <c r="G8488">
        <v>0</v>
      </c>
    </row>
    <row r="8489" spans="1:7">
      <c r="A8489" t="s">
        <v>1876</v>
      </c>
      <c r="B8489" t="s">
        <v>373</v>
      </c>
      <c r="C8489" t="s">
        <v>209</v>
      </c>
      <c r="D8489">
        <v>31590</v>
      </c>
      <c r="E8489">
        <v>33731</v>
      </c>
      <c r="F8489">
        <v>29999</v>
      </c>
      <c r="G8489">
        <v>31459</v>
      </c>
    </row>
    <row r="8490" spans="1:7">
      <c r="A8490" t="s">
        <v>1876</v>
      </c>
      <c r="B8490" t="s">
        <v>373</v>
      </c>
      <c r="C8490" t="s">
        <v>210</v>
      </c>
      <c r="D8490">
        <v>0</v>
      </c>
      <c r="E8490">
        <v>0</v>
      </c>
      <c r="F8490">
        <v>0</v>
      </c>
      <c r="G8490">
        <v>0</v>
      </c>
    </row>
    <row r="8491" spans="1:7">
      <c r="A8491" t="s">
        <v>1876</v>
      </c>
      <c r="B8491" t="s">
        <v>373</v>
      </c>
      <c r="C8491" t="s">
        <v>211</v>
      </c>
      <c r="D8491">
        <v>0</v>
      </c>
      <c r="E8491">
        <v>0</v>
      </c>
      <c r="F8491">
        <v>0</v>
      </c>
      <c r="G8491">
        <v>0</v>
      </c>
    </row>
    <row r="8492" spans="1:7">
      <c r="A8492" t="s">
        <v>1876</v>
      </c>
      <c r="B8492" t="s">
        <v>373</v>
      </c>
      <c r="C8492" t="s">
        <v>212</v>
      </c>
      <c r="D8492">
        <v>0</v>
      </c>
      <c r="E8492">
        <v>0</v>
      </c>
      <c r="F8492">
        <v>0</v>
      </c>
      <c r="G8492">
        <v>0</v>
      </c>
    </row>
    <row r="8493" spans="1:7">
      <c r="A8493" t="s">
        <v>1876</v>
      </c>
      <c r="B8493" t="s">
        <v>373</v>
      </c>
      <c r="C8493" t="s">
        <v>213</v>
      </c>
      <c r="D8493">
        <v>0</v>
      </c>
      <c r="E8493">
        <v>0</v>
      </c>
      <c r="F8493">
        <v>0</v>
      </c>
      <c r="G8493">
        <v>0</v>
      </c>
    </row>
    <row r="8494" spans="1:7">
      <c r="A8494" t="s">
        <v>1876</v>
      </c>
      <c r="B8494" t="s">
        <v>373</v>
      </c>
      <c r="C8494" t="s">
        <v>214</v>
      </c>
      <c r="D8494">
        <v>0</v>
      </c>
      <c r="E8494">
        <v>0</v>
      </c>
      <c r="F8494">
        <v>0</v>
      </c>
      <c r="G8494">
        <v>0</v>
      </c>
    </row>
    <row r="8495" spans="1:7">
      <c r="A8495" t="s">
        <v>1876</v>
      </c>
      <c r="B8495" t="s">
        <v>373</v>
      </c>
      <c r="C8495" t="s">
        <v>215</v>
      </c>
      <c r="D8495">
        <v>8668</v>
      </c>
      <c r="E8495">
        <v>7159</v>
      </c>
      <c r="F8495">
        <v>9009</v>
      </c>
      <c r="G8495">
        <v>7822</v>
      </c>
    </row>
    <row r="8496" spans="1:7">
      <c r="A8496" t="s">
        <v>1876</v>
      </c>
      <c r="B8496" t="s">
        <v>373</v>
      </c>
      <c r="C8496" t="s">
        <v>216</v>
      </c>
      <c r="D8496">
        <v>8668</v>
      </c>
      <c r="E8496">
        <v>7159</v>
      </c>
      <c r="F8496">
        <v>9009</v>
      </c>
      <c r="G8496">
        <v>7822</v>
      </c>
    </row>
    <row r="8497" spans="1:7">
      <c r="A8497" t="s">
        <v>1876</v>
      </c>
      <c r="B8497" t="s">
        <v>373</v>
      </c>
      <c r="C8497" t="s">
        <v>217</v>
      </c>
      <c r="D8497">
        <v>8668</v>
      </c>
      <c r="E8497">
        <v>7159</v>
      </c>
      <c r="F8497">
        <v>9009</v>
      </c>
      <c r="G8497">
        <v>7822</v>
      </c>
    </row>
    <row r="8498" spans="1:7">
      <c r="A8498" t="s">
        <v>1876</v>
      </c>
      <c r="B8498" t="s">
        <v>373</v>
      </c>
      <c r="C8498" t="s">
        <v>218</v>
      </c>
      <c r="D8498">
        <v>0</v>
      </c>
      <c r="E8498">
        <v>0</v>
      </c>
      <c r="F8498">
        <v>0</v>
      </c>
      <c r="G8498">
        <v>0</v>
      </c>
    </row>
    <row r="8499" spans="1:7">
      <c r="A8499" t="s">
        <v>1876</v>
      </c>
      <c r="B8499" t="s">
        <v>373</v>
      </c>
      <c r="C8499" t="s">
        <v>219</v>
      </c>
      <c r="D8499">
        <v>0</v>
      </c>
      <c r="E8499">
        <v>0</v>
      </c>
      <c r="F8499">
        <v>0</v>
      </c>
      <c r="G8499">
        <v>0</v>
      </c>
    </row>
    <row r="8500" spans="1:7">
      <c r="A8500" t="s">
        <v>1876</v>
      </c>
      <c r="B8500" t="s">
        <v>373</v>
      </c>
      <c r="C8500" t="s">
        <v>220</v>
      </c>
      <c r="D8500">
        <v>1</v>
      </c>
      <c r="E8500">
        <v>1</v>
      </c>
      <c r="F8500">
        <v>2</v>
      </c>
      <c r="G8500">
        <v>1</v>
      </c>
    </row>
    <row r="8501" spans="1:7">
      <c r="A8501" t="s">
        <v>1876</v>
      </c>
      <c r="B8501" t="s">
        <v>373</v>
      </c>
      <c r="C8501" t="s">
        <v>221</v>
      </c>
      <c r="D8501">
        <v>1</v>
      </c>
      <c r="E8501">
        <v>1</v>
      </c>
      <c r="F8501">
        <v>2</v>
      </c>
      <c r="G8501">
        <v>2</v>
      </c>
    </row>
    <row r="8502" spans="1:7">
      <c r="A8502" t="s">
        <v>1876</v>
      </c>
      <c r="B8502" t="s">
        <v>373</v>
      </c>
      <c r="C8502" t="s">
        <v>222</v>
      </c>
      <c r="D8502">
        <v>1</v>
      </c>
      <c r="E8502">
        <v>1</v>
      </c>
      <c r="F8502">
        <v>2</v>
      </c>
      <c r="G8502">
        <v>2</v>
      </c>
    </row>
    <row r="8503" spans="1:7">
      <c r="A8503" t="s">
        <v>1876</v>
      </c>
      <c r="B8503" t="s">
        <v>373</v>
      </c>
      <c r="C8503" t="s">
        <v>1933</v>
      </c>
      <c r="D8503">
        <v>924.5</v>
      </c>
      <c r="E8503">
        <v>927.9</v>
      </c>
      <c r="F8503">
        <v>942.1</v>
      </c>
      <c r="G8503">
        <v>957.7</v>
      </c>
    </row>
    <row r="8504" spans="1:7">
      <c r="A8504" t="s">
        <v>1876</v>
      </c>
      <c r="B8504" t="s">
        <v>373</v>
      </c>
      <c r="C8504" t="s">
        <v>223</v>
      </c>
      <c r="D8504">
        <v>0</v>
      </c>
      <c r="E8504">
        <v>0</v>
      </c>
      <c r="F8504">
        <v>0</v>
      </c>
      <c r="G8504">
        <v>0</v>
      </c>
    </row>
    <row r="8505" spans="1:7">
      <c r="A8505" t="s">
        <v>1876</v>
      </c>
      <c r="B8505" t="s">
        <v>373</v>
      </c>
      <c r="C8505" t="s">
        <v>224</v>
      </c>
      <c r="D8505">
        <v>20037</v>
      </c>
      <c r="E8505">
        <v>20065</v>
      </c>
      <c r="F8505">
        <v>20436</v>
      </c>
      <c r="G8505">
        <v>17453</v>
      </c>
    </row>
    <row r="8506" spans="1:7">
      <c r="A8506" t="s">
        <v>1876</v>
      </c>
      <c r="B8506" t="s">
        <v>373</v>
      </c>
      <c r="C8506" t="s">
        <v>225</v>
      </c>
      <c r="D8506">
        <v>18362</v>
      </c>
      <c r="E8506">
        <v>18666</v>
      </c>
      <c r="F8506">
        <v>18914</v>
      </c>
      <c r="G8506">
        <v>16753</v>
      </c>
    </row>
    <row r="8507" spans="1:7">
      <c r="A8507" t="s">
        <v>1876</v>
      </c>
      <c r="B8507" t="s">
        <v>373</v>
      </c>
      <c r="C8507" t="s">
        <v>226</v>
      </c>
      <c r="D8507">
        <v>22705</v>
      </c>
      <c r="E8507">
        <v>23563</v>
      </c>
      <c r="F8507">
        <v>23231</v>
      </c>
      <c r="G8507">
        <v>19761</v>
      </c>
    </row>
    <row r="8508" spans="1:7">
      <c r="A8508" t="s">
        <v>1876</v>
      </c>
      <c r="B8508" t="s">
        <v>373</v>
      </c>
      <c r="C8508" t="s">
        <v>227</v>
      </c>
      <c r="D8508">
        <v>61103</v>
      </c>
      <c r="E8508">
        <v>62294</v>
      </c>
      <c r="F8508">
        <v>62581</v>
      </c>
      <c r="G8508">
        <v>53967</v>
      </c>
    </row>
    <row r="8509" spans="1:7">
      <c r="A8509" t="s">
        <v>1876</v>
      </c>
      <c r="B8509" t="s">
        <v>373</v>
      </c>
      <c r="C8509" t="s">
        <v>228</v>
      </c>
      <c r="D8509">
        <v>61103</v>
      </c>
      <c r="E8509">
        <v>62294</v>
      </c>
      <c r="F8509">
        <v>62581</v>
      </c>
      <c r="G8509">
        <v>53967</v>
      </c>
    </row>
    <row r="8510" spans="1:7">
      <c r="A8510" t="s">
        <v>1876</v>
      </c>
      <c r="B8510" t="s">
        <v>373</v>
      </c>
      <c r="C8510" t="s">
        <v>229</v>
      </c>
      <c r="D8510">
        <v>643</v>
      </c>
      <c r="E8510">
        <v>673</v>
      </c>
      <c r="F8510">
        <v>477</v>
      </c>
      <c r="G8510">
        <v>466</v>
      </c>
    </row>
    <row r="8511" spans="1:7">
      <c r="A8511" t="s">
        <v>1876</v>
      </c>
      <c r="B8511" t="s">
        <v>373</v>
      </c>
      <c r="C8511" t="s">
        <v>230</v>
      </c>
      <c r="D8511">
        <v>317</v>
      </c>
      <c r="E8511">
        <v>351</v>
      </c>
      <c r="F8511">
        <v>267</v>
      </c>
      <c r="G8511">
        <v>254</v>
      </c>
    </row>
    <row r="8512" spans="1:7">
      <c r="A8512" t="s">
        <v>1876</v>
      </c>
      <c r="B8512" t="s">
        <v>373</v>
      </c>
      <c r="C8512" t="s">
        <v>231</v>
      </c>
      <c r="D8512">
        <v>960</v>
      </c>
      <c r="E8512">
        <v>1024</v>
      </c>
      <c r="F8512">
        <v>743</v>
      </c>
      <c r="G8512">
        <v>720</v>
      </c>
    </row>
    <row r="8513" spans="1:7">
      <c r="A8513" t="s">
        <v>1876</v>
      </c>
      <c r="B8513" t="s">
        <v>373</v>
      </c>
      <c r="C8513" t="s">
        <v>232</v>
      </c>
      <c r="D8513">
        <v>960</v>
      </c>
      <c r="E8513">
        <v>1024</v>
      </c>
      <c r="F8513">
        <v>743</v>
      </c>
      <c r="G8513">
        <v>720</v>
      </c>
    </row>
    <row r="8514" spans="1:7">
      <c r="A8514" t="s">
        <v>1876</v>
      </c>
      <c r="B8514" t="s">
        <v>373</v>
      </c>
      <c r="C8514" t="s">
        <v>233</v>
      </c>
      <c r="D8514">
        <v>0</v>
      </c>
      <c r="E8514">
        <v>0</v>
      </c>
      <c r="F8514">
        <v>0</v>
      </c>
      <c r="G8514">
        <v>0</v>
      </c>
    </row>
    <row r="8515" spans="1:7">
      <c r="A8515" t="s">
        <v>1876</v>
      </c>
      <c r="B8515" t="s">
        <v>373</v>
      </c>
      <c r="C8515" t="s">
        <v>234</v>
      </c>
      <c r="D8515">
        <v>63843</v>
      </c>
      <c r="E8515">
        <v>63124</v>
      </c>
      <c r="F8515">
        <v>61868</v>
      </c>
      <c r="G8515">
        <v>64090</v>
      </c>
    </row>
    <row r="8516" spans="1:7">
      <c r="A8516" t="s">
        <v>1876</v>
      </c>
      <c r="B8516" t="s">
        <v>373</v>
      </c>
      <c r="C8516" t="s">
        <v>235</v>
      </c>
      <c r="D8516">
        <v>788</v>
      </c>
      <c r="E8516">
        <v>819</v>
      </c>
      <c r="F8516">
        <v>813</v>
      </c>
      <c r="G8516">
        <v>869</v>
      </c>
    </row>
    <row r="8517" spans="1:7">
      <c r="A8517" t="s">
        <v>1876</v>
      </c>
      <c r="B8517" t="s">
        <v>373</v>
      </c>
      <c r="C8517" t="s">
        <v>236</v>
      </c>
      <c r="D8517">
        <v>1699</v>
      </c>
      <c r="E8517">
        <v>1842</v>
      </c>
      <c r="F8517">
        <v>1877</v>
      </c>
      <c r="G8517">
        <v>2134</v>
      </c>
    </row>
    <row r="8518" spans="1:7">
      <c r="A8518" t="s">
        <v>1876</v>
      </c>
      <c r="B8518" t="s">
        <v>373</v>
      </c>
      <c r="C8518" t="s">
        <v>237</v>
      </c>
      <c r="D8518">
        <v>66329</v>
      </c>
      <c r="E8518">
        <v>65785</v>
      </c>
      <c r="F8518">
        <v>64558</v>
      </c>
      <c r="G8518">
        <v>67093</v>
      </c>
    </row>
    <row r="8519" spans="1:7">
      <c r="A8519" t="s">
        <v>1876</v>
      </c>
      <c r="B8519" t="s">
        <v>373</v>
      </c>
      <c r="C8519" t="s">
        <v>238</v>
      </c>
      <c r="D8519">
        <v>66329</v>
      </c>
      <c r="E8519">
        <v>65785</v>
      </c>
      <c r="F8519">
        <v>64558</v>
      </c>
      <c r="G8519">
        <v>67093</v>
      </c>
    </row>
    <row r="8520" spans="1:7">
      <c r="A8520" t="s">
        <v>1876</v>
      </c>
      <c r="B8520" t="s">
        <v>373</v>
      </c>
      <c r="C8520" t="s">
        <v>1934</v>
      </c>
      <c r="D8520">
        <v>59410</v>
      </c>
      <c r="E8520">
        <v>59034</v>
      </c>
      <c r="F8520">
        <v>57956</v>
      </c>
      <c r="G8520">
        <v>60201</v>
      </c>
    </row>
    <row r="8521" spans="1:7">
      <c r="A8521" t="s">
        <v>1876</v>
      </c>
      <c r="B8521" t="s">
        <v>373</v>
      </c>
      <c r="C8521" t="s">
        <v>1935</v>
      </c>
      <c r="D8521">
        <v>733</v>
      </c>
      <c r="E8521">
        <v>766</v>
      </c>
      <c r="F8521">
        <v>762</v>
      </c>
      <c r="G8521">
        <v>816</v>
      </c>
    </row>
    <row r="8522" spans="1:7">
      <c r="A8522" t="s">
        <v>1876</v>
      </c>
      <c r="B8522" t="s">
        <v>373</v>
      </c>
      <c r="C8522" t="s">
        <v>1936</v>
      </c>
      <c r="D8522">
        <v>1581</v>
      </c>
      <c r="E8522">
        <v>1723</v>
      </c>
      <c r="F8522">
        <v>1758</v>
      </c>
      <c r="G8522">
        <v>2004</v>
      </c>
    </row>
    <row r="8523" spans="1:7">
      <c r="A8523" t="s">
        <v>1876</v>
      </c>
      <c r="B8523" t="s">
        <v>373</v>
      </c>
      <c r="C8523" t="s">
        <v>239</v>
      </c>
      <c r="D8523">
        <v>61724</v>
      </c>
      <c r="E8523">
        <v>61522</v>
      </c>
      <c r="F8523">
        <v>60475</v>
      </c>
      <c r="G8523">
        <v>63021</v>
      </c>
    </row>
    <row r="8524" spans="1:7">
      <c r="A8524" t="s">
        <v>1876</v>
      </c>
      <c r="B8524" t="s">
        <v>373</v>
      </c>
      <c r="C8524" t="s">
        <v>240</v>
      </c>
      <c r="D8524">
        <v>0</v>
      </c>
      <c r="E8524">
        <v>0</v>
      </c>
      <c r="F8524">
        <v>0</v>
      </c>
      <c r="G8524">
        <v>0</v>
      </c>
    </row>
    <row r="8525" spans="1:7">
      <c r="A8525" t="s">
        <v>1876</v>
      </c>
      <c r="B8525" t="s">
        <v>373</v>
      </c>
      <c r="C8525" t="s">
        <v>241</v>
      </c>
      <c r="D8525">
        <v>0</v>
      </c>
      <c r="E8525">
        <v>0</v>
      </c>
      <c r="F8525">
        <v>0</v>
      </c>
      <c r="G8525">
        <v>0</v>
      </c>
    </row>
    <row r="8526" spans="1:7">
      <c r="A8526" t="s">
        <v>1876</v>
      </c>
      <c r="B8526" t="s">
        <v>373</v>
      </c>
      <c r="C8526" t="s">
        <v>242</v>
      </c>
      <c r="D8526">
        <v>3126</v>
      </c>
      <c r="E8526">
        <v>2636</v>
      </c>
      <c r="F8526">
        <v>2135</v>
      </c>
      <c r="G8526">
        <v>2403</v>
      </c>
    </row>
    <row r="8527" spans="1:7">
      <c r="A8527" t="s">
        <v>1876</v>
      </c>
      <c r="B8527" t="s">
        <v>373</v>
      </c>
      <c r="C8527" t="s">
        <v>243</v>
      </c>
      <c r="D8527">
        <v>26103</v>
      </c>
      <c r="E8527">
        <v>28466</v>
      </c>
      <c r="F8527">
        <v>28271</v>
      </c>
      <c r="G8527">
        <v>27168</v>
      </c>
    </row>
    <row r="8528" spans="1:7">
      <c r="A8528" t="s">
        <v>1876</v>
      </c>
      <c r="B8528" t="s">
        <v>373</v>
      </c>
      <c r="C8528" t="s">
        <v>244</v>
      </c>
      <c r="D8528">
        <v>5929</v>
      </c>
      <c r="E8528">
        <v>8069</v>
      </c>
      <c r="F8528">
        <v>10813</v>
      </c>
      <c r="G8528">
        <v>10484</v>
      </c>
    </row>
    <row r="8529" spans="1:7">
      <c r="A8529" t="s">
        <v>1876</v>
      </c>
      <c r="B8529" t="s">
        <v>373</v>
      </c>
      <c r="C8529" t="s">
        <v>1709</v>
      </c>
      <c r="D8529">
        <v>388</v>
      </c>
      <c r="E8529">
        <v>388</v>
      </c>
      <c r="F8529">
        <v>388</v>
      </c>
      <c r="G8529">
        <v>554</v>
      </c>
    </row>
    <row r="8530" spans="1:7">
      <c r="A8530" t="s">
        <v>1876</v>
      </c>
      <c r="B8530" t="s">
        <v>373</v>
      </c>
      <c r="C8530" t="s">
        <v>245</v>
      </c>
      <c r="D8530">
        <v>29614</v>
      </c>
      <c r="E8530">
        <v>30337</v>
      </c>
      <c r="F8530">
        <v>31966</v>
      </c>
      <c r="G8530">
        <v>32097</v>
      </c>
    </row>
    <row r="8531" spans="1:7">
      <c r="A8531" t="s">
        <v>1876</v>
      </c>
      <c r="B8531" t="s">
        <v>373</v>
      </c>
      <c r="C8531" t="s">
        <v>246</v>
      </c>
      <c r="D8531">
        <v>22335</v>
      </c>
      <c r="E8531">
        <v>24463</v>
      </c>
      <c r="F8531">
        <v>23332</v>
      </c>
      <c r="G8531">
        <v>22259</v>
      </c>
    </row>
    <row r="8532" spans="1:7">
      <c r="A8532" t="s">
        <v>1876</v>
      </c>
      <c r="B8532" t="s">
        <v>373</v>
      </c>
      <c r="C8532" t="s">
        <v>247</v>
      </c>
      <c r="D8532">
        <v>87105</v>
      </c>
      <c r="E8532">
        <v>93971</v>
      </c>
      <c r="F8532">
        <v>96517</v>
      </c>
      <c r="G8532">
        <v>94411</v>
      </c>
    </row>
    <row r="8533" spans="1:7">
      <c r="A8533" t="s">
        <v>1876</v>
      </c>
      <c r="B8533" t="s">
        <v>373</v>
      </c>
      <c r="C8533" t="s">
        <v>248</v>
      </c>
      <c r="D8533">
        <v>78.7</v>
      </c>
      <c r="E8533">
        <v>83.8</v>
      </c>
      <c r="F8533">
        <v>85.4</v>
      </c>
      <c r="G8533">
        <v>83</v>
      </c>
    </row>
    <row r="8534" spans="1:7">
      <c r="A8534" t="s">
        <v>1876</v>
      </c>
      <c r="B8534" t="s">
        <v>373</v>
      </c>
      <c r="C8534" t="s">
        <v>249</v>
      </c>
      <c r="D8534">
        <v>81177</v>
      </c>
      <c r="E8534">
        <v>85902</v>
      </c>
      <c r="F8534">
        <v>85704</v>
      </c>
      <c r="G8534">
        <v>83927</v>
      </c>
    </row>
    <row r="8535" spans="1:7">
      <c r="A8535" t="s">
        <v>1876</v>
      </c>
      <c r="B8535" t="s">
        <v>373</v>
      </c>
      <c r="C8535" t="s">
        <v>250</v>
      </c>
      <c r="D8535">
        <v>87105</v>
      </c>
      <c r="E8535">
        <v>93971</v>
      </c>
      <c r="F8535">
        <v>96517</v>
      </c>
      <c r="G8535">
        <v>94411</v>
      </c>
    </row>
    <row r="8536" spans="1:7">
      <c r="A8536" t="s">
        <v>1876</v>
      </c>
      <c r="B8536" t="s">
        <v>373</v>
      </c>
      <c r="C8536" t="s">
        <v>1937</v>
      </c>
      <c r="D8536">
        <v>14.4</v>
      </c>
      <c r="E8536">
        <v>21.2</v>
      </c>
      <c r="F8536">
        <v>31.3</v>
      </c>
      <c r="G8536">
        <v>26.3</v>
      </c>
    </row>
    <row r="8537" spans="1:7">
      <c r="A8537" t="s">
        <v>1876</v>
      </c>
      <c r="B8537" t="s">
        <v>373</v>
      </c>
      <c r="C8537" t="s">
        <v>1938</v>
      </c>
      <c r="D8537">
        <v>0</v>
      </c>
      <c r="E8537">
        <v>0</v>
      </c>
      <c r="F8537">
        <v>0</v>
      </c>
      <c r="G8537">
        <v>0</v>
      </c>
    </row>
    <row r="8538" spans="1:7">
      <c r="A8538" t="s">
        <v>1876</v>
      </c>
      <c r="B8538" t="s">
        <v>373</v>
      </c>
      <c r="C8538" t="s">
        <v>251</v>
      </c>
      <c r="D8538">
        <v>0</v>
      </c>
      <c r="E8538">
        <v>0</v>
      </c>
      <c r="F8538">
        <v>0</v>
      </c>
      <c r="G8538">
        <v>0</v>
      </c>
    </row>
    <row r="8539" spans="1:7">
      <c r="A8539" t="s">
        <v>1876</v>
      </c>
      <c r="B8539" t="s">
        <v>373</v>
      </c>
      <c r="C8539" t="s">
        <v>252</v>
      </c>
      <c r="D8539">
        <v>0</v>
      </c>
      <c r="E8539">
        <v>0</v>
      </c>
      <c r="F8539">
        <v>0</v>
      </c>
      <c r="G8539">
        <v>0</v>
      </c>
    </row>
    <row r="8540" spans="1:7">
      <c r="A8540" t="s">
        <v>1876</v>
      </c>
      <c r="B8540" t="s">
        <v>373</v>
      </c>
      <c r="C8540" t="s">
        <v>1710</v>
      </c>
      <c r="D8540">
        <v>0</v>
      </c>
      <c r="E8540">
        <v>0</v>
      </c>
      <c r="F8540">
        <v>0</v>
      </c>
      <c r="G8540">
        <v>0</v>
      </c>
    </row>
    <row r="8541" spans="1:7">
      <c r="A8541" t="s">
        <v>1876</v>
      </c>
      <c r="B8541" t="s">
        <v>373</v>
      </c>
      <c r="C8541" t="s">
        <v>1939</v>
      </c>
      <c r="D8541">
        <v>0</v>
      </c>
      <c r="E8541">
        <v>0</v>
      </c>
      <c r="F8541">
        <v>0</v>
      </c>
      <c r="G8541">
        <v>0</v>
      </c>
    </row>
    <row r="8542" spans="1:7">
      <c r="A8542" t="s">
        <v>1876</v>
      </c>
      <c r="B8542" t="s">
        <v>373</v>
      </c>
      <c r="C8542" t="s">
        <v>253</v>
      </c>
      <c r="D8542">
        <v>0</v>
      </c>
      <c r="E8542">
        <v>0</v>
      </c>
      <c r="F8542">
        <v>0</v>
      </c>
      <c r="G8542">
        <v>0</v>
      </c>
    </row>
    <row r="8543" spans="1:7">
      <c r="A8543" t="s">
        <v>1876</v>
      </c>
      <c r="B8543" t="s">
        <v>373</v>
      </c>
      <c r="C8543" t="s">
        <v>1711</v>
      </c>
      <c r="D8543">
        <v>2</v>
      </c>
      <c r="E8543">
        <v>2</v>
      </c>
      <c r="F8543">
        <v>2</v>
      </c>
      <c r="G8543">
        <v>2</v>
      </c>
    </row>
    <row r="8544" spans="1:7">
      <c r="A8544" t="s">
        <v>1876</v>
      </c>
      <c r="B8544" t="s">
        <v>373</v>
      </c>
      <c r="C8544" t="s">
        <v>1712</v>
      </c>
      <c r="D8544">
        <v>18342</v>
      </c>
      <c r="E8544">
        <v>17514</v>
      </c>
      <c r="F8544">
        <v>17120</v>
      </c>
      <c r="G8544">
        <v>16558</v>
      </c>
    </row>
    <row r="8545" spans="1:7">
      <c r="A8545" t="s">
        <v>1876</v>
      </c>
      <c r="B8545" t="s">
        <v>373</v>
      </c>
      <c r="C8545" t="s">
        <v>1713</v>
      </c>
      <c r="D8545">
        <v>15</v>
      </c>
      <c r="E8545">
        <v>5</v>
      </c>
      <c r="F8545">
        <v>13</v>
      </c>
      <c r="G8545">
        <v>8</v>
      </c>
    </row>
    <row r="8546" spans="1:7">
      <c r="A8546" t="s">
        <v>1876</v>
      </c>
      <c r="B8546" t="s">
        <v>373</v>
      </c>
      <c r="C8546" t="s">
        <v>1940</v>
      </c>
      <c r="D8546">
        <v>0</v>
      </c>
      <c r="E8546">
        <v>0</v>
      </c>
      <c r="F8546">
        <v>0</v>
      </c>
      <c r="G8546">
        <v>0</v>
      </c>
    </row>
    <row r="8547" spans="1:7">
      <c r="A8547" t="s">
        <v>1876</v>
      </c>
      <c r="B8547" t="s">
        <v>373</v>
      </c>
      <c r="C8547" t="s">
        <v>1941</v>
      </c>
      <c r="D8547">
        <v>0</v>
      </c>
      <c r="E8547">
        <v>0</v>
      </c>
      <c r="F8547">
        <v>0</v>
      </c>
      <c r="G8547">
        <v>0</v>
      </c>
    </row>
    <row r="8548" spans="1:7">
      <c r="A8548" t="s">
        <v>1876</v>
      </c>
      <c r="B8548" t="s">
        <v>373</v>
      </c>
      <c r="C8548" t="s">
        <v>254</v>
      </c>
      <c r="D8548">
        <v>18342</v>
      </c>
      <c r="E8548">
        <v>17514</v>
      </c>
      <c r="F8548">
        <v>17120</v>
      </c>
      <c r="G8548">
        <v>16558</v>
      </c>
    </row>
    <row r="8549" spans="1:7">
      <c r="A8549" t="s">
        <v>1876</v>
      </c>
      <c r="B8549" t="s">
        <v>373</v>
      </c>
      <c r="C8549" t="s">
        <v>1942</v>
      </c>
      <c r="D8549">
        <v>0</v>
      </c>
      <c r="E8549">
        <v>0</v>
      </c>
      <c r="F8549">
        <v>0</v>
      </c>
      <c r="G8549">
        <v>0</v>
      </c>
    </row>
    <row r="8550" spans="1:7">
      <c r="A8550" t="s">
        <v>1876</v>
      </c>
      <c r="B8550" t="s">
        <v>373</v>
      </c>
      <c r="C8550" t="s">
        <v>255</v>
      </c>
      <c r="D8550">
        <v>18357</v>
      </c>
      <c r="E8550">
        <v>17518</v>
      </c>
      <c r="F8550">
        <v>17133</v>
      </c>
      <c r="G8550">
        <v>16567</v>
      </c>
    </row>
    <row r="8551" spans="1:7">
      <c r="A8551" t="s">
        <v>1876</v>
      </c>
      <c r="B8551" t="s">
        <v>373</v>
      </c>
      <c r="C8551" t="s">
        <v>256</v>
      </c>
      <c r="D8551">
        <v>18357</v>
      </c>
      <c r="E8551">
        <v>17518</v>
      </c>
      <c r="F8551">
        <v>17133</v>
      </c>
      <c r="G8551">
        <v>16567</v>
      </c>
    </row>
    <row r="8552" spans="1:7">
      <c r="A8552" t="s">
        <v>1876</v>
      </c>
      <c r="B8552" t="s">
        <v>373</v>
      </c>
      <c r="C8552" t="s">
        <v>1714</v>
      </c>
      <c r="D8552">
        <v>40</v>
      </c>
      <c r="E8552">
        <v>40</v>
      </c>
      <c r="F8552">
        <v>40</v>
      </c>
      <c r="G8552">
        <v>40</v>
      </c>
    </row>
    <row r="8553" spans="1:7">
      <c r="A8553" t="s">
        <v>1876</v>
      </c>
      <c r="B8553" t="s">
        <v>373</v>
      </c>
      <c r="C8553" t="s">
        <v>257</v>
      </c>
      <c r="D8553">
        <v>35216</v>
      </c>
      <c r="E8553">
        <v>34384</v>
      </c>
      <c r="F8553">
        <v>32932</v>
      </c>
      <c r="G8553">
        <v>31878</v>
      </c>
    </row>
    <row r="8554" spans="1:7">
      <c r="A8554" t="s">
        <v>1876</v>
      </c>
      <c r="B8554" t="s">
        <v>373</v>
      </c>
      <c r="C8554" t="s">
        <v>258</v>
      </c>
      <c r="D8554">
        <v>43773</v>
      </c>
      <c r="E8554">
        <v>42618</v>
      </c>
      <c r="F8554">
        <v>41488</v>
      </c>
      <c r="G8554">
        <v>38963</v>
      </c>
    </row>
    <row r="8555" spans="1:7">
      <c r="A8555" t="s">
        <v>1876</v>
      </c>
      <c r="B8555" t="s">
        <v>373</v>
      </c>
      <c r="C8555" t="s">
        <v>259</v>
      </c>
      <c r="D8555">
        <v>36115</v>
      </c>
      <c r="E8555">
        <v>35313</v>
      </c>
      <c r="F8555">
        <v>33660</v>
      </c>
      <c r="G8555">
        <v>32608</v>
      </c>
    </row>
    <row r="8556" spans="1:7">
      <c r="A8556" t="s">
        <v>1876</v>
      </c>
      <c r="B8556" t="s">
        <v>373</v>
      </c>
      <c r="C8556" t="s">
        <v>260</v>
      </c>
      <c r="D8556">
        <v>116320</v>
      </c>
      <c r="E8556">
        <v>113626</v>
      </c>
      <c r="F8556">
        <v>112481</v>
      </c>
      <c r="G8556">
        <v>112648</v>
      </c>
    </row>
    <row r="8557" spans="1:7">
      <c r="A8557" t="s">
        <v>1876</v>
      </c>
      <c r="B8557" t="s">
        <v>373</v>
      </c>
      <c r="C8557" t="s">
        <v>1943</v>
      </c>
      <c r="D8557">
        <v>99.7</v>
      </c>
      <c r="E8557">
        <v>100.8</v>
      </c>
      <c r="F8557">
        <v>107.7</v>
      </c>
      <c r="G8557">
        <v>83.6</v>
      </c>
    </row>
    <row r="8558" spans="1:7">
      <c r="A8558" t="s">
        <v>1876</v>
      </c>
      <c r="B8558" t="s">
        <v>373</v>
      </c>
      <c r="C8558" t="s">
        <v>261</v>
      </c>
      <c r="D8558">
        <v>3647</v>
      </c>
      <c r="E8558">
        <v>4009</v>
      </c>
      <c r="F8558">
        <v>4260</v>
      </c>
      <c r="G8558">
        <v>4250</v>
      </c>
    </row>
    <row r="8559" spans="1:7">
      <c r="A8559" t="s">
        <v>1876</v>
      </c>
      <c r="B8559" t="s">
        <v>373</v>
      </c>
      <c r="C8559" t="s">
        <v>262</v>
      </c>
      <c r="D8559">
        <v>7760</v>
      </c>
      <c r="E8559">
        <v>7437</v>
      </c>
      <c r="F8559">
        <v>7932</v>
      </c>
      <c r="G8559">
        <v>6572</v>
      </c>
    </row>
    <row r="8560" spans="1:7">
      <c r="A8560" t="s">
        <v>1876</v>
      </c>
      <c r="B8560" t="s">
        <v>373</v>
      </c>
      <c r="C8560" t="s">
        <v>1715</v>
      </c>
      <c r="D8560">
        <v>52</v>
      </c>
      <c r="E8560">
        <v>52</v>
      </c>
      <c r="F8560">
        <v>52</v>
      </c>
      <c r="G8560">
        <v>52</v>
      </c>
    </row>
    <row r="8561" spans="1:7">
      <c r="A8561" t="s">
        <v>1876</v>
      </c>
      <c r="B8561" t="s">
        <v>373</v>
      </c>
      <c r="C8561" t="s">
        <v>263</v>
      </c>
      <c r="D8561">
        <v>46416</v>
      </c>
      <c r="E8561">
        <v>46183</v>
      </c>
      <c r="F8561">
        <v>44296</v>
      </c>
      <c r="G8561">
        <v>43144</v>
      </c>
    </row>
    <row r="8562" spans="1:7">
      <c r="A8562" t="s">
        <v>1876</v>
      </c>
      <c r="B8562" t="s">
        <v>373</v>
      </c>
      <c r="C8562" t="s">
        <v>264</v>
      </c>
      <c r="D8562">
        <v>8297</v>
      </c>
      <c r="E8562">
        <v>10452</v>
      </c>
      <c r="F8562">
        <v>8412</v>
      </c>
      <c r="G8562">
        <v>7310</v>
      </c>
    </row>
    <row r="8563" spans="1:7">
      <c r="A8563" t="s">
        <v>1876</v>
      </c>
      <c r="B8563" t="s">
        <v>373</v>
      </c>
      <c r="C8563" t="s">
        <v>265</v>
      </c>
      <c r="D8563">
        <v>182439</v>
      </c>
      <c r="E8563">
        <v>181706</v>
      </c>
      <c r="F8563">
        <v>177382</v>
      </c>
      <c r="G8563">
        <v>173923</v>
      </c>
    </row>
    <row r="8564" spans="1:7">
      <c r="A8564" t="s">
        <v>1876</v>
      </c>
      <c r="B8564" t="s">
        <v>373</v>
      </c>
      <c r="C8564" t="s">
        <v>266</v>
      </c>
      <c r="D8564">
        <v>164.9</v>
      </c>
      <c r="E8564">
        <v>162</v>
      </c>
      <c r="F8564">
        <v>156.9</v>
      </c>
      <c r="G8564">
        <v>152.9</v>
      </c>
    </row>
    <row r="8565" spans="1:7">
      <c r="A8565" t="s">
        <v>1876</v>
      </c>
      <c r="B8565" t="s">
        <v>373</v>
      </c>
      <c r="C8565" t="s">
        <v>267</v>
      </c>
      <c r="D8565">
        <v>174679</v>
      </c>
      <c r="E8565">
        <v>174269</v>
      </c>
      <c r="F8565">
        <v>169450</v>
      </c>
      <c r="G8565">
        <v>167351</v>
      </c>
    </row>
    <row r="8566" spans="1:7">
      <c r="A8566" t="s">
        <v>1876</v>
      </c>
      <c r="B8566" t="s">
        <v>373</v>
      </c>
      <c r="C8566" t="s">
        <v>268</v>
      </c>
      <c r="D8566">
        <v>0</v>
      </c>
      <c r="E8566">
        <v>0</v>
      </c>
      <c r="F8566">
        <v>0</v>
      </c>
      <c r="G8566">
        <v>0</v>
      </c>
    </row>
    <row r="8567" spans="1:7">
      <c r="A8567" t="s">
        <v>1876</v>
      </c>
      <c r="B8567" t="s">
        <v>373</v>
      </c>
      <c r="C8567" t="s">
        <v>269</v>
      </c>
      <c r="D8567">
        <v>7658</v>
      </c>
      <c r="E8567">
        <v>7306</v>
      </c>
      <c r="F8567">
        <v>7828</v>
      </c>
      <c r="G8567">
        <v>6355</v>
      </c>
    </row>
    <row r="8568" spans="1:7">
      <c r="A8568" t="s">
        <v>1876</v>
      </c>
      <c r="B8568" t="s">
        <v>373</v>
      </c>
      <c r="C8568" t="s">
        <v>270</v>
      </c>
      <c r="D8568">
        <v>6268</v>
      </c>
      <c r="E8568">
        <v>6419</v>
      </c>
      <c r="F8568">
        <v>5853</v>
      </c>
      <c r="G8568">
        <v>4828</v>
      </c>
    </row>
    <row r="8569" spans="1:7">
      <c r="A8569" t="s">
        <v>1876</v>
      </c>
      <c r="B8569" t="s">
        <v>373</v>
      </c>
      <c r="C8569" t="s">
        <v>271</v>
      </c>
      <c r="D8569">
        <v>13926</v>
      </c>
      <c r="E8569">
        <v>13725</v>
      </c>
      <c r="F8569">
        <v>13681</v>
      </c>
      <c r="G8569">
        <v>11183</v>
      </c>
    </row>
    <row r="8570" spans="1:7">
      <c r="A8570" t="s">
        <v>1876</v>
      </c>
      <c r="B8570" t="s">
        <v>373</v>
      </c>
      <c r="C8570" t="s">
        <v>272</v>
      </c>
      <c r="D8570">
        <v>6268</v>
      </c>
      <c r="E8570">
        <v>6419</v>
      </c>
      <c r="F8570">
        <v>5853</v>
      </c>
      <c r="G8570">
        <v>4828</v>
      </c>
    </row>
    <row r="8571" spans="1:7">
      <c r="A8571" t="s">
        <v>1876</v>
      </c>
      <c r="B8571" t="s">
        <v>373</v>
      </c>
      <c r="C8571" t="s">
        <v>1944</v>
      </c>
      <c r="D8571">
        <v>1.1000000000000001</v>
      </c>
      <c r="E8571">
        <v>1.6</v>
      </c>
      <c r="F8571">
        <v>2.2000000000000002</v>
      </c>
      <c r="G8571">
        <v>3.1</v>
      </c>
    </row>
    <row r="8572" spans="1:7">
      <c r="A8572" t="s">
        <v>1876</v>
      </c>
      <c r="B8572" t="s">
        <v>373</v>
      </c>
      <c r="C8572" t="s">
        <v>1945</v>
      </c>
      <c r="D8572">
        <v>2</v>
      </c>
      <c r="E8572">
        <v>3</v>
      </c>
      <c r="F8572">
        <v>7</v>
      </c>
      <c r="G8572">
        <v>9</v>
      </c>
    </row>
    <row r="8573" spans="1:7">
      <c r="A8573" t="s">
        <v>1876</v>
      </c>
      <c r="B8573" t="s">
        <v>373</v>
      </c>
      <c r="C8573" t="s">
        <v>273</v>
      </c>
      <c r="D8573">
        <v>0</v>
      </c>
      <c r="E8573">
        <v>0</v>
      </c>
      <c r="F8573">
        <v>0</v>
      </c>
      <c r="G8573">
        <v>0</v>
      </c>
    </row>
    <row r="8574" spans="1:7">
      <c r="A8574" t="s">
        <v>1876</v>
      </c>
      <c r="B8574" t="s">
        <v>373</v>
      </c>
      <c r="C8574" t="s">
        <v>1946</v>
      </c>
      <c r="D8574">
        <v>111861</v>
      </c>
      <c r="E8574">
        <v>109527</v>
      </c>
      <c r="F8574">
        <v>108547</v>
      </c>
      <c r="G8574">
        <v>108746</v>
      </c>
    </row>
    <row r="8575" spans="1:7">
      <c r="A8575" t="s">
        <v>1876</v>
      </c>
      <c r="B8575" t="s">
        <v>373</v>
      </c>
      <c r="C8575" t="s">
        <v>1947</v>
      </c>
      <c r="D8575">
        <v>3592</v>
      </c>
      <c r="E8575">
        <v>3956</v>
      </c>
      <c r="F8575">
        <v>4209</v>
      </c>
      <c r="G8575">
        <v>4197</v>
      </c>
    </row>
    <row r="8576" spans="1:7">
      <c r="A8576" t="s">
        <v>1876</v>
      </c>
      <c r="B8576" t="s">
        <v>373</v>
      </c>
      <c r="C8576" t="s">
        <v>1948</v>
      </c>
      <c r="D8576">
        <v>7760</v>
      </c>
      <c r="E8576">
        <v>7437</v>
      </c>
      <c r="F8576">
        <v>7932</v>
      </c>
      <c r="G8576">
        <v>6572</v>
      </c>
    </row>
    <row r="8577" spans="1:7">
      <c r="A8577" t="s">
        <v>1876</v>
      </c>
      <c r="B8577" t="s">
        <v>373</v>
      </c>
      <c r="C8577" t="s">
        <v>1949</v>
      </c>
      <c r="D8577">
        <v>46298</v>
      </c>
      <c r="E8577">
        <v>46063</v>
      </c>
      <c r="F8577">
        <v>44178</v>
      </c>
      <c r="G8577">
        <v>43014</v>
      </c>
    </row>
    <row r="8578" spans="1:7">
      <c r="A8578" t="s">
        <v>1876</v>
      </c>
      <c r="B8578" t="s">
        <v>373</v>
      </c>
      <c r="C8578" t="s">
        <v>1950</v>
      </c>
      <c r="D8578">
        <v>8297</v>
      </c>
      <c r="E8578">
        <v>10452</v>
      </c>
      <c r="F8578">
        <v>8412</v>
      </c>
      <c r="G8578">
        <v>7310</v>
      </c>
    </row>
    <row r="8579" spans="1:7">
      <c r="A8579" t="s">
        <v>1876</v>
      </c>
      <c r="B8579" t="s">
        <v>373</v>
      </c>
      <c r="C8579" t="s">
        <v>274</v>
      </c>
      <c r="D8579">
        <v>177808</v>
      </c>
      <c r="E8579">
        <v>177435</v>
      </c>
      <c r="F8579">
        <v>173279</v>
      </c>
      <c r="G8579">
        <v>169839</v>
      </c>
    </row>
    <row r="8580" spans="1:7">
      <c r="A8580" t="s">
        <v>1876</v>
      </c>
      <c r="B8580" t="s">
        <v>373</v>
      </c>
      <c r="C8580" t="s">
        <v>275</v>
      </c>
      <c r="D8580">
        <v>0</v>
      </c>
      <c r="E8580">
        <v>0</v>
      </c>
      <c r="F8580">
        <v>0</v>
      </c>
      <c r="G8580">
        <v>0</v>
      </c>
    </row>
    <row r="8581" spans="1:7">
      <c r="A8581" t="s">
        <v>1876</v>
      </c>
      <c r="B8581" t="s">
        <v>373</v>
      </c>
      <c r="C8581" t="s">
        <v>276</v>
      </c>
      <c r="D8581">
        <v>0</v>
      </c>
      <c r="E8581">
        <v>0</v>
      </c>
      <c r="F8581">
        <v>0</v>
      </c>
      <c r="G8581">
        <v>0</v>
      </c>
    </row>
    <row r="8582" spans="1:7">
      <c r="A8582" t="s">
        <v>1876</v>
      </c>
      <c r="B8582" t="s">
        <v>373</v>
      </c>
      <c r="C8582" t="s">
        <v>277</v>
      </c>
      <c r="D8582">
        <v>12</v>
      </c>
      <c r="E8582">
        <v>34</v>
      </c>
      <c r="F8582">
        <v>26</v>
      </c>
      <c r="G8582">
        <v>41</v>
      </c>
    </row>
    <row r="8583" spans="1:7">
      <c r="A8583" t="s">
        <v>1876</v>
      </c>
      <c r="B8583" t="s">
        <v>373</v>
      </c>
      <c r="C8583" t="s">
        <v>278</v>
      </c>
      <c r="D8583">
        <v>2291</v>
      </c>
      <c r="E8583">
        <v>2614</v>
      </c>
      <c r="F8583">
        <v>2865</v>
      </c>
      <c r="G8583">
        <v>2823</v>
      </c>
    </row>
    <row r="8584" spans="1:7">
      <c r="A8584" t="s">
        <v>1876</v>
      </c>
      <c r="B8584" t="s">
        <v>373</v>
      </c>
      <c r="C8584" t="s">
        <v>279</v>
      </c>
      <c r="D8584">
        <v>466</v>
      </c>
      <c r="E8584">
        <v>823</v>
      </c>
      <c r="F8584">
        <v>574</v>
      </c>
      <c r="G8584">
        <v>482</v>
      </c>
    </row>
    <row r="8585" spans="1:7">
      <c r="A8585" t="s">
        <v>1876</v>
      </c>
      <c r="B8585" t="s">
        <v>373</v>
      </c>
      <c r="C8585" t="s">
        <v>280</v>
      </c>
      <c r="D8585">
        <v>7863</v>
      </c>
      <c r="E8585">
        <v>10006</v>
      </c>
      <c r="F8585">
        <v>7961</v>
      </c>
      <c r="G8585">
        <v>6888</v>
      </c>
    </row>
    <row r="8586" spans="1:7">
      <c r="A8586" t="s">
        <v>1876</v>
      </c>
      <c r="B8586" t="s">
        <v>373</v>
      </c>
      <c r="C8586" t="s">
        <v>281</v>
      </c>
      <c r="D8586">
        <v>10633</v>
      </c>
      <c r="E8586">
        <v>13478</v>
      </c>
      <c r="F8586">
        <v>11427</v>
      </c>
      <c r="G8586">
        <v>10234</v>
      </c>
    </row>
    <row r="8587" spans="1:7">
      <c r="A8587" t="s">
        <v>1876</v>
      </c>
      <c r="B8587" t="s">
        <v>373</v>
      </c>
      <c r="C8587" t="s">
        <v>282</v>
      </c>
      <c r="D8587">
        <v>10633</v>
      </c>
      <c r="E8587">
        <v>13478</v>
      </c>
      <c r="F8587">
        <v>11427</v>
      </c>
      <c r="G8587">
        <v>10234</v>
      </c>
    </row>
    <row r="8588" spans="1:7">
      <c r="A8588" t="s">
        <v>1876</v>
      </c>
      <c r="B8588" t="s">
        <v>373</v>
      </c>
      <c r="C8588" t="s">
        <v>283</v>
      </c>
      <c r="D8588">
        <v>0</v>
      </c>
      <c r="E8588">
        <v>0</v>
      </c>
      <c r="F8588">
        <v>0</v>
      </c>
      <c r="G8588">
        <v>0</v>
      </c>
    </row>
    <row r="8589" spans="1:7">
      <c r="A8589" t="s">
        <v>1876</v>
      </c>
      <c r="B8589" t="s">
        <v>373</v>
      </c>
      <c r="C8589" t="s">
        <v>284</v>
      </c>
      <c r="D8589">
        <v>0</v>
      </c>
      <c r="E8589">
        <v>0</v>
      </c>
      <c r="F8589">
        <v>0</v>
      </c>
      <c r="G8589">
        <v>0</v>
      </c>
    </row>
    <row r="8590" spans="1:7">
      <c r="A8590" t="s">
        <v>1876</v>
      </c>
      <c r="B8590" t="s">
        <v>373</v>
      </c>
      <c r="C8590" t="s">
        <v>1716</v>
      </c>
      <c r="D8590">
        <v>4458</v>
      </c>
      <c r="E8590">
        <v>4099</v>
      </c>
      <c r="F8590">
        <v>3933</v>
      </c>
      <c r="G8590">
        <v>3902</v>
      </c>
    </row>
    <row r="8591" spans="1:7">
      <c r="A8591" t="s">
        <v>1876</v>
      </c>
      <c r="B8591" t="s">
        <v>373</v>
      </c>
      <c r="C8591" t="s">
        <v>1717</v>
      </c>
      <c r="D8591">
        <v>1148</v>
      </c>
      <c r="E8591">
        <v>1152</v>
      </c>
      <c r="F8591">
        <v>1157</v>
      </c>
      <c r="G8591">
        <v>1169</v>
      </c>
    </row>
    <row r="8592" spans="1:7">
      <c r="A8592" t="s">
        <v>1876</v>
      </c>
      <c r="B8592" t="s">
        <v>373</v>
      </c>
      <c r="C8592" t="s">
        <v>1718</v>
      </c>
      <c r="D8592">
        <v>43667</v>
      </c>
      <c r="E8592">
        <v>47649</v>
      </c>
      <c r="F8592">
        <v>46440</v>
      </c>
      <c r="G8592">
        <v>52706</v>
      </c>
    </row>
    <row r="8593" spans="1:7">
      <c r="A8593" t="s">
        <v>1876</v>
      </c>
      <c r="B8593" t="s">
        <v>373</v>
      </c>
      <c r="C8593" t="s">
        <v>1719</v>
      </c>
      <c r="D8593">
        <v>3955</v>
      </c>
      <c r="E8593">
        <v>4327</v>
      </c>
      <c r="F8593">
        <v>4590</v>
      </c>
      <c r="G8593">
        <v>4909</v>
      </c>
    </row>
    <row r="8594" spans="1:7">
      <c r="A8594" t="s">
        <v>1876</v>
      </c>
      <c r="B8594" t="s">
        <v>373</v>
      </c>
      <c r="C8594" t="s">
        <v>1720</v>
      </c>
      <c r="D8594">
        <v>2111</v>
      </c>
      <c r="E8594">
        <v>1801</v>
      </c>
      <c r="F8594">
        <v>1815</v>
      </c>
      <c r="G8594">
        <v>1755</v>
      </c>
    </row>
    <row r="8595" spans="1:7">
      <c r="A8595" t="s">
        <v>1876</v>
      </c>
      <c r="B8595" t="s">
        <v>373</v>
      </c>
      <c r="C8595" t="s">
        <v>1721</v>
      </c>
      <c r="D8595">
        <v>4949</v>
      </c>
      <c r="E8595">
        <v>6205</v>
      </c>
      <c r="F8595">
        <v>5386</v>
      </c>
      <c r="G8595">
        <v>5165</v>
      </c>
    </row>
    <row r="8596" spans="1:7">
      <c r="A8596" t="s">
        <v>1876</v>
      </c>
      <c r="B8596" t="s">
        <v>373</v>
      </c>
      <c r="C8596" t="s">
        <v>285</v>
      </c>
      <c r="D8596">
        <v>56334</v>
      </c>
      <c r="E8596">
        <v>60905</v>
      </c>
      <c r="F8596">
        <v>58731</v>
      </c>
      <c r="G8596">
        <v>64697</v>
      </c>
    </row>
    <row r="8597" spans="1:7">
      <c r="A8597" t="s">
        <v>1876</v>
      </c>
      <c r="B8597" t="s">
        <v>373</v>
      </c>
      <c r="C8597" t="s">
        <v>1951</v>
      </c>
      <c r="D8597">
        <v>14.8</v>
      </c>
      <c r="E8597">
        <v>15.6</v>
      </c>
      <c r="F8597">
        <v>15.4</v>
      </c>
      <c r="G8597">
        <v>17.5</v>
      </c>
    </row>
    <row r="8598" spans="1:7">
      <c r="A8598" t="s">
        <v>1876</v>
      </c>
      <c r="B8598" t="s">
        <v>373</v>
      </c>
      <c r="C8598" t="s">
        <v>286</v>
      </c>
      <c r="D8598">
        <v>0</v>
      </c>
      <c r="E8598">
        <v>0</v>
      </c>
      <c r="F8598">
        <v>0</v>
      </c>
      <c r="G8598">
        <v>0</v>
      </c>
    </row>
    <row r="8599" spans="1:7">
      <c r="A8599" t="s">
        <v>1876</v>
      </c>
      <c r="B8599" t="s">
        <v>373</v>
      </c>
      <c r="C8599" t="s">
        <v>287</v>
      </c>
      <c r="D8599">
        <v>0</v>
      </c>
      <c r="E8599">
        <v>0</v>
      </c>
      <c r="F8599">
        <v>0</v>
      </c>
      <c r="G8599">
        <v>0</v>
      </c>
    </row>
    <row r="8600" spans="1:7">
      <c r="A8600" t="s">
        <v>1876</v>
      </c>
      <c r="B8600" t="s">
        <v>373</v>
      </c>
      <c r="C8600" t="s">
        <v>288</v>
      </c>
      <c r="D8600">
        <v>0</v>
      </c>
      <c r="E8600">
        <v>0</v>
      </c>
      <c r="F8600">
        <v>0</v>
      </c>
      <c r="G8600">
        <v>0</v>
      </c>
    </row>
    <row r="8601" spans="1:7">
      <c r="A8601" t="s">
        <v>1876</v>
      </c>
      <c r="B8601" t="s">
        <v>373</v>
      </c>
      <c r="C8601" t="s">
        <v>289</v>
      </c>
      <c r="D8601">
        <v>0</v>
      </c>
      <c r="E8601">
        <v>0</v>
      </c>
      <c r="F8601">
        <v>0</v>
      </c>
      <c r="G8601">
        <v>0</v>
      </c>
    </row>
    <row r="8602" spans="1:7">
      <c r="A8602" t="s">
        <v>1876</v>
      </c>
      <c r="B8602" t="s">
        <v>373</v>
      </c>
      <c r="C8602" t="s">
        <v>290</v>
      </c>
      <c r="D8602">
        <v>0</v>
      </c>
      <c r="E8602">
        <v>0</v>
      </c>
      <c r="F8602">
        <v>0</v>
      </c>
      <c r="G8602">
        <v>0</v>
      </c>
    </row>
    <row r="8603" spans="1:7">
      <c r="A8603" t="s">
        <v>1876</v>
      </c>
      <c r="B8603" t="s">
        <v>373</v>
      </c>
      <c r="C8603" t="s">
        <v>291</v>
      </c>
      <c r="D8603">
        <v>0</v>
      </c>
      <c r="E8603">
        <v>0</v>
      </c>
      <c r="F8603">
        <v>0</v>
      </c>
      <c r="G8603">
        <v>0</v>
      </c>
    </row>
    <row r="8604" spans="1:7">
      <c r="A8604" t="s">
        <v>1876</v>
      </c>
      <c r="B8604" t="s">
        <v>373</v>
      </c>
      <c r="C8604" t="s">
        <v>292</v>
      </c>
      <c r="D8604">
        <v>0</v>
      </c>
      <c r="E8604">
        <v>0</v>
      </c>
      <c r="F8604">
        <v>0</v>
      </c>
      <c r="G8604">
        <v>0</v>
      </c>
    </row>
    <row r="8605" spans="1:7">
      <c r="A8605" t="s">
        <v>1876</v>
      </c>
      <c r="B8605" t="s">
        <v>373</v>
      </c>
      <c r="C8605" t="s">
        <v>293</v>
      </c>
      <c r="D8605">
        <v>0</v>
      </c>
      <c r="E8605">
        <v>0</v>
      </c>
      <c r="F8605">
        <v>0</v>
      </c>
      <c r="G8605">
        <v>0</v>
      </c>
    </row>
    <row r="8606" spans="1:7">
      <c r="A8606" t="s">
        <v>1876</v>
      </c>
      <c r="B8606" t="s">
        <v>373</v>
      </c>
      <c r="C8606" t="s">
        <v>294</v>
      </c>
      <c r="D8606">
        <v>0</v>
      </c>
      <c r="E8606">
        <v>0</v>
      </c>
      <c r="F8606">
        <v>0</v>
      </c>
      <c r="G8606">
        <v>0</v>
      </c>
    </row>
    <row r="8607" spans="1:7">
      <c r="A8607" t="s">
        <v>1876</v>
      </c>
      <c r="B8607" t="s">
        <v>373</v>
      </c>
      <c r="C8607" t="s">
        <v>295</v>
      </c>
      <c r="D8607">
        <v>0</v>
      </c>
      <c r="E8607">
        <v>0</v>
      </c>
      <c r="F8607">
        <v>0</v>
      </c>
      <c r="G8607">
        <v>0</v>
      </c>
    </row>
    <row r="8608" spans="1:7">
      <c r="A8608" t="s">
        <v>1876</v>
      </c>
      <c r="B8608" t="s">
        <v>373</v>
      </c>
      <c r="C8608" t="s">
        <v>296</v>
      </c>
      <c r="D8608">
        <v>0</v>
      </c>
      <c r="E8608">
        <v>0</v>
      </c>
      <c r="F8608">
        <v>0</v>
      </c>
      <c r="G8608">
        <v>0</v>
      </c>
    </row>
    <row r="8609" spans="1:7">
      <c r="A8609" t="s">
        <v>1876</v>
      </c>
      <c r="B8609" t="s">
        <v>373</v>
      </c>
      <c r="C8609" t="s">
        <v>297</v>
      </c>
      <c r="D8609">
        <v>17762</v>
      </c>
      <c r="E8609">
        <v>17521</v>
      </c>
      <c r="F8609">
        <v>17127</v>
      </c>
      <c r="G8609">
        <v>16570</v>
      </c>
    </row>
    <row r="8610" spans="1:7">
      <c r="A8610" t="s">
        <v>1876</v>
      </c>
      <c r="B8610" t="s">
        <v>373</v>
      </c>
      <c r="C8610" t="s">
        <v>1952</v>
      </c>
      <c r="D8610">
        <v>0</v>
      </c>
      <c r="E8610">
        <v>0</v>
      </c>
      <c r="F8610">
        <v>0</v>
      </c>
      <c r="G8610">
        <v>0</v>
      </c>
    </row>
    <row r="8611" spans="1:7">
      <c r="A8611" t="s">
        <v>1876</v>
      </c>
      <c r="B8611" t="s">
        <v>373</v>
      </c>
      <c r="C8611" t="s">
        <v>298</v>
      </c>
      <c r="D8611">
        <v>0</v>
      </c>
      <c r="E8611">
        <v>0</v>
      </c>
      <c r="F8611">
        <v>0</v>
      </c>
      <c r="G8611">
        <v>0</v>
      </c>
    </row>
    <row r="8612" spans="1:7">
      <c r="A8612" t="s">
        <v>1876</v>
      </c>
      <c r="B8612" t="s">
        <v>373</v>
      </c>
      <c r="C8612" t="s">
        <v>299</v>
      </c>
      <c r="D8612">
        <v>42</v>
      </c>
      <c r="E8612">
        <v>48</v>
      </c>
      <c r="F8612">
        <v>54</v>
      </c>
      <c r="G8612">
        <v>65</v>
      </c>
    </row>
    <row r="8613" spans="1:7">
      <c r="A8613" t="s">
        <v>1876</v>
      </c>
      <c r="B8613" t="s">
        <v>373</v>
      </c>
      <c r="C8613" t="s">
        <v>300</v>
      </c>
      <c r="D8613">
        <v>114</v>
      </c>
      <c r="E8613">
        <v>108</v>
      </c>
      <c r="F8613">
        <v>820</v>
      </c>
      <c r="G8613">
        <v>1237</v>
      </c>
    </row>
    <row r="8614" spans="1:7">
      <c r="A8614" t="s">
        <v>1876</v>
      </c>
      <c r="B8614" t="s">
        <v>373</v>
      </c>
      <c r="C8614" t="s">
        <v>1722</v>
      </c>
      <c r="D8614">
        <v>17</v>
      </c>
      <c r="E8614">
        <v>17</v>
      </c>
      <c r="F8614">
        <v>177</v>
      </c>
      <c r="G8614">
        <v>179</v>
      </c>
    </row>
    <row r="8615" spans="1:7">
      <c r="A8615" t="s">
        <v>1876</v>
      </c>
      <c r="B8615" t="s">
        <v>373</v>
      </c>
      <c r="C8615" t="s">
        <v>301</v>
      </c>
      <c r="D8615">
        <v>0</v>
      </c>
      <c r="E8615">
        <v>0</v>
      </c>
      <c r="F8615">
        <v>0</v>
      </c>
      <c r="G8615">
        <v>13</v>
      </c>
    </row>
    <row r="8616" spans="1:7">
      <c r="A8616" t="s">
        <v>1876</v>
      </c>
      <c r="B8616" t="s">
        <v>373</v>
      </c>
      <c r="C8616" t="s">
        <v>302</v>
      </c>
      <c r="D8616">
        <v>112</v>
      </c>
      <c r="E8616">
        <v>143</v>
      </c>
      <c r="F8616">
        <v>215</v>
      </c>
      <c r="G8616">
        <v>310</v>
      </c>
    </row>
    <row r="8617" spans="1:7">
      <c r="A8617" t="s">
        <v>1876</v>
      </c>
      <c r="B8617" t="s">
        <v>373</v>
      </c>
      <c r="C8617" t="s">
        <v>303</v>
      </c>
      <c r="D8617">
        <v>269</v>
      </c>
      <c r="E8617">
        <v>299</v>
      </c>
      <c r="F8617">
        <v>1089</v>
      </c>
      <c r="G8617">
        <v>1624</v>
      </c>
    </row>
    <row r="8618" spans="1:7">
      <c r="A8618" t="s">
        <v>1876</v>
      </c>
      <c r="B8618" t="s">
        <v>373</v>
      </c>
      <c r="C8618" t="s">
        <v>304</v>
      </c>
      <c r="D8618">
        <v>155</v>
      </c>
      <c r="E8618">
        <v>191</v>
      </c>
      <c r="F8618">
        <v>269</v>
      </c>
      <c r="G8618">
        <v>387</v>
      </c>
    </row>
    <row r="8619" spans="1:7">
      <c r="A8619" t="s">
        <v>1876</v>
      </c>
      <c r="B8619" t="s">
        <v>373</v>
      </c>
      <c r="C8619" t="s">
        <v>1953</v>
      </c>
      <c r="D8619">
        <v>22.5</v>
      </c>
      <c r="E8619">
        <v>21.2</v>
      </c>
      <c r="F8619">
        <v>21.6</v>
      </c>
      <c r="G8619">
        <v>23.3</v>
      </c>
    </row>
    <row r="8620" spans="1:7">
      <c r="A8620" t="s">
        <v>1876</v>
      </c>
      <c r="B8620" t="s">
        <v>373</v>
      </c>
      <c r="C8620" t="s">
        <v>305</v>
      </c>
      <c r="D8620">
        <v>119445</v>
      </c>
      <c r="E8620">
        <v>116261</v>
      </c>
      <c r="F8620">
        <v>114615</v>
      </c>
      <c r="G8620">
        <v>115051</v>
      </c>
    </row>
    <row r="8621" spans="1:7">
      <c r="A8621" t="s">
        <v>1876</v>
      </c>
      <c r="B8621" t="s">
        <v>373</v>
      </c>
      <c r="C8621" t="s">
        <v>306</v>
      </c>
      <c r="D8621">
        <v>108</v>
      </c>
      <c r="E8621">
        <v>103.7</v>
      </c>
      <c r="F8621">
        <v>101.4</v>
      </c>
      <c r="G8621">
        <v>101.1</v>
      </c>
    </row>
    <row r="8622" spans="1:7">
      <c r="A8622" t="s">
        <v>1876</v>
      </c>
      <c r="B8622" t="s">
        <v>373</v>
      </c>
      <c r="C8622" t="s">
        <v>307</v>
      </c>
      <c r="D8622">
        <v>67649</v>
      </c>
      <c r="E8622">
        <v>70806</v>
      </c>
      <c r="F8622">
        <v>71357</v>
      </c>
      <c r="G8622">
        <v>67182</v>
      </c>
    </row>
    <row r="8623" spans="1:7">
      <c r="A8623" t="s">
        <v>1876</v>
      </c>
      <c r="B8623" t="s">
        <v>373</v>
      </c>
      <c r="C8623" t="s">
        <v>308</v>
      </c>
      <c r="D8623">
        <v>61.1</v>
      </c>
      <c r="E8623">
        <v>63.1</v>
      </c>
      <c r="F8623">
        <v>63.1</v>
      </c>
      <c r="G8623">
        <v>59.1</v>
      </c>
    </row>
    <row r="8624" spans="1:7">
      <c r="A8624" t="s">
        <v>1876</v>
      </c>
      <c r="B8624" t="s">
        <v>373</v>
      </c>
      <c r="C8624" t="s">
        <v>309</v>
      </c>
      <c r="D8624">
        <v>171823</v>
      </c>
      <c r="E8624">
        <v>186030</v>
      </c>
      <c r="F8624">
        <v>189635</v>
      </c>
      <c r="G8624">
        <v>177372</v>
      </c>
    </row>
    <row r="8625" spans="1:7">
      <c r="A8625" t="s">
        <v>1876</v>
      </c>
      <c r="B8625" t="s">
        <v>373</v>
      </c>
      <c r="C8625" t="s">
        <v>310</v>
      </c>
      <c r="D8625">
        <v>115906</v>
      </c>
      <c r="E8625">
        <v>117341</v>
      </c>
      <c r="F8625">
        <v>116242</v>
      </c>
      <c r="G8625">
        <v>113131</v>
      </c>
    </row>
    <row r="8626" spans="1:7">
      <c r="A8626" t="s">
        <v>1876</v>
      </c>
      <c r="B8626" t="s">
        <v>373</v>
      </c>
      <c r="C8626" t="s">
        <v>311</v>
      </c>
      <c r="D8626">
        <v>104.8</v>
      </c>
      <c r="E8626">
        <v>104.6</v>
      </c>
      <c r="F8626">
        <v>102.8</v>
      </c>
      <c r="G8626">
        <v>99.5</v>
      </c>
    </row>
    <row r="8627" spans="1:7">
      <c r="A8627" t="s">
        <v>1876</v>
      </c>
      <c r="B8627" t="s">
        <v>373</v>
      </c>
      <c r="C8627" t="s">
        <v>312</v>
      </c>
      <c r="D8627">
        <v>77254</v>
      </c>
      <c r="E8627">
        <v>84794</v>
      </c>
      <c r="F8627">
        <v>79999</v>
      </c>
      <c r="G8627">
        <v>73945</v>
      </c>
    </row>
    <row r="8628" spans="1:7">
      <c r="A8628" t="s">
        <v>1876</v>
      </c>
      <c r="B8628" t="s">
        <v>373</v>
      </c>
      <c r="C8628" t="s">
        <v>313</v>
      </c>
      <c r="D8628">
        <v>69.8</v>
      </c>
      <c r="E8628">
        <v>75.599999999999994</v>
      </c>
      <c r="F8628">
        <v>70.8</v>
      </c>
      <c r="G8628">
        <v>65</v>
      </c>
    </row>
    <row r="8629" spans="1:7">
      <c r="A8629" t="s">
        <v>1876</v>
      </c>
      <c r="B8629" t="s">
        <v>373</v>
      </c>
      <c r="C8629" t="s">
        <v>314</v>
      </c>
      <c r="D8629">
        <v>380255</v>
      </c>
      <c r="E8629">
        <v>389202</v>
      </c>
      <c r="F8629">
        <v>382214</v>
      </c>
      <c r="G8629">
        <v>369309</v>
      </c>
    </row>
    <row r="8630" spans="1:7">
      <c r="A8630" t="s">
        <v>1876</v>
      </c>
      <c r="B8630" t="s">
        <v>373</v>
      </c>
      <c r="C8630" t="s">
        <v>315</v>
      </c>
      <c r="D8630">
        <v>7.13</v>
      </c>
      <c r="E8630">
        <v>6.97</v>
      </c>
      <c r="F8630">
        <v>6.52</v>
      </c>
      <c r="G8630">
        <v>6.09</v>
      </c>
    </row>
    <row r="8631" spans="1:7">
      <c r="A8631" t="s">
        <v>1876</v>
      </c>
      <c r="B8631" t="s">
        <v>373</v>
      </c>
      <c r="C8631" t="s">
        <v>316</v>
      </c>
      <c r="D8631">
        <v>343.7</v>
      </c>
      <c r="E8631">
        <v>347</v>
      </c>
      <c r="F8631">
        <v>338.1</v>
      </c>
      <c r="G8631">
        <v>324.7</v>
      </c>
    </row>
    <row r="8632" spans="1:7">
      <c r="A8632" t="s">
        <v>1876</v>
      </c>
      <c r="B8632" t="s">
        <v>373</v>
      </c>
      <c r="C8632" t="s">
        <v>317</v>
      </c>
      <c r="D8632">
        <v>380255</v>
      </c>
      <c r="E8632">
        <v>389202</v>
      </c>
      <c r="F8632">
        <v>382215</v>
      </c>
      <c r="G8632">
        <v>369309</v>
      </c>
    </row>
    <row r="8633" spans="1:7">
      <c r="A8633" t="s">
        <v>1876</v>
      </c>
      <c r="B8633" t="s">
        <v>373</v>
      </c>
      <c r="C8633" t="s">
        <v>318</v>
      </c>
      <c r="D8633">
        <v>119445</v>
      </c>
      <c r="E8633">
        <v>116261</v>
      </c>
      <c r="F8633">
        <v>114615</v>
      </c>
      <c r="G8633">
        <v>115051</v>
      </c>
    </row>
    <row r="8634" spans="1:7">
      <c r="A8634" t="s">
        <v>1876</v>
      </c>
      <c r="B8634" t="s">
        <v>373</v>
      </c>
      <c r="C8634" t="s">
        <v>319</v>
      </c>
      <c r="D8634">
        <v>47612</v>
      </c>
      <c r="E8634">
        <v>50740</v>
      </c>
      <c r="F8634">
        <v>50922</v>
      </c>
      <c r="G8634">
        <v>49730</v>
      </c>
    </row>
    <row r="8635" spans="1:7">
      <c r="A8635" t="s">
        <v>1876</v>
      </c>
      <c r="B8635" t="s">
        <v>373</v>
      </c>
      <c r="C8635" t="s">
        <v>320</v>
      </c>
      <c r="D8635">
        <v>97544</v>
      </c>
      <c r="E8635">
        <v>98675</v>
      </c>
      <c r="F8635">
        <v>97328</v>
      </c>
      <c r="G8635">
        <v>96378</v>
      </c>
    </row>
    <row r="8636" spans="1:7">
      <c r="A8636" t="s">
        <v>1876</v>
      </c>
      <c r="B8636" t="s">
        <v>373</v>
      </c>
      <c r="C8636" t="s">
        <v>321</v>
      </c>
      <c r="D8636">
        <v>54550</v>
      </c>
      <c r="E8636">
        <v>61232</v>
      </c>
      <c r="F8636">
        <v>56769</v>
      </c>
      <c r="G8636">
        <v>54183</v>
      </c>
    </row>
    <row r="8637" spans="1:7">
      <c r="A8637" t="s">
        <v>1876</v>
      </c>
      <c r="B8637" t="s">
        <v>373</v>
      </c>
      <c r="C8637" t="s">
        <v>1954</v>
      </c>
      <c r="D8637">
        <v>319152</v>
      </c>
      <c r="E8637">
        <v>326908</v>
      </c>
      <c r="F8637">
        <v>319634</v>
      </c>
      <c r="G8637">
        <v>315342</v>
      </c>
    </row>
    <row r="8638" spans="1:7">
      <c r="A8638" t="s">
        <v>1876</v>
      </c>
      <c r="B8638" t="s">
        <v>373</v>
      </c>
      <c r="C8638" t="s">
        <v>323</v>
      </c>
      <c r="D8638">
        <v>1106</v>
      </c>
      <c r="E8638">
        <v>1122</v>
      </c>
      <c r="F8638">
        <v>1131</v>
      </c>
      <c r="G8638">
        <v>1138</v>
      </c>
    </row>
    <row r="8639" spans="1:7">
      <c r="A8639" t="s">
        <v>1876</v>
      </c>
      <c r="B8639" t="s">
        <v>373</v>
      </c>
      <c r="C8639" t="s">
        <v>324</v>
      </c>
      <c r="D8639">
        <v>590</v>
      </c>
      <c r="E8639">
        <v>0</v>
      </c>
      <c r="F8639">
        <v>0</v>
      </c>
      <c r="G8639">
        <v>0</v>
      </c>
    </row>
    <row r="8640" spans="1:7">
      <c r="A8640" t="s">
        <v>1876</v>
      </c>
      <c r="B8640" t="s">
        <v>373</v>
      </c>
      <c r="C8640" t="s">
        <v>325</v>
      </c>
      <c r="D8640">
        <v>0</v>
      </c>
      <c r="E8640">
        <v>0</v>
      </c>
      <c r="F8640">
        <v>0</v>
      </c>
      <c r="G8640">
        <v>0</v>
      </c>
    </row>
    <row r="8641" spans="1:7">
      <c r="A8641" t="s">
        <v>1876</v>
      </c>
      <c r="B8641" t="s">
        <v>373</v>
      </c>
      <c r="C8641" t="s">
        <v>326</v>
      </c>
      <c r="D8641">
        <v>907</v>
      </c>
      <c r="E8641">
        <v>907</v>
      </c>
      <c r="F8641">
        <v>907</v>
      </c>
      <c r="G8641">
        <v>907</v>
      </c>
    </row>
    <row r="8642" spans="1:7">
      <c r="A8642" t="s">
        <v>1876</v>
      </c>
      <c r="B8642" t="s">
        <v>373</v>
      </c>
      <c r="C8642" t="s">
        <v>327</v>
      </c>
      <c r="D8642">
        <v>0</v>
      </c>
      <c r="E8642">
        <v>0</v>
      </c>
      <c r="F8642">
        <v>0</v>
      </c>
      <c r="G8642">
        <v>0</v>
      </c>
    </row>
    <row r="8643" spans="1:7">
      <c r="A8643" t="s">
        <v>1876</v>
      </c>
      <c r="B8643" t="s">
        <v>373</v>
      </c>
      <c r="C8643" t="s">
        <v>1723</v>
      </c>
      <c r="D8643">
        <v>3</v>
      </c>
      <c r="E8643">
        <v>3</v>
      </c>
      <c r="F8643">
        <v>3</v>
      </c>
      <c r="G8643">
        <v>3</v>
      </c>
    </row>
    <row r="8644" spans="1:7">
      <c r="A8644" t="s">
        <v>1876</v>
      </c>
      <c r="B8644" t="s">
        <v>373</v>
      </c>
      <c r="C8644" t="s">
        <v>328</v>
      </c>
      <c r="D8644">
        <v>1711</v>
      </c>
      <c r="E8644">
        <v>1428</v>
      </c>
      <c r="F8644">
        <v>1443</v>
      </c>
      <c r="G8644">
        <v>1379</v>
      </c>
    </row>
    <row r="8645" spans="1:7">
      <c r="A8645" t="s">
        <v>1876</v>
      </c>
      <c r="B8645" t="s">
        <v>373</v>
      </c>
      <c r="C8645" t="s">
        <v>329</v>
      </c>
      <c r="D8645">
        <v>4714</v>
      </c>
      <c r="E8645">
        <v>5939</v>
      </c>
      <c r="F8645">
        <v>5048</v>
      </c>
      <c r="G8645">
        <v>4733</v>
      </c>
    </row>
    <row r="8646" spans="1:7">
      <c r="A8646" t="s">
        <v>1876</v>
      </c>
      <c r="B8646" t="s">
        <v>373</v>
      </c>
      <c r="C8646" t="s">
        <v>330</v>
      </c>
      <c r="D8646">
        <v>7332</v>
      </c>
      <c r="E8646">
        <v>8273</v>
      </c>
      <c r="F8646">
        <v>7399</v>
      </c>
      <c r="G8646">
        <v>7019</v>
      </c>
    </row>
    <row r="8647" spans="1:7">
      <c r="A8647" t="s">
        <v>1876</v>
      </c>
      <c r="B8647" t="s">
        <v>373</v>
      </c>
      <c r="C8647" t="s">
        <v>331</v>
      </c>
      <c r="D8647">
        <v>0</v>
      </c>
      <c r="E8647">
        <v>0</v>
      </c>
      <c r="F8647">
        <v>0</v>
      </c>
      <c r="G8647">
        <v>0</v>
      </c>
    </row>
    <row r="8648" spans="1:7">
      <c r="A8648" t="s">
        <v>1876</v>
      </c>
      <c r="B8648" t="s">
        <v>373</v>
      </c>
      <c r="C8648" t="s">
        <v>332</v>
      </c>
      <c r="D8648">
        <v>115</v>
      </c>
      <c r="E8648">
        <v>87</v>
      </c>
      <c r="F8648">
        <v>72</v>
      </c>
      <c r="G8648">
        <v>169</v>
      </c>
    </row>
    <row r="8649" spans="1:7">
      <c r="A8649" t="s">
        <v>1876</v>
      </c>
      <c r="B8649" t="s">
        <v>373</v>
      </c>
      <c r="C8649" t="s">
        <v>1724</v>
      </c>
      <c r="D8649">
        <v>2</v>
      </c>
      <c r="E8649">
        <v>2</v>
      </c>
      <c r="F8649">
        <v>3</v>
      </c>
      <c r="G8649">
        <v>3</v>
      </c>
    </row>
    <row r="8650" spans="1:7">
      <c r="A8650" t="s">
        <v>1876</v>
      </c>
      <c r="B8650" t="s">
        <v>373</v>
      </c>
      <c r="C8650" t="s">
        <v>333</v>
      </c>
      <c r="D8650">
        <v>212</v>
      </c>
      <c r="E8650">
        <v>184</v>
      </c>
      <c r="F8650">
        <v>182</v>
      </c>
      <c r="G8650">
        <v>164</v>
      </c>
    </row>
    <row r="8651" spans="1:7">
      <c r="A8651" t="s">
        <v>1876</v>
      </c>
      <c r="B8651" t="s">
        <v>373</v>
      </c>
      <c r="C8651" t="s">
        <v>334</v>
      </c>
      <c r="D8651">
        <v>326</v>
      </c>
      <c r="E8651">
        <v>271</v>
      </c>
      <c r="F8651">
        <v>255</v>
      </c>
      <c r="G8651">
        <v>333</v>
      </c>
    </row>
    <row r="8652" spans="1:7">
      <c r="A8652" t="s">
        <v>1876</v>
      </c>
      <c r="B8652" t="s">
        <v>373</v>
      </c>
      <c r="C8652" t="s">
        <v>335</v>
      </c>
      <c r="D8652">
        <v>907</v>
      </c>
      <c r="E8652">
        <v>907</v>
      </c>
      <c r="F8652">
        <v>907</v>
      </c>
      <c r="G8652">
        <v>907</v>
      </c>
    </row>
    <row r="8653" spans="1:7">
      <c r="A8653" t="s">
        <v>1876</v>
      </c>
      <c r="B8653" t="s">
        <v>373</v>
      </c>
      <c r="C8653" t="s">
        <v>336</v>
      </c>
      <c r="D8653">
        <v>115</v>
      </c>
      <c r="E8653">
        <v>87</v>
      </c>
      <c r="F8653">
        <v>72</v>
      </c>
      <c r="G8653">
        <v>169</v>
      </c>
    </row>
    <row r="8654" spans="1:7">
      <c r="A8654" t="s">
        <v>1876</v>
      </c>
      <c r="B8654" t="s">
        <v>373</v>
      </c>
      <c r="C8654" t="s">
        <v>337</v>
      </c>
      <c r="D8654">
        <v>1923</v>
      </c>
      <c r="E8654">
        <v>1611</v>
      </c>
      <c r="F8654">
        <v>1626</v>
      </c>
      <c r="G8654">
        <v>1543</v>
      </c>
    </row>
    <row r="8655" spans="1:7">
      <c r="A8655" t="s">
        <v>1876</v>
      </c>
      <c r="B8655" t="s">
        <v>373</v>
      </c>
      <c r="C8655" t="s">
        <v>338</v>
      </c>
      <c r="D8655">
        <v>7659</v>
      </c>
      <c r="E8655">
        <v>8544</v>
      </c>
      <c r="F8655">
        <v>7654</v>
      </c>
      <c r="G8655">
        <v>7351</v>
      </c>
    </row>
    <row r="8656" spans="1:7">
      <c r="A8656" t="s">
        <v>1876</v>
      </c>
      <c r="B8656" t="s">
        <v>373</v>
      </c>
      <c r="C8656" t="s">
        <v>339</v>
      </c>
      <c r="D8656">
        <v>7544</v>
      </c>
      <c r="E8656">
        <v>8457</v>
      </c>
      <c r="F8656">
        <v>7581</v>
      </c>
      <c r="G8656">
        <v>7182</v>
      </c>
    </row>
    <row r="8657" spans="1:7">
      <c r="A8657" t="s">
        <v>1876</v>
      </c>
      <c r="B8657" t="s">
        <v>373</v>
      </c>
      <c r="C8657" t="s">
        <v>340</v>
      </c>
      <c r="D8657">
        <v>0</v>
      </c>
      <c r="E8657">
        <v>0</v>
      </c>
      <c r="F8657">
        <v>0</v>
      </c>
      <c r="G8657">
        <v>0</v>
      </c>
    </row>
    <row r="8658" spans="1:7">
      <c r="A8658" t="s">
        <v>1876</v>
      </c>
      <c r="B8658" t="s">
        <v>373</v>
      </c>
      <c r="C8658" t="s">
        <v>1955</v>
      </c>
      <c r="D8658">
        <v>36.299999999999997</v>
      </c>
      <c r="E8658">
        <v>39.200000000000003</v>
      </c>
      <c r="F8658">
        <v>34.9</v>
      </c>
      <c r="G8658">
        <v>36.6</v>
      </c>
    </row>
    <row r="8659" spans="1:7">
      <c r="A8659" t="s">
        <v>1876</v>
      </c>
      <c r="B8659" t="s">
        <v>373</v>
      </c>
      <c r="C8659" t="s">
        <v>341</v>
      </c>
      <c r="D8659">
        <v>0</v>
      </c>
      <c r="E8659">
        <v>0</v>
      </c>
      <c r="F8659">
        <v>0</v>
      </c>
      <c r="G8659">
        <v>0</v>
      </c>
    </row>
    <row r="8660" spans="1:7">
      <c r="A8660" t="s">
        <v>1876</v>
      </c>
      <c r="B8660" t="s">
        <v>373</v>
      </c>
      <c r="C8660" t="s">
        <v>342</v>
      </c>
      <c r="D8660">
        <v>11849</v>
      </c>
      <c r="E8660">
        <v>13723</v>
      </c>
      <c r="F8660">
        <v>15548</v>
      </c>
      <c r="G8660">
        <v>19841</v>
      </c>
    </row>
    <row r="8661" spans="1:7">
      <c r="A8661" t="s">
        <v>1876</v>
      </c>
      <c r="B8661" t="s">
        <v>373</v>
      </c>
      <c r="C8661" t="s">
        <v>1725</v>
      </c>
      <c r="D8661">
        <v>1113</v>
      </c>
      <c r="E8661">
        <v>1479</v>
      </c>
      <c r="F8661">
        <v>1582</v>
      </c>
      <c r="G8661">
        <v>1890</v>
      </c>
    </row>
    <row r="8662" spans="1:7">
      <c r="A8662" t="s">
        <v>1876</v>
      </c>
      <c r="B8662" t="s">
        <v>373</v>
      </c>
      <c r="C8662" t="s">
        <v>343</v>
      </c>
      <c r="D8662">
        <v>0</v>
      </c>
      <c r="E8662">
        <v>0</v>
      </c>
      <c r="F8662">
        <v>0</v>
      </c>
      <c r="G8662">
        <v>0</v>
      </c>
    </row>
    <row r="8663" spans="1:7">
      <c r="A8663" t="s">
        <v>1876</v>
      </c>
      <c r="B8663" t="s">
        <v>373</v>
      </c>
      <c r="C8663" t="s">
        <v>344</v>
      </c>
      <c r="D8663">
        <v>11849</v>
      </c>
      <c r="E8663">
        <v>13723</v>
      </c>
      <c r="F8663">
        <v>15548</v>
      </c>
      <c r="G8663">
        <v>19841</v>
      </c>
    </row>
    <row r="8664" spans="1:7">
      <c r="A8664" t="s">
        <v>1876</v>
      </c>
      <c r="B8664" t="s">
        <v>373</v>
      </c>
      <c r="C8664" t="s">
        <v>345</v>
      </c>
      <c r="D8664">
        <v>0</v>
      </c>
      <c r="E8664">
        <v>0</v>
      </c>
      <c r="F8664">
        <v>0</v>
      </c>
      <c r="G8664">
        <v>0</v>
      </c>
    </row>
    <row r="8665" spans="1:7">
      <c r="A8665" t="s">
        <v>1876</v>
      </c>
      <c r="B8665" t="s">
        <v>373</v>
      </c>
      <c r="C8665" t="s">
        <v>1956</v>
      </c>
      <c r="D8665">
        <v>115</v>
      </c>
      <c r="E8665">
        <v>87</v>
      </c>
      <c r="F8665">
        <v>72</v>
      </c>
      <c r="G8665">
        <v>169</v>
      </c>
    </row>
    <row r="8666" spans="1:7">
      <c r="A8666" t="s">
        <v>1876</v>
      </c>
      <c r="B8666" t="s">
        <v>373</v>
      </c>
      <c r="C8666" t="s">
        <v>1957</v>
      </c>
      <c r="D8666">
        <v>326</v>
      </c>
      <c r="E8666">
        <v>271</v>
      </c>
      <c r="F8666">
        <v>255</v>
      </c>
      <c r="G8666">
        <v>333</v>
      </c>
    </row>
    <row r="8667" spans="1:7">
      <c r="A8667" t="s">
        <v>1876</v>
      </c>
      <c r="B8667" t="s">
        <v>373</v>
      </c>
      <c r="C8667" t="s">
        <v>346</v>
      </c>
      <c r="D8667">
        <v>341</v>
      </c>
      <c r="E8667">
        <v>313</v>
      </c>
      <c r="F8667">
        <v>235</v>
      </c>
      <c r="G8667">
        <v>258</v>
      </c>
    </row>
    <row r="8668" spans="1:7">
      <c r="A8668" t="s">
        <v>1876</v>
      </c>
      <c r="B8668" t="s">
        <v>373</v>
      </c>
      <c r="C8668" t="s">
        <v>347</v>
      </c>
      <c r="D8668">
        <v>8203</v>
      </c>
      <c r="E8668">
        <v>8821</v>
      </c>
      <c r="F8668">
        <v>8204</v>
      </c>
      <c r="G8668">
        <v>8016</v>
      </c>
    </row>
    <row r="8669" spans="1:7">
      <c r="A8669" t="s">
        <v>1876</v>
      </c>
      <c r="B8669" t="s">
        <v>374</v>
      </c>
      <c r="C8669" t="s">
        <v>133</v>
      </c>
      <c r="D8669">
        <v>0</v>
      </c>
      <c r="E8669">
        <v>0</v>
      </c>
      <c r="F8669">
        <v>0</v>
      </c>
      <c r="G8669">
        <v>0</v>
      </c>
    </row>
    <row r="8670" spans="1:7">
      <c r="A8670" t="s">
        <v>1876</v>
      </c>
      <c r="B8670" t="s">
        <v>374</v>
      </c>
      <c r="C8670" t="s">
        <v>134</v>
      </c>
      <c r="D8670">
        <v>25615</v>
      </c>
      <c r="E8670">
        <v>26482</v>
      </c>
      <c r="F8670">
        <v>22643</v>
      </c>
      <c r="G8670">
        <v>28389</v>
      </c>
    </row>
    <row r="8671" spans="1:7">
      <c r="A8671" t="s">
        <v>1876</v>
      </c>
      <c r="B8671" t="s">
        <v>374</v>
      </c>
      <c r="C8671" t="s">
        <v>135</v>
      </c>
      <c r="D8671">
        <v>25615</v>
      </c>
      <c r="E8671">
        <v>26482</v>
      </c>
      <c r="F8671">
        <v>22643</v>
      </c>
      <c r="G8671">
        <v>28389</v>
      </c>
    </row>
    <row r="8672" spans="1:7">
      <c r="A8672" t="s">
        <v>1876</v>
      </c>
      <c r="B8672" t="s">
        <v>374</v>
      </c>
      <c r="C8672" t="s">
        <v>136</v>
      </c>
      <c r="D8672">
        <v>25615</v>
      </c>
      <c r="E8672">
        <v>26482</v>
      </c>
      <c r="F8672">
        <v>22643</v>
      </c>
      <c r="G8672">
        <v>28389</v>
      </c>
    </row>
    <row r="8673" spans="1:7">
      <c r="A8673" t="s">
        <v>1876</v>
      </c>
      <c r="B8673" t="s">
        <v>374</v>
      </c>
      <c r="C8673" t="s">
        <v>137</v>
      </c>
      <c r="D8673">
        <v>592</v>
      </c>
      <c r="E8673">
        <v>613</v>
      </c>
      <c r="F8673">
        <v>581</v>
      </c>
      <c r="G8673">
        <v>625</v>
      </c>
    </row>
    <row r="8674" spans="1:7">
      <c r="A8674" t="s">
        <v>1876</v>
      </c>
      <c r="B8674" t="s">
        <v>374</v>
      </c>
      <c r="C8674" t="s">
        <v>138</v>
      </c>
      <c r="D8674">
        <v>592</v>
      </c>
      <c r="E8674">
        <v>613</v>
      </c>
      <c r="F8674">
        <v>581</v>
      </c>
      <c r="G8674">
        <v>625</v>
      </c>
    </row>
    <row r="8675" spans="1:7">
      <c r="A8675" t="s">
        <v>1876</v>
      </c>
      <c r="B8675" t="s">
        <v>374</v>
      </c>
      <c r="C8675" t="s">
        <v>139</v>
      </c>
      <c r="D8675">
        <v>592</v>
      </c>
      <c r="E8675">
        <v>613</v>
      </c>
      <c r="F8675">
        <v>581</v>
      </c>
      <c r="G8675">
        <v>625</v>
      </c>
    </row>
    <row r="8676" spans="1:7">
      <c r="A8676" t="s">
        <v>1876</v>
      </c>
      <c r="B8676" t="s">
        <v>374</v>
      </c>
      <c r="C8676" t="s">
        <v>1877</v>
      </c>
      <c r="D8676">
        <v>0</v>
      </c>
      <c r="E8676">
        <v>0</v>
      </c>
      <c r="F8676">
        <v>0</v>
      </c>
      <c r="G8676">
        <v>0</v>
      </c>
    </row>
    <row r="8677" spans="1:7">
      <c r="A8677" t="s">
        <v>1876</v>
      </c>
      <c r="B8677" t="s">
        <v>374</v>
      </c>
      <c r="C8677" t="s">
        <v>1700</v>
      </c>
      <c r="D8677">
        <v>0</v>
      </c>
      <c r="E8677">
        <v>0</v>
      </c>
      <c r="F8677">
        <v>0</v>
      </c>
      <c r="G8677">
        <v>0</v>
      </c>
    </row>
    <row r="8678" spans="1:7">
      <c r="A8678" t="s">
        <v>1876</v>
      </c>
      <c r="B8678" t="s">
        <v>374</v>
      </c>
      <c r="C8678" t="s">
        <v>1878</v>
      </c>
      <c r="D8678">
        <v>0</v>
      </c>
      <c r="E8678">
        <v>0</v>
      </c>
      <c r="F8678">
        <v>0</v>
      </c>
      <c r="G8678">
        <v>0</v>
      </c>
    </row>
    <row r="8679" spans="1:7">
      <c r="A8679" t="s">
        <v>1876</v>
      </c>
      <c r="B8679" t="s">
        <v>374</v>
      </c>
      <c r="C8679" t="s">
        <v>1879</v>
      </c>
      <c r="D8679">
        <v>0</v>
      </c>
      <c r="E8679">
        <v>0</v>
      </c>
      <c r="F8679">
        <v>0</v>
      </c>
      <c r="G8679">
        <v>0</v>
      </c>
    </row>
    <row r="8680" spans="1:7">
      <c r="A8680" t="s">
        <v>1876</v>
      </c>
      <c r="B8680" t="s">
        <v>374</v>
      </c>
      <c r="C8680" t="s">
        <v>1701</v>
      </c>
      <c r="D8680">
        <v>0</v>
      </c>
      <c r="E8680">
        <v>0</v>
      </c>
      <c r="F8680">
        <v>0</v>
      </c>
      <c r="G8680">
        <v>0</v>
      </c>
    </row>
    <row r="8681" spans="1:7">
      <c r="A8681" t="s">
        <v>1876</v>
      </c>
      <c r="B8681" t="s">
        <v>374</v>
      </c>
      <c r="C8681" t="s">
        <v>1880</v>
      </c>
      <c r="D8681">
        <v>1694</v>
      </c>
      <c r="E8681">
        <v>1488</v>
      </c>
      <c r="F8681">
        <v>1760</v>
      </c>
      <c r="G8681">
        <v>1720</v>
      </c>
    </row>
    <row r="8682" spans="1:7">
      <c r="A8682" t="s">
        <v>1876</v>
      </c>
      <c r="B8682" t="s">
        <v>374</v>
      </c>
      <c r="C8682" t="s">
        <v>140</v>
      </c>
      <c r="D8682">
        <v>3980</v>
      </c>
      <c r="E8682">
        <v>3596</v>
      </c>
      <c r="F8682">
        <v>4746</v>
      </c>
      <c r="G8682">
        <v>4902</v>
      </c>
    </row>
    <row r="8683" spans="1:7">
      <c r="A8683" t="s">
        <v>1876</v>
      </c>
      <c r="B8683" t="s">
        <v>374</v>
      </c>
      <c r="C8683" t="s">
        <v>1881</v>
      </c>
      <c r="D8683">
        <v>2286</v>
      </c>
      <c r="E8683">
        <v>2108</v>
      </c>
      <c r="F8683">
        <v>2986</v>
      </c>
      <c r="G8683">
        <v>3183</v>
      </c>
    </row>
    <row r="8684" spans="1:7">
      <c r="A8684" t="s">
        <v>1876</v>
      </c>
      <c r="B8684" t="s">
        <v>374</v>
      </c>
      <c r="C8684" t="s">
        <v>1882</v>
      </c>
      <c r="D8684">
        <v>0</v>
      </c>
      <c r="E8684">
        <v>0</v>
      </c>
      <c r="F8684">
        <v>0</v>
      </c>
      <c r="G8684">
        <v>0</v>
      </c>
    </row>
    <row r="8685" spans="1:7">
      <c r="A8685" t="s">
        <v>1876</v>
      </c>
      <c r="B8685" t="s">
        <v>374</v>
      </c>
      <c r="C8685" t="s">
        <v>1883</v>
      </c>
      <c r="D8685">
        <v>0</v>
      </c>
      <c r="E8685">
        <v>0</v>
      </c>
      <c r="F8685">
        <v>0</v>
      </c>
      <c r="G8685">
        <v>0</v>
      </c>
    </row>
    <row r="8686" spans="1:7">
      <c r="A8686" t="s">
        <v>1876</v>
      </c>
      <c r="B8686" t="s">
        <v>374</v>
      </c>
      <c r="C8686" t="s">
        <v>1884</v>
      </c>
      <c r="D8686">
        <v>0</v>
      </c>
      <c r="E8686">
        <v>0</v>
      </c>
      <c r="F8686">
        <v>0</v>
      </c>
      <c r="G8686">
        <v>0</v>
      </c>
    </row>
    <row r="8687" spans="1:7">
      <c r="A8687" t="s">
        <v>1876</v>
      </c>
      <c r="B8687" t="s">
        <v>374</v>
      </c>
      <c r="C8687" t="s">
        <v>1885</v>
      </c>
      <c r="D8687">
        <v>0</v>
      </c>
      <c r="E8687">
        <v>0</v>
      </c>
      <c r="F8687">
        <v>0</v>
      </c>
      <c r="G8687">
        <v>0</v>
      </c>
    </row>
    <row r="8688" spans="1:7">
      <c r="A8688" t="s">
        <v>1876</v>
      </c>
      <c r="B8688" t="s">
        <v>374</v>
      </c>
      <c r="C8688" t="s">
        <v>1886</v>
      </c>
      <c r="D8688">
        <v>0</v>
      </c>
      <c r="E8688">
        <v>0</v>
      </c>
      <c r="F8688">
        <v>0</v>
      </c>
      <c r="G8688">
        <v>0</v>
      </c>
    </row>
    <row r="8689" spans="1:7">
      <c r="A8689" t="s">
        <v>1876</v>
      </c>
      <c r="B8689" t="s">
        <v>374</v>
      </c>
      <c r="C8689" t="s">
        <v>141</v>
      </c>
      <c r="D8689">
        <v>2</v>
      </c>
      <c r="E8689">
        <v>2</v>
      </c>
      <c r="F8689">
        <v>3</v>
      </c>
      <c r="G8689">
        <v>3</v>
      </c>
    </row>
    <row r="8690" spans="1:7">
      <c r="A8690" t="s">
        <v>1876</v>
      </c>
      <c r="B8690" t="s">
        <v>374</v>
      </c>
      <c r="C8690" t="s">
        <v>1887</v>
      </c>
      <c r="D8690">
        <v>0</v>
      </c>
      <c r="E8690">
        <v>0</v>
      </c>
      <c r="F8690">
        <v>0</v>
      </c>
      <c r="G8690">
        <v>0</v>
      </c>
    </row>
    <row r="8691" spans="1:7">
      <c r="A8691" t="s">
        <v>1876</v>
      </c>
      <c r="B8691" t="s">
        <v>374</v>
      </c>
      <c r="C8691" t="s">
        <v>1888</v>
      </c>
      <c r="D8691">
        <v>0</v>
      </c>
      <c r="E8691">
        <v>0</v>
      </c>
      <c r="F8691">
        <v>0</v>
      </c>
      <c r="G8691">
        <v>0</v>
      </c>
    </row>
    <row r="8692" spans="1:7">
      <c r="A8692" t="s">
        <v>1876</v>
      </c>
      <c r="B8692" t="s">
        <v>374</v>
      </c>
      <c r="C8692" t="s">
        <v>1889</v>
      </c>
      <c r="D8692">
        <v>1694</v>
      </c>
      <c r="E8692">
        <v>1488</v>
      </c>
      <c r="F8692">
        <v>1760</v>
      </c>
      <c r="G8692">
        <v>1720</v>
      </c>
    </row>
    <row r="8693" spans="1:7">
      <c r="A8693" t="s">
        <v>1876</v>
      </c>
      <c r="B8693" t="s">
        <v>374</v>
      </c>
      <c r="C8693" t="s">
        <v>1890</v>
      </c>
      <c r="D8693">
        <v>0</v>
      </c>
      <c r="E8693">
        <v>0</v>
      </c>
      <c r="F8693">
        <v>0</v>
      </c>
      <c r="G8693">
        <v>0</v>
      </c>
    </row>
    <row r="8694" spans="1:7">
      <c r="A8694" t="s">
        <v>1876</v>
      </c>
      <c r="B8694" t="s">
        <v>374</v>
      </c>
      <c r="C8694" t="s">
        <v>1891</v>
      </c>
    </row>
    <row r="8695" spans="1:7">
      <c r="A8695" t="s">
        <v>1876</v>
      </c>
      <c r="B8695" t="s">
        <v>374</v>
      </c>
      <c r="C8695" t="s">
        <v>1892</v>
      </c>
      <c r="D8695">
        <v>2286</v>
      </c>
      <c r="E8695">
        <v>2108</v>
      </c>
      <c r="F8695">
        <v>2986</v>
      </c>
      <c r="G8695">
        <v>3183</v>
      </c>
    </row>
    <row r="8696" spans="1:7">
      <c r="A8696" t="s">
        <v>1876</v>
      </c>
      <c r="B8696" t="s">
        <v>374</v>
      </c>
      <c r="C8696" t="s">
        <v>142</v>
      </c>
      <c r="D8696">
        <v>3980</v>
      </c>
      <c r="E8696">
        <v>3596</v>
      </c>
      <c r="F8696">
        <v>4746</v>
      </c>
      <c r="G8696">
        <v>4902</v>
      </c>
    </row>
    <row r="8697" spans="1:7">
      <c r="A8697" t="s">
        <v>1876</v>
      </c>
      <c r="B8697" t="s">
        <v>374</v>
      </c>
      <c r="C8697" t="s">
        <v>1893</v>
      </c>
      <c r="D8697">
        <v>3980</v>
      </c>
      <c r="E8697">
        <v>3596</v>
      </c>
      <c r="F8697">
        <v>4746</v>
      </c>
      <c r="G8697">
        <v>4902</v>
      </c>
    </row>
    <row r="8698" spans="1:7">
      <c r="A8698" t="s">
        <v>1876</v>
      </c>
      <c r="B8698" t="s">
        <v>374</v>
      </c>
      <c r="C8698" t="s">
        <v>1894</v>
      </c>
      <c r="D8698">
        <v>2286</v>
      </c>
      <c r="E8698">
        <v>2108</v>
      </c>
      <c r="F8698">
        <v>2986</v>
      </c>
      <c r="G8698">
        <v>3183</v>
      </c>
    </row>
    <row r="8699" spans="1:7">
      <c r="A8699" t="s">
        <v>1876</v>
      </c>
      <c r="B8699" t="s">
        <v>374</v>
      </c>
      <c r="C8699" t="s">
        <v>143</v>
      </c>
      <c r="D8699">
        <v>2</v>
      </c>
      <c r="E8699">
        <v>2</v>
      </c>
      <c r="F8699">
        <v>3</v>
      </c>
      <c r="G8699">
        <v>3</v>
      </c>
    </row>
    <row r="8700" spans="1:7">
      <c r="A8700" t="s">
        <v>1876</v>
      </c>
      <c r="B8700" t="s">
        <v>374</v>
      </c>
      <c r="C8700" t="s">
        <v>144</v>
      </c>
      <c r="D8700">
        <v>43216</v>
      </c>
      <c r="E8700">
        <v>44621</v>
      </c>
      <c r="F8700">
        <v>45540</v>
      </c>
      <c r="G8700">
        <v>47808</v>
      </c>
    </row>
    <row r="8701" spans="1:7">
      <c r="A8701" t="s">
        <v>1876</v>
      </c>
      <c r="B8701" t="s">
        <v>374</v>
      </c>
      <c r="C8701" t="s">
        <v>1895</v>
      </c>
      <c r="D8701">
        <v>56.5</v>
      </c>
      <c r="E8701">
        <v>54.7</v>
      </c>
      <c r="F8701">
        <v>53.2</v>
      </c>
      <c r="G8701">
        <v>49.5</v>
      </c>
    </row>
    <row r="8702" spans="1:7">
      <c r="A8702" t="s">
        <v>1876</v>
      </c>
      <c r="B8702" t="s">
        <v>374</v>
      </c>
      <c r="C8702" t="s">
        <v>145</v>
      </c>
      <c r="D8702">
        <v>138046</v>
      </c>
      <c r="E8702">
        <v>142893</v>
      </c>
      <c r="F8702">
        <v>131825</v>
      </c>
      <c r="G8702">
        <v>127911</v>
      </c>
    </row>
    <row r="8703" spans="1:7">
      <c r="A8703" t="s">
        <v>1876</v>
      </c>
      <c r="B8703" t="s">
        <v>374</v>
      </c>
      <c r="C8703" t="s">
        <v>146</v>
      </c>
      <c r="D8703">
        <v>0</v>
      </c>
      <c r="E8703">
        <v>0</v>
      </c>
      <c r="F8703">
        <v>0</v>
      </c>
      <c r="G8703">
        <v>0</v>
      </c>
    </row>
    <row r="8704" spans="1:7">
      <c r="A8704" t="s">
        <v>1876</v>
      </c>
      <c r="B8704" t="s">
        <v>374</v>
      </c>
      <c r="C8704" t="s">
        <v>147</v>
      </c>
      <c r="D8704">
        <v>0</v>
      </c>
      <c r="E8704">
        <v>0</v>
      </c>
      <c r="F8704">
        <v>0</v>
      </c>
      <c r="G8704">
        <v>0</v>
      </c>
    </row>
    <row r="8705" spans="1:7">
      <c r="A8705" t="s">
        <v>1876</v>
      </c>
      <c r="B8705" t="s">
        <v>374</v>
      </c>
      <c r="C8705" t="s">
        <v>1896</v>
      </c>
      <c r="D8705">
        <v>4.5</v>
      </c>
      <c r="E8705">
        <v>1.6</v>
      </c>
      <c r="F8705">
        <v>0.7</v>
      </c>
      <c r="G8705">
        <v>0.9</v>
      </c>
    </row>
    <row r="8706" spans="1:7">
      <c r="A8706" t="s">
        <v>1876</v>
      </c>
      <c r="B8706" t="s">
        <v>374</v>
      </c>
      <c r="C8706" t="s">
        <v>1702</v>
      </c>
      <c r="D8706">
        <v>22</v>
      </c>
      <c r="E8706">
        <v>36</v>
      </c>
      <c r="F8706">
        <v>58</v>
      </c>
      <c r="G8706">
        <v>140</v>
      </c>
    </row>
    <row r="8707" spans="1:7">
      <c r="A8707" t="s">
        <v>1876</v>
      </c>
      <c r="B8707" t="s">
        <v>374</v>
      </c>
      <c r="C8707" t="s">
        <v>1897</v>
      </c>
      <c r="D8707">
        <v>24.4</v>
      </c>
      <c r="E8707">
        <v>38.299999999999997</v>
      </c>
      <c r="F8707">
        <v>67.2</v>
      </c>
      <c r="G8707">
        <v>87.9</v>
      </c>
    </row>
    <row r="8708" spans="1:7">
      <c r="A8708" t="s">
        <v>1876</v>
      </c>
      <c r="B8708" t="s">
        <v>374</v>
      </c>
      <c r="C8708" t="s">
        <v>1898</v>
      </c>
      <c r="D8708">
        <v>38</v>
      </c>
      <c r="E8708">
        <v>66</v>
      </c>
      <c r="F8708">
        <v>194</v>
      </c>
      <c r="G8708">
        <v>284</v>
      </c>
    </row>
    <row r="8709" spans="1:7">
      <c r="A8709" t="s">
        <v>1876</v>
      </c>
      <c r="B8709" t="s">
        <v>374</v>
      </c>
      <c r="C8709" t="s">
        <v>1899</v>
      </c>
      <c r="D8709">
        <v>2286</v>
      </c>
      <c r="E8709">
        <v>2108</v>
      </c>
      <c r="F8709">
        <v>2986</v>
      </c>
      <c r="G8709">
        <v>3183</v>
      </c>
    </row>
    <row r="8710" spans="1:7">
      <c r="A8710" t="s">
        <v>1876</v>
      </c>
      <c r="B8710" t="s">
        <v>374</v>
      </c>
      <c r="C8710" t="s">
        <v>148</v>
      </c>
      <c r="D8710">
        <v>0</v>
      </c>
      <c r="E8710">
        <v>0</v>
      </c>
      <c r="F8710">
        <v>0</v>
      </c>
      <c r="G8710">
        <v>0</v>
      </c>
    </row>
    <row r="8711" spans="1:7">
      <c r="A8711" t="s">
        <v>1876</v>
      </c>
      <c r="B8711" t="s">
        <v>374</v>
      </c>
      <c r="C8711" t="s">
        <v>149</v>
      </c>
      <c r="D8711">
        <v>0</v>
      </c>
      <c r="E8711">
        <v>0</v>
      </c>
      <c r="F8711">
        <v>0</v>
      </c>
      <c r="G8711">
        <v>0</v>
      </c>
    </row>
    <row r="8712" spans="1:7">
      <c r="A8712" t="s">
        <v>1876</v>
      </c>
      <c r="B8712" t="s">
        <v>374</v>
      </c>
      <c r="C8712" t="s">
        <v>150</v>
      </c>
      <c r="D8712">
        <v>0</v>
      </c>
      <c r="E8712">
        <v>0</v>
      </c>
      <c r="F8712">
        <v>0</v>
      </c>
      <c r="G8712">
        <v>0</v>
      </c>
    </row>
    <row r="8713" spans="1:7">
      <c r="A8713" t="s">
        <v>1876</v>
      </c>
      <c r="B8713" t="s">
        <v>374</v>
      </c>
      <c r="C8713" t="s">
        <v>1900</v>
      </c>
      <c r="D8713">
        <v>32.799999999999997</v>
      </c>
      <c r="E8713">
        <v>25</v>
      </c>
      <c r="F8713">
        <v>23.1</v>
      </c>
      <c r="G8713">
        <v>33</v>
      </c>
    </row>
    <row r="8714" spans="1:7">
      <c r="A8714" t="s">
        <v>1876</v>
      </c>
      <c r="B8714" t="s">
        <v>374</v>
      </c>
      <c r="C8714" t="s">
        <v>151</v>
      </c>
      <c r="D8714">
        <v>1173</v>
      </c>
      <c r="E8714">
        <v>942</v>
      </c>
      <c r="F8714">
        <v>855</v>
      </c>
      <c r="G8714">
        <v>955</v>
      </c>
    </row>
    <row r="8715" spans="1:7">
      <c r="A8715" t="s">
        <v>1876</v>
      </c>
      <c r="B8715" t="s">
        <v>374</v>
      </c>
      <c r="C8715" t="s">
        <v>152</v>
      </c>
      <c r="D8715">
        <v>211225</v>
      </c>
      <c r="E8715">
        <v>152042</v>
      </c>
      <c r="F8715">
        <v>147992</v>
      </c>
      <c r="G8715">
        <v>178079</v>
      </c>
    </row>
    <row r="8716" spans="1:7">
      <c r="A8716" t="s">
        <v>1876</v>
      </c>
      <c r="B8716" t="s">
        <v>374</v>
      </c>
      <c r="C8716" t="s">
        <v>1703</v>
      </c>
      <c r="D8716">
        <v>9259</v>
      </c>
      <c r="E8716">
        <v>4594</v>
      </c>
      <c r="F8716">
        <v>4552</v>
      </c>
      <c r="G8716">
        <v>5561</v>
      </c>
    </row>
    <row r="8717" spans="1:7">
      <c r="A8717" t="s">
        <v>1876</v>
      </c>
      <c r="B8717" t="s">
        <v>374</v>
      </c>
      <c r="C8717" t="s">
        <v>153</v>
      </c>
      <c r="D8717">
        <v>10104</v>
      </c>
      <c r="E8717">
        <v>10045</v>
      </c>
      <c r="F8717">
        <v>4937</v>
      </c>
      <c r="G8717">
        <v>3121</v>
      </c>
    </row>
    <row r="8718" spans="1:7">
      <c r="A8718" t="s">
        <v>1876</v>
      </c>
      <c r="B8718" t="s">
        <v>374</v>
      </c>
      <c r="C8718" t="s">
        <v>154</v>
      </c>
      <c r="D8718">
        <v>0</v>
      </c>
      <c r="E8718">
        <v>0</v>
      </c>
      <c r="F8718">
        <v>0</v>
      </c>
      <c r="G8718">
        <v>0</v>
      </c>
    </row>
    <row r="8719" spans="1:7">
      <c r="A8719" t="s">
        <v>1876</v>
      </c>
      <c r="B8719" t="s">
        <v>374</v>
      </c>
      <c r="C8719" t="s">
        <v>155</v>
      </c>
      <c r="D8719">
        <v>10104</v>
      </c>
      <c r="E8719">
        <v>10045</v>
      </c>
      <c r="F8719">
        <v>4937</v>
      </c>
      <c r="G8719">
        <v>3121</v>
      </c>
    </row>
    <row r="8720" spans="1:7">
      <c r="A8720" t="s">
        <v>1876</v>
      </c>
      <c r="B8720" t="s">
        <v>374</v>
      </c>
      <c r="C8720" t="s">
        <v>156</v>
      </c>
      <c r="D8720">
        <v>0</v>
      </c>
      <c r="E8720">
        <v>0</v>
      </c>
      <c r="F8720">
        <v>0</v>
      </c>
      <c r="G8720">
        <v>0</v>
      </c>
    </row>
    <row r="8721" spans="1:7">
      <c r="A8721" t="s">
        <v>1876</v>
      </c>
      <c r="B8721" t="s">
        <v>374</v>
      </c>
      <c r="C8721" t="s">
        <v>157</v>
      </c>
      <c r="D8721">
        <v>222501</v>
      </c>
      <c r="E8721">
        <v>163029</v>
      </c>
      <c r="F8721">
        <v>153784</v>
      </c>
      <c r="G8721">
        <v>182155</v>
      </c>
    </row>
    <row r="8722" spans="1:7">
      <c r="A8722" t="s">
        <v>1876</v>
      </c>
      <c r="B8722" t="s">
        <v>374</v>
      </c>
      <c r="C8722" t="s">
        <v>158</v>
      </c>
      <c r="D8722">
        <v>11277</v>
      </c>
      <c r="E8722">
        <v>10987</v>
      </c>
      <c r="F8722">
        <v>5792</v>
      </c>
      <c r="G8722">
        <v>4076</v>
      </c>
    </row>
    <row r="8723" spans="1:7">
      <c r="A8723" t="s">
        <v>1876</v>
      </c>
      <c r="B8723" t="s">
        <v>374</v>
      </c>
      <c r="C8723" t="s">
        <v>159</v>
      </c>
      <c r="D8723">
        <v>0</v>
      </c>
      <c r="E8723">
        <v>0</v>
      </c>
      <c r="F8723">
        <v>0</v>
      </c>
      <c r="G8723">
        <v>0</v>
      </c>
    </row>
    <row r="8724" spans="1:7">
      <c r="A8724" t="s">
        <v>1876</v>
      </c>
      <c r="B8724" t="s">
        <v>374</v>
      </c>
      <c r="C8724" t="s">
        <v>1901</v>
      </c>
      <c r="D8724">
        <v>73.2</v>
      </c>
      <c r="E8724">
        <v>76.599999999999994</v>
      </c>
      <c r="F8724">
        <v>74.5</v>
      </c>
      <c r="G8724">
        <v>77.2</v>
      </c>
    </row>
    <row r="8725" spans="1:7">
      <c r="A8725" t="s">
        <v>1876</v>
      </c>
      <c r="B8725" t="s">
        <v>374</v>
      </c>
      <c r="C8725" t="s">
        <v>1902</v>
      </c>
      <c r="D8725">
        <v>164222</v>
      </c>
      <c r="E8725">
        <v>160624</v>
      </c>
      <c r="F8725">
        <v>154594</v>
      </c>
      <c r="G8725">
        <v>152565</v>
      </c>
    </row>
    <row r="8726" spans="1:7">
      <c r="A8726" t="s">
        <v>1876</v>
      </c>
      <c r="B8726" t="s">
        <v>374</v>
      </c>
      <c r="C8726" t="s">
        <v>1903</v>
      </c>
      <c r="D8726">
        <v>7130</v>
      </c>
      <c r="E8726">
        <v>7143</v>
      </c>
      <c r="F8726">
        <v>6656</v>
      </c>
      <c r="G8726">
        <v>6696</v>
      </c>
    </row>
    <row r="8727" spans="1:7">
      <c r="A8727" t="s">
        <v>1876</v>
      </c>
      <c r="B8727" t="s">
        <v>374</v>
      </c>
      <c r="C8727" t="s">
        <v>1904</v>
      </c>
      <c r="D8727">
        <v>2065</v>
      </c>
      <c r="E8727">
        <v>2952</v>
      </c>
      <c r="F8727">
        <v>979</v>
      </c>
      <c r="G8727">
        <v>1740</v>
      </c>
    </row>
    <row r="8728" spans="1:7">
      <c r="A8728" t="s">
        <v>1876</v>
      </c>
      <c r="B8728" t="s">
        <v>374</v>
      </c>
      <c r="C8728" t="s">
        <v>1905</v>
      </c>
      <c r="D8728">
        <v>21231</v>
      </c>
      <c r="E8728">
        <v>21462</v>
      </c>
      <c r="F8728">
        <v>20947</v>
      </c>
      <c r="G8728">
        <v>20328</v>
      </c>
    </row>
    <row r="8729" spans="1:7">
      <c r="A8729" t="s">
        <v>1876</v>
      </c>
      <c r="B8729" t="s">
        <v>374</v>
      </c>
      <c r="C8729" t="s">
        <v>1906</v>
      </c>
      <c r="D8729">
        <v>5472</v>
      </c>
      <c r="E8729">
        <v>5553</v>
      </c>
      <c r="F8729">
        <v>5173</v>
      </c>
      <c r="G8729">
        <v>5090</v>
      </c>
    </row>
    <row r="8730" spans="1:7">
      <c r="A8730" t="s">
        <v>1876</v>
      </c>
      <c r="B8730" t="s">
        <v>374</v>
      </c>
      <c r="C8730" t="s">
        <v>1907</v>
      </c>
      <c r="D8730">
        <v>200119</v>
      </c>
      <c r="E8730">
        <v>197735</v>
      </c>
      <c r="F8730">
        <v>188351</v>
      </c>
      <c r="G8730">
        <v>186418</v>
      </c>
    </row>
    <row r="8731" spans="1:7">
      <c r="A8731" t="s">
        <v>1876</v>
      </c>
      <c r="B8731" t="s">
        <v>374</v>
      </c>
      <c r="C8731" t="s">
        <v>160</v>
      </c>
      <c r="D8731">
        <v>161935</v>
      </c>
      <c r="E8731">
        <v>158516</v>
      </c>
      <c r="F8731">
        <v>151608</v>
      </c>
      <c r="G8731">
        <v>149382</v>
      </c>
    </row>
    <row r="8732" spans="1:7">
      <c r="A8732" t="s">
        <v>1876</v>
      </c>
      <c r="B8732" t="s">
        <v>374</v>
      </c>
      <c r="C8732" t="s">
        <v>161</v>
      </c>
      <c r="D8732">
        <v>7130</v>
      </c>
      <c r="E8732">
        <v>7143</v>
      </c>
      <c r="F8732">
        <v>6656</v>
      </c>
      <c r="G8732">
        <v>6696</v>
      </c>
    </row>
    <row r="8733" spans="1:7">
      <c r="A8733" t="s">
        <v>1876</v>
      </c>
      <c r="B8733" t="s">
        <v>374</v>
      </c>
      <c r="C8733" t="s">
        <v>162</v>
      </c>
      <c r="D8733">
        <v>2065</v>
      </c>
      <c r="E8733">
        <v>2952</v>
      </c>
      <c r="F8733">
        <v>979</v>
      </c>
      <c r="G8733">
        <v>1740</v>
      </c>
    </row>
    <row r="8734" spans="1:7">
      <c r="A8734" t="s">
        <v>1876</v>
      </c>
      <c r="B8734" t="s">
        <v>374</v>
      </c>
      <c r="C8734" t="s">
        <v>163</v>
      </c>
      <c r="D8734">
        <v>21231</v>
      </c>
      <c r="E8734">
        <v>21462</v>
      </c>
      <c r="F8734">
        <v>20947</v>
      </c>
      <c r="G8734">
        <v>20328</v>
      </c>
    </row>
    <row r="8735" spans="1:7">
      <c r="A8735" t="s">
        <v>1876</v>
      </c>
      <c r="B8735" t="s">
        <v>374</v>
      </c>
      <c r="C8735" t="s">
        <v>164</v>
      </c>
      <c r="D8735">
        <v>5472</v>
      </c>
      <c r="E8735">
        <v>5553</v>
      </c>
      <c r="F8735">
        <v>5173</v>
      </c>
      <c r="G8735">
        <v>5090</v>
      </c>
    </row>
    <row r="8736" spans="1:7">
      <c r="A8736" t="s">
        <v>1876</v>
      </c>
      <c r="B8736" t="s">
        <v>374</v>
      </c>
      <c r="C8736" t="s">
        <v>165</v>
      </c>
      <c r="D8736">
        <v>197833</v>
      </c>
      <c r="E8736">
        <v>195626</v>
      </c>
      <c r="F8736">
        <v>185364</v>
      </c>
      <c r="G8736">
        <v>183235</v>
      </c>
    </row>
    <row r="8737" spans="1:7">
      <c r="A8737" t="s">
        <v>1876</v>
      </c>
      <c r="B8737" t="s">
        <v>374</v>
      </c>
      <c r="C8737" t="s">
        <v>166</v>
      </c>
      <c r="D8737">
        <v>195768</v>
      </c>
      <c r="E8737">
        <v>192674</v>
      </c>
      <c r="F8737">
        <v>184385</v>
      </c>
      <c r="G8737">
        <v>181495</v>
      </c>
    </row>
    <row r="8738" spans="1:7">
      <c r="A8738" t="s">
        <v>1876</v>
      </c>
      <c r="B8738" t="s">
        <v>374</v>
      </c>
      <c r="C8738" t="s">
        <v>167</v>
      </c>
      <c r="D8738">
        <v>2065</v>
      </c>
      <c r="E8738">
        <v>2952</v>
      </c>
      <c r="F8738">
        <v>979</v>
      </c>
      <c r="G8738">
        <v>1740</v>
      </c>
    </row>
    <row r="8739" spans="1:7">
      <c r="A8739" t="s">
        <v>1876</v>
      </c>
      <c r="B8739" t="s">
        <v>374</v>
      </c>
      <c r="C8739" t="s">
        <v>1908</v>
      </c>
      <c r="D8739">
        <v>160242</v>
      </c>
      <c r="E8739">
        <v>157028</v>
      </c>
      <c r="F8739">
        <v>149849</v>
      </c>
      <c r="G8739">
        <v>147663</v>
      </c>
    </row>
    <row r="8740" spans="1:7">
      <c r="A8740" t="s">
        <v>1876</v>
      </c>
      <c r="B8740" t="s">
        <v>374</v>
      </c>
      <c r="C8740" t="s">
        <v>1909</v>
      </c>
      <c r="D8740">
        <v>7130</v>
      </c>
      <c r="E8740">
        <v>7143</v>
      </c>
      <c r="F8740">
        <v>6656</v>
      </c>
      <c r="G8740">
        <v>6696</v>
      </c>
    </row>
    <row r="8741" spans="1:7">
      <c r="A8741" t="s">
        <v>1876</v>
      </c>
      <c r="B8741" t="s">
        <v>374</v>
      </c>
      <c r="C8741" t="s">
        <v>1910</v>
      </c>
      <c r="D8741">
        <v>2065</v>
      </c>
      <c r="E8741">
        <v>2952</v>
      </c>
      <c r="F8741">
        <v>979</v>
      </c>
      <c r="G8741">
        <v>1740</v>
      </c>
    </row>
    <row r="8742" spans="1:7">
      <c r="A8742" t="s">
        <v>1876</v>
      </c>
      <c r="B8742" t="s">
        <v>374</v>
      </c>
      <c r="C8742" t="s">
        <v>1911</v>
      </c>
      <c r="D8742">
        <v>21231</v>
      </c>
      <c r="E8742">
        <v>21462</v>
      </c>
      <c r="F8742">
        <v>20947</v>
      </c>
      <c r="G8742">
        <v>20328</v>
      </c>
    </row>
    <row r="8743" spans="1:7">
      <c r="A8743" t="s">
        <v>1876</v>
      </c>
      <c r="B8743" t="s">
        <v>374</v>
      </c>
      <c r="C8743" t="s">
        <v>1912</v>
      </c>
      <c r="D8743">
        <v>5472</v>
      </c>
      <c r="E8743">
        <v>5553</v>
      </c>
      <c r="F8743">
        <v>5173</v>
      </c>
      <c r="G8743">
        <v>5090</v>
      </c>
    </row>
    <row r="8744" spans="1:7">
      <c r="A8744" t="s">
        <v>1876</v>
      </c>
      <c r="B8744" t="s">
        <v>374</v>
      </c>
      <c r="C8744" t="s">
        <v>168</v>
      </c>
      <c r="D8744">
        <v>196139</v>
      </c>
      <c r="E8744">
        <v>194138</v>
      </c>
      <c r="F8744">
        <v>183605</v>
      </c>
      <c r="G8744">
        <v>181515</v>
      </c>
    </row>
    <row r="8745" spans="1:7">
      <c r="A8745" t="s">
        <v>1876</v>
      </c>
      <c r="B8745" t="s">
        <v>374</v>
      </c>
      <c r="C8745" t="s">
        <v>169</v>
      </c>
      <c r="D8745">
        <v>0</v>
      </c>
      <c r="E8745">
        <v>0</v>
      </c>
      <c r="F8745">
        <v>0</v>
      </c>
      <c r="G8745">
        <v>0</v>
      </c>
    </row>
    <row r="8746" spans="1:7">
      <c r="A8746" t="s">
        <v>1876</v>
      </c>
      <c r="B8746" t="s">
        <v>374</v>
      </c>
      <c r="C8746" t="s">
        <v>1704</v>
      </c>
      <c r="D8746">
        <v>35020</v>
      </c>
      <c r="E8746">
        <v>35391</v>
      </c>
      <c r="F8746">
        <v>35864</v>
      </c>
      <c r="G8746">
        <v>36337</v>
      </c>
    </row>
    <row r="8747" spans="1:7">
      <c r="A8747" t="s">
        <v>1876</v>
      </c>
      <c r="B8747" t="s">
        <v>374</v>
      </c>
      <c r="C8747" t="s">
        <v>170</v>
      </c>
      <c r="D8747">
        <v>0</v>
      </c>
      <c r="E8747">
        <v>0</v>
      </c>
      <c r="F8747">
        <v>0</v>
      </c>
      <c r="G8747">
        <v>0</v>
      </c>
    </row>
    <row r="8748" spans="1:7">
      <c r="A8748" t="s">
        <v>1876</v>
      </c>
      <c r="B8748" t="s">
        <v>374</v>
      </c>
      <c r="C8748" t="s">
        <v>171</v>
      </c>
      <c r="D8748">
        <v>128795</v>
      </c>
      <c r="E8748">
        <v>118335</v>
      </c>
      <c r="F8748">
        <v>127168</v>
      </c>
      <c r="G8748">
        <v>92758</v>
      </c>
    </row>
    <row r="8749" spans="1:7">
      <c r="A8749" t="s">
        <v>1876</v>
      </c>
      <c r="B8749" t="s">
        <v>374</v>
      </c>
      <c r="C8749" t="s">
        <v>172</v>
      </c>
      <c r="D8749">
        <v>0</v>
      </c>
      <c r="E8749">
        <v>0</v>
      </c>
      <c r="F8749">
        <v>0</v>
      </c>
      <c r="G8749">
        <v>0</v>
      </c>
    </row>
    <row r="8750" spans="1:7">
      <c r="A8750" t="s">
        <v>1876</v>
      </c>
      <c r="B8750" t="s">
        <v>374</v>
      </c>
      <c r="C8750" t="s">
        <v>1913</v>
      </c>
      <c r="D8750">
        <v>37.5</v>
      </c>
      <c r="E8750">
        <v>55.6</v>
      </c>
      <c r="F8750">
        <v>88.1</v>
      </c>
      <c r="G8750">
        <v>115.2</v>
      </c>
    </row>
    <row r="8751" spans="1:7">
      <c r="A8751" t="s">
        <v>1876</v>
      </c>
      <c r="B8751" t="s">
        <v>374</v>
      </c>
      <c r="C8751" t="s">
        <v>1914</v>
      </c>
      <c r="D8751">
        <v>0.5</v>
      </c>
      <c r="E8751">
        <v>0.7</v>
      </c>
      <c r="F8751">
        <v>1.1000000000000001</v>
      </c>
      <c r="G8751">
        <v>1.4</v>
      </c>
    </row>
    <row r="8752" spans="1:7">
      <c r="A8752" t="s">
        <v>1876</v>
      </c>
      <c r="B8752" t="s">
        <v>374</v>
      </c>
      <c r="C8752" t="s">
        <v>173</v>
      </c>
      <c r="D8752">
        <v>37928</v>
      </c>
      <c r="E8752">
        <v>38269</v>
      </c>
      <c r="F8752">
        <v>39424</v>
      </c>
      <c r="G8752">
        <v>41666</v>
      </c>
    </row>
    <row r="8753" spans="1:7">
      <c r="A8753" t="s">
        <v>1876</v>
      </c>
      <c r="B8753" t="s">
        <v>374</v>
      </c>
      <c r="C8753" t="s">
        <v>174</v>
      </c>
      <c r="D8753">
        <v>852</v>
      </c>
      <c r="E8753">
        <v>2276</v>
      </c>
      <c r="F8753">
        <v>882</v>
      </c>
      <c r="G8753">
        <v>725</v>
      </c>
    </row>
    <row r="8754" spans="1:7">
      <c r="A8754" t="s">
        <v>1876</v>
      </c>
      <c r="B8754" t="s">
        <v>374</v>
      </c>
      <c r="C8754" t="s">
        <v>175</v>
      </c>
      <c r="D8754">
        <v>453</v>
      </c>
      <c r="E8754">
        <v>478</v>
      </c>
      <c r="F8754">
        <v>485</v>
      </c>
      <c r="G8754">
        <v>512</v>
      </c>
    </row>
    <row r="8755" spans="1:7">
      <c r="A8755" t="s">
        <v>1876</v>
      </c>
      <c r="B8755" t="s">
        <v>374</v>
      </c>
      <c r="C8755" t="s">
        <v>176</v>
      </c>
      <c r="D8755">
        <v>0</v>
      </c>
      <c r="E8755">
        <v>0</v>
      </c>
      <c r="F8755">
        <v>0</v>
      </c>
      <c r="G8755">
        <v>0</v>
      </c>
    </row>
    <row r="8756" spans="1:7">
      <c r="A8756" t="s">
        <v>1876</v>
      </c>
      <c r="B8756" t="s">
        <v>374</v>
      </c>
      <c r="C8756" t="s">
        <v>177</v>
      </c>
      <c r="D8756">
        <v>39233</v>
      </c>
      <c r="E8756">
        <v>41023</v>
      </c>
      <c r="F8756">
        <v>40791</v>
      </c>
      <c r="G8756">
        <v>42903</v>
      </c>
    </row>
    <row r="8757" spans="1:7">
      <c r="A8757" t="s">
        <v>1876</v>
      </c>
      <c r="B8757" t="s">
        <v>374</v>
      </c>
      <c r="C8757" t="s">
        <v>178</v>
      </c>
      <c r="D8757">
        <v>0</v>
      </c>
      <c r="E8757">
        <v>0</v>
      </c>
      <c r="F8757">
        <v>0</v>
      </c>
      <c r="G8757">
        <v>0</v>
      </c>
    </row>
    <row r="8758" spans="1:7">
      <c r="A8758" t="s">
        <v>1876</v>
      </c>
      <c r="B8758" t="s">
        <v>374</v>
      </c>
      <c r="C8758" t="s">
        <v>179</v>
      </c>
      <c r="D8758">
        <v>0</v>
      </c>
      <c r="E8758">
        <v>0</v>
      </c>
      <c r="F8758">
        <v>0</v>
      </c>
      <c r="G8758">
        <v>0</v>
      </c>
    </row>
    <row r="8759" spans="1:7">
      <c r="A8759" t="s">
        <v>1876</v>
      </c>
      <c r="B8759" t="s">
        <v>374</v>
      </c>
      <c r="C8759" t="s">
        <v>180</v>
      </c>
      <c r="D8759">
        <v>48</v>
      </c>
      <c r="E8759">
        <v>50</v>
      </c>
      <c r="F8759">
        <v>43</v>
      </c>
      <c r="G8759">
        <v>42</v>
      </c>
    </row>
    <row r="8760" spans="1:7">
      <c r="A8760" t="s">
        <v>1876</v>
      </c>
      <c r="B8760" t="s">
        <v>374</v>
      </c>
      <c r="C8760" t="s">
        <v>181</v>
      </c>
      <c r="D8760">
        <v>162803</v>
      </c>
      <c r="E8760">
        <v>167969</v>
      </c>
      <c r="F8760">
        <v>164448</v>
      </c>
      <c r="G8760">
        <v>168977</v>
      </c>
    </row>
    <row r="8761" spans="1:7">
      <c r="A8761" t="s">
        <v>1876</v>
      </c>
      <c r="B8761" t="s">
        <v>374</v>
      </c>
      <c r="C8761" t="s">
        <v>182</v>
      </c>
      <c r="D8761">
        <v>92292</v>
      </c>
      <c r="E8761">
        <v>93896</v>
      </c>
      <c r="F8761">
        <v>89203</v>
      </c>
      <c r="G8761">
        <v>87425</v>
      </c>
    </row>
    <row r="8762" spans="1:7">
      <c r="A8762" t="s">
        <v>1876</v>
      </c>
      <c r="B8762" t="s">
        <v>374</v>
      </c>
      <c r="C8762" t="s">
        <v>183</v>
      </c>
      <c r="D8762">
        <v>207841</v>
      </c>
      <c r="E8762">
        <v>213059</v>
      </c>
      <c r="F8762">
        <v>200412</v>
      </c>
      <c r="G8762">
        <v>210674</v>
      </c>
    </row>
    <row r="8763" spans="1:7">
      <c r="A8763" t="s">
        <v>1876</v>
      </c>
      <c r="B8763" t="s">
        <v>374</v>
      </c>
      <c r="C8763" t="s">
        <v>184</v>
      </c>
      <c r="D8763">
        <v>462985</v>
      </c>
      <c r="E8763">
        <v>474973</v>
      </c>
      <c r="F8763">
        <v>454107</v>
      </c>
      <c r="G8763">
        <v>467118</v>
      </c>
    </row>
    <row r="8764" spans="1:7">
      <c r="A8764" t="s">
        <v>1876</v>
      </c>
      <c r="B8764" t="s">
        <v>374</v>
      </c>
      <c r="C8764" t="s">
        <v>185</v>
      </c>
      <c r="D8764">
        <v>462985</v>
      </c>
      <c r="E8764">
        <v>474973</v>
      </c>
      <c r="F8764">
        <v>454107</v>
      </c>
      <c r="G8764">
        <v>467118</v>
      </c>
    </row>
    <row r="8765" spans="1:7">
      <c r="A8765" t="s">
        <v>1876</v>
      </c>
      <c r="B8765" t="s">
        <v>374</v>
      </c>
      <c r="C8765" t="s">
        <v>1915</v>
      </c>
      <c r="D8765">
        <v>59</v>
      </c>
      <c r="E8765">
        <v>96</v>
      </c>
      <c r="F8765">
        <v>248</v>
      </c>
      <c r="G8765">
        <v>353</v>
      </c>
    </row>
    <row r="8766" spans="1:7">
      <c r="A8766" t="s">
        <v>1876</v>
      </c>
      <c r="B8766" t="s">
        <v>374</v>
      </c>
      <c r="C8766" t="s">
        <v>1916</v>
      </c>
      <c r="D8766">
        <v>0</v>
      </c>
      <c r="E8766">
        <v>0</v>
      </c>
      <c r="F8766">
        <v>0</v>
      </c>
      <c r="G8766">
        <v>0</v>
      </c>
    </row>
    <row r="8767" spans="1:7">
      <c r="A8767" t="s">
        <v>1876</v>
      </c>
      <c r="B8767" t="s">
        <v>374</v>
      </c>
      <c r="C8767" t="s">
        <v>1917</v>
      </c>
      <c r="D8767">
        <v>44</v>
      </c>
      <c r="E8767">
        <v>37</v>
      </c>
      <c r="F8767">
        <v>37</v>
      </c>
      <c r="G8767">
        <v>34</v>
      </c>
    </row>
    <row r="8768" spans="1:7">
      <c r="A8768" t="s">
        <v>1876</v>
      </c>
      <c r="B8768" t="s">
        <v>374</v>
      </c>
      <c r="C8768" t="s">
        <v>1918</v>
      </c>
      <c r="D8768">
        <v>2549</v>
      </c>
      <c r="E8768">
        <v>2931</v>
      </c>
      <c r="F8768">
        <v>3612</v>
      </c>
      <c r="G8768">
        <v>4537</v>
      </c>
    </row>
    <row r="8769" spans="1:7">
      <c r="A8769" t="s">
        <v>1876</v>
      </c>
      <c r="B8769" t="s">
        <v>374</v>
      </c>
      <c r="C8769" t="s">
        <v>1919</v>
      </c>
      <c r="D8769">
        <v>2.61</v>
      </c>
      <c r="E8769">
        <v>2.66</v>
      </c>
      <c r="F8769">
        <v>2.52</v>
      </c>
      <c r="G8769">
        <v>2.7</v>
      </c>
    </row>
    <row r="8770" spans="1:7">
      <c r="A8770" t="s">
        <v>1876</v>
      </c>
      <c r="B8770" t="s">
        <v>374</v>
      </c>
      <c r="C8770" t="s">
        <v>1920</v>
      </c>
      <c r="D8770">
        <v>3112</v>
      </c>
      <c r="E8770">
        <v>3681</v>
      </c>
      <c r="F8770">
        <v>4677</v>
      </c>
      <c r="G8770">
        <v>5982</v>
      </c>
    </row>
    <row r="8771" spans="1:7">
      <c r="A8771" t="s">
        <v>1876</v>
      </c>
      <c r="B8771" t="s">
        <v>374</v>
      </c>
      <c r="C8771" t="s">
        <v>1921</v>
      </c>
      <c r="D8771">
        <v>1096</v>
      </c>
      <c r="E8771">
        <v>1259</v>
      </c>
      <c r="F8771">
        <v>1662</v>
      </c>
      <c r="G8771">
        <v>1983</v>
      </c>
    </row>
    <row r="8772" spans="1:7">
      <c r="A8772" t="s">
        <v>1876</v>
      </c>
      <c r="B8772" t="s">
        <v>374</v>
      </c>
      <c r="C8772" t="s">
        <v>1922</v>
      </c>
      <c r="D8772">
        <v>519</v>
      </c>
      <c r="E8772">
        <v>713</v>
      </c>
      <c r="F8772">
        <v>1028</v>
      </c>
      <c r="G8772">
        <v>1411</v>
      </c>
    </row>
    <row r="8773" spans="1:7">
      <c r="A8773" t="s">
        <v>1876</v>
      </c>
      <c r="B8773" t="s">
        <v>374</v>
      </c>
      <c r="C8773" t="s">
        <v>1923</v>
      </c>
      <c r="D8773">
        <v>3.76</v>
      </c>
      <c r="E8773">
        <v>4.07</v>
      </c>
      <c r="F8773">
        <v>4.05</v>
      </c>
      <c r="G8773">
        <v>4.21</v>
      </c>
    </row>
    <row r="8774" spans="1:7">
      <c r="A8774" t="s">
        <v>1876</v>
      </c>
      <c r="B8774" t="s">
        <v>374</v>
      </c>
      <c r="C8774" t="s">
        <v>1924</v>
      </c>
      <c r="D8774">
        <v>71</v>
      </c>
      <c r="E8774">
        <v>9</v>
      </c>
      <c r="F8774">
        <v>14</v>
      </c>
      <c r="G8774">
        <v>16</v>
      </c>
    </row>
    <row r="8775" spans="1:7">
      <c r="A8775" t="s">
        <v>1876</v>
      </c>
      <c r="B8775" t="s">
        <v>374</v>
      </c>
      <c r="C8775" t="s">
        <v>1925</v>
      </c>
      <c r="D8775">
        <v>263</v>
      </c>
      <c r="E8775">
        <v>269</v>
      </c>
      <c r="F8775">
        <v>264</v>
      </c>
      <c r="G8775">
        <v>245</v>
      </c>
    </row>
    <row r="8776" spans="1:7">
      <c r="A8776" t="s">
        <v>1876</v>
      </c>
      <c r="B8776" t="s">
        <v>374</v>
      </c>
      <c r="C8776" t="s">
        <v>1926</v>
      </c>
      <c r="D8776">
        <v>762</v>
      </c>
      <c r="E8776">
        <v>981</v>
      </c>
      <c r="F8776">
        <v>1384</v>
      </c>
      <c r="G8776">
        <v>1722</v>
      </c>
    </row>
    <row r="8777" spans="1:7">
      <c r="A8777" t="s">
        <v>1876</v>
      </c>
      <c r="B8777" t="s">
        <v>374</v>
      </c>
      <c r="C8777" t="s">
        <v>1927</v>
      </c>
      <c r="D8777">
        <v>51</v>
      </c>
      <c r="E8777">
        <v>52</v>
      </c>
      <c r="F8777">
        <v>42</v>
      </c>
      <c r="G8777">
        <v>43</v>
      </c>
    </row>
    <row r="8778" spans="1:7">
      <c r="A8778" t="s">
        <v>1876</v>
      </c>
      <c r="B8778" t="s">
        <v>374</v>
      </c>
      <c r="C8778" t="s">
        <v>1928</v>
      </c>
      <c r="D8778">
        <v>972</v>
      </c>
      <c r="E8778">
        <v>1132</v>
      </c>
      <c r="F8778">
        <v>1545</v>
      </c>
      <c r="G8778">
        <v>1868</v>
      </c>
    </row>
    <row r="8779" spans="1:7">
      <c r="A8779" t="s">
        <v>1876</v>
      </c>
      <c r="B8779" t="s">
        <v>374</v>
      </c>
      <c r="C8779" t="s">
        <v>1929</v>
      </c>
      <c r="D8779">
        <v>73</v>
      </c>
      <c r="E8779">
        <v>75</v>
      </c>
      <c r="F8779">
        <v>75</v>
      </c>
      <c r="G8779">
        <v>72</v>
      </c>
    </row>
    <row r="8780" spans="1:7">
      <c r="A8780" t="s">
        <v>1876</v>
      </c>
      <c r="B8780" t="s">
        <v>374</v>
      </c>
      <c r="C8780" t="s">
        <v>186</v>
      </c>
      <c r="D8780">
        <v>0</v>
      </c>
      <c r="E8780">
        <v>0</v>
      </c>
      <c r="F8780">
        <v>0</v>
      </c>
      <c r="G8780">
        <v>0</v>
      </c>
    </row>
    <row r="8781" spans="1:7">
      <c r="A8781" t="s">
        <v>1876</v>
      </c>
      <c r="B8781" t="s">
        <v>374</v>
      </c>
      <c r="C8781" t="s">
        <v>187</v>
      </c>
      <c r="D8781">
        <v>0</v>
      </c>
      <c r="E8781">
        <v>0</v>
      </c>
      <c r="F8781">
        <v>0</v>
      </c>
      <c r="G8781">
        <v>0</v>
      </c>
    </row>
    <row r="8782" spans="1:7">
      <c r="A8782" t="s">
        <v>1876</v>
      </c>
      <c r="B8782" t="s">
        <v>374</v>
      </c>
      <c r="C8782" t="s">
        <v>1705</v>
      </c>
      <c r="D8782">
        <v>21318</v>
      </c>
      <c r="E8782">
        <v>21343</v>
      </c>
      <c r="F8782">
        <v>21318</v>
      </c>
      <c r="G8782">
        <v>21304</v>
      </c>
    </row>
    <row r="8783" spans="1:7">
      <c r="A8783" t="s">
        <v>1876</v>
      </c>
      <c r="B8783" t="s">
        <v>374</v>
      </c>
      <c r="C8783" t="s">
        <v>188</v>
      </c>
      <c r="D8783">
        <v>1743581</v>
      </c>
      <c r="E8783">
        <v>1815101</v>
      </c>
      <c r="F8783">
        <v>1711494</v>
      </c>
      <c r="G8783">
        <v>1833948</v>
      </c>
    </row>
    <row r="8784" spans="1:7">
      <c r="A8784" t="s">
        <v>1876</v>
      </c>
      <c r="B8784" t="s">
        <v>374</v>
      </c>
      <c r="C8784" t="s">
        <v>189</v>
      </c>
      <c r="D8784">
        <v>0</v>
      </c>
      <c r="E8784">
        <v>0</v>
      </c>
      <c r="F8784">
        <v>0</v>
      </c>
      <c r="G8784">
        <v>0</v>
      </c>
    </row>
    <row r="8785" spans="1:7">
      <c r="A8785" t="s">
        <v>1876</v>
      </c>
      <c r="B8785" t="s">
        <v>374</v>
      </c>
      <c r="C8785" t="s">
        <v>190</v>
      </c>
      <c r="D8785">
        <v>0</v>
      </c>
      <c r="E8785">
        <v>0</v>
      </c>
      <c r="F8785">
        <v>0</v>
      </c>
      <c r="G8785">
        <v>0</v>
      </c>
    </row>
    <row r="8786" spans="1:7">
      <c r="A8786" t="s">
        <v>1876</v>
      </c>
      <c r="B8786" t="s">
        <v>374</v>
      </c>
      <c r="C8786" t="s">
        <v>191</v>
      </c>
      <c r="D8786">
        <v>0</v>
      </c>
      <c r="E8786">
        <v>0</v>
      </c>
      <c r="F8786">
        <v>0</v>
      </c>
      <c r="G8786">
        <v>0</v>
      </c>
    </row>
    <row r="8787" spans="1:7">
      <c r="A8787" t="s">
        <v>1876</v>
      </c>
      <c r="B8787" t="s">
        <v>374</v>
      </c>
      <c r="C8787" t="s">
        <v>192</v>
      </c>
      <c r="D8787">
        <v>660804.69999999995</v>
      </c>
      <c r="E8787">
        <v>729761.9</v>
      </c>
      <c r="F8787">
        <v>794838</v>
      </c>
      <c r="G8787">
        <v>844209</v>
      </c>
    </row>
    <row r="8788" spans="1:7">
      <c r="A8788" t="s">
        <v>1876</v>
      </c>
      <c r="B8788" t="s">
        <v>374</v>
      </c>
      <c r="C8788" t="s">
        <v>193</v>
      </c>
      <c r="D8788">
        <v>599293.80000000005</v>
      </c>
      <c r="E8788">
        <v>620666.5</v>
      </c>
      <c r="F8788">
        <v>643045.80000000005</v>
      </c>
      <c r="G8788">
        <v>664131.6</v>
      </c>
    </row>
    <row r="8789" spans="1:7">
      <c r="A8789" t="s">
        <v>1876</v>
      </c>
      <c r="B8789" t="s">
        <v>374</v>
      </c>
      <c r="C8789" t="s">
        <v>1930</v>
      </c>
      <c r="D8789">
        <v>0</v>
      </c>
      <c r="E8789">
        <v>0</v>
      </c>
      <c r="F8789">
        <v>0</v>
      </c>
      <c r="G8789">
        <v>0</v>
      </c>
    </row>
    <row r="8790" spans="1:7">
      <c r="A8790" t="s">
        <v>1876</v>
      </c>
      <c r="B8790" t="s">
        <v>374</v>
      </c>
      <c r="C8790" t="s">
        <v>194</v>
      </c>
      <c r="D8790">
        <v>0</v>
      </c>
      <c r="E8790">
        <v>0</v>
      </c>
      <c r="F8790">
        <v>0</v>
      </c>
      <c r="G8790">
        <v>0</v>
      </c>
    </row>
    <row r="8791" spans="1:7">
      <c r="A8791" t="s">
        <v>1876</v>
      </c>
      <c r="B8791" t="s">
        <v>374</v>
      </c>
      <c r="C8791" t="s">
        <v>195</v>
      </c>
      <c r="D8791">
        <v>0</v>
      </c>
      <c r="E8791">
        <v>0</v>
      </c>
      <c r="F8791">
        <v>0</v>
      </c>
      <c r="G8791">
        <v>0</v>
      </c>
    </row>
    <row r="8792" spans="1:7">
      <c r="A8792" t="s">
        <v>1876</v>
      </c>
      <c r="B8792" t="s">
        <v>374</v>
      </c>
      <c r="C8792" t="s">
        <v>1706</v>
      </c>
      <c r="D8792">
        <v>0</v>
      </c>
      <c r="E8792">
        <v>0</v>
      </c>
      <c r="F8792">
        <v>0</v>
      </c>
      <c r="G8792">
        <v>0</v>
      </c>
    </row>
    <row r="8793" spans="1:7">
      <c r="A8793" t="s">
        <v>1876</v>
      </c>
      <c r="B8793" t="s">
        <v>374</v>
      </c>
      <c r="C8793" t="s">
        <v>196</v>
      </c>
      <c r="D8793">
        <v>0</v>
      </c>
      <c r="E8793">
        <v>0</v>
      </c>
      <c r="F8793">
        <v>0</v>
      </c>
      <c r="G8793">
        <v>0</v>
      </c>
    </row>
    <row r="8794" spans="1:7">
      <c r="A8794" t="s">
        <v>1876</v>
      </c>
      <c r="B8794" t="s">
        <v>374</v>
      </c>
      <c r="C8794" t="s">
        <v>197</v>
      </c>
      <c r="D8794">
        <v>967</v>
      </c>
      <c r="E8794">
        <v>967</v>
      </c>
      <c r="F8794">
        <v>967</v>
      </c>
      <c r="G8794">
        <v>967</v>
      </c>
    </row>
    <row r="8795" spans="1:7">
      <c r="A8795" t="s">
        <v>1876</v>
      </c>
      <c r="B8795" t="s">
        <v>374</v>
      </c>
      <c r="C8795" t="s">
        <v>198</v>
      </c>
      <c r="D8795">
        <v>967</v>
      </c>
      <c r="E8795">
        <v>967</v>
      </c>
      <c r="F8795">
        <v>967</v>
      </c>
      <c r="G8795">
        <v>967</v>
      </c>
    </row>
    <row r="8796" spans="1:7">
      <c r="A8796" t="s">
        <v>1876</v>
      </c>
      <c r="B8796" t="s">
        <v>374</v>
      </c>
      <c r="C8796" t="s">
        <v>199</v>
      </c>
      <c r="D8796">
        <v>967</v>
      </c>
      <c r="E8796">
        <v>967</v>
      </c>
      <c r="F8796">
        <v>967</v>
      </c>
      <c r="G8796">
        <v>967</v>
      </c>
    </row>
    <row r="8797" spans="1:7">
      <c r="A8797" t="s">
        <v>1876</v>
      </c>
      <c r="B8797" t="s">
        <v>374</v>
      </c>
      <c r="C8797" t="s">
        <v>200</v>
      </c>
      <c r="D8797">
        <v>131</v>
      </c>
      <c r="E8797">
        <v>262</v>
      </c>
      <c r="F8797">
        <v>281</v>
      </c>
      <c r="G8797">
        <v>310</v>
      </c>
    </row>
    <row r="8798" spans="1:7">
      <c r="A8798" t="s">
        <v>1876</v>
      </c>
      <c r="B8798" t="s">
        <v>374</v>
      </c>
      <c r="C8798" t="s">
        <v>201</v>
      </c>
      <c r="D8798">
        <v>9131</v>
      </c>
      <c r="E8798">
        <v>8359</v>
      </c>
      <c r="F8798">
        <v>8103</v>
      </c>
      <c r="G8798">
        <v>8341</v>
      </c>
    </row>
    <row r="8799" spans="1:7">
      <c r="A8799" t="s">
        <v>1876</v>
      </c>
      <c r="B8799" t="s">
        <v>374</v>
      </c>
      <c r="C8799" t="s">
        <v>202</v>
      </c>
      <c r="D8799">
        <v>9503</v>
      </c>
      <c r="E8799">
        <v>9616</v>
      </c>
      <c r="F8799">
        <v>8643</v>
      </c>
      <c r="G8799">
        <v>9584</v>
      </c>
    </row>
    <row r="8800" spans="1:7">
      <c r="A8800" t="s">
        <v>1876</v>
      </c>
      <c r="B8800" t="s">
        <v>374</v>
      </c>
      <c r="C8800" t="s">
        <v>203</v>
      </c>
      <c r="D8800">
        <v>15567</v>
      </c>
      <c r="E8800">
        <v>16722</v>
      </c>
      <c r="F8800">
        <v>15191</v>
      </c>
      <c r="G8800">
        <v>16011</v>
      </c>
    </row>
    <row r="8801" spans="1:7">
      <c r="A8801" t="s">
        <v>1876</v>
      </c>
      <c r="B8801" t="s">
        <v>374</v>
      </c>
      <c r="C8801" t="s">
        <v>204</v>
      </c>
      <c r="D8801">
        <v>34333</v>
      </c>
      <c r="E8801">
        <v>34959</v>
      </c>
      <c r="F8801">
        <v>32218</v>
      </c>
      <c r="G8801">
        <v>34247</v>
      </c>
    </row>
    <row r="8802" spans="1:7">
      <c r="A8802" t="s">
        <v>1876</v>
      </c>
      <c r="B8802" t="s">
        <v>374</v>
      </c>
      <c r="C8802" t="s">
        <v>205</v>
      </c>
      <c r="D8802">
        <v>34333</v>
      </c>
      <c r="E8802">
        <v>34959</v>
      </c>
      <c r="F8802">
        <v>32218</v>
      </c>
      <c r="G8802">
        <v>34247</v>
      </c>
    </row>
    <row r="8803" spans="1:7">
      <c r="A8803" t="s">
        <v>1876</v>
      </c>
      <c r="B8803" t="s">
        <v>374</v>
      </c>
      <c r="C8803" t="s">
        <v>1931</v>
      </c>
      <c r="D8803">
        <v>0.1</v>
      </c>
      <c r="E8803">
        <v>0.1</v>
      </c>
      <c r="F8803">
        <v>0.1</v>
      </c>
      <c r="G8803">
        <v>1.8</v>
      </c>
    </row>
    <row r="8804" spans="1:7">
      <c r="A8804" t="s">
        <v>1876</v>
      </c>
      <c r="B8804" t="s">
        <v>374</v>
      </c>
      <c r="C8804" t="s">
        <v>1707</v>
      </c>
      <c r="D8804">
        <v>86</v>
      </c>
      <c r="E8804">
        <v>86</v>
      </c>
      <c r="F8804">
        <v>86</v>
      </c>
      <c r="G8804">
        <v>86</v>
      </c>
    </row>
    <row r="8805" spans="1:7">
      <c r="A8805" t="s">
        <v>1876</v>
      </c>
      <c r="B8805" t="s">
        <v>374</v>
      </c>
      <c r="C8805" t="s">
        <v>1932</v>
      </c>
      <c r="D8805">
        <v>33.1</v>
      </c>
      <c r="E8805">
        <v>26.6</v>
      </c>
      <c r="F8805">
        <v>24</v>
      </c>
      <c r="G8805">
        <v>27.4</v>
      </c>
    </row>
    <row r="8806" spans="1:7">
      <c r="A8806" t="s">
        <v>1876</v>
      </c>
      <c r="B8806" t="s">
        <v>374</v>
      </c>
      <c r="C8806" t="s">
        <v>1708</v>
      </c>
      <c r="D8806">
        <v>2006</v>
      </c>
      <c r="E8806">
        <v>2009</v>
      </c>
      <c r="F8806">
        <v>2011</v>
      </c>
      <c r="G8806">
        <v>2009</v>
      </c>
    </row>
    <row r="8807" spans="1:7">
      <c r="A8807" t="s">
        <v>1876</v>
      </c>
      <c r="B8807" t="s">
        <v>374</v>
      </c>
      <c r="C8807" t="s">
        <v>206</v>
      </c>
      <c r="D8807">
        <v>48</v>
      </c>
      <c r="E8807">
        <v>38</v>
      </c>
      <c r="F8807">
        <v>31</v>
      </c>
      <c r="G8807">
        <v>35</v>
      </c>
    </row>
    <row r="8808" spans="1:7">
      <c r="A8808" t="s">
        <v>1876</v>
      </c>
      <c r="B8808" t="s">
        <v>374</v>
      </c>
      <c r="C8808" t="s">
        <v>207</v>
      </c>
      <c r="D8808">
        <v>19785</v>
      </c>
      <c r="E8808">
        <v>15952</v>
      </c>
      <c r="F8808">
        <v>14386</v>
      </c>
      <c r="G8808">
        <v>16442</v>
      </c>
    </row>
    <row r="8809" spans="1:7">
      <c r="A8809" t="s">
        <v>1876</v>
      </c>
      <c r="B8809" t="s">
        <v>374</v>
      </c>
      <c r="C8809" t="s">
        <v>208</v>
      </c>
      <c r="D8809">
        <v>0</v>
      </c>
      <c r="E8809">
        <v>0</v>
      </c>
      <c r="F8809">
        <v>0</v>
      </c>
      <c r="G8809">
        <v>0</v>
      </c>
    </row>
    <row r="8810" spans="1:7">
      <c r="A8810" t="s">
        <v>1876</v>
      </c>
      <c r="B8810" t="s">
        <v>374</v>
      </c>
      <c r="C8810" t="s">
        <v>209</v>
      </c>
      <c r="D8810">
        <v>19833</v>
      </c>
      <c r="E8810">
        <v>15990</v>
      </c>
      <c r="F8810">
        <v>14417</v>
      </c>
      <c r="G8810">
        <v>16477</v>
      </c>
    </row>
    <row r="8811" spans="1:7">
      <c r="A8811" t="s">
        <v>1876</v>
      </c>
      <c r="B8811" t="s">
        <v>374</v>
      </c>
      <c r="C8811" t="s">
        <v>210</v>
      </c>
      <c r="D8811">
        <v>48</v>
      </c>
      <c r="E8811">
        <v>38</v>
      </c>
      <c r="F8811">
        <v>31</v>
      </c>
      <c r="G8811">
        <v>35</v>
      </c>
    </row>
    <row r="8812" spans="1:7">
      <c r="A8812" t="s">
        <v>1876</v>
      </c>
      <c r="B8812" t="s">
        <v>374</v>
      </c>
      <c r="C8812" t="s">
        <v>211</v>
      </c>
      <c r="D8812">
        <v>0</v>
      </c>
      <c r="E8812">
        <v>0</v>
      </c>
      <c r="F8812">
        <v>0</v>
      </c>
      <c r="G8812">
        <v>0</v>
      </c>
    </row>
    <row r="8813" spans="1:7">
      <c r="A8813" t="s">
        <v>1876</v>
      </c>
      <c r="B8813" t="s">
        <v>374</v>
      </c>
      <c r="C8813" t="s">
        <v>212</v>
      </c>
      <c r="D8813">
        <v>0</v>
      </c>
      <c r="E8813">
        <v>0</v>
      </c>
      <c r="F8813">
        <v>0</v>
      </c>
      <c r="G8813">
        <v>0</v>
      </c>
    </row>
    <row r="8814" spans="1:7">
      <c r="A8814" t="s">
        <v>1876</v>
      </c>
      <c r="B8814" t="s">
        <v>374</v>
      </c>
      <c r="C8814" t="s">
        <v>213</v>
      </c>
      <c r="D8814">
        <v>0</v>
      </c>
      <c r="E8814">
        <v>0</v>
      </c>
      <c r="F8814">
        <v>0</v>
      </c>
      <c r="G8814">
        <v>0</v>
      </c>
    </row>
    <row r="8815" spans="1:7">
      <c r="A8815" t="s">
        <v>1876</v>
      </c>
      <c r="B8815" t="s">
        <v>374</v>
      </c>
      <c r="C8815" t="s">
        <v>214</v>
      </c>
      <c r="D8815">
        <v>0</v>
      </c>
      <c r="E8815">
        <v>0</v>
      </c>
      <c r="F8815">
        <v>0</v>
      </c>
      <c r="G8815">
        <v>0</v>
      </c>
    </row>
    <row r="8816" spans="1:7">
      <c r="A8816" t="s">
        <v>1876</v>
      </c>
      <c r="B8816" t="s">
        <v>374</v>
      </c>
      <c r="C8816" t="s">
        <v>215</v>
      </c>
      <c r="D8816">
        <v>81355</v>
      </c>
      <c r="E8816">
        <v>83008</v>
      </c>
      <c r="F8816">
        <v>92435</v>
      </c>
      <c r="G8816">
        <v>98793</v>
      </c>
    </row>
    <row r="8817" spans="1:7">
      <c r="A8817" t="s">
        <v>1876</v>
      </c>
      <c r="B8817" t="s">
        <v>374</v>
      </c>
      <c r="C8817" t="s">
        <v>216</v>
      </c>
      <c r="D8817">
        <v>81355</v>
      </c>
      <c r="E8817">
        <v>83008</v>
      </c>
      <c r="F8817">
        <v>92435</v>
      </c>
      <c r="G8817">
        <v>98793</v>
      </c>
    </row>
    <row r="8818" spans="1:7">
      <c r="A8818" t="s">
        <v>1876</v>
      </c>
      <c r="B8818" t="s">
        <v>374</v>
      </c>
      <c r="C8818" t="s">
        <v>217</v>
      </c>
      <c r="D8818">
        <v>81355</v>
      </c>
      <c r="E8818">
        <v>83008</v>
      </c>
      <c r="F8818">
        <v>92435</v>
      </c>
      <c r="G8818">
        <v>98793</v>
      </c>
    </row>
    <row r="8819" spans="1:7">
      <c r="A8819" t="s">
        <v>1876</v>
      </c>
      <c r="B8819" t="s">
        <v>374</v>
      </c>
      <c r="C8819" t="s">
        <v>218</v>
      </c>
      <c r="D8819">
        <v>49</v>
      </c>
      <c r="E8819">
        <v>44</v>
      </c>
      <c r="F8819">
        <v>76</v>
      </c>
      <c r="G8819">
        <v>59</v>
      </c>
    </row>
    <row r="8820" spans="1:7">
      <c r="A8820" t="s">
        <v>1876</v>
      </c>
      <c r="B8820" t="s">
        <v>374</v>
      </c>
      <c r="C8820" t="s">
        <v>219</v>
      </c>
      <c r="D8820">
        <v>14</v>
      </c>
      <c r="E8820">
        <v>11</v>
      </c>
      <c r="F8820">
        <v>43</v>
      </c>
      <c r="G8820">
        <v>24</v>
      </c>
    </row>
    <row r="8821" spans="1:7">
      <c r="A8821" t="s">
        <v>1876</v>
      </c>
      <c r="B8821" t="s">
        <v>374</v>
      </c>
      <c r="C8821" t="s">
        <v>220</v>
      </c>
      <c r="D8821">
        <v>831</v>
      </c>
      <c r="E8821">
        <v>748</v>
      </c>
      <c r="F8821">
        <v>1292</v>
      </c>
      <c r="G8821">
        <v>998</v>
      </c>
    </row>
    <row r="8822" spans="1:7">
      <c r="A8822" t="s">
        <v>1876</v>
      </c>
      <c r="B8822" t="s">
        <v>374</v>
      </c>
      <c r="C8822" t="s">
        <v>221</v>
      </c>
      <c r="D8822">
        <v>894</v>
      </c>
      <c r="E8822">
        <v>803</v>
      </c>
      <c r="F8822">
        <v>1412</v>
      </c>
      <c r="G8822">
        <v>1081</v>
      </c>
    </row>
    <row r="8823" spans="1:7">
      <c r="A8823" t="s">
        <v>1876</v>
      </c>
      <c r="B8823" t="s">
        <v>374</v>
      </c>
      <c r="C8823" t="s">
        <v>222</v>
      </c>
      <c r="D8823">
        <v>894</v>
      </c>
      <c r="E8823">
        <v>803</v>
      </c>
      <c r="F8823">
        <v>1412</v>
      </c>
      <c r="G8823">
        <v>1081</v>
      </c>
    </row>
    <row r="8824" spans="1:7">
      <c r="A8824" t="s">
        <v>1876</v>
      </c>
      <c r="B8824" t="s">
        <v>374</v>
      </c>
      <c r="C8824" t="s">
        <v>1933</v>
      </c>
      <c r="D8824">
        <v>8326.4</v>
      </c>
      <c r="E8824">
        <v>8327.1</v>
      </c>
      <c r="F8824">
        <v>8377.7999999999993</v>
      </c>
      <c r="G8824">
        <v>8464.6</v>
      </c>
    </row>
    <row r="8825" spans="1:7">
      <c r="A8825" t="s">
        <v>1876</v>
      </c>
      <c r="B8825" t="s">
        <v>374</v>
      </c>
      <c r="C8825" t="s">
        <v>223</v>
      </c>
      <c r="D8825">
        <v>81</v>
      </c>
      <c r="E8825">
        <v>83</v>
      </c>
      <c r="F8825">
        <v>71</v>
      </c>
      <c r="G8825">
        <v>70</v>
      </c>
    </row>
    <row r="8826" spans="1:7">
      <c r="A8826" t="s">
        <v>1876</v>
      </c>
      <c r="B8826" t="s">
        <v>374</v>
      </c>
      <c r="C8826" t="s">
        <v>224</v>
      </c>
      <c r="D8826">
        <v>270623</v>
      </c>
      <c r="E8826">
        <v>278523</v>
      </c>
      <c r="F8826">
        <v>268797</v>
      </c>
      <c r="G8826">
        <v>279119</v>
      </c>
    </row>
    <row r="8827" spans="1:7">
      <c r="A8827" t="s">
        <v>1876</v>
      </c>
      <c r="B8827" t="s">
        <v>374</v>
      </c>
      <c r="C8827" t="s">
        <v>225</v>
      </c>
      <c r="D8827">
        <v>153415</v>
      </c>
      <c r="E8827">
        <v>155697</v>
      </c>
      <c r="F8827">
        <v>145806</v>
      </c>
      <c r="G8827">
        <v>144411</v>
      </c>
    </row>
    <row r="8828" spans="1:7">
      <c r="A8828" t="s">
        <v>1876</v>
      </c>
      <c r="B8828" t="s">
        <v>374</v>
      </c>
      <c r="C8828" t="s">
        <v>226</v>
      </c>
      <c r="D8828">
        <v>345488</v>
      </c>
      <c r="E8828">
        <v>353290</v>
      </c>
      <c r="F8828">
        <v>327582</v>
      </c>
      <c r="G8828">
        <v>347995</v>
      </c>
    </row>
    <row r="8829" spans="1:7">
      <c r="A8829" t="s">
        <v>1876</v>
      </c>
      <c r="B8829" t="s">
        <v>374</v>
      </c>
      <c r="C8829" t="s">
        <v>227</v>
      </c>
      <c r="D8829">
        <v>769606</v>
      </c>
      <c r="E8829">
        <v>787592</v>
      </c>
      <c r="F8829">
        <v>742256</v>
      </c>
      <c r="G8829">
        <v>771594</v>
      </c>
    </row>
    <row r="8830" spans="1:7">
      <c r="A8830" t="s">
        <v>1876</v>
      </c>
      <c r="B8830" t="s">
        <v>374</v>
      </c>
      <c r="C8830" t="s">
        <v>228</v>
      </c>
      <c r="D8830">
        <v>769606</v>
      </c>
      <c r="E8830">
        <v>787592</v>
      </c>
      <c r="F8830">
        <v>742256</v>
      </c>
      <c r="G8830">
        <v>771594</v>
      </c>
    </row>
    <row r="8831" spans="1:7">
      <c r="A8831" t="s">
        <v>1876</v>
      </c>
      <c r="B8831" t="s">
        <v>374</v>
      </c>
      <c r="C8831" t="s">
        <v>229</v>
      </c>
      <c r="D8831">
        <v>3653</v>
      </c>
      <c r="E8831">
        <v>3835</v>
      </c>
      <c r="F8831">
        <v>2812</v>
      </c>
      <c r="G8831">
        <v>2803</v>
      </c>
    </row>
    <row r="8832" spans="1:7">
      <c r="A8832" t="s">
        <v>1876</v>
      </c>
      <c r="B8832" t="s">
        <v>374</v>
      </c>
      <c r="C8832" t="s">
        <v>230</v>
      </c>
      <c r="D8832">
        <v>3236</v>
      </c>
      <c r="E8832">
        <v>3443</v>
      </c>
      <c r="F8832">
        <v>2483</v>
      </c>
      <c r="G8832">
        <v>2314</v>
      </c>
    </row>
    <row r="8833" spans="1:7">
      <c r="A8833" t="s">
        <v>1876</v>
      </c>
      <c r="B8833" t="s">
        <v>374</v>
      </c>
      <c r="C8833" t="s">
        <v>231</v>
      </c>
      <c r="D8833">
        <v>6889</v>
      </c>
      <c r="E8833">
        <v>7277</v>
      </c>
      <c r="F8833">
        <v>5295</v>
      </c>
      <c r="G8833">
        <v>5117</v>
      </c>
    </row>
    <row r="8834" spans="1:7">
      <c r="A8834" t="s">
        <v>1876</v>
      </c>
      <c r="B8834" t="s">
        <v>374</v>
      </c>
      <c r="C8834" t="s">
        <v>232</v>
      </c>
      <c r="D8834">
        <v>6889</v>
      </c>
      <c r="E8834">
        <v>7277</v>
      </c>
      <c r="F8834">
        <v>5295</v>
      </c>
      <c r="G8834">
        <v>5117</v>
      </c>
    </row>
    <row r="8835" spans="1:7">
      <c r="A8835" t="s">
        <v>1876</v>
      </c>
      <c r="B8835" t="s">
        <v>374</v>
      </c>
      <c r="C8835" t="s">
        <v>233</v>
      </c>
      <c r="D8835">
        <v>0</v>
      </c>
      <c r="E8835">
        <v>0</v>
      </c>
      <c r="F8835">
        <v>0</v>
      </c>
      <c r="G8835">
        <v>0</v>
      </c>
    </row>
    <row r="8836" spans="1:7">
      <c r="A8836" t="s">
        <v>1876</v>
      </c>
      <c r="B8836" t="s">
        <v>374</v>
      </c>
      <c r="C8836" t="s">
        <v>234</v>
      </c>
      <c r="D8836">
        <v>551186</v>
      </c>
      <c r="E8836">
        <v>550861</v>
      </c>
      <c r="F8836">
        <v>570490</v>
      </c>
      <c r="G8836">
        <v>603930</v>
      </c>
    </row>
    <row r="8837" spans="1:7">
      <c r="A8837" t="s">
        <v>1876</v>
      </c>
      <c r="B8837" t="s">
        <v>374</v>
      </c>
      <c r="C8837" t="s">
        <v>235</v>
      </c>
      <c r="D8837">
        <v>12385</v>
      </c>
      <c r="E8837">
        <v>32763</v>
      </c>
      <c r="F8837">
        <v>12764</v>
      </c>
      <c r="G8837">
        <v>10511</v>
      </c>
    </row>
    <row r="8838" spans="1:7">
      <c r="A8838" t="s">
        <v>1876</v>
      </c>
      <c r="B8838" t="s">
        <v>374</v>
      </c>
      <c r="C8838" t="s">
        <v>236</v>
      </c>
      <c r="D8838">
        <v>6581</v>
      </c>
      <c r="E8838">
        <v>6876</v>
      </c>
      <c r="F8838">
        <v>7015</v>
      </c>
      <c r="G8838">
        <v>7417</v>
      </c>
    </row>
    <row r="8839" spans="1:7">
      <c r="A8839" t="s">
        <v>1876</v>
      </c>
      <c r="B8839" t="s">
        <v>374</v>
      </c>
      <c r="C8839" t="s">
        <v>237</v>
      </c>
      <c r="D8839">
        <v>570152</v>
      </c>
      <c r="E8839">
        <v>590501</v>
      </c>
      <c r="F8839">
        <v>590270</v>
      </c>
      <c r="G8839">
        <v>621859</v>
      </c>
    </row>
    <row r="8840" spans="1:7">
      <c r="A8840" t="s">
        <v>1876</v>
      </c>
      <c r="B8840" t="s">
        <v>374</v>
      </c>
      <c r="C8840" t="s">
        <v>238</v>
      </c>
      <c r="D8840">
        <v>570152</v>
      </c>
      <c r="E8840">
        <v>590501</v>
      </c>
      <c r="F8840">
        <v>590270</v>
      </c>
      <c r="G8840">
        <v>621859</v>
      </c>
    </row>
    <row r="8841" spans="1:7">
      <c r="A8841" t="s">
        <v>1876</v>
      </c>
      <c r="B8841" t="s">
        <v>374</v>
      </c>
      <c r="C8841" t="s">
        <v>1934</v>
      </c>
      <c r="D8841">
        <v>513258</v>
      </c>
      <c r="E8841">
        <v>512592</v>
      </c>
      <c r="F8841">
        <v>531066</v>
      </c>
      <c r="G8841">
        <v>562265</v>
      </c>
    </row>
    <row r="8842" spans="1:7">
      <c r="A8842" t="s">
        <v>1876</v>
      </c>
      <c r="B8842" t="s">
        <v>374</v>
      </c>
      <c r="C8842" t="s">
        <v>1935</v>
      </c>
      <c r="D8842">
        <v>11533</v>
      </c>
      <c r="E8842">
        <v>30487</v>
      </c>
      <c r="F8842">
        <v>11882</v>
      </c>
      <c r="G8842">
        <v>9786</v>
      </c>
    </row>
    <row r="8843" spans="1:7">
      <c r="A8843" t="s">
        <v>1876</v>
      </c>
      <c r="B8843" t="s">
        <v>374</v>
      </c>
      <c r="C8843" t="s">
        <v>1936</v>
      </c>
      <c r="D8843">
        <v>6128</v>
      </c>
      <c r="E8843">
        <v>6399</v>
      </c>
      <c r="F8843">
        <v>6531</v>
      </c>
      <c r="G8843">
        <v>6906</v>
      </c>
    </row>
    <row r="8844" spans="1:7">
      <c r="A8844" t="s">
        <v>1876</v>
      </c>
      <c r="B8844" t="s">
        <v>374</v>
      </c>
      <c r="C8844" t="s">
        <v>239</v>
      </c>
      <c r="D8844">
        <v>530919</v>
      </c>
      <c r="E8844">
        <v>549478</v>
      </c>
      <c r="F8844">
        <v>549479</v>
      </c>
      <c r="G8844">
        <v>578956</v>
      </c>
    </row>
    <row r="8845" spans="1:7">
      <c r="A8845" t="s">
        <v>1876</v>
      </c>
      <c r="B8845" t="s">
        <v>374</v>
      </c>
      <c r="C8845" t="s">
        <v>240</v>
      </c>
      <c r="D8845">
        <v>2201</v>
      </c>
      <c r="E8845">
        <v>2267</v>
      </c>
      <c r="F8845">
        <v>2179</v>
      </c>
      <c r="G8845">
        <v>2133</v>
      </c>
    </row>
    <row r="8846" spans="1:7">
      <c r="A8846" t="s">
        <v>1876</v>
      </c>
      <c r="B8846" t="s">
        <v>374</v>
      </c>
      <c r="C8846" t="s">
        <v>241</v>
      </c>
      <c r="D8846">
        <v>0</v>
      </c>
      <c r="E8846">
        <v>0</v>
      </c>
      <c r="F8846">
        <v>0</v>
      </c>
      <c r="G8846">
        <v>0</v>
      </c>
    </row>
    <row r="8847" spans="1:7">
      <c r="A8847" t="s">
        <v>1876</v>
      </c>
      <c r="B8847" t="s">
        <v>374</v>
      </c>
      <c r="C8847" t="s">
        <v>242</v>
      </c>
      <c r="D8847">
        <v>4932</v>
      </c>
      <c r="E8847">
        <v>7811</v>
      </c>
      <c r="F8847">
        <v>5576</v>
      </c>
      <c r="G8847">
        <v>4744</v>
      </c>
    </row>
    <row r="8848" spans="1:7">
      <c r="A8848" t="s">
        <v>1876</v>
      </c>
      <c r="B8848" t="s">
        <v>374</v>
      </c>
      <c r="C8848" t="s">
        <v>243</v>
      </c>
      <c r="D8848">
        <v>58641</v>
      </c>
      <c r="E8848">
        <v>60604</v>
      </c>
      <c r="F8848">
        <v>56553</v>
      </c>
      <c r="G8848">
        <v>70217</v>
      </c>
    </row>
    <row r="8849" spans="1:7">
      <c r="A8849" t="s">
        <v>1876</v>
      </c>
      <c r="B8849" t="s">
        <v>374</v>
      </c>
      <c r="C8849" t="s">
        <v>244</v>
      </c>
      <c r="D8849">
        <v>373097</v>
      </c>
      <c r="E8849">
        <v>478102</v>
      </c>
      <c r="F8849">
        <v>413072</v>
      </c>
      <c r="G8849">
        <v>447113</v>
      </c>
    </row>
    <row r="8850" spans="1:7">
      <c r="A8850" t="s">
        <v>1876</v>
      </c>
      <c r="B8850" t="s">
        <v>374</v>
      </c>
      <c r="C8850" t="s">
        <v>1709</v>
      </c>
      <c r="D8850">
        <v>11558</v>
      </c>
      <c r="E8850">
        <v>16247</v>
      </c>
      <c r="F8850">
        <v>16275</v>
      </c>
      <c r="G8850">
        <v>15252</v>
      </c>
    </row>
    <row r="8851" spans="1:7">
      <c r="A8851" t="s">
        <v>1876</v>
      </c>
      <c r="B8851" t="s">
        <v>374</v>
      </c>
      <c r="C8851" t="s">
        <v>245</v>
      </c>
      <c r="D8851">
        <v>126374</v>
      </c>
      <c r="E8851">
        <v>126535</v>
      </c>
      <c r="F8851">
        <v>121889</v>
      </c>
      <c r="G8851">
        <v>122478</v>
      </c>
    </row>
    <row r="8852" spans="1:7">
      <c r="A8852" t="s">
        <v>1876</v>
      </c>
      <c r="B8852" t="s">
        <v>374</v>
      </c>
      <c r="C8852" t="s">
        <v>246</v>
      </c>
      <c r="D8852">
        <v>74510</v>
      </c>
      <c r="E8852">
        <v>74136</v>
      </c>
      <c r="F8852">
        <v>65249</v>
      </c>
      <c r="G8852">
        <v>71406</v>
      </c>
    </row>
    <row r="8853" spans="1:7">
      <c r="A8853" t="s">
        <v>1876</v>
      </c>
      <c r="B8853" t="s">
        <v>374</v>
      </c>
      <c r="C8853" t="s">
        <v>247</v>
      </c>
      <c r="D8853">
        <v>637553</v>
      </c>
      <c r="E8853">
        <v>747187</v>
      </c>
      <c r="F8853">
        <v>662340</v>
      </c>
      <c r="G8853">
        <v>715959</v>
      </c>
    </row>
    <row r="8854" spans="1:7">
      <c r="A8854" t="s">
        <v>1876</v>
      </c>
      <c r="B8854" t="s">
        <v>374</v>
      </c>
      <c r="C8854" t="s">
        <v>248</v>
      </c>
      <c r="D8854">
        <v>60.3</v>
      </c>
      <c r="E8854">
        <v>69.8</v>
      </c>
      <c r="F8854">
        <v>60.9</v>
      </c>
      <c r="G8854">
        <v>64.8</v>
      </c>
    </row>
    <row r="8855" spans="1:7">
      <c r="A8855" t="s">
        <v>1876</v>
      </c>
      <c r="B8855" t="s">
        <v>374</v>
      </c>
      <c r="C8855" t="s">
        <v>249</v>
      </c>
      <c r="D8855">
        <v>264456</v>
      </c>
      <c r="E8855">
        <v>269086</v>
      </c>
      <c r="F8855">
        <v>249267</v>
      </c>
      <c r="G8855">
        <v>268845</v>
      </c>
    </row>
    <row r="8856" spans="1:7">
      <c r="A8856" t="s">
        <v>1876</v>
      </c>
      <c r="B8856" t="s">
        <v>374</v>
      </c>
      <c r="C8856" t="s">
        <v>250</v>
      </c>
      <c r="D8856">
        <v>637553</v>
      </c>
      <c r="E8856">
        <v>747187</v>
      </c>
      <c r="F8856">
        <v>662302</v>
      </c>
      <c r="G8856">
        <v>715803</v>
      </c>
    </row>
    <row r="8857" spans="1:7">
      <c r="A8857" t="s">
        <v>1876</v>
      </c>
      <c r="B8857" t="s">
        <v>374</v>
      </c>
      <c r="C8857" t="s">
        <v>1937</v>
      </c>
      <c r="D8857">
        <v>8.3000000000000007</v>
      </c>
      <c r="E8857">
        <v>13.4</v>
      </c>
      <c r="F8857">
        <v>6.5</v>
      </c>
      <c r="G8857">
        <v>9</v>
      </c>
    </row>
    <row r="8858" spans="1:7">
      <c r="A8858" t="s">
        <v>1876</v>
      </c>
      <c r="B8858" t="s">
        <v>374</v>
      </c>
      <c r="C8858" t="s">
        <v>1938</v>
      </c>
      <c r="D8858">
        <v>95.6</v>
      </c>
      <c r="E8858">
        <v>94.5</v>
      </c>
      <c r="F8858">
        <v>93.9</v>
      </c>
      <c r="G8858">
        <v>95.8</v>
      </c>
    </row>
    <row r="8859" spans="1:7">
      <c r="A8859" t="s">
        <v>1876</v>
      </c>
      <c r="B8859" t="s">
        <v>374</v>
      </c>
      <c r="C8859" t="s">
        <v>251</v>
      </c>
      <c r="D8859">
        <v>449675</v>
      </c>
      <c r="E8859">
        <v>445547</v>
      </c>
      <c r="F8859">
        <v>442493</v>
      </c>
      <c r="G8859">
        <v>452697</v>
      </c>
    </row>
    <row r="8860" spans="1:7">
      <c r="A8860" t="s">
        <v>1876</v>
      </c>
      <c r="B8860" t="s">
        <v>374</v>
      </c>
      <c r="C8860" t="s">
        <v>252</v>
      </c>
      <c r="D8860">
        <v>449675</v>
      </c>
      <c r="E8860">
        <v>445547</v>
      </c>
      <c r="F8860">
        <v>442493</v>
      </c>
      <c r="G8860">
        <v>452697</v>
      </c>
    </row>
    <row r="8861" spans="1:7">
      <c r="A8861" t="s">
        <v>1876</v>
      </c>
      <c r="B8861" t="s">
        <v>374</v>
      </c>
      <c r="C8861" t="s">
        <v>1710</v>
      </c>
      <c r="D8861">
        <v>5150</v>
      </c>
      <c r="E8861">
        <v>5150</v>
      </c>
      <c r="F8861">
        <v>5150</v>
      </c>
      <c r="G8861">
        <v>5150</v>
      </c>
    </row>
    <row r="8862" spans="1:7">
      <c r="A8862" t="s">
        <v>1876</v>
      </c>
      <c r="B8862" t="s">
        <v>374</v>
      </c>
      <c r="C8862" t="s">
        <v>1939</v>
      </c>
      <c r="D8862">
        <v>33.6</v>
      </c>
      <c r="E8862">
        <v>44.8</v>
      </c>
      <c r="F8862">
        <v>41.3</v>
      </c>
      <c r="G8862">
        <v>45.3</v>
      </c>
    </row>
    <row r="8863" spans="1:7">
      <c r="A8863" t="s">
        <v>1876</v>
      </c>
      <c r="B8863" t="s">
        <v>374</v>
      </c>
      <c r="C8863" t="s">
        <v>253</v>
      </c>
      <c r="D8863">
        <v>0</v>
      </c>
      <c r="E8863">
        <v>0</v>
      </c>
      <c r="F8863">
        <v>0</v>
      </c>
      <c r="G8863">
        <v>0</v>
      </c>
    </row>
    <row r="8864" spans="1:7">
      <c r="A8864" t="s">
        <v>1876</v>
      </c>
      <c r="B8864" t="s">
        <v>374</v>
      </c>
      <c r="C8864" t="s">
        <v>1711</v>
      </c>
      <c r="D8864">
        <v>0</v>
      </c>
      <c r="E8864">
        <v>0</v>
      </c>
      <c r="F8864">
        <v>0</v>
      </c>
      <c r="G8864">
        <v>0</v>
      </c>
    </row>
    <row r="8865" spans="1:7">
      <c r="A8865" t="s">
        <v>1876</v>
      </c>
      <c r="B8865" t="s">
        <v>374</v>
      </c>
      <c r="C8865" t="s">
        <v>1712</v>
      </c>
      <c r="D8865">
        <v>6103</v>
      </c>
      <c r="E8865">
        <v>7424</v>
      </c>
      <c r="F8865">
        <v>7156</v>
      </c>
      <c r="G8865">
        <v>6634</v>
      </c>
    </row>
    <row r="8866" spans="1:7">
      <c r="A8866" t="s">
        <v>1876</v>
      </c>
      <c r="B8866" t="s">
        <v>374</v>
      </c>
      <c r="C8866" t="s">
        <v>1713</v>
      </c>
      <c r="D8866">
        <v>2286</v>
      </c>
      <c r="E8866">
        <v>2108</v>
      </c>
      <c r="F8866">
        <v>2986</v>
      </c>
      <c r="G8866">
        <v>3183</v>
      </c>
    </row>
    <row r="8867" spans="1:7">
      <c r="A8867" t="s">
        <v>1876</v>
      </c>
      <c r="B8867" t="s">
        <v>374</v>
      </c>
      <c r="C8867" t="s">
        <v>1940</v>
      </c>
      <c r="D8867">
        <v>0</v>
      </c>
      <c r="E8867">
        <v>0</v>
      </c>
      <c r="F8867">
        <v>0</v>
      </c>
      <c r="G8867">
        <v>0</v>
      </c>
    </row>
    <row r="8868" spans="1:7">
      <c r="A8868" t="s">
        <v>1876</v>
      </c>
      <c r="B8868" t="s">
        <v>374</v>
      </c>
      <c r="C8868" t="s">
        <v>1941</v>
      </c>
      <c r="D8868">
        <v>0</v>
      </c>
      <c r="E8868">
        <v>0</v>
      </c>
      <c r="F8868">
        <v>0</v>
      </c>
      <c r="G8868">
        <v>0</v>
      </c>
    </row>
    <row r="8869" spans="1:7">
      <c r="A8869" t="s">
        <v>1876</v>
      </c>
      <c r="B8869" t="s">
        <v>374</v>
      </c>
      <c r="C8869" t="s">
        <v>254</v>
      </c>
      <c r="D8869">
        <v>6103</v>
      </c>
      <c r="E8869">
        <v>7424</v>
      </c>
      <c r="F8869">
        <v>7156</v>
      </c>
      <c r="G8869">
        <v>6634</v>
      </c>
    </row>
    <row r="8870" spans="1:7">
      <c r="A8870" t="s">
        <v>1876</v>
      </c>
      <c r="B8870" t="s">
        <v>374</v>
      </c>
      <c r="C8870" t="s">
        <v>1942</v>
      </c>
      <c r="D8870">
        <v>0</v>
      </c>
      <c r="E8870">
        <v>0</v>
      </c>
      <c r="F8870">
        <v>0</v>
      </c>
      <c r="G8870">
        <v>0</v>
      </c>
    </row>
    <row r="8871" spans="1:7">
      <c r="A8871" t="s">
        <v>1876</v>
      </c>
      <c r="B8871" t="s">
        <v>374</v>
      </c>
      <c r="C8871" t="s">
        <v>255</v>
      </c>
      <c r="D8871">
        <v>8390</v>
      </c>
      <c r="E8871">
        <v>9532</v>
      </c>
      <c r="F8871">
        <v>10142</v>
      </c>
      <c r="G8871">
        <v>9817</v>
      </c>
    </row>
    <row r="8872" spans="1:7">
      <c r="A8872" t="s">
        <v>1876</v>
      </c>
      <c r="B8872" t="s">
        <v>374</v>
      </c>
      <c r="C8872" t="s">
        <v>256</v>
      </c>
      <c r="D8872">
        <v>8390</v>
      </c>
      <c r="E8872">
        <v>9532</v>
      </c>
      <c r="F8872">
        <v>10142</v>
      </c>
      <c r="G8872">
        <v>9817</v>
      </c>
    </row>
    <row r="8873" spans="1:7">
      <c r="A8873" t="s">
        <v>1876</v>
      </c>
      <c r="B8873" t="s">
        <v>374</v>
      </c>
      <c r="C8873" t="s">
        <v>1714</v>
      </c>
      <c r="D8873">
        <v>54</v>
      </c>
      <c r="E8873">
        <v>54</v>
      </c>
      <c r="F8873">
        <v>54</v>
      </c>
      <c r="G8873">
        <v>54</v>
      </c>
    </row>
    <row r="8874" spans="1:7">
      <c r="A8874" t="s">
        <v>1876</v>
      </c>
      <c r="B8874" t="s">
        <v>374</v>
      </c>
      <c r="C8874" t="s">
        <v>257</v>
      </c>
      <c r="D8874">
        <v>34969</v>
      </c>
      <c r="E8874">
        <v>37359</v>
      </c>
      <c r="F8874">
        <v>32326</v>
      </c>
      <c r="G8874">
        <v>37360</v>
      </c>
    </row>
    <row r="8875" spans="1:7">
      <c r="A8875" t="s">
        <v>1876</v>
      </c>
      <c r="B8875" t="s">
        <v>374</v>
      </c>
      <c r="C8875" t="s">
        <v>258</v>
      </c>
      <c r="D8875">
        <v>42380</v>
      </c>
      <c r="E8875">
        <v>44707</v>
      </c>
      <c r="F8875">
        <v>40074</v>
      </c>
      <c r="G8875">
        <v>45029</v>
      </c>
    </row>
    <row r="8876" spans="1:7">
      <c r="A8876" t="s">
        <v>1876</v>
      </c>
      <c r="B8876" t="s">
        <v>374</v>
      </c>
      <c r="C8876" t="s">
        <v>259</v>
      </c>
      <c r="D8876">
        <v>42380</v>
      </c>
      <c r="E8876">
        <v>44707</v>
      </c>
      <c r="F8876">
        <v>40074</v>
      </c>
      <c r="G8876">
        <v>45029</v>
      </c>
    </row>
    <row r="8877" spans="1:7">
      <c r="A8877" t="s">
        <v>1876</v>
      </c>
      <c r="B8877" t="s">
        <v>374</v>
      </c>
      <c r="C8877" t="s">
        <v>260</v>
      </c>
      <c r="D8877">
        <v>801348</v>
      </c>
      <c r="E8877">
        <v>799418</v>
      </c>
      <c r="F8877">
        <v>821373</v>
      </c>
      <c r="G8877">
        <v>859221</v>
      </c>
    </row>
    <row r="8878" spans="1:7">
      <c r="A8878" t="s">
        <v>1876</v>
      </c>
      <c r="B8878" t="s">
        <v>374</v>
      </c>
      <c r="C8878" t="s">
        <v>1943</v>
      </c>
      <c r="D8878">
        <v>0.2</v>
      </c>
      <c r="E8878">
        <v>0.2</v>
      </c>
      <c r="F8878">
        <v>0.1</v>
      </c>
      <c r="G8878">
        <v>0.2</v>
      </c>
    </row>
    <row r="8879" spans="1:7">
      <c r="A8879" t="s">
        <v>1876</v>
      </c>
      <c r="B8879" t="s">
        <v>374</v>
      </c>
      <c r="C8879" t="s">
        <v>261</v>
      </c>
      <c r="D8879">
        <v>28698</v>
      </c>
      <c r="E8879">
        <v>48311</v>
      </c>
      <c r="F8879">
        <v>27602</v>
      </c>
      <c r="G8879">
        <v>25609</v>
      </c>
    </row>
    <row r="8880" spans="1:7">
      <c r="A8880" t="s">
        <v>1876</v>
      </c>
      <c r="B8880" t="s">
        <v>374</v>
      </c>
      <c r="C8880" t="s">
        <v>262</v>
      </c>
      <c r="D8880">
        <v>2065</v>
      </c>
      <c r="E8880">
        <v>2952</v>
      </c>
      <c r="F8880">
        <v>979</v>
      </c>
      <c r="G8880">
        <v>1740</v>
      </c>
    </row>
    <row r="8881" spans="1:7">
      <c r="A8881" t="s">
        <v>1876</v>
      </c>
      <c r="B8881" t="s">
        <v>374</v>
      </c>
      <c r="C8881" t="s">
        <v>1715</v>
      </c>
      <c r="D8881">
        <v>502</v>
      </c>
      <c r="E8881">
        <v>501</v>
      </c>
      <c r="F8881">
        <v>491</v>
      </c>
      <c r="G8881">
        <v>491</v>
      </c>
    </row>
    <row r="8882" spans="1:7">
      <c r="A8882" t="s">
        <v>1876</v>
      </c>
      <c r="B8882" t="s">
        <v>374</v>
      </c>
      <c r="C8882" t="s">
        <v>263</v>
      </c>
      <c r="D8882">
        <v>72758</v>
      </c>
      <c r="E8882">
        <v>75799</v>
      </c>
      <c r="F8882">
        <v>69335</v>
      </c>
      <c r="G8882">
        <v>75126</v>
      </c>
    </row>
    <row r="8883" spans="1:7">
      <c r="A8883" t="s">
        <v>1876</v>
      </c>
      <c r="B8883" t="s">
        <v>374</v>
      </c>
      <c r="C8883" t="s">
        <v>264</v>
      </c>
      <c r="D8883">
        <v>21870</v>
      </c>
      <c r="E8883">
        <v>23024</v>
      </c>
      <c r="F8883">
        <v>21656</v>
      </c>
      <c r="G8883">
        <v>22099</v>
      </c>
    </row>
    <row r="8884" spans="1:7">
      <c r="A8884" t="s">
        <v>1876</v>
      </c>
      <c r="B8884" t="s">
        <v>374</v>
      </c>
      <c r="C8884" t="s">
        <v>265</v>
      </c>
      <c r="D8884">
        <v>926740</v>
      </c>
      <c r="E8884">
        <v>949505</v>
      </c>
      <c r="F8884">
        <v>940945</v>
      </c>
      <c r="G8884">
        <v>983795</v>
      </c>
    </row>
    <row r="8885" spans="1:7">
      <c r="A8885" t="s">
        <v>1876</v>
      </c>
      <c r="B8885" t="s">
        <v>374</v>
      </c>
      <c r="C8885" t="s">
        <v>266</v>
      </c>
      <c r="D8885">
        <v>87.7</v>
      </c>
      <c r="E8885">
        <v>88.7</v>
      </c>
      <c r="F8885">
        <v>86.5</v>
      </c>
      <c r="G8885">
        <v>89</v>
      </c>
    </row>
    <row r="8886" spans="1:7">
      <c r="A8886" t="s">
        <v>1876</v>
      </c>
      <c r="B8886" t="s">
        <v>374</v>
      </c>
      <c r="C8886" t="s">
        <v>267</v>
      </c>
      <c r="D8886">
        <v>924675</v>
      </c>
      <c r="E8886">
        <v>946553</v>
      </c>
      <c r="F8886">
        <v>939966</v>
      </c>
      <c r="G8886">
        <v>982055</v>
      </c>
    </row>
    <row r="8887" spans="1:7">
      <c r="A8887" t="s">
        <v>1876</v>
      </c>
      <c r="B8887" t="s">
        <v>374</v>
      </c>
      <c r="C8887" t="s">
        <v>268</v>
      </c>
      <c r="D8887">
        <v>0</v>
      </c>
      <c r="E8887">
        <v>0</v>
      </c>
      <c r="F8887">
        <v>0</v>
      </c>
      <c r="G8887">
        <v>0</v>
      </c>
    </row>
    <row r="8888" spans="1:7">
      <c r="A8888" t="s">
        <v>1876</v>
      </c>
      <c r="B8888" t="s">
        <v>374</v>
      </c>
      <c r="C8888" t="s">
        <v>269</v>
      </c>
      <c r="D8888">
        <v>0</v>
      </c>
      <c r="E8888">
        <v>0</v>
      </c>
      <c r="F8888">
        <v>0</v>
      </c>
      <c r="G8888">
        <v>0</v>
      </c>
    </row>
    <row r="8889" spans="1:7">
      <c r="A8889" t="s">
        <v>1876</v>
      </c>
      <c r="B8889" t="s">
        <v>374</v>
      </c>
      <c r="C8889" t="s">
        <v>270</v>
      </c>
      <c r="D8889">
        <v>0</v>
      </c>
      <c r="E8889">
        <v>0</v>
      </c>
      <c r="F8889">
        <v>0</v>
      </c>
      <c r="G8889">
        <v>0</v>
      </c>
    </row>
    <row r="8890" spans="1:7">
      <c r="A8890" t="s">
        <v>1876</v>
      </c>
      <c r="B8890" t="s">
        <v>374</v>
      </c>
      <c r="C8890" t="s">
        <v>271</v>
      </c>
      <c r="D8890">
        <v>0</v>
      </c>
      <c r="E8890">
        <v>0</v>
      </c>
      <c r="F8890">
        <v>0</v>
      </c>
      <c r="G8890">
        <v>0</v>
      </c>
    </row>
    <row r="8891" spans="1:7">
      <c r="A8891" t="s">
        <v>1876</v>
      </c>
      <c r="B8891" t="s">
        <v>374</v>
      </c>
      <c r="C8891" t="s">
        <v>272</v>
      </c>
      <c r="D8891">
        <v>0</v>
      </c>
      <c r="E8891">
        <v>0</v>
      </c>
      <c r="F8891">
        <v>0</v>
      </c>
      <c r="G8891">
        <v>0</v>
      </c>
    </row>
    <row r="8892" spans="1:7">
      <c r="A8892" t="s">
        <v>1876</v>
      </c>
      <c r="B8892" t="s">
        <v>374</v>
      </c>
      <c r="C8892" t="s">
        <v>1944</v>
      </c>
      <c r="D8892">
        <v>13.1</v>
      </c>
      <c r="E8892">
        <v>17.399999999999999</v>
      </c>
      <c r="F8892">
        <v>20.9</v>
      </c>
      <c r="G8892">
        <v>27.3</v>
      </c>
    </row>
    <row r="8893" spans="1:7">
      <c r="A8893" t="s">
        <v>1876</v>
      </c>
      <c r="B8893" t="s">
        <v>374</v>
      </c>
      <c r="C8893" t="s">
        <v>1945</v>
      </c>
      <c r="D8893">
        <v>21</v>
      </c>
      <c r="E8893">
        <v>30</v>
      </c>
      <c r="F8893">
        <v>54</v>
      </c>
      <c r="G8893">
        <v>68</v>
      </c>
    </row>
    <row r="8894" spans="1:7">
      <c r="A8894" t="s">
        <v>1876</v>
      </c>
      <c r="B8894" t="s">
        <v>374</v>
      </c>
      <c r="C8894" t="s">
        <v>273</v>
      </c>
      <c r="D8894">
        <v>0</v>
      </c>
      <c r="E8894">
        <v>0</v>
      </c>
      <c r="F8894">
        <v>0</v>
      </c>
      <c r="G8894">
        <v>0</v>
      </c>
    </row>
    <row r="8895" spans="1:7">
      <c r="A8895" t="s">
        <v>1876</v>
      </c>
      <c r="B8895" t="s">
        <v>374</v>
      </c>
      <c r="C8895" t="s">
        <v>1946</v>
      </c>
      <c r="D8895">
        <v>759440</v>
      </c>
      <c r="E8895">
        <v>757553</v>
      </c>
      <c r="F8895">
        <v>777203</v>
      </c>
      <c r="G8895">
        <v>812652</v>
      </c>
    </row>
    <row r="8896" spans="1:7">
      <c r="A8896" t="s">
        <v>1876</v>
      </c>
      <c r="B8896" t="s">
        <v>374</v>
      </c>
      <c r="C8896" t="s">
        <v>1947</v>
      </c>
      <c r="D8896">
        <v>27846</v>
      </c>
      <c r="E8896">
        <v>46035</v>
      </c>
      <c r="F8896">
        <v>26720</v>
      </c>
      <c r="G8896">
        <v>24884</v>
      </c>
    </row>
    <row r="8897" spans="1:7">
      <c r="A8897" t="s">
        <v>1876</v>
      </c>
      <c r="B8897" t="s">
        <v>374</v>
      </c>
      <c r="C8897" t="s">
        <v>1948</v>
      </c>
      <c r="D8897">
        <v>2065</v>
      </c>
      <c r="E8897">
        <v>2952</v>
      </c>
      <c r="F8897">
        <v>979</v>
      </c>
      <c r="G8897">
        <v>1740</v>
      </c>
    </row>
    <row r="8898" spans="1:7">
      <c r="A8898" t="s">
        <v>1876</v>
      </c>
      <c r="B8898" t="s">
        <v>374</v>
      </c>
      <c r="C8898" t="s">
        <v>1949</v>
      </c>
      <c r="D8898">
        <v>72305</v>
      </c>
      <c r="E8898">
        <v>75322</v>
      </c>
      <c r="F8898">
        <v>68850</v>
      </c>
      <c r="G8898">
        <v>74614</v>
      </c>
    </row>
    <row r="8899" spans="1:7">
      <c r="A8899" t="s">
        <v>1876</v>
      </c>
      <c r="B8899" t="s">
        <v>374</v>
      </c>
      <c r="C8899" t="s">
        <v>1950</v>
      </c>
      <c r="D8899">
        <v>21870</v>
      </c>
      <c r="E8899">
        <v>23024</v>
      </c>
      <c r="F8899">
        <v>21656</v>
      </c>
      <c r="G8899">
        <v>22099</v>
      </c>
    </row>
    <row r="8900" spans="1:7">
      <c r="A8900" t="s">
        <v>1876</v>
      </c>
      <c r="B8900" t="s">
        <v>374</v>
      </c>
      <c r="C8900" t="s">
        <v>274</v>
      </c>
      <c r="D8900">
        <v>883526</v>
      </c>
      <c r="E8900">
        <v>904886</v>
      </c>
      <c r="F8900">
        <v>895408</v>
      </c>
      <c r="G8900">
        <v>935990</v>
      </c>
    </row>
    <row r="8901" spans="1:7">
      <c r="A8901" t="s">
        <v>1876</v>
      </c>
      <c r="B8901" t="s">
        <v>374</v>
      </c>
      <c r="C8901" t="s">
        <v>275</v>
      </c>
      <c r="D8901">
        <v>0</v>
      </c>
      <c r="E8901">
        <v>0</v>
      </c>
      <c r="F8901">
        <v>0</v>
      </c>
      <c r="G8901">
        <v>0</v>
      </c>
    </row>
    <row r="8902" spans="1:7">
      <c r="A8902" t="s">
        <v>1876</v>
      </c>
      <c r="B8902" t="s">
        <v>374</v>
      </c>
      <c r="C8902" t="s">
        <v>276</v>
      </c>
      <c r="D8902">
        <v>0</v>
      </c>
      <c r="E8902">
        <v>0</v>
      </c>
      <c r="F8902">
        <v>0</v>
      </c>
      <c r="G8902">
        <v>0</v>
      </c>
    </row>
    <row r="8903" spans="1:7">
      <c r="A8903" t="s">
        <v>1876</v>
      </c>
      <c r="B8903" t="s">
        <v>374</v>
      </c>
      <c r="C8903" t="s">
        <v>277</v>
      </c>
      <c r="D8903">
        <v>131</v>
      </c>
      <c r="E8903">
        <v>262</v>
      </c>
      <c r="F8903">
        <v>281</v>
      </c>
      <c r="G8903">
        <v>310</v>
      </c>
    </row>
    <row r="8904" spans="1:7">
      <c r="A8904" t="s">
        <v>1876</v>
      </c>
      <c r="B8904" t="s">
        <v>374</v>
      </c>
      <c r="C8904" t="s">
        <v>278</v>
      </c>
      <c r="D8904">
        <v>9131</v>
      </c>
      <c r="E8904">
        <v>8359</v>
      </c>
      <c r="F8904">
        <v>8103</v>
      </c>
      <c r="G8904">
        <v>8341</v>
      </c>
    </row>
    <row r="8905" spans="1:7">
      <c r="A8905" t="s">
        <v>1876</v>
      </c>
      <c r="B8905" t="s">
        <v>374</v>
      </c>
      <c r="C8905" t="s">
        <v>279</v>
      </c>
      <c r="D8905">
        <v>9503</v>
      </c>
      <c r="E8905">
        <v>9616</v>
      </c>
      <c r="F8905">
        <v>8643</v>
      </c>
      <c r="G8905">
        <v>9584</v>
      </c>
    </row>
    <row r="8906" spans="1:7">
      <c r="A8906" t="s">
        <v>1876</v>
      </c>
      <c r="B8906" t="s">
        <v>374</v>
      </c>
      <c r="C8906" t="s">
        <v>280</v>
      </c>
      <c r="D8906">
        <v>15567</v>
      </c>
      <c r="E8906">
        <v>16722</v>
      </c>
      <c r="F8906">
        <v>15191</v>
      </c>
      <c r="G8906">
        <v>16011</v>
      </c>
    </row>
    <row r="8907" spans="1:7">
      <c r="A8907" t="s">
        <v>1876</v>
      </c>
      <c r="B8907" t="s">
        <v>374</v>
      </c>
      <c r="C8907" t="s">
        <v>281</v>
      </c>
      <c r="D8907">
        <v>34333</v>
      </c>
      <c r="E8907">
        <v>34959</v>
      </c>
      <c r="F8907">
        <v>32218</v>
      </c>
      <c r="G8907">
        <v>34247</v>
      </c>
    </row>
    <row r="8908" spans="1:7">
      <c r="A8908" t="s">
        <v>1876</v>
      </c>
      <c r="B8908" t="s">
        <v>374</v>
      </c>
      <c r="C8908" t="s">
        <v>282</v>
      </c>
      <c r="D8908">
        <v>34333</v>
      </c>
      <c r="E8908">
        <v>34959</v>
      </c>
      <c r="F8908">
        <v>32218</v>
      </c>
      <c r="G8908">
        <v>34247</v>
      </c>
    </row>
    <row r="8909" spans="1:7">
      <c r="A8909" t="s">
        <v>1876</v>
      </c>
      <c r="B8909" t="s">
        <v>374</v>
      </c>
      <c r="C8909" t="s">
        <v>283</v>
      </c>
      <c r="D8909">
        <v>0</v>
      </c>
      <c r="E8909">
        <v>0</v>
      </c>
      <c r="F8909">
        <v>0</v>
      </c>
      <c r="G8909">
        <v>0</v>
      </c>
    </row>
    <row r="8910" spans="1:7">
      <c r="A8910" t="s">
        <v>1876</v>
      </c>
      <c r="B8910" t="s">
        <v>374</v>
      </c>
      <c r="C8910" t="s">
        <v>284</v>
      </c>
      <c r="D8910">
        <v>0</v>
      </c>
      <c r="E8910">
        <v>0</v>
      </c>
      <c r="F8910">
        <v>0</v>
      </c>
      <c r="G8910">
        <v>0</v>
      </c>
    </row>
    <row r="8911" spans="1:7">
      <c r="A8911" t="s">
        <v>1876</v>
      </c>
      <c r="B8911" t="s">
        <v>374</v>
      </c>
      <c r="C8911" t="s">
        <v>1716</v>
      </c>
      <c r="D8911">
        <v>41908</v>
      </c>
      <c r="E8911">
        <v>41865</v>
      </c>
      <c r="F8911">
        <v>44170</v>
      </c>
      <c r="G8911">
        <v>46568</v>
      </c>
    </row>
    <row r="8912" spans="1:7">
      <c r="A8912" t="s">
        <v>1876</v>
      </c>
      <c r="B8912" t="s">
        <v>374</v>
      </c>
      <c r="C8912" t="s">
        <v>1717</v>
      </c>
      <c r="D8912">
        <v>3455</v>
      </c>
      <c r="E8912">
        <v>4520</v>
      </c>
      <c r="F8912">
        <v>3138</v>
      </c>
      <c r="G8912">
        <v>3059</v>
      </c>
    </row>
    <row r="8913" spans="1:7">
      <c r="A8913" t="s">
        <v>1876</v>
      </c>
      <c r="B8913" t="s">
        <v>374</v>
      </c>
      <c r="C8913" t="s">
        <v>1718</v>
      </c>
      <c r="D8913">
        <v>67734</v>
      </c>
      <c r="E8913">
        <v>65588</v>
      </c>
      <c r="F8913">
        <v>64683</v>
      </c>
      <c r="G8913">
        <v>66423</v>
      </c>
    </row>
    <row r="8914" spans="1:7">
      <c r="A8914" t="s">
        <v>1876</v>
      </c>
      <c r="B8914" t="s">
        <v>374</v>
      </c>
      <c r="C8914" t="s">
        <v>1719</v>
      </c>
      <c r="D8914">
        <v>8391</v>
      </c>
      <c r="E8914">
        <v>8723</v>
      </c>
      <c r="F8914">
        <v>9197</v>
      </c>
      <c r="G8914">
        <v>9603</v>
      </c>
    </row>
    <row r="8915" spans="1:7">
      <c r="A8915" t="s">
        <v>1876</v>
      </c>
      <c r="B8915" t="s">
        <v>374</v>
      </c>
      <c r="C8915" t="s">
        <v>1720</v>
      </c>
      <c r="D8915">
        <v>75142</v>
      </c>
      <c r="E8915">
        <v>79673</v>
      </c>
      <c r="F8915">
        <v>68904</v>
      </c>
      <c r="G8915">
        <v>64844</v>
      </c>
    </row>
    <row r="8916" spans="1:7">
      <c r="A8916" t="s">
        <v>1876</v>
      </c>
      <c r="B8916" t="s">
        <v>374</v>
      </c>
      <c r="C8916" t="s">
        <v>1721</v>
      </c>
      <c r="D8916">
        <v>8727</v>
      </c>
      <c r="E8916">
        <v>10800</v>
      </c>
      <c r="F8916">
        <v>10066</v>
      </c>
      <c r="G8916">
        <v>10046</v>
      </c>
    </row>
    <row r="8917" spans="1:7">
      <c r="A8917" t="s">
        <v>1876</v>
      </c>
      <c r="B8917" t="s">
        <v>374</v>
      </c>
      <c r="C8917" t="s">
        <v>285</v>
      </c>
      <c r="D8917">
        <v>196966</v>
      </c>
      <c r="E8917">
        <v>202447</v>
      </c>
      <c r="F8917">
        <v>190961</v>
      </c>
      <c r="G8917">
        <v>190940</v>
      </c>
    </row>
    <row r="8918" spans="1:7">
      <c r="A8918" t="s">
        <v>1876</v>
      </c>
      <c r="B8918" t="s">
        <v>374</v>
      </c>
      <c r="C8918" t="s">
        <v>1951</v>
      </c>
      <c r="D8918">
        <v>7.8</v>
      </c>
      <c r="E8918">
        <v>7.8</v>
      </c>
      <c r="F8918">
        <v>7.7</v>
      </c>
      <c r="G8918">
        <v>7.4</v>
      </c>
    </row>
    <row r="8919" spans="1:7">
      <c r="A8919" t="s">
        <v>1876</v>
      </c>
      <c r="B8919" t="s">
        <v>374</v>
      </c>
      <c r="C8919" t="s">
        <v>286</v>
      </c>
      <c r="D8919">
        <v>210</v>
      </c>
      <c r="E8919">
        <v>215</v>
      </c>
      <c r="F8919">
        <v>178</v>
      </c>
      <c r="G8919">
        <v>193</v>
      </c>
    </row>
    <row r="8920" spans="1:7">
      <c r="A8920" t="s">
        <v>1876</v>
      </c>
      <c r="B8920" t="s">
        <v>374</v>
      </c>
      <c r="C8920" t="s">
        <v>287</v>
      </c>
      <c r="D8920">
        <v>3</v>
      </c>
      <c r="E8920">
        <v>3</v>
      </c>
      <c r="F8920">
        <v>2</v>
      </c>
      <c r="G8920">
        <v>2</v>
      </c>
    </row>
    <row r="8921" spans="1:7">
      <c r="A8921" t="s">
        <v>1876</v>
      </c>
      <c r="B8921" t="s">
        <v>374</v>
      </c>
      <c r="C8921" t="s">
        <v>288</v>
      </c>
      <c r="D8921">
        <v>0</v>
      </c>
      <c r="E8921">
        <v>0</v>
      </c>
      <c r="F8921">
        <v>0</v>
      </c>
      <c r="G8921">
        <v>0</v>
      </c>
    </row>
    <row r="8922" spans="1:7">
      <c r="A8922" t="s">
        <v>1876</v>
      </c>
      <c r="B8922" t="s">
        <v>374</v>
      </c>
      <c r="C8922" t="s">
        <v>289</v>
      </c>
      <c r="D8922">
        <v>474</v>
      </c>
      <c r="E8922">
        <v>486</v>
      </c>
      <c r="F8922">
        <v>403</v>
      </c>
      <c r="G8922">
        <v>436</v>
      </c>
    </row>
    <row r="8923" spans="1:7">
      <c r="A8923" t="s">
        <v>1876</v>
      </c>
      <c r="B8923" t="s">
        <v>374</v>
      </c>
      <c r="C8923" t="s">
        <v>290</v>
      </c>
      <c r="D8923">
        <v>686</v>
      </c>
      <c r="E8923">
        <v>703</v>
      </c>
      <c r="F8923">
        <v>584</v>
      </c>
      <c r="G8923">
        <v>632</v>
      </c>
    </row>
    <row r="8924" spans="1:7">
      <c r="A8924" t="s">
        <v>1876</v>
      </c>
      <c r="B8924" t="s">
        <v>374</v>
      </c>
      <c r="C8924" t="s">
        <v>291</v>
      </c>
      <c r="D8924">
        <v>686</v>
      </c>
      <c r="E8924">
        <v>703</v>
      </c>
      <c r="F8924">
        <v>584</v>
      </c>
      <c r="G8924">
        <v>632</v>
      </c>
    </row>
    <row r="8925" spans="1:7">
      <c r="A8925" t="s">
        <v>1876</v>
      </c>
      <c r="B8925" t="s">
        <v>374</v>
      </c>
      <c r="C8925" t="s">
        <v>292</v>
      </c>
      <c r="D8925">
        <v>0</v>
      </c>
      <c r="E8925">
        <v>0</v>
      </c>
      <c r="F8925">
        <v>3</v>
      </c>
      <c r="G8925">
        <v>15</v>
      </c>
    </row>
    <row r="8926" spans="1:7">
      <c r="A8926" t="s">
        <v>1876</v>
      </c>
      <c r="B8926" t="s">
        <v>374</v>
      </c>
      <c r="C8926" t="s">
        <v>293</v>
      </c>
      <c r="D8926">
        <v>0</v>
      </c>
      <c r="E8926">
        <v>0</v>
      </c>
      <c r="F8926">
        <v>24</v>
      </c>
      <c r="G8926">
        <v>98</v>
      </c>
    </row>
    <row r="8927" spans="1:7">
      <c r="A8927" t="s">
        <v>1876</v>
      </c>
      <c r="B8927" t="s">
        <v>374</v>
      </c>
      <c r="C8927" t="s">
        <v>294</v>
      </c>
      <c r="D8927">
        <v>0</v>
      </c>
      <c r="E8927">
        <v>0</v>
      </c>
      <c r="F8927">
        <v>7</v>
      </c>
      <c r="G8927">
        <v>27</v>
      </c>
    </row>
    <row r="8928" spans="1:7">
      <c r="A8928" t="s">
        <v>1876</v>
      </c>
      <c r="B8928" t="s">
        <v>374</v>
      </c>
      <c r="C8928" t="s">
        <v>295</v>
      </c>
      <c r="D8928">
        <v>0</v>
      </c>
      <c r="E8928">
        <v>0</v>
      </c>
      <c r="F8928">
        <v>4</v>
      </c>
      <c r="G8928">
        <v>16</v>
      </c>
    </row>
    <row r="8929" spans="1:7">
      <c r="A8929" t="s">
        <v>1876</v>
      </c>
      <c r="B8929" t="s">
        <v>374</v>
      </c>
      <c r="C8929" t="s">
        <v>296</v>
      </c>
      <c r="D8929">
        <v>0</v>
      </c>
      <c r="E8929">
        <v>0</v>
      </c>
      <c r="F8929">
        <v>38</v>
      </c>
      <c r="G8929">
        <v>155</v>
      </c>
    </row>
    <row r="8930" spans="1:7">
      <c r="A8930" t="s">
        <v>1876</v>
      </c>
      <c r="B8930" t="s">
        <v>374</v>
      </c>
      <c r="C8930" t="s">
        <v>297</v>
      </c>
      <c r="D8930">
        <v>0</v>
      </c>
      <c r="E8930">
        <v>0</v>
      </c>
      <c r="F8930">
        <v>0</v>
      </c>
      <c r="G8930">
        <v>0</v>
      </c>
    </row>
    <row r="8931" spans="1:7">
      <c r="A8931" t="s">
        <v>1876</v>
      </c>
      <c r="B8931" t="s">
        <v>374</v>
      </c>
      <c r="C8931" t="s">
        <v>1952</v>
      </c>
      <c r="D8931">
        <v>0</v>
      </c>
      <c r="E8931">
        <v>0</v>
      </c>
      <c r="F8931">
        <v>0</v>
      </c>
      <c r="G8931">
        <v>0</v>
      </c>
    </row>
    <row r="8932" spans="1:7">
      <c r="A8932" t="s">
        <v>1876</v>
      </c>
      <c r="B8932" t="s">
        <v>374</v>
      </c>
      <c r="C8932" t="s">
        <v>298</v>
      </c>
      <c r="D8932">
        <v>3344</v>
      </c>
      <c r="E8932">
        <v>4556</v>
      </c>
      <c r="F8932">
        <v>4561</v>
      </c>
      <c r="G8932">
        <v>3988</v>
      </c>
    </row>
    <row r="8933" spans="1:7">
      <c r="A8933" t="s">
        <v>1876</v>
      </c>
      <c r="B8933" t="s">
        <v>374</v>
      </c>
      <c r="C8933" t="s">
        <v>299</v>
      </c>
      <c r="D8933">
        <v>866</v>
      </c>
      <c r="E8933">
        <v>961</v>
      </c>
      <c r="F8933">
        <v>980</v>
      </c>
      <c r="G8933">
        <v>1054</v>
      </c>
    </row>
    <row r="8934" spans="1:7">
      <c r="A8934" t="s">
        <v>1876</v>
      </c>
      <c r="B8934" t="s">
        <v>374</v>
      </c>
      <c r="C8934" t="s">
        <v>300</v>
      </c>
      <c r="D8934">
        <v>34157</v>
      </c>
      <c r="E8934">
        <v>38030</v>
      </c>
      <c r="F8934">
        <v>38736</v>
      </c>
      <c r="G8934">
        <v>40070</v>
      </c>
    </row>
    <row r="8935" spans="1:7">
      <c r="A8935" t="s">
        <v>1876</v>
      </c>
      <c r="B8935" t="s">
        <v>374</v>
      </c>
      <c r="C8935" t="s">
        <v>1722</v>
      </c>
      <c r="D8935">
        <v>5733</v>
      </c>
      <c r="E8935">
        <v>6070</v>
      </c>
      <c r="F8935">
        <v>6598</v>
      </c>
      <c r="G8935">
        <v>6787</v>
      </c>
    </row>
    <row r="8936" spans="1:7">
      <c r="A8936" t="s">
        <v>1876</v>
      </c>
      <c r="B8936" t="s">
        <v>374</v>
      </c>
      <c r="C8936" t="s">
        <v>301</v>
      </c>
      <c r="D8936">
        <v>50</v>
      </c>
      <c r="E8936">
        <v>56</v>
      </c>
      <c r="F8936">
        <v>59</v>
      </c>
      <c r="G8936">
        <v>69</v>
      </c>
    </row>
    <row r="8937" spans="1:7">
      <c r="A8937" t="s">
        <v>1876</v>
      </c>
      <c r="B8937" t="s">
        <v>374</v>
      </c>
      <c r="C8937" t="s">
        <v>302</v>
      </c>
      <c r="D8937">
        <v>1291</v>
      </c>
      <c r="E8937">
        <v>1684</v>
      </c>
      <c r="F8937">
        <v>2171</v>
      </c>
      <c r="G8937">
        <v>2584</v>
      </c>
    </row>
    <row r="8938" spans="1:7">
      <c r="A8938" t="s">
        <v>1876</v>
      </c>
      <c r="B8938" t="s">
        <v>374</v>
      </c>
      <c r="C8938" t="s">
        <v>303</v>
      </c>
      <c r="D8938">
        <v>36364</v>
      </c>
      <c r="E8938">
        <v>40731</v>
      </c>
      <c r="F8938">
        <v>41947</v>
      </c>
      <c r="G8938">
        <v>43776</v>
      </c>
    </row>
    <row r="8939" spans="1:7">
      <c r="A8939" t="s">
        <v>1876</v>
      </c>
      <c r="B8939" t="s">
        <v>374</v>
      </c>
      <c r="C8939" t="s">
        <v>304</v>
      </c>
      <c r="D8939">
        <v>2207</v>
      </c>
      <c r="E8939">
        <v>2701</v>
      </c>
      <c r="F8939">
        <v>3211</v>
      </c>
      <c r="G8939">
        <v>3707</v>
      </c>
    </row>
    <row r="8940" spans="1:7">
      <c r="A8940" t="s">
        <v>1876</v>
      </c>
      <c r="B8940" t="s">
        <v>374</v>
      </c>
      <c r="C8940" t="s">
        <v>1953</v>
      </c>
      <c r="D8940">
        <v>21.5</v>
      </c>
      <c r="E8940">
        <v>21.5</v>
      </c>
      <c r="F8940">
        <v>20.9</v>
      </c>
      <c r="G8940">
        <v>20</v>
      </c>
    </row>
    <row r="8941" spans="1:7">
      <c r="A8941" t="s">
        <v>1876</v>
      </c>
      <c r="B8941" t="s">
        <v>374</v>
      </c>
      <c r="C8941" t="s">
        <v>305</v>
      </c>
      <c r="D8941">
        <v>806409</v>
      </c>
      <c r="E8941">
        <v>807362</v>
      </c>
      <c r="F8941">
        <v>827063</v>
      </c>
      <c r="G8941">
        <v>864077</v>
      </c>
    </row>
    <row r="8942" spans="1:7">
      <c r="A8942" t="s">
        <v>1876</v>
      </c>
      <c r="B8942" t="s">
        <v>374</v>
      </c>
      <c r="C8942" t="s">
        <v>306</v>
      </c>
      <c r="D8942">
        <v>76.3</v>
      </c>
      <c r="E8942">
        <v>75.400000000000006</v>
      </c>
      <c r="F8942">
        <v>76.099999999999994</v>
      </c>
      <c r="G8942">
        <v>78.2</v>
      </c>
    </row>
    <row r="8943" spans="1:7">
      <c r="A8943" t="s">
        <v>1876</v>
      </c>
      <c r="B8943" t="s">
        <v>374</v>
      </c>
      <c r="C8943" t="s">
        <v>307</v>
      </c>
      <c r="D8943">
        <v>524540</v>
      </c>
      <c r="E8943">
        <v>558593</v>
      </c>
      <c r="F8943">
        <v>520508</v>
      </c>
      <c r="G8943">
        <v>547195</v>
      </c>
    </row>
    <row r="8944" spans="1:7">
      <c r="A8944" t="s">
        <v>1876</v>
      </c>
      <c r="B8944" t="s">
        <v>374</v>
      </c>
      <c r="C8944" t="s">
        <v>308</v>
      </c>
      <c r="D8944">
        <v>49.6</v>
      </c>
      <c r="E8944">
        <v>52.2</v>
      </c>
      <c r="F8944">
        <v>47.9</v>
      </c>
      <c r="G8944">
        <v>49.5</v>
      </c>
    </row>
    <row r="8945" spans="1:7">
      <c r="A8945" t="s">
        <v>1876</v>
      </c>
      <c r="B8945" t="s">
        <v>374</v>
      </c>
      <c r="C8945" t="s">
        <v>309</v>
      </c>
      <c r="D8945">
        <v>1103796</v>
      </c>
      <c r="E8945">
        <v>1144231</v>
      </c>
      <c r="F8945">
        <v>1069195</v>
      </c>
      <c r="G8945">
        <v>1145954</v>
      </c>
    </row>
    <row r="8946" spans="1:7">
      <c r="A8946" t="s">
        <v>1876</v>
      </c>
      <c r="B8946" t="s">
        <v>374</v>
      </c>
      <c r="C8946" t="s">
        <v>310</v>
      </c>
      <c r="D8946">
        <v>529633</v>
      </c>
      <c r="E8946">
        <v>541167</v>
      </c>
      <c r="F8946">
        <v>499583</v>
      </c>
      <c r="G8946">
        <v>496867</v>
      </c>
    </row>
    <row r="8947" spans="1:7">
      <c r="A8947" t="s">
        <v>1876</v>
      </c>
      <c r="B8947" t="s">
        <v>374</v>
      </c>
      <c r="C8947" t="s">
        <v>311</v>
      </c>
      <c r="D8947">
        <v>50.1</v>
      </c>
      <c r="E8947">
        <v>50.5</v>
      </c>
      <c r="F8947">
        <v>46</v>
      </c>
      <c r="G8947">
        <v>45</v>
      </c>
    </row>
    <row r="8948" spans="1:7">
      <c r="A8948" t="s">
        <v>1876</v>
      </c>
      <c r="B8948" t="s">
        <v>374</v>
      </c>
      <c r="C8948" t="s">
        <v>312</v>
      </c>
      <c r="D8948">
        <v>658436</v>
      </c>
      <c r="E8948">
        <v>674309</v>
      </c>
      <c r="F8948">
        <v>624962</v>
      </c>
      <c r="G8948">
        <v>662204</v>
      </c>
    </row>
    <row r="8949" spans="1:7">
      <c r="A8949" t="s">
        <v>1876</v>
      </c>
      <c r="B8949" t="s">
        <v>374</v>
      </c>
      <c r="C8949" t="s">
        <v>313</v>
      </c>
      <c r="D8949">
        <v>62.3</v>
      </c>
      <c r="E8949">
        <v>63</v>
      </c>
      <c r="F8949">
        <v>57.5</v>
      </c>
      <c r="G8949">
        <v>59.9</v>
      </c>
    </row>
    <row r="8950" spans="1:7">
      <c r="A8950" t="s">
        <v>1876</v>
      </c>
      <c r="B8950" t="s">
        <v>374</v>
      </c>
      <c r="C8950" t="s">
        <v>314</v>
      </c>
      <c r="D8950">
        <v>2519017</v>
      </c>
      <c r="E8950">
        <v>2581430</v>
      </c>
      <c r="F8950">
        <v>2472116</v>
      </c>
      <c r="G8950">
        <v>2570343</v>
      </c>
    </row>
    <row r="8951" spans="1:7">
      <c r="A8951" t="s">
        <v>1876</v>
      </c>
      <c r="B8951" t="s">
        <v>374</v>
      </c>
      <c r="C8951" t="s">
        <v>315</v>
      </c>
      <c r="D8951">
        <v>4.2</v>
      </c>
      <c r="E8951">
        <v>4.16</v>
      </c>
      <c r="F8951">
        <v>3.84</v>
      </c>
      <c r="G8951">
        <v>3.87</v>
      </c>
    </row>
    <row r="8952" spans="1:7">
      <c r="A8952" t="s">
        <v>1876</v>
      </c>
      <c r="B8952" t="s">
        <v>374</v>
      </c>
      <c r="C8952" t="s">
        <v>316</v>
      </c>
      <c r="D8952">
        <v>238.4</v>
      </c>
      <c r="E8952">
        <v>241.1</v>
      </c>
      <c r="F8952">
        <v>227.4</v>
      </c>
      <c r="G8952">
        <v>232.6</v>
      </c>
    </row>
    <row r="8953" spans="1:7">
      <c r="A8953" t="s">
        <v>1876</v>
      </c>
      <c r="B8953" t="s">
        <v>374</v>
      </c>
      <c r="C8953" t="s">
        <v>317</v>
      </c>
      <c r="D8953">
        <v>2519017</v>
      </c>
      <c r="E8953">
        <v>2581431</v>
      </c>
      <c r="F8953">
        <v>2472115</v>
      </c>
      <c r="G8953">
        <v>2570342</v>
      </c>
    </row>
    <row r="8954" spans="1:7">
      <c r="A8954" t="s">
        <v>1876</v>
      </c>
      <c r="B8954" t="s">
        <v>374</v>
      </c>
      <c r="C8954" t="s">
        <v>318</v>
      </c>
      <c r="D8954">
        <v>806329</v>
      </c>
      <c r="E8954">
        <v>807279</v>
      </c>
      <c r="F8954">
        <v>826992</v>
      </c>
      <c r="G8954">
        <v>864007</v>
      </c>
    </row>
    <row r="8955" spans="1:7">
      <c r="A8955" t="s">
        <v>1876</v>
      </c>
      <c r="B8955" t="s">
        <v>374</v>
      </c>
      <c r="C8955" t="s">
        <v>319</v>
      </c>
      <c r="D8955">
        <v>253917</v>
      </c>
      <c r="E8955">
        <v>280070</v>
      </c>
      <c r="F8955">
        <v>251711</v>
      </c>
      <c r="G8955">
        <v>268076</v>
      </c>
    </row>
    <row r="8956" spans="1:7">
      <c r="A8956" t="s">
        <v>1876</v>
      </c>
      <c r="B8956" t="s">
        <v>374</v>
      </c>
      <c r="C8956" t="s">
        <v>320</v>
      </c>
      <c r="D8956">
        <v>376217</v>
      </c>
      <c r="E8956">
        <v>385470</v>
      </c>
      <c r="F8956">
        <v>353776</v>
      </c>
      <c r="G8956">
        <v>352456</v>
      </c>
    </row>
    <row r="8957" spans="1:7">
      <c r="A8957" t="s">
        <v>1876</v>
      </c>
      <c r="B8957" t="s">
        <v>374</v>
      </c>
      <c r="C8957" t="s">
        <v>321</v>
      </c>
      <c r="D8957">
        <v>312948</v>
      </c>
      <c r="E8957">
        <v>321019</v>
      </c>
      <c r="F8957">
        <v>297380</v>
      </c>
      <c r="G8957">
        <v>314209</v>
      </c>
    </row>
    <row r="8958" spans="1:7">
      <c r="A8958" t="s">
        <v>1876</v>
      </c>
      <c r="B8958" t="s">
        <v>374</v>
      </c>
      <c r="C8958" t="s">
        <v>1954</v>
      </c>
      <c r="D8958">
        <v>1749411</v>
      </c>
      <c r="E8958">
        <v>1793839</v>
      </c>
      <c r="F8958">
        <v>1729859</v>
      </c>
      <c r="G8958">
        <v>1798748</v>
      </c>
    </row>
    <row r="8959" spans="1:7">
      <c r="A8959" t="s">
        <v>1876</v>
      </c>
      <c r="B8959" t="s">
        <v>374</v>
      </c>
      <c r="C8959" t="s">
        <v>323</v>
      </c>
      <c r="D8959">
        <v>10566</v>
      </c>
      <c r="E8959">
        <v>10706</v>
      </c>
      <c r="F8959">
        <v>10872</v>
      </c>
      <c r="G8959">
        <v>11052</v>
      </c>
    </row>
    <row r="8960" spans="1:7">
      <c r="A8960" t="s">
        <v>1876</v>
      </c>
      <c r="B8960" t="s">
        <v>374</v>
      </c>
      <c r="C8960" t="s">
        <v>324</v>
      </c>
      <c r="D8960">
        <v>0</v>
      </c>
      <c r="E8960">
        <v>0</v>
      </c>
      <c r="F8960">
        <v>0</v>
      </c>
      <c r="G8960">
        <v>0</v>
      </c>
    </row>
    <row r="8961" spans="1:7">
      <c r="A8961" t="s">
        <v>1876</v>
      </c>
      <c r="B8961" t="s">
        <v>374</v>
      </c>
      <c r="C8961" t="s">
        <v>325</v>
      </c>
      <c r="D8961">
        <v>0</v>
      </c>
      <c r="E8961">
        <v>0</v>
      </c>
      <c r="F8961">
        <v>0</v>
      </c>
      <c r="G8961">
        <v>0</v>
      </c>
    </row>
    <row r="8962" spans="1:7">
      <c r="A8962" t="s">
        <v>1876</v>
      </c>
      <c r="B8962" t="s">
        <v>374</v>
      </c>
      <c r="C8962" t="s">
        <v>326</v>
      </c>
      <c r="D8962">
        <v>1245</v>
      </c>
      <c r="E8962">
        <v>1245</v>
      </c>
      <c r="F8962">
        <v>1245</v>
      </c>
      <c r="G8962">
        <v>1245</v>
      </c>
    </row>
    <row r="8963" spans="1:7">
      <c r="A8963" t="s">
        <v>1876</v>
      </c>
      <c r="B8963" t="s">
        <v>374</v>
      </c>
      <c r="C8963" t="s">
        <v>327</v>
      </c>
      <c r="D8963">
        <v>4743</v>
      </c>
      <c r="E8963">
        <v>3261</v>
      </c>
      <c r="F8963">
        <v>3181</v>
      </c>
      <c r="G8963">
        <v>2732</v>
      </c>
    </row>
    <row r="8964" spans="1:7">
      <c r="A8964" t="s">
        <v>1876</v>
      </c>
      <c r="B8964" t="s">
        <v>374</v>
      </c>
      <c r="C8964" t="s">
        <v>1723</v>
      </c>
      <c r="D8964">
        <v>367</v>
      </c>
      <c r="E8964">
        <v>360</v>
      </c>
      <c r="F8964">
        <v>307</v>
      </c>
      <c r="G8964">
        <v>347</v>
      </c>
    </row>
    <row r="8965" spans="1:7">
      <c r="A8965" t="s">
        <v>1876</v>
      </c>
      <c r="B8965" t="s">
        <v>374</v>
      </c>
      <c r="C8965" t="s">
        <v>328</v>
      </c>
      <c r="D8965">
        <v>72952</v>
      </c>
      <c r="E8965">
        <v>76893</v>
      </c>
      <c r="F8965">
        <v>65927</v>
      </c>
      <c r="G8965">
        <v>61417</v>
      </c>
    </row>
    <row r="8966" spans="1:7">
      <c r="A8966" t="s">
        <v>1876</v>
      </c>
      <c r="B8966" t="s">
        <v>374</v>
      </c>
      <c r="C8966" t="s">
        <v>329</v>
      </c>
      <c r="D8966">
        <v>6468</v>
      </c>
      <c r="E8966">
        <v>8149</v>
      </c>
      <c r="F8966">
        <v>6927</v>
      </c>
      <c r="G8966">
        <v>6494</v>
      </c>
    </row>
    <row r="8967" spans="1:7">
      <c r="A8967" t="s">
        <v>1876</v>
      </c>
      <c r="B8967" t="s">
        <v>374</v>
      </c>
      <c r="C8967" t="s">
        <v>330</v>
      </c>
      <c r="D8967">
        <v>85408</v>
      </c>
      <c r="E8967">
        <v>89549</v>
      </c>
      <c r="F8967">
        <v>77281</v>
      </c>
      <c r="G8967">
        <v>71887</v>
      </c>
    </row>
    <row r="8968" spans="1:7">
      <c r="A8968" t="s">
        <v>1876</v>
      </c>
      <c r="B8968" t="s">
        <v>374</v>
      </c>
      <c r="C8968" t="s">
        <v>331</v>
      </c>
      <c r="D8968">
        <v>444</v>
      </c>
      <c r="E8968">
        <v>0</v>
      </c>
      <c r="F8968">
        <v>0</v>
      </c>
      <c r="G8968">
        <v>0</v>
      </c>
    </row>
    <row r="8969" spans="1:7">
      <c r="A8969" t="s">
        <v>1876</v>
      </c>
      <c r="B8969" t="s">
        <v>374</v>
      </c>
      <c r="C8969" t="s">
        <v>332</v>
      </c>
      <c r="D8969">
        <v>7293</v>
      </c>
      <c r="E8969">
        <v>6479</v>
      </c>
      <c r="F8969">
        <v>6574</v>
      </c>
      <c r="G8969">
        <v>5371</v>
      </c>
    </row>
    <row r="8970" spans="1:7">
      <c r="A8970" t="s">
        <v>1876</v>
      </c>
      <c r="B8970" t="s">
        <v>374</v>
      </c>
      <c r="C8970" t="s">
        <v>1724</v>
      </c>
      <c r="D8970">
        <v>77</v>
      </c>
      <c r="E8970">
        <v>77</v>
      </c>
      <c r="F8970">
        <v>74</v>
      </c>
      <c r="G8970">
        <v>63</v>
      </c>
    </row>
    <row r="8971" spans="1:7">
      <c r="A8971" t="s">
        <v>1876</v>
      </c>
      <c r="B8971" t="s">
        <v>374</v>
      </c>
      <c r="C8971" t="s">
        <v>333</v>
      </c>
      <c r="D8971">
        <v>1685</v>
      </c>
      <c r="E8971">
        <v>2244</v>
      </c>
      <c r="F8971">
        <v>2430</v>
      </c>
      <c r="G8971">
        <v>2844</v>
      </c>
    </row>
    <row r="8972" spans="1:7">
      <c r="A8972" t="s">
        <v>1876</v>
      </c>
      <c r="B8972" t="s">
        <v>374</v>
      </c>
      <c r="C8972" t="s">
        <v>334</v>
      </c>
      <c r="D8972">
        <v>9422</v>
      </c>
      <c r="E8972">
        <v>8723</v>
      </c>
      <c r="F8972">
        <v>9004</v>
      </c>
      <c r="G8972">
        <v>8216</v>
      </c>
    </row>
    <row r="8973" spans="1:7">
      <c r="A8973" t="s">
        <v>1876</v>
      </c>
      <c r="B8973" t="s">
        <v>374</v>
      </c>
      <c r="C8973" t="s">
        <v>335</v>
      </c>
      <c r="D8973">
        <v>1689</v>
      </c>
      <c r="E8973">
        <v>1245</v>
      </c>
      <c r="F8973">
        <v>1245</v>
      </c>
      <c r="G8973">
        <v>1245</v>
      </c>
    </row>
    <row r="8974" spans="1:7">
      <c r="A8974" t="s">
        <v>1876</v>
      </c>
      <c r="B8974" t="s">
        <v>374</v>
      </c>
      <c r="C8974" t="s">
        <v>336</v>
      </c>
      <c r="D8974">
        <v>12036</v>
      </c>
      <c r="E8974">
        <v>9741</v>
      </c>
      <c r="F8974">
        <v>9756</v>
      </c>
      <c r="G8974">
        <v>8103</v>
      </c>
    </row>
    <row r="8975" spans="1:7">
      <c r="A8975" t="s">
        <v>1876</v>
      </c>
      <c r="B8975" t="s">
        <v>374</v>
      </c>
      <c r="C8975" t="s">
        <v>337</v>
      </c>
      <c r="D8975">
        <v>74637</v>
      </c>
      <c r="E8975">
        <v>79137</v>
      </c>
      <c r="F8975">
        <v>68357</v>
      </c>
      <c r="G8975">
        <v>64261</v>
      </c>
    </row>
    <row r="8976" spans="1:7">
      <c r="A8976" t="s">
        <v>1876</v>
      </c>
      <c r="B8976" t="s">
        <v>374</v>
      </c>
      <c r="C8976" t="s">
        <v>338</v>
      </c>
      <c r="D8976">
        <v>94830</v>
      </c>
      <c r="E8976">
        <v>98272</v>
      </c>
      <c r="F8976">
        <v>86285</v>
      </c>
      <c r="G8976">
        <v>80103</v>
      </c>
    </row>
    <row r="8977" spans="1:7">
      <c r="A8977" t="s">
        <v>1876</v>
      </c>
      <c r="B8977" t="s">
        <v>374</v>
      </c>
      <c r="C8977" t="s">
        <v>339</v>
      </c>
      <c r="D8977">
        <v>82794</v>
      </c>
      <c r="E8977">
        <v>88531</v>
      </c>
      <c r="F8977">
        <v>76529</v>
      </c>
      <c r="G8977">
        <v>72000</v>
      </c>
    </row>
    <row r="8978" spans="1:7">
      <c r="A8978" t="s">
        <v>1876</v>
      </c>
      <c r="B8978" t="s">
        <v>374</v>
      </c>
      <c r="C8978" t="s">
        <v>340</v>
      </c>
      <c r="D8978">
        <v>558</v>
      </c>
      <c r="E8978">
        <v>601</v>
      </c>
      <c r="F8978">
        <v>417</v>
      </c>
      <c r="G8978">
        <v>513</v>
      </c>
    </row>
    <row r="8979" spans="1:7">
      <c r="A8979" t="s">
        <v>1876</v>
      </c>
      <c r="B8979" t="s">
        <v>374</v>
      </c>
      <c r="C8979" t="s">
        <v>1955</v>
      </c>
      <c r="D8979">
        <v>27.7</v>
      </c>
      <c r="E8979">
        <v>29.5</v>
      </c>
      <c r="F8979">
        <v>28.5</v>
      </c>
      <c r="G8979">
        <v>27.9</v>
      </c>
    </row>
    <row r="8980" spans="1:7">
      <c r="A8980" t="s">
        <v>1876</v>
      </c>
      <c r="B8980" t="s">
        <v>374</v>
      </c>
      <c r="C8980" t="s">
        <v>341</v>
      </c>
      <c r="D8980">
        <v>0</v>
      </c>
      <c r="E8980">
        <v>0</v>
      </c>
      <c r="F8980">
        <v>0</v>
      </c>
      <c r="G8980">
        <v>0</v>
      </c>
    </row>
    <row r="8981" spans="1:7">
      <c r="A8981" t="s">
        <v>1876</v>
      </c>
      <c r="B8981" t="s">
        <v>374</v>
      </c>
      <c r="C8981" t="s">
        <v>342</v>
      </c>
      <c r="D8981">
        <v>1756</v>
      </c>
      <c r="E8981">
        <v>1866</v>
      </c>
      <c r="F8981">
        <v>1805</v>
      </c>
      <c r="G8981">
        <v>1809</v>
      </c>
    </row>
    <row r="8982" spans="1:7">
      <c r="A8982" t="s">
        <v>1876</v>
      </c>
      <c r="B8982" t="s">
        <v>374</v>
      </c>
      <c r="C8982" t="s">
        <v>1725</v>
      </c>
      <c r="D8982">
        <v>208</v>
      </c>
      <c r="E8982">
        <v>208</v>
      </c>
      <c r="F8982">
        <v>208</v>
      </c>
      <c r="G8982">
        <v>397</v>
      </c>
    </row>
    <row r="8983" spans="1:7">
      <c r="A8983" t="s">
        <v>1876</v>
      </c>
      <c r="B8983" t="s">
        <v>374</v>
      </c>
      <c r="C8983" t="s">
        <v>343</v>
      </c>
      <c r="D8983">
        <v>0</v>
      </c>
      <c r="E8983">
        <v>0</v>
      </c>
      <c r="F8983">
        <v>0</v>
      </c>
      <c r="G8983">
        <v>0</v>
      </c>
    </row>
    <row r="8984" spans="1:7">
      <c r="A8984" t="s">
        <v>1876</v>
      </c>
      <c r="B8984" t="s">
        <v>374</v>
      </c>
      <c r="C8984" t="s">
        <v>344</v>
      </c>
      <c r="D8984">
        <v>1756</v>
      </c>
      <c r="E8984">
        <v>1866</v>
      </c>
      <c r="F8984">
        <v>1805</v>
      </c>
      <c r="G8984">
        <v>1809</v>
      </c>
    </row>
    <row r="8985" spans="1:7">
      <c r="A8985" t="s">
        <v>1876</v>
      </c>
      <c r="B8985" t="s">
        <v>374</v>
      </c>
      <c r="C8985" t="s">
        <v>345</v>
      </c>
      <c r="D8985">
        <v>0</v>
      </c>
      <c r="E8985">
        <v>0</v>
      </c>
      <c r="F8985">
        <v>0</v>
      </c>
      <c r="G8985">
        <v>0</v>
      </c>
    </row>
    <row r="8986" spans="1:7">
      <c r="A8986" t="s">
        <v>1876</v>
      </c>
      <c r="B8986" t="s">
        <v>374</v>
      </c>
      <c r="C8986" t="s">
        <v>1956</v>
      </c>
      <c r="D8986">
        <v>7293</v>
      </c>
      <c r="E8986">
        <v>6479</v>
      </c>
      <c r="F8986">
        <v>6574</v>
      </c>
      <c r="G8986">
        <v>5371</v>
      </c>
    </row>
    <row r="8987" spans="1:7">
      <c r="A8987" t="s">
        <v>1876</v>
      </c>
      <c r="B8987" t="s">
        <v>374</v>
      </c>
      <c r="C8987" t="s">
        <v>1957</v>
      </c>
      <c r="D8987">
        <v>9422</v>
      </c>
      <c r="E8987">
        <v>8723</v>
      </c>
      <c r="F8987">
        <v>9004</v>
      </c>
      <c r="G8987">
        <v>8216</v>
      </c>
    </row>
    <row r="8988" spans="1:7">
      <c r="A8988" t="s">
        <v>1876</v>
      </c>
      <c r="B8988" t="s">
        <v>374</v>
      </c>
      <c r="C8988" t="s">
        <v>346</v>
      </c>
      <c r="D8988">
        <v>1490</v>
      </c>
      <c r="E8988">
        <v>1531</v>
      </c>
      <c r="F8988">
        <v>1381</v>
      </c>
      <c r="G8988">
        <v>1593</v>
      </c>
    </row>
    <row r="8989" spans="1:7">
      <c r="A8989" t="s">
        <v>1876</v>
      </c>
      <c r="B8989" t="s">
        <v>374</v>
      </c>
      <c r="C8989" t="s">
        <v>347</v>
      </c>
      <c r="D8989">
        <v>3104</v>
      </c>
      <c r="E8989">
        <v>3286</v>
      </c>
      <c r="F8989">
        <v>2826</v>
      </c>
      <c r="G8989">
        <v>2897</v>
      </c>
    </row>
    <row r="8990" spans="1:7">
      <c r="A8990" t="s">
        <v>1876</v>
      </c>
      <c r="B8990" t="s">
        <v>375</v>
      </c>
      <c r="C8990" t="s">
        <v>133</v>
      </c>
      <c r="D8990">
        <v>-3</v>
      </c>
      <c r="E8990">
        <v>-3</v>
      </c>
      <c r="F8990">
        <v>-3</v>
      </c>
      <c r="G8990">
        <v>-4</v>
      </c>
    </row>
    <row r="8991" spans="1:7">
      <c r="A8991" t="s">
        <v>1876</v>
      </c>
      <c r="B8991" t="s">
        <v>375</v>
      </c>
      <c r="C8991" t="s">
        <v>134</v>
      </c>
      <c r="D8991">
        <v>5726</v>
      </c>
      <c r="E8991">
        <v>5752</v>
      </c>
      <c r="F8991">
        <v>5661</v>
      </c>
      <c r="G8991">
        <v>4284</v>
      </c>
    </row>
    <row r="8992" spans="1:7">
      <c r="A8992" t="s">
        <v>1876</v>
      </c>
      <c r="B8992" t="s">
        <v>375</v>
      </c>
      <c r="C8992" t="s">
        <v>135</v>
      </c>
      <c r="D8992">
        <v>5726</v>
      </c>
      <c r="E8992">
        <v>5752</v>
      </c>
      <c r="F8992">
        <v>5661</v>
      </c>
      <c r="G8992">
        <v>4284</v>
      </c>
    </row>
    <row r="8993" spans="1:7">
      <c r="A8993" t="s">
        <v>1876</v>
      </c>
      <c r="B8993" t="s">
        <v>375</v>
      </c>
      <c r="C8993" t="s">
        <v>136</v>
      </c>
      <c r="D8993">
        <v>5726</v>
      </c>
      <c r="E8993">
        <v>5752</v>
      </c>
      <c r="F8993">
        <v>5661</v>
      </c>
      <c r="G8993">
        <v>4284</v>
      </c>
    </row>
    <row r="8994" spans="1:7">
      <c r="A8994" t="s">
        <v>1876</v>
      </c>
      <c r="B8994" t="s">
        <v>375</v>
      </c>
      <c r="C8994" t="s">
        <v>137</v>
      </c>
      <c r="D8994">
        <v>239</v>
      </c>
      <c r="E8994">
        <v>247</v>
      </c>
      <c r="F8994">
        <v>235</v>
      </c>
      <c r="G8994">
        <v>253</v>
      </c>
    </row>
    <row r="8995" spans="1:7">
      <c r="A8995" t="s">
        <v>1876</v>
      </c>
      <c r="B8995" t="s">
        <v>375</v>
      </c>
      <c r="C8995" t="s">
        <v>138</v>
      </c>
      <c r="D8995">
        <v>239</v>
      </c>
      <c r="E8995">
        <v>247</v>
      </c>
      <c r="F8995">
        <v>235</v>
      </c>
      <c r="G8995">
        <v>253</v>
      </c>
    </row>
    <row r="8996" spans="1:7">
      <c r="A8996" t="s">
        <v>1876</v>
      </c>
      <c r="B8996" t="s">
        <v>375</v>
      </c>
      <c r="C8996" t="s">
        <v>139</v>
      </c>
      <c r="D8996">
        <v>239</v>
      </c>
      <c r="E8996">
        <v>247</v>
      </c>
      <c r="F8996">
        <v>235</v>
      </c>
      <c r="G8996">
        <v>253</v>
      </c>
    </row>
    <row r="8997" spans="1:7">
      <c r="A8997" t="s">
        <v>1876</v>
      </c>
      <c r="B8997" t="s">
        <v>375</v>
      </c>
      <c r="C8997" t="s">
        <v>1877</v>
      </c>
      <c r="D8997">
        <v>0</v>
      </c>
      <c r="E8997">
        <v>0</v>
      </c>
      <c r="F8997">
        <v>0</v>
      </c>
      <c r="G8997">
        <v>0</v>
      </c>
    </row>
    <row r="8998" spans="1:7">
      <c r="A8998" t="s">
        <v>1876</v>
      </c>
      <c r="B8998" t="s">
        <v>375</v>
      </c>
      <c r="C8998" t="s">
        <v>1700</v>
      </c>
      <c r="D8998">
        <v>0</v>
      </c>
      <c r="E8998">
        <v>0</v>
      </c>
      <c r="F8998">
        <v>0</v>
      </c>
      <c r="G8998">
        <v>0</v>
      </c>
    </row>
    <row r="8999" spans="1:7">
      <c r="A8999" t="s">
        <v>1876</v>
      </c>
      <c r="B8999" t="s">
        <v>375</v>
      </c>
      <c r="C8999" t="s">
        <v>1878</v>
      </c>
      <c r="D8999">
        <v>0</v>
      </c>
      <c r="E8999">
        <v>0</v>
      </c>
      <c r="F8999">
        <v>0</v>
      </c>
      <c r="G8999">
        <v>0</v>
      </c>
    </row>
    <row r="9000" spans="1:7">
      <c r="A9000" t="s">
        <v>1876</v>
      </c>
      <c r="B9000" t="s">
        <v>375</v>
      </c>
      <c r="C9000" t="s">
        <v>1879</v>
      </c>
      <c r="D9000">
        <v>0</v>
      </c>
      <c r="E9000">
        <v>0</v>
      </c>
      <c r="F9000">
        <v>0</v>
      </c>
      <c r="G9000">
        <v>0</v>
      </c>
    </row>
    <row r="9001" spans="1:7">
      <c r="A9001" t="s">
        <v>1876</v>
      </c>
      <c r="B9001" t="s">
        <v>375</v>
      </c>
      <c r="C9001" t="s">
        <v>1701</v>
      </c>
      <c r="D9001">
        <v>0</v>
      </c>
      <c r="E9001">
        <v>0</v>
      </c>
      <c r="F9001">
        <v>0</v>
      </c>
      <c r="G9001">
        <v>0</v>
      </c>
    </row>
    <row r="9002" spans="1:7">
      <c r="A9002" t="s">
        <v>1876</v>
      </c>
      <c r="B9002" t="s">
        <v>375</v>
      </c>
      <c r="C9002" t="s">
        <v>1880</v>
      </c>
      <c r="D9002">
        <v>468</v>
      </c>
      <c r="E9002">
        <v>435</v>
      </c>
      <c r="F9002">
        <v>537</v>
      </c>
      <c r="G9002">
        <v>516</v>
      </c>
    </row>
    <row r="9003" spans="1:7">
      <c r="A9003" t="s">
        <v>1876</v>
      </c>
      <c r="B9003" t="s">
        <v>375</v>
      </c>
      <c r="C9003" t="s">
        <v>140</v>
      </c>
      <c r="D9003">
        <v>1099</v>
      </c>
      <c r="E9003">
        <v>1051</v>
      </c>
      <c r="F9003">
        <v>1449</v>
      </c>
      <c r="G9003">
        <v>1472</v>
      </c>
    </row>
    <row r="9004" spans="1:7">
      <c r="A9004" t="s">
        <v>1876</v>
      </c>
      <c r="B9004" t="s">
        <v>375</v>
      </c>
      <c r="C9004" t="s">
        <v>1881</v>
      </c>
      <c r="D9004">
        <v>631</v>
      </c>
      <c r="E9004">
        <v>616</v>
      </c>
      <c r="F9004">
        <v>912</v>
      </c>
      <c r="G9004">
        <v>955</v>
      </c>
    </row>
    <row r="9005" spans="1:7">
      <c r="A9005" t="s">
        <v>1876</v>
      </c>
      <c r="B9005" t="s">
        <v>375</v>
      </c>
      <c r="C9005" t="s">
        <v>1882</v>
      </c>
      <c r="D9005">
        <v>0</v>
      </c>
      <c r="E9005">
        <v>0</v>
      </c>
      <c r="F9005">
        <v>0</v>
      </c>
      <c r="G9005">
        <v>0</v>
      </c>
    </row>
    <row r="9006" spans="1:7">
      <c r="A9006" t="s">
        <v>1876</v>
      </c>
      <c r="B9006" t="s">
        <v>375</v>
      </c>
      <c r="C9006" t="s">
        <v>1883</v>
      </c>
      <c r="D9006">
        <v>0</v>
      </c>
      <c r="E9006">
        <v>0</v>
      </c>
      <c r="F9006">
        <v>0</v>
      </c>
      <c r="G9006">
        <v>0</v>
      </c>
    </row>
    <row r="9007" spans="1:7">
      <c r="A9007" t="s">
        <v>1876</v>
      </c>
      <c r="B9007" t="s">
        <v>375</v>
      </c>
      <c r="C9007" t="s">
        <v>1884</v>
      </c>
      <c r="D9007">
        <v>0</v>
      </c>
      <c r="E9007">
        <v>0</v>
      </c>
      <c r="F9007">
        <v>0</v>
      </c>
      <c r="G9007">
        <v>0</v>
      </c>
    </row>
    <row r="9008" spans="1:7">
      <c r="A9008" t="s">
        <v>1876</v>
      </c>
      <c r="B9008" t="s">
        <v>375</v>
      </c>
      <c r="C9008" t="s">
        <v>1885</v>
      </c>
      <c r="D9008">
        <v>0</v>
      </c>
      <c r="E9008">
        <v>0</v>
      </c>
      <c r="F9008">
        <v>0</v>
      </c>
      <c r="G9008">
        <v>0</v>
      </c>
    </row>
    <row r="9009" spans="1:7">
      <c r="A9009" t="s">
        <v>1876</v>
      </c>
      <c r="B9009" t="s">
        <v>375</v>
      </c>
      <c r="C9009" t="s">
        <v>1886</v>
      </c>
      <c r="D9009">
        <v>0</v>
      </c>
      <c r="E9009">
        <v>0</v>
      </c>
      <c r="F9009">
        <v>0</v>
      </c>
      <c r="G9009">
        <v>0</v>
      </c>
    </row>
    <row r="9010" spans="1:7">
      <c r="A9010" t="s">
        <v>1876</v>
      </c>
      <c r="B9010" t="s">
        <v>375</v>
      </c>
      <c r="C9010" t="s">
        <v>141</v>
      </c>
      <c r="D9010">
        <v>134</v>
      </c>
      <c r="E9010">
        <v>131</v>
      </c>
      <c r="F9010">
        <v>133</v>
      </c>
      <c r="G9010">
        <v>132</v>
      </c>
    </row>
    <row r="9011" spans="1:7">
      <c r="A9011" t="s">
        <v>1876</v>
      </c>
      <c r="B9011" t="s">
        <v>375</v>
      </c>
      <c r="C9011" t="s">
        <v>1887</v>
      </c>
      <c r="D9011">
        <v>0</v>
      </c>
      <c r="E9011">
        <v>0</v>
      </c>
      <c r="F9011">
        <v>0</v>
      </c>
      <c r="G9011">
        <v>0</v>
      </c>
    </row>
    <row r="9012" spans="1:7">
      <c r="A9012" t="s">
        <v>1876</v>
      </c>
      <c r="B9012" t="s">
        <v>375</v>
      </c>
      <c r="C9012" t="s">
        <v>1888</v>
      </c>
      <c r="D9012">
        <v>0</v>
      </c>
      <c r="E9012">
        <v>0</v>
      </c>
      <c r="F9012">
        <v>0</v>
      </c>
      <c r="G9012">
        <v>0</v>
      </c>
    </row>
    <row r="9013" spans="1:7">
      <c r="A9013" t="s">
        <v>1876</v>
      </c>
      <c r="B9013" t="s">
        <v>375</v>
      </c>
      <c r="C9013" t="s">
        <v>1889</v>
      </c>
      <c r="D9013">
        <v>468</v>
      </c>
      <c r="E9013">
        <v>435</v>
      </c>
      <c r="F9013">
        <v>537</v>
      </c>
      <c r="G9013">
        <v>516</v>
      </c>
    </row>
    <row r="9014" spans="1:7">
      <c r="A9014" t="s">
        <v>1876</v>
      </c>
      <c r="B9014" t="s">
        <v>375</v>
      </c>
      <c r="C9014" t="s">
        <v>1890</v>
      </c>
      <c r="D9014">
        <v>0</v>
      </c>
      <c r="E9014">
        <v>0</v>
      </c>
      <c r="F9014">
        <v>0</v>
      </c>
      <c r="G9014">
        <v>0</v>
      </c>
    </row>
    <row r="9015" spans="1:7">
      <c r="A9015" t="s">
        <v>1876</v>
      </c>
      <c r="B9015" t="s">
        <v>375</v>
      </c>
      <c r="C9015" t="s">
        <v>1891</v>
      </c>
    </row>
    <row r="9016" spans="1:7">
      <c r="A9016" t="s">
        <v>1876</v>
      </c>
      <c r="B9016" t="s">
        <v>375</v>
      </c>
      <c r="C9016" t="s">
        <v>1892</v>
      </c>
      <c r="D9016">
        <v>631</v>
      </c>
      <c r="E9016">
        <v>616</v>
      </c>
      <c r="F9016">
        <v>912</v>
      </c>
      <c r="G9016">
        <v>955</v>
      </c>
    </row>
    <row r="9017" spans="1:7">
      <c r="A9017" t="s">
        <v>1876</v>
      </c>
      <c r="B9017" t="s">
        <v>375</v>
      </c>
      <c r="C9017" t="s">
        <v>142</v>
      </c>
      <c r="D9017">
        <v>1099</v>
      </c>
      <c r="E9017">
        <v>1051</v>
      </c>
      <c r="F9017">
        <v>1449</v>
      </c>
      <c r="G9017">
        <v>1472</v>
      </c>
    </row>
    <row r="9018" spans="1:7">
      <c r="A9018" t="s">
        <v>1876</v>
      </c>
      <c r="B9018" t="s">
        <v>375</v>
      </c>
      <c r="C9018" t="s">
        <v>1893</v>
      </c>
      <c r="D9018">
        <v>1099</v>
      </c>
      <c r="E9018">
        <v>1051</v>
      </c>
      <c r="F9018">
        <v>1449</v>
      </c>
      <c r="G9018">
        <v>1472</v>
      </c>
    </row>
    <row r="9019" spans="1:7">
      <c r="A9019" t="s">
        <v>1876</v>
      </c>
      <c r="B9019" t="s">
        <v>375</v>
      </c>
      <c r="C9019" t="s">
        <v>1894</v>
      </c>
      <c r="D9019">
        <v>631</v>
      </c>
      <c r="E9019">
        <v>616</v>
      </c>
      <c r="F9019">
        <v>912</v>
      </c>
      <c r="G9019">
        <v>955</v>
      </c>
    </row>
    <row r="9020" spans="1:7">
      <c r="A9020" t="s">
        <v>1876</v>
      </c>
      <c r="B9020" t="s">
        <v>375</v>
      </c>
      <c r="C9020" t="s">
        <v>143</v>
      </c>
      <c r="D9020">
        <v>27422</v>
      </c>
      <c r="E9020">
        <v>27616</v>
      </c>
      <c r="F9020">
        <v>28692</v>
      </c>
      <c r="G9020">
        <v>28960</v>
      </c>
    </row>
    <row r="9021" spans="1:7">
      <c r="A9021" t="s">
        <v>1876</v>
      </c>
      <c r="B9021" t="s">
        <v>375</v>
      </c>
      <c r="C9021" t="s">
        <v>144</v>
      </c>
      <c r="D9021">
        <v>32089</v>
      </c>
      <c r="E9021">
        <v>32221</v>
      </c>
      <c r="F9021">
        <v>33856</v>
      </c>
      <c r="G9021">
        <v>34187</v>
      </c>
    </row>
    <row r="9022" spans="1:7">
      <c r="A9022" t="s">
        <v>1876</v>
      </c>
      <c r="B9022" t="s">
        <v>375</v>
      </c>
      <c r="C9022" t="s">
        <v>1895</v>
      </c>
      <c r="D9022">
        <v>2.1</v>
      </c>
      <c r="E9022">
        <v>4.5</v>
      </c>
      <c r="F9022">
        <v>0</v>
      </c>
      <c r="G9022">
        <v>0</v>
      </c>
    </row>
    <row r="9023" spans="1:7">
      <c r="A9023" t="s">
        <v>1876</v>
      </c>
      <c r="B9023" t="s">
        <v>375</v>
      </c>
      <c r="C9023" t="s">
        <v>145</v>
      </c>
      <c r="D9023">
        <v>33921</v>
      </c>
      <c r="E9023">
        <v>33483</v>
      </c>
      <c r="F9023">
        <v>34576</v>
      </c>
      <c r="G9023">
        <v>34847</v>
      </c>
    </row>
    <row r="9024" spans="1:7">
      <c r="A9024" t="s">
        <v>1876</v>
      </c>
      <c r="B9024" t="s">
        <v>375</v>
      </c>
      <c r="C9024" t="s">
        <v>146</v>
      </c>
      <c r="D9024">
        <v>0</v>
      </c>
      <c r="E9024">
        <v>0</v>
      </c>
      <c r="F9024">
        <v>0</v>
      </c>
      <c r="G9024">
        <v>0</v>
      </c>
    </row>
    <row r="9025" spans="1:7">
      <c r="A9025" t="s">
        <v>1876</v>
      </c>
      <c r="B9025" t="s">
        <v>375</v>
      </c>
      <c r="C9025" t="s">
        <v>147</v>
      </c>
      <c r="D9025">
        <v>0</v>
      </c>
      <c r="E9025">
        <v>0</v>
      </c>
      <c r="F9025">
        <v>0</v>
      </c>
      <c r="G9025">
        <v>0</v>
      </c>
    </row>
    <row r="9026" spans="1:7">
      <c r="A9026" t="s">
        <v>1876</v>
      </c>
      <c r="B9026" t="s">
        <v>375</v>
      </c>
      <c r="C9026" t="s">
        <v>1896</v>
      </c>
      <c r="D9026">
        <v>0</v>
      </c>
      <c r="E9026">
        <v>0</v>
      </c>
      <c r="F9026">
        <v>0</v>
      </c>
      <c r="G9026">
        <v>0</v>
      </c>
    </row>
    <row r="9027" spans="1:7">
      <c r="A9027" t="s">
        <v>1876</v>
      </c>
      <c r="B9027" t="s">
        <v>375</v>
      </c>
      <c r="C9027" t="s">
        <v>1702</v>
      </c>
      <c r="D9027">
        <v>0</v>
      </c>
      <c r="E9027">
        <v>0</v>
      </c>
      <c r="F9027">
        <v>0</v>
      </c>
      <c r="G9027">
        <v>0</v>
      </c>
    </row>
    <row r="9028" spans="1:7">
      <c r="A9028" t="s">
        <v>1876</v>
      </c>
      <c r="B9028" t="s">
        <v>375</v>
      </c>
      <c r="C9028" t="s">
        <v>1897</v>
      </c>
      <c r="D9028">
        <v>0.4</v>
      </c>
      <c r="E9028">
        <v>0.5</v>
      </c>
      <c r="F9028">
        <v>1</v>
      </c>
      <c r="G9028">
        <v>1.3</v>
      </c>
    </row>
    <row r="9029" spans="1:7">
      <c r="A9029" t="s">
        <v>1876</v>
      </c>
      <c r="B9029" t="s">
        <v>375</v>
      </c>
      <c r="C9029" t="s">
        <v>1898</v>
      </c>
      <c r="D9029">
        <v>1</v>
      </c>
      <c r="E9029">
        <v>1</v>
      </c>
      <c r="F9029">
        <v>3</v>
      </c>
      <c r="G9029">
        <v>5</v>
      </c>
    </row>
    <row r="9030" spans="1:7">
      <c r="A9030" t="s">
        <v>1876</v>
      </c>
      <c r="B9030" t="s">
        <v>375</v>
      </c>
      <c r="C9030" t="s">
        <v>1899</v>
      </c>
      <c r="D9030">
        <v>631</v>
      </c>
      <c r="E9030">
        <v>616</v>
      </c>
      <c r="F9030">
        <v>912</v>
      </c>
      <c r="G9030">
        <v>955</v>
      </c>
    </row>
    <row r="9031" spans="1:7">
      <c r="A9031" t="s">
        <v>1876</v>
      </c>
      <c r="B9031" t="s">
        <v>375</v>
      </c>
      <c r="C9031" t="s">
        <v>148</v>
      </c>
      <c r="D9031">
        <v>0</v>
      </c>
      <c r="E9031">
        <v>0</v>
      </c>
      <c r="F9031">
        <v>0</v>
      </c>
      <c r="G9031">
        <v>0</v>
      </c>
    </row>
    <row r="9032" spans="1:7">
      <c r="A9032" t="s">
        <v>1876</v>
      </c>
      <c r="B9032" t="s">
        <v>375</v>
      </c>
      <c r="C9032" t="s">
        <v>149</v>
      </c>
      <c r="D9032">
        <v>0</v>
      </c>
      <c r="E9032">
        <v>0</v>
      </c>
      <c r="F9032">
        <v>0</v>
      </c>
      <c r="G9032">
        <v>0</v>
      </c>
    </row>
    <row r="9033" spans="1:7">
      <c r="A9033" t="s">
        <v>1876</v>
      </c>
      <c r="B9033" t="s">
        <v>375</v>
      </c>
      <c r="C9033" t="s">
        <v>150</v>
      </c>
      <c r="D9033">
        <v>0</v>
      </c>
      <c r="E9033">
        <v>0</v>
      </c>
      <c r="F9033">
        <v>0</v>
      </c>
      <c r="G9033">
        <v>0</v>
      </c>
    </row>
    <row r="9034" spans="1:7">
      <c r="A9034" t="s">
        <v>1876</v>
      </c>
      <c r="B9034" t="s">
        <v>375</v>
      </c>
      <c r="C9034" t="s">
        <v>1900</v>
      </c>
      <c r="D9034">
        <v>69.7</v>
      </c>
      <c r="E9034">
        <v>72.2</v>
      </c>
      <c r="F9034">
        <v>67.2</v>
      </c>
      <c r="G9034">
        <v>68.900000000000006</v>
      </c>
    </row>
    <row r="9035" spans="1:7">
      <c r="A9035" t="s">
        <v>1876</v>
      </c>
      <c r="B9035" t="s">
        <v>375</v>
      </c>
      <c r="C9035" t="s">
        <v>151</v>
      </c>
      <c r="D9035">
        <v>301</v>
      </c>
      <c r="E9035">
        <v>434</v>
      </c>
      <c r="F9035">
        <v>185</v>
      </c>
      <c r="G9035">
        <v>122</v>
      </c>
    </row>
    <row r="9036" spans="1:7">
      <c r="A9036" t="s">
        <v>1876</v>
      </c>
      <c r="B9036" t="s">
        <v>375</v>
      </c>
      <c r="C9036" t="s">
        <v>152</v>
      </c>
      <c r="D9036">
        <v>276862</v>
      </c>
      <c r="E9036">
        <v>283752</v>
      </c>
      <c r="F9036">
        <v>256264</v>
      </c>
      <c r="G9036">
        <v>264214</v>
      </c>
    </row>
    <row r="9037" spans="1:7">
      <c r="A9037" t="s">
        <v>1876</v>
      </c>
      <c r="B9037" t="s">
        <v>375</v>
      </c>
      <c r="C9037" t="s">
        <v>1703</v>
      </c>
      <c r="D9037">
        <v>4019</v>
      </c>
      <c r="E9037">
        <v>3931</v>
      </c>
      <c r="F9037">
        <v>3833</v>
      </c>
      <c r="G9037">
        <v>3832</v>
      </c>
    </row>
    <row r="9038" spans="1:7">
      <c r="A9038" t="s">
        <v>1876</v>
      </c>
      <c r="B9038" t="s">
        <v>375</v>
      </c>
      <c r="C9038" t="s">
        <v>153</v>
      </c>
      <c r="D9038">
        <v>84648</v>
      </c>
      <c r="E9038">
        <v>85155</v>
      </c>
      <c r="F9038">
        <v>69267</v>
      </c>
      <c r="G9038">
        <v>77614</v>
      </c>
    </row>
    <row r="9039" spans="1:7">
      <c r="A9039" t="s">
        <v>1876</v>
      </c>
      <c r="B9039" t="s">
        <v>375</v>
      </c>
      <c r="C9039" t="s">
        <v>154</v>
      </c>
      <c r="D9039">
        <v>0</v>
      </c>
      <c r="E9039">
        <v>0</v>
      </c>
      <c r="F9039">
        <v>0</v>
      </c>
      <c r="G9039">
        <v>0</v>
      </c>
    </row>
    <row r="9040" spans="1:7">
      <c r="A9040" t="s">
        <v>1876</v>
      </c>
      <c r="B9040" t="s">
        <v>375</v>
      </c>
      <c r="C9040" t="s">
        <v>155</v>
      </c>
      <c r="D9040">
        <v>84648</v>
      </c>
      <c r="E9040">
        <v>85155</v>
      </c>
      <c r="F9040">
        <v>69267</v>
      </c>
      <c r="G9040">
        <v>77614</v>
      </c>
    </row>
    <row r="9041" spans="1:7">
      <c r="A9041" t="s">
        <v>1876</v>
      </c>
      <c r="B9041" t="s">
        <v>375</v>
      </c>
      <c r="C9041" t="s">
        <v>156</v>
      </c>
      <c r="D9041">
        <v>0</v>
      </c>
      <c r="E9041">
        <v>0</v>
      </c>
      <c r="F9041">
        <v>0</v>
      </c>
      <c r="G9041">
        <v>0</v>
      </c>
    </row>
    <row r="9042" spans="1:7">
      <c r="A9042" t="s">
        <v>1876</v>
      </c>
      <c r="B9042" t="s">
        <v>375</v>
      </c>
      <c r="C9042" t="s">
        <v>157</v>
      </c>
      <c r="D9042">
        <v>361811</v>
      </c>
      <c r="E9042">
        <v>369340</v>
      </c>
      <c r="F9042">
        <v>325716</v>
      </c>
      <c r="G9042">
        <v>341949</v>
      </c>
    </row>
    <row r="9043" spans="1:7">
      <c r="A9043" t="s">
        <v>1876</v>
      </c>
      <c r="B9043" t="s">
        <v>375</v>
      </c>
      <c r="C9043" t="s">
        <v>158</v>
      </c>
      <c r="D9043">
        <v>84948</v>
      </c>
      <c r="E9043">
        <v>85589</v>
      </c>
      <c r="F9043">
        <v>69452</v>
      </c>
      <c r="G9043">
        <v>77736</v>
      </c>
    </row>
    <row r="9044" spans="1:7">
      <c r="A9044" t="s">
        <v>1876</v>
      </c>
      <c r="B9044" t="s">
        <v>375</v>
      </c>
      <c r="C9044" t="s">
        <v>159</v>
      </c>
      <c r="D9044">
        <v>0</v>
      </c>
      <c r="E9044">
        <v>0</v>
      </c>
      <c r="F9044">
        <v>0</v>
      </c>
      <c r="G9044">
        <v>0</v>
      </c>
    </row>
    <row r="9045" spans="1:7">
      <c r="A9045" t="s">
        <v>1876</v>
      </c>
      <c r="B9045" t="s">
        <v>375</v>
      </c>
      <c r="C9045" t="s">
        <v>1901</v>
      </c>
      <c r="D9045">
        <v>0</v>
      </c>
      <c r="E9045">
        <v>0</v>
      </c>
      <c r="F9045">
        <v>0</v>
      </c>
      <c r="G9045">
        <v>0</v>
      </c>
    </row>
    <row r="9046" spans="1:7">
      <c r="A9046" t="s">
        <v>1876</v>
      </c>
      <c r="B9046" t="s">
        <v>375</v>
      </c>
      <c r="C9046" t="s">
        <v>1902</v>
      </c>
      <c r="D9046">
        <v>45335</v>
      </c>
      <c r="E9046">
        <v>46933</v>
      </c>
      <c r="F9046">
        <v>47216</v>
      </c>
      <c r="G9046">
        <v>45795</v>
      </c>
    </row>
    <row r="9047" spans="1:7">
      <c r="A9047" t="s">
        <v>1876</v>
      </c>
      <c r="B9047" t="s">
        <v>375</v>
      </c>
      <c r="C9047" t="s">
        <v>1903</v>
      </c>
      <c r="D9047">
        <v>3272</v>
      </c>
      <c r="E9047">
        <v>3635</v>
      </c>
      <c r="F9047">
        <v>3588</v>
      </c>
      <c r="G9047">
        <v>3214</v>
      </c>
    </row>
    <row r="9048" spans="1:7">
      <c r="A9048" t="s">
        <v>1876</v>
      </c>
      <c r="B9048" t="s">
        <v>375</v>
      </c>
      <c r="C9048" t="s">
        <v>1904</v>
      </c>
      <c r="D9048">
        <v>390</v>
      </c>
      <c r="E9048">
        <v>350</v>
      </c>
      <c r="F9048">
        <v>624</v>
      </c>
      <c r="G9048">
        <v>516</v>
      </c>
    </row>
    <row r="9049" spans="1:7">
      <c r="A9049" t="s">
        <v>1876</v>
      </c>
      <c r="B9049" t="s">
        <v>375</v>
      </c>
      <c r="C9049" t="s">
        <v>1905</v>
      </c>
      <c r="D9049">
        <v>42029</v>
      </c>
      <c r="E9049">
        <v>42486</v>
      </c>
      <c r="F9049">
        <v>41467</v>
      </c>
      <c r="G9049">
        <v>40240</v>
      </c>
    </row>
    <row r="9050" spans="1:7">
      <c r="A9050" t="s">
        <v>1876</v>
      </c>
      <c r="B9050" t="s">
        <v>375</v>
      </c>
      <c r="C9050" t="s">
        <v>1906</v>
      </c>
      <c r="D9050">
        <v>841</v>
      </c>
      <c r="E9050">
        <v>946</v>
      </c>
      <c r="F9050">
        <v>934</v>
      </c>
      <c r="G9050">
        <v>818</v>
      </c>
    </row>
    <row r="9051" spans="1:7">
      <c r="A9051" t="s">
        <v>1876</v>
      </c>
      <c r="B9051" t="s">
        <v>375</v>
      </c>
      <c r="C9051" t="s">
        <v>1907</v>
      </c>
      <c r="D9051">
        <v>91866</v>
      </c>
      <c r="E9051">
        <v>94351</v>
      </c>
      <c r="F9051">
        <v>93829</v>
      </c>
      <c r="G9051">
        <v>90584</v>
      </c>
    </row>
    <row r="9052" spans="1:7">
      <c r="A9052" t="s">
        <v>1876</v>
      </c>
      <c r="B9052" t="s">
        <v>375</v>
      </c>
      <c r="C9052" t="s">
        <v>160</v>
      </c>
      <c r="D9052">
        <v>44704</v>
      </c>
      <c r="E9052">
        <v>46317</v>
      </c>
      <c r="F9052">
        <v>46304</v>
      </c>
      <c r="G9052">
        <v>44840</v>
      </c>
    </row>
    <row r="9053" spans="1:7">
      <c r="A9053" t="s">
        <v>1876</v>
      </c>
      <c r="B9053" t="s">
        <v>375</v>
      </c>
      <c r="C9053" t="s">
        <v>161</v>
      </c>
      <c r="D9053">
        <v>3272</v>
      </c>
      <c r="E9053">
        <v>3635</v>
      </c>
      <c r="F9053">
        <v>3588</v>
      </c>
      <c r="G9053">
        <v>3214</v>
      </c>
    </row>
    <row r="9054" spans="1:7">
      <c r="A9054" t="s">
        <v>1876</v>
      </c>
      <c r="B9054" t="s">
        <v>375</v>
      </c>
      <c r="C9054" t="s">
        <v>162</v>
      </c>
      <c r="D9054">
        <v>390</v>
      </c>
      <c r="E9054">
        <v>350</v>
      </c>
      <c r="F9054">
        <v>624</v>
      </c>
      <c r="G9054">
        <v>516</v>
      </c>
    </row>
    <row r="9055" spans="1:7">
      <c r="A9055" t="s">
        <v>1876</v>
      </c>
      <c r="B9055" t="s">
        <v>375</v>
      </c>
      <c r="C9055" t="s">
        <v>163</v>
      </c>
      <c r="D9055">
        <v>42029</v>
      </c>
      <c r="E9055">
        <v>42486</v>
      </c>
      <c r="F9055">
        <v>41467</v>
      </c>
      <c r="G9055">
        <v>40240</v>
      </c>
    </row>
    <row r="9056" spans="1:7">
      <c r="A9056" t="s">
        <v>1876</v>
      </c>
      <c r="B9056" t="s">
        <v>375</v>
      </c>
      <c r="C9056" t="s">
        <v>164</v>
      </c>
      <c r="D9056">
        <v>841</v>
      </c>
      <c r="E9056">
        <v>946</v>
      </c>
      <c r="F9056">
        <v>934</v>
      </c>
      <c r="G9056">
        <v>818</v>
      </c>
    </row>
    <row r="9057" spans="1:7">
      <c r="A9057" t="s">
        <v>1876</v>
      </c>
      <c r="B9057" t="s">
        <v>375</v>
      </c>
      <c r="C9057" t="s">
        <v>165</v>
      </c>
      <c r="D9057">
        <v>91235</v>
      </c>
      <c r="E9057">
        <v>93735</v>
      </c>
      <c r="F9057">
        <v>92916</v>
      </c>
      <c r="G9057">
        <v>89629</v>
      </c>
    </row>
    <row r="9058" spans="1:7">
      <c r="A9058" t="s">
        <v>1876</v>
      </c>
      <c r="B9058" t="s">
        <v>375</v>
      </c>
      <c r="C9058" t="s">
        <v>166</v>
      </c>
      <c r="D9058">
        <v>90845</v>
      </c>
      <c r="E9058">
        <v>93384</v>
      </c>
      <c r="F9058">
        <v>92293</v>
      </c>
      <c r="G9058">
        <v>89113</v>
      </c>
    </row>
    <row r="9059" spans="1:7">
      <c r="A9059" t="s">
        <v>1876</v>
      </c>
      <c r="B9059" t="s">
        <v>375</v>
      </c>
      <c r="C9059" t="s">
        <v>167</v>
      </c>
      <c r="D9059">
        <v>390</v>
      </c>
      <c r="E9059">
        <v>350</v>
      </c>
      <c r="F9059">
        <v>624</v>
      </c>
      <c r="G9059">
        <v>516</v>
      </c>
    </row>
    <row r="9060" spans="1:7">
      <c r="A9060" t="s">
        <v>1876</v>
      </c>
      <c r="B9060" t="s">
        <v>375</v>
      </c>
      <c r="C9060" t="s">
        <v>1908</v>
      </c>
      <c r="D9060">
        <v>44237</v>
      </c>
      <c r="E9060">
        <v>45882</v>
      </c>
      <c r="F9060">
        <v>45766</v>
      </c>
      <c r="G9060">
        <v>44324</v>
      </c>
    </row>
    <row r="9061" spans="1:7">
      <c r="A9061" t="s">
        <v>1876</v>
      </c>
      <c r="B9061" t="s">
        <v>375</v>
      </c>
      <c r="C9061" t="s">
        <v>1909</v>
      </c>
      <c r="D9061">
        <v>3272</v>
      </c>
      <c r="E9061">
        <v>3635</v>
      </c>
      <c r="F9061">
        <v>3588</v>
      </c>
      <c r="G9061">
        <v>3214</v>
      </c>
    </row>
    <row r="9062" spans="1:7">
      <c r="A9062" t="s">
        <v>1876</v>
      </c>
      <c r="B9062" t="s">
        <v>375</v>
      </c>
      <c r="C9062" t="s">
        <v>1910</v>
      </c>
      <c r="D9062">
        <v>390</v>
      </c>
      <c r="E9062">
        <v>350</v>
      </c>
      <c r="F9062">
        <v>624</v>
      </c>
      <c r="G9062">
        <v>516</v>
      </c>
    </row>
    <row r="9063" spans="1:7">
      <c r="A9063" t="s">
        <v>1876</v>
      </c>
      <c r="B9063" t="s">
        <v>375</v>
      </c>
      <c r="C9063" t="s">
        <v>1911</v>
      </c>
      <c r="D9063">
        <v>42029</v>
      </c>
      <c r="E9063">
        <v>42486</v>
      </c>
      <c r="F9063">
        <v>41467</v>
      </c>
      <c r="G9063">
        <v>40240</v>
      </c>
    </row>
    <row r="9064" spans="1:7">
      <c r="A9064" t="s">
        <v>1876</v>
      </c>
      <c r="B9064" t="s">
        <v>375</v>
      </c>
      <c r="C9064" t="s">
        <v>1912</v>
      </c>
      <c r="D9064">
        <v>841</v>
      </c>
      <c r="E9064">
        <v>946</v>
      </c>
      <c r="F9064">
        <v>934</v>
      </c>
      <c r="G9064">
        <v>818</v>
      </c>
    </row>
    <row r="9065" spans="1:7">
      <c r="A9065" t="s">
        <v>1876</v>
      </c>
      <c r="B9065" t="s">
        <v>375</v>
      </c>
      <c r="C9065" t="s">
        <v>168</v>
      </c>
      <c r="D9065">
        <v>90767</v>
      </c>
      <c r="E9065">
        <v>93300</v>
      </c>
      <c r="F9065">
        <v>92379</v>
      </c>
      <c r="G9065">
        <v>89112</v>
      </c>
    </row>
    <row r="9066" spans="1:7">
      <c r="A9066" t="s">
        <v>1876</v>
      </c>
      <c r="B9066" t="s">
        <v>375</v>
      </c>
      <c r="C9066" t="s">
        <v>169</v>
      </c>
      <c r="D9066">
        <v>6318</v>
      </c>
      <c r="E9066">
        <v>4444</v>
      </c>
      <c r="F9066">
        <v>3296</v>
      </c>
      <c r="G9066">
        <v>3860</v>
      </c>
    </row>
    <row r="9067" spans="1:7">
      <c r="A9067" t="s">
        <v>1876</v>
      </c>
      <c r="B9067" t="s">
        <v>375</v>
      </c>
      <c r="C9067" t="s">
        <v>1704</v>
      </c>
      <c r="D9067">
        <v>9503</v>
      </c>
      <c r="E9067">
        <v>9409</v>
      </c>
      <c r="F9067">
        <v>9402</v>
      </c>
      <c r="G9067">
        <v>9684</v>
      </c>
    </row>
    <row r="9068" spans="1:7">
      <c r="A9068" t="s">
        <v>1876</v>
      </c>
      <c r="B9068" t="s">
        <v>375</v>
      </c>
      <c r="C9068" t="s">
        <v>170</v>
      </c>
      <c r="D9068">
        <v>10176</v>
      </c>
      <c r="E9068">
        <v>21094</v>
      </c>
      <c r="F9068">
        <v>3315</v>
      </c>
      <c r="G9068">
        <v>2383</v>
      </c>
    </row>
    <row r="9069" spans="1:7">
      <c r="A9069" t="s">
        <v>1876</v>
      </c>
      <c r="B9069" t="s">
        <v>375</v>
      </c>
      <c r="C9069" t="s">
        <v>171</v>
      </c>
      <c r="D9069">
        <v>-164825</v>
      </c>
      <c r="E9069">
        <v>-176006</v>
      </c>
      <c r="F9069">
        <v>-104039</v>
      </c>
      <c r="G9069">
        <v>-90802</v>
      </c>
    </row>
    <row r="9070" spans="1:7">
      <c r="A9070" t="s">
        <v>1876</v>
      </c>
      <c r="B9070" t="s">
        <v>375</v>
      </c>
      <c r="C9070" t="s">
        <v>172</v>
      </c>
      <c r="D9070">
        <v>3858</v>
      </c>
      <c r="E9070">
        <v>16650</v>
      </c>
      <c r="F9070">
        <v>19</v>
      </c>
      <c r="G9070">
        <v>-1477</v>
      </c>
    </row>
    <row r="9071" spans="1:7">
      <c r="A9071" t="s">
        <v>1876</v>
      </c>
      <c r="B9071" t="s">
        <v>375</v>
      </c>
      <c r="C9071" t="s">
        <v>1913</v>
      </c>
      <c r="D9071">
        <v>0.8</v>
      </c>
      <c r="E9071">
        <v>1.1000000000000001</v>
      </c>
      <c r="F9071">
        <v>1.7</v>
      </c>
      <c r="G9071">
        <v>2.2000000000000002</v>
      </c>
    </row>
    <row r="9072" spans="1:7">
      <c r="A9072" t="s">
        <v>1876</v>
      </c>
      <c r="B9072" t="s">
        <v>375</v>
      </c>
      <c r="C9072" t="s">
        <v>1914</v>
      </c>
      <c r="D9072">
        <v>0.1</v>
      </c>
      <c r="E9072">
        <v>0.1</v>
      </c>
      <c r="F9072">
        <v>0.2</v>
      </c>
      <c r="G9072">
        <v>0.3</v>
      </c>
    </row>
    <row r="9073" spans="1:7">
      <c r="A9073" t="s">
        <v>1876</v>
      </c>
      <c r="B9073" t="s">
        <v>375</v>
      </c>
      <c r="C9073" t="s">
        <v>173</v>
      </c>
      <c r="D9073">
        <v>3407</v>
      </c>
      <c r="E9073">
        <v>3383</v>
      </c>
      <c r="F9073">
        <v>3537</v>
      </c>
      <c r="G9073">
        <v>3514</v>
      </c>
    </row>
    <row r="9074" spans="1:7">
      <c r="A9074" t="s">
        <v>1876</v>
      </c>
      <c r="B9074" t="s">
        <v>375</v>
      </c>
      <c r="C9074" t="s">
        <v>174</v>
      </c>
      <c r="D9074">
        <v>38</v>
      </c>
      <c r="E9074">
        <v>40</v>
      </c>
      <c r="F9074">
        <v>40</v>
      </c>
      <c r="G9074">
        <v>41</v>
      </c>
    </row>
    <row r="9075" spans="1:7">
      <c r="A9075" t="s">
        <v>1876</v>
      </c>
      <c r="B9075" t="s">
        <v>375</v>
      </c>
      <c r="C9075" t="s">
        <v>175</v>
      </c>
      <c r="D9075">
        <v>124</v>
      </c>
      <c r="E9075">
        <v>131</v>
      </c>
      <c r="F9075">
        <v>138</v>
      </c>
      <c r="G9075">
        <v>201</v>
      </c>
    </row>
    <row r="9076" spans="1:7">
      <c r="A9076" t="s">
        <v>1876</v>
      </c>
      <c r="B9076" t="s">
        <v>375</v>
      </c>
      <c r="C9076" t="s">
        <v>176</v>
      </c>
      <c r="D9076">
        <v>27288</v>
      </c>
      <c r="E9076">
        <v>27484</v>
      </c>
      <c r="F9076">
        <v>28559</v>
      </c>
      <c r="G9076">
        <v>28828</v>
      </c>
    </row>
    <row r="9077" spans="1:7">
      <c r="A9077" t="s">
        <v>1876</v>
      </c>
      <c r="B9077" t="s">
        <v>375</v>
      </c>
      <c r="C9077" t="s">
        <v>177</v>
      </c>
      <c r="D9077">
        <v>3568</v>
      </c>
      <c r="E9077">
        <v>3554</v>
      </c>
      <c r="F9077">
        <v>3715</v>
      </c>
      <c r="G9077">
        <v>3756</v>
      </c>
    </row>
    <row r="9078" spans="1:7">
      <c r="A9078" t="s">
        <v>1876</v>
      </c>
      <c r="B9078" t="s">
        <v>375</v>
      </c>
      <c r="C9078" t="s">
        <v>178</v>
      </c>
      <c r="D9078">
        <v>0</v>
      </c>
      <c r="E9078">
        <v>0</v>
      </c>
      <c r="F9078">
        <v>0</v>
      </c>
      <c r="G9078">
        <v>0</v>
      </c>
    </row>
    <row r="9079" spans="1:7">
      <c r="A9079" t="s">
        <v>1876</v>
      </c>
      <c r="B9079" t="s">
        <v>375</v>
      </c>
      <c r="C9079" t="s">
        <v>179</v>
      </c>
      <c r="D9079">
        <v>0</v>
      </c>
      <c r="E9079">
        <v>0</v>
      </c>
      <c r="F9079">
        <v>0</v>
      </c>
      <c r="G9079">
        <v>0</v>
      </c>
    </row>
    <row r="9080" spans="1:7">
      <c r="A9080" t="s">
        <v>1876</v>
      </c>
      <c r="B9080" t="s">
        <v>375</v>
      </c>
      <c r="C9080" t="s">
        <v>180</v>
      </c>
      <c r="D9080">
        <v>0</v>
      </c>
      <c r="E9080">
        <v>0</v>
      </c>
      <c r="F9080">
        <v>0</v>
      </c>
      <c r="G9080">
        <v>0</v>
      </c>
    </row>
    <row r="9081" spans="1:7">
      <c r="A9081" t="s">
        <v>1876</v>
      </c>
      <c r="B9081" t="s">
        <v>375</v>
      </c>
      <c r="C9081" t="s">
        <v>181</v>
      </c>
      <c r="D9081">
        <v>23230</v>
      </c>
      <c r="E9081">
        <v>28635</v>
      </c>
      <c r="F9081">
        <v>37036</v>
      </c>
      <c r="G9081">
        <v>38587</v>
      </c>
    </row>
    <row r="9082" spans="1:7">
      <c r="A9082" t="s">
        <v>1876</v>
      </c>
      <c r="B9082" t="s">
        <v>375</v>
      </c>
      <c r="C9082" t="s">
        <v>182</v>
      </c>
      <c r="D9082">
        <v>38100</v>
      </c>
      <c r="E9082">
        <v>40018</v>
      </c>
      <c r="F9082">
        <v>41901</v>
      </c>
      <c r="G9082">
        <v>46231</v>
      </c>
    </row>
    <row r="9083" spans="1:7">
      <c r="A9083" t="s">
        <v>1876</v>
      </c>
      <c r="B9083" t="s">
        <v>375</v>
      </c>
      <c r="C9083" t="s">
        <v>183</v>
      </c>
      <c r="D9083">
        <v>16679</v>
      </c>
      <c r="E9083">
        <v>17988</v>
      </c>
      <c r="F9083">
        <v>17289</v>
      </c>
      <c r="G9083">
        <v>16755</v>
      </c>
    </row>
    <row r="9084" spans="1:7">
      <c r="A9084" t="s">
        <v>1876</v>
      </c>
      <c r="B9084" t="s">
        <v>375</v>
      </c>
      <c r="C9084" t="s">
        <v>184</v>
      </c>
      <c r="D9084">
        <v>78009</v>
      </c>
      <c r="E9084">
        <v>86640</v>
      </c>
      <c r="F9084">
        <v>96226</v>
      </c>
      <c r="G9084">
        <v>101574</v>
      </c>
    </row>
    <row r="9085" spans="1:7">
      <c r="A9085" t="s">
        <v>1876</v>
      </c>
      <c r="B9085" t="s">
        <v>375</v>
      </c>
      <c r="C9085" t="s">
        <v>185</v>
      </c>
      <c r="D9085">
        <v>78009</v>
      </c>
      <c r="E9085">
        <v>86640</v>
      </c>
      <c r="F9085">
        <v>96226</v>
      </c>
      <c r="G9085">
        <v>101574</v>
      </c>
    </row>
    <row r="9086" spans="1:7">
      <c r="A9086" t="s">
        <v>1876</v>
      </c>
      <c r="B9086" t="s">
        <v>375</v>
      </c>
      <c r="C9086" t="s">
        <v>1915</v>
      </c>
      <c r="D9086">
        <v>1</v>
      </c>
      <c r="E9086">
        <v>2</v>
      </c>
      <c r="F9086">
        <v>5</v>
      </c>
      <c r="G9086">
        <v>7</v>
      </c>
    </row>
    <row r="9087" spans="1:7">
      <c r="A9087" t="s">
        <v>1876</v>
      </c>
      <c r="B9087" t="s">
        <v>375</v>
      </c>
      <c r="C9087" t="s">
        <v>1916</v>
      </c>
      <c r="D9087">
        <v>0</v>
      </c>
      <c r="E9087">
        <v>0</v>
      </c>
      <c r="F9087">
        <v>0</v>
      </c>
      <c r="G9087">
        <v>0</v>
      </c>
    </row>
    <row r="9088" spans="1:7">
      <c r="A9088" t="s">
        <v>1876</v>
      </c>
      <c r="B9088" t="s">
        <v>375</v>
      </c>
      <c r="C9088" t="s">
        <v>1917</v>
      </c>
      <c r="D9088">
        <v>0</v>
      </c>
      <c r="E9088">
        <v>0</v>
      </c>
      <c r="F9088">
        <v>1</v>
      </c>
      <c r="G9088">
        <v>1</v>
      </c>
    </row>
    <row r="9089" spans="1:7">
      <c r="A9089" t="s">
        <v>1876</v>
      </c>
      <c r="B9089" t="s">
        <v>375</v>
      </c>
      <c r="C9089" t="s">
        <v>1918</v>
      </c>
      <c r="D9089">
        <v>109</v>
      </c>
      <c r="E9089">
        <v>124</v>
      </c>
      <c r="F9089">
        <v>122</v>
      </c>
      <c r="G9089">
        <v>138</v>
      </c>
    </row>
    <row r="9090" spans="1:7">
      <c r="A9090" t="s">
        <v>1876</v>
      </c>
      <c r="B9090" t="s">
        <v>375</v>
      </c>
      <c r="C9090" t="s">
        <v>1919</v>
      </c>
      <c r="D9090">
        <v>1.95</v>
      </c>
      <c r="E9090">
        <v>1.94</v>
      </c>
      <c r="F9090">
        <v>1.77</v>
      </c>
      <c r="G9090">
        <v>1.94</v>
      </c>
    </row>
    <row r="9091" spans="1:7">
      <c r="A9091" t="s">
        <v>1876</v>
      </c>
      <c r="B9091" t="s">
        <v>375</v>
      </c>
      <c r="C9091" t="s">
        <v>1920</v>
      </c>
      <c r="D9091">
        <v>172</v>
      </c>
      <c r="E9091">
        <v>190</v>
      </c>
      <c r="F9091">
        <v>211</v>
      </c>
      <c r="G9091">
        <v>266</v>
      </c>
    </row>
    <row r="9092" spans="1:7">
      <c r="A9092" t="s">
        <v>1876</v>
      </c>
      <c r="B9092" t="s">
        <v>375</v>
      </c>
      <c r="C9092" t="s">
        <v>1921</v>
      </c>
      <c r="D9092">
        <v>71</v>
      </c>
      <c r="E9092">
        <v>82</v>
      </c>
      <c r="F9092">
        <v>98</v>
      </c>
      <c r="G9092">
        <v>108</v>
      </c>
    </row>
    <row r="9093" spans="1:7">
      <c r="A9093" t="s">
        <v>1876</v>
      </c>
      <c r="B9093" t="s">
        <v>375</v>
      </c>
      <c r="C9093" t="s">
        <v>1922</v>
      </c>
      <c r="D9093">
        <v>63</v>
      </c>
      <c r="E9093">
        <v>66</v>
      </c>
      <c r="F9093">
        <v>88</v>
      </c>
      <c r="G9093">
        <v>127</v>
      </c>
    </row>
    <row r="9094" spans="1:7">
      <c r="A9094" t="s">
        <v>1876</v>
      </c>
      <c r="B9094" t="s">
        <v>375</v>
      </c>
      <c r="C9094" t="s">
        <v>1923</v>
      </c>
      <c r="D9094">
        <v>3.15</v>
      </c>
      <c r="E9094">
        <v>2.87</v>
      </c>
      <c r="F9094">
        <v>2.59</v>
      </c>
      <c r="G9094">
        <v>3.02</v>
      </c>
    </row>
    <row r="9095" spans="1:7">
      <c r="A9095" t="s">
        <v>1876</v>
      </c>
      <c r="B9095" t="s">
        <v>375</v>
      </c>
      <c r="C9095" t="s">
        <v>1924</v>
      </c>
      <c r="D9095">
        <v>5</v>
      </c>
      <c r="E9095">
        <v>2</v>
      </c>
      <c r="F9095">
        <v>0</v>
      </c>
      <c r="G9095">
        <v>0</v>
      </c>
    </row>
    <row r="9096" spans="1:7">
      <c r="A9096" t="s">
        <v>1876</v>
      </c>
      <c r="B9096" t="s">
        <v>375</v>
      </c>
      <c r="C9096" t="s">
        <v>1925</v>
      </c>
      <c r="D9096">
        <v>31</v>
      </c>
      <c r="E9096">
        <v>32</v>
      </c>
      <c r="F9096">
        <v>39</v>
      </c>
      <c r="G9096">
        <v>40</v>
      </c>
    </row>
    <row r="9097" spans="1:7">
      <c r="A9097" t="s">
        <v>1876</v>
      </c>
      <c r="B9097" t="s">
        <v>375</v>
      </c>
      <c r="C9097" t="s">
        <v>1926</v>
      </c>
      <c r="D9097">
        <v>35</v>
      </c>
      <c r="E9097">
        <v>48</v>
      </c>
      <c r="F9097">
        <v>59</v>
      </c>
      <c r="G9097">
        <v>68</v>
      </c>
    </row>
    <row r="9098" spans="1:7">
      <c r="A9098" t="s">
        <v>1876</v>
      </c>
      <c r="B9098" t="s">
        <v>375</v>
      </c>
      <c r="C9098" t="s">
        <v>1927</v>
      </c>
      <c r="D9098">
        <v>2</v>
      </c>
      <c r="E9098">
        <v>2</v>
      </c>
      <c r="F9098">
        <v>2</v>
      </c>
      <c r="G9098">
        <v>2</v>
      </c>
    </row>
    <row r="9099" spans="1:7">
      <c r="A9099" t="s">
        <v>1876</v>
      </c>
      <c r="B9099" t="s">
        <v>375</v>
      </c>
      <c r="C9099" t="s">
        <v>1928</v>
      </c>
      <c r="D9099">
        <v>68</v>
      </c>
      <c r="E9099">
        <v>79</v>
      </c>
      <c r="F9099">
        <v>95</v>
      </c>
      <c r="G9099">
        <v>105</v>
      </c>
    </row>
    <row r="9100" spans="1:7">
      <c r="A9100" t="s">
        <v>1876</v>
      </c>
      <c r="B9100" t="s">
        <v>375</v>
      </c>
      <c r="C9100" t="s">
        <v>1929</v>
      </c>
      <c r="D9100">
        <v>1</v>
      </c>
      <c r="E9100">
        <v>1</v>
      </c>
      <c r="F9100">
        <v>1</v>
      </c>
      <c r="G9100">
        <v>1</v>
      </c>
    </row>
    <row r="9101" spans="1:7">
      <c r="A9101" t="s">
        <v>1876</v>
      </c>
      <c r="B9101" t="s">
        <v>375</v>
      </c>
      <c r="C9101" t="s">
        <v>186</v>
      </c>
      <c r="D9101">
        <v>0</v>
      </c>
      <c r="E9101">
        <v>0</v>
      </c>
      <c r="F9101">
        <v>0</v>
      </c>
      <c r="G9101">
        <v>0</v>
      </c>
    </row>
    <row r="9102" spans="1:7">
      <c r="A9102" t="s">
        <v>1876</v>
      </c>
      <c r="B9102" t="s">
        <v>375</v>
      </c>
      <c r="C9102" t="s">
        <v>187</v>
      </c>
      <c r="D9102">
        <v>0</v>
      </c>
      <c r="E9102">
        <v>0</v>
      </c>
      <c r="F9102">
        <v>0</v>
      </c>
      <c r="G9102">
        <v>0</v>
      </c>
    </row>
    <row r="9103" spans="1:7">
      <c r="A9103" t="s">
        <v>1876</v>
      </c>
      <c r="B9103" t="s">
        <v>375</v>
      </c>
      <c r="C9103" t="s">
        <v>1705</v>
      </c>
      <c r="D9103">
        <v>4651</v>
      </c>
      <c r="E9103">
        <v>4558</v>
      </c>
      <c r="F9103">
        <v>4557</v>
      </c>
      <c r="G9103">
        <v>4645</v>
      </c>
    </row>
    <row r="9104" spans="1:7">
      <c r="A9104" t="s">
        <v>1876</v>
      </c>
      <c r="B9104" t="s">
        <v>375</v>
      </c>
      <c r="C9104" t="s">
        <v>188</v>
      </c>
      <c r="D9104">
        <v>721812</v>
      </c>
      <c r="E9104">
        <v>738883</v>
      </c>
      <c r="F9104">
        <v>717199</v>
      </c>
      <c r="G9104">
        <v>718526</v>
      </c>
    </row>
    <row r="9105" spans="1:7">
      <c r="A9105" t="s">
        <v>1876</v>
      </c>
      <c r="B9105" t="s">
        <v>375</v>
      </c>
      <c r="C9105" t="s">
        <v>189</v>
      </c>
      <c r="D9105">
        <v>0</v>
      </c>
      <c r="E9105">
        <v>0</v>
      </c>
      <c r="F9105">
        <v>0</v>
      </c>
      <c r="G9105">
        <v>0</v>
      </c>
    </row>
    <row r="9106" spans="1:7">
      <c r="A9106" t="s">
        <v>1876</v>
      </c>
      <c r="B9106" t="s">
        <v>375</v>
      </c>
      <c r="C9106" t="s">
        <v>190</v>
      </c>
      <c r="D9106">
        <v>0</v>
      </c>
      <c r="E9106">
        <v>0</v>
      </c>
      <c r="F9106">
        <v>0</v>
      </c>
      <c r="G9106">
        <v>0</v>
      </c>
    </row>
    <row r="9107" spans="1:7">
      <c r="A9107" t="s">
        <v>1876</v>
      </c>
      <c r="B9107" t="s">
        <v>375</v>
      </c>
      <c r="C9107" t="s">
        <v>191</v>
      </c>
      <c r="D9107">
        <v>0</v>
      </c>
      <c r="E9107">
        <v>0</v>
      </c>
      <c r="F9107">
        <v>0</v>
      </c>
      <c r="G9107">
        <v>0</v>
      </c>
    </row>
    <row r="9108" spans="1:7">
      <c r="A9108" t="s">
        <v>1876</v>
      </c>
      <c r="B9108" t="s">
        <v>375</v>
      </c>
      <c r="C9108" t="s">
        <v>192</v>
      </c>
      <c r="D9108">
        <v>64830</v>
      </c>
      <c r="E9108">
        <v>75052.100000000006</v>
      </c>
      <c r="F9108">
        <v>77898.100000000006</v>
      </c>
      <c r="G9108">
        <v>80058.3</v>
      </c>
    </row>
    <row r="9109" spans="1:7">
      <c r="A9109" t="s">
        <v>1876</v>
      </c>
      <c r="B9109" t="s">
        <v>375</v>
      </c>
      <c r="C9109" t="s">
        <v>193</v>
      </c>
      <c r="D9109">
        <v>57351.3</v>
      </c>
      <c r="E9109">
        <v>57031.1</v>
      </c>
      <c r="F9109">
        <v>62114.7</v>
      </c>
      <c r="G9109">
        <v>63366.400000000001</v>
      </c>
    </row>
    <row r="9110" spans="1:7">
      <c r="A9110" t="s">
        <v>1876</v>
      </c>
      <c r="B9110" t="s">
        <v>375</v>
      </c>
      <c r="C9110" t="s">
        <v>1930</v>
      </c>
      <c r="D9110">
        <v>0</v>
      </c>
      <c r="E9110">
        <v>0</v>
      </c>
      <c r="F9110">
        <v>0</v>
      </c>
      <c r="G9110">
        <v>0</v>
      </c>
    </row>
    <row r="9111" spans="1:7">
      <c r="A9111" t="s">
        <v>1876</v>
      </c>
      <c r="B9111" t="s">
        <v>375</v>
      </c>
      <c r="C9111" t="s">
        <v>194</v>
      </c>
      <c r="D9111">
        <v>445</v>
      </c>
      <c r="E9111">
        <v>445</v>
      </c>
      <c r="F9111">
        <v>445</v>
      </c>
      <c r="G9111">
        <v>445</v>
      </c>
    </row>
    <row r="9112" spans="1:7">
      <c r="A9112" t="s">
        <v>1876</v>
      </c>
      <c r="B9112" t="s">
        <v>375</v>
      </c>
      <c r="C9112" t="s">
        <v>195</v>
      </c>
      <c r="D9112">
        <v>0</v>
      </c>
      <c r="E9112">
        <v>0</v>
      </c>
      <c r="F9112">
        <v>0</v>
      </c>
      <c r="G9112">
        <v>0</v>
      </c>
    </row>
    <row r="9113" spans="1:7">
      <c r="A9113" t="s">
        <v>1876</v>
      </c>
      <c r="B9113" t="s">
        <v>375</v>
      </c>
      <c r="C9113" t="s">
        <v>1706</v>
      </c>
      <c r="D9113">
        <v>0</v>
      </c>
      <c r="E9113">
        <v>0</v>
      </c>
      <c r="F9113">
        <v>0</v>
      </c>
      <c r="G9113">
        <v>0</v>
      </c>
    </row>
    <row r="9114" spans="1:7">
      <c r="A9114" t="s">
        <v>1876</v>
      </c>
      <c r="B9114" t="s">
        <v>375</v>
      </c>
      <c r="C9114" t="s">
        <v>196</v>
      </c>
      <c r="D9114">
        <v>0</v>
      </c>
      <c r="E9114">
        <v>0</v>
      </c>
      <c r="F9114">
        <v>0</v>
      </c>
      <c r="G9114">
        <v>0</v>
      </c>
    </row>
    <row r="9115" spans="1:7">
      <c r="A9115" t="s">
        <v>1876</v>
      </c>
      <c r="B9115" t="s">
        <v>375</v>
      </c>
      <c r="C9115" t="s">
        <v>197</v>
      </c>
      <c r="D9115">
        <v>533</v>
      </c>
      <c r="E9115">
        <v>533</v>
      </c>
      <c r="F9115">
        <v>533</v>
      </c>
      <c r="G9115">
        <v>533</v>
      </c>
    </row>
    <row r="9116" spans="1:7">
      <c r="A9116" t="s">
        <v>1876</v>
      </c>
      <c r="B9116" t="s">
        <v>375</v>
      </c>
      <c r="C9116" t="s">
        <v>198</v>
      </c>
      <c r="D9116">
        <v>978</v>
      </c>
      <c r="E9116">
        <v>978</v>
      </c>
      <c r="F9116">
        <v>978</v>
      </c>
      <c r="G9116">
        <v>978</v>
      </c>
    </row>
    <row r="9117" spans="1:7">
      <c r="A9117" t="s">
        <v>1876</v>
      </c>
      <c r="B9117" t="s">
        <v>375</v>
      </c>
      <c r="C9117" t="s">
        <v>199</v>
      </c>
      <c r="D9117">
        <v>978</v>
      </c>
      <c r="E9117">
        <v>978</v>
      </c>
      <c r="F9117">
        <v>978</v>
      </c>
      <c r="G9117">
        <v>978</v>
      </c>
    </row>
    <row r="9118" spans="1:7">
      <c r="A9118" t="s">
        <v>1876</v>
      </c>
      <c r="B9118" t="s">
        <v>375</v>
      </c>
      <c r="C9118" t="s">
        <v>200</v>
      </c>
      <c r="D9118">
        <v>25</v>
      </c>
      <c r="E9118">
        <v>22</v>
      </c>
      <c r="F9118">
        <v>10</v>
      </c>
      <c r="G9118">
        <v>38</v>
      </c>
    </row>
    <row r="9119" spans="1:7">
      <c r="A9119" t="s">
        <v>1876</v>
      </c>
      <c r="B9119" t="s">
        <v>375</v>
      </c>
      <c r="C9119" t="s">
        <v>201</v>
      </c>
      <c r="D9119">
        <v>2332</v>
      </c>
      <c r="E9119">
        <v>1684</v>
      </c>
      <c r="F9119">
        <v>1830</v>
      </c>
      <c r="G9119">
        <v>1608</v>
      </c>
    </row>
    <row r="9120" spans="1:7">
      <c r="A9120" t="s">
        <v>1876</v>
      </c>
      <c r="B9120" t="s">
        <v>375</v>
      </c>
      <c r="C9120" t="s">
        <v>202</v>
      </c>
      <c r="D9120">
        <v>2675</v>
      </c>
      <c r="E9120">
        <v>3263</v>
      </c>
      <c r="F9120">
        <v>2941</v>
      </c>
      <c r="G9120">
        <v>2909</v>
      </c>
    </row>
    <row r="9121" spans="1:7">
      <c r="A9121" t="s">
        <v>1876</v>
      </c>
      <c r="B9121" t="s">
        <v>375</v>
      </c>
      <c r="C9121" t="s">
        <v>203</v>
      </c>
      <c r="D9121">
        <v>6220</v>
      </c>
      <c r="E9121">
        <v>6273</v>
      </c>
      <c r="F9121">
        <v>6100</v>
      </c>
      <c r="G9121">
        <v>5600</v>
      </c>
    </row>
    <row r="9122" spans="1:7">
      <c r="A9122" t="s">
        <v>1876</v>
      </c>
      <c r="B9122" t="s">
        <v>375</v>
      </c>
      <c r="C9122" t="s">
        <v>204</v>
      </c>
      <c r="D9122">
        <v>11252</v>
      </c>
      <c r="E9122">
        <v>11242</v>
      </c>
      <c r="F9122">
        <v>10881</v>
      </c>
      <c r="G9122">
        <v>10155</v>
      </c>
    </row>
    <row r="9123" spans="1:7">
      <c r="A9123" t="s">
        <v>1876</v>
      </c>
      <c r="B9123" t="s">
        <v>375</v>
      </c>
      <c r="C9123" t="s">
        <v>205</v>
      </c>
      <c r="D9123">
        <v>11252</v>
      </c>
      <c r="E9123">
        <v>11242</v>
      </c>
      <c r="F9123">
        <v>10881</v>
      </c>
      <c r="G9123">
        <v>10155</v>
      </c>
    </row>
    <row r="9124" spans="1:7">
      <c r="A9124" t="s">
        <v>1876</v>
      </c>
      <c r="B9124" t="s">
        <v>375</v>
      </c>
      <c r="C9124" t="s">
        <v>1931</v>
      </c>
      <c r="D9124">
        <v>0</v>
      </c>
      <c r="E9124">
        <v>0</v>
      </c>
      <c r="F9124">
        <v>0</v>
      </c>
      <c r="G9124">
        <v>0</v>
      </c>
    </row>
    <row r="9125" spans="1:7">
      <c r="A9125" t="s">
        <v>1876</v>
      </c>
      <c r="B9125" t="s">
        <v>375</v>
      </c>
      <c r="C9125" t="s">
        <v>1707</v>
      </c>
      <c r="D9125">
        <v>0</v>
      </c>
      <c r="E9125">
        <v>0</v>
      </c>
      <c r="F9125">
        <v>0</v>
      </c>
      <c r="G9125">
        <v>0</v>
      </c>
    </row>
    <row r="9126" spans="1:7">
      <c r="A9126" t="s">
        <v>1876</v>
      </c>
      <c r="B9126" t="s">
        <v>375</v>
      </c>
      <c r="C9126" t="s">
        <v>1932</v>
      </c>
      <c r="D9126">
        <v>44.5</v>
      </c>
      <c r="E9126">
        <v>40.1</v>
      </c>
      <c r="F9126">
        <v>47.4</v>
      </c>
      <c r="G9126">
        <v>46</v>
      </c>
    </row>
    <row r="9127" spans="1:7">
      <c r="A9127" t="s">
        <v>1876</v>
      </c>
      <c r="B9127" t="s">
        <v>375</v>
      </c>
      <c r="C9127" t="s">
        <v>1708</v>
      </c>
      <c r="D9127">
        <v>510</v>
      </c>
      <c r="E9127">
        <v>510</v>
      </c>
      <c r="F9127">
        <v>510</v>
      </c>
      <c r="G9127">
        <v>510</v>
      </c>
    </row>
    <row r="9128" spans="1:7">
      <c r="A9128" t="s">
        <v>1876</v>
      </c>
      <c r="B9128" t="s">
        <v>375</v>
      </c>
      <c r="C9128" t="s">
        <v>206</v>
      </c>
      <c r="D9128">
        <v>0</v>
      </c>
      <c r="E9128">
        <v>0</v>
      </c>
      <c r="F9128">
        <v>0</v>
      </c>
      <c r="G9128">
        <v>0</v>
      </c>
    </row>
    <row r="9129" spans="1:7">
      <c r="A9129" t="s">
        <v>1876</v>
      </c>
      <c r="B9129" t="s">
        <v>375</v>
      </c>
      <c r="C9129" t="s">
        <v>207</v>
      </c>
      <c r="D9129">
        <v>6787</v>
      </c>
      <c r="E9129">
        <v>6112</v>
      </c>
      <c r="F9129">
        <v>7230</v>
      </c>
      <c r="G9129">
        <v>7031</v>
      </c>
    </row>
    <row r="9130" spans="1:7">
      <c r="A9130" t="s">
        <v>1876</v>
      </c>
      <c r="B9130" t="s">
        <v>375</v>
      </c>
      <c r="C9130" t="s">
        <v>208</v>
      </c>
      <c r="D9130">
        <v>0</v>
      </c>
      <c r="E9130">
        <v>0</v>
      </c>
      <c r="F9130">
        <v>0</v>
      </c>
      <c r="G9130">
        <v>0</v>
      </c>
    </row>
    <row r="9131" spans="1:7">
      <c r="A9131" t="s">
        <v>1876</v>
      </c>
      <c r="B9131" t="s">
        <v>375</v>
      </c>
      <c r="C9131" t="s">
        <v>209</v>
      </c>
      <c r="D9131">
        <v>6787</v>
      </c>
      <c r="E9131">
        <v>6112</v>
      </c>
      <c r="F9131">
        <v>7230</v>
      </c>
      <c r="G9131">
        <v>7031</v>
      </c>
    </row>
    <row r="9132" spans="1:7">
      <c r="A9132" t="s">
        <v>1876</v>
      </c>
      <c r="B9132" t="s">
        <v>375</v>
      </c>
      <c r="C9132" t="s">
        <v>210</v>
      </c>
      <c r="D9132">
        <v>0</v>
      </c>
      <c r="E9132">
        <v>0</v>
      </c>
      <c r="F9132">
        <v>0</v>
      </c>
      <c r="G9132">
        <v>0</v>
      </c>
    </row>
    <row r="9133" spans="1:7">
      <c r="A9133" t="s">
        <v>1876</v>
      </c>
      <c r="B9133" t="s">
        <v>375</v>
      </c>
      <c r="C9133" t="s">
        <v>211</v>
      </c>
      <c r="D9133">
        <v>0</v>
      </c>
      <c r="E9133">
        <v>0</v>
      </c>
      <c r="F9133">
        <v>0</v>
      </c>
      <c r="G9133">
        <v>0</v>
      </c>
    </row>
    <row r="9134" spans="1:7">
      <c r="A9134" t="s">
        <v>1876</v>
      </c>
      <c r="B9134" t="s">
        <v>375</v>
      </c>
      <c r="C9134" t="s">
        <v>212</v>
      </c>
      <c r="D9134">
        <v>0</v>
      </c>
      <c r="E9134">
        <v>0</v>
      </c>
      <c r="F9134">
        <v>0</v>
      </c>
      <c r="G9134">
        <v>0</v>
      </c>
    </row>
    <row r="9135" spans="1:7">
      <c r="A9135" t="s">
        <v>1876</v>
      </c>
      <c r="B9135" t="s">
        <v>375</v>
      </c>
      <c r="C9135" t="s">
        <v>213</v>
      </c>
      <c r="D9135">
        <v>0</v>
      </c>
      <c r="E9135">
        <v>0</v>
      </c>
      <c r="F9135">
        <v>0</v>
      </c>
      <c r="G9135">
        <v>0</v>
      </c>
    </row>
    <row r="9136" spans="1:7">
      <c r="A9136" t="s">
        <v>1876</v>
      </c>
      <c r="B9136" t="s">
        <v>375</v>
      </c>
      <c r="C9136" t="s">
        <v>214</v>
      </c>
      <c r="D9136">
        <v>0</v>
      </c>
      <c r="E9136">
        <v>0</v>
      </c>
      <c r="F9136">
        <v>0</v>
      </c>
      <c r="G9136">
        <v>0</v>
      </c>
    </row>
    <row r="9137" spans="1:7">
      <c r="A9137" t="s">
        <v>1876</v>
      </c>
      <c r="B9137" t="s">
        <v>375</v>
      </c>
      <c r="C9137" t="s">
        <v>215</v>
      </c>
      <c r="D9137">
        <v>4712</v>
      </c>
      <c r="E9137">
        <v>4733</v>
      </c>
      <c r="F9137">
        <v>5014</v>
      </c>
      <c r="G9137">
        <v>4676</v>
      </c>
    </row>
    <row r="9138" spans="1:7">
      <c r="A9138" t="s">
        <v>1876</v>
      </c>
      <c r="B9138" t="s">
        <v>375</v>
      </c>
      <c r="C9138" t="s">
        <v>216</v>
      </c>
      <c r="D9138">
        <v>4712</v>
      </c>
      <c r="E9138">
        <v>4733</v>
      </c>
      <c r="F9138">
        <v>5014</v>
      </c>
      <c r="G9138">
        <v>4676</v>
      </c>
    </row>
    <row r="9139" spans="1:7">
      <c r="A9139" t="s">
        <v>1876</v>
      </c>
      <c r="B9139" t="s">
        <v>375</v>
      </c>
      <c r="C9139" t="s">
        <v>217</v>
      </c>
      <c r="D9139">
        <v>4712</v>
      </c>
      <c r="E9139">
        <v>4733</v>
      </c>
      <c r="F9139">
        <v>5014</v>
      </c>
      <c r="G9139">
        <v>4676</v>
      </c>
    </row>
    <row r="9140" spans="1:7">
      <c r="A9140" t="s">
        <v>1876</v>
      </c>
      <c r="B9140" t="s">
        <v>375</v>
      </c>
      <c r="C9140" t="s">
        <v>218</v>
      </c>
      <c r="D9140">
        <v>3</v>
      </c>
      <c r="E9140">
        <v>3</v>
      </c>
      <c r="F9140">
        <v>5</v>
      </c>
      <c r="G9140">
        <v>3</v>
      </c>
    </row>
    <row r="9141" spans="1:7">
      <c r="A9141" t="s">
        <v>1876</v>
      </c>
      <c r="B9141" t="s">
        <v>375</v>
      </c>
      <c r="C9141" t="s">
        <v>219</v>
      </c>
      <c r="D9141">
        <v>1</v>
      </c>
      <c r="E9141">
        <v>1</v>
      </c>
      <c r="F9141">
        <v>4</v>
      </c>
      <c r="G9141">
        <v>2</v>
      </c>
    </row>
    <row r="9142" spans="1:7">
      <c r="A9142" t="s">
        <v>1876</v>
      </c>
      <c r="B9142" t="s">
        <v>375</v>
      </c>
      <c r="C9142" t="s">
        <v>220</v>
      </c>
      <c r="D9142">
        <v>7</v>
      </c>
      <c r="E9142">
        <v>7</v>
      </c>
      <c r="F9142">
        <v>12</v>
      </c>
      <c r="G9142">
        <v>9</v>
      </c>
    </row>
    <row r="9143" spans="1:7">
      <c r="A9143" t="s">
        <v>1876</v>
      </c>
      <c r="B9143" t="s">
        <v>375</v>
      </c>
      <c r="C9143" t="s">
        <v>221</v>
      </c>
      <c r="D9143">
        <v>11</v>
      </c>
      <c r="E9143">
        <v>10</v>
      </c>
      <c r="F9143">
        <v>21</v>
      </c>
      <c r="G9143">
        <v>14</v>
      </c>
    </row>
    <row r="9144" spans="1:7">
      <c r="A9144" t="s">
        <v>1876</v>
      </c>
      <c r="B9144" t="s">
        <v>375</v>
      </c>
      <c r="C9144" t="s">
        <v>222</v>
      </c>
      <c r="D9144">
        <v>11</v>
      </c>
      <c r="E9144">
        <v>10</v>
      </c>
      <c r="F9144">
        <v>21</v>
      </c>
      <c r="G9144">
        <v>14</v>
      </c>
    </row>
    <row r="9145" spans="1:7">
      <c r="A9145" t="s">
        <v>1876</v>
      </c>
      <c r="B9145" t="s">
        <v>375</v>
      </c>
      <c r="C9145" t="s">
        <v>1933</v>
      </c>
      <c r="D9145">
        <v>725.7</v>
      </c>
      <c r="E9145">
        <v>729.2</v>
      </c>
      <c r="F9145">
        <v>735.3</v>
      </c>
      <c r="G9145">
        <v>743.1</v>
      </c>
    </row>
    <row r="9146" spans="1:7">
      <c r="A9146" t="s">
        <v>1876</v>
      </c>
      <c r="B9146" t="s">
        <v>375</v>
      </c>
      <c r="C9146" t="s">
        <v>223</v>
      </c>
      <c r="D9146">
        <v>0</v>
      </c>
      <c r="E9146">
        <v>0</v>
      </c>
      <c r="F9146">
        <v>0</v>
      </c>
      <c r="G9146">
        <v>0</v>
      </c>
    </row>
    <row r="9147" spans="1:7">
      <c r="A9147" t="s">
        <v>1876</v>
      </c>
      <c r="B9147" t="s">
        <v>375</v>
      </c>
      <c r="C9147" t="s">
        <v>224</v>
      </c>
      <c r="D9147">
        <v>33158</v>
      </c>
      <c r="E9147">
        <v>37427</v>
      </c>
      <c r="F9147">
        <v>54772</v>
      </c>
      <c r="G9147">
        <v>58479</v>
      </c>
    </row>
    <row r="9148" spans="1:7">
      <c r="A9148" t="s">
        <v>1876</v>
      </c>
      <c r="B9148" t="s">
        <v>375</v>
      </c>
      <c r="C9148" t="s">
        <v>225</v>
      </c>
      <c r="D9148">
        <v>54384</v>
      </c>
      <c r="E9148">
        <v>52305</v>
      </c>
      <c r="F9148">
        <v>61966</v>
      </c>
      <c r="G9148">
        <v>70063</v>
      </c>
    </row>
    <row r="9149" spans="1:7">
      <c r="A9149" t="s">
        <v>1876</v>
      </c>
      <c r="B9149" t="s">
        <v>375</v>
      </c>
      <c r="C9149" t="s">
        <v>226</v>
      </c>
      <c r="D9149">
        <v>23808</v>
      </c>
      <c r="E9149">
        <v>23511</v>
      </c>
      <c r="F9149">
        <v>25569</v>
      </c>
      <c r="G9149">
        <v>25393</v>
      </c>
    </row>
    <row r="9150" spans="1:7">
      <c r="A9150" t="s">
        <v>1876</v>
      </c>
      <c r="B9150" t="s">
        <v>375</v>
      </c>
      <c r="C9150" t="s">
        <v>227</v>
      </c>
      <c r="D9150">
        <v>111350</v>
      </c>
      <c r="E9150">
        <v>113244</v>
      </c>
      <c r="F9150">
        <v>142306</v>
      </c>
      <c r="G9150">
        <v>153935</v>
      </c>
    </row>
    <row r="9151" spans="1:7">
      <c r="A9151" t="s">
        <v>1876</v>
      </c>
      <c r="B9151" t="s">
        <v>375</v>
      </c>
      <c r="C9151" t="s">
        <v>228</v>
      </c>
      <c r="D9151">
        <v>111350</v>
      </c>
      <c r="E9151">
        <v>113244</v>
      </c>
      <c r="F9151">
        <v>142306</v>
      </c>
      <c r="G9151">
        <v>153935</v>
      </c>
    </row>
    <row r="9152" spans="1:7">
      <c r="A9152" t="s">
        <v>1876</v>
      </c>
      <c r="B9152" t="s">
        <v>375</v>
      </c>
      <c r="C9152" t="s">
        <v>229</v>
      </c>
      <c r="D9152">
        <v>583</v>
      </c>
      <c r="E9152">
        <v>629</v>
      </c>
      <c r="F9152">
        <v>467</v>
      </c>
      <c r="G9152">
        <v>447</v>
      </c>
    </row>
    <row r="9153" spans="1:7">
      <c r="A9153" t="s">
        <v>1876</v>
      </c>
      <c r="B9153" t="s">
        <v>375</v>
      </c>
      <c r="C9153" t="s">
        <v>230</v>
      </c>
      <c r="D9153">
        <v>918</v>
      </c>
      <c r="E9153">
        <v>1106</v>
      </c>
      <c r="F9153">
        <v>975</v>
      </c>
      <c r="G9153">
        <v>895</v>
      </c>
    </row>
    <row r="9154" spans="1:7">
      <c r="A9154" t="s">
        <v>1876</v>
      </c>
      <c r="B9154" t="s">
        <v>375</v>
      </c>
      <c r="C9154" t="s">
        <v>231</v>
      </c>
      <c r="D9154">
        <v>1502</v>
      </c>
      <c r="E9154">
        <v>1735</v>
      </c>
      <c r="F9154">
        <v>1442</v>
      </c>
      <c r="G9154">
        <v>1342</v>
      </c>
    </row>
    <row r="9155" spans="1:7">
      <c r="A9155" t="s">
        <v>1876</v>
      </c>
      <c r="B9155" t="s">
        <v>375</v>
      </c>
      <c r="C9155" t="s">
        <v>232</v>
      </c>
      <c r="D9155">
        <v>1502</v>
      </c>
      <c r="E9155">
        <v>1735</v>
      </c>
      <c r="F9155">
        <v>1442</v>
      </c>
      <c r="G9155">
        <v>1342</v>
      </c>
    </row>
    <row r="9156" spans="1:7">
      <c r="A9156" t="s">
        <v>1876</v>
      </c>
      <c r="B9156" t="s">
        <v>375</v>
      </c>
      <c r="C9156" t="s">
        <v>233</v>
      </c>
      <c r="D9156">
        <v>0</v>
      </c>
      <c r="E9156">
        <v>0</v>
      </c>
      <c r="F9156">
        <v>0</v>
      </c>
      <c r="G9156">
        <v>0</v>
      </c>
    </row>
    <row r="9157" spans="1:7">
      <c r="A9157" t="s">
        <v>1876</v>
      </c>
      <c r="B9157" t="s">
        <v>375</v>
      </c>
      <c r="C9157" t="s">
        <v>234</v>
      </c>
      <c r="D9157">
        <v>47191</v>
      </c>
      <c r="E9157">
        <v>46283</v>
      </c>
      <c r="F9157">
        <v>47946</v>
      </c>
      <c r="G9157">
        <v>47832</v>
      </c>
    </row>
    <row r="9158" spans="1:7">
      <c r="A9158" t="s">
        <v>1876</v>
      </c>
      <c r="B9158" t="s">
        <v>375</v>
      </c>
      <c r="C9158" t="s">
        <v>235</v>
      </c>
      <c r="D9158">
        <v>524</v>
      </c>
      <c r="E9158">
        <v>542</v>
      </c>
      <c r="F9158">
        <v>544</v>
      </c>
      <c r="G9158">
        <v>559</v>
      </c>
    </row>
    <row r="9159" spans="1:7">
      <c r="A9159" t="s">
        <v>1876</v>
      </c>
      <c r="B9159" t="s">
        <v>375</v>
      </c>
      <c r="C9159" t="s">
        <v>236</v>
      </c>
      <c r="D9159">
        <v>1718</v>
      </c>
      <c r="E9159">
        <v>1797</v>
      </c>
      <c r="F9159">
        <v>1866</v>
      </c>
      <c r="G9159">
        <v>2731</v>
      </c>
    </row>
    <row r="9160" spans="1:7">
      <c r="A9160" t="s">
        <v>1876</v>
      </c>
      <c r="B9160" t="s">
        <v>375</v>
      </c>
      <c r="C9160" t="s">
        <v>237</v>
      </c>
      <c r="D9160">
        <v>49433</v>
      </c>
      <c r="E9160">
        <v>48622</v>
      </c>
      <c r="F9160">
        <v>50356</v>
      </c>
      <c r="G9160">
        <v>51122</v>
      </c>
    </row>
    <row r="9161" spans="1:7">
      <c r="A9161" t="s">
        <v>1876</v>
      </c>
      <c r="B9161" t="s">
        <v>375</v>
      </c>
      <c r="C9161" t="s">
        <v>238</v>
      </c>
      <c r="D9161">
        <v>49433</v>
      </c>
      <c r="E9161">
        <v>48622</v>
      </c>
      <c r="F9161">
        <v>50356</v>
      </c>
      <c r="G9161">
        <v>51122</v>
      </c>
    </row>
    <row r="9162" spans="1:7">
      <c r="A9162" t="s">
        <v>1876</v>
      </c>
      <c r="B9162" t="s">
        <v>375</v>
      </c>
      <c r="C9162" t="s">
        <v>1934</v>
      </c>
      <c r="D9162">
        <v>43784</v>
      </c>
      <c r="E9162">
        <v>42900</v>
      </c>
      <c r="F9162">
        <v>44409</v>
      </c>
      <c r="G9162">
        <v>44317</v>
      </c>
    </row>
    <row r="9163" spans="1:7">
      <c r="A9163" t="s">
        <v>1876</v>
      </c>
      <c r="B9163" t="s">
        <v>375</v>
      </c>
      <c r="C9163" t="s">
        <v>1935</v>
      </c>
      <c r="D9163">
        <v>487</v>
      </c>
      <c r="E9163">
        <v>502</v>
      </c>
      <c r="F9163">
        <v>504</v>
      </c>
      <c r="G9163">
        <v>518</v>
      </c>
    </row>
    <row r="9164" spans="1:7">
      <c r="A9164" t="s">
        <v>1876</v>
      </c>
      <c r="B9164" t="s">
        <v>375</v>
      </c>
      <c r="C9164" t="s">
        <v>1936</v>
      </c>
      <c r="D9164">
        <v>1594</v>
      </c>
      <c r="E9164">
        <v>1665</v>
      </c>
      <c r="F9164">
        <v>1728</v>
      </c>
      <c r="G9164">
        <v>2531</v>
      </c>
    </row>
    <row r="9165" spans="1:7">
      <c r="A9165" t="s">
        <v>1876</v>
      </c>
      <c r="B9165" t="s">
        <v>375</v>
      </c>
      <c r="C9165" t="s">
        <v>239</v>
      </c>
      <c r="D9165">
        <v>45864</v>
      </c>
      <c r="E9165">
        <v>45068</v>
      </c>
      <c r="F9165">
        <v>46641</v>
      </c>
      <c r="G9165">
        <v>47366</v>
      </c>
    </row>
    <row r="9166" spans="1:7">
      <c r="A9166" t="s">
        <v>1876</v>
      </c>
      <c r="B9166" t="s">
        <v>375</v>
      </c>
      <c r="C9166" t="s">
        <v>240</v>
      </c>
      <c r="D9166">
        <v>0</v>
      </c>
      <c r="E9166">
        <v>0</v>
      </c>
      <c r="F9166">
        <v>0</v>
      </c>
      <c r="G9166">
        <v>0</v>
      </c>
    </row>
    <row r="9167" spans="1:7">
      <c r="A9167" t="s">
        <v>1876</v>
      </c>
      <c r="B9167" t="s">
        <v>375</v>
      </c>
      <c r="C9167" t="s">
        <v>241</v>
      </c>
      <c r="D9167">
        <v>0</v>
      </c>
      <c r="E9167">
        <v>0</v>
      </c>
      <c r="F9167">
        <v>0</v>
      </c>
      <c r="G9167">
        <v>0</v>
      </c>
    </row>
    <row r="9168" spans="1:7">
      <c r="A9168" t="s">
        <v>1876</v>
      </c>
      <c r="B9168" t="s">
        <v>375</v>
      </c>
      <c r="C9168" t="s">
        <v>242</v>
      </c>
      <c r="D9168">
        <v>37953</v>
      </c>
      <c r="E9168">
        <v>36936</v>
      </c>
      <c r="F9168">
        <v>38327</v>
      </c>
      <c r="G9168">
        <v>42653</v>
      </c>
    </row>
    <row r="9169" spans="1:7">
      <c r="A9169" t="s">
        <v>1876</v>
      </c>
      <c r="B9169" t="s">
        <v>375</v>
      </c>
      <c r="C9169" t="s">
        <v>243</v>
      </c>
      <c r="D9169">
        <v>14828</v>
      </c>
      <c r="E9169">
        <v>18127</v>
      </c>
      <c r="F9169">
        <v>17268</v>
      </c>
      <c r="G9169">
        <v>16365</v>
      </c>
    </row>
    <row r="9170" spans="1:7">
      <c r="A9170" t="s">
        <v>1876</v>
      </c>
      <c r="B9170" t="s">
        <v>375</v>
      </c>
      <c r="C9170" t="s">
        <v>244</v>
      </c>
      <c r="D9170">
        <v>16405</v>
      </c>
      <c r="E9170">
        <v>14448</v>
      </c>
      <c r="F9170">
        <v>30210</v>
      </c>
      <c r="G9170">
        <v>26866</v>
      </c>
    </row>
    <row r="9171" spans="1:7">
      <c r="A9171" t="s">
        <v>1876</v>
      </c>
      <c r="B9171" t="s">
        <v>375</v>
      </c>
      <c r="C9171" t="s">
        <v>1709</v>
      </c>
      <c r="D9171">
        <v>561</v>
      </c>
      <c r="E9171">
        <v>561</v>
      </c>
      <c r="F9171">
        <v>658</v>
      </c>
      <c r="G9171">
        <v>746</v>
      </c>
    </row>
    <row r="9172" spans="1:7">
      <c r="A9172" t="s">
        <v>1876</v>
      </c>
      <c r="B9172" t="s">
        <v>375</v>
      </c>
      <c r="C9172" t="s">
        <v>245</v>
      </c>
      <c r="D9172">
        <v>115570</v>
      </c>
      <c r="E9172">
        <v>120020</v>
      </c>
      <c r="F9172">
        <v>125387</v>
      </c>
      <c r="G9172">
        <v>119163</v>
      </c>
    </row>
    <row r="9173" spans="1:7">
      <c r="A9173" t="s">
        <v>1876</v>
      </c>
      <c r="B9173" t="s">
        <v>375</v>
      </c>
      <c r="C9173" t="s">
        <v>246</v>
      </c>
      <c r="D9173">
        <v>11939</v>
      </c>
      <c r="E9173">
        <v>14803</v>
      </c>
      <c r="F9173">
        <v>13730</v>
      </c>
      <c r="G9173">
        <v>12387</v>
      </c>
    </row>
    <row r="9174" spans="1:7">
      <c r="A9174" t="s">
        <v>1876</v>
      </c>
      <c r="B9174" t="s">
        <v>375</v>
      </c>
      <c r="C9174" t="s">
        <v>247</v>
      </c>
      <c r="D9174">
        <v>196695</v>
      </c>
      <c r="E9174">
        <v>204334</v>
      </c>
      <c r="F9174">
        <v>224922</v>
      </c>
      <c r="G9174">
        <v>217434</v>
      </c>
    </row>
    <row r="9175" spans="1:7">
      <c r="A9175" t="s">
        <v>1876</v>
      </c>
      <c r="B9175" t="s">
        <v>375</v>
      </c>
      <c r="C9175" t="s">
        <v>248</v>
      </c>
      <c r="D9175">
        <v>252.8</v>
      </c>
      <c r="E9175">
        <v>261.89999999999998</v>
      </c>
      <c r="F9175">
        <v>285.8</v>
      </c>
      <c r="G9175">
        <v>274.10000000000002</v>
      </c>
    </row>
    <row r="9176" spans="1:7">
      <c r="A9176" t="s">
        <v>1876</v>
      </c>
      <c r="B9176" t="s">
        <v>375</v>
      </c>
      <c r="C9176" t="s">
        <v>249</v>
      </c>
      <c r="D9176">
        <v>180290</v>
      </c>
      <c r="E9176">
        <v>189886</v>
      </c>
      <c r="F9176">
        <v>194711</v>
      </c>
      <c r="G9176">
        <v>190568</v>
      </c>
    </row>
    <row r="9177" spans="1:7">
      <c r="A9177" t="s">
        <v>1876</v>
      </c>
      <c r="B9177" t="s">
        <v>375</v>
      </c>
      <c r="C9177" t="s">
        <v>250</v>
      </c>
      <c r="D9177">
        <v>191168</v>
      </c>
      <c r="E9177">
        <v>198986</v>
      </c>
      <c r="F9177">
        <v>220823</v>
      </c>
      <c r="G9177">
        <v>212767</v>
      </c>
    </row>
    <row r="9178" spans="1:7">
      <c r="A9178" t="s">
        <v>1876</v>
      </c>
      <c r="B9178" t="s">
        <v>375</v>
      </c>
      <c r="C9178" t="s">
        <v>1937</v>
      </c>
      <c r="D9178">
        <v>29.8</v>
      </c>
      <c r="E9178">
        <v>24.4</v>
      </c>
      <c r="F9178">
        <v>42</v>
      </c>
      <c r="G9178">
        <v>40.6</v>
      </c>
    </row>
    <row r="9179" spans="1:7">
      <c r="A9179" t="s">
        <v>1876</v>
      </c>
      <c r="B9179" t="s">
        <v>375</v>
      </c>
      <c r="C9179" t="s">
        <v>1938</v>
      </c>
      <c r="D9179">
        <v>0</v>
      </c>
      <c r="E9179">
        <v>0</v>
      </c>
      <c r="F9179">
        <v>0</v>
      </c>
      <c r="G9179">
        <v>0</v>
      </c>
    </row>
    <row r="9180" spans="1:7">
      <c r="A9180" t="s">
        <v>1876</v>
      </c>
      <c r="B9180" t="s">
        <v>375</v>
      </c>
      <c r="C9180" t="s">
        <v>251</v>
      </c>
      <c r="D9180">
        <v>0</v>
      </c>
      <c r="E9180">
        <v>0</v>
      </c>
      <c r="F9180">
        <v>0</v>
      </c>
      <c r="G9180">
        <v>0</v>
      </c>
    </row>
    <row r="9181" spans="1:7">
      <c r="A9181" t="s">
        <v>1876</v>
      </c>
      <c r="B9181" t="s">
        <v>375</v>
      </c>
      <c r="C9181" t="s">
        <v>252</v>
      </c>
      <c r="D9181">
        <v>0</v>
      </c>
      <c r="E9181">
        <v>0</v>
      </c>
      <c r="F9181">
        <v>0</v>
      </c>
      <c r="G9181">
        <v>0</v>
      </c>
    </row>
    <row r="9182" spans="1:7">
      <c r="A9182" t="s">
        <v>1876</v>
      </c>
      <c r="B9182" t="s">
        <v>375</v>
      </c>
      <c r="C9182" t="s">
        <v>1710</v>
      </c>
      <c r="D9182">
        <v>0</v>
      </c>
      <c r="E9182">
        <v>0</v>
      </c>
      <c r="F9182">
        <v>0</v>
      </c>
      <c r="G9182">
        <v>0</v>
      </c>
    </row>
    <row r="9183" spans="1:7">
      <c r="A9183" t="s">
        <v>1876</v>
      </c>
      <c r="B9183" t="s">
        <v>375</v>
      </c>
      <c r="C9183" t="s">
        <v>1939</v>
      </c>
      <c r="D9183">
        <v>0</v>
      </c>
      <c r="E9183">
        <v>0</v>
      </c>
      <c r="F9183">
        <v>15.6</v>
      </c>
      <c r="G9183">
        <v>23.7</v>
      </c>
    </row>
    <row r="9184" spans="1:7">
      <c r="A9184" t="s">
        <v>1876</v>
      </c>
      <c r="B9184" t="s">
        <v>375</v>
      </c>
      <c r="C9184" t="s">
        <v>253</v>
      </c>
      <c r="D9184">
        <v>0</v>
      </c>
      <c r="E9184">
        <v>0</v>
      </c>
      <c r="F9184">
        <v>0</v>
      </c>
      <c r="G9184">
        <v>0</v>
      </c>
    </row>
    <row r="9185" spans="1:7">
      <c r="A9185" t="s">
        <v>1876</v>
      </c>
      <c r="B9185" t="s">
        <v>375</v>
      </c>
      <c r="C9185" t="s">
        <v>1711</v>
      </c>
      <c r="D9185">
        <v>8</v>
      </c>
      <c r="E9185">
        <v>6</v>
      </c>
      <c r="F9185">
        <v>8</v>
      </c>
      <c r="G9185">
        <v>8</v>
      </c>
    </row>
    <row r="9186" spans="1:7">
      <c r="A9186" t="s">
        <v>1876</v>
      </c>
      <c r="B9186" t="s">
        <v>375</v>
      </c>
      <c r="C9186" t="s">
        <v>1712</v>
      </c>
      <c r="D9186">
        <v>6220</v>
      </c>
      <c r="E9186">
        <v>6048</v>
      </c>
      <c r="F9186">
        <v>5929</v>
      </c>
      <c r="G9186">
        <v>5735</v>
      </c>
    </row>
    <row r="9187" spans="1:7">
      <c r="A9187" t="s">
        <v>1876</v>
      </c>
      <c r="B9187" t="s">
        <v>375</v>
      </c>
      <c r="C9187" t="s">
        <v>1713</v>
      </c>
      <c r="D9187">
        <v>631</v>
      </c>
      <c r="E9187">
        <v>616</v>
      </c>
      <c r="F9187">
        <v>912</v>
      </c>
      <c r="G9187">
        <v>955</v>
      </c>
    </row>
    <row r="9188" spans="1:7">
      <c r="A9188" t="s">
        <v>1876</v>
      </c>
      <c r="B9188" t="s">
        <v>375</v>
      </c>
      <c r="C9188" t="s">
        <v>1940</v>
      </c>
      <c r="D9188">
        <v>0</v>
      </c>
      <c r="E9188">
        <v>0</v>
      </c>
      <c r="F9188">
        <v>0</v>
      </c>
      <c r="G9188">
        <v>0</v>
      </c>
    </row>
    <row r="9189" spans="1:7">
      <c r="A9189" t="s">
        <v>1876</v>
      </c>
      <c r="B9189" t="s">
        <v>375</v>
      </c>
      <c r="C9189" t="s">
        <v>1941</v>
      </c>
      <c r="D9189">
        <v>0</v>
      </c>
      <c r="E9189">
        <v>0</v>
      </c>
      <c r="F9189">
        <v>0</v>
      </c>
      <c r="G9189">
        <v>0</v>
      </c>
    </row>
    <row r="9190" spans="1:7">
      <c r="A9190" t="s">
        <v>1876</v>
      </c>
      <c r="B9190" t="s">
        <v>375</v>
      </c>
      <c r="C9190" t="s">
        <v>254</v>
      </c>
      <c r="D9190">
        <v>6220</v>
      </c>
      <c r="E9190">
        <v>6048</v>
      </c>
      <c r="F9190">
        <v>5929</v>
      </c>
      <c r="G9190">
        <v>5735</v>
      </c>
    </row>
    <row r="9191" spans="1:7">
      <c r="A9191" t="s">
        <v>1876</v>
      </c>
      <c r="B9191" t="s">
        <v>375</v>
      </c>
      <c r="C9191" t="s">
        <v>1942</v>
      </c>
      <c r="D9191">
        <v>0</v>
      </c>
      <c r="E9191">
        <v>0</v>
      </c>
      <c r="F9191">
        <v>0</v>
      </c>
      <c r="G9191">
        <v>0</v>
      </c>
    </row>
    <row r="9192" spans="1:7">
      <c r="A9192" t="s">
        <v>1876</v>
      </c>
      <c r="B9192" t="s">
        <v>375</v>
      </c>
      <c r="C9192" t="s">
        <v>255</v>
      </c>
      <c r="D9192">
        <v>6851</v>
      </c>
      <c r="E9192">
        <v>6665</v>
      </c>
      <c r="F9192">
        <v>6841</v>
      </c>
      <c r="G9192">
        <v>6690</v>
      </c>
    </row>
    <row r="9193" spans="1:7">
      <c r="A9193" t="s">
        <v>1876</v>
      </c>
      <c r="B9193" t="s">
        <v>375</v>
      </c>
      <c r="C9193" t="s">
        <v>256</v>
      </c>
      <c r="D9193">
        <v>6851</v>
      </c>
      <c r="E9193">
        <v>6665</v>
      </c>
      <c r="F9193">
        <v>6841</v>
      </c>
      <c r="G9193">
        <v>6690</v>
      </c>
    </row>
    <row r="9194" spans="1:7">
      <c r="A9194" t="s">
        <v>1876</v>
      </c>
      <c r="B9194" t="s">
        <v>375</v>
      </c>
      <c r="C9194" t="s">
        <v>1714</v>
      </c>
      <c r="D9194">
        <v>5</v>
      </c>
      <c r="E9194">
        <v>5</v>
      </c>
      <c r="F9194">
        <v>5</v>
      </c>
      <c r="G9194">
        <v>5</v>
      </c>
    </row>
    <row r="9195" spans="1:7">
      <c r="A9195" t="s">
        <v>1876</v>
      </c>
      <c r="B9195" t="s">
        <v>375</v>
      </c>
      <c r="C9195" t="s">
        <v>257</v>
      </c>
      <c r="D9195">
        <v>15405</v>
      </c>
      <c r="E9195">
        <v>15329</v>
      </c>
      <c r="F9195">
        <v>15027</v>
      </c>
      <c r="G9195">
        <v>11790</v>
      </c>
    </row>
    <row r="9196" spans="1:7">
      <c r="A9196" t="s">
        <v>1876</v>
      </c>
      <c r="B9196" t="s">
        <v>375</v>
      </c>
      <c r="C9196" t="s">
        <v>258</v>
      </c>
      <c r="D9196">
        <v>16869</v>
      </c>
      <c r="E9196">
        <v>16830</v>
      </c>
      <c r="F9196">
        <v>16658</v>
      </c>
      <c r="G9196">
        <v>13457</v>
      </c>
    </row>
    <row r="9197" spans="1:7">
      <c r="A9197" t="s">
        <v>1876</v>
      </c>
      <c r="B9197" t="s">
        <v>375</v>
      </c>
      <c r="C9197" t="s">
        <v>259</v>
      </c>
      <c r="D9197">
        <v>16869</v>
      </c>
      <c r="E9197">
        <v>16830</v>
      </c>
      <c r="F9197">
        <v>16658</v>
      </c>
      <c r="G9197">
        <v>13457</v>
      </c>
    </row>
    <row r="9198" spans="1:7">
      <c r="A9198" t="s">
        <v>1876</v>
      </c>
      <c r="B9198" t="s">
        <v>375</v>
      </c>
      <c r="C9198" t="s">
        <v>260</v>
      </c>
      <c r="D9198">
        <v>98086</v>
      </c>
      <c r="E9198">
        <v>98848</v>
      </c>
      <c r="F9198">
        <v>100888</v>
      </c>
      <c r="G9198">
        <v>99041</v>
      </c>
    </row>
    <row r="9199" spans="1:7">
      <c r="A9199" t="s">
        <v>1876</v>
      </c>
      <c r="B9199" t="s">
        <v>375</v>
      </c>
      <c r="C9199" t="s">
        <v>1943</v>
      </c>
      <c r="D9199">
        <v>0.4</v>
      </c>
      <c r="E9199">
        <v>0.2</v>
      </c>
      <c r="F9199">
        <v>0.2</v>
      </c>
      <c r="G9199">
        <v>0.1</v>
      </c>
    </row>
    <row r="9200" spans="1:7">
      <c r="A9200" t="s">
        <v>1876</v>
      </c>
      <c r="B9200" t="s">
        <v>375</v>
      </c>
      <c r="C9200" t="s">
        <v>261</v>
      </c>
      <c r="D9200">
        <v>6131</v>
      </c>
      <c r="E9200">
        <v>5864</v>
      </c>
      <c r="F9200">
        <v>5967</v>
      </c>
      <c r="G9200">
        <v>5385</v>
      </c>
    </row>
    <row r="9201" spans="1:7">
      <c r="A9201" t="s">
        <v>1876</v>
      </c>
      <c r="B9201" t="s">
        <v>375</v>
      </c>
      <c r="C9201" t="s">
        <v>262</v>
      </c>
      <c r="D9201">
        <v>390</v>
      </c>
      <c r="E9201">
        <v>350</v>
      </c>
      <c r="F9201">
        <v>624</v>
      </c>
      <c r="G9201">
        <v>516</v>
      </c>
    </row>
    <row r="9202" spans="1:7">
      <c r="A9202" t="s">
        <v>1876</v>
      </c>
      <c r="B9202" t="s">
        <v>375</v>
      </c>
      <c r="C9202" t="s">
        <v>1715</v>
      </c>
      <c r="D9202">
        <v>63</v>
      </c>
      <c r="E9202">
        <v>60</v>
      </c>
      <c r="F9202">
        <v>58</v>
      </c>
      <c r="G9202">
        <v>58</v>
      </c>
    </row>
    <row r="9203" spans="1:7">
      <c r="A9203" t="s">
        <v>1876</v>
      </c>
      <c r="B9203" t="s">
        <v>375</v>
      </c>
      <c r="C9203" t="s">
        <v>263</v>
      </c>
      <c r="D9203">
        <v>61827</v>
      </c>
      <c r="E9203">
        <v>62875</v>
      </c>
      <c r="F9203">
        <v>61301</v>
      </c>
      <c r="G9203">
        <v>57670</v>
      </c>
    </row>
    <row r="9204" spans="1:7">
      <c r="A9204" t="s">
        <v>1876</v>
      </c>
      <c r="B9204" t="s">
        <v>375</v>
      </c>
      <c r="C9204" t="s">
        <v>264</v>
      </c>
      <c r="D9204">
        <v>7068</v>
      </c>
      <c r="E9204">
        <v>7226</v>
      </c>
      <c r="F9204">
        <v>7046</v>
      </c>
      <c r="G9204">
        <v>6426</v>
      </c>
    </row>
    <row r="9205" spans="1:7">
      <c r="A9205" t="s">
        <v>1876</v>
      </c>
      <c r="B9205" t="s">
        <v>375</v>
      </c>
      <c r="C9205" t="s">
        <v>265</v>
      </c>
      <c r="D9205">
        <v>173500</v>
      </c>
      <c r="E9205">
        <v>175162</v>
      </c>
      <c r="F9205">
        <v>175825</v>
      </c>
      <c r="G9205">
        <v>169038</v>
      </c>
    </row>
    <row r="9206" spans="1:7">
      <c r="A9206" t="s">
        <v>1876</v>
      </c>
      <c r="B9206" t="s">
        <v>375</v>
      </c>
      <c r="C9206" t="s">
        <v>266</v>
      </c>
      <c r="D9206">
        <v>223</v>
      </c>
      <c r="E9206">
        <v>224.5</v>
      </c>
      <c r="F9206">
        <v>223.4</v>
      </c>
      <c r="G9206">
        <v>213.1</v>
      </c>
    </row>
    <row r="9207" spans="1:7">
      <c r="A9207" t="s">
        <v>1876</v>
      </c>
      <c r="B9207" t="s">
        <v>375</v>
      </c>
      <c r="C9207" t="s">
        <v>267</v>
      </c>
      <c r="D9207">
        <v>173111</v>
      </c>
      <c r="E9207">
        <v>174812</v>
      </c>
      <c r="F9207">
        <v>175201</v>
      </c>
      <c r="G9207">
        <v>168522</v>
      </c>
    </row>
    <row r="9208" spans="1:7">
      <c r="A9208" t="s">
        <v>1876</v>
      </c>
      <c r="B9208" t="s">
        <v>375</v>
      </c>
      <c r="C9208" t="s">
        <v>268</v>
      </c>
      <c r="D9208">
        <v>0</v>
      </c>
      <c r="E9208">
        <v>0</v>
      </c>
      <c r="F9208">
        <v>0</v>
      </c>
      <c r="G9208">
        <v>0</v>
      </c>
    </row>
    <row r="9209" spans="1:7">
      <c r="A9209" t="s">
        <v>1876</v>
      </c>
      <c r="B9209" t="s">
        <v>375</v>
      </c>
      <c r="C9209" t="s">
        <v>269</v>
      </c>
      <c r="D9209">
        <v>0</v>
      </c>
      <c r="E9209">
        <v>0</v>
      </c>
      <c r="F9209">
        <v>0</v>
      </c>
      <c r="G9209">
        <v>0</v>
      </c>
    </row>
    <row r="9210" spans="1:7">
      <c r="A9210" t="s">
        <v>1876</v>
      </c>
      <c r="B9210" t="s">
        <v>375</v>
      </c>
      <c r="C9210" t="s">
        <v>270</v>
      </c>
      <c r="D9210">
        <v>2540</v>
      </c>
      <c r="E9210">
        <v>2420</v>
      </c>
      <c r="F9210">
        <v>2458</v>
      </c>
      <c r="G9210">
        <v>874</v>
      </c>
    </row>
    <row r="9211" spans="1:7">
      <c r="A9211" t="s">
        <v>1876</v>
      </c>
      <c r="B9211" t="s">
        <v>375</v>
      </c>
      <c r="C9211" t="s">
        <v>271</v>
      </c>
      <c r="D9211">
        <v>2540</v>
      </c>
      <c r="E9211">
        <v>2420</v>
      </c>
      <c r="F9211">
        <v>2458</v>
      </c>
      <c r="G9211">
        <v>874</v>
      </c>
    </row>
    <row r="9212" spans="1:7">
      <c r="A9212" t="s">
        <v>1876</v>
      </c>
      <c r="B9212" t="s">
        <v>375</v>
      </c>
      <c r="C9212" t="s">
        <v>272</v>
      </c>
      <c r="D9212">
        <v>2540</v>
      </c>
      <c r="E9212">
        <v>2420</v>
      </c>
      <c r="F9212">
        <v>2458</v>
      </c>
      <c r="G9212">
        <v>874</v>
      </c>
    </row>
    <row r="9213" spans="1:7">
      <c r="A9213" t="s">
        <v>1876</v>
      </c>
      <c r="B9213" t="s">
        <v>375</v>
      </c>
      <c r="C9213" t="s">
        <v>1944</v>
      </c>
      <c r="D9213">
        <v>0.4</v>
      </c>
      <c r="E9213">
        <v>0.6</v>
      </c>
      <c r="F9213">
        <v>0.7</v>
      </c>
      <c r="G9213">
        <v>1</v>
      </c>
    </row>
    <row r="9214" spans="1:7">
      <c r="A9214" t="s">
        <v>1876</v>
      </c>
      <c r="B9214" t="s">
        <v>375</v>
      </c>
      <c r="C9214" t="s">
        <v>1945</v>
      </c>
      <c r="D9214">
        <v>1</v>
      </c>
      <c r="E9214">
        <v>1</v>
      </c>
      <c r="F9214">
        <v>2</v>
      </c>
      <c r="G9214">
        <v>3</v>
      </c>
    </row>
    <row r="9215" spans="1:7">
      <c r="A9215" t="s">
        <v>1876</v>
      </c>
      <c r="B9215" t="s">
        <v>375</v>
      </c>
      <c r="C9215" t="s">
        <v>273</v>
      </c>
      <c r="D9215">
        <v>0</v>
      </c>
      <c r="E9215">
        <v>0</v>
      </c>
      <c r="F9215">
        <v>0</v>
      </c>
      <c r="G9215">
        <v>0</v>
      </c>
    </row>
    <row r="9216" spans="1:7">
      <c r="A9216" t="s">
        <v>1876</v>
      </c>
      <c r="B9216" t="s">
        <v>375</v>
      </c>
      <c r="C9216" t="s">
        <v>1946</v>
      </c>
      <c r="D9216">
        <v>93581</v>
      </c>
      <c r="E9216">
        <v>94414</v>
      </c>
      <c r="F9216">
        <v>95901</v>
      </c>
      <c r="G9216">
        <v>94055</v>
      </c>
    </row>
    <row r="9217" spans="1:7">
      <c r="A9217" t="s">
        <v>1876</v>
      </c>
      <c r="B9217" t="s">
        <v>375</v>
      </c>
      <c r="C9217" t="s">
        <v>1947</v>
      </c>
      <c r="D9217">
        <v>6093</v>
      </c>
      <c r="E9217">
        <v>5824</v>
      </c>
      <c r="F9217">
        <v>5927</v>
      </c>
      <c r="G9217">
        <v>5344</v>
      </c>
    </row>
    <row r="9218" spans="1:7">
      <c r="A9218" t="s">
        <v>1876</v>
      </c>
      <c r="B9218" t="s">
        <v>375</v>
      </c>
      <c r="C9218" t="s">
        <v>1948</v>
      </c>
      <c r="D9218">
        <v>390</v>
      </c>
      <c r="E9218">
        <v>350</v>
      </c>
      <c r="F9218">
        <v>624</v>
      </c>
      <c r="G9218">
        <v>516</v>
      </c>
    </row>
    <row r="9219" spans="1:7">
      <c r="A9219" t="s">
        <v>1876</v>
      </c>
      <c r="B9219" t="s">
        <v>375</v>
      </c>
      <c r="C9219" t="s">
        <v>1949</v>
      </c>
      <c r="D9219">
        <v>61703</v>
      </c>
      <c r="E9219">
        <v>62743</v>
      </c>
      <c r="F9219">
        <v>61163</v>
      </c>
      <c r="G9219">
        <v>57469</v>
      </c>
    </row>
    <row r="9220" spans="1:7">
      <c r="A9220" t="s">
        <v>1876</v>
      </c>
      <c r="B9220" t="s">
        <v>375</v>
      </c>
      <c r="C9220" t="s">
        <v>1950</v>
      </c>
      <c r="D9220">
        <v>7068</v>
      </c>
      <c r="E9220">
        <v>7226</v>
      </c>
      <c r="F9220">
        <v>7046</v>
      </c>
      <c r="G9220">
        <v>6426</v>
      </c>
    </row>
    <row r="9221" spans="1:7">
      <c r="A9221" t="s">
        <v>1876</v>
      </c>
      <c r="B9221" t="s">
        <v>375</v>
      </c>
      <c r="C9221" t="s">
        <v>274</v>
      </c>
      <c r="D9221">
        <v>168833</v>
      </c>
      <c r="E9221">
        <v>170557</v>
      </c>
      <c r="F9221">
        <v>170660</v>
      </c>
      <c r="G9221">
        <v>163810</v>
      </c>
    </row>
    <row r="9222" spans="1:7">
      <c r="A9222" t="s">
        <v>1876</v>
      </c>
      <c r="B9222" t="s">
        <v>375</v>
      </c>
      <c r="C9222" t="s">
        <v>275</v>
      </c>
      <c r="D9222">
        <v>0</v>
      </c>
      <c r="E9222">
        <v>0</v>
      </c>
      <c r="F9222">
        <v>0</v>
      </c>
      <c r="G9222">
        <v>0</v>
      </c>
    </row>
    <row r="9223" spans="1:7">
      <c r="A9223" t="s">
        <v>1876</v>
      </c>
      <c r="B9223" t="s">
        <v>375</v>
      </c>
      <c r="C9223" t="s">
        <v>276</v>
      </c>
      <c r="D9223">
        <v>0</v>
      </c>
      <c r="E9223">
        <v>0</v>
      </c>
      <c r="F9223">
        <v>0</v>
      </c>
      <c r="G9223">
        <v>0</v>
      </c>
    </row>
    <row r="9224" spans="1:7">
      <c r="A9224" t="s">
        <v>1876</v>
      </c>
      <c r="B9224" t="s">
        <v>375</v>
      </c>
      <c r="C9224" t="s">
        <v>277</v>
      </c>
      <c r="D9224">
        <v>25</v>
      </c>
      <c r="E9224">
        <v>22</v>
      </c>
      <c r="F9224">
        <v>10</v>
      </c>
      <c r="G9224">
        <v>38</v>
      </c>
    </row>
    <row r="9225" spans="1:7">
      <c r="A9225" t="s">
        <v>1876</v>
      </c>
      <c r="B9225" t="s">
        <v>375</v>
      </c>
      <c r="C9225" t="s">
        <v>278</v>
      </c>
      <c r="D9225">
        <v>2332</v>
      </c>
      <c r="E9225">
        <v>1684</v>
      </c>
      <c r="F9225">
        <v>1830</v>
      </c>
      <c r="G9225">
        <v>1608</v>
      </c>
    </row>
    <row r="9226" spans="1:7">
      <c r="A9226" t="s">
        <v>1876</v>
      </c>
      <c r="B9226" t="s">
        <v>375</v>
      </c>
      <c r="C9226" t="s">
        <v>279</v>
      </c>
      <c r="D9226">
        <v>2675</v>
      </c>
      <c r="E9226">
        <v>3263</v>
      </c>
      <c r="F9226">
        <v>2941</v>
      </c>
      <c r="G9226">
        <v>2909</v>
      </c>
    </row>
    <row r="9227" spans="1:7">
      <c r="A9227" t="s">
        <v>1876</v>
      </c>
      <c r="B9227" t="s">
        <v>375</v>
      </c>
      <c r="C9227" t="s">
        <v>280</v>
      </c>
      <c r="D9227">
        <v>6220</v>
      </c>
      <c r="E9227">
        <v>6273</v>
      </c>
      <c r="F9227">
        <v>6100</v>
      </c>
      <c r="G9227">
        <v>5600</v>
      </c>
    </row>
    <row r="9228" spans="1:7">
      <c r="A9228" t="s">
        <v>1876</v>
      </c>
      <c r="B9228" t="s">
        <v>375</v>
      </c>
      <c r="C9228" t="s">
        <v>281</v>
      </c>
      <c r="D9228">
        <v>11252</v>
      </c>
      <c r="E9228">
        <v>11242</v>
      </c>
      <c r="F9228">
        <v>10881</v>
      </c>
      <c r="G9228">
        <v>10155</v>
      </c>
    </row>
    <row r="9229" spans="1:7">
      <c r="A9229" t="s">
        <v>1876</v>
      </c>
      <c r="B9229" t="s">
        <v>375</v>
      </c>
      <c r="C9229" t="s">
        <v>282</v>
      </c>
      <c r="D9229">
        <v>11252</v>
      </c>
      <c r="E9229">
        <v>11242</v>
      </c>
      <c r="F9229">
        <v>10881</v>
      </c>
      <c r="G9229">
        <v>10155</v>
      </c>
    </row>
    <row r="9230" spans="1:7">
      <c r="A9230" t="s">
        <v>1876</v>
      </c>
      <c r="B9230" t="s">
        <v>375</v>
      </c>
      <c r="C9230" t="s">
        <v>283</v>
      </c>
      <c r="D9230">
        <v>0</v>
      </c>
      <c r="E9230">
        <v>0</v>
      </c>
      <c r="F9230">
        <v>0</v>
      </c>
      <c r="G9230">
        <v>0</v>
      </c>
    </row>
    <row r="9231" spans="1:7">
      <c r="A9231" t="s">
        <v>1876</v>
      </c>
      <c r="B9231" t="s">
        <v>375</v>
      </c>
      <c r="C9231" t="s">
        <v>284</v>
      </c>
      <c r="D9231">
        <v>0</v>
      </c>
      <c r="E9231">
        <v>0</v>
      </c>
      <c r="F9231">
        <v>0</v>
      </c>
      <c r="G9231">
        <v>0</v>
      </c>
    </row>
    <row r="9232" spans="1:7">
      <c r="A9232" t="s">
        <v>1876</v>
      </c>
      <c r="B9232" t="s">
        <v>375</v>
      </c>
      <c r="C9232" t="s">
        <v>1716</v>
      </c>
      <c r="D9232">
        <v>4505</v>
      </c>
      <c r="E9232">
        <v>4434</v>
      </c>
      <c r="F9232">
        <v>4987</v>
      </c>
      <c r="G9232">
        <v>4986</v>
      </c>
    </row>
    <row r="9233" spans="1:7">
      <c r="A9233" t="s">
        <v>1876</v>
      </c>
      <c r="B9233" t="s">
        <v>375</v>
      </c>
      <c r="C9233" t="s">
        <v>1717</v>
      </c>
      <c r="D9233">
        <v>584</v>
      </c>
      <c r="E9233">
        <v>612</v>
      </c>
      <c r="F9233">
        <v>556</v>
      </c>
      <c r="G9233">
        <v>554</v>
      </c>
    </row>
    <row r="9234" spans="1:7">
      <c r="A9234" t="s">
        <v>1876</v>
      </c>
      <c r="B9234" t="s">
        <v>375</v>
      </c>
      <c r="C9234" t="s">
        <v>1718</v>
      </c>
      <c r="D9234">
        <v>57744</v>
      </c>
      <c r="E9234">
        <v>61557</v>
      </c>
      <c r="F9234">
        <v>56625</v>
      </c>
      <c r="G9234">
        <v>57401</v>
      </c>
    </row>
    <row r="9235" spans="1:7">
      <c r="A9235" t="s">
        <v>1876</v>
      </c>
      <c r="B9235" t="s">
        <v>375</v>
      </c>
      <c r="C9235" t="s">
        <v>1719</v>
      </c>
      <c r="D9235">
        <v>4847</v>
      </c>
      <c r="E9235">
        <v>4846</v>
      </c>
      <c r="F9235">
        <v>4840</v>
      </c>
      <c r="G9235">
        <v>5034</v>
      </c>
    </row>
    <row r="9236" spans="1:7">
      <c r="A9236" t="s">
        <v>1876</v>
      </c>
      <c r="B9236" t="s">
        <v>375</v>
      </c>
      <c r="C9236" t="s">
        <v>1720</v>
      </c>
      <c r="D9236">
        <v>28770</v>
      </c>
      <c r="E9236">
        <v>28063</v>
      </c>
      <c r="F9236">
        <v>29108</v>
      </c>
      <c r="G9236">
        <v>29426</v>
      </c>
    </row>
    <row r="9237" spans="1:7">
      <c r="A9237" t="s">
        <v>1876</v>
      </c>
      <c r="B9237" t="s">
        <v>375</v>
      </c>
      <c r="C9237" t="s">
        <v>1721</v>
      </c>
      <c r="D9237">
        <v>1049</v>
      </c>
      <c r="E9237">
        <v>1361</v>
      </c>
      <c r="F9237">
        <v>915</v>
      </c>
      <c r="G9237">
        <v>874</v>
      </c>
    </row>
    <row r="9238" spans="1:7">
      <c r="A9238" t="s">
        <v>1876</v>
      </c>
      <c r="B9238" t="s">
        <v>375</v>
      </c>
      <c r="C9238" t="s">
        <v>285</v>
      </c>
      <c r="D9238">
        <v>92653</v>
      </c>
      <c r="E9238">
        <v>96027</v>
      </c>
      <c r="F9238">
        <v>92190</v>
      </c>
      <c r="G9238">
        <v>93240</v>
      </c>
    </row>
    <row r="9239" spans="1:7">
      <c r="A9239" t="s">
        <v>1876</v>
      </c>
      <c r="B9239" t="s">
        <v>375</v>
      </c>
      <c r="C9239" t="s">
        <v>1951</v>
      </c>
      <c r="D9239">
        <v>14.2</v>
      </c>
      <c r="E9239">
        <v>14.2</v>
      </c>
      <c r="F9239">
        <v>13.1</v>
      </c>
      <c r="G9239">
        <v>13</v>
      </c>
    </row>
    <row r="9240" spans="1:7">
      <c r="A9240" t="s">
        <v>1876</v>
      </c>
      <c r="B9240" t="s">
        <v>375</v>
      </c>
      <c r="C9240" t="s">
        <v>286</v>
      </c>
      <c r="D9240">
        <v>0</v>
      </c>
      <c r="E9240">
        <v>0</v>
      </c>
      <c r="F9240">
        <v>0</v>
      </c>
      <c r="G9240">
        <v>0</v>
      </c>
    </row>
    <row r="9241" spans="1:7">
      <c r="A9241" t="s">
        <v>1876</v>
      </c>
      <c r="B9241" t="s">
        <v>375</v>
      </c>
      <c r="C9241" t="s">
        <v>287</v>
      </c>
      <c r="D9241">
        <v>0</v>
      </c>
      <c r="E9241">
        <v>0</v>
      </c>
      <c r="F9241">
        <v>0</v>
      </c>
      <c r="G9241">
        <v>0</v>
      </c>
    </row>
    <row r="9242" spans="1:7">
      <c r="A9242" t="s">
        <v>1876</v>
      </c>
      <c r="B9242" t="s">
        <v>375</v>
      </c>
      <c r="C9242" t="s">
        <v>288</v>
      </c>
      <c r="D9242">
        <v>0</v>
      </c>
      <c r="E9242">
        <v>0</v>
      </c>
      <c r="F9242">
        <v>0</v>
      </c>
      <c r="G9242">
        <v>0</v>
      </c>
    </row>
    <row r="9243" spans="1:7">
      <c r="A9243" t="s">
        <v>1876</v>
      </c>
      <c r="B9243" t="s">
        <v>375</v>
      </c>
      <c r="C9243" t="s">
        <v>289</v>
      </c>
      <c r="D9243">
        <v>0</v>
      </c>
      <c r="E9243">
        <v>0</v>
      </c>
      <c r="F9243">
        <v>0</v>
      </c>
      <c r="G9243">
        <v>0</v>
      </c>
    </row>
    <row r="9244" spans="1:7">
      <c r="A9244" t="s">
        <v>1876</v>
      </c>
      <c r="B9244" t="s">
        <v>375</v>
      </c>
      <c r="C9244" t="s">
        <v>290</v>
      </c>
      <c r="D9244">
        <v>0</v>
      </c>
      <c r="E9244">
        <v>0</v>
      </c>
      <c r="F9244">
        <v>0</v>
      </c>
      <c r="G9244">
        <v>0</v>
      </c>
    </row>
    <row r="9245" spans="1:7">
      <c r="A9245" t="s">
        <v>1876</v>
      </c>
      <c r="B9245" t="s">
        <v>375</v>
      </c>
      <c r="C9245" t="s">
        <v>291</v>
      </c>
      <c r="D9245">
        <v>0</v>
      </c>
      <c r="E9245">
        <v>0</v>
      </c>
      <c r="F9245">
        <v>0</v>
      </c>
      <c r="G9245">
        <v>0</v>
      </c>
    </row>
    <row r="9246" spans="1:7">
      <c r="A9246" t="s">
        <v>1876</v>
      </c>
      <c r="B9246" t="s">
        <v>375</v>
      </c>
      <c r="C9246" t="s">
        <v>292</v>
      </c>
      <c r="D9246">
        <v>972</v>
      </c>
      <c r="E9246">
        <v>1087</v>
      </c>
      <c r="F9246">
        <v>669</v>
      </c>
      <c r="G9246">
        <v>736</v>
      </c>
    </row>
    <row r="9247" spans="1:7">
      <c r="A9247" t="s">
        <v>1876</v>
      </c>
      <c r="B9247" t="s">
        <v>375</v>
      </c>
      <c r="C9247" t="s">
        <v>293</v>
      </c>
      <c r="D9247">
        <v>1075</v>
      </c>
      <c r="E9247">
        <v>866</v>
      </c>
      <c r="F9247">
        <v>1171</v>
      </c>
      <c r="G9247">
        <v>1208</v>
      </c>
    </row>
    <row r="9248" spans="1:7">
      <c r="A9248" t="s">
        <v>1876</v>
      </c>
      <c r="B9248" t="s">
        <v>375</v>
      </c>
      <c r="C9248" t="s">
        <v>294</v>
      </c>
      <c r="D9248">
        <v>2698</v>
      </c>
      <c r="E9248">
        <v>2507</v>
      </c>
      <c r="F9248">
        <v>1725</v>
      </c>
      <c r="G9248">
        <v>2166</v>
      </c>
    </row>
    <row r="9249" spans="1:7">
      <c r="A9249" t="s">
        <v>1876</v>
      </c>
      <c r="B9249" t="s">
        <v>375</v>
      </c>
      <c r="C9249" t="s">
        <v>295</v>
      </c>
      <c r="D9249">
        <v>782</v>
      </c>
      <c r="E9249">
        <v>887</v>
      </c>
      <c r="F9249">
        <v>532</v>
      </c>
      <c r="G9249">
        <v>557</v>
      </c>
    </row>
    <row r="9250" spans="1:7">
      <c r="A9250" t="s">
        <v>1876</v>
      </c>
      <c r="B9250" t="s">
        <v>375</v>
      </c>
      <c r="C9250" t="s">
        <v>296</v>
      </c>
      <c r="D9250">
        <v>5527</v>
      </c>
      <c r="E9250">
        <v>5347</v>
      </c>
      <c r="F9250">
        <v>4098</v>
      </c>
      <c r="G9250">
        <v>4667</v>
      </c>
    </row>
    <row r="9251" spans="1:7">
      <c r="A9251" t="s">
        <v>1876</v>
      </c>
      <c r="B9251" t="s">
        <v>375</v>
      </c>
      <c r="C9251" t="s">
        <v>297</v>
      </c>
      <c r="D9251">
        <v>6023</v>
      </c>
      <c r="E9251">
        <v>6051</v>
      </c>
      <c r="F9251">
        <v>5932</v>
      </c>
      <c r="G9251">
        <v>5739</v>
      </c>
    </row>
    <row r="9252" spans="1:7">
      <c r="A9252" t="s">
        <v>1876</v>
      </c>
      <c r="B9252" t="s">
        <v>375</v>
      </c>
      <c r="C9252" t="s">
        <v>1952</v>
      </c>
      <c r="D9252">
        <v>0</v>
      </c>
      <c r="E9252">
        <v>0</v>
      </c>
      <c r="F9252">
        <v>0</v>
      </c>
      <c r="G9252">
        <v>0</v>
      </c>
    </row>
    <row r="9253" spans="1:7">
      <c r="A9253" t="s">
        <v>1876</v>
      </c>
      <c r="B9253" t="s">
        <v>375</v>
      </c>
      <c r="C9253" t="s">
        <v>298</v>
      </c>
      <c r="D9253">
        <v>0</v>
      </c>
      <c r="E9253">
        <v>0</v>
      </c>
      <c r="F9253">
        <v>0</v>
      </c>
      <c r="G9253">
        <v>0</v>
      </c>
    </row>
    <row r="9254" spans="1:7">
      <c r="A9254" t="s">
        <v>1876</v>
      </c>
      <c r="B9254" t="s">
        <v>375</v>
      </c>
      <c r="C9254" t="s">
        <v>299</v>
      </c>
      <c r="D9254">
        <v>2</v>
      </c>
      <c r="E9254">
        <v>3</v>
      </c>
      <c r="F9254">
        <v>4</v>
      </c>
      <c r="G9254">
        <v>5</v>
      </c>
    </row>
    <row r="9255" spans="1:7">
      <c r="A9255" t="s">
        <v>1876</v>
      </c>
      <c r="B9255" t="s">
        <v>375</v>
      </c>
      <c r="C9255" t="s">
        <v>300</v>
      </c>
      <c r="D9255">
        <v>0</v>
      </c>
      <c r="E9255">
        <v>0</v>
      </c>
      <c r="F9255">
        <v>0</v>
      </c>
      <c r="G9255">
        <v>0</v>
      </c>
    </row>
    <row r="9256" spans="1:7">
      <c r="A9256" t="s">
        <v>1876</v>
      </c>
      <c r="B9256" t="s">
        <v>375</v>
      </c>
      <c r="C9256" t="s">
        <v>1722</v>
      </c>
      <c r="D9256">
        <v>0</v>
      </c>
      <c r="E9256">
        <v>0</v>
      </c>
      <c r="F9256">
        <v>0</v>
      </c>
      <c r="G9256">
        <v>0</v>
      </c>
    </row>
    <row r="9257" spans="1:7">
      <c r="A9257" t="s">
        <v>1876</v>
      </c>
      <c r="B9257" t="s">
        <v>375</v>
      </c>
      <c r="C9257" t="s">
        <v>301</v>
      </c>
      <c r="D9257">
        <v>0</v>
      </c>
      <c r="E9257">
        <v>0</v>
      </c>
      <c r="F9257">
        <v>0</v>
      </c>
      <c r="G9257">
        <v>0</v>
      </c>
    </row>
    <row r="9258" spans="1:7">
      <c r="A9258" t="s">
        <v>1876</v>
      </c>
      <c r="B9258" t="s">
        <v>375</v>
      </c>
      <c r="C9258" t="s">
        <v>302</v>
      </c>
      <c r="D9258">
        <v>6</v>
      </c>
      <c r="E9258">
        <v>7</v>
      </c>
      <c r="F9258">
        <v>9</v>
      </c>
      <c r="G9258">
        <v>10</v>
      </c>
    </row>
    <row r="9259" spans="1:7">
      <c r="A9259" t="s">
        <v>1876</v>
      </c>
      <c r="B9259" t="s">
        <v>375</v>
      </c>
      <c r="C9259" t="s">
        <v>303</v>
      </c>
      <c r="D9259">
        <v>8</v>
      </c>
      <c r="E9259">
        <v>10</v>
      </c>
      <c r="F9259">
        <v>12</v>
      </c>
      <c r="G9259">
        <v>14</v>
      </c>
    </row>
    <row r="9260" spans="1:7">
      <c r="A9260" t="s">
        <v>1876</v>
      </c>
      <c r="B9260" t="s">
        <v>375</v>
      </c>
      <c r="C9260" t="s">
        <v>304</v>
      </c>
      <c r="D9260">
        <v>8</v>
      </c>
      <c r="E9260">
        <v>10</v>
      </c>
      <c r="F9260">
        <v>12</v>
      </c>
      <c r="G9260">
        <v>14</v>
      </c>
    </row>
    <row r="9261" spans="1:7">
      <c r="A9261" t="s">
        <v>1876</v>
      </c>
      <c r="B9261" t="s">
        <v>375</v>
      </c>
      <c r="C9261" t="s">
        <v>1953</v>
      </c>
      <c r="D9261">
        <v>0</v>
      </c>
      <c r="E9261">
        <v>0</v>
      </c>
      <c r="F9261">
        <v>0</v>
      </c>
      <c r="G9261">
        <v>0</v>
      </c>
    </row>
    <row r="9262" spans="1:7">
      <c r="A9262" t="s">
        <v>1876</v>
      </c>
      <c r="B9262" t="s">
        <v>375</v>
      </c>
      <c r="C9262" t="s">
        <v>305</v>
      </c>
      <c r="D9262">
        <v>136039</v>
      </c>
      <c r="E9262">
        <v>135784</v>
      </c>
      <c r="F9262">
        <v>139215</v>
      </c>
      <c r="G9262">
        <v>141694</v>
      </c>
    </row>
    <row r="9263" spans="1:7">
      <c r="A9263" t="s">
        <v>1876</v>
      </c>
      <c r="B9263" t="s">
        <v>375</v>
      </c>
      <c r="C9263" t="s">
        <v>306</v>
      </c>
      <c r="D9263">
        <v>174.9</v>
      </c>
      <c r="E9263">
        <v>174</v>
      </c>
      <c r="F9263">
        <v>176.9</v>
      </c>
      <c r="G9263">
        <v>178.6</v>
      </c>
    </row>
    <row r="9264" spans="1:7">
      <c r="A9264" t="s">
        <v>1876</v>
      </c>
      <c r="B9264" t="s">
        <v>375</v>
      </c>
      <c r="C9264" t="s">
        <v>307</v>
      </c>
      <c r="D9264">
        <v>77222</v>
      </c>
      <c r="E9264">
        <v>89972</v>
      </c>
      <c r="F9264">
        <v>115074</v>
      </c>
      <c r="G9264">
        <v>118715</v>
      </c>
    </row>
    <row r="9265" spans="1:7">
      <c r="A9265" t="s">
        <v>1876</v>
      </c>
      <c r="B9265" t="s">
        <v>375</v>
      </c>
      <c r="C9265" t="s">
        <v>308</v>
      </c>
      <c r="D9265">
        <v>99.3</v>
      </c>
      <c r="E9265">
        <v>115.3</v>
      </c>
      <c r="F9265">
        <v>146.19999999999999</v>
      </c>
      <c r="G9265">
        <v>149.6</v>
      </c>
    </row>
    <row r="9266" spans="1:7">
      <c r="A9266" t="s">
        <v>1876</v>
      </c>
      <c r="B9266" t="s">
        <v>375</v>
      </c>
      <c r="C9266" t="s">
        <v>309</v>
      </c>
      <c r="D9266">
        <v>354184</v>
      </c>
      <c r="E9266">
        <v>375891</v>
      </c>
      <c r="F9266">
        <v>342571</v>
      </c>
      <c r="G9266">
        <v>346311</v>
      </c>
    </row>
    <row r="9267" spans="1:7">
      <c r="A9267" t="s">
        <v>1876</v>
      </c>
      <c r="B9267" t="s">
        <v>375</v>
      </c>
      <c r="C9267" t="s">
        <v>310</v>
      </c>
      <c r="D9267">
        <v>380476</v>
      </c>
      <c r="E9267">
        <v>385797</v>
      </c>
      <c r="F9267">
        <v>387065</v>
      </c>
      <c r="G9267">
        <v>397800</v>
      </c>
    </row>
    <row r="9268" spans="1:7">
      <c r="A9268" t="s">
        <v>1876</v>
      </c>
      <c r="B9268" t="s">
        <v>375</v>
      </c>
      <c r="C9268" t="s">
        <v>311</v>
      </c>
      <c r="D9268">
        <v>489.1</v>
      </c>
      <c r="E9268">
        <v>494.5</v>
      </c>
      <c r="F9268">
        <v>491.8</v>
      </c>
      <c r="G9268">
        <v>501.4</v>
      </c>
    </row>
    <row r="9269" spans="1:7">
      <c r="A9269" t="s">
        <v>1876</v>
      </c>
      <c r="B9269" t="s">
        <v>375</v>
      </c>
      <c r="C9269" t="s">
        <v>312</v>
      </c>
      <c r="D9269">
        <v>59761</v>
      </c>
      <c r="E9269">
        <v>64001</v>
      </c>
      <c r="F9269">
        <v>64016</v>
      </c>
      <c r="G9269">
        <v>61278</v>
      </c>
    </row>
    <row r="9270" spans="1:7">
      <c r="A9270" t="s">
        <v>1876</v>
      </c>
      <c r="B9270" t="s">
        <v>375</v>
      </c>
      <c r="C9270" t="s">
        <v>313</v>
      </c>
      <c r="D9270">
        <v>76.8</v>
      </c>
      <c r="E9270">
        <v>82</v>
      </c>
      <c r="F9270">
        <v>81.3</v>
      </c>
      <c r="G9270">
        <v>77.2</v>
      </c>
    </row>
    <row r="9271" spans="1:7">
      <c r="A9271" t="s">
        <v>1876</v>
      </c>
      <c r="B9271" t="s">
        <v>375</v>
      </c>
      <c r="C9271" t="s">
        <v>314</v>
      </c>
      <c r="D9271">
        <v>653498</v>
      </c>
      <c r="E9271">
        <v>675554</v>
      </c>
      <c r="F9271">
        <v>705370</v>
      </c>
      <c r="G9271">
        <v>719487</v>
      </c>
    </row>
    <row r="9272" spans="1:7">
      <c r="A9272" t="s">
        <v>1876</v>
      </c>
      <c r="B9272" t="s">
        <v>375</v>
      </c>
      <c r="C9272" t="s">
        <v>315</v>
      </c>
      <c r="D9272">
        <v>11.39</v>
      </c>
      <c r="E9272">
        <v>11.85</v>
      </c>
      <c r="F9272">
        <v>11.36</v>
      </c>
      <c r="G9272">
        <v>11.35</v>
      </c>
    </row>
    <row r="9273" spans="1:7">
      <c r="A9273" t="s">
        <v>1876</v>
      </c>
      <c r="B9273" t="s">
        <v>375</v>
      </c>
      <c r="C9273" t="s">
        <v>316</v>
      </c>
      <c r="D9273">
        <v>840</v>
      </c>
      <c r="E9273">
        <v>865.9</v>
      </c>
      <c r="F9273">
        <v>896.2</v>
      </c>
      <c r="G9273">
        <v>906.9</v>
      </c>
    </row>
    <row r="9274" spans="1:7">
      <c r="A9274" t="s">
        <v>1876</v>
      </c>
      <c r="B9274" t="s">
        <v>375</v>
      </c>
      <c r="C9274" t="s">
        <v>317</v>
      </c>
      <c r="D9274">
        <v>653498</v>
      </c>
      <c r="E9274">
        <v>675554</v>
      </c>
      <c r="F9274">
        <v>705370</v>
      </c>
      <c r="G9274">
        <v>719487</v>
      </c>
    </row>
    <row r="9275" spans="1:7">
      <c r="A9275" t="s">
        <v>1876</v>
      </c>
      <c r="B9275" t="s">
        <v>375</v>
      </c>
      <c r="C9275" t="s">
        <v>318</v>
      </c>
      <c r="D9275">
        <v>136039</v>
      </c>
      <c r="E9275">
        <v>135784</v>
      </c>
      <c r="F9275">
        <v>139215</v>
      </c>
      <c r="G9275">
        <v>141694</v>
      </c>
    </row>
    <row r="9276" spans="1:7">
      <c r="A9276" t="s">
        <v>1876</v>
      </c>
      <c r="B9276" t="s">
        <v>375</v>
      </c>
      <c r="C9276" t="s">
        <v>319</v>
      </c>
      <c r="D9276">
        <v>44064</v>
      </c>
      <c r="E9276">
        <v>52545</v>
      </c>
      <c r="F9276">
        <v>60302</v>
      </c>
      <c r="G9276">
        <v>60236</v>
      </c>
    </row>
    <row r="9277" spans="1:7">
      <c r="A9277" t="s">
        <v>1876</v>
      </c>
      <c r="B9277" t="s">
        <v>375</v>
      </c>
      <c r="C9277" t="s">
        <v>320</v>
      </c>
      <c r="D9277">
        <v>326093</v>
      </c>
      <c r="E9277">
        <v>333491</v>
      </c>
      <c r="F9277">
        <v>325100</v>
      </c>
      <c r="G9277">
        <v>327737</v>
      </c>
    </row>
    <row r="9278" spans="1:7">
      <c r="A9278" t="s">
        <v>1876</v>
      </c>
      <c r="B9278" t="s">
        <v>375</v>
      </c>
      <c r="C9278" t="s">
        <v>321</v>
      </c>
      <c r="D9278">
        <v>35953</v>
      </c>
      <c r="E9278">
        <v>40490</v>
      </c>
      <c r="F9278">
        <v>38447</v>
      </c>
      <c r="G9278">
        <v>35885</v>
      </c>
    </row>
    <row r="9279" spans="1:7">
      <c r="A9279" t="s">
        <v>1876</v>
      </c>
      <c r="B9279" t="s">
        <v>375</v>
      </c>
      <c r="C9279" t="s">
        <v>1954</v>
      </c>
      <c r="D9279">
        <v>542148</v>
      </c>
      <c r="E9279">
        <v>562311</v>
      </c>
      <c r="F9279">
        <v>563064</v>
      </c>
      <c r="G9279">
        <v>565552</v>
      </c>
    </row>
    <row r="9280" spans="1:7">
      <c r="A9280" t="s">
        <v>1876</v>
      </c>
      <c r="B9280" t="s">
        <v>375</v>
      </c>
      <c r="C9280" t="s">
        <v>323</v>
      </c>
      <c r="D9280">
        <v>778</v>
      </c>
      <c r="E9280">
        <v>780</v>
      </c>
      <c r="F9280">
        <v>787</v>
      </c>
      <c r="G9280">
        <v>793</v>
      </c>
    </row>
    <row r="9281" spans="1:7">
      <c r="A9281" t="s">
        <v>1876</v>
      </c>
      <c r="B9281" t="s">
        <v>375</v>
      </c>
      <c r="C9281" t="s">
        <v>324</v>
      </c>
      <c r="D9281">
        <v>200</v>
      </c>
      <c r="E9281">
        <v>0</v>
      </c>
      <c r="F9281">
        <v>0</v>
      </c>
      <c r="G9281">
        <v>0</v>
      </c>
    </row>
    <row r="9282" spans="1:7">
      <c r="A9282" t="s">
        <v>1876</v>
      </c>
      <c r="B9282" t="s">
        <v>375</v>
      </c>
      <c r="C9282" t="s">
        <v>325</v>
      </c>
      <c r="D9282">
        <v>0</v>
      </c>
      <c r="E9282">
        <v>0</v>
      </c>
      <c r="F9282">
        <v>0</v>
      </c>
      <c r="G9282">
        <v>0</v>
      </c>
    </row>
    <row r="9283" spans="1:7">
      <c r="A9283" t="s">
        <v>1876</v>
      </c>
      <c r="B9283" t="s">
        <v>375</v>
      </c>
      <c r="C9283" t="s">
        <v>326</v>
      </c>
      <c r="D9283">
        <v>98</v>
      </c>
      <c r="E9283">
        <v>125</v>
      </c>
      <c r="F9283">
        <v>67</v>
      </c>
      <c r="G9283">
        <v>63</v>
      </c>
    </row>
    <row r="9284" spans="1:7">
      <c r="A9284" t="s">
        <v>1876</v>
      </c>
      <c r="B9284" t="s">
        <v>375</v>
      </c>
      <c r="C9284" t="s">
        <v>327</v>
      </c>
      <c r="D9284">
        <v>0</v>
      </c>
      <c r="E9284">
        <v>0</v>
      </c>
      <c r="F9284">
        <v>0</v>
      </c>
      <c r="G9284">
        <v>0</v>
      </c>
    </row>
    <row r="9285" spans="1:7">
      <c r="A9285" t="s">
        <v>1876</v>
      </c>
      <c r="B9285" t="s">
        <v>375</v>
      </c>
      <c r="C9285" t="s">
        <v>1723</v>
      </c>
      <c r="D9285">
        <v>0</v>
      </c>
      <c r="E9285">
        <v>0</v>
      </c>
      <c r="F9285">
        <v>0</v>
      </c>
      <c r="G9285">
        <v>0</v>
      </c>
    </row>
    <row r="9286" spans="1:7">
      <c r="A9286" t="s">
        <v>1876</v>
      </c>
      <c r="B9286" t="s">
        <v>375</v>
      </c>
      <c r="C9286" t="s">
        <v>328</v>
      </c>
      <c r="D9286">
        <v>178</v>
      </c>
      <c r="E9286">
        <v>88</v>
      </c>
      <c r="F9286">
        <v>88</v>
      </c>
      <c r="G9286">
        <v>88</v>
      </c>
    </row>
    <row r="9287" spans="1:7">
      <c r="A9287" t="s">
        <v>1876</v>
      </c>
      <c r="B9287" t="s">
        <v>375</v>
      </c>
      <c r="C9287" t="s">
        <v>329</v>
      </c>
      <c r="D9287">
        <v>510</v>
      </c>
      <c r="E9287">
        <v>821</v>
      </c>
      <c r="F9287">
        <v>374</v>
      </c>
      <c r="G9287">
        <v>331</v>
      </c>
    </row>
    <row r="9288" spans="1:7">
      <c r="A9288" t="s">
        <v>1876</v>
      </c>
      <c r="B9288" t="s">
        <v>375</v>
      </c>
      <c r="C9288" t="s">
        <v>330</v>
      </c>
      <c r="D9288">
        <v>786</v>
      </c>
      <c r="E9288">
        <v>1034</v>
      </c>
      <c r="F9288">
        <v>529</v>
      </c>
      <c r="G9288">
        <v>482</v>
      </c>
    </row>
    <row r="9289" spans="1:7">
      <c r="A9289" t="s">
        <v>1876</v>
      </c>
      <c r="B9289" t="s">
        <v>375</v>
      </c>
      <c r="C9289" t="s">
        <v>331</v>
      </c>
      <c r="D9289">
        <v>0</v>
      </c>
      <c r="E9289">
        <v>0</v>
      </c>
      <c r="F9289">
        <v>0</v>
      </c>
      <c r="G9289">
        <v>0</v>
      </c>
    </row>
    <row r="9290" spans="1:7">
      <c r="A9290" t="s">
        <v>1876</v>
      </c>
      <c r="B9290" t="s">
        <v>375</v>
      </c>
      <c r="C9290" t="s">
        <v>332</v>
      </c>
      <c r="D9290">
        <v>0</v>
      </c>
      <c r="E9290">
        <v>0</v>
      </c>
      <c r="F9290">
        <v>0</v>
      </c>
      <c r="G9290">
        <v>0</v>
      </c>
    </row>
    <row r="9291" spans="1:7">
      <c r="A9291" t="s">
        <v>1876</v>
      </c>
      <c r="B9291" t="s">
        <v>375</v>
      </c>
      <c r="C9291" t="s">
        <v>1724</v>
      </c>
      <c r="D9291">
        <v>10</v>
      </c>
      <c r="E9291">
        <v>13</v>
      </c>
      <c r="F9291">
        <v>10</v>
      </c>
      <c r="G9291">
        <v>10</v>
      </c>
    </row>
    <row r="9292" spans="1:7">
      <c r="A9292" t="s">
        <v>1876</v>
      </c>
      <c r="B9292" t="s">
        <v>375</v>
      </c>
      <c r="C9292" t="s">
        <v>333</v>
      </c>
      <c r="D9292">
        <v>1046</v>
      </c>
      <c r="E9292">
        <v>228</v>
      </c>
      <c r="F9292">
        <v>190</v>
      </c>
      <c r="G9292">
        <v>177</v>
      </c>
    </row>
    <row r="9293" spans="1:7">
      <c r="A9293" t="s">
        <v>1876</v>
      </c>
      <c r="B9293" t="s">
        <v>375</v>
      </c>
      <c r="C9293" t="s">
        <v>334</v>
      </c>
      <c r="D9293">
        <v>1046</v>
      </c>
      <c r="E9293">
        <v>228</v>
      </c>
      <c r="F9293">
        <v>190</v>
      </c>
      <c r="G9293">
        <v>177</v>
      </c>
    </row>
    <row r="9294" spans="1:7">
      <c r="A9294" t="s">
        <v>1876</v>
      </c>
      <c r="B9294" t="s">
        <v>375</v>
      </c>
      <c r="C9294" t="s">
        <v>335</v>
      </c>
      <c r="D9294">
        <v>98</v>
      </c>
      <c r="E9294">
        <v>125</v>
      </c>
      <c r="F9294">
        <v>67</v>
      </c>
      <c r="G9294">
        <v>63</v>
      </c>
    </row>
    <row r="9295" spans="1:7">
      <c r="A9295" t="s">
        <v>1876</v>
      </c>
      <c r="B9295" t="s">
        <v>375</v>
      </c>
      <c r="C9295" t="s">
        <v>336</v>
      </c>
      <c r="D9295">
        <v>0</v>
      </c>
      <c r="E9295">
        <v>0</v>
      </c>
      <c r="F9295">
        <v>0</v>
      </c>
      <c r="G9295">
        <v>0</v>
      </c>
    </row>
    <row r="9296" spans="1:7">
      <c r="A9296" t="s">
        <v>1876</v>
      </c>
      <c r="B9296" t="s">
        <v>375</v>
      </c>
      <c r="C9296" t="s">
        <v>337</v>
      </c>
      <c r="D9296">
        <v>1224</v>
      </c>
      <c r="E9296">
        <v>316</v>
      </c>
      <c r="F9296">
        <v>278</v>
      </c>
      <c r="G9296">
        <v>265</v>
      </c>
    </row>
    <row r="9297" spans="1:7">
      <c r="A9297" t="s">
        <v>1876</v>
      </c>
      <c r="B9297" t="s">
        <v>375</v>
      </c>
      <c r="C9297" t="s">
        <v>338</v>
      </c>
      <c r="D9297">
        <v>1832</v>
      </c>
      <c r="E9297">
        <v>1262</v>
      </c>
      <c r="F9297">
        <v>719</v>
      </c>
      <c r="G9297">
        <v>660</v>
      </c>
    </row>
    <row r="9298" spans="1:7">
      <c r="A9298" t="s">
        <v>1876</v>
      </c>
      <c r="B9298" t="s">
        <v>375</v>
      </c>
      <c r="C9298" t="s">
        <v>339</v>
      </c>
      <c r="D9298">
        <v>1832</v>
      </c>
      <c r="E9298">
        <v>1262</v>
      </c>
      <c r="F9298">
        <v>719</v>
      </c>
      <c r="G9298">
        <v>660</v>
      </c>
    </row>
    <row r="9299" spans="1:7">
      <c r="A9299" t="s">
        <v>1876</v>
      </c>
      <c r="B9299" t="s">
        <v>375</v>
      </c>
      <c r="C9299" t="s">
        <v>340</v>
      </c>
      <c r="D9299">
        <v>0</v>
      </c>
      <c r="E9299">
        <v>0</v>
      </c>
      <c r="F9299">
        <v>0</v>
      </c>
      <c r="G9299">
        <v>0</v>
      </c>
    </row>
    <row r="9300" spans="1:7">
      <c r="A9300" t="s">
        <v>1876</v>
      </c>
      <c r="B9300" t="s">
        <v>375</v>
      </c>
      <c r="C9300" t="s">
        <v>1955</v>
      </c>
      <c r="D9300">
        <v>39.6</v>
      </c>
      <c r="E9300">
        <v>42.9</v>
      </c>
      <c r="F9300">
        <v>38.299999999999997</v>
      </c>
      <c r="G9300">
        <v>38.799999999999997</v>
      </c>
    </row>
    <row r="9301" spans="1:7">
      <c r="A9301" t="s">
        <v>1876</v>
      </c>
      <c r="B9301" t="s">
        <v>375</v>
      </c>
      <c r="C9301" t="s">
        <v>341</v>
      </c>
      <c r="D9301">
        <v>1</v>
      </c>
      <c r="E9301">
        <v>0</v>
      </c>
      <c r="F9301">
        <v>0</v>
      </c>
      <c r="G9301">
        <v>0</v>
      </c>
    </row>
    <row r="9302" spans="1:7">
      <c r="A9302" t="s">
        <v>1876</v>
      </c>
      <c r="B9302" t="s">
        <v>375</v>
      </c>
      <c r="C9302" t="s">
        <v>342</v>
      </c>
      <c r="D9302">
        <v>50958</v>
      </c>
      <c r="E9302">
        <v>55445</v>
      </c>
      <c r="F9302">
        <v>49395</v>
      </c>
      <c r="G9302">
        <v>50370</v>
      </c>
    </row>
    <row r="9303" spans="1:7">
      <c r="A9303" t="s">
        <v>1876</v>
      </c>
      <c r="B9303" t="s">
        <v>375</v>
      </c>
      <c r="C9303" t="s">
        <v>1725</v>
      </c>
      <c r="D9303">
        <v>4327</v>
      </c>
      <c r="E9303">
        <v>4323</v>
      </c>
      <c r="F9303">
        <v>4320</v>
      </c>
      <c r="G9303">
        <v>4514</v>
      </c>
    </row>
    <row r="9304" spans="1:7">
      <c r="A9304" t="s">
        <v>1876</v>
      </c>
      <c r="B9304" t="s">
        <v>375</v>
      </c>
      <c r="C9304" t="s">
        <v>343</v>
      </c>
      <c r="D9304">
        <v>0</v>
      </c>
      <c r="E9304">
        <v>0</v>
      </c>
      <c r="F9304">
        <v>0</v>
      </c>
      <c r="G9304">
        <v>0</v>
      </c>
    </row>
    <row r="9305" spans="1:7">
      <c r="A9305" t="s">
        <v>1876</v>
      </c>
      <c r="B9305" t="s">
        <v>375</v>
      </c>
      <c r="C9305" t="s">
        <v>344</v>
      </c>
      <c r="D9305">
        <v>50959</v>
      </c>
      <c r="E9305">
        <v>55445</v>
      </c>
      <c r="F9305">
        <v>49395</v>
      </c>
      <c r="G9305">
        <v>50370</v>
      </c>
    </row>
    <row r="9306" spans="1:7">
      <c r="A9306" t="s">
        <v>1876</v>
      </c>
      <c r="B9306" t="s">
        <v>375</v>
      </c>
      <c r="C9306" t="s">
        <v>345</v>
      </c>
      <c r="D9306">
        <v>1</v>
      </c>
      <c r="E9306">
        <v>0</v>
      </c>
      <c r="F9306">
        <v>0</v>
      </c>
      <c r="G9306">
        <v>0</v>
      </c>
    </row>
    <row r="9307" spans="1:7">
      <c r="A9307" t="s">
        <v>1876</v>
      </c>
      <c r="B9307" t="s">
        <v>375</v>
      </c>
      <c r="C9307" t="s">
        <v>1956</v>
      </c>
      <c r="D9307">
        <v>0</v>
      </c>
      <c r="E9307">
        <v>0</v>
      </c>
      <c r="F9307">
        <v>0</v>
      </c>
      <c r="G9307">
        <v>0</v>
      </c>
    </row>
    <row r="9308" spans="1:7">
      <c r="A9308" t="s">
        <v>1876</v>
      </c>
      <c r="B9308" t="s">
        <v>375</v>
      </c>
      <c r="C9308" t="s">
        <v>1957</v>
      </c>
      <c r="D9308">
        <v>1046</v>
      </c>
      <c r="E9308">
        <v>228</v>
      </c>
      <c r="F9308">
        <v>190</v>
      </c>
      <c r="G9308">
        <v>177</v>
      </c>
    </row>
    <row r="9309" spans="1:7">
      <c r="A9309" t="s">
        <v>1876</v>
      </c>
      <c r="B9309" t="s">
        <v>375</v>
      </c>
      <c r="C9309" t="s">
        <v>346</v>
      </c>
      <c r="D9309">
        <v>697</v>
      </c>
      <c r="E9309">
        <v>531</v>
      </c>
      <c r="F9309">
        <v>565</v>
      </c>
      <c r="G9309">
        <v>519</v>
      </c>
    </row>
    <row r="9310" spans="1:7">
      <c r="A9310" t="s">
        <v>1876</v>
      </c>
      <c r="B9310" t="s">
        <v>375</v>
      </c>
      <c r="C9310" t="s">
        <v>347</v>
      </c>
      <c r="D9310">
        <v>8373</v>
      </c>
      <c r="E9310">
        <v>9856</v>
      </c>
      <c r="F9310">
        <v>8957</v>
      </c>
      <c r="G9310">
        <v>8187</v>
      </c>
    </row>
    <row r="9311" spans="1:7">
      <c r="A9311" t="s">
        <v>1876</v>
      </c>
      <c r="B9311" t="s">
        <v>376</v>
      </c>
      <c r="C9311" t="s">
        <v>133</v>
      </c>
      <c r="D9311">
        <v>0</v>
      </c>
      <c r="E9311">
        <v>0</v>
      </c>
      <c r="F9311">
        <v>0</v>
      </c>
      <c r="G9311">
        <v>0</v>
      </c>
    </row>
    <row r="9312" spans="1:7">
      <c r="A9312" t="s">
        <v>1876</v>
      </c>
      <c r="B9312" t="s">
        <v>376</v>
      </c>
      <c r="C9312" t="s">
        <v>134</v>
      </c>
      <c r="D9312">
        <v>6178</v>
      </c>
      <c r="E9312">
        <v>6014</v>
      </c>
      <c r="F9312">
        <v>5760</v>
      </c>
      <c r="G9312">
        <v>5803</v>
      </c>
    </row>
    <row r="9313" spans="1:7">
      <c r="A9313" t="s">
        <v>1876</v>
      </c>
      <c r="B9313" t="s">
        <v>376</v>
      </c>
      <c r="C9313" t="s">
        <v>135</v>
      </c>
      <c r="D9313">
        <v>6178</v>
      </c>
      <c r="E9313">
        <v>6014</v>
      </c>
      <c r="F9313">
        <v>5760</v>
      </c>
      <c r="G9313">
        <v>5803</v>
      </c>
    </row>
    <row r="9314" spans="1:7">
      <c r="A9314" t="s">
        <v>1876</v>
      </c>
      <c r="B9314" t="s">
        <v>376</v>
      </c>
      <c r="C9314" t="s">
        <v>136</v>
      </c>
      <c r="D9314">
        <v>6178</v>
      </c>
      <c r="E9314">
        <v>6014</v>
      </c>
      <c r="F9314">
        <v>5760</v>
      </c>
      <c r="G9314">
        <v>5803</v>
      </c>
    </row>
    <row r="9315" spans="1:7">
      <c r="A9315" t="s">
        <v>1876</v>
      </c>
      <c r="B9315" t="s">
        <v>376</v>
      </c>
      <c r="C9315" t="s">
        <v>137</v>
      </c>
      <c r="D9315">
        <v>175</v>
      </c>
      <c r="E9315">
        <v>181</v>
      </c>
      <c r="F9315">
        <v>172</v>
      </c>
      <c r="G9315">
        <v>185</v>
      </c>
    </row>
    <row r="9316" spans="1:7">
      <c r="A9316" t="s">
        <v>1876</v>
      </c>
      <c r="B9316" t="s">
        <v>376</v>
      </c>
      <c r="C9316" t="s">
        <v>138</v>
      </c>
      <c r="D9316">
        <v>175</v>
      </c>
      <c r="E9316">
        <v>181</v>
      </c>
      <c r="F9316">
        <v>172</v>
      </c>
      <c r="G9316">
        <v>185</v>
      </c>
    </row>
    <row r="9317" spans="1:7">
      <c r="A9317" t="s">
        <v>1876</v>
      </c>
      <c r="B9317" t="s">
        <v>376</v>
      </c>
      <c r="C9317" t="s">
        <v>139</v>
      </c>
      <c r="D9317">
        <v>175</v>
      </c>
      <c r="E9317">
        <v>181</v>
      </c>
      <c r="F9317">
        <v>172</v>
      </c>
      <c r="G9317">
        <v>185</v>
      </c>
    </row>
    <row r="9318" spans="1:7">
      <c r="A9318" t="s">
        <v>1876</v>
      </c>
      <c r="B9318" t="s">
        <v>376</v>
      </c>
      <c r="C9318" t="s">
        <v>1877</v>
      </c>
      <c r="D9318">
        <v>0</v>
      </c>
      <c r="E9318">
        <v>0</v>
      </c>
      <c r="F9318">
        <v>0</v>
      </c>
      <c r="G9318">
        <v>0</v>
      </c>
    </row>
    <row r="9319" spans="1:7">
      <c r="A9319" t="s">
        <v>1876</v>
      </c>
      <c r="B9319" t="s">
        <v>376</v>
      </c>
      <c r="C9319" t="s">
        <v>1700</v>
      </c>
      <c r="D9319">
        <v>0</v>
      </c>
      <c r="E9319">
        <v>0</v>
      </c>
      <c r="F9319">
        <v>0</v>
      </c>
      <c r="G9319">
        <v>0</v>
      </c>
    </row>
    <row r="9320" spans="1:7">
      <c r="A9320" t="s">
        <v>1876</v>
      </c>
      <c r="B9320" t="s">
        <v>376</v>
      </c>
      <c r="C9320" t="s">
        <v>1878</v>
      </c>
      <c r="D9320">
        <v>0</v>
      </c>
      <c r="E9320">
        <v>0</v>
      </c>
      <c r="F9320">
        <v>0</v>
      </c>
      <c r="G9320">
        <v>0</v>
      </c>
    </row>
    <row r="9321" spans="1:7">
      <c r="A9321" t="s">
        <v>1876</v>
      </c>
      <c r="B9321" t="s">
        <v>376</v>
      </c>
      <c r="C9321" t="s">
        <v>1879</v>
      </c>
      <c r="D9321">
        <v>0</v>
      </c>
      <c r="E9321">
        <v>0</v>
      </c>
      <c r="F9321">
        <v>0</v>
      </c>
      <c r="G9321">
        <v>0</v>
      </c>
    </row>
    <row r="9322" spans="1:7">
      <c r="A9322" t="s">
        <v>1876</v>
      </c>
      <c r="B9322" t="s">
        <v>376</v>
      </c>
      <c r="C9322" t="s">
        <v>1701</v>
      </c>
      <c r="D9322">
        <v>0</v>
      </c>
      <c r="E9322">
        <v>0</v>
      </c>
      <c r="F9322">
        <v>0</v>
      </c>
      <c r="G9322">
        <v>0</v>
      </c>
    </row>
    <row r="9323" spans="1:7">
      <c r="A9323" t="s">
        <v>1876</v>
      </c>
      <c r="B9323" t="s">
        <v>376</v>
      </c>
      <c r="C9323" t="s">
        <v>1880</v>
      </c>
      <c r="D9323">
        <v>871</v>
      </c>
      <c r="E9323">
        <v>787</v>
      </c>
      <c r="F9323">
        <v>926</v>
      </c>
      <c r="G9323">
        <v>898</v>
      </c>
    </row>
    <row r="9324" spans="1:7">
      <c r="A9324" t="s">
        <v>1876</v>
      </c>
      <c r="B9324" t="s">
        <v>376</v>
      </c>
      <c r="C9324" t="s">
        <v>140</v>
      </c>
      <c r="D9324">
        <v>2047</v>
      </c>
      <c r="E9324">
        <v>1902</v>
      </c>
      <c r="F9324">
        <v>2497</v>
      </c>
      <c r="G9324">
        <v>2560</v>
      </c>
    </row>
    <row r="9325" spans="1:7">
      <c r="A9325" t="s">
        <v>1876</v>
      </c>
      <c r="B9325" t="s">
        <v>376</v>
      </c>
      <c r="C9325" t="s">
        <v>1881</v>
      </c>
      <c r="D9325">
        <v>1176</v>
      </c>
      <c r="E9325">
        <v>1115</v>
      </c>
      <c r="F9325">
        <v>1571</v>
      </c>
      <c r="G9325">
        <v>1662</v>
      </c>
    </row>
    <row r="9326" spans="1:7">
      <c r="A9326" t="s">
        <v>1876</v>
      </c>
      <c r="B9326" t="s">
        <v>376</v>
      </c>
      <c r="C9326" t="s">
        <v>1882</v>
      </c>
      <c r="D9326">
        <v>0</v>
      </c>
      <c r="E9326">
        <v>0</v>
      </c>
      <c r="F9326">
        <v>0</v>
      </c>
      <c r="G9326">
        <v>0</v>
      </c>
    </row>
    <row r="9327" spans="1:7">
      <c r="A9327" t="s">
        <v>1876</v>
      </c>
      <c r="B9327" t="s">
        <v>376</v>
      </c>
      <c r="C9327" t="s">
        <v>1883</v>
      </c>
      <c r="D9327">
        <v>0</v>
      </c>
      <c r="E9327">
        <v>0</v>
      </c>
      <c r="F9327">
        <v>0</v>
      </c>
      <c r="G9327">
        <v>0</v>
      </c>
    </row>
    <row r="9328" spans="1:7">
      <c r="A9328" t="s">
        <v>1876</v>
      </c>
      <c r="B9328" t="s">
        <v>376</v>
      </c>
      <c r="C9328" t="s">
        <v>1884</v>
      </c>
      <c r="D9328">
        <v>0</v>
      </c>
      <c r="E9328">
        <v>0</v>
      </c>
      <c r="F9328">
        <v>0</v>
      </c>
      <c r="G9328">
        <v>0</v>
      </c>
    </row>
    <row r="9329" spans="1:7">
      <c r="A9329" t="s">
        <v>1876</v>
      </c>
      <c r="B9329" t="s">
        <v>376</v>
      </c>
      <c r="C9329" t="s">
        <v>1885</v>
      </c>
      <c r="D9329">
        <v>0</v>
      </c>
      <c r="E9329">
        <v>0</v>
      </c>
      <c r="F9329">
        <v>0</v>
      </c>
      <c r="G9329">
        <v>0</v>
      </c>
    </row>
    <row r="9330" spans="1:7">
      <c r="A9330" t="s">
        <v>1876</v>
      </c>
      <c r="B9330" t="s">
        <v>376</v>
      </c>
      <c r="C9330" t="s">
        <v>1886</v>
      </c>
      <c r="D9330">
        <v>0</v>
      </c>
      <c r="E9330">
        <v>0</v>
      </c>
      <c r="F9330">
        <v>0</v>
      </c>
      <c r="G9330">
        <v>0</v>
      </c>
    </row>
    <row r="9331" spans="1:7">
      <c r="A9331" t="s">
        <v>1876</v>
      </c>
      <c r="B9331" t="s">
        <v>376</v>
      </c>
      <c r="C9331" t="s">
        <v>141</v>
      </c>
      <c r="D9331">
        <v>0</v>
      </c>
      <c r="E9331">
        <v>0</v>
      </c>
      <c r="F9331">
        <v>0</v>
      </c>
      <c r="G9331">
        <v>0</v>
      </c>
    </row>
    <row r="9332" spans="1:7">
      <c r="A9332" t="s">
        <v>1876</v>
      </c>
      <c r="B9332" t="s">
        <v>376</v>
      </c>
      <c r="C9332" t="s">
        <v>1887</v>
      </c>
      <c r="D9332">
        <v>0</v>
      </c>
      <c r="E9332">
        <v>0</v>
      </c>
      <c r="F9332">
        <v>0</v>
      </c>
      <c r="G9332">
        <v>0</v>
      </c>
    </row>
    <row r="9333" spans="1:7">
      <c r="A9333" t="s">
        <v>1876</v>
      </c>
      <c r="B9333" t="s">
        <v>376</v>
      </c>
      <c r="C9333" t="s">
        <v>1888</v>
      </c>
      <c r="D9333">
        <v>0</v>
      </c>
      <c r="E9333">
        <v>0</v>
      </c>
      <c r="F9333">
        <v>0</v>
      </c>
      <c r="G9333">
        <v>0</v>
      </c>
    </row>
    <row r="9334" spans="1:7">
      <c r="A9334" t="s">
        <v>1876</v>
      </c>
      <c r="B9334" t="s">
        <v>376</v>
      </c>
      <c r="C9334" t="s">
        <v>1889</v>
      </c>
      <c r="D9334">
        <v>871</v>
      </c>
      <c r="E9334">
        <v>787</v>
      </c>
      <c r="F9334">
        <v>926</v>
      </c>
      <c r="G9334">
        <v>898</v>
      </c>
    </row>
    <row r="9335" spans="1:7">
      <c r="A9335" t="s">
        <v>1876</v>
      </c>
      <c r="B9335" t="s">
        <v>376</v>
      </c>
      <c r="C9335" t="s">
        <v>1890</v>
      </c>
      <c r="D9335">
        <v>0</v>
      </c>
      <c r="E9335">
        <v>0</v>
      </c>
      <c r="F9335">
        <v>0</v>
      </c>
      <c r="G9335">
        <v>0</v>
      </c>
    </row>
    <row r="9336" spans="1:7">
      <c r="A9336" t="s">
        <v>1876</v>
      </c>
      <c r="B9336" t="s">
        <v>376</v>
      </c>
      <c r="C9336" t="s">
        <v>1891</v>
      </c>
    </row>
    <row r="9337" spans="1:7">
      <c r="A9337" t="s">
        <v>1876</v>
      </c>
      <c r="B9337" t="s">
        <v>376</v>
      </c>
      <c r="C9337" t="s">
        <v>1892</v>
      </c>
      <c r="D9337">
        <v>1176</v>
      </c>
      <c r="E9337">
        <v>1115</v>
      </c>
      <c r="F9337">
        <v>1571</v>
      </c>
      <c r="G9337">
        <v>1663</v>
      </c>
    </row>
    <row r="9338" spans="1:7">
      <c r="A9338" t="s">
        <v>1876</v>
      </c>
      <c r="B9338" t="s">
        <v>376</v>
      </c>
      <c r="C9338" t="s">
        <v>142</v>
      </c>
      <c r="D9338">
        <v>2047</v>
      </c>
      <c r="E9338">
        <v>1902</v>
      </c>
      <c r="F9338">
        <v>2497</v>
      </c>
      <c r="G9338">
        <v>2561</v>
      </c>
    </row>
    <row r="9339" spans="1:7">
      <c r="A9339" t="s">
        <v>1876</v>
      </c>
      <c r="B9339" t="s">
        <v>376</v>
      </c>
      <c r="C9339" t="s">
        <v>1893</v>
      </c>
      <c r="D9339">
        <v>2047</v>
      </c>
      <c r="E9339">
        <v>1902</v>
      </c>
      <c r="F9339">
        <v>2497</v>
      </c>
      <c r="G9339">
        <v>2560</v>
      </c>
    </row>
    <row r="9340" spans="1:7">
      <c r="A9340" t="s">
        <v>1876</v>
      </c>
      <c r="B9340" t="s">
        <v>376</v>
      </c>
      <c r="C9340" t="s">
        <v>1894</v>
      </c>
      <c r="D9340">
        <v>1176</v>
      </c>
      <c r="E9340">
        <v>1115</v>
      </c>
      <c r="F9340">
        <v>1571</v>
      </c>
      <c r="G9340">
        <v>1662</v>
      </c>
    </row>
    <row r="9341" spans="1:7">
      <c r="A9341" t="s">
        <v>1876</v>
      </c>
      <c r="B9341" t="s">
        <v>376</v>
      </c>
      <c r="C9341" t="s">
        <v>143</v>
      </c>
      <c r="D9341">
        <v>106145</v>
      </c>
      <c r="E9341">
        <v>106497</v>
      </c>
      <c r="F9341">
        <v>104131</v>
      </c>
      <c r="G9341">
        <v>107997</v>
      </c>
    </row>
    <row r="9342" spans="1:7">
      <c r="A9342" t="s">
        <v>1876</v>
      </c>
      <c r="B9342" t="s">
        <v>376</v>
      </c>
      <c r="C9342" t="s">
        <v>144</v>
      </c>
      <c r="D9342">
        <v>115353</v>
      </c>
      <c r="E9342">
        <v>115604</v>
      </c>
      <c r="F9342">
        <v>113915</v>
      </c>
      <c r="G9342">
        <v>117887</v>
      </c>
    </row>
    <row r="9343" spans="1:7">
      <c r="A9343" t="s">
        <v>1876</v>
      </c>
      <c r="B9343" t="s">
        <v>376</v>
      </c>
      <c r="C9343" t="s">
        <v>1895</v>
      </c>
      <c r="D9343">
        <v>65</v>
      </c>
      <c r="E9343">
        <v>61.7</v>
      </c>
      <c r="F9343">
        <v>63.2</v>
      </c>
      <c r="G9343">
        <v>62</v>
      </c>
    </row>
    <row r="9344" spans="1:7">
      <c r="A9344" t="s">
        <v>1876</v>
      </c>
      <c r="B9344" t="s">
        <v>376</v>
      </c>
      <c r="C9344" t="s">
        <v>145</v>
      </c>
      <c r="D9344">
        <v>120181</v>
      </c>
      <c r="E9344">
        <v>120211</v>
      </c>
      <c r="F9344">
        <v>118532</v>
      </c>
      <c r="G9344">
        <v>121927</v>
      </c>
    </row>
    <row r="9345" spans="1:7">
      <c r="A9345" t="s">
        <v>1876</v>
      </c>
      <c r="B9345" t="s">
        <v>376</v>
      </c>
      <c r="C9345" t="s">
        <v>146</v>
      </c>
      <c r="D9345">
        <v>0</v>
      </c>
      <c r="E9345">
        <v>0</v>
      </c>
      <c r="F9345">
        <v>0</v>
      </c>
      <c r="G9345">
        <v>0</v>
      </c>
    </row>
    <row r="9346" spans="1:7">
      <c r="A9346" t="s">
        <v>1876</v>
      </c>
      <c r="B9346" t="s">
        <v>376</v>
      </c>
      <c r="C9346" t="s">
        <v>147</v>
      </c>
      <c r="D9346">
        <v>0</v>
      </c>
      <c r="E9346">
        <v>0</v>
      </c>
      <c r="F9346">
        <v>0</v>
      </c>
      <c r="G9346">
        <v>0</v>
      </c>
    </row>
    <row r="9347" spans="1:7">
      <c r="A9347" t="s">
        <v>1876</v>
      </c>
      <c r="B9347" t="s">
        <v>376</v>
      </c>
      <c r="C9347" t="s">
        <v>1896</v>
      </c>
      <c r="D9347">
        <v>0.7</v>
      </c>
      <c r="E9347">
        <v>1.4</v>
      </c>
      <c r="F9347">
        <v>0.7</v>
      </c>
      <c r="G9347">
        <v>2.2000000000000002</v>
      </c>
    </row>
    <row r="9348" spans="1:7">
      <c r="A9348" t="s">
        <v>1876</v>
      </c>
      <c r="B9348" t="s">
        <v>376</v>
      </c>
      <c r="C9348" t="s">
        <v>1702</v>
      </c>
      <c r="D9348">
        <v>3</v>
      </c>
      <c r="E9348">
        <v>4</v>
      </c>
      <c r="F9348">
        <v>5</v>
      </c>
      <c r="G9348">
        <v>5</v>
      </c>
    </row>
    <row r="9349" spans="1:7">
      <c r="A9349" t="s">
        <v>1876</v>
      </c>
      <c r="B9349" t="s">
        <v>376</v>
      </c>
      <c r="C9349" t="s">
        <v>1897</v>
      </c>
      <c r="D9349">
        <v>2.6</v>
      </c>
      <c r="E9349">
        <v>3.9</v>
      </c>
      <c r="F9349">
        <v>6.6</v>
      </c>
      <c r="G9349">
        <v>8.8000000000000007</v>
      </c>
    </row>
    <row r="9350" spans="1:7">
      <c r="A9350" t="s">
        <v>1876</v>
      </c>
      <c r="B9350" t="s">
        <v>376</v>
      </c>
      <c r="C9350" t="s">
        <v>1898</v>
      </c>
      <c r="D9350">
        <v>5</v>
      </c>
      <c r="E9350">
        <v>8</v>
      </c>
      <c r="F9350">
        <v>22</v>
      </c>
      <c r="G9350">
        <v>31</v>
      </c>
    </row>
    <row r="9351" spans="1:7">
      <c r="A9351" t="s">
        <v>1876</v>
      </c>
      <c r="B9351" t="s">
        <v>376</v>
      </c>
      <c r="C9351" t="s">
        <v>1899</v>
      </c>
      <c r="D9351">
        <v>1176</v>
      </c>
      <c r="E9351">
        <v>1115</v>
      </c>
      <c r="F9351">
        <v>1571</v>
      </c>
      <c r="G9351">
        <v>1663</v>
      </c>
    </row>
    <row r="9352" spans="1:7">
      <c r="A9352" t="s">
        <v>1876</v>
      </c>
      <c r="B9352" t="s">
        <v>376</v>
      </c>
      <c r="C9352" t="s">
        <v>148</v>
      </c>
      <c r="D9352">
        <v>0</v>
      </c>
      <c r="E9352">
        <v>0</v>
      </c>
      <c r="F9352">
        <v>0</v>
      </c>
      <c r="G9352">
        <v>0</v>
      </c>
    </row>
    <row r="9353" spans="1:7">
      <c r="A9353" t="s">
        <v>1876</v>
      </c>
      <c r="B9353" t="s">
        <v>376</v>
      </c>
      <c r="C9353" t="s">
        <v>149</v>
      </c>
      <c r="D9353">
        <v>0</v>
      </c>
      <c r="E9353">
        <v>0</v>
      </c>
      <c r="F9353">
        <v>0</v>
      </c>
      <c r="G9353">
        <v>0</v>
      </c>
    </row>
    <row r="9354" spans="1:7">
      <c r="A9354" t="s">
        <v>1876</v>
      </c>
      <c r="B9354" t="s">
        <v>376</v>
      </c>
      <c r="C9354" t="s">
        <v>150</v>
      </c>
      <c r="D9354">
        <v>0</v>
      </c>
      <c r="E9354">
        <v>0</v>
      </c>
      <c r="F9354">
        <v>0</v>
      </c>
      <c r="G9354">
        <v>0</v>
      </c>
    </row>
    <row r="9355" spans="1:7">
      <c r="A9355" t="s">
        <v>1876</v>
      </c>
      <c r="B9355" t="s">
        <v>376</v>
      </c>
      <c r="C9355" t="s">
        <v>1900</v>
      </c>
      <c r="D9355">
        <v>56.2</v>
      </c>
      <c r="E9355">
        <v>59.6</v>
      </c>
      <c r="F9355">
        <v>53.8</v>
      </c>
      <c r="G9355">
        <v>49.1</v>
      </c>
    </row>
    <row r="9356" spans="1:7">
      <c r="A9356" t="s">
        <v>1876</v>
      </c>
      <c r="B9356" t="s">
        <v>376</v>
      </c>
      <c r="C9356" t="s">
        <v>151</v>
      </c>
      <c r="D9356">
        <v>0</v>
      </c>
      <c r="E9356">
        <v>0</v>
      </c>
      <c r="F9356">
        <v>0</v>
      </c>
      <c r="G9356">
        <v>0</v>
      </c>
    </row>
    <row r="9357" spans="1:7">
      <c r="A9357" t="s">
        <v>1876</v>
      </c>
      <c r="B9357" t="s">
        <v>376</v>
      </c>
      <c r="C9357" t="s">
        <v>152</v>
      </c>
      <c r="D9357">
        <v>199298</v>
      </c>
      <c r="E9357">
        <v>206519</v>
      </c>
      <c r="F9357">
        <v>183769</v>
      </c>
      <c r="G9357">
        <v>168385</v>
      </c>
    </row>
    <row r="9358" spans="1:7">
      <c r="A9358" t="s">
        <v>1876</v>
      </c>
      <c r="B9358" t="s">
        <v>376</v>
      </c>
      <c r="C9358" t="s">
        <v>1703</v>
      </c>
      <c r="D9358">
        <v>3867</v>
      </c>
      <c r="E9358">
        <v>3846</v>
      </c>
      <c r="F9358">
        <v>3826</v>
      </c>
      <c r="G9358">
        <v>3818</v>
      </c>
    </row>
    <row r="9359" spans="1:7">
      <c r="A9359" t="s">
        <v>1876</v>
      </c>
      <c r="B9359" t="s">
        <v>376</v>
      </c>
      <c r="C9359" t="s">
        <v>153</v>
      </c>
      <c r="D9359">
        <v>17001</v>
      </c>
      <c r="E9359">
        <v>17052</v>
      </c>
      <c r="F9359">
        <v>11834</v>
      </c>
      <c r="G9359">
        <v>9500</v>
      </c>
    </row>
    <row r="9360" spans="1:7">
      <c r="A9360" t="s">
        <v>1876</v>
      </c>
      <c r="B9360" t="s">
        <v>376</v>
      </c>
      <c r="C9360" t="s">
        <v>154</v>
      </c>
      <c r="D9360">
        <v>0</v>
      </c>
      <c r="E9360">
        <v>0</v>
      </c>
      <c r="F9360">
        <v>0</v>
      </c>
      <c r="G9360">
        <v>0</v>
      </c>
    </row>
    <row r="9361" spans="1:7">
      <c r="A9361" t="s">
        <v>1876</v>
      </c>
      <c r="B9361" t="s">
        <v>376</v>
      </c>
      <c r="C9361" t="s">
        <v>155</v>
      </c>
      <c r="D9361">
        <v>17001</v>
      </c>
      <c r="E9361">
        <v>17052</v>
      </c>
      <c r="F9361">
        <v>11834</v>
      </c>
      <c r="G9361">
        <v>9500</v>
      </c>
    </row>
    <row r="9362" spans="1:7">
      <c r="A9362" t="s">
        <v>1876</v>
      </c>
      <c r="B9362" t="s">
        <v>376</v>
      </c>
      <c r="C9362" t="s">
        <v>156</v>
      </c>
      <c r="D9362">
        <v>0</v>
      </c>
      <c r="E9362">
        <v>0</v>
      </c>
      <c r="F9362">
        <v>0</v>
      </c>
      <c r="G9362">
        <v>0</v>
      </c>
    </row>
    <row r="9363" spans="1:7">
      <c r="A9363" t="s">
        <v>1876</v>
      </c>
      <c r="B9363" t="s">
        <v>376</v>
      </c>
      <c r="C9363" t="s">
        <v>157</v>
      </c>
      <c r="D9363">
        <v>216298</v>
      </c>
      <c r="E9363">
        <v>223571</v>
      </c>
      <c r="F9363">
        <v>195602</v>
      </c>
      <c r="G9363">
        <v>177885</v>
      </c>
    </row>
    <row r="9364" spans="1:7">
      <c r="A9364" t="s">
        <v>1876</v>
      </c>
      <c r="B9364" t="s">
        <v>376</v>
      </c>
      <c r="C9364" t="s">
        <v>158</v>
      </c>
      <c r="D9364">
        <v>17001</v>
      </c>
      <c r="E9364">
        <v>17052</v>
      </c>
      <c r="F9364">
        <v>11834</v>
      </c>
      <c r="G9364">
        <v>9500</v>
      </c>
    </row>
    <row r="9365" spans="1:7">
      <c r="A9365" t="s">
        <v>1876</v>
      </c>
      <c r="B9365" t="s">
        <v>376</v>
      </c>
      <c r="C9365" t="s">
        <v>159</v>
      </c>
      <c r="D9365">
        <v>0</v>
      </c>
      <c r="E9365">
        <v>0</v>
      </c>
      <c r="F9365">
        <v>0</v>
      </c>
      <c r="G9365">
        <v>0</v>
      </c>
    </row>
    <row r="9366" spans="1:7">
      <c r="A9366" t="s">
        <v>1876</v>
      </c>
      <c r="B9366" t="s">
        <v>376</v>
      </c>
      <c r="C9366" t="s">
        <v>1901</v>
      </c>
      <c r="D9366">
        <v>19.5</v>
      </c>
      <c r="E9366">
        <v>16.8</v>
      </c>
      <c r="F9366">
        <v>20.100000000000001</v>
      </c>
      <c r="G9366">
        <v>16.899999999999999</v>
      </c>
    </row>
    <row r="9367" spans="1:7">
      <c r="A9367" t="s">
        <v>1876</v>
      </c>
      <c r="B9367" t="s">
        <v>376</v>
      </c>
      <c r="C9367" t="s">
        <v>1902</v>
      </c>
      <c r="D9367">
        <v>84461</v>
      </c>
      <c r="E9367">
        <v>84936</v>
      </c>
      <c r="F9367">
        <v>81337</v>
      </c>
      <c r="G9367">
        <v>79682</v>
      </c>
    </row>
    <row r="9368" spans="1:7">
      <c r="A9368" t="s">
        <v>1876</v>
      </c>
      <c r="B9368" t="s">
        <v>376</v>
      </c>
      <c r="C9368" t="s">
        <v>1903</v>
      </c>
      <c r="D9368">
        <v>1691</v>
      </c>
      <c r="E9368">
        <v>1754</v>
      </c>
      <c r="F9368">
        <v>1725</v>
      </c>
      <c r="G9368">
        <v>1590</v>
      </c>
    </row>
    <row r="9369" spans="1:7">
      <c r="A9369" t="s">
        <v>1876</v>
      </c>
      <c r="B9369" t="s">
        <v>376</v>
      </c>
      <c r="C9369" t="s">
        <v>1904</v>
      </c>
      <c r="D9369">
        <v>782</v>
      </c>
      <c r="E9369">
        <v>474</v>
      </c>
      <c r="F9369">
        <v>554</v>
      </c>
      <c r="G9369">
        <v>735</v>
      </c>
    </row>
    <row r="9370" spans="1:7">
      <c r="A9370" t="s">
        <v>1876</v>
      </c>
      <c r="B9370" t="s">
        <v>376</v>
      </c>
      <c r="C9370" t="s">
        <v>1905</v>
      </c>
      <c r="D9370">
        <v>26699</v>
      </c>
      <c r="E9370">
        <v>26990</v>
      </c>
      <c r="F9370">
        <v>26342</v>
      </c>
      <c r="G9370">
        <v>25563</v>
      </c>
    </row>
    <row r="9371" spans="1:7">
      <c r="A9371" t="s">
        <v>1876</v>
      </c>
      <c r="B9371" t="s">
        <v>376</v>
      </c>
      <c r="C9371" t="s">
        <v>1906</v>
      </c>
      <c r="D9371">
        <v>94</v>
      </c>
      <c r="E9371">
        <v>99</v>
      </c>
      <c r="F9371">
        <v>97</v>
      </c>
      <c r="G9371">
        <v>88</v>
      </c>
    </row>
    <row r="9372" spans="1:7">
      <c r="A9372" t="s">
        <v>1876</v>
      </c>
      <c r="B9372" t="s">
        <v>376</v>
      </c>
      <c r="C9372" t="s">
        <v>1907</v>
      </c>
      <c r="D9372">
        <v>113727</v>
      </c>
      <c r="E9372">
        <v>114252</v>
      </c>
      <c r="F9372">
        <v>110056</v>
      </c>
      <c r="G9372">
        <v>107658</v>
      </c>
    </row>
    <row r="9373" spans="1:7">
      <c r="A9373" t="s">
        <v>1876</v>
      </c>
      <c r="B9373" t="s">
        <v>376</v>
      </c>
      <c r="C9373" t="s">
        <v>160</v>
      </c>
      <c r="D9373">
        <v>83285</v>
      </c>
      <c r="E9373">
        <v>83821</v>
      </c>
      <c r="F9373">
        <v>79766</v>
      </c>
      <c r="G9373">
        <v>78020</v>
      </c>
    </row>
    <row r="9374" spans="1:7">
      <c r="A9374" t="s">
        <v>1876</v>
      </c>
      <c r="B9374" t="s">
        <v>376</v>
      </c>
      <c r="C9374" t="s">
        <v>161</v>
      </c>
      <c r="D9374">
        <v>1691</v>
      </c>
      <c r="E9374">
        <v>1754</v>
      </c>
      <c r="F9374">
        <v>1725</v>
      </c>
      <c r="G9374">
        <v>1590</v>
      </c>
    </row>
    <row r="9375" spans="1:7">
      <c r="A9375" t="s">
        <v>1876</v>
      </c>
      <c r="B9375" t="s">
        <v>376</v>
      </c>
      <c r="C9375" t="s">
        <v>162</v>
      </c>
      <c r="D9375">
        <v>782</v>
      </c>
      <c r="E9375">
        <v>474</v>
      </c>
      <c r="F9375">
        <v>554</v>
      </c>
      <c r="G9375">
        <v>735</v>
      </c>
    </row>
    <row r="9376" spans="1:7">
      <c r="A9376" t="s">
        <v>1876</v>
      </c>
      <c r="B9376" t="s">
        <v>376</v>
      </c>
      <c r="C9376" t="s">
        <v>163</v>
      </c>
      <c r="D9376">
        <v>26699</v>
      </c>
      <c r="E9376">
        <v>26990</v>
      </c>
      <c r="F9376">
        <v>26342</v>
      </c>
      <c r="G9376">
        <v>25563</v>
      </c>
    </row>
    <row r="9377" spans="1:7">
      <c r="A9377" t="s">
        <v>1876</v>
      </c>
      <c r="B9377" t="s">
        <v>376</v>
      </c>
      <c r="C9377" t="s">
        <v>164</v>
      </c>
      <c r="D9377">
        <v>94</v>
      </c>
      <c r="E9377">
        <v>99</v>
      </c>
      <c r="F9377">
        <v>97</v>
      </c>
      <c r="G9377">
        <v>88</v>
      </c>
    </row>
    <row r="9378" spans="1:7">
      <c r="A9378" t="s">
        <v>1876</v>
      </c>
      <c r="B9378" t="s">
        <v>376</v>
      </c>
      <c r="C9378" t="s">
        <v>165</v>
      </c>
      <c r="D9378">
        <v>112551</v>
      </c>
      <c r="E9378">
        <v>113137</v>
      </c>
      <c r="F9378">
        <v>108485</v>
      </c>
      <c r="G9378">
        <v>105996</v>
      </c>
    </row>
    <row r="9379" spans="1:7">
      <c r="A9379" t="s">
        <v>1876</v>
      </c>
      <c r="B9379" t="s">
        <v>376</v>
      </c>
      <c r="C9379" t="s">
        <v>166</v>
      </c>
      <c r="D9379">
        <v>111769</v>
      </c>
      <c r="E9379">
        <v>112663</v>
      </c>
      <c r="F9379">
        <v>107931</v>
      </c>
      <c r="G9379">
        <v>105261</v>
      </c>
    </row>
    <row r="9380" spans="1:7">
      <c r="A9380" t="s">
        <v>1876</v>
      </c>
      <c r="B9380" t="s">
        <v>376</v>
      </c>
      <c r="C9380" t="s">
        <v>167</v>
      </c>
      <c r="D9380">
        <v>782</v>
      </c>
      <c r="E9380">
        <v>474</v>
      </c>
      <c r="F9380">
        <v>554</v>
      </c>
      <c r="G9380">
        <v>735</v>
      </c>
    </row>
    <row r="9381" spans="1:7">
      <c r="A9381" t="s">
        <v>1876</v>
      </c>
      <c r="B9381" t="s">
        <v>376</v>
      </c>
      <c r="C9381" t="s">
        <v>1908</v>
      </c>
      <c r="D9381">
        <v>82414</v>
      </c>
      <c r="E9381">
        <v>83034</v>
      </c>
      <c r="F9381">
        <v>78840</v>
      </c>
      <c r="G9381">
        <v>77122</v>
      </c>
    </row>
    <row r="9382" spans="1:7">
      <c r="A9382" t="s">
        <v>1876</v>
      </c>
      <c r="B9382" t="s">
        <v>376</v>
      </c>
      <c r="C9382" t="s">
        <v>1909</v>
      </c>
      <c r="D9382">
        <v>1691</v>
      </c>
      <c r="E9382">
        <v>1754</v>
      </c>
      <c r="F9382">
        <v>1725</v>
      </c>
      <c r="G9382">
        <v>1590</v>
      </c>
    </row>
    <row r="9383" spans="1:7">
      <c r="A9383" t="s">
        <v>1876</v>
      </c>
      <c r="B9383" t="s">
        <v>376</v>
      </c>
      <c r="C9383" t="s">
        <v>1910</v>
      </c>
      <c r="D9383">
        <v>782</v>
      </c>
      <c r="E9383">
        <v>474</v>
      </c>
      <c r="F9383">
        <v>554</v>
      </c>
      <c r="G9383">
        <v>735</v>
      </c>
    </row>
    <row r="9384" spans="1:7">
      <c r="A9384" t="s">
        <v>1876</v>
      </c>
      <c r="B9384" t="s">
        <v>376</v>
      </c>
      <c r="C9384" t="s">
        <v>1911</v>
      </c>
      <c r="D9384">
        <v>26699</v>
      </c>
      <c r="E9384">
        <v>26990</v>
      </c>
      <c r="F9384">
        <v>26342</v>
      </c>
      <c r="G9384">
        <v>25563</v>
      </c>
    </row>
    <row r="9385" spans="1:7">
      <c r="A9385" t="s">
        <v>1876</v>
      </c>
      <c r="B9385" t="s">
        <v>376</v>
      </c>
      <c r="C9385" t="s">
        <v>1912</v>
      </c>
      <c r="D9385">
        <v>94</v>
      </c>
      <c r="E9385">
        <v>99</v>
      </c>
      <c r="F9385">
        <v>97</v>
      </c>
      <c r="G9385">
        <v>88</v>
      </c>
    </row>
    <row r="9386" spans="1:7">
      <c r="A9386" t="s">
        <v>1876</v>
      </c>
      <c r="B9386" t="s">
        <v>376</v>
      </c>
      <c r="C9386" t="s">
        <v>168</v>
      </c>
      <c r="D9386">
        <v>111680</v>
      </c>
      <c r="E9386">
        <v>112350</v>
      </c>
      <c r="F9386">
        <v>107559</v>
      </c>
      <c r="G9386">
        <v>105098</v>
      </c>
    </row>
    <row r="9387" spans="1:7">
      <c r="A9387" t="s">
        <v>1876</v>
      </c>
      <c r="B9387" t="s">
        <v>376</v>
      </c>
      <c r="C9387" t="s">
        <v>169</v>
      </c>
      <c r="D9387">
        <v>0</v>
      </c>
      <c r="E9387">
        <v>0</v>
      </c>
      <c r="F9387">
        <v>0</v>
      </c>
      <c r="G9387">
        <v>0</v>
      </c>
    </row>
    <row r="9388" spans="1:7">
      <c r="A9388" t="s">
        <v>1876</v>
      </c>
      <c r="B9388" t="s">
        <v>376</v>
      </c>
      <c r="C9388" t="s">
        <v>1704</v>
      </c>
      <c r="D9388">
        <v>10256</v>
      </c>
      <c r="E9388">
        <v>10800</v>
      </c>
      <c r="F9388">
        <v>10781</v>
      </c>
      <c r="G9388">
        <v>10868</v>
      </c>
    </row>
    <row r="9389" spans="1:7">
      <c r="A9389" t="s">
        <v>1876</v>
      </c>
      <c r="B9389" t="s">
        <v>376</v>
      </c>
      <c r="C9389" t="s">
        <v>170</v>
      </c>
      <c r="D9389">
        <v>0</v>
      </c>
      <c r="E9389">
        <v>0</v>
      </c>
      <c r="F9389">
        <v>0</v>
      </c>
      <c r="G9389">
        <v>0</v>
      </c>
    </row>
    <row r="9390" spans="1:7">
      <c r="A9390" t="s">
        <v>1876</v>
      </c>
      <c r="B9390" t="s">
        <v>376</v>
      </c>
      <c r="C9390" t="s">
        <v>171</v>
      </c>
      <c r="D9390">
        <v>-30582</v>
      </c>
      <c r="E9390">
        <v>-39345</v>
      </c>
      <c r="F9390">
        <v>-32235</v>
      </c>
      <c r="G9390">
        <v>2403</v>
      </c>
    </row>
    <row r="9391" spans="1:7">
      <c r="A9391" t="s">
        <v>1876</v>
      </c>
      <c r="B9391" t="s">
        <v>376</v>
      </c>
      <c r="C9391" t="s">
        <v>172</v>
      </c>
      <c r="D9391">
        <v>0</v>
      </c>
      <c r="E9391">
        <v>0</v>
      </c>
      <c r="F9391">
        <v>0</v>
      </c>
      <c r="G9391">
        <v>0</v>
      </c>
    </row>
    <row r="9392" spans="1:7">
      <c r="A9392" t="s">
        <v>1876</v>
      </c>
      <c r="B9392" t="s">
        <v>376</v>
      </c>
      <c r="C9392" t="s">
        <v>1913</v>
      </c>
      <c r="D9392">
        <v>4.5999999999999996</v>
      </c>
      <c r="E9392">
        <v>6.5</v>
      </c>
      <c r="F9392">
        <v>10</v>
      </c>
      <c r="G9392">
        <v>13.3</v>
      </c>
    </row>
    <row r="9393" spans="1:7">
      <c r="A9393" t="s">
        <v>1876</v>
      </c>
      <c r="B9393" t="s">
        <v>376</v>
      </c>
      <c r="C9393" t="s">
        <v>1914</v>
      </c>
      <c r="D9393">
        <v>0.3</v>
      </c>
      <c r="E9393">
        <v>0.4</v>
      </c>
      <c r="F9393">
        <v>0.5</v>
      </c>
      <c r="G9393">
        <v>0.7</v>
      </c>
    </row>
    <row r="9394" spans="1:7">
      <c r="A9394" t="s">
        <v>1876</v>
      </c>
      <c r="B9394" t="s">
        <v>376</v>
      </c>
      <c r="C9394" t="s">
        <v>173</v>
      </c>
      <c r="D9394">
        <v>6825</v>
      </c>
      <c r="E9394">
        <v>6843</v>
      </c>
      <c r="F9394">
        <v>6917</v>
      </c>
      <c r="G9394">
        <v>7021</v>
      </c>
    </row>
    <row r="9395" spans="1:7">
      <c r="A9395" t="s">
        <v>1876</v>
      </c>
      <c r="B9395" t="s">
        <v>376</v>
      </c>
      <c r="C9395" t="s">
        <v>174</v>
      </c>
      <c r="D9395">
        <v>126</v>
      </c>
      <c r="E9395">
        <v>137</v>
      </c>
      <c r="F9395">
        <v>129</v>
      </c>
      <c r="G9395">
        <v>106</v>
      </c>
    </row>
    <row r="9396" spans="1:7">
      <c r="A9396" t="s">
        <v>1876</v>
      </c>
      <c r="B9396" t="s">
        <v>376</v>
      </c>
      <c r="C9396" t="s">
        <v>175</v>
      </c>
      <c r="D9396">
        <v>211</v>
      </c>
      <c r="E9396">
        <v>225</v>
      </c>
      <c r="F9396">
        <v>240</v>
      </c>
      <c r="G9396">
        <v>203</v>
      </c>
    </row>
    <row r="9397" spans="1:7">
      <c r="A9397" t="s">
        <v>1876</v>
      </c>
      <c r="B9397" t="s">
        <v>376</v>
      </c>
      <c r="C9397" t="s">
        <v>176</v>
      </c>
      <c r="D9397">
        <v>106145</v>
      </c>
      <c r="E9397">
        <v>106497</v>
      </c>
      <c r="F9397">
        <v>104131</v>
      </c>
      <c r="G9397">
        <v>107997</v>
      </c>
    </row>
    <row r="9398" spans="1:7">
      <c r="A9398" t="s">
        <v>1876</v>
      </c>
      <c r="B9398" t="s">
        <v>376</v>
      </c>
      <c r="C9398" t="s">
        <v>177</v>
      </c>
      <c r="D9398">
        <v>7162</v>
      </c>
      <c r="E9398">
        <v>7205</v>
      </c>
      <c r="F9398">
        <v>7286</v>
      </c>
      <c r="G9398">
        <v>7329</v>
      </c>
    </row>
    <row r="9399" spans="1:7">
      <c r="A9399" t="s">
        <v>1876</v>
      </c>
      <c r="B9399" t="s">
        <v>376</v>
      </c>
      <c r="C9399" t="s">
        <v>178</v>
      </c>
      <c r="D9399">
        <v>0</v>
      </c>
      <c r="E9399">
        <v>0</v>
      </c>
      <c r="F9399">
        <v>0</v>
      </c>
      <c r="G9399">
        <v>0</v>
      </c>
    </row>
    <row r="9400" spans="1:7">
      <c r="A9400" t="s">
        <v>1876</v>
      </c>
      <c r="B9400" t="s">
        <v>376</v>
      </c>
      <c r="C9400" t="s">
        <v>179</v>
      </c>
      <c r="D9400">
        <v>0</v>
      </c>
      <c r="E9400">
        <v>0</v>
      </c>
      <c r="F9400">
        <v>0</v>
      </c>
      <c r="G9400">
        <v>0</v>
      </c>
    </row>
    <row r="9401" spans="1:7">
      <c r="A9401" t="s">
        <v>1876</v>
      </c>
      <c r="B9401" t="s">
        <v>376</v>
      </c>
      <c r="C9401" t="s">
        <v>180</v>
      </c>
      <c r="D9401">
        <v>0</v>
      </c>
      <c r="E9401">
        <v>0</v>
      </c>
      <c r="F9401">
        <v>0</v>
      </c>
      <c r="G9401">
        <v>0</v>
      </c>
    </row>
    <row r="9402" spans="1:7">
      <c r="A9402" t="s">
        <v>1876</v>
      </c>
      <c r="B9402" t="s">
        <v>376</v>
      </c>
      <c r="C9402" t="s">
        <v>181</v>
      </c>
      <c r="D9402">
        <v>31597</v>
      </c>
      <c r="E9402">
        <v>32819</v>
      </c>
      <c r="F9402">
        <v>38421</v>
      </c>
      <c r="G9402">
        <v>43964</v>
      </c>
    </row>
    <row r="9403" spans="1:7">
      <c r="A9403" t="s">
        <v>1876</v>
      </c>
      <c r="B9403" t="s">
        <v>376</v>
      </c>
      <c r="C9403" t="s">
        <v>182</v>
      </c>
      <c r="D9403">
        <v>42952</v>
      </c>
      <c r="E9403">
        <v>45181</v>
      </c>
      <c r="F9403">
        <v>39716</v>
      </c>
      <c r="G9403">
        <v>40654</v>
      </c>
    </row>
    <row r="9404" spans="1:7">
      <c r="A9404" t="s">
        <v>1876</v>
      </c>
      <c r="B9404" t="s">
        <v>376</v>
      </c>
      <c r="C9404" t="s">
        <v>183</v>
      </c>
      <c r="D9404">
        <v>35800</v>
      </c>
      <c r="E9404">
        <v>37476</v>
      </c>
      <c r="F9404">
        <v>36408</v>
      </c>
      <c r="G9404">
        <v>35454</v>
      </c>
    </row>
    <row r="9405" spans="1:7">
      <c r="A9405" t="s">
        <v>1876</v>
      </c>
      <c r="B9405" t="s">
        <v>376</v>
      </c>
      <c r="C9405" t="s">
        <v>184</v>
      </c>
      <c r="D9405">
        <v>110348</v>
      </c>
      <c r="E9405">
        <v>115476</v>
      </c>
      <c r="F9405">
        <v>114545</v>
      </c>
      <c r="G9405">
        <v>120072</v>
      </c>
    </row>
    <row r="9406" spans="1:7">
      <c r="A9406" t="s">
        <v>1876</v>
      </c>
      <c r="B9406" t="s">
        <v>376</v>
      </c>
      <c r="C9406" t="s">
        <v>185</v>
      </c>
      <c r="D9406">
        <v>110348</v>
      </c>
      <c r="E9406">
        <v>115476</v>
      </c>
      <c r="F9406">
        <v>114545</v>
      </c>
      <c r="G9406">
        <v>120072</v>
      </c>
    </row>
    <row r="9407" spans="1:7">
      <c r="A9407" t="s">
        <v>1876</v>
      </c>
      <c r="B9407" t="s">
        <v>376</v>
      </c>
      <c r="C9407" t="s">
        <v>1915</v>
      </c>
      <c r="D9407">
        <v>8</v>
      </c>
      <c r="E9407">
        <v>14</v>
      </c>
      <c r="F9407">
        <v>33</v>
      </c>
      <c r="G9407">
        <v>44</v>
      </c>
    </row>
    <row r="9408" spans="1:7">
      <c r="A9408" t="s">
        <v>1876</v>
      </c>
      <c r="B9408" t="s">
        <v>376</v>
      </c>
      <c r="C9408" t="s">
        <v>1916</v>
      </c>
      <c r="D9408">
        <v>0</v>
      </c>
      <c r="E9408">
        <v>0</v>
      </c>
      <c r="F9408">
        <v>0</v>
      </c>
      <c r="G9408">
        <v>0</v>
      </c>
    </row>
    <row r="9409" spans="1:7">
      <c r="A9409" t="s">
        <v>1876</v>
      </c>
      <c r="B9409" t="s">
        <v>376</v>
      </c>
      <c r="C9409" t="s">
        <v>1917</v>
      </c>
      <c r="D9409">
        <v>7</v>
      </c>
      <c r="E9409">
        <v>0</v>
      </c>
      <c r="F9409">
        <v>1</v>
      </c>
      <c r="G9409">
        <v>1</v>
      </c>
    </row>
    <row r="9410" spans="1:7">
      <c r="A9410" t="s">
        <v>1876</v>
      </c>
      <c r="B9410" t="s">
        <v>376</v>
      </c>
      <c r="C9410" t="s">
        <v>1918</v>
      </c>
      <c r="D9410">
        <v>326</v>
      </c>
      <c r="E9410">
        <v>388</v>
      </c>
      <c r="F9410">
        <v>435</v>
      </c>
      <c r="G9410">
        <v>470</v>
      </c>
    </row>
    <row r="9411" spans="1:7">
      <c r="A9411" t="s">
        <v>1876</v>
      </c>
      <c r="B9411" t="s">
        <v>376</v>
      </c>
      <c r="C9411" t="s">
        <v>1919</v>
      </c>
      <c r="D9411">
        <v>2.16</v>
      </c>
      <c r="E9411">
        <v>2.14</v>
      </c>
      <c r="F9411">
        <v>2.09</v>
      </c>
      <c r="G9411">
        <v>2.08</v>
      </c>
    </row>
    <row r="9412" spans="1:7">
      <c r="A9412" t="s">
        <v>1876</v>
      </c>
      <c r="B9412" t="s">
        <v>376</v>
      </c>
      <c r="C9412" t="s">
        <v>1920</v>
      </c>
      <c r="D9412">
        <v>414</v>
      </c>
      <c r="E9412">
        <v>498</v>
      </c>
      <c r="F9412">
        <v>592</v>
      </c>
      <c r="G9412">
        <v>687</v>
      </c>
    </row>
    <row r="9413" spans="1:7">
      <c r="A9413" t="s">
        <v>1876</v>
      </c>
      <c r="B9413" t="s">
        <v>376</v>
      </c>
      <c r="C9413" t="s">
        <v>1921</v>
      </c>
      <c r="D9413">
        <v>179</v>
      </c>
      <c r="E9413">
        <v>223</v>
      </c>
      <c r="F9413">
        <v>264</v>
      </c>
      <c r="G9413">
        <v>298</v>
      </c>
    </row>
    <row r="9414" spans="1:7">
      <c r="A9414" t="s">
        <v>1876</v>
      </c>
      <c r="B9414" t="s">
        <v>376</v>
      </c>
      <c r="C9414" t="s">
        <v>1922</v>
      </c>
      <c r="D9414">
        <v>81</v>
      </c>
      <c r="E9414">
        <v>110</v>
      </c>
      <c r="F9414">
        <v>156</v>
      </c>
      <c r="G9414">
        <v>216</v>
      </c>
    </row>
    <row r="9415" spans="1:7">
      <c r="A9415" t="s">
        <v>1876</v>
      </c>
      <c r="B9415" t="s">
        <v>376</v>
      </c>
      <c r="C9415" t="s">
        <v>1923</v>
      </c>
      <c r="D9415">
        <v>2.61</v>
      </c>
      <c r="E9415">
        <v>2.39</v>
      </c>
      <c r="F9415">
        <v>2.48</v>
      </c>
      <c r="G9415">
        <v>2.5099999999999998</v>
      </c>
    </row>
    <row r="9416" spans="1:7">
      <c r="A9416" t="s">
        <v>1876</v>
      </c>
      <c r="B9416" t="s">
        <v>376</v>
      </c>
      <c r="C9416" t="s">
        <v>1924</v>
      </c>
      <c r="D9416">
        <v>4</v>
      </c>
      <c r="E9416">
        <v>0</v>
      </c>
      <c r="F9416">
        <v>0</v>
      </c>
      <c r="G9416">
        <v>0</v>
      </c>
    </row>
    <row r="9417" spans="1:7">
      <c r="A9417" t="s">
        <v>1876</v>
      </c>
      <c r="B9417" t="s">
        <v>376</v>
      </c>
      <c r="C9417" t="s">
        <v>1925</v>
      </c>
      <c r="D9417">
        <v>8</v>
      </c>
      <c r="E9417">
        <v>9</v>
      </c>
      <c r="F9417">
        <v>8</v>
      </c>
      <c r="G9417">
        <v>8</v>
      </c>
    </row>
    <row r="9418" spans="1:7">
      <c r="A9418" t="s">
        <v>1876</v>
      </c>
      <c r="B9418" t="s">
        <v>376</v>
      </c>
      <c r="C9418" t="s">
        <v>1926</v>
      </c>
      <c r="D9418">
        <v>167</v>
      </c>
      <c r="E9418">
        <v>214</v>
      </c>
      <c r="F9418">
        <v>256</v>
      </c>
      <c r="G9418">
        <v>290</v>
      </c>
    </row>
    <row r="9419" spans="1:7">
      <c r="A9419" t="s">
        <v>1876</v>
      </c>
      <c r="B9419" t="s">
        <v>376</v>
      </c>
      <c r="C9419" t="s">
        <v>1927</v>
      </c>
      <c r="D9419">
        <v>4</v>
      </c>
      <c r="E9419">
        <v>5</v>
      </c>
      <c r="F9419">
        <v>5</v>
      </c>
      <c r="G9419">
        <v>5</v>
      </c>
    </row>
    <row r="9420" spans="1:7">
      <c r="A9420" t="s">
        <v>1876</v>
      </c>
      <c r="B9420" t="s">
        <v>376</v>
      </c>
      <c r="C9420" t="s">
        <v>1928</v>
      </c>
      <c r="D9420">
        <v>174</v>
      </c>
      <c r="E9420">
        <v>216</v>
      </c>
      <c r="F9420">
        <v>257</v>
      </c>
      <c r="G9420">
        <v>288</v>
      </c>
    </row>
    <row r="9421" spans="1:7">
      <c r="A9421" t="s">
        <v>1876</v>
      </c>
      <c r="B9421" t="s">
        <v>376</v>
      </c>
      <c r="C9421" t="s">
        <v>1929</v>
      </c>
      <c r="D9421">
        <v>1</v>
      </c>
      <c r="E9421">
        <v>2</v>
      </c>
      <c r="F9421">
        <v>2</v>
      </c>
      <c r="G9421">
        <v>5</v>
      </c>
    </row>
    <row r="9422" spans="1:7">
      <c r="A9422" t="s">
        <v>1876</v>
      </c>
      <c r="B9422" t="s">
        <v>376</v>
      </c>
      <c r="C9422" t="s">
        <v>186</v>
      </c>
      <c r="D9422">
        <v>0</v>
      </c>
      <c r="E9422">
        <v>0</v>
      </c>
      <c r="F9422">
        <v>0</v>
      </c>
      <c r="G9422">
        <v>0</v>
      </c>
    </row>
    <row r="9423" spans="1:7">
      <c r="A9423" t="s">
        <v>1876</v>
      </c>
      <c r="B9423" t="s">
        <v>376</v>
      </c>
      <c r="C9423" t="s">
        <v>187</v>
      </c>
      <c r="D9423">
        <v>0</v>
      </c>
      <c r="E9423">
        <v>0</v>
      </c>
      <c r="F9423">
        <v>0</v>
      </c>
      <c r="G9423">
        <v>0</v>
      </c>
    </row>
    <row r="9424" spans="1:7">
      <c r="A9424" t="s">
        <v>1876</v>
      </c>
      <c r="B9424" t="s">
        <v>376</v>
      </c>
      <c r="C9424" t="s">
        <v>1705</v>
      </c>
      <c r="D9424">
        <v>6200</v>
      </c>
      <c r="E9424">
        <v>6172</v>
      </c>
      <c r="F9424">
        <v>6153</v>
      </c>
      <c r="G9424">
        <v>6149</v>
      </c>
    </row>
    <row r="9425" spans="1:7">
      <c r="A9425" t="s">
        <v>1876</v>
      </c>
      <c r="B9425" t="s">
        <v>376</v>
      </c>
      <c r="C9425" t="s">
        <v>188</v>
      </c>
      <c r="D9425">
        <v>644533</v>
      </c>
      <c r="E9425">
        <v>660372</v>
      </c>
      <c r="F9425">
        <v>633531</v>
      </c>
      <c r="G9425">
        <v>611041</v>
      </c>
    </row>
    <row r="9426" spans="1:7">
      <c r="A9426" t="s">
        <v>1876</v>
      </c>
      <c r="B9426" t="s">
        <v>376</v>
      </c>
      <c r="C9426" t="s">
        <v>189</v>
      </c>
      <c r="D9426">
        <v>0</v>
      </c>
      <c r="E9426">
        <v>0</v>
      </c>
      <c r="F9426">
        <v>0</v>
      </c>
      <c r="G9426">
        <v>0</v>
      </c>
    </row>
    <row r="9427" spans="1:7">
      <c r="A9427" t="s">
        <v>1876</v>
      </c>
      <c r="B9427" t="s">
        <v>376</v>
      </c>
      <c r="C9427" t="s">
        <v>190</v>
      </c>
      <c r="D9427">
        <v>0</v>
      </c>
      <c r="E9427">
        <v>0</v>
      </c>
      <c r="F9427">
        <v>0</v>
      </c>
      <c r="G9427">
        <v>0</v>
      </c>
    </row>
    <row r="9428" spans="1:7">
      <c r="A9428" t="s">
        <v>1876</v>
      </c>
      <c r="B9428" t="s">
        <v>376</v>
      </c>
      <c r="C9428" t="s">
        <v>191</v>
      </c>
      <c r="D9428">
        <v>0</v>
      </c>
      <c r="E9428">
        <v>0</v>
      </c>
      <c r="F9428">
        <v>0</v>
      </c>
      <c r="G9428">
        <v>0</v>
      </c>
    </row>
    <row r="9429" spans="1:7">
      <c r="A9429" t="s">
        <v>1876</v>
      </c>
      <c r="B9429" t="s">
        <v>376</v>
      </c>
      <c r="C9429" t="s">
        <v>192</v>
      </c>
      <c r="D9429">
        <v>150952.5</v>
      </c>
      <c r="E9429">
        <v>167840.2</v>
      </c>
      <c r="F9429">
        <v>183780.9</v>
      </c>
      <c r="G9429">
        <v>189242.7</v>
      </c>
    </row>
    <row r="9430" spans="1:7">
      <c r="A9430" t="s">
        <v>1876</v>
      </c>
      <c r="B9430" t="s">
        <v>376</v>
      </c>
      <c r="C9430" t="s">
        <v>193</v>
      </c>
      <c r="D9430">
        <v>135166.39999999999</v>
      </c>
      <c r="E9430">
        <v>139878.1</v>
      </c>
      <c r="F9430">
        <v>147146.5</v>
      </c>
      <c r="G9430">
        <v>148102.79999999999</v>
      </c>
    </row>
    <row r="9431" spans="1:7">
      <c r="A9431" t="s">
        <v>1876</v>
      </c>
      <c r="B9431" t="s">
        <v>376</v>
      </c>
      <c r="C9431" t="s">
        <v>1930</v>
      </c>
      <c r="D9431">
        <v>0</v>
      </c>
      <c r="E9431">
        <v>0</v>
      </c>
      <c r="F9431">
        <v>0</v>
      </c>
      <c r="G9431">
        <v>0</v>
      </c>
    </row>
    <row r="9432" spans="1:7">
      <c r="A9432" t="s">
        <v>1876</v>
      </c>
      <c r="B9432" t="s">
        <v>376</v>
      </c>
      <c r="C9432" t="s">
        <v>194</v>
      </c>
      <c r="D9432">
        <v>720</v>
      </c>
      <c r="E9432">
        <v>720</v>
      </c>
      <c r="F9432">
        <v>720</v>
      </c>
      <c r="G9432">
        <v>720</v>
      </c>
    </row>
    <row r="9433" spans="1:7">
      <c r="A9433" t="s">
        <v>1876</v>
      </c>
      <c r="B9433" t="s">
        <v>376</v>
      </c>
      <c r="C9433" t="s">
        <v>195</v>
      </c>
      <c r="D9433">
        <v>0</v>
      </c>
      <c r="E9433">
        <v>0</v>
      </c>
      <c r="F9433">
        <v>0</v>
      </c>
      <c r="G9433">
        <v>0</v>
      </c>
    </row>
    <row r="9434" spans="1:7">
      <c r="A9434" t="s">
        <v>1876</v>
      </c>
      <c r="B9434" t="s">
        <v>376</v>
      </c>
      <c r="C9434" t="s">
        <v>1706</v>
      </c>
      <c r="D9434">
        <v>0</v>
      </c>
      <c r="E9434">
        <v>0</v>
      </c>
      <c r="F9434">
        <v>0</v>
      </c>
      <c r="G9434">
        <v>0</v>
      </c>
    </row>
    <row r="9435" spans="1:7">
      <c r="A9435" t="s">
        <v>1876</v>
      </c>
      <c r="B9435" t="s">
        <v>376</v>
      </c>
      <c r="C9435" t="s">
        <v>196</v>
      </c>
      <c r="D9435">
        <v>0</v>
      </c>
      <c r="E9435">
        <v>0</v>
      </c>
      <c r="F9435">
        <v>0</v>
      </c>
      <c r="G9435">
        <v>0</v>
      </c>
    </row>
    <row r="9436" spans="1:7">
      <c r="A9436" t="s">
        <v>1876</v>
      </c>
      <c r="B9436" t="s">
        <v>376</v>
      </c>
      <c r="C9436" t="s">
        <v>197</v>
      </c>
      <c r="D9436">
        <v>492</v>
      </c>
      <c r="E9436">
        <v>492</v>
      </c>
      <c r="F9436">
        <v>492</v>
      </c>
      <c r="G9436">
        <v>492</v>
      </c>
    </row>
    <row r="9437" spans="1:7">
      <c r="A9437" t="s">
        <v>1876</v>
      </c>
      <c r="B9437" t="s">
        <v>376</v>
      </c>
      <c r="C9437" t="s">
        <v>198</v>
      </c>
      <c r="D9437">
        <v>1212</v>
      </c>
      <c r="E9437">
        <v>1212</v>
      </c>
      <c r="F9437">
        <v>1212</v>
      </c>
      <c r="G9437">
        <v>1212</v>
      </c>
    </row>
    <row r="9438" spans="1:7">
      <c r="A9438" t="s">
        <v>1876</v>
      </c>
      <c r="B9438" t="s">
        <v>376</v>
      </c>
      <c r="C9438" t="s">
        <v>199</v>
      </c>
      <c r="D9438">
        <v>1212</v>
      </c>
      <c r="E9438">
        <v>1212</v>
      </c>
      <c r="F9438">
        <v>1212</v>
      </c>
      <c r="G9438">
        <v>1212</v>
      </c>
    </row>
    <row r="9439" spans="1:7">
      <c r="A9439" t="s">
        <v>1876</v>
      </c>
      <c r="B9439" t="s">
        <v>376</v>
      </c>
      <c r="C9439" t="s">
        <v>200</v>
      </c>
      <c r="D9439">
        <v>330</v>
      </c>
      <c r="E9439">
        <v>37</v>
      </c>
      <c r="F9439">
        <v>51</v>
      </c>
      <c r="G9439">
        <v>26</v>
      </c>
    </row>
    <row r="9440" spans="1:7">
      <c r="A9440" t="s">
        <v>1876</v>
      </c>
      <c r="B9440" t="s">
        <v>376</v>
      </c>
      <c r="C9440" t="s">
        <v>201</v>
      </c>
      <c r="D9440">
        <v>1365</v>
      </c>
      <c r="E9440">
        <v>1412</v>
      </c>
      <c r="F9440">
        <v>841</v>
      </c>
      <c r="G9440">
        <v>753</v>
      </c>
    </row>
    <row r="9441" spans="1:7">
      <c r="A9441" t="s">
        <v>1876</v>
      </c>
      <c r="B9441" t="s">
        <v>376</v>
      </c>
      <c r="C9441" t="s">
        <v>202</v>
      </c>
      <c r="D9441">
        <v>2007</v>
      </c>
      <c r="E9441">
        <v>2503</v>
      </c>
      <c r="F9441">
        <v>3093</v>
      </c>
      <c r="G9441">
        <v>2359</v>
      </c>
    </row>
    <row r="9442" spans="1:7">
      <c r="A9442" t="s">
        <v>1876</v>
      </c>
      <c r="B9442" t="s">
        <v>376</v>
      </c>
      <c r="C9442" t="s">
        <v>203</v>
      </c>
      <c r="D9442">
        <v>6192</v>
      </c>
      <c r="E9442">
        <v>5815</v>
      </c>
      <c r="F9442">
        <v>4572</v>
      </c>
      <c r="G9442">
        <v>3996</v>
      </c>
    </row>
    <row r="9443" spans="1:7">
      <c r="A9443" t="s">
        <v>1876</v>
      </c>
      <c r="B9443" t="s">
        <v>376</v>
      </c>
      <c r="C9443" t="s">
        <v>204</v>
      </c>
      <c r="D9443">
        <v>9894</v>
      </c>
      <c r="E9443">
        <v>9767</v>
      </c>
      <c r="F9443">
        <v>8557</v>
      </c>
      <c r="G9443">
        <v>7135</v>
      </c>
    </row>
    <row r="9444" spans="1:7">
      <c r="A9444" t="s">
        <v>1876</v>
      </c>
      <c r="B9444" t="s">
        <v>376</v>
      </c>
      <c r="C9444" t="s">
        <v>205</v>
      </c>
      <c r="D9444">
        <v>9894</v>
      </c>
      <c r="E9444">
        <v>9767</v>
      </c>
      <c r="F9444">
        <v>8557</v>
      </c>
      <c r="G9444">
        <v>7135</v>
      </c>
    </row>
    <row r="9445" spans="1:7">
      <c r="A9445" t="s">
        <v>1876</v>
      </c>
      <c r="B9445" t="s">
        <v>376</v>
      </c>
      <c r="C9445" t="s">
        <v>1931</v>
      </c>
      <c r="D9445">
        <v>0</v>
      </c>
      <c r="E9445">
        <v>0</v>
      </c>
      <c r="F9445">
        <v>0</v>
      </c>
      <c r="G9445">
        <v>0</v>
      </c>
    </row>
    <row r="9446" spans="1:7">
      <c r="A9446" t="s">
        <v>1876</v>
      </c>
      <c r="B9446" t="s">
        <v>376</v>
      </c>
      <c r="C9446" t="s">
        <v>1707</v>
      </c>
      <c r="D9446">
        <v>0</v>
      </c>
      <c r="E9446">
        <v>0</v>
      </c>
      <c r="F9446">
        <v>0</v>
      </c>
      <c r="G9446">
        <v>0</v>
      </c>
    </row>
    <row r="9447" spans="1:7">
      <c r="A9447" t="s">
        <v>1876</v>
      </c>
      <c r="B9447" t="s">
        <v>376</v>
      </c>
      <c r="C9447" t="s">
        <v>1932</v>
      </c>
      <c r="D9447">
        <v>45.8</v>
      </c>
      <c r="E9447">
        <v>43.2</v>
      </c>
      <c r="F9447">
        <v>46.6</v>
      </c>
      <c r="G9447">
        <v>48.3</v>
      </c>
    </row>
    <row r="9448" spans="1:7">
      <c r="A9448" t="s">
        <v>1876</v>
      </c>
      <c r="B9448" t="s">
        <v>376</v>
      </c>
      <c r="C9448" t="s">
        <v>1708</v>
      </c>
      <c r="D9448">
        <v>280</v>
      </c>
      <c r="E9448">
        <v>280</v>
      </c>
      <c r="F9448">
        <v>280</v>
      </c>
      <c r="G9448">
        <v>279</v>
      </c>
    </row>
    <row r="9449" spans="1:7">
      <c r="A9449" t="s">
        <v>1876</v>
      </c>
      <c r="B9449" t="s">
        <v>376</v>
      </c>
      <c r="C9449" t="s">
        <v>206</v>
      </c>
      <c r="D9449">
        <v>0</v>
      </c>
      <c r="E9449">
        <v>0</v>
      </c>
      <c r="F9449">
        <v>0</v>
      </c>
      <c r="G9449">
        <v>0</v>
      </c>
    </row>
    <row r="9450" spans="1:7">
      <c r="A9450" t="s">
        <v>1876</v>
      </c>
      <c r="B9450" t="s">
        <v>376</v>
      </c>
      <c r="C9450" t="s">
        <v>207</v>
      </c>
      <c r="D9450">
        <v>3832</v>
      </c>
      <c r="E9450">
        <v>3608</v>
      </c>
      <c r="F9450">
        <v>3900</v>
      </c>
      <c r="G9450">
        <v>4035</v>
      </c>
    </row>
    <row r="9451" spans="1:7">
      <c r="A9451" t="s">
        <v>1876</v>
      </c>
      <c r="B9451" t="s">
        <v>376</v>
      </c>
      <c r="C9451" t="s">
        <v>208</v>
      </c>
      <c r="D9451">
        <v>0</v>
      </c>
      <c r="E9451">
        <v>0</v>
      </c>
      <c r="F9451">
        <v>0</v>
      </c>
      <c r="G9451">
        <v>0</v>
      </c>
    </row>
    <row r="9452" spans="1:7">
      <c r="A9452" t="s">
        <v>1876</v>
      </c>
      <c r="B9452" t="s">
        <v>376</v>
      </c>
      <c r="C9452" t="s">
        <v>209</v>
      </c>
      <c r="D9452">
        <v>3832</v>
      </c>
      <c r="E9452">
        <v>3608</v>
      </c>
      <c r="F9452">
        <v>3900</v>
      </c>
      <c r="G9452">
        <v>4035</v>
      </c>
    </row>
    <row r="9453" spans="1:7">
      <c r="A9453" t="s">
        <v>1876</v>
      </c>
      <c r="B9453" t="s">
        <v>376</v>
      </c>
      <c r="C9453" t="s">
        <v>210</v>
      </c>
      <c r="D9453">
        <v>0</v>
      </c>
      <c r="E9453">
        <v>0</v>
      </c>
      <c r="F9453">
        <v>0</v>
      </c>
      <c r="G9453">
        <v>0</v>
      </c>
    </row>
    <row r="9454" spans="1:7">
      <c r="A9454" t="s">
        <v>1876</v>
      </c>
      <c r="B9454" t="s">
        <v>376</v>
      </c>
      <c r="C9454" t="s">
        <v>211</v>
      </c>
      <c r="D9454">
        <v>0</v>
      </c>
      <c r="E9454">
        <v>0</v>
      </c>
      <c r="F9454">
        <v>0</v>
      </c>
      <c r="G9454">
        <v>0</v>
      </c>
    </row>
    <row r="9455" spans="1:7">
      <c r="A9455" t="s">
        <v>1876</v>
      </c>
      <c r="B9455" t="s">
        <v>376</v>
      </c>
      <c r="C9455" t="s">
        <v>212</v>
      </c>
      <c r="D9455">
        <v>0</v>
      </c>
      <c r="E9455">
        <v>0</v>
      </c>
      <c r="F9455">
        <v>0</v>
      </c>
      <c r="G9455">
        <v>0</v>
      </c>
    </row>
    <row r="9456" spans="1:7">
      <c r="A9456" t="s">
        <v>1876</v>
      </c>
      <c r="B9456" t="s">
        <v>376</v>
      </c>
      <c r="C9456" t="s">
        <v>213</v>
      </c>
      <c r="D9456">
        <v>0</v>
      </c>
      <c r="E9456">
        <v>0</v>
      </c>
      <c r="F9456">
        <v>0</v>
      </c>
      <c r="G9456">
        <v>0</v>
      </c>
    </row>
    <row r="9457" spans="1:7">
      <c r="A9457" t="s">
        <v>1876</v>
      </c>
      <c r="B9457" t="s">
        <v>376</v>
      </c>
      <c r="C9457" t="s">
        <v>214</v>
      </c>
      <c r="D9457">
        <v>0</v>
      </c>
      <c r="E9457">
        <v>0</v>
      </c>
      <c r="F9457">
        <v>0</v>
      </c>
      <c r="G9457">
        <v>0</v>
      </c>
    </row>
    <row r="9458" spans="1:7">
      <c r="A9458" t="s">
        <v>1876</v>
      </c>
      <c r="B9458" t="s">
        <v>376</v>
      </c>
      <c r="C9458" t="s">
        <v>215</v>
      </c>
      <c r="D9458">
        <v>6080</v>
      </c>
      <c r="E9458">
        <v>6132</v>
      </c>
      <c r="F9458">
        <v>6431</v>
      </c>
      <c r="G9458">
        <v>5915</v>
      </c>
    </row>
    <row r="9459" spans="1:7">
      <c r="A9459" t="s">
        <v>1876</v>
      </c>
      <c r="B9459" t="s">
        <v>376</v>
      </c>
      <c r="C9459" t="s">
        <v>216</v>
      </c>
      <c r="D9459">
        <v>6080</v>
      </c>
      <c r="E9459">
        <v>6132</v>
      </c>
      <c r="F9459">
        <v>6431</v>
      </c>
      <c r="G9459">
        <v>5915</v>
      </c>
    </row>
    <row r="9460" spans="1:7">
      <c r="A9460" t="s">
        <v>1876</v>
      </c>
      <c r="B9460" t="s">
        <v>376</v>
      </c>
      <c r="C9460" t="s">
        <v>217</v>
      </c>
      <c r="D9460">
        <v>6080</v>
      </c>
      <c r="E9460">
        <v>6132</v>
      </c>
      <c r="F9460">
        <v>6431</v>
      </c>
      <c r="G9460">
        <v>5915</v>
      </c>
    </row>
    <row r="9461" spans="1:7">
      <c r="A9461" t="s">
        <v>1876</v>
      </c>
      <c r="B9461" t="s">
        <v>376</v>
      </c>
      <c r="C9461" t="s">
        <v>218</v>
      </c>
      <c r="D9461">
        <v>1</v>
      </c>
      <c r="E9461">
        <v>1</v>
      </c>
      <c r="F9461">
        <v>2</v>
      </c>
      <c r="G9461">
        <v>2</v>
      </c>
    </row>
    <row r="9462" spans="1:7">
      <c r="A9462" t="s">
        <v>1876</v>
      </c>
      <c r="B9462" t="s">
        <v>376</v>
      </c>
      <c r="C9462" t="s">
        <v>219</v>
      </c>
      <c r="D9462">
        <v>2</v>
      </c>
      <c r="E9462">
        <v>2</v>
      </c>
      <c r="F9462">
        <v>7</v>
      </c>
      <c r="G9462">
        <v>4</v>
      </c>
    </row>
    <row r="9463" spans="1:7">
      <c r="A9463" t="s">
        <v>1876</v>
      </c>
      <c r="B9463" t="s">
        <v>376</v>
      </c>
      <c r="C9463" t="s">
        <v>220</v>
      </c>
      <c r="D9463">
        <v>3</v>
      </c>
      <c r="E9463">
        <v>3</v>
      </c>
      <c r="F9463">
        <v>6</v>
      </c>
      <c r="G9463">
        <v>4</v>
      </c>
    </row>
    <row r="9464" spans="1:7">
      <c r="A9464" t="s">
        <v>1876</v>
      </c>
      <c r="B9464" t="s">
        <v>376</v>
      </c>
      <c r="C9464" t="s">
        <v>221</v>
      </c>
      <c r="D9464">
        <v>7</v>
      </c>
      <c r="E9464">
        <v>6</v>
      </c>
      <c r="F9464">
        <v>15</v>
      </c>
      <c r="G9464">
        <v>9</v>
      </c>
    </row>
    <row r="9465" spans="1:7">
      <c r="A9465" t="s">
        <v>1876</v>
      </c>
      <c r="B9465" t="s">
        <v>376</v>
      </c>
      <c r="C9465" t="s">
        <v>222</v>
      </c>
      <c r="D9465">
        <v>7</v>
      </c>
      <c r="E9465">
        <v>6</v>
      </c>
      <c r="F9465">
        <v>15</v>
      </c>
      <c r="G9465">
        <v>9</v>
      </c>
    </row>
    <row r="9466" spans="1:7">
      <c r="A9466" t="s">
        <v>1876</v>
      </c>
      <c r="B9466" t="s">
        <v>376</v>
      </c>
      <c r="C9466" t="s">
        <v>1933</v>
      </c>
      <c r="D9466">
        <v>1801.8</v>
      </c>
      <c r="E9466">
        <v>1801.1</v>
      </c>
      <c r="F9466">
        <v>1817.7</v>
      </c>
      <c r="G9466">
        <v>1834.6</v>
      </c>
    </row>
    <row r="9467" spans="1:7">
      <c r="A9467" t="s">
        <v>1876</v>
      </c>
      <c r="B9467" t="s">
        <v>376</v>
      </c>
      <c r="C9467" t="s">
        <v>223</v>
      </c>
      <c r="D9467">
        <v>0</v>
      </c>
      <c r="E9467">
        <v>0</v>
      </c>
      <c r="F9467">
        <v>0</v>
      </c>
      <c r="G9467">
        <v>0</v>
      </c>
    </row>
    <row r="9468" spans="1:7">
      <c r="A9468" t="s">
        <v>1876</v>
      </c>
      <c r="B9468" t="s">
        <v>376</v>
      </c>
      <c r="C9468" t="s">
        <v>224</v>
      </c>
      <c r="D9468">
        <v>51696</v>
      </c>
      <c r="E9468">
        <v>48883</v>
      </c>
      <c r="F9468">
        <v>57144</v>
      </c>
      <c r="G9468">
        <v>64323</v>
      </c>
    </row>
    <row r="9469" spans="1:7">
      <c r="A9469" t="s">
        <v>1876</v>
      </c>
      <c r="B9469" t="s">
        <v>376</v>
      </c>
      <c r="C9469" t="s">
        <v>225</v>
      </c>
      <c r="D9469">
        <v>70274</v>
      </c>
      <c r="E9469">
        <v>67295</v>
      </c>
      <c r="F9469">
        <v>59070</v>
      </c>
      <c r="G9469">
        <v>59479</v>
      </c>
    </row>
    <row r="9470" spans="1:7">
      <c r="A9470" t="s">
        <v>1876</v>
      </c>
      <c r="B9470" t="s">
        <v>376</v>
      </c>
      <c r="C9470" t="s">
        <v>226</v>
      </c>
      <c r="D9470">
        <v>58573</v>
      </c>
      <c r="E9470">
        <v>55819</v>
      </c>
      <c r="F9470">
        <v>54150</v>
      </c>
      <c r="G9470">
        <v>51872</v>
      </c>
    </row>
    <row r="9471" spans="1:7">
      <c r="A9471" t="s">
        <v>1876</v>
      </c>
      <c r="B9471" t="s">
        <v>376</v>
      </c>
      <c r="C9471" t="s">
        <v>227</v>
      </c>
      <c r="D9471">
        <v>180543</v>
      </c>
      <c r="E9471">
        <v>171997</v>
      </c>
      <c r="F9471">
        <v>170364</v>
      </c>
      <c r="G9471">
        <v>175674</v>
      </c>
    </row>
    <row r="9472" spans="1:7">
      <c r="A9472" t="s">
        <v>1876</v>
      </c>
      <c r="B9472" t="s">
        <v>376</v>
      </c>
      <c r="C9472" t="s">
        <v>228</v>
      </c>
      <c r="D9472">
        <v>180543</v>
      </c>
      <c r="E9472">
        <v>171997</v>
      </c>
      <c r="F9472">
        <v>170364</v>
      </c>
      <c r="G9472">
        <v>175674</v>
      </c>
    </row>
    <row r="9473" spans="1:7">
      <c r="A9473" t="s">
        <v>1876</v>
      </c>
      <c r="B9473" t="s">
        <v>376</v>
      </c>
      <c r="C9473" t="s">
        <v>229</v>
      </c>
      <c r="D9473">
        <v>1149</v>
      </c>
      <c r="E9473">
        <v>1216</v>
      </c>
      <c r="F9473">
        <v>867</v>
      </c>
      <c r="G9473">
        <v>843</v>
      </c>
    </row>
    <row r="9474" spans="1:7">
      <c r="A9474" t="s">
        <v>1876</v>
      </c>
      <c r="B9474" t="s">
        <v>376</v>
      </c>
      <c r="C9474" t="s">
        <v>230</v>
      </c>
      <c r="D9474">
        <v>771</v>
      </c>
      <c r="E9474">
        <v>812</v>
      </c>
      <c r="F9474">
        <v>595</v>
      </c>
      <c r="G9474">
        <v>546</v>
      </c>
    </row>
    <row r="9475" spans="1:7">
      <c r="A9475" t="s">
        <v>1876</v>
      </c>
      <c r="B9475" t="s">
        <v>376</v>
      </c>
      <c r="C9475" t="s">
        <v>231</v>
      </c>
      <c r="D9475">
        <v>1920</v>
      </c>
      <c r="E9475">
        <v>2028</v>
      </c>
      <c r="F9475">
        <v>1462</v>
      </c>
      <c r="G9475">
        <v>1388</v>
      </c>
    </row>
    <row r="9476" spans="1:7">
      <c r="A9476" t="s">
        <v>1876</v>
      </c>
      <c r="B9476" t="s">
        <v>376</v>
      </c>
      <c r="C9476" t="s">
        <v>232</v>
      </c>
      <c r="D9476">
        <v>1920</v>
      </c>
      <c r="E9476">
        <v>2028</v>
      </c>
      <c r="F9476">
        <v>1462</v>
      </c>
      <c r="G9476">
        <v>1388</v>
      </c>
    </row>
    <row r="9477" spans="1:7">
      <c r="A9477" t="s">
        <v>1876</v>
      </c>
      <c r="B9477" t="s">
        <v>376</v>
      </c>
      <c r="C9477" t="s">
        <v>233</v>
      </c>
      <c r="D9477">
        <v>0</v>
      </c>
      <c r="E9477">
        <v>0</v>
      </c>
      <c r="F9477">
        <v>0</v>
      </c>
      <c r="G9477">
        <v>0</v>
      </c>
    </row>
    <row r="9478" spans="1:7">
      <c r="A9478" t="s">
        <v>1876</v>
      </c>
      <c r="B9478" t="s">
        <v>376</v>
      </c>
      <c r="C9478" t="s">
        <v>234</v>
      </c>
      <c r="D9478">
        <v>102473</v>
      </c>
      <c r="E9478">
        <v>101794</v>
      </c>
      <c r="F9478">
        <v>102580</v>
      </c>
      <c r="G9478">
        <v>105158</v>
      </c>
    </row>
    <row r="9479" spans="1:7">
      <c r="A9479" t="s">
        <v>1876</v>
      </c>
      <c r="B9479" t="s">
        <v>376</v>
      </c>
      <c r="C9479" t="s">
        <v>235</v>
      </c>
      <c r="D9479">
        <v>1894</v>
      </c>
      <c r="E9479">
        <v>2040</v>
      </c>
      <c r="F9479">
        <v>1917</v>
      </c>
      <c r="G9479">
        <v>1586</v>
      </c>
    </row>
    <row r="9480" spans="1:7">
      <c r="A9480" t="s">
        <v>1876</v>
      </c>
      <c r="B9480" t="s">
        <v>376</v>
      </c>
      <c r="C9480" t="s">
        <v>236</v>
      </c>
      <c r="D9480">
        <v>3164</v>
      </c>
      <c r="E9480">
        <v>3344</v>
      </c>
      <c r="F9480">
        <v>3556</v>
      </c>
      <c r="G9480">
        <v>3034</v>
      </c>
    </row>
    <row r="9481" spans="1:7">
      <c r="A9481" t="s">
        <v>1876</v>
      </c>
      <c r="B9481" t="s">
        <v>376</v>
      </c>
      <c r="C9481" t="s">
        <v>237</v>
      </c>
      <c r="D9481">
        <v>107531</v>
      </c>
      <c r="E9481">
        <v>107178</v>
      </c>
      <c r="F9481">
        <v>108052</v>
      </c>
      <c r="G9481">
        <v>109778</v>
      </c>
    </row>
    <row r="9482" spans="1:7">
      <c r="A9482" t="s">
        <v>1876</v>
      </c>
      <c r="B9482" t="s">
        <v>376</v>
      </c>
      <c r="C9482" t="s">
        <v>238</v>
      </c>
      <c r="D9482">
        <v>107531</v>
      </c>
      <c r="E9482">
        <v>107178</v>
      </c>
      <c r="F9482">
        <v>108052</v>
      </c>
      <c r="G9482">
        <v>109778</v>
      </c>
    </row>
    <row r="9483" spans="1:7">
      <c r="A9483" t="s">
        <v>1876</v>
      </c>
      <c r="B9483" t="s">
        <v>376</v>
      </c>
      <c r="C9483" t="s">
        <v>1934</v>
      </c>
      <c r="D9483">
        <v>95648</v>
      </c>
      <c r="E9483">
        <v>94951</v>
      </c>
      <c r="F9483">
        <v>95662</v>
      </c>
      <c r="G9483">
        <v>98137</v>
      </c>
    </row>
    <row r="9484" spans="1:7">
      <c r="A9484" t="s">
        <v>1876</v>
      </c>
      <c r="B9484" t="s">
        <v>376</v>
      </c>
      <c r="C9484" t="s">
        <v>1935</v>
      </c>
      <c r="D9484">
        <v>1768</v>
      </c>
      <c r="E9484">
        <v>1903</v>
      </c>
      <c r="F9484">
        <v>1787</v>
      </c>
      <c r="G9484">
        <v>1480</v>
      </c>
    </row>
    <row r="9485" spans="1:7">
      <c r="A9485" t="s">
        <v>1876</v>
      </c>
      <c r="B9485" t="s">
        <v>376</v>
      </c>
      <c r="C9485" t="s">
        <v>1936</v>
      </c>
      <c r="D9485">
        <v>2953</v>
      </c>
      <c r="E9485">
        <v>3119</v>
      </c>
      <c r="F9485">
        <v>3316</v>
      </c>
      <c r="G9485">
        <v>2832</v>
      </c>
    </row>
    <row r="9486" spans="1:7">
      <c r="A9486" t="s">
        <v>1876</v>
      </c>
      <c r="B9486" t="s">
        <v>376</v>
      </c>
      <c r="C9486" t="s">
        <v>239</v>
      </c>
      <c r="D9486">
        <v>100369</v>
      </c>
      <c r="E9486">
        <v>99973</v>
      </c>
      <c r="F9486">
        <v>100766</v>
      </c>
      <c r="G9486">
        <v>102449</v>
      </c>
    </row>
    <row r="9487" spans="1:7">
      <c r="A9487" t="s">
        <v>1876</v>
      </c>
      <c r="B9487" t="s">
        <v>376</v>
      </c>
      <c r="C9487" t="s">
        <v>240</v>
      </c>
      <c r="D9487">
        <v>798</v>
      </c>
      <c r="E9487">
        <v>959</v>
      </c>
      <c r="F9487">
        <v>921</v>
      </c>
      <c r="G9487">
        <v>902</v>
      </c>
    </row>
    <row r="9488" spans="1:7">
      <c r="A9488" t="s">
        <v>1876</v>
      </c>
      <c r="B9488" t="s">
        <v>376</v>
      </c>
      <c r="C9488" t="s">
        <v>241</v>
      </c>
      <c r="D9488">
        <v>0</v>
      </c>
      <c r="E9488">
        <v>0</v>
      </c>
      <c r="F9488">
        <v>0</v>
      </c>
      <c r="G9488">
        <v>0</v>
      </c>
    </row>
    <row r="9489" spans="1:7">
      <c r="A9489" t="s">
        <v>1876</v>
      </c>
      <c r="B9489" t="s">
        <v>376</v>
      </c>
      <c r="C9489" t="s">
        <v>242</v>
      </c>
      <c r="D9489">
        <v>4419</v>
      </c>
      <c r="E9489">
        <v>6150</v>
      </c>
      <c r="F9489">
        <v>5645</v>
      </c>
      <c r="G9489">
        <v>6523</v>
      </c>
    </row>
    <row r="9490" spans="1:7">
      <c r="A9490" t="s">
        <v>1876</v>
      </c>
      <c r="B9490" t="s">
        <v>376</v>
      </c>
      <c r="C9490" t="s">
        <v>243</v>
      </c>
      <c r="D9490">
        <v>33824</v>
      </c>
      <c r="E9490">
        <v>34568</v>
      </c>
      <c r="F9490">
        <v>36089</v>
      </c>
      <c r="G9490">
        <v>34236</v>
      </c>
    </row>
    <row r="9491" spans="1:7">
      <c r="A9491" t="s">
        <v>1876</v>
      </c>
      <c r="B9491" t="s">
        <v>376</v>
      </c>
      <c r="C9491" t="s">
        <v>244</v>
      </c>
      <c r="D9491">
        <v>12002</v>
      </c>
      <c r="E9491">
        <v>13411</v>
      </c>
      <c r="F9491">
        <v>14999</v>
      </c>
      <c r="G9491">
        <v>14523</v>
      </c>
    </row>
    <row r="9492" spans="1:7">
      <c r="A9492" t="s">
        <v>1876</v>
      </c>
      <c r="B9492" t="s">
        <v>376</v>
      </c>
      <c r="C9492" t="s">
        <v>1709</v>
      </c>
      <c r="D9492">
        <v>1924</v>
      </c>
      <c r="E9492">
        <v>1962</v>
      </c>
      <c r="F9492">
        <v>1964</v>
      </c>
      <c r="G9492">
        <v>1957</v>
      </c>
    </row>
    <row r="9493" spans="1:7">
      <c r="A9493" t="s">
        <v>1876</v>
      </c>
      <c r="B9493" t="s">
        <v>376</v>
      </c>
      <c r="C9493" t="s">
        <v>245</v>
      </c>
      <c r="D9493">
        <v>102488</v>
      </c>
      <c r="E9493">
        <v>103797</v>
      </c>
      <c r="F9493">
        <v>110094</v>
      </c>
      <c r="G9493">
        <v>114164</v>
      </c>
    </row>
    <row r="9494" spans="1:7">
      <c r="A9494" t="s">
        <v>1876</v>
      </c>
      <c r="B9494" t="s">
        <v>376</v>
      </c>
      <c r="C9494" t="s">
        <v>246</v>
      </c>
      <c r="D9494">
        <v>38665</v>
      </c>
      <c r="E9494">
        <v>41648</v>
      </c>
      <c r="F9494">
        <v>39819</v>
      </c>
      <c r="G9494">
        <v>35374</v>
      </c>
    </row>
    <row r="9495" spans="1:7">
      <c r="A9495" t="s">
        <v>1876</v>
      </c>
      <c r="B9495" t="s">
        <v>376</v>
      </c>
      <c r="C9495" t="s">
        <v>247</v>
      </c>
      <c r="D9495">
        <v>191397</v>
      </c>
      <c r="E9495">
        <v>199576</v>
      </c>
      <c r="F9495">
        <v>206647</v>
      </c>
      <c r="G9495">
        <v>204821</v>
      </c>
    </row>
    <row r="9496" spans="1:7">
      <c r="A9496" t="s">
        <v>1876</v>
      </c>
      <c r="B9496" t="s">
        <v>376</v>
      </c>
      <c r="C9496" t="s">
        <v>248</v>
      </c>
      <c r="D9496">
        <v>97.4</v>
      </c>
      <c r="E9496">
        <v>101.2</v>
      </c>
      <c r="F9496">
        <v>103.9</v>
      </c>
      <c r="G9496">
        <v>102.1</v>
      </c>
    </row>
    <row r="9497" spans="1:7">
      <c r="A9497" t="s">
        <v>1876</v>
      </c>
      <c r="B9497" t="s">
        <v>376</v>
      </c>
      <c r="C9497" t="s">
        <v>249</v>
      </c>
      <c r="D9497">
        <v>179396</v>
      </c>
      <c r="E9497">
        <v>186164</v>
      </c>
      <c r="F9497">
        <v>191647</v>
      </c>
      <c r="G9497">
        <v>190297</v>
      </c>
    </row>
    <row r="9498" spans="1:7">
      <c r="A9498" t="s">
        <v>1876</v>
      </c>
      <c r="B9498" t="s">
        <v>376</v>
      </c>
      <c r="C9498" t="s">
        <v>250</v>
      </c>
      <c r="D9498">
        <v>191008</v>
      </c>
      <c r="E9498">
        <v>199260</v>
      </c>
      <c r="F9498">
        <v>206182</v>
      </c>
      <c r="G9498">
        <v>204160</v>
      </c>
    </row>
    <row r="9499" spans="1:7">
      <c r="A9499" t="s">
        <v>1876</v>
      </c>
      <c r="B9499" t="s">
        <v>376</v>
      </c>
      <c r="C9499" t="s">
        <v>1937</v>
      </c>
      <c r="D9499">
        <v>5.3</v>
      </c>
      <c r="E9499">
        <v>5.6</v>
      </c>
      <c r="F9499">
        <v>5.4</v>
      </c>
      <c r="G9499">
        <v>5.7</v>
      </c>
    </row>
    <row r="9500" spans="1:7">
      <c r="A9500" t="s">
        <v>1876</v>
      </c>
      <c r="B9500" t="s">
        <v>376</v>
      </c>
      <c r="C9500" t="s">
        <v>1938</v>
      </c>
      <c r="D9500">
        <v>102</v>
      </c>
      <c r="E9500">
        <v>83.3</v>
      </c>
      <c r="F9500">
        <v>102.9</v>
      </c>
      <c r="G9500">
        <v>90.3</v>
      </c>
    </row>
    <row r="9501" spans="1:7">
      <c r="A9501" t="s">
        <v>1876</v>
      </c>
      <c r="B9501" t="s">
        <v>376</v>
      </c>
      <c r="C9501" t="s">
        <v>251</v>
      </c>
      <c r="D9501">
        <v>71758</v>
      </c>
      <c r="E9501">
        <v>58702</v>
      </c>
      <c r="F9501">
        <v>72391</v>
      </c>
      <c r="G9501">
        <v>63658</v>
      </c>
    </row>
    <row r="9502" spans="1:7">
      <c r="A9502" t="s">
        <v>1876</v>
      </c>
      <c r="B9502" t="s">
        <v>376</v>
      </c>
      <c r="C9502" t="s">
        <v>252</v>
      </c>
      <c r="D9502">
        <v>71758</v>
      </c>
      <c r="E9502">
        <v>58702</v>
      </c>
      <c r="F9502">
        <v>72391</v>
      </c>
      <c r="G9502">
        <v>63658</v>
      </c>
    </row>
    <row r="9503" spans="1:7">
      <c r="A9503" t="s">
        <v>1876</v>
      </c>
      <c r="B9503" t="s">
        <v>376</v>
      </c>
      <c r="C9503" t="s">
        <v>1710</v>
      </c>
      <c r="D9503">
        <v>770</v>
      </c>
      <c r="E9503">
        <v>770</v>
      </c>
      <c r="F9503">
        <v>769</v>
      </c>
      <c r="G9503">
        <v>769</v>
      </c>
    </row>
    <row r="9504" spans="1:7">
      <c r="A9504" t="s">
        <v>1876</v>
      </c>
      <c r="B9504" t="s">
        <v>376</v>
      </c>
      <c r="C9504" t="s">
        <v>1939</v>
      </c>
      <c r="D9504">
        <v>0.7</v>
      </c>
      <c r="E9504">
        <v>3.1</v>
      </c>
      <c r="F9504">
        <v>6</v>
      </c>
      <c r="G9504">
        <v>6.2</v>
      </c>
    </row>
    <row r="9505" spans="1:7">
      <c r="A9505" t="s">
        <v>1876</v>
      </c>
      <c r="B9505" t="s">
        <v>376</v>
      </c>
      <c r="C9505" t="s">
        <v>253</v>
      </c>
      <c r="D9505">
        <v>0</v>
      </c>
      <c r="E9505">
        <v>0</v>
      </c>
      <c r="F9505">
        <v>0</v>
      </c>
      <c r="G9505">
        <v>0</v>
      </c>
    </row>
    <row r="9506" spans="1:7">
      <c r="A9506" t="s">
        <v>1876</v>
      </c>
      <c r="B9506" t="s">
        <v>376</v>
      </c>
      <c r="C9506" t="s">
        <v>1711</v>
      </c>
      <c r="D9506">
        <v>0</v>
      </c>
      <c r="E9506">
        <v>0</v>
      </c>
      <c r="F9506">
        <v>0</v>
      </c>
      <c r="G9506">
        <v>0</v>
      </c>
    </row>
    <row r="9507" spans="1:7">
      <c r="A9507" t="s">
        <v>1876</v>
      </c>
      <c r="B9507" t="s">
        <v>376</v>
      </c>
      <c r="C9507" t="s">
        <v>1712</v>
      </c>
      <c r="D9507">
        <v>899</v>
      </c>
      <c r="E9507">
        <v>1064</v>
      </c>
      <c r="F9507">
        <v>1005</v>
      </c>
      <c r="G9507">
        <v>993</v>
      </c>
    </row>
    <row r="9508" spans="1:7">
      <c r="A9508" t="s">
        <v>1876</v>
      </c>
      <c r="B9508" t="s">
        <v>376</v>
      </c>
      <c r="C9508" t="s">
        <v>1713</v>
      </c>
      <c r="D9508">
        <v>1176</v>
      </c>
      <c r="E9508">
        <v>1115</v>
      </c>
      <c r="F9508">
        <v>1571</v>
      </c>
      <c r="G9508">
        <v>1662</v>
      </c>
    </row>
    <row r="9509" spans="1:7">
      <c r="A9509" t="s">
        <v>1876</v>
      </c>
      <c r="B9509" t="s">
        <v>376</v>
      </c>
      <c r="C9509" t="s">
        <v>1940</v>
      </c>
      <c r="D9509">
        <v>0</v>
      </c>
      <c r="E9509">
        <v>0</v>
      </c>
      <c r="F9509">
        <v>0</v>
      </c>
      <c r="G9509">
        <v>0</v>
      </c>
    </row>
    <row r="9510" spans="1:7">
      <c r="A9510" t="s">
        <v>1876</v>
      </c>
      <c r="B9510" t="s">
        <v>376</v>
      </c>
      <c r="C9510" t="s">
        <v>1941</v>
      </c>
      <c r="D9510">
        <v>0</v>
      </c>
      <c r="E9510">
        <v>0</v>
      </c>
      <c r="F9510">
        <v>0</v>
      </c>
      <c r="G9510">
        <v>0</v>
      </c>
    </row>
    <row r="9511" spans="1:7">
      <c r="A9511" t="s">
        <v>1876</v>
      </c>
      <c r="B9511" t="s">
        <v>376</v>
      </c>
      <c r="C9511" t="s">
        <v>254</v>
      </c>
      <c r="D9511">
        <v>899</v>
      </c>
      <c r="E9511">
        <v>1064</v>
      </c>
      <c r="F9511">
        <v>1005</v>
      </c>
      <c r="G9511">
        <v>993</v>
      </c>
    </row>
    <row r="9512" spans="1:7">
      <c r="A9512" t="s">
        <v>1876</v>
      </c>
      <c r="B9512" t="s">
        <v>376</v>
      </c>
      <c r="C9512" t="s">
        <v>1942</v>
      </c>
      <c r="D9512">
        <v>0</v>
      </c>
      <c r="E9512">
        <v>0</v>
      </c>
      <c r="F9512">
        <v>0</v>
      </c>
      <c r="G9512">
        <v>0</v>
      </c>
    </row>
    <row r="9513" spans="1:7">
      <c r="A9513" t="s">
        <v>1876</v>
      </c>
      <c r="B9513" t="s">
        <v>376</v>
      </c>
      <c r="C9513" t="s">
        <v>255</v>
      </c>
      <c r="D9513">
        <v>2075</v>
      </c>
      <c r="E9513">
        <v>2179</v>
      </c>
      <c r="F9513">
        <v>2576</v>
      </c>
      <c r="G9513">
        <v>2655</v>
      </c>
    </row>
    <row r="9514" spans="1:7">
      <c r="A9514" t="s">
        <v>1876</v>
      </c>
      <c r="B9514" t="s">
        <v>376</v>
      </c>
      <c r="C9514" t="s">
        <v>256</v>
      </c>
      <c r="D9514">
        <v>2075</v>
      </c>
      <c r="E9514">
        <v>2179</v>
      </c>
      <c r="F9514">
        <v>2576</v>
      </c>
      <c r="G9514">
        <v>2655</v>
      </c>
    </row>
    <row r="9515" spans="1:7">
      <c r="A9515" t="s">
        <v>1876</v>
      </c>
      <c r="B9515" t="s">
        <v>376</v>
      </c>
      <c r="C9515" t="s">
        <v>1714</v>
      </c>
      <c r="D9515">
        <v>0</v>
      </c>
      <c r="E9515">
        <v>0</v>
      </c>
      <c r="F9515">
        <v>0</v>
      </c>
      <c r="G9515">
        <v>0</v>
      </c>
    </row>
    <row r="9516" spans="1:7">
      <c r="A9516" t="s">
        <v>1876</v>
      </c>
      <c r="B9516" t="s">
        <v>376</v>
      </c>
      <c r="C9516" t="s">
        <v>257</v>
      </c>
      <c r="D9516">
        <v>7851</v>
      </c>
      <c r="E9516">
        <v>7891</v>
      </c>
      <c r="F9516">
        <v>7367</v>
      </c>
      <c r="G9516">
        <v>7346</v>
      </c>
    </row>
    <row r="9517" spans="1:7">
      <c r="A9517" t="s">
        <v>1876</v>
      </c>
      <c r="B9517" t="s">
        <v>376</v>
      </c>
      <c r="C9517" t="s">
        <v>258</v>
      </c>
      <c r="D9517">
        <v>10355</v>
      </c>
      <c r="E9517">
        <v>10408</v>
      </c>
      <c r="F9517">
        <v>9985</v>
      </c>
      <c r="G9517">
        <v>10041</v>
      </c>
    </row>
    <row r="9518" spans="1:7">
      <c r="A9518" t="s">
        <v>1876</v>
      </c>
      <c r="B9518" t="s">
        <v>376</v>
      </c>
      <c r="C9518" t="s">
        <v>259</v>
      </c>
      <c r="D9518">
        <v>10355</v>
      </c>
      <c r="E9518">
        <v>10408</v>
      </c>
      <c r="F9518">
        <v>9985</v>
      </c>
      <c r="G9518">
        <v>10041</v>
      </c>
    </row>
    <row r="9519" spans="1:7">
      <c r="A9519" t="s">
        <v>1876</v>
      </c>
      <c r="B9519" t="s">
        <v>376</v>
      </c>
      <c r="C9519" t="s">
        <v>260</v>
      </c>
      <c r="D9519">
        <v>194667</v>
      </c>
      <c r="E9519">
        <v>194297</v>
      </c>
      <c r="F9519">
        <v>191437</v>
      </c>
      <c r="G9519">
        <v>191809</v>
      </c>
    </row>
    <row r="9520" spans="1:7">
      <c r="A9520" t="s">
        <v>1876</v>
      </c>
      <c r="B9520" t="s">
        <v>376</v>
      </c>
      <c r="C9520" t="s">
        <v>1943</v>
      </c>
      <c r="D9520">
        <v>0.8</v>
      </c>
      <c r="E9520">
        <v>0.7</v>
      </c>
      <c r="F9520">
        <v>0.8</v>
      </c>
      <c r="G9520">
        <v>1</v>
      </c>
    </row>
    <row r="9521" spans="1:7">
      <c r="A9521" t="s">
        <v>1876</v>
      </c>
      <c r="B9521" t="s">
        <v>376</v>
      </c>
      <c r="C9521" t="s">
        <v>261</v>
      </c>
      <c r="D9521">
        <v>4975</v>
      </c>
      <c r="E9521">
        <v>5231</v>
      </c>
      <c r="F9521">
        <v>4506</v>
      </c>
      <c r="G9521">
        <v>3953</v>
      </c>
    </row>
    <row r="9522" spans="1:7">
      <c r="A9522" t="s">
        <v>1876</v>
      </c>
      <c r="B9522" t="s">
        <v>376</v>
      </c>
      <c r="C9522" t="s">
        <v>262</v>
      </c>
      <c r="D9522">
        <v>782</v>
      </c>
      <c r="E9522">
        <v>474</v>
      </c>
      <c r="F9522">
        <v>554</v>
      </c>
      <c r="G9522">
        <v>735</v>
      </c>
    </row>
    <row r="9523" spans="1:7">
      <c r="A9523" t="s">
        <v>1876</v>
      </c>
      <c r="B9523" t="s">
        <v>376</v>
      </c>
      <c r="C9523" t="s">
        <v>1715</v>
      </c>
      <c r="D9523">
        <v>409</v>
      </c>
      <c r="E9523">
        <v>364</v>
      </c>
      <c r="F9523">
        <v>364</v>
      </c>
      <c r="G9523">
        <v>374</v>
      </c>
    </row>
    <row r="9524" spans="1:7">
      <c r="A9524" t="s">
        <v>1876</v>
      </c>
      <c r="B9524" t="s">
        <v>376</v>
      </c>
      <c r="C9524" t="s">
        <v>263</v>
      </c>
      <c r="D9524">
        <v>39721</v>
      </c>
      <c r="E9524">
        <v>40728</v>
      </c>
      <c r="F9524">
        <v>40357</v>
      </c>
      <c r="G9524">
        <v>38301</v>
      </c>
    </row>
    <row r="9525" spans="1:7">
      <c r="A9525" t="s">
        <v>1876</v>
      </c>
      <c r="B9525" t="s">
        <v>376</v>
      </c>
      <c r="C9525" t="s">
        <v>264</v>
      </c>
      <c r="D9525">
        <v>6290</v>
      </c>
      <c r="E9525">
        <v>5917</v>
      </c>
      <c r="F9525">
        <v>4675</v>
      </c>
      <c r="G9525">
        <v>4088</v>
      </c>
    </row>
    <row r="9526" spans="1:7">
      <c r="A9526" t="s">
        <v>1876</v>
      </c>
      <c r="B9526" t="s">
        <v>376</v>
      </c>
      <c r="C9526" t="s">
        <v>265</v>
      </c>
      <c r="D9526">
        <v>246435</v>
      </c>
      <c r="E9526">
        <v>246647</v>
      </c>
      <c r="F9526">
        <v>241529</v>
      </c>
      <c r="G9526">
        <v>238887</v>
      </c>
    </row>
    <row r="9527" spans="1:7">
      <c r="A9527" t="s">
        <v>1876</v>
      </c>
      <c r="B9527" t="s">
        <v>376</v>
      </c>
      <c r="C9527" t="s">
        <v>266</v>
      </c>
      <c r="D9527">
        <v>125.4</v>
      </c>
      <c r="E9527">
        <v>125</v>
      </c>
      <c r="F9527">
        <v>121.5</v>
      </c>
      <c r="G9527">
        <v>119.1</v>
      </c>
    </row>
    <row r="9528" spans="1:7">
      <c r="A9528" t="s">
        <v>1876</v>
      </c>
      <c r="B9528" t="s">
        <v>376</v>
      </c>
      <c r="C9528" t="s">
        <v>267</v>
      </c>
      <c r="D9528">
        <v>245652</v>
      </c>
      <c r="E9528">
        <v>246174</v>
      </c>
      <c r="F9528">
        <v>240975</v>
      </c>
      <c r="G9528">
        <v>238151</v>
      </c>
    </row>
    <row r="9529" spans="1:7">
      <c r="A9529" t="s">
        <v>1876</v>
      </c>
      <c r="B9529" t="s">
        <v>376</v>
      </c>
      <c r="C9529" t="s">
        <v>268</v>
      </c>
      <c r="D9529">
        <v>0</v>
      </c>
      <c r="E9529">
        <v>0</v>
      </c>
      <c r="F9529">
        <v>0</v>
      </c>
      <c r="G9529">
        <v>0</v>
      </c>
    </row>
    <row r="9530" spans="1:7">
      <c r="A9530" t="s">
        <v>1876</v>
      </c>
      <c r="B9530" t="s">
        <v>376</v>
      </c>
      <c r="C9530" t="s">
        <v>269</v>
      </c>
      <c r="D9530">
        <v>0</v>
      </c>
      <c r="E9530">
        <v>0</v>
      </c>
      <c r="F9530">
        <v>0</v>
      </c>
      <c r="G9530">
        <v>0</v>
      </c>
    </row>
    <row r="9531" spans="1:7">
      <c r="A9531" t="s">
        <v>1876</v>
      </c>
      <c r="B9531" t="s">
        <v>376</v>
      </c>
      <c r="C9531" t="s">
        <v>270</v>
      </c>
      <c r="D9531">
        <v>0</v>
      </c>
      <c r="E9531">
        <v>0</v>
      </c>
      <c r="F9531">
        <v>0</v>
      </c>
      <c r="G9531">
        <v>0</v>
      </c>
    </row>
    <row r="9532" spans="1:7">
      <c r="A9532" t="s">
        <v>1876</v>
      </c>
      <c r="B9532" t="s">
        <v>376</v>
      </c>
      <c r="C9532" t="s">
        <v>271</v>
      </c>
      <c r="D9532">
        <v>0</v>
      </c>
      <c r="E9532">
        <v>0</v>
      </c>
      <c r="F9532">
        <v>0</v>
      </c>
      <c r="G9532">
        <v>0</v>
      </c>
    </row>
    <row r="9533" spans="1:7">
      <c r="A9533" t="s">
        <v>1876</v>
      </c>
      <c r="B9533" t="s">
        <v>376</v>
      </c>
      <c r="C9533" t="s">
        <v>272</v>
      </c>
      <c r="D9533">
        <v>0</v>
      </c>
      <c r="E9533">
        <v>0</v>
      </c>
      <c r="F9533">
        <v>0</v>
      </c>
      <c r="G9533">
        <v>0</v>
      </c>
    </row>
    <row r="9534" spans="1:7">
      <c r="A9534" t="s">
        <v>1876</v>
      </c>
      <c r="B9534" t="s">
        <v>376</v>
      </c>
      <c r="C9534" t="s">
        <v>1944</v>
      </c>
      <c r="D9534">
        <v>1.9</v>
      </c>
      <c r="E9534">
        <v>2.7</v>
      </c>
      <c r="F9534">
        <v>3.3</v>
      </c>
      <c r="G9534">
        <v>4.5</v>
      </c>
    </row>
    <row r="9535" spans="1:7">
      <c r="A9535" t="s">
        <v>1876</v>
      </c>
      <c r="B9535" t="s">
        <v>376</v>
      </c>
      <c r="C9535" t="s">
        <v>1945</v>
      </c>
      <c r="D9535">
        <v>4</v>
      </c>
      <c r="E9535">
        <v>6</v>
      </c>
      <c r="F9535">
        <v>11</v>
      </c>
      <c r="G9535">
        <v>13</v>
      </c>
    </row>
    <row r="9536" spans="1:7">
      <c r="A9536" t="s">
        <v>1876</v>
      </c>
      <c r="B9536" t="s">
        <v>376</v>
      </c>
      <c r="C9536" t="s">
        <v>273</v>
      </c>
      <c r="D9536">
        <v>0</v>
      </c>
      <c r="E9536">
        <v>0</v>
      </c>
      <c r="F9536">
        <v>0</v>
      </c>
      <c r="G9536">
        <v>0</v>
      </c>
    </row>
    <row r="9537" spans="1:7">
      <c r="A9537" t="s">
        <v>1876</v>
      </c>
      <c r="B9537" t="s">
        <v>376</v>
      </c>
      <c r="C9537" t="s">
        <v>1946</v>
      </c>
      <c r="D9537">
        <v>185795</v>
      </c>
      <c r="E9537">
        <v>185552</v>
      </c>
      <c r="F9537">
        <v>182022</v>
      </c>
      <c r="G9537">
        <v>182228</v>
      </c>
    </row>
    <row r="9538" spans="1:7">
      <c r="A9538" t="s">
        <v>1876</v>
      </c>
      <c r="B9538" t="s">
        <v>376</v>
      </c>
      <c r="C9538" t="s">
        <v>1947</v>
      </c>
      <c r="D9538">
        <v>4849</v>
      </c>
      <c r="E9538">
        <v>5094</v>
      </c>
      <c r="F9538">
        <v>4377</v>
      </c>
      <c r="G9538">
        <v>3847</v>
      </c>
    </row>
    <row r="9539" spans="1:7">
      <c r="A9539" t="s">
        <v>1876</v>
      </c>
      <c r="B9539" t="s">
        <v>376</v>
      </c>
      <c r="C9539" t="s">
        <v>1948</v>
      </c>
      <c r="D9539">
        <v>782</v>
      </c>
      <c r="E9539">
        <v>474</v>
      </c>
      <c r="F9539">
        <v>554</v>
      </c>
      <c r="G9539">
        <v>735</v>
      </c>
    </row>
    <row r="9540" spans="1:7">
      <c r="A9540" t="s">
        <v>1876</v>
      </c>
      <c r="B9540" t="s">
        <v>376</v>
      </c>
      <c r="C9540" t="s">
        <v>1949</v>
      </c>
      <c r="D9540">
        <v>39510</v>
      </c>
      <c r="E9540">
        <v>40504</v>
      </c>
      <c r="F9540">
        <v>40118</v>
      </c>
      <c r="G9540">
        <v>38098</v>
      </c>
    </row>
    <row r="9541" spans="1:7">
      <c r="A9541" t="s">
        <v>1876</v>
      </c>
      <c r="B9541" t="s">
        <v>376</v>
      </c>
      <c r="C9541" t="s">
        <v>1950</v>
      </c>
      <c r="D9541">
        <v>6290</v>
      </c>
      <c r="E9541">
        <v>5917</v>
      </c>
      <c r="F9541">
        <v>4675</v>
      </c>
      <c r="G9541">
        <v>4088</v>
      </c>
    </row>
    <row r="9542" spans="1:7">
      <c r="A9542" t="s">
        <v>1876</v>
      </c>
      <c r="B9542" t="s">
        <v>376</v>
      </c>
      <c r="C9542" t="s">
        <v>274</v>
      </c>
      <c r="D9542">
        <v>237226</v>
      </c>
      <c r="E9542">
        <v>237541</v>
      </c>
      <c r="F9542">
        <v>231746</v>
      </c>
      <c r="G9542">
        <v>228997</v>
      </c>
    </row>
    <row r="9543" spans="1:7">
      <c r="A9543" t="s">
        <v>1876</v>
      </c>
      <c r="B9543" t="s">
        <v>376</v>
      </c>
      <c r="C9543" t="s">
        <v>275</v>
      </c>
      <c r="D9543">
        <v>0</v>
      </c>
      <c r="E9543">
        <v>0</v>
      </c>
      <c r="F9543">
        <v>0</v>
      </c>
      <c r="G9543">
        <v>0</v>
      </c>
    </row>
    <row r="9544" spans="1:7">
      <c r="A9544" t="s">
        <v>1876</v>
      </c>
      <c r="B9544" t="s">
        <v>376</v>
      </c>
      <c r="C9544" t="s">
        <v>276</v>
      </c>
      <c r="D9544">
        <v>0</v>
      </c>
      <c r="E9544">
        <v>0</v>
      </c>
      <c r="F9544">
        <v>0</v>
      </c>
      <c r="G9544">
        <v>0</v>
      </c>
    </row>
    <row r="9545" spans="1:7">
      <c r="A9545" t="s">
        <v>1876</v>
      </c>
      <c r="B9545" t="s">
        <v>376</v>
      </c>
      <c r="C9545" t="s">
        <v>277</v>
      </c>
      <c r="D9545">
        <v>330</v>
      </c>
      <c r="E9545">
        <v>37</v>
      </c>
      <c r="F9545">
        <v>51</v>
      </c>
      <c r="G9545">
        <v>26</v>
      </c>
    </row>
    <row r="9546" spans="1:7">
      <c r="A9546" t="s">
        <v>1876</v>
      </c>
      <c r="B9546" t="s">
        <v>376</v>
      </c>
      <c r="C9546" t="s">
        <v>278</v>
      </c>
      <c r="D9546">
        <v>1365</v>
      </c>
      <c r="E9546">
        <v>1412</v>
      </c>
      <c r="F9546">
        <v>841</v>
      </c>
      <c r="G9546">
        <v>753</v>
      </c>
    </row>
    <row r="9547" spans="1:7">
      <c r="A9547" t="s">
        <v>1876</v>
      </c>
      <c r="B9547" t="s">
        <v>376</v>
      </c>
      <c r="C9547" t="s">
        <v>279</v>
      </c>
      <c r="D9547">
        <v>2007</v>
      </c>
      <c r="E9547">
        <v>2503</v>
      </c>
      <c r="F9547">
        <v>3093</v>
      </c>
      <c r="G9547">
        <v>2359</v>
      </c>
    </row>
    <row r="9548" spans="1:7">
      <c r="A9548" t="s">
        <v>1876</v>
      </c>
      <c r="B9548" t="s">
        <v>376</v>
      </c>
      <c r="C9548" t="s">
        <v>280</v>
      </c>
      <c r="D9548">
        <v>6192</v>
      </c>
      <c r="E9548">
        <v>5815</v>
      </c>
      <c r="F9548">
        <v>4572</v>
      </c>
      <c r="G9548">
        <v>3996</v>
      </c>
    </row>
    <row r="9549" spans="1:7">
      <c r="A9549" t="s">
        <v>1876</v>
      </c>
      <c r="B9549" t="s">
        <v>376</v>
      </c>
      <c r="C9549" t="s">
        <v>281</v>
      </c>
      <c r="D9549">
        <v>9894</v>
      </c>
      <c r="E9549">
        <v>9767</v>
      </c>
      <c r="F9549">
        <v>8557</v>
      </c>
      <c r="G9549">
        <v>7135</v>
      </c>
    </row>
    <row r="9550" spans="1:7">
      <c r="A9550" t="s">
        <v>1876</v>
      </c>
      <c r="B9550" t="s">
        <v>376</v>
      </c>
      <c r="C9550" t="s">
        <v>282</v>
      </c>
      <c r="D9550">
        <v>9894</v>
      </c>
      <c r="E9550">
        <v>9767</v>
      </c>
      <c r="F9550">
        <v>8557</v>
      </c>
      <c r="G9550">
        <v>7135</v>
      </c>
    </row>
    <row r="9551" spans="1:7">
      <c r="A9551" t="s">
        <v>1876</v>
      </c>
      <c r="B9551" t="s">
        <v>376</v>
      </c>
      <c r="C9551" t="s">
        <v>283</v>
      </c>
      <c r="D9551">
        <v>0</v>
      </c>
      <c r="E9551">
        <v>0</v>
      </c>
      <c r="F9551">
        <v>0</v>
      </c>
      <c r="G9551">
        <v>0</v>
      </c>
    </row>
    <row r="9552" spans="1:7">
      <c r="A9552" t="s">
        <v>1876</v>
      </c>
      <c r="B9552" t="s">
        <v>376</v>
      </c>
      <c r="C9552" t="s">
        <v>284</v>
      </c>
      <c r="D9552">
        <v>0</v>
      </c>
      <c r="E9552">
        <v>0</v>
      </c>
      <c r="F9552">
        <v>0</v>
      </c>
      <c r="G9552">
        <v>0</v>
      </c>
    </row>
    <row r="9553" spans="1:7">
      <c r="A9553" t="s">
        <v>1876</v>
      </c>
      <c r="B9553" t="s">
        <v>376</v>
      </c>
      <c r="C9553" t="s">
        <v>1716</v>
      </c>
      <c r="D9553">
        <v>8872</v>
      </c>
      <c r="E9553">
        <v>8745</v>
      </c>
      <c r="F9553">
        <v>9414</v>
      </c>
      <c r="G9553">
        <v>9581</v>
      </c>
    </row>
    <row r="9554" spans="1:7">
      <c r="A9554" t="s">
        <v>1876</v>
      </c>
      <c r="B9554" t="s">
        <v>376</v>
      </c>
      <c r="C9554" t="s">
        <v>1717</v>
      </c>
      <c r="D9554">
        <v>1490</v>
      </c>
      <c r="E9554">
        <v>1421</v>
      </c>
      <c r="F9554">
        <v>1459</v>
      </c>
      <c r="G9554">
        <v>1342</v>
      </c>
    </row>
    <row r="9555" spans="1:7">
      <c r="A9555" t="s">
        <v>1876</v>
      </c>
      <c r="B9555" t="s">
        <v>376</v>
      </c>
      <c r="C9555" t="s">
        <v>1718</v>
      </c>
      <c r="D9555">
        <v>37658</v>
      </c>
      <c r="E9555">
        <v>47734</v>
      </c>
      <c r="F9555">
        <v>45466</v>
      </c>
      <c r="G9555">
        <v>46091</v>
      </c>
    </row>
    <row r="9556" spans="1:7">
      <c r="A9556" t="s">
        <v>1876</v>
      </c>
      <c r="B9556" t="s">
        <v>376</v>
      </c>
      <c r="C9556" t="s">
        <v>1719</v>
      </c>
      <c r="D9556">
        <v>3283</v>
      </c>
      <c r="E9556">
        <v>3854</v>
      </c>
      <c r="F9556">
        <v>3854</v>
      </c>
      <c r="G9556">
        <v>3946</v>
      </c>
    </row>
    <row r="9557" spans="1:7">
      <c r="A9557" t="s">
        <v>1876</v>
      </c>
      <c r="B9557" t="s">
        <v>376</v>
      </c>
      <c r="C9557" t="s">
        <v>1720</v>
      </c>
      <c r="D9557">
        <v>107488</v>
      </c>
      <c r="E9557">
        <v>108002</v>
      </c>
      <c r="F9557">
        <v>105644</v>
      </c>
      <c r="G9557">
        <v>109378</v>
      </c>
    </row>
    <row r="9558" spans="1:7">
      <c r="A9558" t="s">
        <v>1876</v>
      </c>
      <c r="B9558" t="s">
        <v>376</v>
      </c>
      <c r="C9558" t="s">
        <v>1721</v>
      </c>
      <c r="D9558">
        <v>2767</v>
      </c>
      <c r="E9558">
        <v>2571</v>
      </c>
      <c r="F9558">
        <v>2544</v>
      </c>
      <c r="G9558">
        <v>2249</v>
      </c>
    </row>
    <row r="9559" spans="1:7">
      <c r="A9559" t="s">
        <v>1876</v>
      </c>
      <c r="B9559" t="s">
        <v>376</v>
      </c>
      <c r="C9559" t="s">
        <v>285</v>
      </c>
      <c r="D9559">
        <v>158274</v>
      </c>
      <c r="E9559">
        <v>168474</v>
      </c>
      <c r="F9559">
        <v>164526</v>
      </c>
      <c r="G9559">
        <v>168640</v>
      </c>
    </row>
    <row r="9560" spans="1:7">
      <c r="A9560" t="s">
        <v>1876</v>
      </c>
      <c r="B9560" t="s">
        <v>376</v>
      </c>
      <c r="C9560" t="s">
        <v>1951</v>
      </c>
      <c r="D9560">
        <v>18.8</v>
      </c>
      <c r="E9560">
        <v>19.899999999999999</v>
      </c>
      <c r="F9560">
        <v>19.600000000000001</v>
      </c>
      <c r="G9560">
        <v>19.899999999999999</v>
      </c>
    </row>
    <row r="9561" spans="1:7">
      <c r="A9561" t="s">
        <v>1876</v>
      </c>
      <c r="B9561" t="s">
        <v>376</v>
      </c>
      <c r="C9561" t="s">
        <v>286</v>
      </c>
      <c r="D9561">
        <v>0</v>
      </c>
      <c r="E9561">
        <v>0</v>
      </c>
      <c r="F9561">
        <v>0</v>
      </c>
      <c r="G9561">
        <v>0</v>
      </c>
    </row>
    <row r="9562" spans="1:7">
      <c r="A9562" t="s">
        <v>1876</v>
      </c>
      <c r="B9562" t="s">
        <v>376</v>
      </c>
      <c r="C9562" t="s">
        <v>287</v>
      </c>
      <c r="D9562">
        <v>24</v>
      </c>
      <c r="E9562">
        <v>25</v>
      </c>
      <c r="F9562">
        <v>20</v>
      </c>
      <c r="G9562">
        <v>22</v>
      </c>
    </row>
    <row r="9563" spans="1:7">
      <c r="A9563" t="s">
        <v>1876</v>
      </c>
      <c r="B9563" t="s">
        <v>376</v>
      </c>
      <c r="C9563" t="s">
        <v>288</v>
      </c>
      <c r="D9563">
        <v>0</v>
      </c>
      <c r="E9563">
        <v>0</v>
      </c>
      <c r="F9563">
        <v>0</v>
      </c>
      <c r="G9563">
        <v>0</v>
      </c>
    </row>
    <row r="9564" spans="1:7">
      <c r="A9564" t="s">
        <v>1876</v>
      </c>
      <c r="B9564" t="s">
        <v>376</v>
      </c>
      <c r="C9564" t="s">
        <v>289</v>
      </c>
      <c r="D9564">
        <v>0</v>
      </c>
      <c r="E9564">
        <v>0</v>
      </c>
      <c r="F9564">
        <v>0</v>
      </c>
      <c r="G9564">
        <v>0</v>
      </c>
    </row>
    <row r="9565" spans="1:7">
      <c r="A9565" t="s">
        <v>1876</v>
      </c>
      <c r="B9565" t="s">
        <v>376</v>
      </c>
      <c r="C9565" t="s">
        <v>290</v>
      </c>
      <c r="D9565">
        <v>24</v>
      </c>
      <c r="E9565">
        <v>25</v>
      </c>
      <c r="F9565">
        <v>20</v>
      </c>
      <c r="G9565">
        <v>22</v>
      </c>
    </row>
    <row r="9566" spans="1:7">
      <c r="A9566" t="s">
        <v>1876</v>
      </c>
      <c r="B9566" t="s">
        <v>376</v>
      </c>
      <c r="C9566" t="s">
        <v>291</v>
      </c>
      <c r="D9566">
        <v>24</v>
      </c>
      <c r="E9566">
        <v>25</v>
      </c>
      <c r="F9566">
        <v>20</v>
      </c>
      <c r="G9566">
        <v>22</v>
      </c>
    </row>
    <row r="9567" spans="1:7">
      <c r="A9567" t="s">
        <v>1876</v>
      </c>
      <c r="B9567" t="s">
        <v>376</v>
      </c>
      <c r="C9567" t="s">
        <v>292</v>
      </c>
      <c r="D9567">
        <v>70</v>
      </c>
      <c r="E9567">
        <v>56</v>
      </c>
      <c r="F9567">
        <v>83</v>
      </c>
      <c r="G9567">
        <v>114</v>
      </c>
    </row>
    <row r="9568" spans="1:7">
      <c r="A9568" t="s">
        <v>1876</v>
      </c>
      <c r="B9568" t="s">
        <v>376</v>
      </c>
      <c r="C9568" t="s">
        <v>293</v>
      </c>
      <c r="D9568">
        <v>25</v>
      </c>
      <c r="E9568">
        <v>22</v>
      </c>
      <c r="F9568">
        <v>35</v>
      </c>
      <c r="G9568">
        <v>48</v>
      </c>
    </row>
    <row r="9569" spans="1:7">
      <c r="A9569" t="s">
        <v>1876</v>
      </c>
      <c r="B9569" t="s">
        <v>376</v>
      </c>
      <c r="C9569" t="s">
        <v>294</v>
      </c>
      <c r="D9569">
        <v>213</v>
      </c>
      <c r="E9569">
        <v>169</v>
      </c>
      <c r="F9569">
        <v>254</v>
      </c>
      <c r="G9569">
        <v>380</v>
      </c>
    </row>
    <row r="9570" spans="1:7">
      <c r="A9570" t="s">
        <v>1876</v>
      </c>
      <c r="B9570" t="s">
        <v>376</v>
      </c>
      <c r="C9570" t="s">
        <v>295</v>
      </c>
      <c r="D9570">
        <v>80</v>
      </c>
      <c r="E9570">
        <v>68</v>
      </c>
      <c r="F9570">
        <v>92</v>
      </c>
      <c r="G9570">
        <v>118</v>
      </c>
    </row>
    <row r="9571" spans="1:7">
      <c r="A9571" t="s">
        <v>1876</v>
      </c>
      <c r="B9571" t="s">
        <v>376</v>
      </c>
      <c r="C9571" t="s">
        <v>296</v>
      </c>
      <c r="D9571">
        <v>389</v>
      </c>
      <c r="E9571">
        <v>316</v>
      </c>
      <c r="F9571">
        <v>464</v>
      </c>
      <c r="G9571">
        <v>661</v>
      </c>
    </row>
    <row r="9572" spans="1:7">
      <c r="A9572" t="s">
        <v>1876</v>
      </c>
      <c r="B9572" t="s">
        <v>376</v>
      </c>
      <c r="C9572" t="s">
        <v>297</v>
      </c>
      <c r="D9572">
        <v>0</v>
      </c>
      <c r="E9572">
        <v>0</v>
      </c>
      <c r="F9572">
        <v>0</v>
      </c>
      <c r="G9572">
        <v>0</v>
      </c>
    </row>
    <row r="9573" spans="1:7">
      <c r="A9573" t="s">
        <v>1876</v>
      </c>
      <c r="B9573" t="s">
        <v>376</v>
      </c>
      <c r="C9573" t="s">
        <v>1952</v>
      </c>
      <c r="D9573">
        <v>0</v>
      </c>
      <c r="E9573">
        <v>0</v>
      </c>
      <c r="F9573">
        <v>0</v>
      </c>
      <c r="G9573">
        <v>0</v>
      </c>
    </row>
    <row r="9574" spans="1:7">
      <c r="A9574" t="s">
        <v>1876</v>
      </c>
      <c r="B9574" t="s">
        <v>376</v>
      </c>
      <c r="C9574" t="s">
        <v>298</v>
      </c>
      <c r="D9574">
        <v>29</v>
      </c>
      <c r="E9574">
        <v>33</v>
      </c>
      <c r="F9574">
        <v>33</v>
      </c>
      <c r="G9574">
        <v>29</v>
      </c>
    </row>
    <row r="9575" spans="1:7">
      <c r="A9575" t="s">
        <v>1876</v>
      </c>
      <c r="B9575" t="s">
        <v>376</v>
      </c>
      <c r="C9575" t="s">
        <v>299</v>
      </c>
      <c r="D9575">
        <v>26</v>
      </c>
      <c r="E9575">
        <v>31</v>
      </c>
      <c r="F9575">
        <v>38</v>
      </c>
      <c r="G9575">
        <v>43</v>
      </c>
    </row>
    <row r="9576" spans="1:7">
      <c r="A9576" t="s">
        <v>1876</v>
      </c>
      <c r="B9576" t="s">
        <v>376</v>
      </c>
      <c r="C9576" t="s">
        <v>300</v>
      </c>
      <c r="D9576">
        <v>207</v>
      </c>
      <c r="E9576">
        <v>252</v>
      </c>
      <c r="F9576">
        <v>271</v>
      </c>
      <c r="G9576">
        <v>669</v>
      </c>
    </row>
    <row r="9577" spans="1:7">
      <c r="A9577" t="s">
        <v>1876</v>
      </c>
      <c r="B9577" t="s">
        <v>376</v>
      </c>
      <c r="C9577" t="s">
        <v>1722</v>
      </c>
      <c r="D9577">
        <v>32</v>
      </c>
      <c r="E9577">
        <v>41</v>
      </c>
      <c r="F9577">
        <v>41</v>
      </c>
      <c r="G9577">
        <v>137</v>
      </c>
    </row>
    <row r="9578" spans="1:7">
      <c r="A9578" t="s">
        <v>1876</v>
      </c>
      <c r="B9578" t="s">
        <v>376</v>
      </c>
      <c r="C9578" t="s">
        <v>301</v>
      </c>
      <c r="D9578">
        <v>9</v>
      </c>
      <c r="E9578">
        <v>12</v>
      </c>
      <c r="F9578">
        <v>12</v>
      </c>
      <c r="G9578">
        <v>12</v>
      </c>
    </row>
    <row r="9579" spans="1:7">
      <c r="A9579" t="s">
        <v>1876</v>
      </c>
      <c r="B9579" t="s">
        <v>376</v>
      </c>
      <c r="C9579" t="s">
        <v>302</v>
      </c>
      <c r="D9579">
        <v>79</v>
      </c>
      <c r="E9579">
        <v>110</v>
      </c>
      <c r="F9579">
        <v>146</v>
      </c>
      <c r="G9579">
        <v>169</v>
      </c>
    </row>
    <row r="9580" spans="1:7">
      <c r="A9580" t="s">
        <v>1876</v>
      </c>
      <c r="B9580" t="s">
        <v>376</v>
      </c>
      <c r="C9580" t="s">
        <v>303</v>
      </c>
      <c r="D9580">
        <v>321</v>
      </c>
      <c r="E9580">
        <v>404</v>
      </c>
      <c r="F9580">
        <v>467</v>
      </c>
      <c r="G9580">
        <v>894</v>
      </c>
    </row>
    <row r="9581" spans="1:7">
      <c r="A9581" t="s">
        <v>1876</v>
      </c>
      <c r="B9581" t="s">
        <v>376</v>
      </c>
      <c r="C9581" t="s">
        <v>304</v>
      </c>
      <c r="D9581">
        <v>114</v>
      </c>
      <c r="E9581">
        <v>152</v>
      </c>
      <c r="F9581">
        <v>196</v>
      </c>
      <c r="G9581">
        <v>225</v>
      </c>
    </row>
    <row r="9582" spans="1:7">
      <c r="A9582" t="s">
        <v>1876</v>
      </c>
      <c r="B9582" t="s">
        <v>376</v>
      </c>
      <c r="C9582" t="s">
        <v>1953</v>
      </c>
      <c r="D9582">
        <v>22.8</v>
      </c>
      <c r="E9582">
        <v>23.9</v>
      </c>
      <c r="F9582">
        <v>22.3</v>
      </c>
      <c r="G9582">
        <v>21.8</v>
      </c>
    </row>
    <row r="9583" spans="1:7">
      <c r="A9583" t="s">
        <v>1876</v>
      </c>
      <c r="B9583" t="s">
        <v>376</v>
      </c>
      <c r="C9583" t="s">
        <v>305</v>
      </c>
      <c r="D9583">
        <v>199085</v>
      </c>
      <c r="E9583">
        <v>200447</v>
      </c>
      <c r="F9583">
        <v>197082</v>
      </c>
      <c r="G9583">
        <v>198332</v>
      </c>
    </row>
    <row r="9584" spans="1:7">
      <c r="A9584" t="s">
        <v>1876</v>
      </c>
      <c r="B9584" t="s">
        <v>376</v>
      </c>
      <c r="C9584" t="s">
        <v>306</v>
      </c>
      <c r="D9584">
        <v>101.3</v>
      </c>
      <c r="E9584">
        <v>101.6</v>
      </c>
      <c r="F9584">
        <v>99.1</v>
      </c>
      <c r="G9584">
        <v>98.9</v>
      </c>
    </row>
    <row r="9585" spans="1:7">
      <c r="A9585" t="s">
        <v>1876</v>
      </c>
      <c r="B9585" t="s">
        <v>376</v>
      </c>
      <c r="C9585" t="s">
        <v>307</v>
      </c>
      <c r="D9585">
        <v>123385</v>
      </c>
      <c r="E9585">
        <v>122730</v>
      </c>
      <c r="F9585">
        <v>137406</v>
      </c>
      <c r="G9585">
        <v>147598</v>
      </c>
    </row>
    <row r="9586" spans="1:7">
      <c r="A9586" t="s">
        <v>1876</v>
      </c>
      <c r="B9586" t="s">
        <v>376</v>
      </c>
      <c r="C9586" t="s">
        <v>308</v>
      </c>
      <c r="D9586">
        <v>62.8</v>
      </c>
      <c r="E9586">
        <v>62.2</v>
      </c>
      <c r="F9586">
        <v>69.099999999999994</v>
      </c>
      <c r="G9586">
        <v>73.599999999999994</v>
      </c>
    </row>
    <row r="9587" spans="1:7">
      <c r="A9587" t="s">
        <v>1876</v>
      </c>
      <c r="B9587" t="s">
        <v>376</v>
      </c>
      <c r="C9587" t="s">
        <v>309</v>
      </c>
      <c r="D9587">
        <v>321473</v>
      </c>
      <c r="E9587">
        <v>326818</v>
      </c>
      <c r="F9587">
        <v>317144</v>
      </c>
      <c r="G9587">
        <v>293344</v>
      </c>
    </row>
    <row r="9588" spans="1:7">
      <c r="A9588" t="s">
        <v>1876</v>
      </c>
      <c r="B9588" t="s">
        <v>376</v>
      </c>
      <c r="C9588" t="s">
        <v>310</v>
      </c>
      <c r="D9588">
        <v>379498</v>
      </c>
      <c r="E9588">
        <v>381662</v>
      </c>
      <c r="F9588">
        <v>366222</v>
      </c>
      <c r="G9588">
        <v>370893</v>
      </c>
    </row>
    <row r="9589" spans="1:7">
      <c r="A9589" t="s">
        <v>1876</v>
      </c>
      <c r="B9589" t="s">
        <v>376</v>
      </c>
      <c r="C9589" t="s">
        <v>311</v>
      </c>
      <c r="D9589">
        <v>193.2</v>
      </c>
      <c r="E9589">
        <v>193.5</v>
      </c>
      <c r="F9589">
        <v>184.2</v>
      </c>
      <c r="G9589">
        <v>184.9</v>
      </c>
    </row>
    <row r="9590" spans="1:7">
      <c r="A9590" t="s">
        <v>1876</v>
      </c>
      <c r="B9590" t="s">
        <v>376</v>
      </c>
      <c r="C9590" t="s">
        <v>312</v>
      </c>
      <c r="D9590">
        <v>142014</v>
      </c>
      <c r="E9590">
        <v>143364</v>
      </c>
      <c r="F9590">
        <v>137504</v>
      </c>
      <c r="G9590">
        <v>128919</v>
      </c>
    </row>
    <row r="9591" spans="1:7">
      <c r="A9591" t="s">
        <v>1876</v>
      </c>
      <c r="B9591" t="s">
        <v>376</v>
      </c>
      <c r="C9591" t="s">
        <v>313</v>
      </c>
      <c r="D9591">
        <v>72.3</v>
      </c>
      <c r="E9591">
        <v>72.7</v>
      </c>
      <c r="F9591">
        <v>69.2</v>
      </c>
      <c r="G9591">
        <v>64.3</v>
      </c>
    </row>
    <row r="9592" spans="1:7">
      <c r="A9592" t="s">
        <v>1876</v>
      </c>
      <c r="B9592" t="s">
        <v>376</v>
      </c>
      <c r="C9592" t="s">
        <v>314</v>
      </c>
      <c r="D9592">
        <v>843982</v>
      </c>
      <c r="E9592">
        <v>848203</v>
      </c>
      <c r="F9592">
        <v>838213</v>
      </c>
      <c r="G9592">
        <v>845742</v>
      </c>
    </row>
    <row r="9593" spans="1:7">
      <c r="A9593" t="s">
        <v>1876</v>
      </c>
      <c r="B9593" t="s">
        <v>376</v>
      </c>
      <c r="C9593" t="s">
        <v>315</v>
      </c>
      <c r="D9593">
        <v>6.24</v>
      </c>
      <c r="E9593">
        <v>6.06</v>
      </c>
      <c r="F9593">
        <v>5.7</v>
      </c>
      <c r="G9593">
        <v>5.71</v>
      </c>
    </row>
    <row r="9594" spans="1:7">
      <c r="A9594" t="s">
        <v>1876</v>
      </c>
      <c r="B9594" t="s">
        <v>376</v>
      </c>
      <c r="C9594" t="s">
        <v>316</v>
      </c>
      <c r="D9594">
        <v>429.6</v>
      </c>
      <c r="E9594">
        <v>430</v>
      </c>
      <c r="F9594">
        <v>421.6</v>
      </c>
      <c r="G9594">
        <v>421.7</v>
      </c>
    </row>
    <row r="9595" spans="1:7">
      <c r="A9595" t="s">
        <v>1876</v>
      </c>
      <c r="B9595" t="s">
        <v>376</v>
      </c>
      <c r="C9595" t="s">
        <v>317</v>
      </c>
      <c r="D9595">
        <v>843983</v>
      </c>
      <c r="E9595">
        <v>848202</v>
      </c>
      <c r="F9595">
        <v>838213</v>
      </c>
      <c r="G9595">
        <v>845742</v>
      </c>
    </row>
    <row r="9596" spans="1:7">
      <c r="A9596" t="s">
        <v>1876</v>
      </c>
      <c r="B9596" t="s">
        <v>376</v>
      </c>
      <c r="C9596" t="s">
        <v>318</v>
      </c>
      <c r="D9596">
        <v>199085</v>
      </c>
      <c r="E9596">
        <v>200447</v>
      </c>
      <c r="F9596">
        <v>197082</v>
      </c>
      <c r="G9596">
        <v>198332</v>
      </c>
    </row>
    <row r="9597" spans="1:7">
      <c r="A9597" t="s">
        <v>1876</v>
      </c>
      <c r="B9597" t="s">
        <v>376</v>
      </c>
      <c r="C9597" t="s">
        <v>319</v>
      </c>
      <c r="D9597">
        <v>71689</v>
      </c>
      <c r="E9597">
        <v>73847</v>
      </c>
      <c r="F9597">
        <v>80262</v>
      </c>
      <c r="G9597">
        <v>83275</v>
      </c>
    </row>
    <row r="9598" spans="1:7">
      <c r="A9598" t="s">
        <v>1876</v>
      </c>
      <c r="B9598" t="s">
        <v>376</v>
      </c>
      <c r="C9598" t="s">
        <v>320</v>
      </c>
      <c r="D9598">
        <v>309225</v>
      </c>
      <c r="E9598">
        <v>314367</v>
      </c>
      <c r="F9598">
        <v>307152</v>
      </c>
      <c r="G9598">
        <v>311413</v>
      </c>
    </row>
    <row r="9599" spans="1:7">
      <c r="A9599" t="s">
        <v>1876</v>
      </c>
      <c r="B9599" t="s">
        <v>376</v>
      </c>
      <c r="C9599" t="s">
        <v>321</v>
      </c>
      <c r="D9599">
        <v>83441</v>
      </c>
      <c r="E9599">
        <v>87544</v>
      </c>
      <c r="F9599">
        <v>83354</v>
      </c>
      <c r="G9599">
        <v>77047</v>
      </c>
    </row>
    <row r="9600" spans="1:7">
      <c r="A9600" t="s">
        <v>1876</v>
      </c>
      <c r="B9600" t="s">
        <v>376</v>
      </c>
      <c r="C9600" t="s">
        <v>1954</v>
      </c>
      <c r="D9600">
        <v>663441</v>
      </c>
      <c r="E9600">
        <v>676205</v>
      </c>
      <c r="F9600">
        <v>667849</v>
      </c>
      <c r="G9600">
        <v>670068</v>
      </c>
    </row>
    <row r="9601" spans="1:7">
      <c r="A9601" t="s">
        <v>1876</v>
      </c>
      <c r="B9601" t="s">
        <v>376</v>
      </c>
      <c r="C9601" t="s">
        <v>323</v>
      </c>
      <c r="D9601">
        <v>1965</v>
      </c>
      <c r="E9601">
        <v>1973</v>
      </c>
      <c r="F9601">
        <v>1988</v>
      </c>
      <c r="G9601">
        <v>2006</v>
      </c>
    </row>
    <row r="9602" spans="1:7">
      <c r="A9602" t="s">
        <v>1876</v>
      </c>
      <c r="B9602" t="s">
        <v>376</v>
      </c>
      <c r="C9602" t="s">
        <v>324</v>
      </c>
      <c r="D9602">
        <v>0</v>
      </c>
      <c r="E9602">
        <v>0</v>
      </c>
      <c r="F9602">
        <v>0</v>
      </c>
      <c r="G9602">
        <v>0</v>
      </c>
    </row>
    <row r="9603" spans="1:7">
      <c r="A9603" t="s">
        <v>1876</v>
      </c>
      <c r="B9603" t="s">
        <v>376</v>
      </c>
      <c r="C9603" t="s">
        <v>325</v>
      </c>
      <c r="D9603">
        <v>0</v>
      </c>
      <c r="E9603">
        <v>0</v>
      </c>
      <c r="F9603">
        <v>0</v>
      </c>
      <c r="G9603">
        <v>0</v>
      </c>
    </row>
    <row r="9604" spans="1:7">
      <c r="A9604" t="s">
        <v>1876</v>
      </c>
      <c r="B9604" t="s">
        <v>376</v>
      </c>
      <c r="C9604" t="s">
        <v>326</v>
      </c>
      <c r="D9604">
        <v>423</v>
      </c>
      <c r="E9604">
        <v>301</v>
      </c>
      <c r="F9604">
        <v>342</v>
      </c>
      <c r="G9604">
        <v>304</v>
      </c>
    </row>
    <row r="9605" spans="1:7">
      <c r="A9605" t="s">
        <v>1876</v>
      </c>
      <c r="B9605" t="s">
        <v>376</v>
      </c>
      <c r="C9605" t="s">
        <v>327</v>
      </c>
      <c r="D9605">
        <v>0</v>
      </c>
      <c r="E9605">
        <v>0</v>
      </c>
      <c r="F9605">
        <v>0</v>
      </c>
      <c r="G9605">
        <v>0</v>
      </c>
    </row>
    <row r="9606" spans="1:7">
      <c r="A9606" t="s">
        <v>1876</v>
      </c>
      <c r="B9606" t="s">
        <v>376</v>
      </c>
      <c r="C9606" t="s">
        <v>1723</v>
      </c>
      <c r="D9606">
        <v>0</v>
      </c>
      <c r="E9606">
        <v>0</v>
      </c>
      <c r="F9606">
        <v>0</v>
      </c>
      <c r="G9606">
        <v>0</v>
      </c>
    </row>
    <row r="9607" spans="1:7">
      <c r="A9607" t="s">
        <v>1876</v>
      </c>
      <c r="B9607" t="s">
        <v>376</v>
      </c>
      <c r="C9607" t="s">
        <v>328</v>
      </c>
      <c r="D9607">
        <v>167</v>
      </c>
      <c r="E9607">
        <v>322</v>
      </c>
      <c r="F9607">
        <v>322</v>
      </c>
      <c r="G9607">
        <v>322</v>
      </c>
    </row>
    <row r="9608" spans="1:7">
      <c r="A9608" t="s">
        <v>1876</v>
      </c>
      <c r="B9608" t="s">
        <v>376</v>
      </c>
      <c r="C9608" t="s">
        <v>329</v>
      </c>
      <c r="D9608">
        <v>2195</v>
      </c>
      <c r="E9608">
        <v>1970</v>
      </c>
      <c r="F9608">
        <v>1905</v>
      </c>
      <c r="G9608">
        <v>1588</v>
      </c>
    </row>
    <row r="9609" spans="1:7">
      <c r="A9609" t="s">
        <v>1876</v>
      </c>
      <c r="B9609" t="s">
        <v>376</v>
      </c>
      <c r="C9609" t="s">
        <v>330</v>
      </c>
      <c r="D9609">
        <v>2785</v>
      </c>
      <c r="E9609">
        <v>2593</v>
      </c>
      <c r="F9609">
        <v>2570</v>
      </c>
      <c r="G9609">
        <v>2214</v>
      </c>
    </row>
    <row r="9610" spans="1:7">
      <c r="A9610" t="s">
        <v>1876</v>
      </c>
      <c r="B9610" t="s">
        <v>376</v>
      </c>
      <c r="C9610" t="s">
        <v>331</v>
      </c>
      <c r="D9610">
        <v>196</v>
      </c>
      <c r="E9610">
        <v>232</v>
      </c>
      <c r="F9610">
        <v>229</v>
      </c>
      <c r="G9610">
        <v>168</v>
      </c>
    </row>
    <row r="9611" spans="1:7">
      <c r="A9611" t="s">
        <v>1876</v>
      </c>
      <c r="B9611" t="s">
        <v>376</v>
      </c>
      <c r="C9611" t="s">
        <v>332</v>
      </c>
      <c r="D9611">
        <v>891</v>
      </c>
      <c r="E9611">
        <v>835</v>
      </c>
      <c r="F9611">
        <v>879</v>
      </c>
      <c r="G9611">
        <v>813</v>
      </c>
    </row>
    <row r="9612" spans="1:7">
      <c r="A9612" t="s">
        <v>1876</v>
      </c>
      <c r="B9612" t="s">
        <v>376</v>
      </c>
      <c r="C9612" t="s">
        <v>1724</v>
      </c>
      <c r="D9612">
        <v>16</v>
      </c>
      <c r="E9612">
        <v>16</v>
      </c>
      <c r="F9612">
        <v>16</v>
      </c>
      <c r="G9612">
        <v>14</v>
      </c>
    </row>
    <row r="9613" spans="1:7">
      <c r="A9613" t="s">
        <v>1876</v>
      </c>
      <c r="B9613" t="s">
        <v>376</v>
      </c>
      <c r="C9613" t="s">
        <v>333</v>
      </c>
      <c r="D9613">
        <v>956</v>
      </c>
      <c r="E9613">
        <v>947</v>
      </c>
      <c r="F9613">
        <v>939</v>
      </c>
      <c r="G9613">
        <v>844</v>
      </c>
    </row>
    <row r="9614" spans="1:7">
      <c r="A9614" t="s">
        <v>1876</v>
      </c>
      <c r="B9614" t="s">
        <v>376</v>
      </c>
      <c r="C9614" t="s">
        <v>334</v>
      </c>
      <c r="D9614">
        <v>2043</v>
      </c>
      <c r="E9614">
        <v>2014</v>
      </c>
      <c r="F9614">
        <v>2047</v>
      </c>
      <c r="G9614">
        <v>1826</v>
      </c>
    </row>
    <row r="9615" spans="1:7">
      <c r="A9615" t="s">
        <v>1876</v>
      </c>
      <c r="B9615" t="s">
        <v>376</v>
      </c>
      <c r="C9615" t="s">
        <v>335</v>
      </c>
      <c r="D9615">
        <v>618</v>
      </c>
      <c r="E9615">
        <v>533</v>
      </c>
      <c r="F9615">
        <v>572</v>
      </c>
      <c r="G9615">
        <v>473</v>
      </c>
    </row>
    <row r="9616" spans="1:7">
      <c r="A9616" t="s">
        <v>1876</v>
      </c>
      <c r="B9616" t="s">
        <v>376</v>
      </c>
      <c r="C9616" t="s">
        <v>336</v>
      </c>
      <c r="D9616">
        <v>891</v>
      </c>
      <c r="E9616">
        <v>835</v>
      </c>
      <c r="F9616">
        <v>879</v>
      </c>
      <c r="G9616">
        <v>813</v>
      </c>
    </row>
    <row r="9617" spans="1:7">
      <c r="A9617" t="s">
        <v>1876</v>
      </c>
      <c r="B9617" t="s">
        <v>376</v>
      </c>
      <c r="C9617" t="s">
        <v>337</v>
      </c>
      <c r="D9617">
        <v>1123</v>
      </c>
      <c r="E9617">
        <v>1269</v>
      </c>
      <c r="F9617">
        <v>1261</v>
      </c>
      <c r="G9617">
        <v>1166</v>
      </c>
    </row>
    <row r="9618" spans="1:7">
      <c r="A9618" t="s">
        <v>1876</v>
      </c>
      <c r="B9618" t="s">
        <v>376</v>
      </c>
      <c r="C9618" t="s">
        <v>338</v>
      </c>
      <c r="D9618">
        <v>4828</v>
      </c>
      <c r="E9618">
        <v>4607</v>
      </c>
      <c r="F9618">
        <v>4617</v>
      </c>
      <c r="G9618">
        <v>4040</v>
      </c>
    </row>
    <row r="9619" spans="1:7">
      <c r="A9619" t="s">
        <v>1876</v>
      </c>
      <c r="B9619" t="s">
        <v>376</v>
      </c>
      <c r="C9619" t="s">
        <v>339</v>
      </c>
      <c r="D9619">
        <v>3937</v>
      </c>
      <c r="E9619">
        <v>3772</v>
      </c>
      <c r="F9619">
        <v>3738</v>
      </c>
      <c r="G9619">
        <v>3227</v>
      </c>
    </row>
    <row r="9620" spans="1:7">
      <c r="A9620" t="s">
        <v>1876</v>
      </c>
      <c r="B9620" t="s">
        <v>376</v>
      </c>
      <c r="C9620" t="s">
        <v>340</v>
      </c>
      <c r="D9620">
        <v>72</v>
      </c>
      <c r="E9620">
        <v>72</v>
      </c>
      <c r="F9620">
        <v>50</v>
      </c>
      <c r="G9620">
        <v>62</v>
      </c>
    </row>
    <row r="9621" spans="1:7">
      <c r="A9621" t="s">
        <v>1876</v>
      </c>
      <c r="B9621" t="s">
        <v>376</v>
      </c>
      <c r="C9621" t="s">
        <v>1955</v>
      </c>
      <c r="D9621">
        <v>40.799999999999997</v>
      </c>
      <c r="E9621">
        <v>44.8</v>
      </c>
      <c r="F9621">
        <v>38.4</v>
      </c>
      <c r="G9621">
        <v>38.5</v>
      </c>
    </row>
    <row r="9622" spans="1:7">
      <c r="A9622" t="s">
        <v>1876</v>
      </c>
      <c r="B9622" t="s">
        <v>376</v>
      </c>
      <c r="C9622" t="s">
        <v>341</v>
      </c>
      <c r="D9622">
        <v>0</v>
      </c>
      <c r="E9622">
        <v>0</v>
      </c>
      <c r="F9622">
        <v>0</v>
      </c>
      <c r="G9622">
        <v>0</v>
      </c>
    </row>
    <row r="9623" spans="1:7">
      <c r="A9623" t="s">
        <v>1876</v>
      </c>
      <c r="B9623" t="s">
        <v>376</v>
      </c>
      <c r="C9623" t="s">
        <v>342</v>
      </c>
      <c r="D9623">
        <v>32728</v>
      </c>
      <c r="E9623">
        <v>43039</v>
      </c>
      <c r="F9623">
        <v>40416</v>
      </c>
      <c r="G9623">
        <v>40573</v>
      </c>
    </row>
    <row r="9624" spans="1:7">
      <c r="A9624" t="s">
        <v>1876</v>
      </c>
      <c r="B9624" t="s">
        <v>376</v>
      </c>
      <c r="C9624" t="s">
        <v>1725</v>
      </c>
      <c r="D9624">
        <v>2956</v>
      </c>
      <c r="E9624">
        <v>3518</v>
      </c>
      <c r="F9624">
        <v>3518</v>
      </c>
      <c r="G9624">
        <v>3517</v>
      </c>
    </row>
    <row r="9625" spans="1:7">
      <c r="A9625" t="s">
        <v>1876</v>
      </c>
      <c r="B9625" t="s">
        <v>376</v>
      </c>
      <c r="C9625" t="s">
        <v>343</v>
      </c>
      <c r="D9625">
        <v>0</v>
      </c>
      <c r="E9625">
        <v>0</v>
      </c>
      <c r="F9625">
        <v>0</v>
      </c>
      <c r="G9625">
        <v>0</v>
      </c>
    </row>
    <row r="9626" spans="1:7">
      <c r="A9626" t="s">
        <v>1876</v>
      </c>
      <c r="B9626" t="s">
        <v>376</v>
      </c>
      <c r="C9626" t="s">
        <v>344</v>
      </c>
      <c r="D9626">
        <v>32728</v>
      </c>
      <c r="E9626">
        <v>43039</v>
      </c>
      <c r="F9626">
        <v>40416</v>
      </c>
      <c r="G9626">
        <v>40573</v>
      </c>
    </row>
    <row r="9627" spans="1:7">
      <c r="A9627" t="s">
        <v>1876</v>
      </c>
      <c r="B9627" t="s">
        <v>376</v>
      </c>
      <c r="C9627" t="s">
        <v>345</v>
      </c>
      <c r="D9627">
        <v>0</v>
      </c>
      <c r="E9627">
        <v>0</v>
      </c>
      <c r="F9627">
        <v>0</v>
      </c>
      <c r="G9627">
        <v>0</v>
      </c>
    </row>
    <row r="9628" spans="1:7">
      <c r="A9628" t="s">
        <v>1876</v>
      </c>
      <c r="B9628" t="s">
        <v>376</v>
      </c>
      <c r="C9628" t="s">
        <v>1956</v>
      </c>
      <c r="D9628">
        <v>891</v>
      </c>
      <c r="E9628">
        <v>835</v>
      </c>
      <c r="F9628">
        <v>879</v>
      </c>
      <c r="G9628">
        <v>813</v>
      </c>
    </row>
    <row r="9629" spans="1:7">
      <c r="A9629" t="s">
        <v>1876</v>
      </c>
      <c r="B9629" t="s">
        <v>376</v>
      </c>
      <c r="C9629" t="s">
        <v>1957</v>
      </c>
      <c r="D9629">
        <v>2043</v>
      </c>
      <c r="E9629">
        <v>2014</v>
      </c>
      <c r="F9629">
        <v>2047</v>
      </c>
      <c r="G9629">
        <v>1825</v>
      </c>
    </row>
    <row r="9630" spans="1:7">
      <c r="A9630" t="s">
        <v>1876</v>
      </c>
      <c r="B9630" t="s">
        <v>376</v>
      </c>
      <c r="C9630" t="s">
        <v>346</v>
      </c>
      <c r="D9630">
        <v>1173</v>
      </c>
      <c r="E9630">
        <v>1185</v>
      </c>
      <c r="F9630">
        <v>1140</v>
      </c>
      <c r="G9630">
        <v>1129</v>
      </c>
    </row>
    <row r="9631" spans="1:7">
      <c r="A9631" t="s">
        <v>1876</v>
      </c>
      <c r="B9631" t="s">
        <v>376</v>
      </c>
      <c r="C9631" t="s">
        <v>347</v>
      </c>
      <c r="D9631">
        <v>5825</v>
      </c>
      <c r="E9631">
        <v>6403</v>
      </c>
      <c r="F9631">
        <v>5798</v>
      </c>
      <c r="G9631">
        <v>5450</v>
      </c>
    </row>
    <row r="9632" spans="1:7">
      <c r="A9632" t="s">
        <v>1876</v>
      </c>
      <c r="B9632" t="s">
        <v>377</v>
      </c>
      <c r="C9632" t="s">
        <v>133</v>
      </c>
      <c r="D9632">
        <v>0</v>
      </c>
      <c r="E9632">
        <v>0</v>
      </c>
      <c r="F9632">
        <v>0</v>
      </c>
      <c r="G9632">
        <v>0</v>
      </c>
    </row>
    <row r="9633" spans="1:7">
      <c r="A9633" t="s">
        <v>1876</v>
      </c>
      <c r="B9633" t="s">
        <v>377</v>
      </c>
      <c r="C9633" t="s">
        <v>134</v>
      </c>
      <c r="D9633">
        <v>3202</v>
      </c>
      <c r="E9633">
        <v>3220</v>
      </c>
      <c r="F9633">
        <v>2392</v>
      </c>
      <c r="G9633">
        <v>2720</v>
      </c>
    </row>
    <row r="9634" spans="1:7">
      <c r="A9634" t="s">
        <v>1876</v>
      </c>
      <c r="B9634" t="s">
        <v>377</v>
      </c>
      <c r="C9634" t="s">
        <v>135</v>
      </c>
      <c r="D9634">
        <v>3202</v>
      </c>
      <c r="E9634">
        <v>3220</v>
      </c>
      <c r="F9634">
        <v>2392</v>
      </c>
      <c r="G9634">
        <v>2720</v>
      </c>
    </row>
    <row r="9635" spans="1:7">
      <c r="A9635" t="s">
        <v>1876</v>
      </c>
      <c r="B9635" t="s">
        <v>377</v>
      </c>
      <c r="C9635" t="s">
        <v>136</v>
      </c>
      <c r="D9635">
        <v>3202</v>
      </c>
      <c r="E9635">
        <v>3220</v>
      </c>
      <c r="F9635">
        <v>2392</v>
      </c>
      <c r="G9635">
        <v>2720</v>
      </c>
    </row>
    <row r="9636" spans="1:7">
      <c r="A9636" t="s">
        <v>1876</v>
      </c>
      <c r="B9636" t="s">
        <v>377</v>
      </c>
      <c r="C9636" t="s">
        <v>137</v>
      </c>
      <c r="D9636">
        <v>101</v>
      </c>
      <c r="E9636">
        <v>104</v>
      </c>
      <c r="F9636">
        <v>99</v>
      </c>
      <c r="G9636">
        <v>106</v>
      </c>
    </row>
    <row r="9637" spans="1:7">
      <c r="A9637" t="s">
        <v>1876</v>
      </c>
      <c r="B9637" t="s">
        <v>377</v>
      </c>
      <c r="C9637" t="s">
        <v>138</v>
      </c>
      <c r="D9637">
        <v>101</v>
      </c>
      <c r="E9637">
        <v>104</v>
      </c>
      <c r="F9637">
        <v>99</v>
      </c>
      <c r="G9637">
        <v>106</v>
      </c>
    </row>
    <row r="9638" spans="1:7">
      <c r="A9638" t="s">
        <v>1876</v>
      </c>
      <c r="B9638" t="s">
        <v>377</v>
      </c>
      <c r="C9638" t="s">
        <v>139</v>
      </c>
      <c r="D9638">
        <v>101</v>
      </c>
      <c r="E9638">
        <v>104</v>
      </c>
      <c r="F9638">
        <v>99</v>
      </c>
      <c r="G9638">
        <v>106</v>
      </c>
    </row>
    <row r="9639" spans="1:7">
      <c r="A9639" t="s">
        <v>1876</v>
      </c>
      <c r="B9639" t="s">
        <v>377</v>
      </c>
      <c r="C9639" t="s">
        <v>1877</v>
      </c>
      <c r="D9639">
        <v>0</v>
      </c>
      <c r="E9639">
        <v>0</v>
      </c>
      <c r="F9639">
        <v>0</v>
      </c>
      <c r="G9639">
        <v>0</v>
      </c>
    </row>
    <row r="9640" spans="1:7">
      <c r="A9640" t="s">
        <v>1876</v>
      </c>
      <c r="B9640" t="s">
        <v>377</v>
      </c>
      <c r="C9640" t="s">
        <v>1700</v>
      </c>
      <c r="D9640">
        <v>0</v>
      </c>
      <c r="E9640">
        <v>0</v>
      </c>
      <c r="F9640">
        <v>0</v>
      </c>
      <c r="G9640">
        <v>0</v>
      </c>
    </row>
    <row r="9641" spans="1:7">
      <c r="A9641" t="s">
        <v>1876</v>
      </c>
      <c r="B9641" t="s">
        <v>377</v>
      </c>
      <c r="C9641" t="s">
        <v>1878</v>
      </c>
      <c r="D9641">
        <v>0</v>
      </c>
      <c r="E9641">
        <v>0</v>
      </c>
      <c r="F9641">
        <v>0</v>
      </c>
      <c r="G9641">
        <v>0</v>
      </c>
    </row>
    <row r="9642" spans="1:7">
      <c r="A9642" t="s">
        <v>1876</v>
      </c>
      <c r="B9642" t="s">
        <v>377</v>
      </c>
      <c r="C9642" t="s">
        <v>1879</v>
      </c>
      <c r="D9642">
        <v>0</v>
      </c>
      <c r="E9642">
        <v>0</v>
      </c>
      <c r="F9642">
        <v>0</v>
      </c>
      <c r="G9642">
        <v>0</v>
      </c>
    </row>
    <row r="9643" spans="1:7">
      <c r="A9643" t="s">
        <v>1876</v>
      </c>
      <c r="B9643" t="s">
        <v>377</v>
      </c>
      <c r="C9643" t="s">
        <v>1701</v>
      </c>
      <c r="D9643">
        <v>0</v>
      </c>
      <c r="E9643">
        <v>0</v>
      </c>
      <c r="F9643">
        <v>0</v>
      </c>
      <c r="G9643">
        <v>0</v>
      </c>
    </row>
    <row r="9644" spans="1:7">
      <c r="A9644" t="s">
        <v>1876</v>
      </c>
      <c r="B9644" t="s">
        <v>377</v>
      </c>
      <c r="C9644" t="s">
        <v>1880</v>
      </c>
      <c r="D9644">
        <v>170</v>
      </c>
      <c r="E9644">
        <v>155</v>
      </c>
      <c r="F9644">
        <v>184</v>
      </c>
      <c r="G9644">
        <v>179</v>
      </c>
    </row>
    <row r="9645" spans="1:7">
      <c r="A9645" t="s">
        <v>1876</v>
      </c>
      <c r="B9645" t="s">
        <v>377</v>
      </c>
      <c r="C9645" t="s">
        <v>140</v>
      </c>
      <c r="D9645">
        <v>399</v>
      </c>
      <c r="E9645">
        <v>375</v>
      </c>
      <c r="F9645">
        <v>496</v>
      </c>
      <c r="G9645">
        <v>509</v>
      </c>
    </row>
    <row r="9646" spans="1:7">
      <c r="A9646" t="s">
        <v>1876</v>
      </c>
      <c r="B9646" t="s">
        <v>377</v>
      </c>
      <c r="C9646" t="s">
        <v>1881</v>
      </c>
      <c r="D9646">
        <v>229</v>
      </c>
      <c r="E9646">
        <v>220</v>
      </c>
      <c r="F9646">
        <v>312</v>
      </c>
      <c r="G9646">
        <v>331</v>
      </c>
    </row>
    <row r="9647" spans="1:7">
      <c r="A9647" t="s">
        <v>1876</v>
      </c>
      <c r="B9647" t="s">
        <v>377</v>
      </c>
      <c r="C9647" t="s">
        <v>1882</v>
      </c>
      <c r="D9647">
        <v>0</v>
      </c>
      <c r="E9647">
        <v>0</v>
      </c>
      <c r="F9647">
        <v>0</v>
      </c>
      <c r="G9647">
        <v>0</v>
      </c>
    </row>
    <row r="9648" spans="1:7">
      <c r="A9648" t="s">
        <v>1876</v>
      </c>
      <c r="B9648" t="s">
        <v>377</v>
      </c>
      <c r="C9648" t="s">
        <v>1883</v>
      </c>
      <c r="D9648">
        <v>0</v>
      </c>
      <c r="E9648">
        <v>0</v>
      </c>
      <c r="F9648">
        <v>0</v>
      </c>
      <c r="G9648">
        <v>0</v>
      </c>
    </row>
    <row r="9649" spans="1:7">
      <c r="A9649" t="s">
        <v>1876</v>
      </c>
      <c r="B9649" t="s">
        <v>377</v>
      </c>
      <c r="C9649" t="s">
        <v>1884</v>
      </c>
      <c r="D9649">
        <v>0</v>
      </c>
      <c r="E9649">
        <v>0</v>
      </c>
      <c r="F9649">
        <v>0</v>
      </c>
      <c r="G9649">
        <v>0</v>
      </c>
    </row>
    <row r="9650" spans="1:7">
      <c r="A9650" t="s">
        <v>1876</v>
      </c>
      <c r="B9650" t="s">
        <v>377</v>
      </c>
      <c r="C9650" t="s">
        <v>1885</v>
      </c>
      <c r="D9650">
        <v>0</v>
      </c>
      <c r="E9650">
        <v>0</v>
      </c>
      <c r="F9650">
        <v>0</v>
      </c>
      <c r="G9650">
        <v>0</v>
      </c>
    </row>
    <row r="9651" spans="1:7">
      <c r="A9651" t="s">
        <v>1876</v>
      </c>
      <c r="B9651" t="s">
        <v>377</v>
      </c>
      <c r="C9651" t="s">
        <v>1886</v>
      </c>
      <c r="D9651">
        <v>0</v>
      </c>
      <c r="E9651">
        <v>0</v>
      </c>
      <c r="F9651">
        <v>0</v>
      </c>
      <c r="G9651">
        <v>0</v>
      </c>
    </row>
    <row r="9652" spans="1:7">
      <c r="A9652" t="s">
        <v>1876</v>
      </c>
      <c r="B9652" t="s">
        <v>377</v>
      </c>
      <c r="C9652" t="s">
        <v>141</v>
      </c>
      <c r="D9652">
        <v>8</v>
      </c>
      <c r="E9652">
        <v>9</v>
      </c>
      <c r="F9652">
        <v>11</v>
      </c>
      <c r="G9652">
        <v>11</v>
      </c>
    </row>
    <row r="9653" spans="1:7">
      <c r="A9653" t="s">
        <v>1876</v>
      </c>
      <c r="B9653" t="s">
        <v>377</v>
      </c>
      <c r="C9653" t="s">
        <v>1887</v>
      </c>
      <c r="D9653">
        <v>0</v>
      </c>
      <c r="E9653">
        <v>0</v>
      </c>
      <c r="F9653">
        <v>0</v>
      </c>
      <c r="G9653">
        <v>0</v>
      </c>
    </row>
    <row r="9654" spans="1:7">
      <c r="A9654" t="s">
        <v>1876</v>
      </c>
      <c r="B9654" t="s">
        <v>377</v>
      </c>
      <c r="C9654" t="s">
        <v>1888</v>
      </c>
      <c r="D9654">
        <v>0</v>
      </c>
      <c r="E9654">
        <v>0</v>
      </c>
      <c r="F9654">
        <v>0</v>
      </c>
      <c r="G9654">
        <v>0</v>
      </c>
    </row>
    <row r="9655" spans="1:7">
      <c r="A9655" t="s">
        <v>1876</v>
      </c>
      <c r="B9655" t="s">
        <v>377</v>
      </c>
      <c r="C9655" t="s">
        <v>1889</v>
      </c>
      <c r="D9655">
        <v>170</v>
      </c>
      <c r="E9655">
        <v>155</v>
      </c>
      <c r="F9655">
        <v>184</v>
      </c>
      <c r="G9655">
        <v>179</v>
      </c>
    </row>
    <row r="9656" spans="1:7">
      <c r="A9656" t="s">
        <v>1876</v>
      </c>
      <c r="B9656" t="s">
        <v>377</v>
      </c>
      <c r="C9656" t="s">
        <v>1890</v>
      </c>
      <c r="D9656">
        <v>0</v>
      </c>
      <c r="E9656">
        <v>0</v>
      </c>
      <c r="F9656">
        <v>0</v>
      </c>
      <c r="G9656">
        <v>0</v>
      </c>
    </row>
    <row r="9657" spans="1:7">
      <c r="A9657" t="s">
        <v>1876</v>
      </c>
      <c r="B9657" t="s">
        <v>377</v>
      </c>
      <c r="C9657" t="s">
        <v>1891</v>
      </c>
    </row>
    <row r="9658" spans="1:7">
      <c r="A9658" t="s">
        <v>1876</v>
      </c>
      <c r="B9658" t="s">
        <v>377</v>
      </c>
      <c r="C9658" t="s">
        <v>1892</v>
      </c>
      <c r="D9658">
        <v>229</v>
      </c>
      <c r="E9658">
        <v>220</v>
      </c>
      <c r="F9658">
        <v>312</v>
      </c>
      <c r="G9658">
        <v>331</v>
      </c>
    </row>
    <row r="9659" spans="1:7">
      <c r="A9659" t="s">
        <v>1876</v>
      </c>
      <c r="B9659" t="s">
        <v>377</v>
      </c>
      <c r="C9659" t="s">
        <v>142</v>
      </c>
      <c r="D9659">
        <v>399</v>
      </c>
      <c r="E9659">
        <v>375</v>
      </c>
      <c r="F9659">
        <v>496</v>
      </c>
      <c r="G9659">
        <v>509</v>
      </c>
    </row>
    <row r="9660" spans="1:7">
      <c r="A9660" t="s">
        <v>1876</v>
      </c>
      <c r="B9660" t="s">
        <v>377</v>
      </c>
      <c r="C9660" t="s">
        <v>1893</v>
      </c>
      <c r="D9660">
        <v>399</v>
      </c>
      <c r="E9660">
        <v>375</v>
      </c>
      <c r="F9660">
        <v>496</v>
      </c>
      <c r="G9660">
        <v>509</v>
      </c>
    </row>
    <row r="9661" spans="1:7">
      <c r="A9661" t="s">
        <v>1876</v>
      </c>
      <c r="B9661" t="s">
        <v>377</v>
      </c>
      <c r="C9661" t="s">
        <v>1894</v>
      </c>
      <c r="D9661">
        <v>229</v>
      </c>
      <c r="E9661">
        <v>220</v>
      </c>
      <c r="F9661">
        <v>312</v>
      </c>
      <c r="G9661">
        <v>331</v>
      </c>
    </row>
    <row r="9662" spans="1:7">
      <c r="A9662" t="s">
        <v>1876</v>
      </c>
      <c r="B9662" t="s">
        <v>377</v>
      </c>
      <c r="C9662" t="s">
        <v>143</v>
      </c>
      <c r="D9662">
        <v>8</v>
      </c>
      <c r="E9662">
        <v>9</v>
      </c>
      <c r="F9662">
        <v>11</v>
      </c>
      <c r="G9662">
        <v>11</v>
      </c>
    </row>
    <row r="9663" spans="1:7">
      <c r="A9663" t="s">
        <v>1876</v>
      </c>
      <c r="B9663" t="s">
        <v>377</v>
      </c>
      <c r="C9663" t="s">
        <v>144</v>
      </c>
      <c r="D9663">
        <v>6256</v>
      </c>
      <c r="E9663">
        <v>6315</v>
      </c>
      <c r="F9663">
        <v>6510</v>
      </c>
      <c r="G9663">
        <v>6671</v>
      </c>
    </row>
    <row r="9664" spans="1:7">
      <c r="A9664" t="s">
        <v>1876</v>
      </c>
      <c r="B9664" t="s">
        <v>377</v>
      </c>
      <c r="C9664" t="s">
        <v>1895</v>
      </c>
      <c r="D9664">
        <v>48.8</v>
      </c>
      <c r="E9664">
        <v>46.1</v>
      </c>
      <c r="F9664">
        <v>43.1</v>
      </c>
      <c r="G9664">
        <v>36.799999999999997</v>
      </c>
    </row>
    <row r="9665" spans="1:7">
      <c r="A9665" t="s">
        <v>1876</v>
      </c>
      <c r="B9665" t="s">
        <v>377</v>
      </c>
      <c r="C9665" t="s">
        <v>145</v>
      </c>
      <c r="D9665">
        <v>32487</v>
      </c>
      <c r="E9665">
        <v>33735</v>
      </c>
      <c r="F9665">
        <v>31560</v>
      </c>
      <c r="G9665">
        <v>29597</v>
      </c>
    </row>
    <row r="9666" spans="1:7">
      <c r="A9666" t="s">
        <v>1876</v>
      </c>
      <c r="B9666" t="s">
        <v>377</v>
      </c>
      <c r="C9666" t="s">
        <v>146</v>
      </c>
      <c r="D9666">
        <v>0</v>
      </c>
      <c r="E9666">
        <v>0</v>
      </c>
      <c r="F9666">
        <v>0</v>
      </c>
      <c r="G9666">
        <v>0</v>
      </c>
    </row>
    <row r="9667" spans="1:7">
      <c r="A9667" t="s">
        <v>1876</v>
      </c>
      <c r="B9667" t="s">
        <v>377</v>
      </c>
      <c r="C9667" t="s">
        <v>147</v>
      </c>
      <c r="D9667">
        <v>0</v>
      </c>
      <c r="E9667">
        <v>0</v>
      </c>
      <c r="F9667">
        <v>0</v>
      </c>
      <c r="G9667">
        <v>0</v>
      </c>
    </row>
    <row r="9668" spans="1:7">
      <c r="A9668" t="s">
        <v>1876</v>
      </c>
      <c r="B9668" t="s">
        <v>377</v>
      </c>
      <c r="C9668" t="s">
        <v>1896</v>
      </c>
      <c r="D9668">
        <v>0</v>
      </c>
      <c r="E9668">
        <v>0</v>
      </c>
      <c r="F9668">
        <v>0</v>
      </c>
      <c r="G9668">
        <v>7.5</v>
      </c>
    </row>
    <row r="9669" spans="1:7">
      <c r="A9669" t="s">
        <v>1876</v>
      </c>
      <c r="B9669" t="s">
        <v>377</v>
      </c>
      <c r="C9669" t="s">
        <v>1702</v>
      </c>
      <c r="D9669">
        <v>0</v>
      </c>
      <c r="E9669">
        <v>0</v>
      </c>
      <c r="F9669">
        <v>14</v>
      </c>
      <c r="G9669">
        <v>14</v>
      </c>
    </row>
    <row r="9670" spans="1:7">
      <c r="A9670" t="s">
        <v>1876</v>
      </c>
      <c r="B9670" t="s">
        <v>377</v>
      </c>
      <c r="C9670" t="s">
        <v>1897</v>
      </c>
      <c r="D9670">
        <v>3.9</v>
      </c>
      <c r="E9670">
        <v>5.9</v>
      </c>
      <c r="F9670">
        <v>9.5</v>
      </c>
      <c r="G9670">
        <v>12.3</v>
      </c>
    </row>
    <row r="9671" spans="1:7">
      <c r="A9671" t="s">
        <v>1876</v>
      </c>
      <c r="B9671" t="s">
        <v>377</v>
      </c>
      <c r="C9671" t="s">
        <v>1898</v>
      </c>
      <c r="D9671">
        <v>6</v>
      </c>
      <c r="E9671">
        <v>11</v>
      </c>
      <c r="F9671">
        <v>31</v>
      </c>
      <c r="G9671">
        <v>42</v>
      </c>
    </row>
    <row r="9672" spans="1:7">
      <c r="A9672" t="s">
        <v>1876</v>
      </c>
      <c r="B9672" t="s">
        <v>377</v>
      </c>
      <c r="C9672" t="s">
        <v>1899</v>
      </c>
      <c r="D9672">
        <v>229</v>
      </c>
      <c r="E9672">
        <v>220</v>
      </c>
      <c r="F9672">
        <v>312</v>
      </c>
      <c r="G9672">
        <v>331</v>
      </c>
    </row>
    <row r="9673" spans="1:7">
      <c r="A9673" t="s">
        <v>1876</v>
      </c>
      <c r="B9673" t="s">
        <v>377</v>
      </c>
      <c r="C9673" t="s">
        <v>148</v>
      </c>
      <c r="D9673">
        <v>0</v>
      </c>
      <c r="E9673">
        <v>0</v>
      </c>
      <c r="F9673">
        <v>0</v>
      </c>
      <c r="G9673">
        <v>0</v>
      </c>
    </row>
    <row r="9674" spans="1:7">
      <c r="A9674" t="s">
        <v>1876</v>
      </c>
      <c r="B9674" t="s">
        <v>377</v>
      </c>
      <c r="C9674" t="s">
        <v>149</v>
      </c>
      <c r="D9674">
        <v>0</v>
      </c>
      <c r="E9674">
        <v>0</v>
      </c>
      <c r="F9674">
        <v>0</v>
      </c>
      <c r="G9674">
        <v>0</v>
      </c>
    </row>
    <row r="9675" spans="1:7">
      <c r="A9675" t="s">
        <v>1876</v>
      </c>
      <c r="B9675" t="s">
        <v>377</v>
      </c>
      <c r="C9675" t="s">
        <v>150</v>
      </c>
      <c r="D9675">
        <v>0</v>
      </c>
      <c r="E9675">
        <v>0</v>
      </c>
      <c r="F9675">
        <v>0</v>
      </c>
      <c r="G9675">
        <v>0</v>
      </c>
    </row>
    <row r="9676" spans="1:7">
      <c r="A9676" t="s">
        <v>1876</v>
      </c>
      <c r="B9676" t="s">
        <v>377</v>
      </c>
      <c r="C9676" t="s">
        <v>1900</v>
      </c>
      <c r="D9676">
        <v>6.1</v>
      </c>
      <c r="E9676">
        <v>6.5</v>
      </c>
      <c r="F9676">
        <v>3.4</v>
      </c>
      <c r="G9676">
        <v>4.8</v>
      </c>
    </row>
    <row r="9677" spans="1:7">
      <c r="A9677" t="s">
        <v>1876</v>
      </c>
      <c r="B9677" t="s">
        <v>377</v>
      </c>
      <c r="C9677" t="s">
        <v>151</v>
      </c>
      <c r="D9677">
        <v>0</v>
      </c>
      <c r="E9677">
        <v>0</v>
      </c>
      <c r="F9677">
        <v>0</v>
      </c>
      <c r="G9677">
        <v>0</v>
      </c>
    </row>
    <row r="9678" spans="1:7">
      <c r="A9678" t="s">
        <v>1876</v>
      </c>
      <c r="B9678" t="s">
        <v>377</v>
      </c>
      <c r="C9678" t="s">
        <v>152</v>
      </c>
      <c r="D9678">
        <v>3259</v>
      </c>
      <c r="E9678">
        <v>3864</v>
      </c>
      <c r="F9678">
        <v>1838</v>
      </c>
      <c r="G9678">
        <v>2603</v>
      </c>
    </row>
    <row r="9679" spans="1:7">
      <c r="A9679" t="s">
        <v>1876</v>
      </c>
      <c r="B9679" t="s">
        <v>377</v>
      </c>
      <c r="C9679" t="s">
        <v>1703</v>
      </c>
      <c r="D9679">
        <v>534</v>
      </c>
      <c r="E9679">
        <v>534</v>
      </c>
      <c r="F9679">
        <v>534</v>
      </c>
      <c r="G9679">
        <v>534</v>
      </c>
    </row>
    <row r="9680" spans="1:7">
      <c r="A9680" t="s">
        <v>1876</v>
      </c>
      <c r="B9680" t="s">
        <v>377</v>
      </c>
      <c r="C9680" t="s">
        <v>153</v>
      </c>
      <c r="D9680">
        <v>0</v>
      </c>
      <c r="E9680">
        <v>0</v>
      </c>
      <c r="F9680">
        <v>0</v>
      </c>
      <c r="G9680">
        <v>0</v>
      </c>
    </row>
    <row r="9681" spans="1:7">
      <c r="A9681" t="s">
        <v>1876</v>
      </c>
      <c r="B9681" t="s">
        <v>377</v>
      </c>
      <c r="C9681" t="s">
        <v>154</v>
      </c>
      <c r="D9681">
        <v>0</v>
      </c>
      <c r="E9681">
        <v>0</v>
      </c>
      <c r="F9681">
        <v>0</v>
      </c>
      <c r="G9681">
        <v>0</v>
      </c>
    </row>
    <row r="9682" spans="1:7">
      <c r="A9682" t="s">
        <v>1876</v>
      </c>
      <c r="B9682" t="s">
        <v>377</v>
      </c>
      <c r="C9682" t="s">
        <v>155</v>
      </c>
      <c r="D9682">
        <v>0</v>
      </c>
      <c r="E9682">
        <v>0</v>
      </c>
      <c r="F9682">
        <v>0</v>
      </c>
      <c r="G9682">
        <v>0</v>
      </c>
    </row>
    <row r="9683" spans="1:7">
      <c r="A9683" t="s">
        <v>1876</v>
      </c>
      <c r="B9683" t="s">
        <v>377</v>
      </c>
      <c r="C9683" t="s">
        <v>156</v>
      </c>
      <c r="D9683">
        <v>0</v>
      </c>
      <c r="E9683">
        <v>0</v>
      </c>
      <c r="F9683">
        <v>0</v>
      </c>
      <c r="G9683">
        <v>0</v>
      </c>
    </row>
    <row r="9684" spans="1:7">
      <c r="A9684" t="s">
        <v>1876</v>
      </c>
      <c r="B9684" t="s">
        <v>377</v>
      </c>
      <c r="C9684" t="s">
        <v>157</v>
      </c>
      <c r="D9684">
        <v>3259</v>
      </c>
      <c r="E9684">
        <v>3864</v>
      </c>
      <c r="F9684">
        <v>1838</v>
      </c>
      <c r="G9684">
        <v>2603</v>
      </c>
    </row>
    <row r="9685" spans="1:7">
      <c r="A9685" t="s">
        <v>1876</v>
      </c>
      <c r="B9685" t="s">
        <v>377</v>
      </c>
      <c r="C9685" t="s">
        <v>158</v>
      </c>
      <c r="D9685">
        <v>0</v>
      </c>
      <c r="E9685">
        <v>0</v>
      </c>
      <c r="F9685">
        <v>0</v>
      </c>
      <c r="G9685">
        <v>0</v>
      </c>
    </row>
    <row r="9686" spans="1:7">
      <c r="A9686" t="s">
        <v>1876</v>
      </c>
      <c r="B9686" t="s">
        <v>377</v>
      </c>
      <c r="C9686" t="s">
        <v>159</v>
      </c>
      <c r="D9686">
        <v>0</v>
      </c>
      <c r="E9686">
        <v>0</v>
      </c>
      <c r="F9686">
        <v>0</v>
      </c>
      <c r="G9686">
        <v>0</v>
      </c>
    </row>
    <row r="9687" spans="1:7">
      <c r="A9687" t="s">
        <v>1876</v>
      </c>
      <c r="B9687" t="s">
        <v>377</v>
      </c>
      <c r="C9687" t="s">
        <v>1901</v>
      </c>
      <c r="D9687">
        <v>40.799999999999997</v>
      </c>
      <c r="E9687">
        <v>43.8</v>
      </c>
      <c r="F9687">
        <v>38.799999999999997</v>
      </c>
      <c r="G9687">
        <v>40.4</v>
      </c>
    </row>
    <row r="9688" spans="1:7">
      <c r="A9688" t="s">
        <v>1876</v>
      </c>
      <c r="B9688" t="s">
        <v>377</v>
      </c>
      <c r="C9688" t="s">
        <v>1902</v>
      </c>
      <c r="D9688">
        <v>16461</v>
      </c>
      <c r="E9688">
        <v>16728</v>
      </c>
      <c r="F9688">
        <v>16168</v>
      </c>
      <c r="G9688">
        <v>15849</v>
      </c>
    </row>
    <row r="9689" spans="1:7">
      <c r="A9689" t="s">
        <v>1876</v>
      </c>
      <c r="B9689" t="s">
        <v>377</v>
      </c>
      <c r="C9689" t="s">
        <v>1903</v>
      </c>
      <c r="D9689">
        <v>4827</v>
      </c>
      <c r="E9689">
        <v>4723</v>
      </c>
      <c r="F9689">
        <v>4764</v>
      </c>
      <c r="G9689">
        <v>4706</v>
      </c>
    </row>
    <row r="9690" spans="1:7">
      <c r="A9690" t="s">
        <v>1876</v>
      </c>
      <c r="B9690" t="s">
        <v>377</v>
      </c>
      <c r="C9690" t="s">
        <v>1904</v>
      </c>
      <c r="D9690">
        <v>342</v>
      </c>
      <c r="E9690">
        <v>2511</v>
      </c>
      <c r="F9690">
        <v>249</v>
      </c>
      <c r="G9690">
        <v>228</v>
      </c>
    </row>
    <row r="9691" spans="1:7">
      <c r="A9691" t="s">
        <v>1876</v>
      </c>
      <c r="B9691" t="s">
        <v>377</v>
      </c>
      <c r="C9691" t="s">
        <v>1905</v>
      </c>
      <c r="D9691">
        <v>2046</v>
      </c>
      <c r="E9691">
        <v>2069</v>
      </c>
      <c r="F9691">
        <v>2019</v>
      </c>
      <c r="G9691">
        <v>1959</v>
      </c>
    </row>
    <row r="9692" spans="1:7">
      <c r="A9692" t="s">
        <v>1876</v>
      </c>
      <c r="B9692" t="s">
        <v>377</v>
      </c>
      <c r="C9692" t="s">
        <v>1906</v>
      </c>
      <c r="D9692">
        <v>19299</v>
      </c>
      <c r="E9692">
        <v>19127</v>
      </c>
      <c r="F9692">
        <v>19287</v>
      </c>
      <c r="G9692">
        <v>18633</v>
      </c>
    </row>
    <row r="9693" spans="1:7">
      <c r="A9693" t="s">
        <v>1876</v>
      </c>
      <c r="B9693" t="s">
        <v>377</v>
      </c>
      <c r="C9693" t="s">
        <v>1907</v>
      </c>
      <c r="D9693">
        <v>42975</v>
      </c>
      <c r="E9693">
        <v>45158</v>
      </c>
      <c r="F9693">
        <v>42487</v>
      </c>
      <c r="G9693">
        <v>41374</v>
      </c>
    </row>
    <row r="9694" spans="1:7">
      <c r="A9694" t="s">
        <v>1876</v>
      </c>
      <c r="B9694" t="s">
        <v>377</v>
      </c>
      <c r="C9694" t="s">
        <v>160</v>
      </c>
      <c r="D9694">
        <v>16231</v>
      </c>
      <c r="E9694">
        <v>16509</v>
      </c>
      <c r="F9694">
        <v>15856</v>
      </c>
      <c r="G9694">
        <v>15518</v>
      </c>
    </row>
    <row r="9695" spans="1:7">
      <c r="A9695" t="s">
        <v>1876</v>
      </c>
      <c r="B9695" t="s">
        <v>377</v>
      </c>
      <c r="C9695" t="s">
        <v>161</v>
      </c>
      <c r="D9695">
        <v>4827</v>
      </c>
      <c r="E9695">
        <v>4723</v>
      </c>
      <c r="F9695">
        <v>4764</v>
      </c>
      <c r="G9695">
        <v>4706</v>
      </c>
    </row>
    <row r="9696" spans="1:7">
      <c r="A9696" t="s">
        <v>1876</v>
      </c>
      <c r="B9696" t="s">
        <v>377</v>
      </c>
      <c r="C9696" t="s">
        <v>162</v>
      </c>
      <c r="D9696">
        <v>342</v>
      </c>
      <c r="E9696">
        <v>2511</v>
      </c>
      <c r="F9696">
        <v>249</v>
      </c>
      <c r="G9696">
        <v>228</v>
      </c>
    </row>
    <row r="9697" spans="1:7">
      <c r="A9697" t="s">
        <v>1876</v>
      </c>
      <c r="B9697" t="s">
        <v>377</v>
      </c>
      <c r="C9697" t="s">
        <v>163</v>
      </c>
      <c r="D9697">
        <v>2046</v>
      </c>
      <c r="E9697">
        <v>2069</v>
      </c>
      <c r="F9697">
        <v>2019</v>
      </c>
      <c r="G9697">
        <v>1959</v>
      </c>
    </row>
    <row r="9698" spans="1:7">
      <c r="A9698" t="s">
        <v>1876</v>
      </c>
      <c r="B9698" t="s">
        <v>377</v>
      </c>
      <c r="C9698" t="s">
        <v>164</v>
      </c>
      <c r="D9698">
        <v>19299</v>
      </c>
      <c r="E9698">
        <v>19127</v>
      </c>
      <c r="F9698">
        <v>19287</v>
      </c>
      <c r="G9698">
        <v>18633</v>
      </c>
    </row>
    <row r="9699" spans="1:7">
      <c r="A9699" t="s">
        <v>1876</v>
      </c>
      <c r="B9699" t="s">
        <v>377</v>
      </c>
      <c r="C9699" t="s">
        <v>165</v>
      </c>
      <c r="D9699">
        <v>42746</v>
      </c>
      <c r="E9699">
        <v>44938</v>
      </c>
      <c r="F9699">
        <v>42174</v>
      </c>
      <c r="G9699">
        <v>41044</v>
      </c>
    </row>
    <row r="9700" spans="1:7">
      <c r="A9700" t="s">
        <v>1876</v>
      </c>
      <c r="B9700" t="s">
        <v>377</v>
      </c>
      <c r="C9700" t="s">
        <v>166</v>
      </c>
      <c r="D9700">
        <v>42404</v>
      </c>
      <c r="E9700">
        <v>42428</v>
      </c>
      <c r="F9700">
        <v>41925</v>
      </c>
      <c r="G9700">
        <v>40816</v>
      </c>
    </row>
    <row r="9701" spans="1:7">
      <c r="A9701" t="s">
        <v>1876</v>
      </c>
      <c r="B9701" t="s">
        <v>377</v>
      </c>
      <c r="C9701" t="s">
        <v>167</v>
      </c>
      <c r="D9701">
        <v>342</v>
      </c>
      <c r="E9701">
        <v>2511</v>
      </c>
      <c r="F9701">
        <v>249</v>
      </c>
      <c r="G9701">
        <v>228</v>
      </c>
    </row>
    <row r="9702" spans="1:7">
      <c r="A9702" t="s">
        <v>1876</v>
      </c>
      <c r="B9702" t="s">
        <v>377</v>
      </c>
      <c r="C9702" t="s">
        <v>1908</v>
      </c>
      <c r="D9702">
        <v>16062</v>
      </c>
      <c r="E9702">
        <v>16354</v>
      </c>
      <c r="F9702">
        <v>15672</v>
      </c>
      <c r="G9702">
        <v>15340</v>
      </c>
    </row>
    <row r="9703" spans="1:7">
      <c r="A9703" t="s">
        <v>1876</v>
      </c>
      <c r="B9703" t="s">
        <v>377</v>
      </c>
      <c r="C9703" t="s">
        <v>1909</v>
      </c>
      <c r="D9703">
        <v>4827</v>
      </c>
      <c r="E9703">
        <v>4723</v>
      </c>
      <c r="F9703">
        <v>4764</v>
      </c>
      <c r="G9703">
        <v>4706</v>
      </c>
    </row>
    <row r="9704" spans="1:7">
      <c r="A9704" t="s">
        <v>1876</v>
      </c>
      <c r="B9704" t="s">
        <v>377</v>
      </c>
      <c r="C9704" t="s">
        <v>1910</v>
      </c>
      <c r="D9704">
        <v>342</v>
      </c>
      <c r="E9704">
        <v>2511</v>
      </c>
      <c r="F9704">
        <v>249</v>
      </c>
      <c r="G9704">
        <v>228</v>
      </c>
    </row>
    <row r="9705" spans="1:7">
      <c r="A9705" t="s">
        <v>1876</v>
      </c>
      <c r="B9705" t="s">
        <v>377</v>
      </c>
      <c r="C9705" t="s">
        <v>1911</v>
      </c>
      <c r="D9705">
        <v>2046</v>
      </c>
      <c r="E9705">
        <v>2069</v>
      </c>
      <c r="F9705">
        <v>2019</v>
      </c>
      <c r="G9705">
        <v>1959</v>
      </c>
    </row>
    <row r="9706" spans="1:7">
      <c r="A9706" t="s">
        <v>1876</v>
      </c>
      <c r="B9706" t="s">
        <v>377</v>
      </c>
      <c r="C9706" t="s">
        <v>1912</v>
      </c>
      <c r="D9706">
        <v>19299</v>
      </c>
      <c r="E9706">
        <v>19127</v>
      </c>
      <c r="F9706">
        <v>19287</v>
      </c>
      <c r="G9706">
        <v>18633</v>
      </c>
    </row>
    <row r="9707" spans="1:7">
      <c r="A9707" t="s">
        <v>1876</v>
      </c>
      <c r="B9707" t="s">
        <v>377</v>
      </c>
      <c r="C9707" t="s">
        <v>168</v>
      </c>
      <c r="D9707">
        <v>42576</v>
      </c>
      <c r="E9707">
        <v>44783</v>
      </c>
      <c r="F9707">
        <v>41990</v>
      </c>
      <c r="G9707">
        <v>40865</v>
      </c>
    </row>
    <row r="9708" spans="1:7">
      <c r="A9708" t="s">
        <v>1876</v>
      </c>
      <c r="B9708" t="s">
        <v>377</v>
      </c>
      <c r="C9708" t="s">
        <v>169</v>
      </c>
      <c r="D9708">
        <v>0</v>
      </c>
      <c r="E9708">
        <v>0</v>
      </c>
      <c r="F9708">
        <v>0</v>
      </c>
      <c r="G9708">
        <v>0</v>
      </c>
    </row>
    <row r="9709" spans="1:7">
      <c r="A9709" t="s">
        <v>1876</v>
      </c>
      <c r="B9709" t="s">
        <v>377</v>
      </c>
      <c r="C9709" t="s">
        <v>1704</v>
      </c>
      <c r="D9709">
        <v>4463</v>
      </c>
      <c r="E9709">
        <v>4463</v>
      </c>
      <c r="F9709">
        <v>4467</v>
      </c>
      <c r="G9709">
        <v>4470</v>
      </c>
    </row>
    <row r="9710" spans="1:7">
      <c r="A9710" t="s">
        <v>1876</v>
      </c>
      <c r="B9710" t="s">
        <v>377</v>
      </c>
      <c r="C9710" t="s">
        <v>170</v>
      </c>
      <c r="D9710">
        <v>0</v>
      </c>
      <c r="E9710">
        <v>0</v>
      </c>
      <c r="F9710">
        <v>0</v>
      </c>
      <c r="G9710">
        <v>0</v>
      </c>
    </row>
    <row r="9711" spans="1:7">
      <c r="A9711" t="s">
        <v>1876</v>
      </c>
      <c r="B9711" t="s">
        <v>377</v>
      </c>
      <c r="C9711" t="s">
        <v>171</v>
      </c>
      <c r="D9711">
        <v>-53954</v>
      </c>
      <c r="E9711">
        <v>-69333</v>
      </c>
      <c r="F9711">
        <v>-52552</v>
      </c>
      <c r="G9711">
        <v>-50294</v>
      </c>
    </row>
    <row r="9712" spans="1:7">
      <c r="A9712" t="s">
        <v>1876</v>
      </c>
      <c r="B9712" t="s">
        <v>377</v>
      </c>
      <c r="C9712" t="s">
        <v>172</v>
      </c>
      <c r="D9712">
        <v>0</v>
      </c>
      <c r="E9712">
        <v>0</v>
      </c>
      <c r="F9712">
        <v>0</v>
      </c>
      <c r="G9712">
        <v>0</v>
      </c>
    </row>
    <row r="9713" spans="1:7">
      <c r="A9713" t="s">
        <v>1876</v>
      </c>
      <c r="B9713" t="s">
        <v>377</v>
      </c>
      <c r="C9713" t="s">
        <v>1913</v>
      </c>
      <c r="D9713">
        <v>7.3</v>
      </c>
      <c r="E9713">
        <v>10.3</v>
      </c>
      <c r="F9713">
        <v>15.3</v>
      </c>
      <c r="G9713">
        <v>20.2</v>
      </c>
    </row>
    <row r="9714" spans="1:7">
      <c r="A9714" t="s">
        <v>1876</v>
      </c>
      <c r="B9714" t="s">
        <v>377</v>
      </c>
      <c r="C9714" t="s">
        <v>1914</v>
      </c>
      <c r="D9714">
        <v>0.6</v>
      </c>
      <c r="E9714">
        <v>0.8</v>
      </c>
      <c r="F9714">
        <v>1.2</v>
      </c>
      <c r="G9714">
        <v>1.6</v>
      </c>
    </row>
    <row r="9715" spans="1:7">
      <c r="A9715" t="s">
        <v>1876</v>
      </c>
      <c r="B9715" t="s">
        <v>377</v>
      </c>
      <c r="C9715" t="s">
        <v>173</v>
      </c>
      <c r="D9715">
        <v>5661</v>
      </c>
      <c r="E9715">
        <v>5737</v>
      </c>
      <c r="F9715">
        <v>5806</v>
      </c>
      <c r="G9715">
        <v>5956</v>
      </c>
    </row>
    <row r="9716" spans="1:7">
      <c r="A9716" t="s">
        <v>1876</v>
      </c>
      <c r="B9716" t="s">
        <v>377</v>
      </c>
      <c r="C9716" t="s">
        <v>174</v>
      </c>
      <c r="D9716">
        <v>120</v>
      </c>
      <c r="E9716">
        <v>124</v>
      </c>
      <c r="F9716">
        <v>125</v>
      </c>
      <c r="G9716">
        <v>125</v>
      </c>
    </row>
    <row r="9717" spans="1:7">
      <c r="A9717" t="s">
        <v>1876</v>
      </c>
      <c r="B9717" t="s">
        <v>377</v>
      </c>
      <c r="C9717" t="s">
        <v>175</v>
      </c>
      <c r="D9717">
        <v>67</v>
      </c>
      <c r="E9717">
        <v>70</v>
      </c>
      <c r="F9717">
        <v>71</v>
      </c>
      <c r="G9717">
        <v>71</v>
      </c>
    </row>
    <row r="9718" spans="1:7">
      <c r="A9718" t="s">
        <v>1876</v>
      </c>
      <c r="B9718" t="s">
        <v>377</v>
      </c>
      <c r="C9718" t="s">
        <v>176</v>
      </c>
      <c r="D9718">
        <v>0</v>
      </c>
      <c r="E9718">
        <v>0</v>
      </c>
      <c r="F9718">
        <v>0</v>
      </c>
      <c r="G9718">
        <v>0</v>
      </c>
    </row>
    <row r="9719" spans="1:7">
      <c r="A9719" t="s">
        <v>1876</v>
      </c>
      <c r="B9719" t="s">
        <v>377</v>
      </c>
      <c r="C9719" t="s">
        <v>177</v>
      </c>
      <c r="D9719">
        <v>5848</v>
      </c>
      <c r="E9719">
        <v>5932</v>
      </c>
      <c r="F9719">
        <v>6002</v>
      </c>
      <c r="G9719">
        <v>6151</v>
      </c>
    </row>
    <row r="9720" spans="1:7">
      <c r="A9720" t="s">
        <v>1876</v>
      </c>
      <c r="B9720" t="s">
        <v>377</v>
      </c>
      <c r="C9720" t="s">
        <v>178</v>
      </c>
      <c r="D9720">
        <v>0</v>
      </c>
      <c r="E9720">
        <v>0</v>
      </c>
      <c r="F9720">
        <v>0</v>
      </c>
      <c r="G9720">
        <v>0</v>
      </c>
    </row>
    <row r="9721" spans="1:7">
      <c r="A9721" t="s">
        <v>1876</v>
      </c>
      <c r="B9721" t="s">
        <v>377</v>
      </c>
      <c r="C9721" t="s">
        <v>179</v>
      </c>
      <c r="D9721">
        <v>0</v>
      </c>
      <c r="E9721">
        <v>0</v>
      </c>
      <c r="F9721">
        <v>0</v>
      </c>
      <c r="G9721">
        <v>0</v>
      </c>
    </row>
    <row r="9722" spans="1:7">
      <c r="A9722" t="s">
        <v>1876</v>
      </c>
      <c r="B9722" t="s">
        <v>377</v>
      </c>
      <c r="C9722" t="s">
        <v>180</v>
      </c>
      <c r="D9722">
        <v>0</v>
      </c>
      <c r="E9722">
        <v>0</v>
      </c>
      <c r="F9722">
        <v>0</v>
      </c>
      <c r="G9722">
        <v>0</v>
      </c>
    </row>
    <row r="9723" spans="1:7">
      <c r="A9723" t="s">
        <v>1876</v>
      </c>
      <c r="B9723" t="s">
        <v>377</v>
      </c>
      <c r="C9723" t="s">
        <v>181</v>
      </c>
      <c r="D9723">
        <v>14012</v>
      </c>
      <c r="E9723">
        <v>13937</v>
      </c>
      <c r="F9723">
        <v>13821</v>
      </c>
      <c r="G9723">
        <v>14007</v>
      </c>
    </row>
    <row r="9724" spans="1:7">
      <c r="A9724" t="s">
        <v>1876</v>
      </c>
      <c r="B9724" t="s">
        <v>377</v>
      </c>
      <c r="C9724" t="s">
        <v>182</v>
      </c>
      <c r="D9724">
        <v>6581</v>
      </c>
      <c r="E9724">
        <v>6569</v>
      </c>
      <c r="F9724">
        <v>6571</v>
      </c>
      <c r="G9724">
        <v>6692</v>
      </c>
    </row>
    <row r="9725" spans="1:7">
      <c r="A9725" t="s">
        <v>1876</v>
      </c>
      <c r="B9725" t="s">
        <v>377</v>
      </c>
      <c r="C9725" t="s">
        <v>183</v>
      </c>
      <c r="D9725">
        <v>16486</v>
      </c>
      <c r="E9725">
        <v>16406</v>
      </c>
      <c r="F9725">
        <v>15883</v>
      </c>
      <c r="G9725">
        <v>16539</v>
      </c>
    </row>
    <row r="9726" spans="1:7">
      <c r="A9726" t="s">
        <v>1876</v>
      </c>
      <c r="B9726" t="s">
        <v>377</v>
      </c>
      <c r="C9726" t="s">
        <v>184</v>
      </c>
      <c r="D9726">
        <v>37079</v>
      </c>
      <c r="E9726">
        <v>36911</v>
      </c>
      <c r="F9726">
        <v>36274</v>
      </c>
      <c r="G9726">
        <v>37238</v>
      </c>
    </row>
    <row r="9727" spans="1:7">
      <c r="A9727" t="s">
        <v>1876</v>
      </c>
      <c r="B9727" t="s">
        <v>377</v>
      </c>
      <c r="C9727" t="s">
        <v>185</v>
      </c>
      <c r="D9727">
        <v>37079</v>
      </c>
      <c r="E9727">
        <v>36911</v>
      </c>
      <c r="F9727">
        <v>36274</v>
      </c>
      <c r="G9727">
        <v>37238</v>
      </c>
    </row>
    <row r="9728" spans="1:7">
      <c r="A9728" t="s">
        <v>1876</v>
      </c>
      <c r="B9728" t="s">
        <v>377</v>
      </c>
      <c r="C9728" t="s">
        <v>1915</v>
      </c>
      <c r="D9728">
        <v>11</v>
      </c>
      <c r="E9728">
        <v>19</v>
      </c>
      <c r="F9728">
        <v>46</v>
      </c>
      <c r="G9728">
        <v>60</v>
      </c>
    </row>
    <row r="9729" spans="1:7">
      <c r="A9729" t="s">
        <v>1876</v>
      </c>
      <c r="B9729" t="s">
        <v>377</v>
      </c>
      <c r="C9729" t="s">
        <v>1916</v>
      </c>
      <c r="D9729">
        <v>0</v>
      </c>
      <c r="E9729">
        <v>0</v>
      </c>
      <c r="F9729">
        <v>0</v>
      </c>
      <c r="G9729">
        <v>0</v>
      </c>
    </row>
    <row r="9730" spans="1:7">
      <c r="A9730" t="s">
        <v>1876</v>
      </c>
      <c r="B9730" t="s">
        <v>377</v>
      </c>
      <c r="C9730" t="s">
        <v>1917</v>
      </c>
      <c r="D9730">
        <v>8</v>
      </c>
      <c r="E9730">
        <v>6</v>
      </c>
      <c r="F9730">
        <v>5</v>
      </c>
      <c r="G9730">
        <v>5</v>
      </c>
    </row>
    <row r="9731" spans="1:7">
      <c r="A9731" t="s">
        <v>1876</v>
      </c>
      <c r="B9731" t="s">
        <v>377</v>
      </c>
      <c r="C9731" t="s">
        <v>1918</v>
      </c>
      <c r="D9731">
        <v>291</v>
      </c>
      <c r="E9731">
        <v>401</v>
      </c>
      <c r="F9731">
        <v>476</v>
      </c>
      <c r="G9731">
        <v>552</v>
      </c>
    </row>
    <row r="9732" spans="1:7">
      <c r="A9732" t="s">
        <v>1876</v>
      </c>
      <c r="B9732" t="s">
        <v>377</v>
      </c>
      <c r="C9732" t="s">
        <v>1919</v>
      </c>
      <c r="D9732">
        <v>2.0299999999999998</v>
      </c>
      <c r="E9732">
        <v>2.2200000000000002</v>
      </c>
      <c r="F9732">
        <v>2.16</v>
      </c>
      <c r="G9732">
        <v>2.2000000000000002</v>
      </c>
    </row>
    <row r="9733" spans="1:7">
      <c r="A9733" t="s">
        <v>1876</v>
      </c>
      <c r="B9733" t="s">
        <v>377</v>
      </c>
      <c r="C9733" t="s">
        <v>1920</v>
      </c>
      <c r="D9733">
        <v>414</v>
      </c>
      <c r="E9733">
        <v>547</v>
      </c>
      <c r="F9733">
        <v>671</v>
      </c>
      <c r="G9733">
        <v>834</v>
      </c>
    </row>
    <row r="9734" spans="1:7">
      <c r="A9734" t="s">
        <v>1876</v>
      </c>
      <c r="B9734" t="s">
        <v>377</v>
      </c>
      <c r="C9734" t="s">
        <v>1921</v>
      </c>
      <c r="D9734">
        <v>162</v>
      </c>
      <c r="E9734">
        <v>206</v>
      </c>
      <c r="F9734">
        <v>261</v>
      </c>
      <c r="G9734">
        <v>311</v>
      </c>
    </row>
    <row r="9735" spans="1:7">
      <c r="A9735" t="s">
        <v>1876</v>
      </c>
      <c r="B9735" t="s">
        <v>377</v>
      </c>
      <c r="C9735" t="s">
        <v>1922</v>
      </c>
      <c r="D9735">
        <v>115</v>
      </c>
      <c r="E9735">
        <v>140</v>
      </c>
      <c r="F9735">
        <v>190</v>
      </c>
      <c r="G9735">
        <v>277</v>
      </c>
    </row>
    <row r="9736" spans="1:7">
      <c r="A9736" t="s">
        <v>1876</v>
      </c>
      <c r="B9736" t="s">
        <v>377</v>
      </c>
      <c r="C9736" t="s">
        <v>1923</v>
      </c>
      <c r="D9736">
        <v>4.42</v>
      </c>
      <c r="E9736">
        <v>4.38</v>
      </c>
      <c r="F9736">
        <v>4.04</v>
      </c>
      <c r="G9736">
        <v>3.96</v>
      </c>
    </row>
    <row r="9737" spans="1:7">
      <c r="A9737" t="s">
        <v>1876</v>
      </c>
      <c r="B9737" t="s">
        <v>377</v>
      </c>
      <c r="C9737" t="s">
        <v>1924</v>
      </c>
      <c r="D9737">
        <v>21</v>
      </c>
      <c r="E9737">
        <v>4</v>
      </c>
      <c r="F9737">
        <v>4</v>
      </c>
      <c r="G9737">
        <v>6</v>
      </c>
    </row>
    <row r="9738" spans="1:7">
      <c r="A9738" t="s">
        <v>1876</v>
      </c>
      <c r="B9738" t="s">
        <v>377</v>
      </c>
      <c r="C9738" t="s">
        <v>1925</v>
      </c>
      <c r="D9738">
        <v>69</v>
      </c>
      <c r="E9738">
        <v>81</v>
      </c>
      <c r="F9738">
        <v>79</v>
      </c>
      <c r="G9738">
        <v>79</v>
      </c>
    </row>
    <row r="9739" spans="1:7">
      <c r="A9739" t="s">
        <v>1876</v>
      </c>
      <c r="B9739" t="s">
        <v>377</v>
      </c>
      <c r="C9739" t="s">
        <v>1926</v>
      </c>
      <c r="D9739">
        <v>72</v>
      </c>
      <c r="E9739">
        <v>121</v>
      </c>
      <c r="F9739">
        <v>178</v>
      </c>
      <c r="G9739">
        <v>226</v>
      </c>
    </row>
    <row r="9740" spans="1:7">
      <c r="A9740" t="s">
        <v>1876</v>
      </c>
      <c r="B9740" t="s">
        <v>377</v>
      </c>
      <c r="C9740" t="s">
        <v>1927</v>
      </c>
      <c r="D9740">
        <v>12</v>
      </c>
      <c r="E9740">
        <v>17</v>
      </c>
      <c r="F9740">
        <v>16</v>
      </c>
      <c r="G9740">
        <v>13</v>
      </c>
    </row>
    <row r="9741" spans="1:7">
      <c r="A9741" t="s">
        <v>1876</v>
      </c>
      <c r="B9741" t="s">
        <v>377</v>
      </c>
      <c r="C9741" t="s">
        <v>1928</v>
      </c>
      <c r="D9741">
        <v>137</v>
      </c>
      <c r="E9741">
        <v>169</v>
      </c>
      <c r="F9741">
        <v>221</v>
      </c>
      <c r="G9741">
        <v>271</v>
      </c>
    </row>
    <row r="9742" spans="1:7">
      <c r="A9742" t="s">
        <v>1876</v>
      </c>
      <c r="B9742" t="s">
        <v>377</v>
      </c>
      <c r="C9742" t="s">
        <v>1929</v>
      </c>
      <c r="D9742">
        <v>13</v>
      </c>
      <c r="E9742">
        <v>20</v>
      </c>
      <c r="F9742">
        <v>24</v>
      </c>
      <c r="G9742">
        <v>27</v>
      </c>
    </row>
    <row r="9743" spans="1:7">
      <c r="A9743" t="s">
        <v>1876</v>
      </c>
      <c r="B9743" t="s">
        <v>377</v>
      </c>
      <c r="C9743" t="s">
        <v>186</v>
      </c>
      <c r="D9743">
        <v>0</v>
      </c>
      <c r="E9743">
        <v>0</v>
      </c>
      <c r="F9743">
        <v>0</v>
      </c>
      <c r="G9743">
        <v>0</v>
      </c>
    </row>
    <row r="9744" spans="1:7">
      <c r="A9744" t="s">
        <v>1876</v>
      </c>
      <c r="B9744" t="s">
        <v>377</v>
      </c>
      <c r="C9744" t="s">
        <v>187</v>
      </c>
      <c r="D9744">
        <v>0</v>
      </c>
      <c r="E9744">
        <v>0</v>
      </c>
      <c r="F9744">
        <v>0</v>
      </c>
      <c r="G9744">
        <v>0</v>
      </c>
    </row>
    <row r="9745" spans="1:7">
      <c r="A9745" t="s">
        <v>1876</v>
      </c>
      <c r="B9745" t="s">
        <v>377</v>
      </c>
      <c r="C9745" t="s">
        <v>1705</v>
      </c>
      <c r="D9745">
        <v>2270</v>
      </c>
      <c r="E9745">
        <v>2270</v>
      </c>
      <c r="F9745">
        <v>2260</v>
      </c>
      <c r="G9745">
        <v>2260</v>
      </c>
    </row>
    <row r="9746" spans="1:7">
      <c r="A9746" t="s">
        <v>1876</v>
      </c>
      <c r="B9746" t="s">
        <v>377</v>
      </c>
      <c r="C9746" t="s">
        <v>188</v>
      </c>
      <c r="D9746">
        <v>205288</v>
      </c>
      <c r="E9746">
        <v>212803</v>
      </c>
      <c r="F9746">
        <v>207989</v>
      </c>
      <c r="G9746">
        <v>209730</v>
      </c>
    </row>
    <row r="9747" spans="1:7">
      <c r="A9747" t="s">
        <v>1876</v>
      </c>
      <c r="B9747" t="s">
        <v>377</v>
      </c>
      <c r="C9747" t="s">
        <v>189</v>
      </c>
      <c r="D9747">
        <v>0</v>
      </c>
      <c r="E9747">
        <v>0</v>
      </c>
      <c r="F9747">
        <v>0</v>
      </c>
      <c r="G9747">
        <v>0</v>
      </c>
    </row>
    <row r="9748" spans="1:7">
      <c r="A9748" t="s">
        <v>1876</v>
      </c>
      <c r="B9748" t="s">
        <v>377</v>
      </c>
      <c r="C9748" t="s">
        <v>190</v>
      </c>
      <c r="D9748">
        <v>0</v>
      </c>
      <c r="E9748">
        <v>0</v>
      </c>
      <c r="F9748">
        <v>0</v>
      </c>
      <c r="G9748">
        <v>0</v>
      </c>
    </row>
    <row r="9749" spans="1:7">
      <c r="A9749" t="s">
        <v>1876</v>
      </c>
      <c r="B9749" t="s">
        <v>377</v>
      </c>
      <c r="C9749" t="s">
        <v>191</v>
      </c>
      <c r="D9749">
        <v>0</v>
      </c>
      <c r="E9749">
        <v>0</v>
      </c>
      <c r="F9749">
        <v>0</v>
      </c>
      <c r="G9749">
        <v>0</v>
      </c>
    </row>
    <row r="9750" spans="1:7">
      <c r="A9750" t="s">
        <v>1876</v>
      </c>
      <c r="B9750" t="s">
        <v>377</v>
      </c>
      <c r="C9750" t="s">
        <v>192</v>
      </c>
      <c r="D9750">
        <v>99433.3</v>
      </c>
      <c r="E9750">
        <v>106824.6</v>
      </c>
      <c r="F9750">
        <v>114427.8</v>
      </c>
      <c r="G9750">
        <v>119336.6</v>
      </c>
    </row>
    <row r="9751" spans="1:7">
      <c r="A9751" t="s">
        <v>1876</v>
      </c>
      <c r="B9751" t="s">
        <v>377</v>
      </c>
      <c r="C9751" t="s">
        <v>193</v>
      </c>
      <c r="D9751">
        <v>90296.7</v>
      </c>
      <c r="E9751">
        <v>91702.1</v>
      </c>
      <c r="F9751">
        <v>93645.8</v>
      </c>
      <c r="G9751">
        <v>94926</v>
      </c>
    </row>
    <row r="9752" spans="1:7">
      <c r="A9752" t="s">
        <v>1876</v>
      </c>
      <c r="B9752" t="s">
        <v>377</v>
      </c>
      <c r="C9752" t="s">
        <v>1930</v>
      </c>
      <c r="D9752">
        <v>0</v>
      </c>
      <c r="E9752">
        <v>0</v>
      </c>
      <c r="F9752">
        <v>0</v>
      </c>
      <c r="G9752">
        <v>0</v>
      </c>
    </row>
    <row r="9753" spans="1:7">
      <c r="A9753" t="s">
        <v>1876</v>
      </c>
      <c r="B9753" t="s">
        <v>377</v>
      </c>
      <c r="C9753" t="s">
        <v>194</v>
      </c>
      <c r="D9753">
        <v>0</v>
      </c>
      <c r="E9753">
        <v>0</v>
      </c>
      <c r="F9753">
        <v>0</v>
      </c>
      <c r="G9753">
        <v>0</v>
      </c>
    </row>
    <row r="9754" spans="1:7">
      <c r="A9754" t="s">
        <v>1876</v>
      </c>
      <c r="B9754" t="s">
        <v>377</v>
      </c>
      <c r="C9754" t="s">
        <v>195</v>
      </c>
      <c r="D9754">
        <v>0</v>
      </c>
      <c r="E9754">
        <v>0</v>
      </c>
      <c r="F9754">
        <v>0</v>
      </c>
      <c r="G9754">
        <v>0</v>
      </c>
    </row>
    <row r="9755" spans="1:7">
      <c r="A9755" t="s">
        <v>1876</v>
      </c>
      <c r="B9755" t="s">
        <v>377</v>
      </c>
      <c r="C9755" t="s">
        <v>1706</v>
      </c>
      <c r="D9755">
        <v>0</v>
      </c>
      <c r="E9755">
        <v>0</v>
      </c>
      <c r="F9755">
        <v>0</v>
      </c>
      <c r="G9755">
        <v>0</v>
      </c>
    </row>
    <row r="9756" spans="1:7">
      <c r="A9756" t="s">
        <v>1876</v>
      </c>
      <c r="B9756" t="s">
        <v>377</v>
      </c>
      <c r="C9756" t="s">
        <v>196</v>
      </c>
      <c r="D9756">
        <v>0</v>
      </c>
      <c r="E9756">
        <v>0</v>
      </c>
      <c r="F9756">
        <v>0</v>
      </c>
      <c r="G9756">
        <v>0</v>
      </c>
    </row>
    <row r="9757" spans="1:7">
      <c r="A9757" t="s">
        <v>1876</v>
      </c>
      <c r="B9757" t="s">
        <v>377</v>
      </c>
      <c r="C9757" t="s">
        <v>197</v>
      </c>
      <c r="D9757">
        <v>29</v>
      </c>
      <c r="E9757">
        <v>29</v>
      </c>
      <c r="F9757">
        <v>29</v>
      </c>
      <c r="G9757">
        <v>29</v>
      </c>
    </row>
    <row r="9758" spans="1:7">
      <c r="A9758" t="s">
        <v>1876</v>
      </c>
      <c r="B9758" t="s">
        <v>377</v>
      </c>
      <c r="C9758" t="s">
        <v>198</v>
      </c>
      <c r="D9758">
        <v>29</v>
      </c>
      <c r="E9758">
        <v>29</v>
      </c>
      <c r="F9758">
        <v>29</v>
      </c>
      <c r="G9758">
        <v>29</v>
      </c>
    </row>
    <row r="9759" spans="1:7">
      <c r="A9759" t="s">
        <v>1876</v>
      </c>
      <c r="B9759" t="s">
        <v>377</v>
      </c>
      <c r="C9759" t="s">
        <v>199</v>
      </c>
      <c r="D9759">
        <v>29</v>
      </c>
      <c r="E9759">
        <v>29</v>
      </c>
      <c r="F9759">
        <v>29</v>
      </c>
      <c r="G9759">
        <v>29</v>
      </c>
    </row>
    <row r="9760" spans="1:7">
      <c r="A9760" t="s">
        <v>1876</v>
      </c>
      <c r="B9760" t="s">
        <v>377</v>
      </c>
      <c r="C9760" t="s">
        <v>200</v>
      </c>
      <c r="D9760">
        <v>9</v>
      </c>
      <c r="E9760">
        <v>6</v>
      </c>
      <c r="F9760">
        <v>8</v>
      </c>
      <c r="G9760">
        <v>14</v>
      </c>
    </row>
    <row r="9761" spans="1:7">
      <c r="A9761" t="s">
        <v>1876</v>
      </c>
      <c r="B9761" t="s">
        <v>377</v>
      </c>
      <c r="C9761" t="s">
        <v>201</v>
      </c>
      <c r="D9761">
        <v>5357</v>
      </c>
      <c r="E9761">
        <v>5913</v>
      </c>
      <c r="F9761">
        <v>5901</v>
      </c>
      <c r="G9761">
        <v>5506</v>
      </c>
    </row>
    <row r="9762" spans="1:7">
      <c r="A9762" t="s">
        <v>1876</v>
      </c>
      <c r="B9762" t="s">
        <v>377</v>
      </c>
      <c r="C9762" t="s">
        <v>202</v>
      </c>
      <c r="D9762">
        <v>382</v>
      </c>
      <c r="E9762">
        <v>378</v>
      </c>
      <c r="F9762">
        <v>364</v>
      </c>
      <c r="G9762">
        <v>420</v>
      </c>
    </row>
    <row r="9763" spans="1:7">
      <c r="A9763" t="s">
        <v>1876</v>
      </c>
      <c r="B9763" t="s">
        <v>377</v>
      </c>
      <c r="C9763" t="s">
        <v>203</v>
      </c>
      <c r="D9763">
        <v>9343</v>
      </c>
      <c r="E9763">
        <v>10851</v>
      </c>
      <c r="F9763">
        <v>10646</v>
      </c>
      <c r="G9763">
        <v>11021</v>
      </c>
    </row>
    <row r="9764" spans="1:7">
      <c r="A9764" t="s">
        <v>1876</v>
      </c>
      <c r="B9764" t="s">
        <v>377</v>
      </c>
      <c r="C9764" t="s">
        <v>204</v>
      </c>
      <c r="D9764">
        <v>15091</v>
      </c>
      <c r="E9764">
        <v>17148</v>
      </c>
      <c r="F9764">
        <v>16918</v>
      </c>
      <c r="G9764">
        <v>16960</v>
      </c>
    </row>
    <row r="9765" spans="1:7">
      <c r="A9765" t="s">
        <v>1876</v>
      </c>
      <c r="B9765" t="s">
        <v>377</v>
      </c>
      <c r="C9765" t="s">
        <v>205</v>
      </c>
      <c r="D9765">
        <v>15091</v>
      </c>
      <c r="E9765">
        <v>17148</v>
      </c>
      <c r="F9765">
        <v>16918</v>
      </c>
      <c r="G9765">
        <v>16960</v>
      </c>
    </row>
    <row r="9766" spans="1:7">
      <c r="A9766" t="s">
        <v>1876</v>
      </c>
      <c r="B9766" t="s">
        <v>377</v>
      </c>
      <c r="C9766" t="s">
        <v>1931</v>
      </c>
      <c r="D9766">
        <v>0</v>
      </c>
      <c r="E9766">
        <v>0</v>
      </c>
      <c r="F9766">
        <v>0</v>
      </c>
      <c r="G9766">
        <v>0</v>
      </c>
    </row>
    <row r="9767" spans="1:7">
      <c r="A9767" t="s">
        <v>1876</v>
      </c>
      <c r="B9767" t="s">
        <v>377</v>
      </c>
      <c r="C9767" t="s">
        <v>1707</v>
      </c>
      <c r="D9767">
        <v>0</v>
      </c>
      <c r="E9767">
        <v>0</v>
      </c>
      <c r="F9767">
        <v>0</v>
      </c>
      <c r="G9767">
        <v>0</v>
      </c>
    </row>
    <row r="9768" spans="1:7">
      <c r="A9768" t="s">
        <v>1876</v>
      </c>
      <c r="B9768" t="s">
        <v>377</v>
      </c>
      <c r="C9768" t="s">
        <v>1932</v>
      </c>
      <c r="D9768">
        <v>23.2</v>
      </c>
      <c r="E9768">
        <v>27.2</v>
      </c>
      <c r="F9768">
        <v>36</v>
      </c>
      <c r="G9768">
        <v>31.8</v>
      </c>
    </row>
    <row r="9769" spans="1:7">
      <c r="A9769" t="s">
        <v>1876</v>
      </c>
      <c r="B9769" t="s">
        <v>377</v>
      </c>
      <c r="C9769" t="s">
        <v>1708</v>
      </c>
      <c r="D9769">
        <v>504</v>
      </c>
      <c r="E9769">
        <v>504</v>
      </c>
      <c r="F9769">
        <v>507</v>
      </c>
      <c r="G9769">
        <v>506</v>
      </c>
    </row>
    <row r="9770" spans="1:7">
      <c r="A9770" t="s">
        <v>1876</v>
      </c>
      <c r="B9770" t="s">
        <v>377</v>
      </c>
      <c r="C9770" t="s">
        <v>206</v>
      </c>
      <c r="D9770">
        <v>0</v>
      </c>
      <c r="E9770">
        <v>0</v>
      </c>
      <c r="F9770">
        <v>0</v>
      </c>
      <c r="G9770">
        <v>0</v>
      </c>
    </row>
    <row r="9771" spans="1:7">
      <c r="A9771" t="s">
        <v>1876</v>
      </c>
      <c r="B9771" t="s">
        <v>377</v>
      </c>
      <c r="C9771" t="s">
        <v>207</v>
      </c>
      <c r="D9771">
        <v>3497</v>
      </c>
      <c r="E9771">
        <v>4099</v>
      </c>
      <c r="F9771">
        <v>5431</v>
      </c>
      <c r="G9771">
        <v>4816</v>
      </c>
    </row>
    <row r="9772" spans="1:7">
      <c r="A9772" t="s">
        <v>1876</v>
      </c>
      <c r="B9772" t="s">
        <v>377</v>
      </c>
      <c r="C9772" t="s">
        <v>208</v>
      </c>
      <c r="D9772">
        <v>0</v>
      </c>
      <c r="E9772">
        <v>0</v>
      </c>
      <c r="F9772">
        <v>0</v>
      </c>
      <c r="G9772">
        <v>0</v>
      </c>
    </row>
    <row r="9773" spans="1:7">
      <c r="A9773" t="s">
        <v>1876</v>
      </c>
      <c r="B9773" t="s">
        <v>377</v>
      </c>
      <c r="C9773" t="s">
        <v>209</v>
      </c>
      <c r="D9773">
        <v>3497</v>
      </c>
      <c r="E9773">
        <v>4099</v>
      </c>
      <c r="F9773">
        <v>5431</v>
      </c>
      <c r="G9773">
        <v>4816</v>
      </c>
    </row>
    <row r="9774" spans="1:7">
      <c r="A9774" t="s">
        <v>1876</v>
      </c>
      <c r="B9774" t="s">
        <v>377</v>
      </c>
      <c r="C9774" t="s">
        <v>210</v>
      </c>
      <c r="D9774">
        <v>0</v>
      </c>
      <c r="E9774">
        <v>0</v>
      </c>
      <c r="F9774">
        <v>0</v>
      </c>
      <c r="G9774">
        <v>0</v>
      </c>
    </row>
    <row r="9775" spans="1:7">
      <c r="A9775" t="s">
        <v>1876</v>
      </c>
      <c r="B9775" t="s">
        <v>377</v>
      </c>
      <c r="C9775" t="s">
        <v>211</v>
      </c>
      <c r="D9775">
        <v>0</v>
      </c>
      <c r="E9775">
        <v>0</v>
      </c>
      <c r="F9775">
        <v>0</v>
      </c>
      <c r="G9775">
        <v>0</v>
      </c>
    </row>
    <row r="9776" spans="1:7">
      <c r="A9776" t="s">
        <v>1876</v>
      </c>
      <c r="B9776" t="s">
        <v>377</v>
      </c>
      <c r="C9776" t="s">
        <v>212</v>
      </c>
      <c r="D9776">
        <v>0</v>
      </c>
      <c r="E9776">
        <v>0</v>
      </c>
      <c r="F9776">
        <v>0</v>
      </c>
      <c r="G9776">
        <v>0</v>
      </c>
    </row>
    <row r="9777" spans="1:7">
      <c r="A9777" t="s">
        <v>1876</v>
      </c>
      <c r="B9777" t="s">
        <v>377</v>
      </c>
      <c r="C9777" t="s">
        <v>213</v>
      </c>
      <c r="D9777">
        <v>0</v>
      </c>
      <c r="E9777">
        <v>0</v>
      </c>
      <c r="F9777">
        <v>0</v>
      </c>
      <c r="G9777">
        <v>0</v>
      </c>
    </row>
    <row r="9778" spans="1:7">
      <c r="A9778" t="s">
        <v>1876</v>
      </c>
      <c r="B9778" t="s">
        <v>377</v>
      </c>
      <c r="C9778" t="s">
        <v>214</v>
      </c>
      <c r="D9778">
        <v>0</v>
      </c>
      <c r="E9778">
        <v>0</v>
      </c>
      <c r="F9778">
        <v>0</v>
      </c>
      <c r="G9778">
        <v>0</v>
      </c>
    </row>
    <row r="9779" spans="1:7">
      <c r="A9779" t="s">
        <v>1876</v>
      </c>
      <c r="B9779" t="s">
        <v>377</v>
      </c>
      <c r="C9779" t="s">
        <v>215</v>
      </c>
      <c r="D9779">
        <v>3388</v>
      </c>
      <c r="E9779">
        <v>4065</v>
      </c>
      <c r="F9779">
        <v>5656</v>
      </c>
      <c r="G9779">
        <v>5474</v>
      </c>
    </row>
    <row r="9780" spans="1:7">
      <c r="A9780" t="s">
        <v>1876</v>
      </c>
      <c r="B9780" t="s">
        <v>377</v>
      </c>
      <c r="C9780" t="s">
        <v>216</v>
      </c>
      <c r="D9780">
        <v>3388</v>
      </c>
      <c r="E9780">
        <v>4065</v>
      </c>
      <c r="F9780">
        <v>5656</v>
      </c>
      <c r="G9780">
        <v>5474</v>
      </c>
    </row>
    <row r="9781" spans="1:7">
      <c r="A9781" t="s">
        <v>1876</v>
      </c>
      <c r="B9781" t="s">
        <v>377</v>
      </c>
      <c r="C9781" t="s">
        <v>217</v>
      </c>
      <c r="D9781">
        <v>3388</v>
      </c>
      <c r="E9781">
        <v>4065</v>
      </c>
      <c r="F9781">
        <v>5656</v>
      </c>
      <c r="G9781">
        <v>5474</v>
      </c>
    </row>
    <row r="9782" spans="1:7">
      <c r="A9782" t="s">
        <v>1876</v>
      </c>
      <c r="B9782" t="s">
        <v>377</v>
      </c>
      <c r="C9782" t="s">
        <v>218</v>
      </c>
      <c r="D9782">
        <v>46</v>
      </c>
      <c r="E9782">
        <v>40</v>
      </c>
      <c r="F9782">
        <v>74</v>
      </c>
      <c r="G9782">
        <v>57</v>
      </c>
    </row>
    <row r="9783" spans="1:7">
      <c r="A9783" t="s">
        <v>1876</v>
      </c>
      <c r="B9783" t="s">
        <v>377</v>
      </c>
      <c r="C9783" t="s">
        <v>219</v>
      </c>
      <c r="D9783">
        <v>4</v>
      </c>
      <c r="E9783">
        <v>3</v>
      </c>
      <c r="F9783">
        <v>13</v>
      </c>
      <c r="G9783">
        <v>7</v>
      </c>
    </row>
    <row r="9784" spans="1:7">
      <c r="A9784" t="s">
        <v>1876</v>
      </c>
      <c r="B9784" t="s">
        <v>377</v>
      </c>
      <c r="C9784" t="s">
        <v>220</v>
      </c>
      <c r="D9784">
        <v>429</v>
      </c>
      <c r="E9784">
        <v>377</v>
      </c>
      <c r="F9784">
        <v>696</v>
      </c>
      <c r="G9784">
        <v>535</v>
      </c>
    </row>
    <row r="9785" spans="1:7">
      <c r="A9785" t="s">
        <v>1876</v>
      </c>
      <c r="B9785" t="s">
        <v>377</v>
      </c>
      <c r="C9785" t="s">
        <v>221</v>
      </c>
      <c r="D9785">
        <v>479</v>
      </c>
      <c r="E9785">
        <v>420</v>
      </c>
      <c r="F9785">
        <v>783</v>
      </c>
      <c r="G9785">
        <v>599</v>
      </c>
    </row>
    <row r="9786" spans="1:7">
      <c r="A9786" t="s">
        <v>1876</v>
      </c>
      <c r="B9786" t="s">
        <v>377</v>
      </c>
      <c r="C9786" t="s">
        <v>222</v>
      </c>
      <c r="D9786">
        <v>479</v>
      </c>
      <c r="E9786">
        <v>420</v>
      </c>
      <c r="F9786">
        <v>783</v>
      </c>
      <c r="G9786">
        <v>599</v>
      </c>
    </row>
    <row r="9787" spans="1:7">
      <c r="A9787" t="s">
        <v>1876</v>
      </c>
      <c r="B9787" t="s">
        <v>377</v>
      </c>
      <c r="C9787" t="s">
        <v>1933</v>
      </c>
      <c r="D9787">
        <v>1287.5</v>
      </c>
      <c r="E9787">
        <v>1275.2</v>
      </c>
      <c r="F9787">
        <v>1275.9000000000001</v>
      </c>
      <c r="G9787">
        <v>1291.5</v>
      </c>
    </row>
    <row r="9788" spans="1:7">
      <c r="A9788" t="s">
        <v>1876</v>
      </c>
      <c r="B9788" t="s">
        <v>377</v>
      </c>
      <c r="C9788" t="s">
        <v>223</v>
      </c>
      <c r="D9788">
        <v>0</v>
      </c>
      <c r="E9788">
        <v>0</v>
      </c>
      <c r="F9788">
        <v>0</v>
      </c>
      <c r="G9788">
        <v>0</v>
      </c>
    </row>
    <row r="9789" spans="1:7">
      <c r="A9789" t="s">
        <v>1876</v>
      </c>
      <c r="B9789" t="s">
        <v>377</v>
      </c>
      <c r="C9789" t="s">
        <v>224</v>
      </c>
      <c r="D9789">
        <v>25241</v>
      </c>
      <c r="E9789">
        <v>24935</v>
      </c>
      <c r="F9789">
        <v>23999</v>
      </c>
      <c r="G9789">
        <v>24528</v>
      </c>
    </row>
    <row r="9790" spans="1:7">
      <c r="A9790" t="s">
        <v>1876</v>
      </c>
      <c r="B9790" t="s">
        <v>377</v>
      </c>
      <c r="C9790" t="s">
        <v>225</v>
      </c>
      <c r="D9790">
        <v>11854</v>
      </c>
      <c r="E9790">
        <v>11752</v>
      </c>
      <c r="F9790">
        <v>11409</v>
      </c>
      <c r="G9790">
        <v>11719</v>
      </c>
    </row>
    <row r="9791" spans="1:7">
      <c r="A9791" t="s">
        <v>1876</v>
      </c>
      <c r="B9791" t="s">
        <v>377</v>
      </c>
      <c r="C9791" t="s">
        <v>226</v>
      </c>
      <c r="D9791">
        <v>29699</v>
      </c>
      <c r="E9791">
        <v>29352</v>
      </c>
      <c r="F9791">
        <v>27579</v>
      </c>
      <c r="G9791">
        <v>28963</v>
      </c>
    </row>
    <row r="9792" spans="1:7">
      <c r="A9792" t="s">
        <v>1876</v>
      </c>
      <c r="B9792" t="s">
        <v>377</v>
      </c>
      <c r="C9792" t="s">
        <v>227</v>
      </c>
      <c r="D9792">
        <v>66795</v>
      </c>
      <c r="E9792">
        <v>66039</v>
      </c>
      <c r="F9792">
        <v>62987</v>
      </c>
      <c r="G9792">
        <v>65209</v>
      </c>
    </row>
    <row r="9793" spans="1:7">
      <c r="A9793" t="s">
        <v>1876</v>
      </c>
      <c r="B9793" t="s">
        <v>377</v>
      </c>
      <c r="C9793" t="s">
        <v>228</v>
      </c>
      <c r="D9793">
        <v>66795</v>
      </c>
      <c r="E9793">
        <v>66039</v>
      </c>
      <c r="F9793">
        <v>62987</v>
      </c>
      <c r="G9793">
        <v>65209</v>
      </c>
    </row>
    <row r="9794" spans="1:7">
      <c r="A9794" t="s">
        <v>1876</v>
      </c>
      <c r="B9794" t="s">
        <v>377</v>
      </c>
      <c r="C9794" t="s">
        <v>229</v>
      </c>
      <c r="D9794">
        <v>456</v>
      </c>
      <c r="E9794">
        <v>489</v>
      </c>
      <c r="F9794">
        <v>356</v>
      </c>
      <c r="G9794">
        <v>348</v>
      </c>
    </row>
    <row r="9795" spans="1:7">
      <c r="A9795" t="s">
        <v>1876</v>
      </c>
      <c r="B9795" t="s">
        <v>377</v>
      </c>
      <c r="C9795" t="s">
        <v>230</v>
      </c>
      <c r="D9795">
        <v>323</v>
      </c>
      <c r="E9795">
        <v>331</v>
      </c>
      <c r="F9795">
        <v>243</v>
      </c>
      <c r="G9795">
        <v>226</v>
      </c>
    </row>
    <row r="9796" spans="1:7">
      <c r="A9796" t="s">
        <v>1876</v>
      </c>
      <c r="B9796" t="s">
        <v>377</v>
      </c>
      <c r="C9796" t="s">
        <v>231</v>
      </c>
      <c r="D9796">
        <v>780</v>
      </c>
      <c r="E9796">
        <v>819</v>
      </c>
      <c r="F9796">
        <v>599</v>
      </c>
      <c r="G9796">
        <v>574</v>
      </c>
    </row>
    <row r="9797" spans="1:7">
      <c r="A9797" t="s">
        <v>1876</v>
      </c>
      <c r="B9797" t="s">
        <v>377</v>
      </c>
      <c r="C9797" t="s">
        <v>232</v>
      </c>
      <c r="D9797">
        <v>780</v>
      </c>
      <c r="E9797">
        <v>819</v>
      </c>
      <c r="F9797">
        <v>599</v>
      </c>
      <c r="G9797">
        <v>574</v>
      </c>
    </row>
    <row r="9798" spans="1:7">
      <c r="A9798" t="s">
        <v>1876</v>
      </c>
      <c r="B9798" t="s">
        <v>377</v>
      </c>
      <c r="C9798" t="s">
        <v>233</v>
      </c>
      <c r="D9798">
        <v>0</v>
      </c>
      <c r="E9798">
        <v>0</v>
      </c>
      <c r="F9798">
        <v>0</v>
      </c>
      <c r="G9798">
        <v>0</v>
      </c>
    </row>
    <row r="9799" spans="1:7">
      <c r="A9799" t="s">
        <v>1876</v>
      </c>
      <c r="B9799" t="s">
        <v>377</v>
      </c>
      <c r="C9799" t="s">
        <v>234</v>
      </c>
      <c r="D9799">
        <v>78133</v>
      </c>
      <c r="E9799">
        <v>78798</v>
      </c>
      <c r="F9799">
        <v>79864</v>
      </c>
      <c r="G9799">
        <v>82210</v>
      </c>
    </row>
    <row r="9800" spans="1:7">
      <c r="A9800" t="s">
        <v>1876</v>
      </c>
      <c r="B9800" t="s">
        <v>377</v>
      </c>
      <c r="C9800" t="s">
        <v>235</v>
      </c>
      <c r="D9800">
        <v>1655</v>
      </c>
      <c r="E9800">
        <v>1706</v>
      </c>
      <c r="F9800">
        <v>1725</v>
      </c>
      <c r="G9800">
        <v>1723</v>
      </c>
    </row>
    <row r="9801" spans="1:7">
      <c r="A9801" t="s">
        <v>1876</v>
      </c>
      <c r="B9801" t="s">
        <v>377</v>
      </c>
      <c r="C9801" t="s">
        <v>236</v>
      </c>
      <c r="D9801">
        <v>929</v>
      </c>
      <c r="E9801">
        <v>965</v>
      </c>
      <c r="F9801">
        <v>971</v>
      </c>
      <c r="G9801">
        <v>973</v>
      </c>
    </row>
    <row r="9802" spans="1:7">
      <c r="A9802" t="s">
        <v>1876</v>
      </c>
      <c r="B9802" t="s">
        <v>377</v>
      </c>
      <c r="C9802" t="s">
        <v>237</v>
      </c>
      <c r="D9802">
        <v>80717</v>
      </c>
      <c r="E9802">
        <v>81469</v>
      </c>
      <c r="F9802">
        <v>82561</v>
      </c>
      <c r="G9802">
        <v>84907</v>
      </c>
    </row>
    <row r="9803" spans="1:7">
      <c r="A9803" t="s">
        <v>1876</v>
      </c>
      <c r="B9803" t="s">
        <v>377</v>
      </c>
      <c r="C9803" t="s">
        <v>238</v>
      </c>
      <c r="D9803">
        <v>80717</v>
      </c>
      <c r="E9803">
        <v>81469</v>
      </c>
      <c r="F9803">
        <v>82561</v>
      </c>
      <c r="G9803">
        <v>84907</v>
      </c>
    </row>
    <row r="9804" spans="1:7">
      <c r="A9804" t="s">
        <v>1876</v>
      </c>
      <c r="B9804" t="s">
        <v>377</v>
      </c>
      <c r="C9804" t="s">
        <v>1934</v>
      </c>
      <c r="D9804">
        <v>72472</v>
      </c>
      <c r="E9804">
        <v>73061</v>
      </c>
      <c r="F9804">
        <v>74058</v>
      </c>
      <c r="G9804">
        <v>76255</v>
      </c>
    </row>
    <row r="9805" spans="1:7">
      <c r="A9805" t="s">
        <v>1876</v>
      </c>
      <c r="B9805" t="s">
        <v>377</v>
      </c>
      <c r="C9805" t="s">
        <v>1935</v>
      </c>
      <c r="D9805">
        <v>1535</v>
      </c>
      <c r="E9805">
        <v>1582</v>
      </c>
      <c r="F9805">
        <v>1600</v>
      </c>
      <c r="G9805">
        <v>1598</v>
      </c>
    </row>
    <row r="9806" spans="1:7">
      <c r="A9806" t="s">
        <v>1876</v>
      </c>
      <c r="B9806" t="s">
        <v>377</v>
      </c>
      <c r="C9806" t="s">
        <v>1936</v>
      </c>
      <c r="D9806">
        <v>862</v>
      </c>
      <c r="E9806">
        <v>895</v>
      </c>
      <c r="F9806">
        <v>901</v>
      </c>
      <c r="G9806">
        <v>903</v>
      </c>
    </row>
    <row r="9807" spans="1:7">
      <c r="A9807" t="s">
        <v>1876</v>
      </c>
      <c r="B9807" t="s">
        <v>377</v>
      </c>
      <c r="C9807" t="s">
        <v>239</v>
      </c>
      <c r="D9807">
        <v>74868</v>
      </c>
      <c r="E9807">
        <v>75537</v>
      </c>
      <c r="F9807">
        <v>76559</v>
      </c>
      <c r="G9807">
        <v>78756</v>
      </c>
    </row>
    <row r="9808" spans="1:7">
      <c r="A9808" t="s">
        <v>1876</v>
      </c>
      <c r="B9808" t="s">
        <v>377</v>
      </c>
      <c r="C9808" t="s">
        <v>240</v>
      </c>
      <c r="D9808">
        <v>0</v>
      </c>
      <c r="E9808">
        <v>72</v>
      </c>
      <c r="F9808">
        <v>69</v>
      </c>
      <c r="G9808">
        <v>67</v>
      </c>
    </row>
    <row r="9809" spans="1:7">
      <c r="A9809" t="s">
        <v>1876</v>
      </c>
      <c r="B9809" t="s">
        <v>377</v>
      </c>
      <c r="C9809" t="s">
        <v>241</v>
      </c>
      <c r="D9809">
        <v>0</v>
      </c>
      <c r="E9809">
        <v>0</v>
      </c>
      <c r="F9809">
        <v>0</v>
      </c>
      <c r="G9809">
        <v>0</v>
      </c>
    </row>
    <row r="9810" spans="1:7">
      <c r="A9810" t="s">
        <v>1876</v>
      </c>
      <c r="B9810" t="s">
        <v>377</v>
      </c>
      <c r="C9810" t="s">
        <v>242</v>
      </c>
      <c r="D9810">
        <v>299</v>
      </c>
      <c r="E9810">
        <v>182</v>
      </c>
      <c r="F9810">
        <v>145</v>
      </c>
      <c r="G9810">
        <v>314</v>
      </c>
    </row>
    <row r="9811" spans="1:7">
      <c r="A9811" t="s">
        <v>1876</v>
      </c>
      <c r="B9811" t="s">
        <v>377</v>
      </c>
      <c r="C9811" t="s">
        <v>243</v>
      </c>
      <c r="D9811">
        <v>9641</v>
      </c>
      <c r="E9811">
        <v>9685</v>
      </c>
      <c r="F9811">
        <v>10074</v>
      </c>
      <c r="G9811">
        <v>9301</v>
      </c>
    </row>
    <row r="9812" spans="1:7">
      <c r="A9812" t="s">
        <v>1876</v>
      </c>
      <c r="B9812" t="s">
        <v>377</v>
      </c>
      <c r="C9812" t="s">
        <v>244</v>
      </c>
      <c r="D9812">
        <v>33120</v>
      </c>
      <c r="E9812">
        <v>33012</v>
      </c>
      <c r="F9812">
        <v>31825</v>
      </c>
      <c r="G9812">
        <v>32844</v>
      </c>
    </row>
    <row r="9813" spans="1:7">
      <c r="A9813" t="s">
        <v>1876</v>
      </c>
      <c r="B9813" t="s">
        <v>377</v>
      </c>
      <c r="C9813" t="s">
        <v>1709</v>
      </c>
      <c r="D9813">
        <v>1643</v>
      </c>
      <c r="E9813">
        <v>1242</v>
      </c>
      <c r="F9813">
        <v>1232</v>
      </c>
      <c r="G9813">
        <v>1633</v>
      </c>
    </row>
    <row r="9814" spans="1:7">
      <c r="A9814" t="s">
        <v>1876</v>
      </c>
      <c r="B9814" t="s">
        <v>377</v>
      </c>
      <c r="C9814" t="s">
        <v>245</v>
      </c>
      <c r="D9814">
        <v>9377</v>
      </c>
      <c r="E9814">
        <v>9602</v>
      </c>
      <c r="F9814">
        <v>10256</v>
      </c>
      <c r="G9814">
        <v>10079</v>
      </c>
    </row>
    <row r="9815" spans="1:7">
      <c r="A9815" t="s">
        <v>1876</v>
      </c>
      <c r="B9815" t="s">
        <v>377</v>
      </c>
      <c r="C9815" t="s">
        <v>246</v>
      </c>
      <c r="D9815">
        <v>7679</v>
      </c>
      <c r="E9815">
        <v>7695</v>
      </c>
      <c r="F9815">
        <v>7289</v>
      </c>
      <c r="G9815">
        <v>7159</v>
      </c>
    </row>
    <row r="9816" spans="1:7">
      <c r="A9816" t="s">
        <v>1876</v>
      </c>
      <c r="B9816" t="s">
        <v>377</v>
      </c>
      <c r="C9816" t="s">
        <v>247</v>
      </c>
      <c r="D9816">
        <v>60116</v>
      </c>
      <c r="E9816">
        <v>60176</v>
      </c>
      <c r="F9816">
        <v>59589</v>
      </c>
      <c r="G9816">
        <v>59696</v>
      </c>
    </row>
    <row r="9817" spans="1:7">
      <c r="A9817" t="s">
        <v>1876</v>
      </c>
      <c r="B9817" t="s">
        <v>377</v>
      </c>
      <c r="C9817" t="s">
        <v>248</v>
      </c>
      <c r="D9817">
        <v>43.3</v>
      </c>
      <c r="E9817">
        <v>43.1</v>
      </c>
      <c r="F9817">
        <v>42.5</v>
      </c>
      <c r="G9817">
        <v>42.4</v>
      </c>
    </row>
    <row r="9818" spans="1:7">
      <c r="A9818" t="s">
        <v>1876</v>
      </c>
      <c r="B9818" t="s">
        <v>377</v>
      </c>
      <c r="C9818" t="s">
        <v>249</v>
      </c>
      <c r="D9818">
        <v>26996</v>
      </c>
      <c r="E9818">
        <v>27164</v>
      </c>
      <c r="F9818">
        <v>27764</v>
      </c>
      <c r="G9818">
        <v>26853</v>
      </c>
    </row>
    <row r="9819" spans="1:7">
      <c r="A9819" t="s">
        <v>1876</v>
      </c>
      <c r="B9819" t="s">
        <v>377</v>
      </c>
      <c r="C9819" t="s">
        <v>250</v>
      </c>
      <c r="D9819">
        <v>60116</v>
      </c>
      <c r="E9819">
        <v>60176</v>
      </c>
      <c r="F9819">
        <v>59589</v>
      </c>
      <c r="G9819">
        <v>59696</v>
      </c>
    </row>
    <row r="9820" spans="1:7">
      <c r="A9820" t="s">
        <v>1876</v>
      </c>
      <c r="B9820" t="s">
        <v>377</v>
      </c>
      <c r="C9820" t="s">
        <v>1937</v>
      </c>
      <c r="D9820">
        <v>87.1</v>
      </c>
      <c r="E9820">
        <v>84.3</v>
      </c>
      <c r="F9820">
        <v>82</v>
      </c>
      <c r="G9820">
        <v>70.2</v>
      </c>
    </row>
    <row r="9821" spans="1:7">
      <c r="A9821" t="s">
        <v>1876</v>
      </c>
      <c r="B9821" t="s">
        <v>377</v>
      </c>
      <c r="C9821" t="s">
        <v>1938</v>
      </c>
      <c r="D9821">
        <v>90.1</v>
      </c>
      <c r="E9821">
        <v>99.9</v>
      </c>
      <c r="F9821">
        <v>87.4</v>
      </c>
      <c r="G9821">
        <v>88.1</v>
      </c>
    </row>
    <row r="9822" spans="1:7">
      <c r="A9822" t="s">
        <v>1876</v>
      </c>
      <c r="B9822" t="s">
        <v>377</v>
      </c>
      <c r="C9822" t="s">
        <v>251</v>
      </c>
      <c r="D9822">
        <v>102789</v>
      </c>
      <c r="E9822">
        <v>114108</v>
      </c>
      <c r="F9822">
        <v>99658</v>
      </c>
      <c r="G9822">
        <v>101055</v>
      </c>
    </row>
    <row r="9823" spans="1:7">
      <c r="A9823" t="s">
        <v>1876</v>
      </c>
      <c r="B9823" t="s">
        <v>377</v>
      </c>
      <c r="C9823" t="s">
        <v>252</v>
      </c>
      <c r="D9823">
        <v>102789</v>
      </c>
      <c r="E9823">
        <v>114108</v>
      </c>
      <c r="F9823">
        <v>99658</v>
      </c>
      <c r="G9823">
        <v>101055</v>
      </c>
    </row>
    <row r="9824" spans="1:7">
      <c r="A9824" t="s">
        <v>1876</v>
      </c>
      <c r="B9824" t="s">
        <v>377</v>
      </c>
      <c r="C9824" t="s">
        <v>1710</v>
      </c>
      <c r="D9824">
        <v>1248</v>
      </c>
      <c r="E9824">
        <v>1248</v>
      </c>
      <c r="F9824">
        <v>1246</v>
      </c>
      <c r="G9824">
        <v>1250</v>
      </c>
    </row>
    <row r="9825" spans="1:7">
      <c r="A9825" t="s">
        <v>1876</v>
      </c>
      <c r="B9825" t="s">
        <v>377</v>
      </c>
      <c r="C9825" t="s">
        <v>1939</v>
      </c>
      <c r="D9825">
        <v>1.7</v>
      </c>
      <c r="E9825">
        <v>0</v>
      </c>
      <c r="F9825">
        <v>0</v>
      </c>
      <c r="G9825">
        <v>1.6</v>
      </c>
    </row>
    <row r="9826" spans="1:7">
      <c r="A9826" t="s">
        <v>1876</v>
      </c>
      <c r="B9826" t="s">
        <v>377</v>
      </c>
      <c r="C9826" t="s">
        <v>253</v>
      </c>
      <c r="D9826">
        <v>0</v>
      </c>
      <c r="E9826">
        <v>0</v>
      </c>
      <c r="F9826">
        <v>0</v>
      </c>
      <c r="G9826">
        <v>0</v>
      </c>
    </row>
    <row r="9827" spans="1:7">
      <c r="A9827" t="s">
        <v>1876</v>
      </c>
      <c r="B9827" t="s">
        <v>377</v>
      </c>
      <c r="C9827" t="s">
        <v>1711</v>
      </c>
      <c r="D9827">
        <v>0</v>
      </c>
      <c r="E9827">
        <v>0</v>
      </c>
      <c r="F9827">
        <v>0</v>
      </c>
      <c r="G9827">
        <v>0</v>
      </c>
    </row>
    <row r="9828" spans="1:7">
      <c r="A9828" t="s">
        <v>1876</v>
      </c>
      <c r="B9828" t="s">
        <v>377</v>
      </c>
      <c r="C9828" t="s">
        <v>1712</v>
      </c>
      <c r="D9828">
        <v>27</v>
      </c>
      <c r="E9828">
        <v>189</v>
      </c>
      <c r="F9828">
        <v>186</v>
      </c>
      <c r="G9828">
        <v>170</v>
      </c>
    </row>
    <row r="9829" spans="1:7">
      <c r="A9829" t="s">
        <v>1876</v>
      </c>
      <c r="B9829" t="s">
        <v>377</v>
      </c>
      <c r="C9829" t="s">
        <v>1713</v>
      </c>
      <c r="D9829">
        <v>229</v>
      </c>
      <c r="E9829">
        <v>220</v>
      </c>
      <c r="F9829">
        <v>312</v>
      </c>
      <c r="G9829">
        <v>331</v>
      </c>
    </row>
    <row r="9830" spans="1:7">
      <c r="A9830" t="s">
        <v>1876</v>
      </c>
      <c r="B9830" t="s">
        <v>377</v>
      </c>
      <c r="C9830" t="s">
        <v>1940</v>
      </c>
      <c r="D9830">
        <v>0</v>
      </c>
      <c r="E9830">
        <v>0</v>
      </c>
      <c r="F9830">
        <v>0</v>
      </c>
      <c r="G9830">
        <v>0</v>
      </c>
    </row>
    <row r="9831" spans="1:7">
      <c r="A9831" t="s">
        <v>1876</v>
      </c>
      <c r="B9831" t="s">
        <v>377</v>
      </c>
      <c r="C9831" t="s">
        <v>1941</v>
      </c>
      <c r="D9831">
        <v>0</v>
      </c>
      <c r="E9831">
        <v>0</v>
      </c>
      <c r="F9831">
        <v>0</v>
      </c>
      <c r="G9831">
        <v>0</v>
      </c>
    </row>
    <row r="9832" spans="1:7">
      <c r="A9832" t="s">
        <v>1876</v>
      </c>
      <c r="B9832" t="s">
        <v>377</v>
      </c>
      <c r="C9832" t="s">
        <v>254</v>
      </c>
      <c r="D9832">
        <v>27</v>
      </c>
      <c r="E9832">
        <v>189</v>
      </c>
      <c r="F9832">
        <v>186</v>
      </c>
      <c r="G9832">
        <v>170</v>
      </c>
    </row>
    <row r="9833" spans="1:7">
      <c r="A9833" t="s">
        <v>1876</v>
      </c>
      <c r="B9833" t="s">
        <v>377</v>
      </c>
      <c r="C9833" t="s">
        <v>1942</v>
      </c>
      <c r="D9833">
        <v>0</v>
      </c>
      <c r="E9833">
        <v>0</v>
      </c>
      <c r="F9833">
        <v>0</v>
      </c>
      <c r="G9833">
        <v>0</v>
      </c>
    </row>
    <row r="9834" spans="1:7">
      <c r="A9834" t="s">
        <v>1876</v>
      </c>
      <c r="B9834" t="s">
        <v>377</v>
      </c>
      <c r="C9834" t="s">
        <v>255</v>
      </c>
      <c r="D9834">
        <v>256</v>
      </c>
      <c r="E9834">
        <v>408</v>
      </c>
      <c r="F9834">
        <v>498</v>
      </c>
      <c r="G9834">
        <v>500</v>
      </c>
    </row>
    <row r="9835" spans="1:7">
      <c r="A9835" t="s">
        <v>1876</v>
      </c>
      <c r="B9835" t="s">
        <v>377</v>
      </c>
      <c r="C9835" t="s">
        <v>256</v>
      </c>
      <c r="D9835">
        <v>256</v>
      </c>
      <c r="E9835">
        <v>408</v>
      </c>
      <c r="F9835">
        <v>498</v>
      </c>
      <c r="G9835">
        <v>500</v>
      </c>
    </row>
    <row r="9836" spans="1:7">
      <c r="A9836" t="s">
        <v>1876</v>
      </c>
      <c r="B9836" t="s">
        <v>377</v>
      </c>
      <c r="C9836" t="s">
        <v>1714</v>
      </c>
      <c r="D9836">
        <v>0</v>
      </c>
      <c r="E9836">
        <v>0</v>
      </c>
      <c r="F9836">
        <v>0</v>
      </c>
      <c r="G9836">
        <v>0</v>
      </c>
    </row>
    <row r="9837" spans="1:7">
      <c r="A9837" t="s">
        <v>1876</v>
      </c>
      <c r="B9837" t="s">
        <v>377</v>
      </c>
      <c r="C9837" t="s">
        <v>257</v>
      </c>
      <c r="D9837">
        <v>3556</v>
      </c>
      <c r="E9837">
        <v>3743</v>
      </c>
      <c r="F9837">
        <v>2834</v>
      </c>
      <c r="G9837">
        <v>3122</v>
      </c>
    </row>
    <row r="9838" spans="1:7">
      <c r="A9838" t="s">
        <v>1876</v>
      </c>
      <c r="B9838" t="s">
        <v>377</v>
      </c>
      <c r="C9838" t="s">
        <v>258</v>
      </c>
      <c r="D9838">
        <v>4817</v>
      </c>
      <c r="E9838">
        <v>4972</v>
      </c>
      <c r="F9838">
        <v>4372</v>
      </c>
      <c r="G9838">
        <v>4499</v>
      </c>
    </row>
    <row r="9839" spans="1:7">
      <c r="A9839" t="s">
        <v>1876</v>
      </c>
      <c r="B9839" t="s">
        <v>377</v>
      </c>
      <c r="C9839" t="s">
        <v>259</v>
      </c>
      <c r="D9839">
        <v>4817</v>
      </c>
      <c r="E9839">
        <v>4972</v>
      </c>
      <c r="F9839">
        <v>4372</v>
      </c>
      <c r="G9839">
        <v>4499</v>
      </c>
    </row>
    <row r="9840" spans="1:7">
      <c r="A9840" t="s">
        <v>1876</v>
      </c>
      <c r="B9840" t="s">
        <v>377</v>
      </c>
      <c r="C9840" t="s">
        <v>260</v>
      </c>
      <c r="D9840">
        <v>98547</v>
      </c>
      <c r="E9840">
        <v>100190</v>
      </c>
      <c r="F9840">
        <v>102151</v>
      </c>
      <c r="G9840">
        <v>104002</v>
      </c>
    </row>
    <row r="9841" spans="1:7">
      <c r="A9841" t="s">
        <v>1876</v>
      </c>
      <c r="B9841" t="s">
        <v>377</v>
      </c>
      <c r="C9841" t="s">
        <v>1943</v>
      </c>
      <c r="D9841">
        <v>1.6</v>
      </c>
      <c r="E9841">
        <v>3.6</v>
      </c>
      <c r="F9841">
        <v>1.5</v>
      </c>
      <c r="G9841">
        <v>1.5</v>
      </c>
    </row>
    <row r="9842" spans="1:7">
      <c r="A9842" t="s">
        <v>1876</v>
      </c>
      <c r="B9842" t="s">
        <v>377</v>
      </c>
      <c r="C9842" t="s">
        <v>261</v>
      </c>
      <c r="D9842">
        <v>12953</v>
      </c>
      <c r="E9842">
        <v>13477</v>
      </c>
      <c r="F9842">
        <v>13373</v>
      </c>
      <c r="G9842">
        <v>12975</v>
      </c>
    </row>
    <row r="9843" spans="1:7">
      <c r="A9843" t="s">
        <v>1876</v>
      </c>
      <c r="B9843" t="s">
        <v>377</v>
      </c>
      <c r="C9843" t="s">
        <v>262</v>
      </c>
      <c r="D9843">
        <v>516</v>
      </c>
      <c r="E9843">
        <v>3730</v>
      </c>
      <c r="F9843">
        <v>584</v>
      </c>
      <c r="G9843">
        <v>304</v>
      </c>
    </row>
    <row r="9844" spans="1:7">
      <c r="A9844" t="s">
        <v>1876</v>
      </c>
      <c r="B9844" t="s">
        <v>377</v>
      </c>
      <c r="C9844" t="s">
        <v>1715</v>
      </c>
      <c r="D9844">
        <v>94</v>
      </c>
      <c r="E9844">
        <v>494</v>
      </c>
      <c r="F9844">
        <v>494</v>
      </c>
      <c r="G9844">
        <v>94</v>
      </c>
    </row>
    <row r="9845" spans="1:7">
      <c r="A9845" t="s">
        <v>1876</v>
      </c>
      <c r="B9845" t="s">
        <v>377</v>
      </c>
      <c r="C9845" t="s">
        <v>263</v>
      </c>
      <c r="D9845">
        <v>7074</v>
      </c>
      <c r="E9845">
        <v>7318</v>
      </c>
      <c r="F9845">
        <v>6325</v>
      </c>
      <c r="G9845">
        <v>6621</v>
      </c>
    </row>
    <row r="9846" spans="1:7">
      <c r="A9846" t="s">
        <v>1876</v>
      </c>
      <c r="B9846" t="s">
        <v>377</v>
      </c>
      <c r="C9846" t="s">
        <v>264</v>
      </c>
      <c r="D9846">
        <v>29071</v>
      </c>
      <c r="E9846">
        <v>30355</v>
      </c>
      <c r="F9846">
        <v>30629</v>
      </c>
      <c r="G9846">
        <v>30188</v>
      </c>
    </row>
    <row r="9847" spans="1:7">
      <c r="A9847" t="s">
        <v>1876</v>
      </c>
      <c r="B9847" t="s">
        <v>377</v>
      </c>
      <c r="C9847" t="s">
        <v>265</v>
      </c>
      <c r="D9847">
        <v>148161</v>
      </c>
      <c r="E9847">
        <v>155070</v>
      </c>
      <c r="F9847">
        <v>153061</v>
      </c>
      <c r="G9847">
        <v>154091</v>
      </c>
    </row>
    <row r="9848" spans="1:7">
      <c r="A9848" t="s">
        <v>1876</v>
      </c>
      <c r="B9848" t="s">
        <v>377</v>
      </c>
      <c r="C9848" t="s">
        <v>266</v>
      </c>
      <c r="D9848">
        <v>106.8</v>
      </c>
      <c r="E9848">
        <v>111</v>
      </c>
      <c r="F9848">
        <v>109.2</v>
      </c>
      <c r="G9848">
        <v>109.4</v>
      </c>
    </row>
    <row r="9849" spans="1:7">
      <c r="A9849" t="s">
        <v>1876</v>
      </c>
      <c r="B9849" t="s">
        <v>377</v>
      </c>
      <c r="C9849" t="s">
        <v>267</v>
      </c>
      <c r="D9849">
        <v>147645</v>
      </c>
      <c r="E9849">
        <v>151340</v>
      </c>
      <c r="F9849">
        <v>152477</v>
      </c>
      <c r="G9849">
        <v>153787</v>
      </c>
    </row>
    <row r="9850" spans="1:7">
      <c r="A9850" t="s">
        <v>1876</v>
      </c>
      <c r="B9850" t="s">
        <v>377</v>
      </c>
      <c r="C9850" t="s">
        <v>268</v>
      </c>
      <c r="D9850">
        <v>0</v>
      </c>
      <c r="E9850">
        <v>0</v>
      </c>
      <c r="F9850">
        <v>0</v>
      </c>
      <c r="G9850">
        <v>0</v>
      </c>
    </row>
    <row r="9851" spans="1:7">
      <c r="A9851" t="s">
        <v>1876</v>
      </c>
      <c r="B9851" t="s">
        <v>377</v>
      </c>
      <c r="C9851" t="s">
        <v>269</v>
      </c>
      <c r="D9851">
        <v>0</v>
      </c>
      <c r="E9851">
        <v>0</v>
      </c>
      <c r="F9851">
        <v>0</v>
      </c>
      <c r="G9851">
        <v>0</v>
      </c>
    </row>
    <row r="9852" spans="1:7">
      <c r="A9852" t="s">
        <v>1876</v>
      </c>
      <c r="B9852" t="s">
        <v>377</v>
      </c>
      <c r="C9852" t="s">
        <v>270</v>
      </c>
      <c r="D9852">
        <v>0</v>
      </c>
      <c r="E9852">
        <v>0</v>
      </c>
      <c r="F9852">
        <v>0</v>
      </c>
      <c r="G9852">
        <v>0</v>
      </c>
    </row>
    <row r="9853" spans="1:7">
      <c r="A9853" t="s">
        <v>1876</v>
      </c>
      <c r="B9853" t="s">
        <v>377</v>
      </c>
      <c r="C9853" t="s">
        <v>271</v>
      </c>
      <c r="D9853">
        <v>0</v>
      </c>
      <c r="E9853">
        <v>0</v>
      </c>
      <c r="F9853">
        <v>0</v>
      </c>
      <c r="G9853">
        <v>0</v>
      </c>
    </row>
    <row r="9854" spans="1:7">
      <c r="A9854" t="s">
        <v>1876</v>
      </c>
      <c r="B9854" t="s">
        <v>377</v>
      </c>
      <c r="C9854" t="s">
        <v>272</v>
      </c>
      <c r="D9854">
        <v>0</v>
      </c>
      <c r="E9854">
        <v>0</v>
      </c>
      <c r="F9854">
        <v>0</v>
      </c>
      <c r="G9854">
        <v>0</v>
      </c>
    </row>
    <row r="9855" spans="1:7">
      <c r="A9855" t="s">
        <v>1876</v>
      </c>
      <c r="B9855" t="s">
        <v>377</v>
      </c>
      <c r="C9855" t="s">
        <v>1944</v>
      </c>
      <c r="D9855">
        <v>3.4</v>
      </c>
      <c r="E9855">
        <v>4.4000000000000004</v>
      </c>
      <c r="F9855">
        <v>5.8</v>
      </c>
      <c r="G9855">
        <v>7.9</v>
      </c>
    </row>
    <row r="9856" spans="1:7">
      <c r="A9856" t="s">
        <v>1876</v>
      </c>
      <c r="B9856" t="s">
        <v>377</v>
      </c>
      <c r="C9856" t="s">
        <v>1945</v>
      </c>
      <c r="D9856">
        <v>5</v>
      </c>
      <c r="E9856">
        <v>8</v>
      </c>
      <c r="F9856">
        <v>15</v>
      </c>
      <c r="G9856">
        <v>19</v>
      </c>
    </row>
    <row r="9857" spans="1:7">
      <c r="A9857" t="s">
        <v>1876</v>
      </c>
      <c r="B9857" t="s">
        <v>377</v>
      </c>
      <c r="C9857" t="s">
        <v>273</v>
      </c>
      <c r="D9857">
        <v>0</v>
      </c>
      <c r="E9857">
        <v>0</v>
      </c>
      <c r="F9857">
        <v>0</v>
      </c>
      <c r="G9857">
        <v>0</v>
      </c>
    </row>
    <row r="9858" spans="1:7">
      <c r="A9858" t="s">
        <v>1876</v>
      </c>
      <c r="B9858" t="s">
        <v>377</v>
      </c>
      <c r="C9858" t="s">
        <v>1946</v>
      </c>
      <c r="D9858">
        <v>92487</v>
      </c>
      <c r="E9858">
        <v>94078</v>
      </c>
      <c r="F9858">
        <v>95848</v>
      </c>
      <c r="G9858">
        <v>97537</v>
      </c>
    </row>
    <row r="9859" spans="1:7">
      <c r="A9859" t="s">
        <v>1876</v>
      </c>
      <c r="B9859" t="s">
        <v>377</v>
      </c>
      <c r="C9859" t="s">
        <v>1947</v>
      </c>
      <c r="D9859">
        <v>12833</v>
      </c>
      <c r="E9859">
        <v>13353</v>
      </c>
      <c r="F9859">
        <v>13248</v>
      </c>
      <c r="G9859">
        <v>12850</v>
      </c>
    </row>
    <row r="9860" spans="1:7">
      <c r="A9860" t="s">
        <v>1876</v>
      </c>
      <c r="B9860" t="s">
        <v>377</v>
      </c>
      <c r="C9860" t="s">
        <v>1948</v>
      </c>
      <c r="D9860">
        <v>516</v>
      </c>
      <c r="E9860">
        <v>3730</v>
      </c>
      <c r="F9860">
        <v>584</v>
      </c>
      <c r="G9860">
        <v>304</v>
      </c>
    </row>
    <row r="9861" spans="1:7">
      <c r="A9861" t="s">
        <v>1876</v>
      </c>
      <c r="B9861" t="s">
        <v>377</v>
      </c>
      <c r="C9861" t="s">
        <v>1949</v>
      </c>
      <c r="D9861">
        <v>7006</v>
      </c>
      <c r="E9861">
        <v>7247</v>
      </c>
      <c r="F9861">
        <v>6254</v>
      </c>
      <c r="G9861">
        <v>6551</v>
      </c>
    </row>
    <row r="9862" spans="1:7">
      <c r="A9862" t="s">
        <v>1876</v>
      </c>
      <c r="B9862" t="s">
        <v>377</v>
      </c>
      <c r="C9862" t="s">
        <v>1950</v>
      </c>
      <c r="D9862">
        <v>29071</v>
      </c>
      <c r="E9862">
        <v>30355</v>
      </c>
      <c r="F9862">
        <v>30629</v>
      </c>
      <c r="G9862">
        <v>30188</v>
      </c>
    </row>
    <row r="9863" spans="1:7">
      <c r="A9863" t="s">
        <v>1876</v>
      </c>
      <c r="B9863" t="s">
        <v>377</v>
      </c>
      <c r="C9863" t="s">
        <v>274</v>
      </c>
      <c r="D9863">
        <v>141914</v>
      </c>
      <c r="E9863">
        <v>148763</v>
      </c>
      <c r="F9863">
        <v>146563</v>
      </c>
      <c r="G9863">
        <v>147431</v>
      </c>
    </row>
    <row r="9864" spans="1:7">
      <c r="A9864" t="s">
        <v>1876</v>
      </c>
      <c r="B9864" t="s">
        <v>377</v>
      </c>
      <c r="C9864" t="s">
        <v>275</v>
      </c>
      <c r="D9864">
        <v>0</v>
      </c>
      <c r="E9864">
        <v>0</v>
      </c>
      <c r="F9864">
        <v>0</v>
      </c>
      <c r="G9864">
        <v>0</v>
      </c>
    </row>
    <row r="9865" spans="1:7">
      <c r="A9865" t="s">
        <v>1876</v>
      </c>
      <c r="B9865" t="s">
        <v>377</v>
      </c>
      <c r="C9865" t="s">
        <v>276</v>
      </c>
      <c r="D9865">
        <v>0</v>
      </c>
      <c r="E9865">
        <v>0</v>
      </c>
      <c r="F9865">
        <v>0</v>
      </c>
      <c r="G9865">
        <v>0</v>
      </c>
    </row>
    <row r="9866" spans="1:7">
      <c r="A9866" t="s">
        <v>1876</v>
      </c>
      <c r="B9866" t="s">
        <v>377</v>
      </c>
      <c r="C9866" t="s">
        <v>277</v>
      </c>
      <c r="D9866">
        <v>9</v>
      </c>
      <c r="E9866">
        <v>6</v>
      </c>
      <c r="F9866">
        <v>8</v>
      </c>
      <c r="G9866">
        <v>14</v>
      </c>
    </row>
    <row r="9867" spans="1:7">
      <c r="A9867" t="s">
        <v>1876</v>
      </c>
      <c r="B9867" t="s">
        <v>377</v>
      </c>
      <c r="C9867" t="s">
        <v>278</v>
      </c>
      <c r="D9867">
        <v>5357</v>
      </c>
      <c r="E9867">
        <v>5913</v>
      </c>
      <c r="F9867">
        <v>5901</v>
      </c>
      <c r="G9867">
        <v>5506</v>
      </c>
    </row>
    <row r="9868" spans="1:7">
      <c r="A9868" t="s">
        <v>1876</v>
      </c>
      <c r="B9868" t="s">
        <v>377</v>
      </c>
      <c r="C9868" t="s">
        <v>279</v>
      </c>
      <c r="D9868">
        <v>382</v>
      </c>
      <c r="E9868">
        <v>378</v>
      </c>
      <c r="F9868">
        <v>364</v>
      </c>
      <c r="G9868">
        <v>420</v>
      </c>
    </row>
    <row r="9869" spans="1:7">
      <c r="A9869" t="s">
        <v>1876</v>
      </c>
      <c r="B9869" t="s">
        <v>377</v>
      </c>
      <c r="C9869" t="s">
        <v>280</v>
      </c>
      <c r="D9869">
        <v>9343</v>
      </c>
      <c r="E9869">
        <v>10851</v>
      </c>
      <c r="F9869">
        <v>10646</v>
      </c>
      <c r="G9869">
        <v>11021</v>
      </c>
    </row>
    <row r="9870" spans="1:7">
      <c r="A9870" t="s">
        <v>1876</v>
      </c>
      <c r="B9870" t="s">
        <v>377</v>
      </c>
      <c r="C9870" t="s">
        <v>281</v>
      </c>
      <c r="D9870">
        <v>15091</v>
      </c>
      <c r="E9870">
        <v>17148</v>
      </c>
      <c r="F9870">
        <v>16918</v>
      </c>
      <c r="G9870">
        <v>16960</v>
      </c>
    </row>
    <row r="9871" spans="1:7">
      <c r="A9871" t="s">
        <v>1876</v>
      </c>
      <c r="B9871" t="s">
        <v>377</v>
      </c>
      <c r="C9871" t="s">
        <v>282</v>
      </c>
      <c r="D9871">
        <v>15091</v>
      </c>
      <c r="E9871">
        <v>17148</v>
      </c>
      <c r="F9871">
        <v>16918</v>
      </c>
      <c r="G9871">
        <v>16960</v>
      </c>
    </row>
    <row r="9872" spans="1:7">
      <c r="A9872" t="s">
        <v>1876</v>
      </c>
      <c r="B9872" t="s">
        <v>377</v>
      </c>
      <c r="C9872" t="s">
        <v>283</v>
      </c>
      <c r="D9872">
        <v>0</v>
      </c>
      <c r="E9872">
        <v>0</v>
      </c>
      <c r="F9872">
        <v>0</v>
      </c>
      <c r="G9872">
        <v>0</v>
      </c>
    </row>
    <row r="9873" spans="1:7">
      <c r="A9873" t="s">
        <v>1876</v>
      </c>
      <c r="B9873" t="s">
        <v>377</v>
      </c>
      <c r="C9873" t="s">
        <v>284</v>
      </c>
      <c r="D9873">
        <v>0</v>
      </c>
      <c r="E9873">
        <v>0</v>
      </c>
      <c r="F9873">
        <v>0</v>
      </c>
      <c r="G9873">
        <v>0</v>
      </c>
    </row>
    <row r="9874" spans="1:7">
      <c r="A9874" t="s">
        <v>1876</v>
      </c>
      <c r="B9874" t="s">
        <v>377</v>
      </c>
      <c r="C9874" t="s">
        <v>1716</v>
      </c>
      <c r="D9874">
        <v>6060</v>
      </c>
      <c r="E9874">
        <v>6112</v>
      </c>
      <c r="F9874">
        <v>6302</v>
      </c>
      <c r="G9874">
        <v>6465</v>
      </c>
    </row>
    <row r="9875" spans="1:7">
      <c r="A9875" t="s">
        <v>1876</v>
      </c>
      <c r="B9875" t="s">
        <v>377</v>
      </c>
      <c r="C9875" t="s">
        <v>1717</v>
      </c>
      <c r="D9875">
        <v>2480</v>
      </c>
      <c r="E9875">
        <v>2595</v>
      </c>
      <c r="F9875">
        <v>2537</v>
      </c>
      <c r="G9875">
        <v>2532</v>
      </c>
    </row>
    <row r="9876" spans="1:7">
      <c r="A9876" t="s">
        <v>1876</v>
      </c>
      <c r="B9876" t="s">
        <v>377</v>
      </c>
      <c r="C9876" t="s">
        <v>1718</v>
      </c>
      <c r="D9876">
        <v>18143</v>
      </c>
      <c r="E9876">
        <v>17570</v>
      </c>
      <c r="F9876">
        <v>17909</v>
      </c>
      <c r="G9876">
        <v>15935</v>
      </c>
    </row>
    <row r="9877" spans="1:7">
      <c r="A9877" t="s">
        <v>1876</v>
      </c>
      <c r="B9877" t="s">
        <v>377</v>
      </c>
      <c r="C9877" t="s">
        <v>1719</v>
      </c>
      <c r="D9877">
        <v>944</v>
      </c>
      <c r="E9877">
        <v>944</v>
      </c>
      <c r="F9877">
        <v>947</v>
      </c>
      <c r="G9877">
        <v>946</v>
      </c>
    </row>
    <row r="9878" spans="1:7">
      <c r="A9878" t="s">
        <v>1876</v>
      </c>
      <c r="B9878" t="s">
        <v>377</v>
      </c>
      <c r="C9878" t="s">
        <v>1720</v>
      </c>
      <c r="D9878">
        <v>3272</v>
      </c>
      <c r="E9878">
        <v>3442</v>
      </c>
      <c r="F9878">
        <v>3440</v>
      </c>
      <c r="G9878">
        <v>3356</v>
      </c>
    </row>
    <row r="9879" spans="1:7">
      <c r="A9879" t="s">
        <v>1876</v>
      </c>
      <c r="B9879" t="s">
        <v>377</v>
      </c>
      <c r="C9879" t="s">
        <v>1721</v>
      </c>
      <c r="D9879">
        <v>8522</v>
      </c>
      <c r="E9879">
        <v>10695</v>
      </c>
      <c r="F9879">
        <v>9338</v>
      </c>
      <c r="G9879">
        <v>8987</v>
      </c>
    </row>
    <row r="9880" spans="1:7">
      <c r="A9880" t="s">
        <v>1876</v>
      </c>
      <c r="B9880" t="s">
        <v>377</v>
      </c>
      <c r="C9880" t="s">
        <v>285</v>
      </c>
      <c r="D9880">
        <v>38477</v>
      </c>
      <c r="E9880">
        <v>40414</v>
      </c>
      <c r="F9880">
        <v>39526</v>
      </c>
      <c r="G9880">
        <v>37275</v>
      </c>
    </row>
    <row r="9881" spans="1:7">
      <c r="A9881" t="s">
        <v>1876</v>
      </c>
      <c r="B9881" t="s">
        <v>377</v>
      </c>
      <c r="C9881" t="s">
        <v>1951</v>
      </c>
      <c r="D9881">
        <v>13.2</v>
      </c>
      <c r="E9881">
        <v>13.6</v>
      </c>
      <c r="F9881">
        <v>13.4</v>
      </c>
      <c r="G9881">
        <v>12.5</v>
      </c>
    </row>
    <row r="9882" spans="1:7">
      <c r="A9882" t="s">
        <v>1876</v>
      </c>
      <c r="B9882" t="s">
        <v>377</v>
      </c>
      <c r="C9882" t="s">
        <v>286</v>
      </c>
      <c r="D9882">
        <v>0</v>
      </c>
      <c r="E9882">
        <v>0</v>
      </c>
      <c r="F9882">
        <v>0</v>
      </c>
      <c r="G9882">
        <v>0</v>
      </c>
    </row>
    <row r="9883" spans="1:7">
      <c r="A9883" t="s">
        <v>1876</v>
      </c>
      <c r="B9883" t="s">
        <v>377</v>
      </c>
      <c r="C9883" t="s">
        <v>287</v>
      </c>
      <c r="D9883">
        <v>1069</v>
      </c>
      <c r="E9883">
        <v>1095</v>
      </c>
      <c r="F9883">
        <v>909</v>
      </c>
      <c r="G9883">
        <v>984</v>
      </c>
    </row>
    <row r="9884" spans="1:7">
      <c r="A9884" t="s">
        <v>1876</v>
      </c>
      <c r="B9884" t="s">
        <v>377</v>
      </c>
      <c r="C9884" t="s">
        <v>288</v>
      </c>
      <c r="D9884">
        <v>174</v>
      </c>
      <c r="E9884">
        <v>1219</v>
      </c>
      <c r="F9884">
        <v>335</v>
      </c>
      <c r="G9884">
        <v>76</v>
      </c>
    </row>
    <row r="9885" spans="1:7">
      <c r="A9885" t="s">
        <v>1876</v>
      </c>
      <c r="B9885" t="s">
        <v>377</v>
      </c>
      <c r="C9885" t="s">
        <v>289</v>
      </c>
      <c r="D9885">
        <v>159</v>
      </c>
      <c r="E9885">
        <v>163</v>
      </c>
      <c r="F9885">
        <v>136</v>
      </c>
      <c r="G9885">
        <v>147</v>
      </c>
    </row>
    <row r="9886" spans="1:7">
      <c r="A9886" t="s">
        <v>1876</v>
      </c>
      <c r="B9886" t="s">
        <v>377</v>
      </c>
      <c r="C9886" t="s">
        <v>290</v>
      </c>
      <c r="D9886">
        <v>1402</v>
      </c>
      <c r="E9886">
        <v>2477</v>
      </c>
      <c r="F9886">
        <v>1380</v>
      </c>
      <c r="G9886">
        <v>1207</v>
      </c>
    </row>
    <row r="9887" spans="1:7">
      <c r="A9887" t="s">
        <v>1876</v>
      </c>
      <c r="B9887" t="s">
        <v>377</v>
      </c>
      <c r="C9887" t="s">
        <v>291</v>
      </c>
      <c r="D9887">
        <v>1228</v>
      </c>
      <c r="E9887">
        <v>1258</v>
      </c>
      <c r="F9887">
        <v>1045</v>
      </c>
      <c r="G9887">
        <v>1131</v>
      </c>
    </row>
    <row r="9888" spans="1:7">
      <c r="A9888" t="s">
        <v>1876</v>
      </c>
      <c r="B9888" t="s">
        <v>377</v>
      </c>
      <c r="C9888" t="s">
        <v>292</v>
      </c>
      <c r="D9888">
        <v>0</v>
      </c>
      <c r="E9888">
        <v>0</v>
      </c>
      <c r="F9888">
        <v>0</v>
      </c>
      <c r="G9888">
        <v>0</v>
      </c>
    </row>
    <row r="9889" spans="1:7">
      <c r="A9889" t="s">
        <v>1876</v>
      </c>
      <c r="B9889" t="s">
        <v>377</v>
      </c>
      <c r="C9889" t="s">
        <v>293</v>
      </c>
      <c r="D9889">
        <v>0</v>
      </c>
      <c r="E9889">
        <v>0</v>
      </c>
      <c r="F9889">
        <v>0</v>
      </c>
      <c r="G9889">
        <v>0</v>
      </c>
    </row>
    <row r="9890" spans="1:7">
      <c r="A9890" t="s">
        <v>1876</v>
      </c>
      <c r="B9890" t="s">
        <v>377</v>
      </c>
      <c r="C9890" t="s">
        <v>294</v>
      </c>
      <c r="D9890">
        <v>0</v>
      </c>
      <c r="E9890">
        <v>0</v>
      </c>
      <c r="F9890">
        <v>0</v>
      </c>
      <c r="G9890">
        <v>0</v>
      </c>
    </row>
    <row r="9891" spans="1:7">
      <c r="A9891" t="s">
        <v>1876</v>
      </c>
      <c r="B9891" t="s">
        <v>377</v>
      </c>
      <c r="C9891" t="s">
        <v>295</v>
      </c>
      <c r="D9891">
        <v>0</v>
      </c>
      <c r="E9891">
        <v>0</v>
      </c>
      <c r="F9891">
        <v>0</v>
      </c>
      <c r="G9891">
        <v>0</v>
      </c>
    </row>
    <row r="9892" spans="1:7">
      <c r="A9892" t="s">
        <v>1876</v>
      </c>
      <c r="B9892" t="s">
        <v>377</v>
      </c>
      <c r="C9892" t="s">
        <v>296</v>
      </c>
      <c r="D9892">
        <v>0</v>
      </c>
      <c r="E9892">
        <v>0</v>
      </c>
      <c r="F9892">
        <v>0</v>
      </c>
      <c r="G9892">
        <v>0</v>
      </c>
    </row>
    <row r="9893" spans="1:7">
      <c r="A9893" t="s">
        <v>1876</v>
      </c>
      <c r="B9893" t="s">
        <v>377</v>
      </c>
      <c r="C9893" t="s">
        <v>297</v>
      </c>
      <c r="D9893">
        <v>0</v>
      </c>
      <c r="E9893">
        <v>0</v>
      </c>
      <c r="F9893">
        <v>0</v>
      </c>
      <c r="G9893">
        <v>0</v>
      </c>
    </row>
    <row r="9894" spans="1:7">
      <c r="A9894" t="s">
        <v>1876</v>
      </c>
      <c r="B9894" t="s">
        <v>377</v>
      </c>
      <c r="C9894" t="s">
        <v>1952</v>
      </c>
      <c r="D9894">
        <v>0</v>
      </c>
      <c r="E9894">
        <v>0</v>
      </c>
      <c r="F9894">
        <v>0</v>
      </c>
      <c r="G9894">
        <v>0</v>
      </c>
    </row>
    <row r="9895" spans="1:7">
      <c r="A9895" t="s">
        <v>1876</v>
      </c>
      <c r="B9895" t="s">
        <v>377</v>
      </c>
      <c r="C9895" t="s">
        <v>298</v>
      </c>
      <c r="D9895">
        <v>18</v>
      </c>
      <c r="E9895">
        <v>117</v>
      </c>
      <c r="F9895">
        <v>117</v>
      </c>
      <c r="G9895">
        <v>102</v>
      </c>
    </row>
    <row r="9896" spans="1:7">
      <c r="A9896" t="s">
        <v>1876</v>
      </c>
      <c r="B9896" t="s">
        <v>377</v>
      </c>
      <c r="C9896" t="s">
        <v>299</v>
      </c>
      <c r="D9896">
        <v>247</v>
      </c>
      <c r="E9896">
        <v>324</v>
      </c>
      <c r="F9896">
        <v>360</v>
      </c>
      <c r="G9896">
        <v>383</v>
      </c>
    </row>
    <row r="9897" spans="1:7">
      <c r="A9897" t="s">
        <v>1876</v>
      </c>
      <c r="B9897" t="s">
        <v>377</v>
      </c>
      <c r="C9897" t="s">
        <v>300</v>
      </c>
      <c r="D9897">
        <v>13</v>
      </c>
      <c r="E9897">
        <v>13</v>
      </c>
      <c r="F9897">
        <v>11</v>
      </c>
      <c r="G9897">
        <v>12</v>
      </c>
    </row>
    <row r="9898" spans="1:7">
      <c r="A9898" t="s">
        <v>1876</v>
      </c>
      <c r="B9898" t="s">
        <v>377</v>
      </c>
      <c r="C9898" t="s">
        <v>1722</v>
      </c>
      <c r="D9898">
        <v>2</v>
      </c>
      <c r="E9898">
        <v>2</v>
      </c>
      <c r="F9898">
        <v>2</v>
      </c>
      <c r="G9898">
        <v>2</v>
      </c>
    </row>
    <row r="9899" spans="1:7">
      <c r="A9899" t="s">
        <v>1876</v>
      </c>
      <c r="B9899" t="s">
        <v>377</v>
      </c>
      <c r="C9899" t="s">
        <v>301</v>
      </c>
      <c r="D9899">
        <v>36</v>
      </c>
      <c r="E9899">
        <v>39</v>
      </c>
      <c r="F9899">
        <v>40</v>
      </c>
      <c r="G9899">
        <v>41</v>
      </c>
    </row>
    <row r="9900" spans="1:7">
      <c r="A9900" t="s">
        <v>1876</v>
      </c>
      <c r="B9900" t="s">
        <v>377</v>
      </c>
      <c r="C9900" t="s">
        <v>302</v>
      </c>
      <c r="D9900">
        <v>447</v>
      </c>
      <c r="E9900">
        <v>530</v>
      </c>
      <c r="F9900">
        <v>692</v>
      </c>
      <c r="G9900">
        <v>880</v>
      </c>
    </row>
    <row r="9901" spans="1:7">
      <c r="A9901" t="s">
        <v>1876</v>
      </c>
      <c r="B9901" t="s">
        <v>377</v>
      </c>
      <c r="C9901" t="s">
        <v>303</v>
      </c>
      <c r="D9901">
        <v>744</v>
      </c>
      <c r="E9901">
        <v>905</v>
      </c>
      <c r="F9901">
        <v>1103</v>
      </c>
      <c r="G9901">
        <v>1317</v>
      </c>
    </row>
    <row r="9902" spans="1:7">
      <c r="A9902" t="s">
        <v>1876</v>
      </c>
      <c r="B9902" t="s">
        <v>377</v>
      </c>
      <c r="C9902" t="s">
        <v>304</v>
      </c>
      <c r="D9902">
        <v>731</v>
      </c>
      <c r="E9902">
        <v>892</v>
      </c>
      <c r="F9902">
        <v>1092</v>
      </c>
      <c r="G9902">
        <v>1305</v>
      </c>
    </row>
    <row r="9903" spans="1:7">
      <c r="A9903" t="s">
        <v>1876</v>
      </c>
      <c r="B9903" t="s">
        <v>377</v>
      </c>
      <c r="C9903" t="s">
        <v>1953</v>
      </c>
      <c r="D9903">
        <v>17.5</v>
      </c>
      <c r="E9903">
        <v>18.600000000000001</v>
      </c>
      <c r="F9903">
        <v>15.7</v>
      </c>
      <c r="G9903">
        <v>16.600000000000001</v>
      </c>
    </row>
    <row r="9904" spans="1:7">
      <c r="A9904" t="s">
        <v>1876</v>
      </c>
      <c r="B9904" t="s">
        <v>377</v>
      </c>
      <c r="C9904" t="s">
        <v>305</v>
      </c>
      <c r="D9904">
        <v>98846</v>
      </c>
      <c r="E9904">
        <v>100372</v>
      </c>
      <c r="F9904">
        <v>102296</v>
      </c>
      <c r="G9904">
        <v>104316</v>
      </c>
    </row>
    <row r="9905" spans="1:7">
      <c r="A9905" t="s">
        <v>1876</v>
      </c>
      <c r="B9905" t="s">
        <v>377</v>
      </c>
      <c r="C9905" t="s">
        <v>306</v>
      </c>
      <c r="D9905">
        <v>71.2</v>
      </c>
      <c r="E9905">
        <v>71.900000000000006</v>
      </c>
      <c r="F9905">
        <v>73</v>
      </c>
      <c r="G9905">
        <v>74.099999999999994</v>
      </c>
    </row>
    <row r="9906" spans="1:7">
      <c r="A9906" t="s">
        <v>1876</v>
      </c>
      <c r="B9906" t="s">
        <v>377</v>
      </c>
      <c r="C9906" t="s">
        <v>307</v>
      </c>
      <c r="D9906">
        <v>64207</v>
      </c>
      <c r="E9906">
        <v>64504</v>
      </c>
      <c r="F9906">
        <v>63678</v>
      </c>
      <c r="G9906">
        <v>63218</v>
      </c>
    </row>
    <row r="9907" spans="1:7">
      <c r="A9907" t="s">
        <v>1876</v>
      </c>
      <c r="B9907" t="s">
        <v>377</v>
      </c>
      <c r="C9907" t="s">
        <v>308</v>
      </c>
      <c r="D9907">
        <v>46.3</v>
      </c>
      <c r="E9907">
        <v>46.2</v>
      </c>
      <c r="F9907">
        <v>45.4</v>
      </c>
      <c r="G9907">
        <v>44.9</v>
      </c>
    </row>
    <row r="9908" spans="1:7">
      <c r="A9908" t="s">
        <v>1876</v>
      </c>
      <c r="B9908" t="s">
        <v>377</v>
      </c>
      <c r="C9908" t="s">
        <v>309</v>
      </c>
      <c r="D9908">
        <v>157828</v>
      </c>
      <c r="E9908">
        <v>172284</v>
      </c>
      <c r="F9908">
        <v>151813</v>
      </c>
      <c r="G9908">
        <v>152741</v>
      </c>
    </row>
    <row r="9909" spans="1:7">
      <c r="A9909" t="s">
        <v>1876</v>
      </c>
      <c r="B9909" t="s">
        <v>377</v>
      </c>
      <c r="C9909" t="s">
        <v>310</v>
      </c>
      <c r="D9909">
        <v>38090</v>
      </c>
      <c r="E9909">
        <v>38612</v>
      </c>
      <c r="F9909">
        <v>37929</v>
      </c>
      <c r="G9909">
        <v>38397</v>
      </c>
    </row>
    <row r="9910" spans="1:7">
      <c r="A9910" t="s">
        <v>1876</v>
      </c>
      <c r="B9910" t="s">
        <v>377</v>
      </c>
      <c r="C9910" t="s">
        <v>311</v>
      </c>
      <c r="D9910">
        <v>27.4</v>
      </c>
      <c r="E9910">
        <v>27.6</v>
      </c>
      <c r="F9910">
        <v>27.1</v>
      </c>
      <c r="G9910">
        <v>27.3</v>
      </c>
    </row>
    <row r="9911" spans="1:7">
      <c r="A9911" t="s">
        <v>1876</v>
      </c>
      <c r="B9911" t="s">
        <v>377</v>
      </c>
      <c r="C9911" t="s">
        <v>312</v>
      </c>
      <c r="D9911">
        <v>91458</v>
      </c>
      <c r="E9911">
        <v>94504</v>
      </c>
      <c r="F9911">
        <v>90718</v>
      </c>
      <c r="G9911">
        <v>91836</v>
      </c>
    </row>
    <row r="9912" spans="1:7">
      <c r="A9912" t="s">
        <v>1876</v>
      </c>
      <c r="B9912" t="s">
        <v>377</v>
      </c>
      <c r="C9912" t="s">
        <v>313</v>
      </c>
      <c r="D9912">
        <v>65.900000000000006</v>
      </c>
      <c r="E9912">
        <v>67.7</v>
      </c>
      <c r="F9912">
        <v>64.7</v>
      </c>
      <c r="G9912">
        <v>65.2</v>
      </c>
    </row>
    <row r="9913" spans="1:7">
      <c r="A9913" t="s">
        <v>1876</v>
      </c>
      <c r="B9913" t="s">
        <v>377</v>
      </c>
      <c r="C9913" t="s">
        <v>314</v>
      </c>
      <c r="D9913">
        <v>292601</v>
      </c>
      <c r="E9913">
        <v>297991</v>
      </c>
      <c r="F9913">
        <v>294621</v>
      </c>
      <c r="G9913">
        <v>297767</v>
      </c>
    </row>
    <row r="9914" spans="1:7">
      <c r="A9914" t="s">
        <v>1876</v>
      </c>
      <c r="B9914" t="s">
        <v>377</v>
      </c>
      <c r="C9914" t="s">
        <v>315</v>
      </c>
      <c r="D9914">
        <v>3.24</v>
      </c>
      <c r="E9914">
        <v>3.25</v>
      </c>
      <c r="F9914">
        <v>3.15</v>
      </c>
      <c r="G9914">
        <v>3.14</v>
      </c>
    </row>
    <row r="9915" spans="1:7">
      <c r="A9915" t="s">
        <v>1876</v>
      </c>
      <c r="B9915" t="s">
        <v>377</v>
      </c>
      <c r="C9915" t="s">
        <v>316</v>
      </c>
      <c r="D9915">
        <v>210.8</v>
      </c>
      <c r="E9915">
        <v>213.4</v>
      </c>
      <c r="F9915">
        <v>210.2</v>
      </c>
      <c r="G9915">
        <v>211.4</v>
      </c>
    </row>
    <row r="9916" spans="1:7">
      <c r="A9916" t="s">
        <v>1876</v>
      </c>
      <c r="B9916" t="s">
        <v>377</v>
      </c>
      <c r="C9916" t="s">
        <v>317</v>
      </c>
      <c r="D9916">
        <v>292601</v>
      </c>
      <c r="E9916">
        <v>297991</v>
      </c>
      <c r="F9916">
        <v>294621</v>
      </c>
      <c r="G9916">
        <v>297767</v>
      </c>
    </row>
    <row r="9917" spans="1:7">
      <c r="A9917" t="s">
        <v>1876</v>
      </c>
      <c r="B9917" t="s">
        <v>377</v>
      </c>
      <c r="C9917" t="s">
        <v>318</v>
      </c>
      <c r="D9917">
        <v>98846</v>
      </c>
      <c r="E9917">
        <v>100372</v>
      </c>
      <c r="F9917">
        <v>102296</v>
      </c>
      <c r="G9917">
        <v>104316</v>
      </c>
    </row>
    <row r="9918" spans="1:7">
      <c r="A9918" t="s">
        <v>1876</v>
      </c>
      <c r="B9918" t="s">
        <v>377</v>
      </c>
      <c r="C9918" t="s">
        <v>319</v>
      </c>
      <c r="D9918">
        <v>38966</v>
      </c>
      <c r="E9918">
        <v>39569</v>
      </c>
      <c r="F9918">
        <v>39680</v>
      </c>
      <c r="G9918">
        <v>38690</v>
      </c>
    </row>
    <row r="9919" spans="1:7">
      <c r="A9919" t="s">
        <v>1876</v>
      </c>
      <c r="B9919" t="s">
        <v>377</v>
      </c>
      <c r="C9919" t="s">
        <v>320</v>
      </c>
      <c r="D9919">
        <v>26235</v>
      </c>
      <c r="E9919">
        <v>26860</v>
      </c>
      <c r="F9919">
        <v>26520</v>
      </c>
      <c r="G9919">
        <v>26678</v>
      </c>
    </row>
    <row r="9920" spans="1:7">
      <c r="A9920" t="s">
        <v>1876</v>
      </c>
      <c r="B9920" t="s">
        <v>377</v>
      </c>
      <c r="C9920" t="s">
        <v>321</v>
      </c>
      <c r="D9920">
        <v>61759</v>
      </c>
      <c r="E9920">
        <v>65151</v>
      </c>
      <c r="F9920">
        <v>63139</v>
      </c>
      <c r="G9920">
        <v>62873</v>
      </c>
    </row>
    <row r="9921" spans="1:7">
      <c r="A9921" t="s">
        <v>1876</v>
      </c>
      <c r="B9921" t="s">
        <v>377</v>
      </c>
      <c r="C9921" t="s">
        <v>1954</v>
      </c>
      <c r="D9921">
        <v>225806</v>
      </c>
      <c r="E9921">
        <v>231952</v>
      </c>
      <c r="F9921">
        <v>231634</v>
      </c>
      <c r="G9921">
        <v>232558</v>
      </c>
    </row>
    <row r="9922" spans="1:7">
      <c r="A9922" t="s">
        <v>1876</v>
      </c>
      <c r="B9922" t="s">
        <v>377</v>
      </c>
      <c r="C9922" t="s">
        <v>323</v>
      </c>
      <c r="D9922">
        <v>1388</v>
      </c>
      <c r="E9922">
        <v>1397</v>
      </c>
      <c r="F9922">
        <v>1402</v>
      </c>
      <c r="G9922">
        <v>1409</v>
      </c>
    </row>
    <row r="9923" spans="1:7">
      <c r="A9923" t="s">
        <v>1876</v>
      </c>
      <c r="B9923" t="s">
        <v>377</v>
      </c>
      <c r="C9923" t="s">
        <v>324</v>
      </c>
      <c r="D9923">
        <v>0</v>
      </c>
      <c r="E9923">
        <v>0</v>
      </c>
      <c r="F9923">
        <v>0</v>
      </c>
      <c r="G9923">
        <v>0</v>
      </c>
    </row>
    <row r="9924" spans="1:7">
      <c r="A9924" t="s">
        <v>1876</v>
      </c>
      <c r="B9924" t="s">
        <v>377</v>
      </c>
      <c r="C9924" t="s">
        <v>325</v>
      </c>
      <c r="D9924">
        <v>0</v>
      </c>
      <c r="E9924">
        <v>0</v>
      </c>
      <c r="F9924">
        <v>0</v>
      </c>
      <c r="G9924">
        <v>0</v>
      </c>
    </row>
    <row r="9925" spans="1:7">
      <c r="A9925" t="s">
        <v>1876</v>
      </c>
      <c r="B9925" t="s">
        <v>377</v>
      </c>
      <c r="C9925" t="s">
        <v>326</v>
      </c>
      <c r="D9925">
        <v>1549</v>
      </c>
      <c r="E9925">
        <v>1549</v>
      </c>
      <c r="F9925">
        <v>1549</v>
      </c>
      <c r="G9925">
        <v>1549</v>
      </c>
    </row>
    <row r="9926" spans="1:7">
      <c r="A9926" t="s">
        <v>1876</v>
      </c>
      <c r="B9926" t="s">
        <v>377</v>
      </c>
      <c r="C9926" t="s">
        <v>327</v>
      </c>
      <c r="D9926">
        <v>11094</v>
      </c>
      <c r="E9926">
        <v>10088</v>
      </c>
      <c r="F9926">
        <v>9303</v>
      </c>
      <c r="G9926">
        <v>7817</v>
      </c>
    </row>
    <row r="9927" spans="1:7">
      <c r="A9927" t="s">
        <v>1876</v>
      </c>
      <c r="B9927" t="s">
        <v>377</v>
      </c>
      <c r="C9927" t="s">
        <v>1723</v>
      </c>
      <c r="D9927">
        <v>195</v>
      </c>
      <c r="E9927">
        <v>195</v>
      </c>
      <c r="F9927">
        <v>195</v>
      </c>
      <c r="G9927">
        <v>195</v>
      </c>
    </row>
    <row r="9928" spans="1:7">
      <c r="A9928" t="s">
        <v>1876</v>
      </c>
      <c r="B9928" t="s">
        <v>377</v>
      </c>
      <c r="C9928" t="s">
        <v>328</v>
      </c>
      <c r="D9928">
        <v>2068</v>
      </c>
      <c r="E9928">
        <v>2475</v>
      </c>
      <c r="F9928">
        <v>2475</v>
      </c>
      <c r="G9928">
        <v>2475</v>
      </c>
    </row>
    <row r="9929" spans="1:7">
      <c r="A9929" t="s">
        <v>1876</v>
      </c>
      <c r="B9929" t="s">
        <v>377</v>
      </c>
      <c r="C9929" t="s">
        <v>329</v>
      </c>
      <c r="D9929">
        <v>8046</v>
      </c>
      <c r="E9929">
        <v>10137</v>
      </c>
      <c r="F9929">
        <v>8617</v>
      </c>
      <c r="G9929">
        <v>8078</v>
      </c>
    </row>
    <row r="9930" spans="1:7">
      <c r="A9930" t="s">
        <v>1876</v>
      </c>
      <c r="B9930" t="s">
        <v>377</v>
      </c>
      <c r="C9930" t="s">
        <v>330</v>
      </c>
      <c r="D9930">
        <v>22756</v>
      </c>
      <c r="E9930">
        <v>24248</v>
      </c>
      <c r="F9930">
        <v>21943</v>
      </c>
      <c r="G9930">
        <v>19919</v>
      </c>
    </row>
    <row r="9931" spans="1:7">
      <c r="A9931" t="s">
        <v>1876</v>
      </c>
      <c r="B9931" t="s">
        <v>377</v>
      </c>
      <c r="C9931" t="s">
        <v>331</v>
      </c>
      <c r="D9931">
        <v>564</v>
      </c>
      <c r="E9931">
        <v>598</v>
      </c>
      <c r="F9931">
        <v>504</v>
      </c>
      <c r="G9931">
        <v>475</v>
      </c>
    </row>
    <row r="9932" spans="1:7">
      <c r="A9932" t="s">
        <v>1876</v>
      </c>
      <c r="B9932" t="s">
        <v>377</v>
      </c>
      <c r="C9932" t="s">
        <v>332</v>
      </c>
      <c r="D9932">
        <v>1819</v>
      </c>
      <c r="E9932">
        <v>1725</v>
      </c>
      <c r="F9932">
        <v>1760</v>
      </c>
      <c r="G9932">
        <v>1773</v>
      </c>
    </row>
    <row r="9933" spans="1:7">
      <c r="A9933" t="s">
        <v>1876</v>
      </c>
      <c r="B9933" t="s">
        <v>377</v>
      </c>
      <c r="C9933" t="s">
        <v>1724</v>
      </c>
      <c r="D9933">
        <v>31</v>
      </c>
      <c r="E9933">
        <v>31</v>
      </c>
      <c r="F9933">
        <v>31</v>
      </c>
      <c r="G9933">
        <v>31</v>
      </c>
    </row>
    <row r="9934" spans="1:7">
      <c r="A9934" t="s">
        <v>1876</v>
      </c>
      <c r="B9934" t="s">
        <v>377</v>
      </c>
      <c r="C9934" t="s">
        <v>333</v>
      </c>
      <c r="D9934">
        <v>1092</v>
      </c>
      <c r="E9934">
        <v>850</v>
      </c>
      <c r="F9934">
        <v>843</v>
      </c>
      <c r="G9934">
        <v>759</v>
      </c>
    </row>
    <row r="9935" spans="1:7">
      <c r="A9935" t="s">
        <v>1876</v>
      </c>
      <c r="B9935" t="s">
        <v>377</v>
      </c>
      <c r="C9935" t="s">
        <v>334</v>
      </c>
      <c r="D9935">
        <v>3475</v>
      </c>
      <c r="E9935">
        <v>3172</v>
      </c>
      <c r="F9935">
        <v>3107</v>
      </c>
      <c r="G9935">
        <v>3007</v>
      </c>
    </row>
    <row r="9936" spans="1:7">
      <c r="A9936" t="s">
        <v>1876</v>
      </c>
      <c r="B9936" t="s">
        <v>377</v>
      </c>
      <c r="C9936" t="s">
        <v>335</v>
      </c>
      <c r="D9936">
        <v>2113</v>
      </c>
      <c r="E9936">
        <v>2147</v>
      </c>
      <c r="F9936">
        <v>2052</v>
      </c>
      <c r="G9936">
        <v>2024</v>
      </c>
    </row>
    <row r="9937" spans="1:7">
      <c r="A9937" t="s">
        <v>1876</v>
      </c>
      <c r="B9937" t="s">
        <v>377</v>
      </c>
      <c r="C9937" t="s">
        <v>336</v>
      </c>
      <c r="D9937">
        <v>12913</v>
      </c>
      <c r="E9937">
        <v>11812</v>
      </c>
      <c r="F9937">
        <v>11063</v>
      </c>
      <c r="G9937">
        <v>9590</v>
      </c>
    </row>
    <row r="9938" spans="1:7">
      <c r="A9938" t="s">
        <v>1876</v>
      </c>
      <c r="B9938" t="s">
        <v>377</v>
      </c>
      <c r="C9938" t="s">
        <v>337</v>
      </c>
      <c r="D9938">
        <v>3160</v>
      </c>
      <c r="E9938">
        <v>3324</v>
      </c>
      <c r="F9938">
        <v>3318</v>
      </c>
      <c r="G9938">
        <v>3234</v>
      </c>
    </row>
    <row r="9939" spans="1:7">
      <c r="A9939" t="s">
        <v>1876</v>
      </c>
      <c r="B9939" t="s">
        <v>377</v>
      </c>
      <c r="C9939" t="s">
        <v>338</v>
      </c>
      <c r="D9939">
        <v>26231</v>
      </c>
      <c r="E9939">
        <v>27420</v>
      </c>
      <c r="F9939">
        <v>25050</v>
      </c>
      <c r="G9939">
        <v>22926</v>
      </c>
    </row>
    <row r="9940" spans="1:7">
      <c r="A9940" t="s">
        <v>1876</v>
      </c>
      <c r="B9940" t="s">
        <v>377</v>
      </c>
      <c r="C9940" t="s">
        <v>339</v>
      </c>
      <c r="D9940">
        <v>13319</v>
      </c>
      <c r="E9940">
        <v>15608</v>
      </c>
      <c r="F9940">
        <v>13987</v>
      </c>
      <c r="G9940">
        <v>13335</v>
      </c>
    </row>
    <row r="9941" spans="1:7">
      <c r="A9941" t="s">
        <v>1876</v>
      </c>
      <c r="B9941" t="s">
        <v>377</v>
      </c>
      <c r="C9941" t="s">
        <v>340</v>
      </c>
      <c r="D9941">
        <v>9</v>
      </c>
      <c r="E9941">
        <v>0</v>
      </c>
      <c r="F9941">
        <v>0</v>
      </c>
      <c r="G9941">
        <v>0</v>
      </c>
    </row>
    <row r="9942" spans="1:7">
      <c r="A9942" t="s">
        <v>1876</v>
      </c>
      <c r="B9942" t="s">
        <v>377</v>
      </c>
      <c r="C9942" t="s">
        <v>1955</v>
      </c>
      <c r="D9942">
        <v>27.2</v>
      </c>
      <c r="E9942">
        <v>26</v>
      </c>
      <c r="F9942">
        <v>22.2</v>
      </c>
      <c r="G9942">
        <v>23.9</v>
      </c>
    </row>
    <row r="9943" spans="1:7">
      <c r="A9943" t="s">
        <v>1876</v>
      </c>
      <c r="B9943" t="s">
        <v>377</v>
      </c>
      <c r="C9943" t="s">
        <v>341</v>
      </c>
      <c r="D9943">
        <v>0</v>
      </c>
      <c r="E9943">
        <v>0</v>
      </c>
      <c r="F9943">
        <v>0</v>
      </c>
      <c r="G9943">
        <v>0</v>
      </c>
    </row>
    <row r="9944" spans="1:7">
      <c r="A9944" t="s">
        <v>1876</v>
      </c>
      <c r="B9944" t="s">
        <v>377</v>
      </c>
      <c r="C9944" t="s">
        <v>342</v>
      </c>
      <c r="D9944">
        <v>1720</v>
      </c>
      <c r="E9944">
        <v>1646</v>
      </c>
      <c r="F9944">
        <v>1404</v>
      </c>
      <c r="G9944">
        <v>1517</v>
      </c>
    </row>
    <row r="9945" spans="1:7">
      <c r="A9945" t="s">
        <v>1876</v>
      </c>
      <c r="B9945" t="s">
        <v>377</v>
      </c>
      <c r="C9945" t="s">
        <v>1725</v>
      </c>
      <c r="D9945">
        <v>212</v>
      </c>
      <c r="E9945">
        <v>212</v>
      </c>
      <c r="F9945">
        <v>212</v>
      </c>
      <c r="G9945">
        <v>212</v>
      </c>
    </row>
    <row r="9946" spans="1:7">
      <c r="A9946" t="s">
        <v>1876</v>
      </c>
      <c r="B9946" t="s">
        <v>377</v>
      </c>
      <c r="C9946" t="s">
        <v>343</v>
      </c>
      <c r="D9946">
        <v>0</v>
      </c>
      <c r="E9946">
        <v>0</v>
      </c>
      <c r="F9946">
        <v>0</v>
      </c>
      <c r="G9946">
        <v>0</v>
      </c>
    </row>
    <row r="9947" spans="1:7">
      <c r="A9947" t="s">
        <v>1876</v>
      </c>
      <c r="B9947" t="s">
        <v>377</v>
      </c>
      <c r="C9947" t="s">
        <v>344</v>
      </c>
      <c r="D9947">
        <v>1720</v>
      </c>
      <c r="E9947">
        <v>1646</v>
      </c>
      <c r="F9947">
        <v>1404</v>
      </c>
      <c r="G9947">
        <v>1517</v>
      </c>
    </row>
    <row r="9948" spans="1:7">
      <c r="A9948" t="s">
        <v>1876</v>
      </c>
      <c r="B9948" t="s">
        <v>377</v>
      </c>
      <c r="C9948" t="s">
        <v>345</v>
      </c>
      <c r="D9948">
        <v>0</v>
      </c>
      <c r="E9948">
        <v>0</v>
      </c>
      <c r="F9948">
        <v>0</v>
      </c>
      <c r="G9948">
        <v>0</v>
      </c>
    </row>
    <row r="9949" spans="1:7">
      <c r="A9949" t="s">
        <v>1876</v>
      </c>
      <c r="B9949" t="s">
        <v>377</v>
      </c>
      <c r="C9949" t="s">
        <v>1956</v>
      </c>
      <c r="D9949">
        <v>1819</v>
      </c>
      <c r="E9949">
        <v>1725</v>
      </c>
      <c r="F9949">
        <v>1760</v>
      </c>
      <c r="G9949">
        <v>1773</v>
      </c>
    </row>
    <row r="9950" spans="1:7">
      <c r="A9950" t="s">
        <v>1876</v>
      </c>
      <c r="B9950" t="s">
        <v>377</v>
      </c>
      <c r="C9950" t="s">
        <v>1957</v>
      </c>
      <c r="D9950">
        <v>3475</v>
      </c>
      <c r="E9950">
        <v>3172</v>
      </c>
      <c r="F9950">
        <v>3107</v>
      </c>
      <c r="G9950">
        <v>3007</v>
      </c>
    </row>
    <row r="9951" spans="1:7">
      <c r="A9951" t="s">
        <v>1876</v>
      </c>
      <c r="B9951" t="s">
        <v>377</v>
      </c>
      <c r="C9951" t="s">
        <v>346</v>
      </c>
      <c r="D9951">
        <v>381</v>
      </c>
      <c r="E9951">
        <v>421</v>
      </c>
      <c r="F9951">
        <v>341</v>
      </c>
      <c r="G9951">
        <v>455</v>
      </c>
    </row>
    <row r="9952" spans="1:7">
      <c r="A9952" t="s">
        <v>1876</v>
      </c>
      <c r="B9952" t="s">
        <v>377</v>
      </c>
      <c r="C9952" t="s">
        <v>347</v>
      </c>
      <c r="D9952">
        <v>6788</v>
      </c>
      <c r="E9952">
        <v>7065</v>
      </c>
      <c r="F9952">
        <v>6535</v>
      </c>
      <c r="G9952">
        <v>6582</v>
      </c>
    </row>
    <row r="9953" spans="1:7">
      <c r="A9953" t="s">
        <v>1876</v>
      </c>
      <c r="B9953" t="s">
        <v>378</v>
      </c>
      <c r="C9953" t="s">
        <v>133</v>
      </c>
      <c r="D9953">
        <v>-17</v>
      </c>
      <c r="E9953">
        <v>-14</v>
      </c>
      <c r="F9953">
        <v>-15</v>
      </c>
      <c r="G9953">
        <v>-24</v>
      </c>
    </row>
    <row r="9954" spans="1:7">
      <c r="A9954" t="s">
        <v>1876</v>
      </c>
      <c r="B9954" t="s">
        <v>378</v>
      </c>
      <c r="C9954" t="s">
        <v>134</v>
      </c>
      <c r="D9954">
        <v>22413</v>
      </c>
      <c r="E9954">
        <v>21132</v>
      </c>
      <c r="F9954">
        <v>24725</v>
      </c>
      <c r="G9954">
        <v>22569</v>
      </c>
    </row>
    <row r="9955" spans="1:7">
      <c r="A9955" t="s">
        <v>1876</v>
      </c>
      <c r="B9955" t="s">
        <v>378</v>
      </c>
      <c r="C9955" t="s">
        <v>135</v>
      </c>
      <c r="D9955">
        <v>22413</v>
      </c>
      <c r="E9955">
        <v>21132</v>
      </c>
      <c r="F9955">
        <v>24725</v>
      </c>
      <c r="G9955">
        <v>22569</v>
      </c>
    </row>
    <row r="9956" spans="1:7">
      <c r="A9956" t="s">
        <v>1876</v>
      </c>
      <c r="B9956" t="s">
        <v>378</v>
      </c>
      <c r="C9956" t="s">
        <v>136</v>
      </c>
      <c r="D9956">
        <v>22413</v>
      </c>
      <c r="E9956">
        <v>21132</v>
      </c>
      <c r="F9956">
        <v>24725</v>
      </c>
      <c r="G9956">
        <v>22569</v>
      </c>
    </row>
    <row r="9957" spans="1:7">
      <c r="A9957" t="s">
        <v>1876</v>
      </c>
      <c r="B9957" t="s">
        <v>378</v>
      </c>
      <c r="C9957" t="s">
        <v>137</v>
      </c>
      <c r="D9957">
        <v>297</v>
      </c>
      <c r="E9957">
        <v>307</v>
      </c>
      <c r="F9957">
        <v>292</v>
      </c>
      <c r="G9957">
        <v>314</v>
      </c>
    </row>
    <row r="9958" spans="1:7">
      <c r="A9958" t="s">
        <v>1876</v>
      </c>
      <c r="B9958" t="s">
        <v>378</v>
      </c>
      <c r="C9958" t="s">
        <v>138</v>
      </c>
      <c r="D9958">
        <v>297</v>
      </c>
      <c r="E9958">
        <v>307</v>
      </c>
      <c r="F9958">
        <v>292</v>
      </c>
      <c r="G9958">
        <v>314</v>
      </c>
    </row>
    <row r="9959" spans="1:7">
      <c r="A9959" t="s">
        <v>1876</v>
      </c>
      <c r="B9959" t="s">
        <v>378</v>
      </c>
      <c r="C9959" t="s">
        <v>139</v>
      </c>
      <c r="D9959">
        <v>297</v>
      </c>
      <c r="E9959">
        <v>307</v>
      </c>
      <c r="F9959">
        <v>292</v>
      </c>
      <c r="G9959">
        <v>314</v>
      </c>
    </row>
    <row r="9960" spans="1:7">
      <c r="A9960" t="s">
        <v>1876</v>
      </c>
      <c r="B9960" t="s">
        <v>378</v>
      </c>
      <c r="C9960" t="s">
        <v>1877</v>
      </c>
      <c r="D9960">
        <v>0</v>
      </c>
      <c r="E9960">
        <v>0</v>
      </c>
      <c r="F9960">
        <v>0</v>
      </c>
      <c r="G9960">
        <v>0</v>
      </c>
    </row>
    <row r="9961" spans="1:7">
      <c r="A9961" t="s">
        <v>1876</v>
      </c>
      <c r="B9961" t="s">
        <v>378</v>
      </c>
      <c r="C9961" t="s">
        <v>1700</v>
      </c>
      <c r="D9961">
        <v>0</v>
      </c>
      <c r="E9961">
        <v>0</v>
      </c>
      <c r="F9961">
        <v>0</v>
      </c>
      <c r="G9961">
        <v>0</v>
      </c>
    </row>
    <row r="9962" spans="1:7">
      <c r="A9962" t="s">
        <v>1876</v>
      </c>
      <c r="B9962" t="s">
        <v>378</v>
      </c>
      <c r="C9962" t="s">
        <v>1878</v>
      </c>
      <c r="D9962">
        <v>0</v>
      </c>
      <c r="E9962">
        <v>0</v>
      </c>
      <c r="F9962">
        <v>0</v>
      </c>
      <c r="G9962">
        <v>0</v>
      </c>
    </row>
    <row r="9963" spans="1:7">
      <c r="A9963" t="s">
        <v>1876</v>
      </c>
      <c r="B9963" t="s">
        <v>378</v>
      </c>
      <c r="C9963" t="s">
        <v>1879</v>
      </c>
      <c r="D9963">
        <v>0</v>
      </c>
      <c r="E9963">
        <v>0</v>
      </c>
      <c r="F9963">
        <v>0</v>
      </c>
      <c r="G9963">
        <v>0</v>
      </c>
    </row>
    <row r="9964" spans="1:7">
      <c r="A9964" t="s">
        <v>1876</v>
      </c>
      <c r="B9964" t="s">
        <v>378</v>
      </c>
      <c r="C9964" t="s">
        <v>1701</v>
      </c>
      <c r="D9964">
        <v>0</v>
      </c>
      <c r="E9964">
        <v>0</v>
      </c>
      <c r="F9964">
        <v>0</v>
      </c>
      <c r="G9964">
        <v>0</v>
      </c>
    </row>
    <row r="9965" spans="1:7">
      <c r="A9965" t="s">
        <v>1876</v>
      </c>
      <c r="B9965" t="s">
        <v>378</v>
      </c>
      <c r="C9965" t="s">
        <v>1880</v>
      </c>
      <c r="D9965">
        <v>1163</v>
      </c>
      <c r="E9965">
        <v>1039</v>
      </c>
      <c r="F9965">
        <v>1275</v>
      </c>
      <c r="G9965">
        <v>1229</v>
      </c>
    </row>
    <row r="9966" spans="1:7">
      <c r="A9966" t="s">
        <v>1876</v>
      </c>
      <c r="B9966" t="s">
        <v>378</v>
      </c>
      <c r="C9966" t="s">
        <v>140</v>
      </c>
      <c r="D9966">
        <v>2733</v>
      </c>
      <c r="E9966">
        <v>2512</v>
      </c>
      <c r="F9966">
        <v>3439</v>
      </c>
      <c r="G9966">
        <v>3503</v>
      </c>
    </row>
    <row r="9967" spans="1:7">
      <c r="A9967" t="s">
        <v>1876</v>
      </c>
      <c r="B9967" t="s">
        <v>378</v>
      </c>
      <c r="C9967" t="s">
        <v>1881</v>
      </c>
      <c r="D9967">
        <v>1570</v>
      </c>
      <c r="E9967">
        <v>1473</v>
      </c>
      <c r="F9967">
        <v>2164</v>
      </c>
      <c r="G9967">
        <v>2274</v>
      </c>
    </row>
    <row r="9968" spans="1:7">
      <c r="A9968" t="s">
        <v>1876</v>
      </c>
      <c r="B9968" t="s">
        <v>378</v>
      </c>
      <c r="C9968" t="s">
        <v>1882</v>
      </c>
      <c r="D9968">
        <v>0</v>
      </c>
      <c r="E9968">
        <v>0</v>
      </c>
      <c r="F9968">
        <v>0</v>
      </c>
      <c r="G9968">
        <v>0</v>
      </c>
    </row>
    <row r="9969" spans="1:7">
      <c r="A9969" t="s">
        <v>1876</v>
      </c>
      <c r="B9969" t="s">
        <v>378</v>
      </c>
      <c r="C9969" t="s">
        <v>1883</v>
      </c>
      <c r="D9969">
        <v>0</v>
      </c>
      <c r="E9969">
        <v>0</v>
      </c>
      <c r="F9969">
        <v>0</v>
      </c>
      <c r="G9969">
        <v>0</v>
      </c>
    </row>
    <row r="9970" spans="1:7">
      <c r="A9970" t="s">
        <v>1876</v>
      </c>
      <c r="B9970" t="s">
        <v>378</v>
      </c>
      <c r="C9970" t="s">
        <v>1884</v>
      </c>
      <c r="D9970">
        <v>0</v>
      </c>
      <c r="E9970">
        <v>0</v>
      </c>
      <c r="F9970">
        <v>0</v>
      </c>
      <c r="G9970">
        <v>0</v>
      </c>
    </row>
    <row r="9971" spans="1:7">
      <c r="A9971" t="s">
        <v>1876</v>
      </c>
      <c r="B9971" t="s">
        <v>378</v>
      </c>
      <c r="C9971" t="s">
        <v>1885</v>
      </c>
      <c r="D9971">
        <v>0</v>
      </c>
      <c r="E9971">
        <v>0</v>
      </c>
      <c r="F9971">
        <v>0</v>
      </c>
      <c r="G9971">
        <v>0</v>
      </c>
    </row>
    <row r="9972" spans="1:7">
      <c r="A9972" t="s">
        <v>1876</v>
      </c>
      <c r="B9972" t="s">
        <v>378</v>
      </c>
      <c r="C9972" t="s">
        <v>1886</v>
      </c>
      <c r="D9972">
        <v>0</v>
      </c>
      <c r="E9972">
        <v>0</v>
      </c>
      <c r="F9972">
        <v>0</v>
      </c>
      <c r="G9972">
        <v>0</v>
      </c>
    </row>
    <row r="9973" spans="1:7">
      <c r="A9973" t="s">
        <v>1876</v>
      </c>
      <c r="B9973" t="s">
        <v>378</v>
      </c>
      <c r="C9973" t="s">
        <v>141</v>
      </c>
      <c r="D9973">
        <v>0</v>
      </c>
      <c r="E9973">
        <v>0</v>
      </c>
      <c r="F9973">
        <v>0</v>
      </c>
      <c r="G9973">
        <v>0</v>
      </c>
    </row>
    <row r="9974" spans="1:7">
      <c r="A9974" t="s">
        <v>1876</v>
      </c>
      <c r="B9974" t="s">
        <v>378</v>
      </c>
      <c r="C9974" t="s">
        <v>1887</v>
      </c>
      <c r="D9974">
        <v>0</v>
      </c>
      <c r="E9974">
        <v>0</v>
      </c>
      <c r="F9974">
        <v>0</v>
      </c>
      <c r="G9974">
        <v>0</v>
      </c>
    </row>
    <row r="9975" spans="1:7">
      <c r="A9975" t="s">
        <v>1876</v>
      </c>
      <c r="B9975" t="s">
        <v>378</v>
      </c>
      <c r="C9975" t="s">
        <v>1888</v>
      </c>
      <c r="D9975">
        <v>0</v>
      </c>
      <c r="E9975">
        <v>0</v>
      </c>
      <c r="F9975">
        <v>0</v>
      </c>
      <c r="G9975">
        <v>0</v>
      </c>
    </row>
    <row r="9976" spans="1:7">
      <c r="A9976" t="s">
        <v>1876</v>
      </c>
      <c r="B9976" t="s">
        <v>378</v>
      </c>
      <c r="C9976" t="s">
        <v>1889</v>
      </c>
      <c r="D9976">
        <v>1163</v>
      </c>
      <c r="E9976">
        <v>1039</v>
      </c>
      <c r="F9976">
        <v>1275</v>
      </c>
      <c r="G9976">
        <v>1229</v>
      </c>
    </row>
    <row r="9977" spans="1:7">
      <c r="A9977" t="s">
        <v>1876</v>
      </c>
      <c r="B9977" t="s">
        <v>378</v>
      </c>
      <c r="C9977" t="s">
        <v>1890</v>
      </c>
      <c r="D9977">
        <v>0</v>
      </c>
      <c r="E9977">
        <v>0</v>
      </c>
      <c r="F9977">
        <v>0</v>
      </c>
      <c r="G9977">
        <v>0</v>
      </c>
    </row>
    <row r="9978" spans="1:7">
      <c r="A9978" t="s">
        <v>1876</v>
      </c>
      <c r="B9978" t="s">
        <v>378</v>
      </c>
      <c r="C9978" t="s">
        <v>1891</v>
      </c>
    </row>
    <row r="9979" spans="1:7">
      <c r="A9979" t="s">
        <v>1876</v>
      </c>
      <c r="B9979" t="s">
        <v>378</v>
      </c>
      <c r="C9979" t="s">
        <v>1892</v>
      </c>
      <c r="D9979">
        <v>1570</v>
      </c>
      <c r="E9979">
        <v>1473</v>
      </c>
      <c r="F9979">
        <v>2164</v>
      </c>
      <c r="G9979">
        <v>2274</v>
      </c>
    </row>
    <row r="9980" spans="1:7">
      <c r="A9980" t="s">
        <v>1876</v>
      </c>
      <c r="B9980" t="s">
        <v>378</v>
      </c>
      <c r="C9980" t="s">
        <v>142</v>
      </c>
      <c r="D9980">
        <v>2733</v>
      </c>
      <c r="E9980">
        <v>2512</v>
      </c>
      <c r="F9980">
        <v>3439</v>
      </c>
      <c r="G9980">
        <v>3503</v>
      </c>
    </row>
    <row r="9981" spans="1:7">
      <c r="A9981" t="s">
        <v>1876</v>
      </c>
      <c r="B9981" t="s">
        <v>378</v>
      </c>
      <c r="C9981" t="s">
        <v>1893</v>
      </c>
      <c r="D9981">
        <v>2733</v>
      </c>
      <c r="E9981">
        <v>2512</v>
      </c>
      <c r="F9981">
        <v>3439</v>
      </c>
      <c r="G9981">
        <v>3503</v>
      </c>
    </row>
    <row r="9982" spans="1:7">
      <c r="A9982" t="s">
        <v>1876</v>
      </c>
      <c r="B9982" t="s">
        <v>378</v>
      </c>
      <c r="C9982" t="s">
        <v>1894</v>
      </c>
      <c r="D9982">
        <v>1570</v>
      </c>
      <c r="E9982">
        <v>1473</v>
      </c>
      <c r="F9982">
        <v>2164</v>
      </c>
      <c r="G9982">
        <v>2274</v>
      </c>
    </row>
    <row r="9983" spans="1:7">
      <c r="A9983" t="s">
        <v>1876</v>
      </c>
      <c r="B9983" t="s">
        <v>378</v>
      </c>
      <c r="C9983" t="s">
        <v>143</v>
      </c>
      <c r="D9983">
        <v>0</v>
      </c>
      <c r="E9983">
        <v>0</v>
      </c>
      <c r="F9983">
        <v>0</v>
      </c>
      <c r="G9983">
        <v>0</v>
      </c>
    </row>
    <row r="9984" spans="1:7">
      <c r="A9984" t="s">
        <v>1876</v>
      </c>
      <c r="B9984" t="s">
        <v>378</v>
      </c>
      <c r="C9984" t="s">
        <v>144</v>
      </c>
      <c r="D9984">
        <v>33190</v>
      </c>
      <c r="E9984">
        <v>33091</v>
      </c>
      <c r="F9984">
        <v>35248</v>
      </c>
      <c r="G9984">
        <v>34860</v>
      </c>
    </row>
    <row r="9985" spans="1:7">
      <c r="A9985" t="s">
        <v>1876</v>
      </c>
      <c r="B9985" t="s">
        <v>378</v>
      </c>
      <c r="C9985" t="s">
        <v>1895</v>
      </c>
      <c r="D9985">
        <v>75</v>
      </c>
      <c r="E9985">
        <v>71.7</v>
      </c>
      <c r="F9985">
        <v>73.900000000000006</v>
      </c>
      <c r="G9985">
        <v>73.5</v>
      </c>
    </row>
    <row r="9986" spans="1:7">
      <c r="A9986" t="s">
        <v>1876</v>
      </c>
      <c r="B9986" t="s">
        <v>378</v>
      </c>
      <c r="C9986" t="s">
        <v>145</v>
      </c>
      <c r="D9986">
        <v>53825</v>
      </c>
      <c r="E9986">
        <v>54912</v>
      </c>
      <c r="F9986">
        <v>56096</v>
      </c>
      <c r="G9986">
        <v>55099</v>
      </c>
    </row>
    <row r="9987" spans="1:7">
      <c r="A9987" t="s">
        <v>1876</v>
      </c>
      <c r="B9987" t="s">
        <v>378</v>
      </c>
      <c r="C9987" t="s">
        <v>146</v>
      </c>
      <c r="D9987">
        <v>0</v>
      </c>
      <c r="E9987">
        <v>0</v>
      </c>
      <c r="F9987">
        <v>0</v>
      </c>
      <c r="G9987">
        <v>0</v>
      </c>
    </row>
    <row r="9988" spans="1:7">
      <c r="A9988" t="s">
        <v>1876</v>
      </c>
      <c r="B9988" t="s">
        <v>378</v>
      </c>
      <c r="C9988" t="s">
        <v>147</v>
      </c>
      <c r="D9988">
        <v>0</v>
      </c>
      <c r="E9988">
        <v>0</v>
      </c>
      <c r="F9988">
        <v>0</v>
      </c>
      <c r="G9988">
        <v>0</v>
      </c>
    </row>
    <row r="9989" spans="1:7">
      <c r="A9989" t="s">
        <v>1876</v>
      </c>
      <c r="B9989" t="s">
        <v>378</v>
      </c>
      <c r="C9989" t="s">
        <v>1896</v>
      </c>
      <c r="D9989">
        <v>18.899999999999999</v>
      </c>
      <c r="E9989">
        <v>21.8</v>
      </c>
      <c r="F9989">
        <v>15.4</v>
      </c>
      <c r="G9989">
        <v>19.600000000000001</v>
      </c>
    </row>
    <row r="9990" spans="1:7">
      <c r="A9990" t="s">
        <v>1876</v>
      </c>
      <c r="B9990" t="s">
        <v>378</v>
      </c>
      <c r="C9990" t="s">
        <v>1702</v>
      </c>
      <c r="D9990">
        <v>43</v>
      </c>
      <c r="E9990">
        <v>43</v>
      </c>
      <c r="F9990">
        <v>70</v>
      </c>
      <c r="G9990">
        <v>110</v>
      </c>
    </row>
    <row r="9991" spans="1:7">
      <c r="A9991" t="s">
        <v>1876</v>
      </c>
      <c r="B9991" t="s">
        <v>378</v>
      </c>
      <c r="C9991" t="s">
        <v>1897</v>
      </c>
      <c r="D9991">
        <v>46.2</v>
      </c>
      <c r="E9991">
        <v>73</v>
      </c>
      <c r="F9991">
        <v>129</v>
      </c>
      <c r="G9991">
        <v>167.9</v>
      </c>
    </row>
    <row r="9992" spans="1:7">
      <c r="A9992" t="s">
        <v>1876</v>
      </c>
      <c r="B9992" t="s">
        <v>378</v>
      </c>
      <c r="C9992" t="s">
        <v>1898</v>
      </c>
      <c r="D9992">
        <v>69</v>
      </c>
      <c r="E9992">
        <v>127</v>
      </c>
      <c r="F9992">
        <v>367</v>
      </c>
      <c r="G9992">
        <v>539</v>
      </c>
    </row>
    <row r="9993" spans="1:7">
      <c r="A9993" t="s">
        <v>1876</v>
      </c>
      <c r="B9993" t="s">
        <v>378</v>
      </c>
      <c r="C9993" t="s">
        <v>1899</v>
      </c>
      <c r="D9993">
        <v>1570</v>
      </c>
      <c r="E9993">
        <v>1473</v>
      </c>
      <c r="F9993">
        <v>2164</v>
      </c>
      <c r="G9993">
        <v>2274</v>
      </c>
    </row>
    <row r="9994" spans="1:7">
      <c r="A9994" t="s">
        <v>1876</v>
      </c>
      <c r="B9994" t="s">
        <v>378</v>
      </c>
      <c r="C9994" t="s">
        <v>148</v>
      </c>
      <c r="D9994">
        <v>0</v>
      </c>
      <c r="E9994">
        <v>0</v>
      </c>
      <c r="F9994">
        <v>0</v>
      </c>
      <c r="G9994">
        <v>0</v>
      </c>
    </row>
    <row r="9995" spans="1:7">
      <c r="A9995" t="s">
        <v>1876</v>
      </c>
      <c r="B9995" t="s">
        <v>378</v>
      </c>
      <c r="C9995" t="s">
        <v>149</v>
      </c>
      <c r="D9995">
        <v>0</v>
      </c>
      <c r="E9995">
        <v>0</v>
      </c>
      <c r="F9995">
        <v>0</v>
      </c>
      <c r="G9995">
        <v>0</v>
      </c>
    </row>
    <row r="9996" spans="1:7">
      <c r="A9996" t="s">
        <v>1876</v>
      </c>
      <c r="B9996" t="s">
        <v>378</v>
      </c>
      <c r="C9996" t="s">
        <v>150</v>
      </c>
      <c r="D9996">
        <v>0</v>
      </c>
      <c r="E9996">
        <v>0</v>
      </c>
      <c r="F9996">
        <v>0</v>
      </c>
      <c r="G9996">
        <v>0</v>
      </c>
    </row>
    <row r="9997" spans="1:7">
      <c r="A9997" t="s">
        <v>1876</v>
      </c>
      <c r="B9997" t="s">
        <v>378</v>
      </c>
      <c r="C9997" t="s">
        <v>1900</v>
      </c>
      <c r="D9997">
        <v>25.6</v>
      </c>
      <c r="E9997">
        <v>32.5</v>
      </c>
      <c r="F9997">
        <v>0</v>
      </c>
      <c r="G9997">
        <v>0</v>
      </c>
    </row>
    <row r="9998" spans="1:7">
      <c r="A9998" t="s">
        <v>1876</v>
      </c>
      <c r="B9998" t="s">
        <v>378</v>
      </c>
      <c r="C9998" t="s">
        <v>151</v>
      </c>
      <c r="D9998">
        <v>0</v>
      </c>
      <c r="E9998">
        <v>0</v>
      </c>
      <c r="F9998">
        <v>0</v>
      </c>
      <c r="G9998">
        <v>0</v>
      </c>
    </row>
    <row r="9999" spans="1:7">
      <c r="A9999" t="s">
        <v>1876</v>
      </c>
      <c r="B9999" t="s">
        <v>378</v>
      </c>
      <c r="C9999" t="s">
        <v>152</v>
      </c>
      <c r="D9999">
        <v>12586</v>
      </c>
      <c r="E9999">
        <v>6199</v>
      </c>
      <c r="F9999">
        <v>0</v>
      </c>
      <c r="G9999">
        <v>0</v>
      </c>
    </row>
    <row r="10000" spans="1:7">
      <c r="A10000" t="s">
        <v>1876</v>
      </c>
      <c r="B10000" t="s">
        <v>378</v>
      </c>
      <c r="C10000" t="s">
        <v>1703</v>
      </c>
      <c r="D10000">
        <v>463</v>
      </c>
      <c r="E10000">
        <v>0</v>
      </c>
      <c r="F10000">
        <v>0</v>
      </c>
      <c r="G10000">
        <v>0</v>
      </c>
    </row>
    <row r="10001" spans="1:7">
      <c r="A10001" t="s">
        <v>1876</v>
      </c>
      <c r="B10001" t="s">
        <v>378</v>
      </c>
      <c r="C10001" t="s">
        <v>153</v>
      </c>
      <c r="D10001">
        <v>0</v>
      </c>
      <c r="E10001">
        <v>0</v>
      </c>
      <c r="F10001">
        <v>0</v>
      </c>
      <c r="G10001">
        <v>0</v>
      </c>
    </row>
    <row r="10002" spans="1:7">
      <c r="A10002" t="s">
        <v>1876</v>
      </c>
      <c r="B10002" t="s">
        <v>378</v>
      </c>
      <c r="C10002" t="s">
        <v>154</v>
      </c>
      <c r="D10002">
        <v>0</v>
      </c>
      <c r="E10002">
        <v>0</v>
      </c>
      <c r="F10002">
        <v>0</v>
      </c>
      <c r="G10002">
        <v>0</v>
      </c>
    </row>
    <row r="10003" spans="1:7">
      <c r="A10003" t="s">
        <v>1876</v>
      </c>
      <c r="B10003" t="s">
        <v>378</v>
      </c>
      <c r="C10003" t="s">
        <v>155</v>
      </c>
      <c r="D10003">
        <v>0</v>
      </c>
      <c r="E10003">
        <v>0</v>
      </c>
      <c r="F10003">
        <v>0</v>
      </c>
      <c r="G10003">
        <v>0</v>
      </c>
    </row>
    <row r="10004" spans="1:7">
      <c r="A10004" t="s">
        <v>1876</v>
      </c>
      <c r="B10004" t="s">
        <v>378</v>
      </c>
      <c r="C10004" t="s">
        <v>156</v>
      </c>
      <c r="D10004">
        <v>0</v>
      </c>
      <c r="E10004">
        <v>0</v>
      </c>
      <c r="F10004">
        <v>0</v>
      </c>
      <c r="G10004">
        <v>0</v>
      </c>
    </row>
    <row r="10005" spans="1:7">
      <c r="A10005" t="s">
        <v>1876</v>
      </c>
      <c r="B10005" t="s">
        <v>378</v>
      </c>
      <c r="C10005" t="s">
        <v>157</v>
      </c>
      <c r="D10005">
        <v>12586</v>
      </c>
      <c r="E10005">
        <v>6199</v>
      </c>
      <c r="F10005">
        <v>0</v>
      </c>
      <c r="G10005">
        <v>0</v>
      </c>
    </row>
    <row r="10006" spans="1:7">
      <c r="A10006" t="s">
        <v>1876</v>
      </c>
      <c r="B10006" t="s">
        <v>378</v>
      </c>
      <c r="C10006" t="s">
        <v>158</v>
      </c>
      <c r="D10006">
        <v>0</v>
      </c>
      <c r="E10006">
        <v>0</v>
      </c>
      <c r="F10006">
        <v>0</v>
      </c>
      <c r="G10006">
        <v>0</v>
      </c>
    </row>
    <row r="10007" spans="1:7">
      <c r="A10007" t="s">
        <v>1876</v>
      </c>
      <c r="B10007" t="s">
        <v>378</v>
      </c>
      <c r="C10007" t="s">
        <v>159</v>
      </c>
      <c r="D10007">
        <v>0</v>
      </c>
      <c r="E10007">
        <v>0</v>
      </c>
      <c r="F10007">
        <v>0</v>
      </c>
      <c r="G10007">
        <v>0</v>
      </c>
    </row>
    <row r="10008" spans="1:7">
      <c r="A10008" t="s">
        <v>1876</v>
      </c>
      <c r="B10008" t="s">
        <v>378</v>
      </c>
      <c r="C10008" t="s">
        <v>1901</v>
      </c>
      <c r="D10008">
        <v>36.799999999999997</v>
      </c>
      <c r="E10008">
        <v>41</v>
      </c>
      <c r="F10008">
        <v>42.1</v>
      </c>
      <c r="G10008">
        <v>38.200000000000003</v>
      </c>
    </row>
    <row r="10009" spans="1:7">
      <c r="A10009" t="s">
        <v>1876</v>
      </c>
      <c r="B10009" t="s">
        <v>378</v>
      </c>
      <c r="C10009" t="s">
        <v>1902</v>
      </c>
      <c r="D10009">
        <v>112775</v>
      </c>
      <c r="E10009">
        <v>112190</v>
      </c>
      <c r="F10009">
        <v>112025</v>
      </c>
      <c r="G10009">
        <v>109006</v>
      </c>
    </row>
    <row r="10010" spans="1:7">
      <c r="A10010" t="s">
        <v>1876</v>
      </c>
      <c r="B10010" t="s">
        <v>378</v>
      </c>
      <c r="C10010" t="s">
        <v>1903</v>
      </c>
      <c r="D10010">
        <v>10256</v>
      </c>
      <c r="E10010">
        <v>10355</v>
      </c>
      <c r="F10010">
        <v>9765</v>
      </c>
      <c r="G10010">
        <v>9883</v>
      </c>
    </row>
    <row r="10011" spans="1:7">
      <c r="A10011" t="s">
        <v>1876</v>
      </c>
      <c r="B10011" t="s">
        <v>378</v>
      </c>
      <c r="C10011" t="s">
        <v>1904</v>
      </c>
      <c r="D10011">
        <v>225</v>
      </c>
      <c r="E10011">
        <v>853</v>
      </c>
      <c r="F10011">
        <v>258</v>
      </c>
      <c r="G10011">
        <v>181</v>
      </c>
    </row>
    <row r="10012" spans="1:7">
      <c r="A10012" t="s">
        <v>1876</v>
      </c>
      <c r="B10012" t="s">
        <v>378</v>
      </c>
      <c r="C10012" t="s">
        <v>1905</v>
      </c>
      <c r="D10012">
        <v>10633</v>
      </c>
      <c r="E10012">
        <v>10748</v>
      </c>
      <c r="F10012">
        <v>10491</v>
      </c>
      <c r="G10012">
        <v>10180</v>
      </c>
    </row>
    <row r="10013" spans="1:7">
      <c r="A10013" t="s">
        <v>1876</v>
      </c>
      <c r="B10013" t="s">
        <v>378</v>
      </c>
      <c r="C10013" t="s">
        <v>1906</v>
      </c>
      <c r="D10013">
        <v>24008</v>
      </c>
      <c r="E10013">
        <v>24555</v>
      </c>
      <c r="F10013">
        <v>23146</v>
      </c>
      <c r="G10013">
        <v>22913</v>
      </c>
    </row>
    <row r="10014" spans="1:7">
      <c r="A10014" t="s">
        <v>1876</v>
      </c>
      <c r="B10014" t="s">
        <v>378</v>
      </c>
      <c r="C10014" t="s">
        <v>1907</v>
      </c>
      <c r="D10014">
        <v>157898</v>
      </c>
      <c r="E10014">
        <v>158702</v>
      </c>
      <c r="F10014">
        <v>155685</v>
      </c>
      <c r="G10014">
        <v>152163</v>
      </c>
    </row>
    <row r="10015" spans="1:7">
      <c r="A10015" t="s">
        <v>1876</v>
      </c>
      <c r="B10015" t="s">
        <v>378</v>
      </c>
      <c r="C10015" t="s">
        <v>160</v>
      </c>
      <c r="D10015">
        <v>111205</v>
      </c>
      <c r="E10015">
        <v>110717</v>
      </c>
      <c r="F10015">
        <v>109861</v>
      </c>
      <c r="G10015">
        <v>106732</v>
      </c>
    </row>
    <row r="10016" spans="1:7">
      <c r="A10016" t="s">
        <v>1876</v>
      </c>
      <c r="B10016" t="s">
        <v>378</v>
      </c>
      <c r="C10016" t="s">
        <v>161</v>
      </c>
      <c r="D10016">
        <v>10256</v>
      </c>
      <c r="E10016">
        <v>10355</v>
      </c>
      <c r="F10016">
        <v>9765</v>
      </c>
      <c r="G10016">
        <v>9883</v>
      </c>
    </row>
    <row r="10017" spans="1:7">
      <c r="A10017" t="s">
        <v>1876</v>
      </c>
      <c r="B10017" t="s">
        <v>378</v>
      </c>
      <c r="C10017" t="s">
        <v>162</v>
      </c>
      <c r="D10017">
        <v>225</v>
      </c>
      <c r="E10017">
        <v>853</v>
      </c>
      <c r="F10017">
        <v>258</v>
      </c>
      <c r="G10017">
        <v>181</v>
      </c>
    </row>
    <row r="10018" spans="1:7">
      <c r="A10018" t="s">
        <v>1876</v>
      </c>
      <c r="B10018" t="s">
        <v>378</v>
      </c>
      <c r="C10018" t="s">
        <v>163</v>
      </c>
      <c r="D10018">
        <v>10633</v>
      </c>
      <c r="E10018">
        <v>10748</v>
      </c>
      <c r="F10018">
        <v>10491</v>
      </c>
      <c r="G10018">
        <v>10180</v>
      </c>
    </row>
    <row r="10019" spans="1:7">
      <c r="A10019" t="s">
        <v>1876</v>
      </c>
      <c r="B10019" t="s">
        <v>378</v>
      </c>
      <c r="C10019" t="s">
        <v>164</v>
      </c>
      <c r="D10019">
        <v>24008</v>
      </c>
      <c r="E10019">
        <v>24555</v>
      </c>
      <c r="F10019">
        <v>23146</v>
      </c>
      <c r="G10019">
        <v>22913</v>
      </c>
    </row>
    <row r="10020" spans="1:7">
      <c r="A10020" t="s">
        <v>1876</v>
      </c>
      <c r="B10020" t="s">
        <v>378</v>
      </c>
      <c r="C10020" t="s">
        <v>165</v>
      </c>
      <c r="D10020">
        <v>156328</v>
      </c>
      <c r="E10020">
        <v>157229</v>
      </c>
      <c r="F10020">
        <v>153521</v>
      </c>
      <c r="G10020">
        <v>149889</v>
      </c>
    </row>
    <row r="10021" spans="1:7">
      <c r="A10021" t="s">
        <v>1876</v>
      </c>
      <c r="B10021" t="s">
        <v>378</v>
      </c>
      <c r="C10021" t="s">
        <v>166</v>
      </c>
      <c r="D10021">
        <v>156103</v>
      </c>
      <c r="E10021">
        <v>156376</v>
      </c>
      <c r="F10021">
        <v>153263</v>
      </c>
      <c r="G10021">
        <v>149707</v>
      </c>
    </row>
    <row r="10022" spans="1:7">
      <c r="A10022" t="s">
        <v>1876</v>
      </c>
      <c r="B10022" t="s">
        <v>378</v>
      </c>
      <c r="C10022" t="s">
        <v>167</v>
      </c>
      <c r="D10022">
        <v>225</v>
      </c>
      <c r="E10022">
        <v>853</v>
      </c>
      <c r="F10022">
        <v>258</v>
      </c>
      <c r="G10022">
        <v>181</v>
      </c>
    </row>
    <row r="10023" spans="1:7">
      <c r="A10023" t="s">
        <v>1876</v>
      </c>
      <c r="B10023" t="s">
        <v>378</v>
      </c>
      <c r="C10023" t="s">
        <v>1908</v>
      </c>
      <c r="D10023">
        <v>110042</v>
      </c>
      <c r="E10023">
        <v>109678</v>
      </c>
      <c r="F10023">
        <v>108586</v>
      </c>
      <c r="G10023">
        <v>105503</v>
      </c>
    </row>
    <row r="10024" spans="1:7">
      <c r="A10024" t="s">
        <v>1876</v>
      </c>
      <c r="B10024" t="s">
        <v>378</v>
      </c>
      <c r="C10024" t="s">
        <v>1909</v>
      </c>
      <c r="D10024">
        <v>10256</v>
      </c>
      <c r="E10024">
        <v>10355</v>
      </c>
      <c r="F10024">
        <v>9765</v>
      </c>
      <c r="G10024">
        <v>9883</v>
      </c>
    </row>
    <row r="10025" spans="1:7">
      <c r="A10025" t="s">
        <v>1876</v>
      </c>
      <c r="B10025" t="s">
        <v>378</v>
      </c>
      <c r="C10025" t="s">
        <v>1910</v>
      </c>
      <c r="D10025">
        <v>225</v>
      </c>
      <c r="E10025">
        <v>853</v>
      </c>
      <c r="F10025">
        <v>258</v>
      </c>
      <c r="G10025">
        <v>181</v>
      </c>
    </row>
    <row r="10026" spans="1:7">
      <c r="A10026" t="s">
        <v>1876</v>
      </c>
      <c r="B10026" t="s">
        <v>378</v>
      </c>
      <c r="C10026" t="s">
        <v>1911</v>
      </c>
      <c r="D10026">
        <v>10633</v>
      </c>
      <c r="E10026">
        <v>10748</v>
      </c>
      <c r="F10026">
        <v>10491</v>
      </c>
      <c r="G10026">
        <v>10180</v>
      </c>
    </row>
    <row r="10027" spans="1:7">
      <c r="A10027" t="s">
        <v>1876</v>
      </c>
      <c r="B10027" t="s">
        <v>378</v>
      </c>
      <c r="C10027" t="s">
        <v>1912</v>
      </c>
      <c r="D10027">
        <v>24008</v>
      </c>
      <c r="E10027">
        <v>24555</v>
      </c>
      <c r="F10027">
        <v>23146</v>
      </c>
      <c r="G10027">
        <v>22913</v>
      </c>
    </row>
    <row r="10028" spans="1:7">
      <c r="A10028" t="s">
        <v>1876</v>
      </c>
      <c r="B10028" t="s">
        <v>378</v>
      </c>
      <c r="C10028" t="s">
        <v>168</v>
      </c>
      <c r="D10028">
        <v>155165</v>
      </c>
      <c r="E10028">
        <v>156190</v>
      </c>
      <c r="F10028">
        <v>152246</v>
      </c>
      <c r="G10028">
        <v>148660</v>
      </c>
    </row>
    <row r="10029" spans="1:7">
      <c r="A10029" t="s">
        <v>1876</v>
      </c>
      <c r="B10029" t="s">
        <v>378</v>
      </c>
      <c r="C10029" t="s">
        <v>169</v>
      </c>
      <c r="D10029">
        <v>0</v>
      </c>
      <c r="E10029">
        <v>0</v>
      </c>
      <c r="F10029">
        <v>0</v>
      </c>
      <c r="G10029">
        <v>0</v>
      </c>
    </row>
    <row r="10030" spans="1:7">
      <c r="A10030" t="s">
        <v>1876</v>
      </c>
      <c r="B10030" t="s">
        <v>378</v>
      </c>
      <c r="C10030" t="s">
        <v>1704</v>
      </c>
      <c r="D10030">
        <v>17471</v>
      </c>
      <c r="E10030">
        <v>16712</v>
      </c>
      <c r="F10030">
        <v>16838</v>
      </c>
      <c r="G10030">
        <v>16606</v>
      </c>
    </row>
    <row r="10031" spans="1:7">
      <c r="A10031" t="s">
        <v>1876</v>
      </c>
      <c r="B10031" t="s">
        <v>378</v>
      </c>
      <c r="C10031" t="s">
        <v>170</v>
      </c>
      <c r="D10031">
        <v>0</v>
      </c>
      <c r="E10031">
        <v>0</v>
      </c>
      <c r="F10031">
        <v>0</v>
      </c>
      <c r="G10031">
        <v>0</v>
      </c>
    </row>
    <row r="10032" spans="1:7">
      <c r="A10032" t="s">
        <v>1876</v>
      </c>
      <c r="B10032" t="s">
        <v>378</v>
      </c>
      <c r="C10032" t="s">
        <v>171</v>
      </c>
      <c r="D10032">
        <v>142435</v>
      </c>
      <c r="E10032">
        <v>124268</v>
      </c>
      <c r="F10032">
        <v>103189</v>
      </c>
      <c r="G10032">
        <v>163132</v>
      </c>
    </row>
    <row r="10033" spans="1:7">
      <c r="A10033" t="s">
        <v>1876</v>
      </c>
      <c r="B10033" t="s">
        <v>378</v>
      </c>
      <c r="C10033" t="s">
        <v>172</v>
      </c>
      <c r="D10033">
        <v>0</v>
      </c>
      <c r="E10033">
        <v>0</v>
      </c>
      <c r="F10033">
        <v>0</v>
      </c>
      <c r="G10033">
        <v>0</v>
      </c>
    </row>
    <row r="10034" spans="1:7">
      <c r="A10034" t="s">
        <v>1876</v>
      </c>
      <c r="B10034" t="s">
        <v>378</v>
      </c>
      <c r="C10034" t="s">
        <v>1913</v>
      </c>
      <c r="D10034">
        <v>64.2</v>
      </c>
      <c r="E10034">
        <v>97.8</v>
      </c>
      <c r="F10034">
        <v>165</v>
      </c>
      <c r="G10034">
        <v>217.6</v>
      </c>
    </row>
    <row r="10035" spans="1:7">
      <c r="A10035" t="s">
        <v>1876</v>
      </c>
      <c r="B10035" t="s">
        <v>378</v>
      </c>
      <c r="C10035" t="s">
        <v>1914</v>
      </c>
      <c r="D10035">
        <v>1</v>
      </c>
      <c r="E10035">
        <v>1.5</v>
      </c>
      <c r="F10035">
        <v>2.4</v>
      </c>
      <c r="G10035">
        <v>3.2</v>
      </c>
    </row>
    <row r="10036" spans="1:7">
      <c r="A10036" t="s">
        <v>1876</v>
      </c>
      <c r="B10036" t="s">
        <v>378</v>
      </c>
      <c r="C10036" t="s">
        <v>173</v>
      </c>
      <c r="D10036">
        <v>29135</v>
      </c>
      <c r="E10036">
        <v>29154</v>
      </c>
      <c r="F10036">
        <v>30437</v>
      </c>
      <c r="G10036">
        <v>30251</v>
      </c>
    </row>
    <row r="10037" spans="1:7">
      <c r="A10037" t="s">
        <v>1876</v>
      </c>
      <c r="B10037" t="s">
        <v>378</v>
      </c>
      <c r="C10037" t="s">
        <v>174</v>
      </c>
      <c r="D10037">
        <v>830</v>
      </c>
      <c r="E10037">
        <v>915</v>
      </c>
      <c r="F10037">
        <v>858</v>
      </c>
      <c r="G10037">
        <v>638</v>
      </c>
    </row>
    <row r="10038" spans="1:7">
      <c r="A10038" t="s">
        <v>1876</v>
      </c>
      <c r="B10038" t="s">
        <v>378</v>
      </c>
      <c r="C10038" t="s">
        <v>175</v>
      </c>
      <c r="D10038">
        <v>492</v>
      </c>
      <c r="E10038">
        <v>511</v>
      </c>
      <c r="F10038">
        <v>514</v>
      </c>
      <c r="G10038">
        <v>468</v>
      </c>
    </row>
    <row r="10039" spans="1:7">
      <c r="A10039" t="s">
        <v>1876</v>
      </c>
      <c r="B10039" t="s">
        <v>378</v>
      </c>
      <c r="C10039" t="s">
        <v>176</v>
      </c>
      <c r="D10039">
        <v>0</v>
      </c>
      <c r="E10039">
        <v>0</v>
      </c>
      <c r="F10039">
        <v>0</v>
      </c>
      <c r="G10039">
        <v>0</v>
      </c>
    </row>
    <row r="10040" spans="1:7">
      <c r="A10040" t="s">
        <v>1876</v>
      </c>
      <c r="B10040" t="s">
        <v>378</v>
      </c>
      <c r="C10040" t="s">
        <v>177</v>
      </c>
      <c r="D10040">
        <v>30457</v>
      </c>
      <c r="E10040">
        <v>30579</v>
      </c>
      <c r="F10040">
        <v>31809</v>
      </c>
      <c r="G10040">
        <v>31357</v>
      </c>
    </row>
    <row r="10041" spans="1:7">
      <c r="A10041" t="s">
        <v>1876</v>
      </c>
      <c r="B10041" t="s">
        <v>378</v>
      </c>
      <c r="C10041" t="s">
        <v>178</v>
      </c>
      <c r="D10041">
        <v>0</v>
      </c>
      <c r="E10041">
        <v>0</v>
      </c>
      <c r="F10041">
        <v>0</v>
      </c>
      <c r="G10041">
        <v>0</v>
      </c>
    </row>
    <row r="10042" spans="1:7">
      <c r="A10042" t="s">
        <v>1876</v>
      </c>
      <c r="B10042" t="s">
        <v>378</v>
      </c>
      <c r="C10042" t="s">
        <v>179</v>
      </c>
      <c r="D10042">
        <v>0</v>
      </c>
      <c r="E10042">
        <v>0</v>
      </c>
      <c r="F10042">
        <v>0</v>
      </c>
      <c r="G10042">
        <v>0</v>
      </c>
    </row>
    <row r="10043" spans="1:7">
      <c r="A10043" t="s">
        <v>1876</v>
      </c>
      <c r="B10043" t="s">
        <v>378</v>
      </c>
      <c r="C10043" t="s">
        <v>180</v>
      </c>
      <c r="D10043">
        <v>851</v>
      </c>
      <c r="E10043">
        <v>862</v>
      </c>
      <c r="F10043">
        <v>1281</v>
      </c>
      <c r="G10043">
        <v>1367</v>
      </c>
    </row>
    <row r="10044" spans="1:7">
      <c r="A10044" t="s">
        <v>1876</v>
      </c>
      <c r="B10044" t="s">
        <v>378</v>
      </c>
      <c r="C10044" t="s">
        <v>181</v>
      </c>
      <c r="D10044">
        <v>123300</v>
      </c>
      <c r="E10044">
        <v>127520</v>
      </c>
      <c r="F10044">
        <v>123114</v>
      </c>
      <c r="G10044">
        <v>126539</v>
      </c>
    </row>
    <row r="10045" spans="1:7">
      <c r="A10045" t="s">
        <v>1876</v>
      </c>
      <c r="B10045" t="s">
        <v>378</v>
      </c>
      <c r="C10045" t="s">
        <v>182</v>
      </c>
      <c r="D10045">
        <v>22497</v>
      </c>
      <c r="E10045">
        <v>23044</v>
      </c>
      <c r="F10045">
        <v>21236</v>
      </c>
      <c r="G10045">
        <v>21670</v>
      </c>
    </row>
    <row r="10046" spans="1:7">
      <c r="A10046" t="s">
        <v>1876</v>
      </c>
      <c r="B10046" t="s">
        <v>378</v>
      </c>
      <c r="C10046" t="s">
        <v>183</v>
      </c>
      <c r="D10046">
        <v>102668</v>
      </c>
      <c r="E10046">
        <v>102572</v>
      </c>
      <c r="F10046">
        <v>96952</v>
      </c>
      <c r="G10046">
        <v>101312</v>
      </c>
    </row>
    <row r="10047" spans="1:7">
      <c r="A10047" t="s">
        <v>1876</v>
      </c>
      <c r="B10047" t="s">
        <v>378</v>
      </c>
      <c r="C10047" t="s">
        <v>184</v>
      </c>
      <c r="D10047">
        <v>249316</v>
      </c>
      <c r="E10047">
        <v>253999</v>
      </c>
      <c r="F10047">
        <v>242583</v>
      </c>
      <c r="G10047">
        <v>250889</v>
      </c>
    </row>
    <row r="10048" spans="1:7">
      <c r="A10048" t="s">
        <v>1876</v>
      </c>
      <c r="B10048" t="s">
        <v>378</v>
      </c>
      <c r="C10048" t="s">
        <v>185</v>
      </c>
      <c r="D10048">
        <v>249316</v>
      </c>
      <c r="E10048">
        <v>253999</v>
      </c>
      <c r="F10048">
        <v>242583</v>
      </c>
      <c r="G10048">
        <v>250889</v>
      </c>
    </row>
    <row r="10049" spans="1:7">
      <c r="A10049" t="s">
        <v>1876</v>
      </c>
      <c r="B10049" t="s">
        <v>378</v>
      </c>
      <c r="C10049" t="s">
        <v>1915</v>
      </c>
      <c r="D10049">
        <v>96</v>
      </c>
      <c r="E10049">
        <v>168</v>
      </c>
      <c r="F10049">
        <v>453</v>
      </c>
      <c r="G10049">
        <v>651</v>
      </c>
    </row>
    <row r="10050" spans="1:7">
      <c r="A10050" t="s">
        <v>1876</v>
      </c>
      <c r="B10050" t="s">
        <v>378</v>
      </c>
      <c r="C10050" t="s">
        <v>1916</v>
      </c>
      <c r="D10050">
        <v>0</v>
      </c>
      <c r="E10050">
        <v>0</v>
      </c>
      <c r="F10050">
        <v>0</v>
      </c>
      <c r="G10050">
        <v>0</v>
      </c>
    </row>
    <row r="10051" spans="1:7">
      <c r="A10051" t="s">
        <v>1876</v>
      </c>
      <c r="B10051" t="s">
        <v>378</v>
      </c>
      <c r="C10051" t="s">
        <v>1917</v>
      </c>
      <c r="D10051">
        <v>20</v>
      </c>
      <c r="E10051">
        <v>16</v>
      </c>
      <c r="F10051">
        <v>16</v>
      </c>
      <c r="G10051">
        <v>17</v>
      </c>
    </row>
    <row r="10052" spans="1:7">
      <c r="A10052" t="s">
        <v>1876</v>
      </c>
      <c r="B10052" t="s">
        <v>378</v>
      </c>
      <c r="C10052" t="s">
        <v>1918</v>
      </c>
      <c r="D10052">
        <v>1902</v>
      </c>
      <c r="E10052">
        <v>2643</v>
      </c>
      <c r="F10052">
        <v>3293</v>
      </c>
      <c r="G10052">
        <v>4011</v>
      </c>
    </row>
    <row r="10053" spans="1:7">
      <c r="A10053" t="s">
        <v>1876</v>
      </c>
      <c r="B10053" t="s">
        <v>378</v>
      </c>
      <c r="C10053" t="s">
        <v>1919</v>
      </c>
      <c r="D10053">
        <v>2.83</v>
      </c>
      <c r="E10053">
        <v>2.91</v>
      </c>
      <c r="F10053">
        <v>2.66</v>
      </c>
      <c r="G10053">
        <v>2.76</v>
      </c>
    </row>
    <row r="10054" spans="1:7">
      <c r="A10054" t="s">
        <v>1876</v>
      </c>
      <c r="B10054" t="s">
        <v>378</v>
      </c>
      <c r="C10054" t="s">
        <v>1920</v>
      </c>
      <c r="D10054">
        <v>2504</v>
      </c>
      <c r="E10054">
        <v>3456</v>
      </c>
      <c r="F10054">
        <v>4358</v>
      </c>
      <c r="G10054">
        <v>5566</v>
      </c>
    </row>
    <row r="10055" spans="1:7">
      <c r="A10055" t="s">
        <v>1876</v>
      </c>
      <c r="B10055" t="s">
        <v>378</v>
      </c>
      <c r="C10055" t="s">
        <v>1921</v>
      </c>
      <c r="D10055">
        <v>769</v>
      </c>
      <c r="E10055">
        <v>1043</v>
      </c>
      <c r="F10055">
        <v>1457</v>
      </c>
      <c r="G10055">
        <v>1761</v>
      </c>
    </row>
    <row r="10056" spans="1:7">
      <c r="A10056" t="s">
        <v>1876</v>
      </c>
      <c r="B10056" t="s">
        <v>378</v>
      </c>
      <c r="C10056" t="s">
        <v>1922</v>
      </c>
      <c r="D10056">
        <v>582</v>
      </c>
      <c r="E10056">
        <v>797</v>
      </c>
      <c r="F10056">
        <v>1049</v>
      </c>
      <c r="G10056">
        <v>1538</v>
      </c>
    </row>
    <row r="10057" spans="1:7">
      <c r="A10057" t="s">
        <v>1876</v>
      </c>
      <c r="B10057" t="s">
        <v>378</v>
      </c>
      <c r="C10057" t="s">
        <v>1923</v>
      </c>
      <c r="D10057">
        <v>4.6900000000000004</v>
      </c>
      <c r="E10057">
        <v>4.8</v>
      </c>
      <c r="F10057">
        <v>4.21</v>
      </c>
      <c r="G10057">
        <v>4.43</v>
      </c>
    </row>
    <row r="10058" spans="1:7">
      <c r="A10058" t="s">
        <v>1876</v>
      </c>
      <c r="B10058" t="s">
        <v>378</v>
      </c>
      <c r="C10058" t="s">
        <v>1924</v>
      </c>
      <c r="D10058">
        <v>30</v>
      </c>
      <c r="E10058">
        <v>5</v>
      </c>
      <c r="F10058">
        <v>9</v>
      </c>
      <c r="G10058">
        <v>9</v>
      </c>
    </row>
    <row r="10059" spans="1:7">
      <c r="A10059" t="s">
        <v>1876</v>
      </c>
      <c r="B10059" t="s">
        <v>378</v>
      </c>
      <c r="C10059" t="s">
        <v>1925</v>
      </c>
      <c r="D10059">
        <v>137</v>
      </c>
      <c r="E10059">
        <v>148</v>
      </c>
      <c r="F10059">
        <v>154</v>
      </c>
      <c r="G10059">
        <v>132</v>
      </c>
    </row>
    <row r="10060" spans="1:7">
      <c r="A10060" t="s">
        <v>1876</v>
      </c>
      <c r="B10060" t="s">
        <v>378</v>
      </c>
      <c r="C10060" t="s">
        <v>1926</v>
      </c>
      <c r="D10060">
        <v>602</v>
      </c>
      <c r="E10060">
        <v>890</v>
      </c>
      <c r="F10060">
        <v>1294</v>
      </c>
      <c r="G10060">
        <v>1620</v>
      </c>
    </row>
    <row r="10061" spans="1:7">
      <c r="A10061" t="s">
        <v>1876</v>
      </c>
      <c r="B10061" t="s">
        <v>378</v>
      </c>
      <c r="C10061" t="s">
        <v>1927</v>
      </c>
      <c r="D10061">
        <v>41</v>
      </c>
      <c r="E10061">
        <v>41</v>
      </c>
      <c r="F10061">
        <v>31</v>
      </c>
      <c r="G10061">
        <v>24</v>
      </c>
    </row>
    <row r="10062" spans="1:7">
      <c r="A10062" t="s">
        <v>1876</v>
      </c>
      <c r="B10062" t="s">
        <v>378</v>
      </c>
      <c r="C10062" t="s">
        <v>1928</v>
      </c>
      <c r="D10062">
        <v>660</v>
      </c>
      <c r="E10062">
        <v>935</v>
      </c>
      <c r="F10062">
        <v>1351</v>
      </c>
      <c r="G10062">
        <v>1657</v>
      </c>
    </row>
    <row r="10063" spans="1:7">
      <c r="A10063" t="s">
        <v>1876</v>
      </c>
      <c r="B10063" t="s">
        <v>378</v>
      </c>
      <c r="C10063" t="s">
        <v>1929</v>
      </c>
      <c r="D10063">
        <v>68</v>
      </c>
      <c r="E10063">
        <v>67</v>
      </c>
      <c r="F10063">
        <v>75</v>
      </c>
      <c r="G10063">
        <v>80</v>
      </c>
    </row>
    <row r="10064" spans="1:7">
      <c r="A10064" t="s">
        <v>1876</v>
      </c>
      <c r="B10064" t="s">
        <v>378</v>
      </c>
      <c r="C10064" t="s">
        <v>186</v>
      </c>
      <c r="D10064">
        <v>0</v>
      </c>
      <c r="E10064">
        <v>0</v>
      </c>
      <c r="F10064">
        <v>0</v>
      </c>
      <c r="G10064">
        <v>0</v>
      </c>
    </row>
    <row r="10065" spans="1:7">
      <c r="A10065" t="s">
        <v>1876</v>
      </c>
      <c r="B10065" t="s">
        <v>378</v>
      </c>
      <c r="C10065" t="s">
        <v>187</v>
      </c>
      <c r="D10065">
        <v>0</v>
      </c>
      <c r="E10065">
        <v>0</v>
      </c>
      <c r="F10065">
        <v>0</v>
      </c>
      <c r="G10065">
        <v>0</v>
      </c>
    </row>
    <row r="10066" spans="1:7">
      <c r="A10066" t="s">
        <v>1876</v>
      </c>
      <c r="B10066" t="s">
        <v>378</v>
      </c>
      <c r="C10066" t="s">
        <v>1705</v>
      </c>
      <c r="D10066">
        <v>12303</v>
      </c>
      <c r="E10066">
        <v>11501</v>
      </c>
      <c r="F10066">
        <v>11509</v>
      </c>
      <c r="G10066">
        <v>11224</v>
      </c>
    </row>
    <row r="10067" spans="1:7">
      <c r="A10067" t="s">
        <v>1876</v>
      </c>
      <c r="B10067" t="s">
        <v>378</v>
      </c>
      <c r="C10067" t="s">
        <v>188</v>
      </c>
      <c r="D10067">
        <v>1459653</v>
      </c>
      <c r="E10067">
        <v>1531172</v>
      </c>
      <c r="F10067">
        <v>1510262</v>
      </c>
      <c r="G10067">
        <v>1450580</v>
      </c>
    </row>
    <row r="10068" spans="1:7">
      <c r="A10068" t="s">
        <v>1876</v>
      </c>
      <c r="B10068" t="s">
        <v>378</v>
      </c>
      <c r="C10068" t="s">
        <v>189</v>
      </c>
      <c r="D10068">
        <v>0</v>
      </c>
      <c r="E10068">
        <v>0</v>
      </c>
      <c r="F10068">
        <v>0</v>
      </c>
      <c r="G10068">
        <v>0</v>
      </c>
    </row>
    <row r="10069" spans="1:7">
      <c r="A10069" t="s">
        <v>1876</v>
      </c>
      <c r="B10069" t="s">
        <v>378</v>
      </c>
      <c r="C10069" t="s">
        <v>190</v>
      </c>
      <c r="D10069">
        <v>0</v>
      </c>
      <c r="E10069">
        <v>0</v>
      </c>
      <c r="F10069">
        <v>0</v>
      </c>
      <c r="G10069">
        <v>0</v>
      </c>
    </row>
    <row r="10070" spans="1:7">
      <c r="A10070" t="s">
        <v>1876</v>
      </c>
      <c r="B10070" t="s">
        <v>378</v>
      </c>
      <c r="C10070" t="s">
        <v>191</v>
      </c>
      <c r="D10070">
        <v>0</v>
      </c>
      <c r="E10070">
        <v>0</v>
      </c>
      <c r="F10070">
        <v>0</v>
      </c>
      <c r="G10070">
        <v>0</v>
      </c>
    </row>
    <row r="10071" spans="1:7">
      <c r="A10071" t="s">
        <v>1876</v>
      </c>
      <c r="B10071" t="s">
        <v>378</v>
      </c>
      <c r="C10071" t="s">
        <v>192</v>
      </c>
      <c r="D10071">
        <v>693733.8</v>
      </c>
      <c r="E10071">
        <v>756465.6</v>
      </c>
      <c r="F10071">
        <v>806894</v>
      </c>
      <c r="G10071">
        <v>846000.4</v>
      </c>
    </row>
    <row r="10072" spans="1:7">
      <c r="A10072" t="s">
        <v>1876</v>
      </c>
      <c r="B10072" t="s">
        <v>378</v>
      </c>
      <c r="C10072" t="s">
        <v>193</v>
      </c>
      <c r="D10072">
        <v>631158.30000000005</v>
      </c>
      <c r="E10072">
        <v>648512.4</v>
      </c>
      <c r="F10072">
        <v>662320.1</v>
      </c>
      <c r="G10072">
        <v>675897.6</v>
      </c>
    </row>
    <row r="10073" spans="1:7">
      <c r="A10073" t="s">
        <v>1876</v>
      </c>
      <c r="B10073" t="s">
        <v>378</v>
      </c>
      <c r="C10073" t="s">
        <v>1930</v>
      </c>
      <c r="D10073">
        <v>0</v>
      </c>
      <c r="E10073">
        <v>0</v>
      </c>
      <c r="F10073">
        <v>0</v>
      </c>
      <c r="G10073">
        <v>0</v>
      </c>
    </row>
    <row r="10074" spans="1:7">
      <c r="A10074" t="s">
        <v>1876</v>
      </c>
      <c r="B10074" t="s">
        <v>378</v>
      </c>
      <c r="C10074" t="s">
        <v>194</v>
      </c>
      <c r="D10074">
        <v>0</v>
      </c>
      <c r="E10074">
        <v>0</v>
      </c>
      <c r="F10074">
        <v>0</v>
      </c>
      <c r="G10074">
        <v>0</v>
      </c>
    </row>
    <row r="10075" spans="1:7">
      <c r="A10075" t="s">
        <v>1876</v>
      </c>
      <c r="B10075" t="s">
        <v>378</v>
      </c>
      <c r="C10075" t="s">
        <v>195</v>
      </c>
      <c r="D10075">
        <v>0</v>
      </c>
      <c r="E10075">
        <v>0</v>
      </c>
      <c r="F10075">
        <v>0</v>
      </c>
      <c r="G10075">
        <v>0</v>
      </c>
    </row>
    <row r="10076" spans="1:7">
      <c r="A10076" t="s">
        <v>1876</v>
      </c>
      <c r="B10076" t="s">
        <v>378</v>
      </c>
      <c r="C10076" t="s">
        <v>1706</v>
      </c>
      <c r="D10076">
        <v>0</v>
      </c>
      <c r="E10076">
        <v>0</v>
      </c>
      <c r="F10076">
        <v>0</v>
      </c>
      <c r="G10076">
        <v>0</v>
      </c>
    </row>
    <row r="10077" spans="1:7">
      <c r="A10077" t="s">
        <v>1876</v>
      </c>
      <c r="B10077" t="s">
        <v>378</v>
      </c>
      <c r="C10077" t="s">
        <v>196</v>
      </c>
      <c r="D10077">
        <v>0</v>
      </c>
      <c r="E10077">
        <v>0</v>
      </c>
      <c r="F10077">
        <v>0</v>
      </c>
      <c r="G10077">
        <v>0</v>
      </c>
    </row>
    <row r="10078" spans="1:7">
      <c r="A10078" t="s">
        <v>1876</v>
      </c>
      <c r="B10078" t="s">
        <v>378</v>
      </c>
      <c r="C10078" t="s">
        <v>197</v>
      </c>
      <c r="D10078">
        <v>466</v>
      </c>
      <c r="E10078">
        <v>466</v>
      </c>
      <c r="F10078">
        <v>466</v>
      </c>
      <c r="G10078">
        <v>466</v>
      </c>
    </row>
    <row r="10079" spans="1:7">
      <c r="A10079" t="s">
        <v>1876</v>
      </c>
      <c r="B10079" t="s">
        <v>378</v>
      </c>
      <c r="C10079" t="s">
        <v>198</v>
      </c>
      <c r="D10079">
        <v>466</v>
      </c>
      <c r="E10079">
        <v>466</v>
      </c>
      <c r="F10079">
        <v>466</v>
      </c>
      <c r="G10079">
        <v>466</v>
      </c>
    </row>
    <row r="10080" spans="1:7">
      <c r="A10080" t="s">
        <v>1876</v>
      </c>
      <c r="B10080" t="s">
        <v>378</v>
      </c>
      <c r="C10080" t="s">
        <v>199</v>
      </c>
      <c r="D10080">
        <v>466</v>
      </c>
      <c r="E10080">
        <v>466</v>
      </c>
      <c r="F10080">
        <v>466</v>
      </c>
      <c r="G10080">
        <v>466</v>
      </c>
    </row>
    <row r="10081" spans="1:7">
      <c r="A10081" t="s">
        <v>1876</v>
      </c>
      <c r="B10081" t="s">
        <v>378</v>
      </c>
      <c r="C10081" t="s">
        <v>200</v>
      </c>
      <c r="D10081">
        <v>165</v>
      </c>
      <c r="E10081">
        <v>231</v>
      </c>
      <c r="F10081">
        <v>201</v>
      </c>
      <c r="G10081">
        <v>166</v>
      </c>
    </row>
    <row r="10082" spans="1:7">
      <c r="A10082" t="s">
        <v>1876</v>
      </c>
      <c r="B10082" t="s">
        <v>378</v>
      </c>
      <c r="C10082" t="s">
        <v>201</v>
      </c>
      <c r="D10082">
        <v>1627</v>
      </c>
      <c r="E10082">
        <v>1461</v>
      </c>
      <c r="F10082">
        <v>1046</v>
      </c>
      <c r="G10082">
        <v>986</v>
      </c>
    </row>
    <row r="10083" spans="1:7">
      <c r="A10083" t="s">
        <v>1876</v>
      </c>
      <c r="B10083" t="s">
        <v>378</v>
      </c>
      <c r="C10083" t="s">
        <v>202</v>
      </c>
      <c r="D10083">
        <v>17927</v>
      </c>
      <c r="E10083">
        <v>18078</v>
      </c>
      <c r="F10083">
        <v>17677</v>
      </c>
      <c r="G10083">
        <v>17604</v>
      </c>
    </row>
    <row r="10084" spans="1:7">
      <c r="A10084" t="s">
        <v>1876</v>
      </c>
      <c r="B10084" t="s">
        <v>378</v>
      </c>
      <c r="C10084" t="s">
        <v>203</v>
      </c>
      <c r="D10084">
        <v>4094</v>
      </c>
      <c r="E10084">
        <v>3625</v>
      </c>
      <c r="F10084">
        <v>3488</v>
      </c>
      <c r="G10084">
        <v>3443</v>
      </c>
    </row>
    <row r="10085" spans="1:7">
      <c r="A10085" t="s">
        <v>1876</v>
      </c>
      <c r="B10085" t="s">
        <v>378</v>
      </c>
      <c r="C10085" t="s">
        <v>204</v>
      </c>
      <c r="D10085">
        <v>23814</v>
      </c>
      <c r="E10085">
        <v>23394</v>
      </c>
      <c r="F10085">
        <v>22411</v>
      </c>
      <c r="G10085">
        <v>22199</v>
      </c>
    </row>
    <row r="10086" spans="1:7">
      <c r="A10086" t="s">
        <v>1876</v>
      </c>
      <c r="B10086" t="s">
        <v>378</v>
      </c>
      <c r="C10086" t="s">
        <v>205</v>
      </c>
      <c r="D10086">
        <v>23814</v>
      </c>
      <c r="E10086">
        <v>23394</v>
      </c>
      <c r="F10086">
        <v>22411</v>
      </c>
      <c r="G10086">
        <v>22199</v>
      </c>
    </row>
    <row r="10087" spans="1:7">
      <c r="A10087" t="s">
        <v>1876</v>
      </c>
      <c r="B10087" t="s">
        <v>378</v>
      </c>
      <c r="C10087" t="s">
        <v>1931</v>
      </c>
      <c r="D10087">
        <v>7.5</v>
      </c>
      <c r="E10087">
        <v>9.6</v>
      </c>
      <c r="F10087">
        <v>12.2</v>
      </c>
      <c r="G10087">
        <v>16.7</v>
      </c>
    </row>
    <row r="10088" spans="1:7">
      <c r="A10088" t="s">
        <v>1876</v>
      </c>
      <c r="B10088" t="s">
        <v>378</v>
      </c>
      <c r="C10088" t="s">
        <v>1707</v>
      </c>
      <c r="D10088">
        <v>420</v>
      </c>
      <c r="E10088">
        <v>420</v>
      </c>
      <c r="F10088">
        <v>415</v>
      </c>
      <c r="G10088">
        <v>416</v>
      </c>
    </row>
    <row r="10089" spans="1:7">
      <c r="A10089" t="s">
        <v>1876</v>
      </c>
      <c r="B10089" t="s">
        <v>378</v>
      </c>
      <c r="C10089" t="s">
        <v>1932</v>
      </c>
      <c r="D10089">
        <v>16.899999999999999</v>
      </c>
      <c r="E10089">
        <v>4.9000000000000004</v>
      </c>
      <c r="F10089">
        <v>10.8</v>
      </c>
      <c r="G10089">
        <v>3.3</v>
      </c>
    </row>
    <row r="10090" spans="1:7">
      <c r="A10090" t="s">
        <v>1876</v>
      </c>
      <c r="B10090" t="s">
        <v>378</v>
      </c>
      <c r="C10090" t="s">
        <v>1708</v>
      </c>
      <c r="D10090">
        <v>12</v>
      </c>
      <c r="E10090">
        <v>12</v>
      </c>
      <c r="F10090">
        <v>12</v>
      </c>
      <c r="G10090">
        <v>12</v>
      </c>
    </row>
    <row r="10091" spans="1:7">
      <c r="A10091" t="s">
        <v>1876</v>
      </c>
      <c r="B10091" t="s">
        <v>378</v>
      </c>
      <c r="C10091" t="s">
        <v>206</v>
      </c>
      <c r="D10091">
        <v>0</v>
      </c>
      <c r="E10091">
        <v>0</v>
      </c>
      <c r="F10091">
        <v>0</v>
      </c>
      <c r="G10091">
        <v>0</v>
      </c>
    </row>
    <row r="10092" spans="1:7">
      <c r="A10092" t="s">
        <v>1876</v>
      </c>
      <c r="B10092" t="s">
        <v>378</v>
      </c>
      <c r="C10092" t="s">
        <v>207</v>
      </c>
      <c r="D10092">
        <v>62</v>
      </c>
      <c r="E10092">
        <v>18</v>
      </c>
      <c r="F10092">
        <v>40</v>
      </c>
      <c r="G10092">
        <v>12</v>
      </c>
    </row>
    <row r="10093" spans="1:7">
      <c r="A10093" t="s">
        <v>1876</v>
      </c>
      <c r="B10093" t="s">
        <v>378</v>
      </c>
      <c r="C10093" t="s">
        <v>208</v>
      </c>
      <c r="D10093">
        <v>0</v>
      </c>
      <c r="E10093">
        <v>0</v>
      </c>
      <c r="F10093">
        <v>0</v>
      </c>
      <c r="G10093">
        <v>0</v>
      </c>
    </row>
    <row r="10094" spans="1:7">
      <c r="A10094" t="s">
        <v>1876</v>
      </c>
      <c r="B10094" t="s">
        <v>378</v>
      </c>
      <c r="C10094" t="s">
        <v>209</v>
      </c>
      <c r="D10094">
        <v>62</v>
      </c>
      <c r="E10094">
        <v>18</v>
      </c>
      <c r="F10094">
        <v>40</v>
      </c>
      <c r="G10094">
        <v>12</v>
      </c>
    </row>
    <row r="10095" spans="1:7">
      <c r="A10095" t="s">
        <v>1876</v>
      </c>
      <c r="B10095" t="s">
        <v>378</v>
      </c>
      <c r="C10095" t="s">
        <v>210</v>
      </c>
      <c r="D10095">
        <v>0</v>
      </c>
      <c r="E10095">
        <v>0</v>
      </c>
      <c r="F10095">
        <v>0</v>
      </c>
      <c r="G10095">
        <v>0</v>
      </c>
    </row>
    <row r="10096" spans="1:7">
      <c r="A10096" t="s">
        <v>1876</v>
      </c>
      <c r="B10096" t="s">
        <v>378</v>
      </c>
      <c r="C10096" t="s">
        <v>211</v>
      </c>
      <c r="D10096">
        <v>0</v>
      </c>
      <c r="E10096">
        <v>0</v>
      </c>
      <c r="F10096">
        <v>0</v>
      </c>
      <c r="G10096">
        <v>0</v>
      </c>
    </row>
    <row r="10097" spans="1:7">
      <c r="A10097" t="s">
        <v>1876</v>
      </c>
      <c r="B10097" t="s">
        <v>378</v>
      </c>
      <c r="C10097" t="s">
        <v>212</v>
      </c>
      <c r="D10097">
        <v>0</v>
      </c>
      <c r="E10097">
        <v>0</v>
      </c>
      <c r="F10097">
        <v>0</v>
      </c>
      <c r="G10097">
        <v>0</v>
      </c>
    </row>
    <row r="10098" spans="1:7">
      <c r="A10098" t="s">
        <v>1876</v>
      </c>
      <c r="B10098" t="s">
        <v>378</v>
      </c>
      <c r="C10098" t="s">
        <v>213</v>
      </c>
      <c r="D10098">
        <v>0</v>
      </c>
      <c r="E10098">
        <v>0</v>
      </c>
      <c r="F10098">
        <v>0</v>
      </c>
      <c r="G10098">
        <v>0</v>
      </c>
    </row>
    <row r="10099" spans="1:7">
      <c r="A10099" t="s">
        <v>1876</v>
      </c>
      <c r="B10099" t="s">
        <v>378</v>
      </c>
      <c r="C10099" t="s">
        <v>214</v>
      </c>
      <c r="D10099">
        <v>0</v>
      </c>
      <c r="E10099">
        <v>0</v>
      </c>
      <c r="F10099">
        <v>0</v>
      </c>
      <c r="G10099">
        <v>0</v>
      </c>
    </row>
    <row r="10100" spans="1:7">
      <c r="A10100" t="s">
        <v>1876</v>
      </c>
      <c r="B10100" t="s">
        <v>378</v>
      </c>
      <c r="C10100" t="s">
        <v>215</v>
      </c>
      <c r="D10100">
        <v>80334</v>
      </c>
      <c r="E10100">
        <v>99070</v>
      </c>
      <c r="F10100">
        <v>108667</v>
      </c>
      <c r="G10100">
        <v>107685</v>
      </c>
    </row>
    <row r="10101" spans="1:7">
      <c r="A10101" t="s">
        <v>1876</v>
      </c>
      <c r="B10101" t="s">
        <v>378</v>
      </c>
      <c r="C10101" t="s">
        <v>216</v>
      </c>
      <c r="D10101">
        <v>80334</v>
      </c>
      <c r="E10101">
        <v>99070</v>
      </c>
      <c r="F10101">
        <v>108667</v>
      </c>
      <c r="G10101">
        <v>107685</v>
      </c>
    </row>
    <row r="10102" spans="1:7">
      <c r="A10102" t="s">
        <v>1876</v>
      </c>
      <c r="B10102" t="s">
        <v>378</v>
      </c>
      <c r="C10102" t="s">
        <v>217</v>
      </c>
      <c r="D10102">
        <v>80334</v>
      </c>
      <c r="E10102">
        <v>99070</v>
      </c>
      <c r="F10102">
        <v>108667</v>
      </c>
      <c r="G10102">
        <v>107685</v>
      </c>
    </row>
    <row r="10103" spans="1:7">
      <c r="A10103" t="s">
        <v>1876</v>
      </c>
      <c r="B10103" t="s">
        <v>378</v>
      </c>
      <c r="C10103" t="s">
        <v>218</v>
      </c>
      <c r="D10103">
        <v>27</v>
      </c>
      <c r="E10103">
        <v>24</v>
      </c>
      <c r="F10103">
        <v>42</v>
      </c>
      <c r="G10103">
        <v>33</v>
      </c>
    </row>
    <row r="10104" spans="1:7">
      <c r="A10104" t="s">
        <v>1876</v>
      </c>
      <c r="B10104" t="s">
        <v>378</v>
      </c>
      <c r="C10104" t="s">
        <v>219</v>
      </c>
      <c r="D10104">
        <v>27</v>
      </c>
      <c r="E10104">
        <v>20</v>
      </c>
      <c r="F10104">
        <v>81</v>
      </c>
      <c r="G10104">
        <v>44</v>
      </c>
    </row>
    <row r="10105" spans="1:7">
      <c r="A10105" t="s">
        <v>1876</v>
      </c>
      <c r="B10105" t="s">
        <v>378</v>
      </c>
      <c r="C10105" t="s">
        <v>220</v>
      </c>
      <c r="D10105">
        <v>37</v>
      </c>
      <c r="E10105">
        <v>33</v>
      </c>
      <c r="F10105">
        <v>58</v>
      </c>
      <c r="G10105">
        <v>45</v>
      </c>
    </row>
    <row r="10106" spans="1:7">
      <c r="A10106" t="s">
        <v>1876</v>
      </c>
      <c r="B10106" t="s">
        <v>378</v>
      </c>
      <c r="C10106" t="s">
        <v>221</v>
      </c>
      <c r="D10106">
        <v>90</v>
      </c>
      <c r="E10106">
        <v>78</v>
      </c>
      <c r="F10106">
        <v>180</v>
      </c>
      <c r="G10106">
        <v>122</v>
      </c>
    </row>
    <row r="10107" spans="1:7">
      <c r="A10107" t="s">
        <v>1876</v>
      </c>
      <c r="B10107" t="s">
        <v>378</v>
      </c>
      <c r="C10107" t="s">
        <v>222</v>
      </c>
      <c r="D10107">
        <v>90</v>
      </c>
      <c r="E10107">
        <v>78</v>
      </c>
      <c r="F10107">
        <v>180</v>
      </c>
      <c r="G10107">
        <v>122</v>
      </c>
    </row>
    <row r="10108" spans="1:7">
      <c r="A10108" t="s">
        <v>1876</v>
      </c>
      <c r="B10108" t="s">
        <v>378</v>
      </c>
      <c r="C10108" t="s">
        <v>1933</v>
      </c>
      <c r="D10108">
        <v>6628.3</v>
      </c>
      <c r="E10108">
        <v>6636.1</v>
      </c>
      <c r="F10108">
        <v>6753.6</v>
      </c>
      <c r="G10108">
        <v>6847.9</v>
      </c>
    </row>
    <row r="10109" spans="1:7">
      <c r="A10109" t="s">
        <v>1876</v>
      </c>
      <c r="B10109" t="s">
        <v>378</v>
      </c>
      <c r="C10109" t="s">
        <v>223</v>
      </c>
      <c r="D10109">
        <v>1509</v>
      </c>
      <c r="E10109">
        <v>1500</v>
      </c>
      <c r="F10109">
        <v>2232</v>
      </c>
      <c r="G10109">
        <v>2417</v>
      </c>
    </row>
    <row r="10110" spans="1:7">
      <c r="A10110" t="s">
        <v>1876</v>
      </c>
      <c r="B10110" t="s">
        <v>378</v>
      </c>
      <c r="C10110" t="s">
        <v>224</v>
      </c>
      <c r="D10110">
        <v>218652</v>
      </c>
      <c r="E10110">
        <v>221855</v>
      </c>
      <c r="F10110">
        <v>214476</v>
      </c>
      <c r="G10110">
        <v>223616</v>
      </c>
    </row>
    <row r="10111" spans="1:7">
      <c r="A10111" t="s">
        <v>1876</v>
      </c>
      <c r="B10111" t="s">
        <v>378</v>
      </c>
      <c r="C10111" t="s">
        <v>225</v>
      </c>
      <c r="D10111">
        <v>39894</v>
      </c>
      <c r="E10111">
        <v>40091</v>
      </c>
      <c r="F10111">
        <v>36994</v>
      </c>
      <c r="G10111">
        <v>38295</v>
      </c>
    </row>
    <row r="10112" spans="1:7">
      <c r="A10112" t="s">
        <v>1876</v>
      </c>
      <c r="B10112" t="s">
        <v>378</v>
      </c>
      <c r="C10112" t="s">
        <v>226</v>
      </c>
      <c r="D10112">
        <v>182065</v>
      </c>
      <c r="E10112">
        <v>178452</v>
      </c>
      <c r="F10112">
        <v>168898</v>
      </c>
      <c r="G10112">
        <v>179036</v>
      </c>
    </row>
    <row r="10113" spans="1:7">
      <c r="A10113" t="s">
        <v>1876</v>
      </c>
      <c r="B10113" t="s">
        <v>378</v>
      </c>
      <c r="C10113" t="s">
        <v>227</v>
      </c>
      <c r="D10113">
        <v>442121</v>
      </c>
      <c r="E10113">
        <v>441898</v>
      </c>
      <c r="F10113">
        <v>422600</v>
      </c>
      <c r="G10113">
        <v>443363</v>
      </c>
    </row>
    <row r="10114" spans="1:7">
      <c r="A10114" t="s">
        <v>1876</v>
      </c>
      <c r="B10114" t="s">
        <v>378</v>
      </c>
      <c r="C10114" t="s">
        <v>228</v>
      </c>
      <c r="D10114">
        <v>442121</v>
      </c>
      <c r="E10114">
        <v>441898</v>
      </c>
      <c r="F10114">
        <v>422600</v>
      </c>
      <c r="G10114">
        <v>443363</v>
      </c>
    </row>
    <row r="10115" spans="1:7">
      <c r="A10115" t="s">
        <v>1876</v>
      </c>
      <c r="B10115" t="s">
        <v>378</v>
      </c>
      <c r="C10115" t="s">
        <v>229</v>
      </c>
      <c r="D10115">
        <v>2762</v>
      </c>
      <c r="E10115">
        <v>2868</v>
      </c>
      <c r="F10115">
        <v>2159</v>
      </c>
      <c r="G10115">
        <v>2061</v>
      </c>
    </row>
    <row r="10116" spans="1:7">
      <c r="A10116" t="s">
        <v>1876</v>
      </c>
      <c r="B10116" t="s">
        <v>378</v>
      </c>
      <c r="C10116" t="s">
        <v>230</v>
      </c>
      <c r="D10116">
        <v>2380</v>
      </c>
      <c r="E10116">
        <v>2513</v>
      </c>
      <c r="F10116">
        <v>1860</v>
      </c>
      <c r="G10116">
        <v>1781</v>
      </c>
    </row>
    <row r="10117" spans="1:7">
      <c r="A10117" t="s">
        <v>1876</v>
      </c>
      <c r="B10117" t="s">
        <v>378</v>
      </c>
      <c r="C10117" t="s">
        <v>231</v>
      </c>
      <c r="D10117">
        <v>5142</v>
      </c>
      <c r="E10117">
        <v>5381</v>
      </c>
      <c r="F10117">
        <v>4020</v>
      </c>
      <c r="G10117">
        <v>3842</v>
      </c>
    </row>
    <row r="10118" spans="1:7">
      <c r="A10118" t="s">
        <v>1876</v>
      </c>
      <c r="B10118" t="s">
        <v>378</v>
      </c>
      <c r="C10118" t="s">
        <v>232</v>
      </c>
      <c r="D10118">
        <v>5142</v>
      </c>
      <c r="E10118">
        <v>5381</v>
      </c>
      <c r="F10118">
        <v>4020</v>
      </c>
      <c r="G10118">
        <v>3842</v>
      </c>
    </row>
    <row r="10119" spans="1:7">
      <c r="A10119" t="s">
        <v>1876</v>
      </c>
      <c r="B10119" t="s">
        <v>378</v>
      </c>
      <c r="C10119" t="s">
        <v>233</v>
      </c>
      <c r="D10119">
        <v>0</v>
      </c>
      <c r="E10119">
        <v>0</v>
      </c>
      <c r="F10119">
        <v>0</v>
      </c>
      <c r="G10119">
        <v>0</v>
      </c>
    </row>
    <row r="10120" spans="1:7">
      <c r="A10120" t="s">
        <v>1876</v>
      </c>
      <c r="B10120" t="s">
        <v>378</v>
      </c>
      <c r="C10120" t="s">
        <v>234</v>
      </c>
      <c r="D10120">
        <v>396159</v>
      </c>
      <c r="E10120">
        <v>395168</v>
      </c>
      <c r="F10120">
        <v>413352</v>
      </c>
      <c r="G10120">
        <v>412731</v>
      </c>
    </row>
    <row r="10121" spans="1:7">
      <c r="A10121" t="s">
        <v>1876</v>
      </c>
      <c r="B10121" t="s">
        <v>378</v>
      </c>
      <c r="C10121" t="s">
        <v>235</v>
      </c>
      <c r="D10121">
        <v>11290</v>
      </c>
      <c r="E10121">
        <v>12397</v>
      </c>
      <c r="F10121">
        <v>11659</v>
      </c>
      <c r="G10121">
        <v>8711</v>
      </c>
    </row>
    <row r="10122" spans="1:7">
      <c r="A10122" t="s">
        <v>1876</v>
      </c>
      <c r="B10122" t="s">
        <v>378</v>
      </c>
      <c r="C10122" t="s">
        <v>236</v>
      </c>
      <c r="D10122">
        <v>6686</v>
      </c>
      <c r="E10122">
        <v>6921</v>
      </c>
      <c r="F10122">
        <v>6978</v>
      </c>
      <c r="G10122">
        <v>6379</v>
      </c>
    </row>
    <row r="10123" spans="1:7">
      <c r="A10123" t="s">
        <v>1876</v>
      </c>
      <c r="B10123" t="s">
        <v>378</v>
      </c>
      <c r="C10123" t="s">
        <v>237</v>
      </c>
      <c r="D10123">
        <v>414134</v>
      </c>
      <c r="E10123">
        <v>414486</v>
      </c>
      <c r="F10123">
        <v>431990</v>
      </c>
      <c r="G10123">
        <v>427822</v>
      </c>
    </row>
    <row r="10124" spans="1:7">
      <c r="A10124" t="s">
        <v>1876</v>
      </c>
      <c r="B10124" t="s">
        <v>378</v>
      </c>
      <c r="C10124" t="s">
        <v>238</v>
      </c>
      <c r="D10124">
        <v>414134</v>
      </c>
      <c r="E10124">
        <v>414486</v>
      </c>
      <c r="F10124">
        <v>431990</v>
      </c>
      <c r="G10124">
        <v>427822</v>
      </c>
    </row>
    <row r="10125" spans="1:7">
      <c r="A10125" t="s">
        <v>1876</v>
      </c>
      <c r="B10125" t="s">
        <v>378</v>
      </c>
      <c r="C10125" t="s">
        <v>1934</v>
      </c>
      <c r="D10125">
        <v>367024</v>
      </c>
      <c r="E10125">
        <v>366014</v>
      </c>
      <c r="F10125">
        <v>382916</v>
      </c>
      <c r="G10125">
        <v>382480</v>
      </c>
    </row>
    <row r="10126" spans="1:7">
      <c r="A10126" t="s">
        <v>1876</v>
      </c>
      <c r="B10126" t="s">
        <v>378</v>
      </c>
      <c r="C10126" t="s">
        <v>1935</v>
      </c>
      <c r="D10126">
        <v>10459</v>
      </c>
      <c r="E10126">
        <v>11483</v>
      </c>
      <c r="F10126">
        <v>10800</v>
      </c>
      <c r="G10126">
        <v>8073</v>
      </c>
    </row>
    <row r="10127" spans="1:7">
      <c r="A10127" t="s">
        <v>1876</v>
      </c>
      <c r="B10127" t="s">
        <v>378</v>
      </c>
      <c r="C10127" t="s">
        <v>1936</v>
      </c>
      <c r="D10127">
        <v>6194</v>
      </c>
      <c r="E10127">
        <v>6410</v>
      </c>
      <c r="F10127">
        <v>6465</v>
      </c>
      <c r="G10127">
        <v>5912</v>
      </c>
    </row>
    <row r="10128" spans="1:7">
      <c r="A10128" t="s">
        <v>1876</v>
      </c>
      <c r="B10128" t="s">
        <v>378</v>
      </c>
      <c r="C10128" t="s">
        <v>239</v>
      </c>
      <c r="D10128">
        <v>383677</v>
      </c>
      <c r="E10128">
        <v>383907</v>
      </c>
      <c r="F10128">
        <v>400181</v>
      </c>
      <c r="G10128">
        <v>396464</v>
      </c>
    </row>
    <row r="10129" spans="1:7">
      <c r="A10129" t="s">
        <v>1876</v>
      </c>
      <c r="B10129" t="s">
        <v>378</v>
      </c>
      <c r="C10129" t="s">
        <v>240</v>
      </c>
      <c r="D10129">
        <v>5270</v>
      </c>
      <c r="E10129">
        <v>4912</v>
      </c>
      <c r="F10129">
        <v>4720</v>
      </c>
      <c r="G10129">
        <v>4622</v>
      </c>
    </row>
    <row r="10130" spans="1:7">
      <c r="A10130" t="s">
        <v>1876</v>
      </c>
      <c r="B10130" t="s">
        <v>378</v>
      </c>
      <c r="C10130" t="s">
        <v>241</v>
      </c>
      <c r="D10130">
        <v>0</v>
      </c>
      <c r="E10130">
        <v>0</v>
      </c>
      <c r="F10130">
        <v>0</v>
      </c>
      <c r="G10130">
        <v>0</v>
      </c>
    </row>
    <row r="10131" spans="1:7">
      <c r="A10131" t="s">
        <v>1876</v>
      </c>
      <c r="B10131" t="s">
        <v>378</v>
      </c>
      <c r="C10131" t="s">
        <v>242</v>
      </c>
      <c r="D10131">
        <v>8167</v>
      </c>
      <c r="E10131">
        <v>8341</v>
      </c>
      <c r="F10131">
        <v>7910</v>
      </c>
      <c r="G10131">
        <v>7849</v>
      </c>
    </row>
    <row r="10132" spans="1:7">
      <c r="A10132" t="s">
        <v>1876</v>
      </c>
      <c r="B10132" t="s">
        <v>378</v>
      </c>
      <c r="C10132" t="s">
        <v>243</v>
      </c>
      <c r="D10132">
        <v>156038</v>
      </c>
      <c r="E10132">
        <v>159984</v>
      </c>
      <c r="F10132">
        <v>150583</v>
      </c>
      <c r="G10132">
        <v>148362</v>
      </c>
    </row>
    <row r="10133" spans="1:7">
      <c r="A10133" t="s">
        <v>1876</v>
      </c>
      <c r="B10133" t="s">
        <v>378</v>
      </c>
      <c r="C10133" t="s">
        <v>244</v>
      </c>
      <c r="D10133">
        <v>228799</v>
      </c>
      <c r="E10133">
        <v>259055</v>
      </c>
      <c r="F10133">
        <v>255647</v>
      </c>
      <c r="G10133">
        <v>232029</v>
      </c>
    </row>
    <row r="10134" spans="1:7">
      <c r="A10134" t="s">
        <v>1876</v>
      </c>
      <c r="B10134" t="s">
        <v>378</v>
      </c>
      <c r="C10134" t="s">
        <v>1709</v>
      </c>
      <c r="D10134">
        <v>11703</v>
      </c>
      <c r="E10134">
        <v>11171</v>
      </c>
      <c r="F10134">
        <v>11178</v>
      </c>
      <c r="G10134">
        <v>10893</v>
      </c>
    </row>
    <row r="10135" spans="1:7">
      <c r="A10135" t="s">
        <v>1876</v>
      </c>
      <c r="B10135" t="s">
        <v>378</v>
      </c>
      <c r="C10135" t="s">
        <v>245</v>
      </c>
      <c r="D10135">
        <v>62574</v>
      </c>
      <c r="E10135">
        <v>79676</v>
      </c>
      <c r="F10135">
        <v>82679</v>
      </c>
      <c r="G10135">
        <v>63695</v>
      </c>
    </row>
    <row r="10136" spans="1:7">
      <c r="A10136" t="s">
        <v>1876</v>
      </c>
      <c r="B10136" t="s">
        <v>378</v>
      </c>
      <c r="C10136" t="s">
        <v>246</v>
      </c>
      <c r="D10136">
        <v>241440</v>
      </c>
      <c r="E10136">
        <v>247994</v>
      </c>
      <c r="F10136">
        <v>224462</v>
      </c>
      <c r="G10136">
        <v>228409</v>
      </c>
    </row>
    <row r="10137" spans="1:7">
      <c r="A10137" t="s">
        <v>1876</v>
      </c>
      <c r="B10137" t="s">
        <v>378</v>
      </c>
      <c r="C10137" t="s">
        <v>247</v>
      </c>
      <c r="D10137">
        <v>697019</v>
      </c>
      <c r="E10137">
        <v>755048</v>
      </c>
      <c r="F10137">
        <v>721282</v>
      </c>
      <c r="G10137">
        <v>680344</v>
      </c>
    </row>
    <row r="10138" spans="1:7">
      <c r="A10138" t="s">
        <v>1876</v>
      </c>
      <c r="B10138" t="s">
        <v>378</v>
      </c>
      <c r="C10138" t="s">
        <v>248</v>
      </c>
      <c r="D10138">
        <v>75.2</v>
      </c>
      <c r="E10138">
        <v>81.2</v>
      </c>
      <c r="F10138">
        <v>76.8</v>
      </c>
      <c r="G10138">
        <v>71.599999999999994</v>
      </c>
    </row>
    <row r="10139" spans="1:7">
      <c r="A10139" t="s">
        <v>1876</v>
      </c>
      <c r="B10139" t="s">
        <v>378</v>
      </c>
      <c r="C10139" t="s">
        <v>249</v>
      </c>
      <c r="D10139">
        <v>468220</v>
      </c>
      <c r="E10139">
        <v>495994</v>
      </c>
      <c r="F10139">
        <v>465634</v>
      </c>
      <c r="G10139">
        <v>448315</v>
      </c>
    </row>
    <row r="10140" spans="1:7">
      <c r="A10140" t="s">
        <v>1876</v>
      </c>
      <c r="B10140" t="s">
        <v>378</v>
      </c>
      <c r="C10140" t="s">
        <v>250</v>
      </c>
      <c r="D10140">
        <v>697019</v>
      </c>
      <c r="E10140">
        <v>755048</v>
      </c>
      <c r="F10140">
        <v>721282</v>
      </c>
      <c r="G10140">
        <v>680344</v>
      </c>
    </row>
    <row r="10141" spans="1:7">
      <c r="A10141" t="s">
        <v>1876</v>
      </c>
      <c r="B10141" t="s">
        <v>378</v>
      </c>
      <c r="C10141" t="s">
        <v>1937</v>
      </c>
      <c r="D10141">
        <v>6.2</v>
      </c>
      <c r="E10141">
        <v>10.6</v>
      </c>
      <c r="F10141">
        <v>8.6</v>
      </c>
      <c r="G10141">
        <v>8.1999999999999993</v>
      </c>
    </row>
    <row r="10142" spans="1:7">
      <c r="A10142" t="s">
        <v>1876</v>
      </c>
      <c r="B10142" t="s">
        <v>378</v>
      </c>
      <c r="C10142" t="s">
        <v>1938</v>
      </c>
      <c r="D10142">
        <v>92.9</v>
      </c>
      <c r="E10142">
        <v>93.5</v>
      </c>
      <c r="F10142">
        <v>93.6</v>
      </c>
      <c r="G10142">
        <v>91.2</v>
      </c>
    </row>
    <row r="10143" spans="1:7">
      <c r="A10143" t="s">
        <v>1876</v>
      </c>
      <c r="B10143" t="s">
        <v>378</v>
      </c>
      <c r="C10143" t="s">
        <v>251</v>
      </c>
      <c r="D10143">
        <v>293494</v>
      </c>
      <c r="E10143">
        <v>295875</v>
      </c>
      <c r="F10143">
        <v>296162</v>
      </c>
      <c r="G10143">
        <v>289029</v>
      </c>
    </row>
    <row r="10144" spans="1:7">
      <c r="A10144" t="s">
        <v>1876</v>
      </c>
      <c r="B10144" t="s">
        <v>378</v>
      </c>
      <c r="C10144" t="s">
        <v>252</v>
      </c>
      <c r="D10144">
        <v>293494</v>
      </c>
      <c r="E10144">
        <v>295875</v>
      </c>
      <c r="F10144">
        <v>296162</v>
      </c>
      <c r="G10144">
        <v>289029</v>
      </c>
    </row>
    <row r="10145" spans="1:7">
      <c r="A10145" t="s">
        <v>1876</v>
      </c>
      <c r="B10145" t="s">
        <v>378</v>
      </c>
      <c r="C10145" t="s">
        <v>1710</v>
      </c>
      <c r="D10145">
        <v>3457</v>
      </c>
      <c r="E10145">
        <v>3457</v>
      </c>
      <c r="F10145">
        <v>3457</v>
      </c>
      <c r="G10145">
        <v>3457</v>
      </c>
    </row>
    <row r="10146" spans="1:7">
      <c r="A10146" t="s">
        <v>1876</v>
      </c>
      <c r="B10146" t="s">
        <v>378</v>
      </c>
      <c r="C10146" t="s">
        <v>1939</v>
      </c>
      <c r="D10146">
        <v>22.6</v>
      </c>
      <c r="E10146">
        <v>19.8</v>
      </c>
      <c r="F10146">
        <v>22.4</v>
      </c>
      <c r="G10146">
        <v>18.5</v>
      </c>
    </row>
    <row r="10147" spans="1:7">
      <c r="A10147" t="s">
        <v>1876</v>
      </c>
      <c r="B10147" t="s">
        <v>378</v>
      </c>
      <c r="C10147" t="s">
        <v>253</v>
      </c>
      <c r="D10147">
        <v>16206</v>
      </c>
      <c r="E10147">
        <v>16206</v>
      </c>
      <c r="F10147">
        <v>16206</v>
      </c>
      <c r="G10147">
        <v>16206</v>
      </c>
    </row>
    <row r="10148" spans="1:7">
      <c r="A10148" t="s">
        <v>1876</v>
      </c>
      <c r="B10148" t="s">
        <v>378</v>
      </c>
      <c r="C10148" t="s">
        <v>1711</v>
      </c>
      <c r="D10148">
        <v>29</v>
      </c>
      <c r="E10148">
        <v>29</v>
      </c>
      <c r="F10148">
        <v>29</v>
      </c>
      <c r="G10148">
        <v>29</v>
      </c>
    </row>
    <row r="10149" spans="1:7">
      <c r="A10149" t="s">
        <v>1876</v>
      </c>
      <c r="B10149" t="s">
        <v>378</v>
      </c>
      <c r="C10149" t="s">
        <v>1712</v>
      </c>
      <c r="D10149">
        <v>38025</v>
      </c>
      <c r="E10149">
        <v>38809</v>
      </c>
      <c r="F10149">
        <v>41445</v>
      </c>
      <c r="G10149">
        <v>40565</v>
      </c>
    </row>
    <row r="10150" spans="1:7">
      <c r="A10150" t="s">
        <v>1876</v>
      </c>
      <c r="B10150" t="s">
        <v>378</v>
      </c>
      <c r="C10150" t="s">
        <v>1713</v>
      </c>
      <c r="D10150">
        <v>1570</v>
      </c>
      <c r="E10150">
        <v>1473</v>
      </c>
      <c r="F10150">
        <v>2164</v>
      </c>
      <c r="G10150">
        <v>2274</v>
      </c>
    </row>
    <row r="10151" spans="1:7">
      <c r="A10151" t="s">
        <v>1876</v>
      </c>
      <c r="B10151" t="s">
        <v>378</v>
      </c>
      <c r="C10151" t="s">
        <v>1940</v>
      </c>
      <c r="D10151">
        <v>0</v>
      </c>
      <c r="E10151">
        <v>0</v>
      </c>
      <c r="F10151">
        <v>0</v>
      </c>
      <c r="G10151">
        <v>0</v>
      </c>
    </row>
    <row r="10152" spans="1:7">
      <c r="A10152" t="s">
        <v>1876</v>
      </c>
      <c r="B10152" t="s">
        <v>378</v>
      </c>
      <c r="C10152" t="s">
        <v>1941</v>
      </c>
      <c r="D10152">
        <v>0</v>
      </c>
      <c r="E10152">
        <v>0</v>
      </c>
      <c r="F10152">
        <v>0</v>
      </c>
      <c r="G10152">
        <v>0</v>
      </c>
    </row>
    <row r="10153" spans="1:7">
      <c r="A10153" t="s">
        <v>1876</v>
      </c>
      <c r="B10153" t="s">
        <v>378</v>
      </c>
      <c r="C10153" t="s">
        <v>254</v>
      </c>
      <c r="D10153">
        <v>38025</v>
      </c>
      <c r="E10153">
        <v>38809</v>
      </c>
      <c r="F10153">
        <v>41445</v>
      </c>
      <c r="G10153">
        <v>40565</v>
      </c>
    </row>
    <row r="10154" spans="1:7">
      <c r="A10154" t="s">
        <v>1876</v>
      </c>
      <c r="B10154" t="s">
        <v>378</v>
      </c>
      <c r="C10154" t="s">
        <v>1942</v>
      </c>
      <c r="D10154">
        <v>0</v>
      </c>
      <c r="E10154">
        <v>0</v>
      </c>
      <c r="F10154">
        <v>0</v>
      </c>
      <c r="G10154">
        <v>0</v>
      </c>
    </row>
    <row r="10155" spans="1:7">
      <c r="A10155" t="s">
        <v>1876</v>
      </c>
      <c r="B10155" t="s">
        <v>378</v>
      </c>
      <c r="C10155" t="s">
        <v>255</v>
      </c>
      <c r="D10155">
        <v>39595</v>
      </c>
      <c r="E10155">
        <v>40282</v>
      </c>
      <c r="F10155">
        <v>43609</v>
      </c>
      <c r="G10155">
        <v>42839</v>
      </c>
    </row>
    <row r="10156" spans="1:7">
      <c r="A10156" t="s">
        <v>1876</v>
      </c>
      <c r="B10156" t="s">
        <v>378</v>
      </c>
      <c r="C10156" t="s">
        <v>256</v>
      </c>
      <c r="D10156">
        <v>39595</v>
      </c>
      <c r="E10156">
        <v>40282</v>
      </c>
      <c r="F10156">
        <v>43609</v>
      </c>
      <c r="G10156">
        <v>42839</v>
      </c>
    </row>
    <row r="10157" spans="1:7">
      <c r="A10157" t="s">
        <v>1876</v>
      </c>
      <c r="B10157" t="s">
        <v>378</v>
      </c>
      <c r="C10157" t="s">
        <v>1714</v>
      </c>
      <c r="D10157">
        <v>11</v>
      </c>
      <c r="E10157">
        <v>11</v>
      </c>
      <c r="F10157">
        <v>11</v>
      </c>
      <c r="G10157">
        <v>11</v>
      </c>
    </row>
    <row r="10158" spans="1:7">
      <c r="A10158" t="s">
        <v>1876</v>
      </c>
      <c r="B10158" t="s">
        <v>378</v>
      </c>
      <c r="C10158" t="s">
        <v>257</v>
      </c>
      <c r="D10158">
        <v>78071</v>
      </c>
      <c r="E10158">
        <v>77626</v>
      </c>
      <c r="F10158">
        <v>80924</v>
      </c>
      <c r="G10158">
        <v>68957</v>
      </c>
    </row>
    <row r="10159" spans="1:7">
      <c r="A10159" t="s">
        <v>1876</v>
      </c>
      <c r="B10159" t="s">
        <v>378</v>
      </c>
      <c r="C10159" t="s">
        <v>258</v>
      </c>
      <c r="D10159">
        <v>82764</v>
      </c>
      <c r="E10159">
        <v>82331</v>
      </c>
      <c r="F10159">
        <v>85639</v>
      </c>
      <c r="G10159">
        <v>73685</v>
      </c>
    </row>
    <row r="10160" spans="1:7">
      <c r="A10160" t="s">
        <v>1876</v>
      </c>
      <c r="B10160" t="s">
        <v>378</v>
      </c>
      <c r="C10160" t="s">
        <v>259</v>
      </c>
      <c r="D10160">
        <v>82764</v>
      </c>
      <c r="E10160">
        <v>82331</v>
      </c>
      <c r="F10160">
        <v>85639</v>
      </c>
      <c r="G10160">
        <v>73685</v>
      </c>
    </row>
    <row r="10161" spans="1:7">
      <c r="A10161" t="s">
        <v>1876</v>
      </c>
      <c r="B10161" t="s">
        <v>378</v>
      </c>
      <c r="C10161" t="s">
        <v>260</v>
      </c>
      <c r="D10161">
        <v>618351</v>
      </c>
      <c r="E10161">
        <v>636333</v>
      </c>
      <c r="F10161">
        <v>658692</v>
      </c>
      <c r="G10161">
        <v>655774</v>
      </c>
    </row>
    <row r="10162" spans="1:7">
      <c r="A10162" t="s">
        <v>1876</v>
      </c>
      <c r="B10162" t="s">
        <v>378</v>
      </c>
      <c r="C10162" t="s">
        <v>1943</v>
      </c>
      <c r="D10162">
        <v>2.1</v>
      </c>
      <c r="E10162">
        <v>0.6</v>
      </c>
      <c r="F10162">
        <v>0.5</v>
      </c>
      <c r="G10162">
        <v>0.4</v>
      </c>
    </row>
    <row r="10163" spans="1:7">
      <c r="A10163" t="s">
        <v>1876</v>
      </c>
      <c r="B10163" t="s">
        <v>378</v>
      </c>
      <c r="C10163" t="s">
        <v>261</v>
      </c>
      <c r="D10163">
        <v>23206</v>
      </c>
      <c r="E10163">
        <v>24243</v>
      </c>
      <c r="F10163">
        <v>22517</v>
      </c>
      <c r="G10163">
        <v>19618</v>
      </c>
    </row>
    <row r="10164" spans="1:7">
      <c r="A10164" t="s">
        <v>1876</v>
      </c>
      <c r="B10164" t="s">
        <v>378</v>
      </c>
      <c r="C10164" t="s">
        <v>262</v>
      </c>
      <c r="D10164">
        <v>225</v>
      </c>
      <c r="E10164">
        <v>853</v>
      </c>
      <c r="F10164">
        <v>258</v>
      </c>
      <c r="G10164">
        <v>181</v>
      </c>
    </row>
    <row r="10165" spans="1:7">
      <c r="A10165" t="s">
        <v>1876</v>
      </c>
      <c r="B10165" t="s">
        <v>378</v>
      </c>
      <c r="C10165" t="s">
        <v>1715</v>
      </c>
      <c r="D10165">
        <v>108</v>
      </c>
      <c r="E10165">
        <v>302</v>
      </c>
      <c r="F10165">
        <v>302</v>
      </c>
      <c r="G10165">
        <v>302</v>
      </c>
    </row>
    <row r="10166" spans="1:7">
      <c r="A10166" t="s">
        <v>1876</v>
      </c>
      <c r="B10166" t="s">
        <v>378</v>
      </c>
      <c r="C10166" t="s">
        <v>263</v>
      </c>
      <c r="D10166">
        <v>113317</v>
      </c>
      <c r="E10166">
        <v>113373</v>
      </c>
      <c r="F10166">
        <v>116070</v>
      </c>
      <c r="G10166">
        <v>103121</v>
      </c>
    </row>
    <row r="10167" spans="1:7">
      <c r="A10167" t="s">
        <v>1876</v>
      </c>
      <c r="B10167" t="s">
        <v>378</v>
      </c>
      <c r="C10167" t="s">
        <v>264</v>
      </c>
      <c r="D10167">
        <v>28139</v>
      </c>
      <c r="E10167">
        <v>28213</v>
      </c>
      <c r="F10167">
        <v>26692</v>
      </c>
      <c r="G10167">
        <v>26401</v>
      </c>
    </row>
    <row r="10168" spans="1:7">
      <c r="A10168" t="s">
        <v>1876</v>
      </c>
      <c r="B10168" t="s">
        <v>378</v>
      </c>
      <c r="C10168" t="s">
        <v>265</v>
      </c>
      <c r="D10168">
        <v>783238</v>
      </c>
      <c r="E10168">
        <v>803016</v>
      </c>
      <c r="F10168">
        <v>824228</v>
      </c>
      <c r="G10168">
        <v>805095</v>
      </c>
    </row>
    <row r="10169" spans="1:7">
      <c r="A10169" t="s">
        <v>1876</v>
      </c>
      <c r="B10169" t="s">
        <v>378</v>
      </c>
      <c r="C10169" t="s">
        <v>266</v>
      </c>
      <c r="D10169">
        <v>84.5</v>
      </c>
      <c r="E10169">
        <v>86.4</v>
      </c>
      <c r="F10169">
        <v>87.7</v>
      </c>
      <c r="G10169">
        <v>84.7</v>
      </c>
    </row>
    <row r="10170" spans="1:7">
      <c r="A10170" t="s">
        <v>1876</v>
      </c>
      <c r="B10170" t="s">
        <v>378</v>
      </c>
      <c r="C10170" t="s">
        <v>267</v>
      </c>
      <c r="D10170">
        <v>783013</v>
      </c>
      <c r="E10170">
        <v>802162</v>
      </c>
      <c r="F10170">
        <v>823970</v>
      </c>
      <c r="G10170">
        <v>804914</v>
      </c>
    </row>
    <row r="10171" spans="1:7">
      <c r="A10171" t="s">
        <v>1876</v>
      </c>
      <c r="B10171" t="s">
        <v>378</v>
      </c>
      <c r="C10171" t="s">
        <v>268</v>
      </c>
      <c r="D10171">
        <v>0</v>
      </c>
      <c r="E10171">
        <v>0</v>
      </c>
      <c r="F10171">
        <v>0</v>
      </c>
      <c r="G10171">
        <v>0</v>
      </c>
    </row>
    <row r="10172" spans="1:7">
      <c r="A10172" t="s">
        <v>1876</v>
      </c>
      <c r="B10172" t="s">
        <v>378</v>
      </c>
      <c r="C10172" t="s">
        <v>269</v>
      </c>
      <c r="D10172">
        <v>0</v>
      </c>
      <c r="E10172">
        <v>0</v>
      </c>
      <c r="F10172">
        <v>0</v>
      </c>
      <c r="G10172">
        <v>0</v>
      </c>
    </row>
    <row r="10173" spans="1:7">
      <c r="A10173" t="s">
        <v>1876</v>
      </c>
      <c r="B10173" t="s">
        <v>378</v>
      </c>
      <c r="C10173" t="s">
        <v>270</v>
      </c>
      <c r="D10173">
        <v>15227</v>
      </c>
      <c r="E10173">
        <v>15152</v>
      </c>
      <c r="F10173">
        <v>12813</v>
      </c>
      <c r="G10173">
        <v>3999</v>
      </c>
    </row>
    <row r="10174" spans="1:7">
      <c r="A10174" t="s">
        <v>1876</v>
      </c>
      <c r="B10174" t="s">
        <v>378</v>
      </c>
      <c r="C10174" t="s">
        <v>271</v>
      </c>
      <c r="D10174">
        <v>15227</v>
      </c>
      <c r="E10174">
        <v>15152</v>
      </c>
      <c r="F10174">
        <v>12813</v>
      </c>
      <c r="G10174">
        <v>3999</v>
      </c>
    </row>
    <row r="10175" spans="1:7">
      <c r="A10175" t="s">
        <v>1876</v>
      </c>
      <c r="B10175" t="s">
        <v>378</v>
      </c>
      <c r="C10175" t="s">
        <v>272</v>
      </c>
      <c r="D10175">
        <v>15227</v>
      </c>
      <c r="E10175">
        <v>15152</v>
      </c>
      <c r="F10175">
        <v>12813</v>
      </c>
      <c r="G10175">
        <v>3999</v>
      </c>
    </row>
    <row r="10176" spans="1:7">
      <c r="A10176" t="s">
        <v>1876</v>
      </c>
      <c r="B10176" t="s">
        <v>378</v>
      </c>
      <c r="C10176" t="s">
        <v>1944</v>
      </c>
      <c r="D10176">
        <v>18</v>
      </c>
      <c r="E10176">
        <v>24.8</v>
      </c>
      <c r="F10176">
        <v>36</v>
      </c>
      <c r="G10176">
        <v>49.7</v>
      </c>
    </row>
    <row r="10177" spans="1:7">
      <c r="A10177" t="s">
        <v>1876</v>
      </c>
      <c r="B10177" t="s">
        <v>378</v>
      </c>
      <c r="C10177" t="s">
        <v>1945</v>
      </c>
      <c r="D10177">
        <v>26</v>
      </c>
      <c r="E10177">
        <v>41</v>
      </c>
      <c r="F10177">
        <v>85</v>
      </c>
      <c r="G10177">
        <v>112</v>
      </c>
    </row>
    <row r="10178" spans="1:7">
      <c r="A10178" t="s">
        <v>1876</v>
      </c>
      <c r="B10178" t="s">
        <v>378</v>
      </c>
      <c r="C10178" t="s">
        <v>273</v>
      </c>
      <c r="D10178">
        <v>0</v>
      </c>
      <c r="E10178">
        <v>0</v>
      </c>
      <c r="F10178">
        <v>0</v>
      </c>
      <c r="G10178">
        <v>0</v>
      </c>
    </row>
    <row r="10179" spans="1:7">
      <c r="A10179" t="s">
        <v>1876</v>
      </c>
      <c r="B10179" t="s">
        <v>378</v>
      </c>
      <c r="C10179" t="s">
        <v>1946</v>
      </c>
      <c r="D10179">
        <v>586483</v>
      </c>
      <c r="E10179">
        <v>604667</v>
      </c>
      <c r="F10179">
        <v>624816</v>
      </c>
      <c r="G10179">
        <v>622020</v>
      </c>
    </row>
    <row r="10180" spans="1:7">
      <c r="A10180" t="s">
        <v>1876</v>
      </c>
      <c r="B10180" t="s">
        <v>378</v>
      </c>
      <c r="C10180" t="s">
        <v>1947</v>
      </c>
      <c r="D10180">
        <v>22376</v>
      </c>
      <c r="E10180">
        <v>23329</v>
      </c>
      <c r="F10180">
        <v>21658</v>
      </c>
      <c r="G10180">
        <v>18980</v>
      </c>
    </row>
    <row r="10181" spans="1:7">
      <c r="A10181" t="s">
        <v>1876</v>
      </c>
      <c r="B10181" t="s">
        <v>378</v>
      </c>
      <c r="C10181" t="s">
        <v>1948</v>
      </c>
      <c r="D10181">
        <v>225</v>
      </c>
      <c r="E10181">
        <v>853</v>
      </c>
      <c r="F10181">
        <v>258</v>
      </c>
      <c r="G10181">
        <v>181</v>
      </c>
    </row>
    <row r="10182" spans="1:7">
      <c r="A10182" t="s">
        <v>1876</v>
      </c>
      <c r="B10182" t="s">
        <v>378</v>
      </c>
      <c r="C10182" t="s">
        <v>1949</v>
      </c>
      <c r="D10182">
        <v>112825</v>
      </c>
      <c r="E10182">
        <v>112862</v>
      </c>
      <c r="F10182">
        <v>115556</v>
      </c>
      <c r="G10182">
        <v>102653</v>
      </c>
    </row>
    <row r="10183" spans="1:7">
      <c r="A10183" t="s">
        <v>1876</v>
      </c>
      <c r="B10183" t="s">
        <v>378</v>
      </c>
      <c r="C10183" t="s">
        <v>1950</v>
      </c>
      <c r="D10183">
        <v>28139</v>
      </c>
      <c r="E10183">
        <v>28213</v>
      </c>
      <c r="F10183">
        <v>26692</v>
      </c>
      <c r="G10183">
        <v>26401</v>
      </c>
    </row>
    <row r="10184" spans="1:7">
      <c r="A10184" t="s">
        <v>1876</v>
      </c>
      <c r="B10184" t="s">
        <v>378</v>
      </c>
      <c r="C10184" t="s">
        <v>274</v>
      </c>
      <c r="D10184">
        <v>750048</v>
      </c>
      <c r="E10184">
        <v>769925</v>
      </c>
      <c r="F10184">
        <v>788980</v>
      </c>
      <c r="G10184">
        <v>770235</v>
      </c>
    </row>
    <row r="10185" spans="1:7">
      <c r="A10185" t="s">
        <v>1876</v>
      </c>
      <c r="B10185" t="s">
        <v>378</v>
      </c>
      <c r="C10185" t="s">
        <v>275</v>
      </c>
      <c r="D10185">
        <v>0</v>
      </c>
      <c r="E10185">
        <v>0</v>
      </c>
      <c r="F10185">
        <v>0</v>
      </c>
      <c r="G10185">
        <v>0</v>
      </c>
    </row>
    <row r="10186" spans="1:7">
      <c r="A10186" t="s">
        <v>1876</v>
      </c>
      <c r="B10186" t="s">
        <v>378</v>
      </c>
      <c r="C10186" t="s">
        <v>276</v>
      </c>
      <c r="D10186">
        <v>0</v>
      </c>
      <c r="E10186">
        <v>0</v>
      </c>
      <c r="F10186">
        <v>0</v>
      </c>
      <c r="G10186">
        <v>0</v>
      </c>
    </row>
    <row r="10187" spans="1:7">
      <c r="A10187" t="s">
        <v>1876</v>
      </c>
      <c r="B10187" t="s">
        <v>378</v>
      </c>
      <c r="C10187" t="s">
        <v>277</v>
      </c>
      <c r="D10187">
        <v>165</v>
      </c>
      <c r="E10187">
        <v>231</v>
      </c>
      <c r="F10187">
        <v>201</v>
      </c>
      <c r="G10187">
        <v>166</v>
      </c>
    </row>
    <row r="10188" spans="1:7">
      <c r="A10188" t="s">
        <v>1876</v>
      </c>
      <c r="B10188" t="s">
        <v>378</v>
      </c>
      <c r="C10188" t="s">
        <v>278</v>
      </c>
      <c r="D10188">
        <v>1627</v>
      </c>
      <c r="E10188">
        <v>1461</v>
      </c>
      <c r="F10188">
        <v>1046</v>
      </c>
      <c r="G10188">
        <v>986</v>
      </c>
    </row>
    <row r="10189" spans="1:7">
      <c r="A10189" t="s">
        <v>1876</v>
      </c>
      <c r="B10189" t="s">
        <v>378</v>
      </c>
      <c r="C10189" t="s">
        <v>279</v>
      </c>
      <c r="D10189">
        <v>1721</v>
      </c>
      <c r="E10189">
        <v>1872</v>
      </c>
      <c r="F10189">
        <v>1471</v>
      </c>
      <c r="G10189">
        <v>1398</v>
      </c>
    </row>
    <row r="10190" spans="1:7">
      <c r="A10190" t="s">
        <v>1876</v>
      </c>
      <c r="B10190" t="s">
        <v>378</v>
      </c>
      <c r="C10190" t="s">
        <v>280</v>
      </c>
      <c r="D10190">
        <v>4094</v>
      </c>
      <c r="E10190">
        <v>3625</v>
      </c>
      <c r="F10190">
        <v>3488</v>
      </c>
      <c r="G10190">
        <v>3443</v>
      </c>
    </row>
    <row r="10191" spans="1:7">
      <c r="A10191" t="s">
        <v>1876</v>
      </c>
      <c r="B10191" t="s">
        <v>378</v>
      </c>
      <c r="C10191" t="s">
        <v>281</v>
      </c>
      <c r="D10191">
        <v>7608</v>
      </c>
      <c r="E10191">
        <v>7188</v>
      </c>
      <c r="F10191">
        <v>6205</v>
      </c>
      <c r="G10191">
        <v>5993</v>
      </c>
    </row>
    <row r="10192" spans="1:7">
      <c r="A10192" t="s">
        <v>1876</v>
      </c>
      <c r="B10192" t="s">
        <v>378</v>
      </c>
      <c r="C10192" t="s">
        <v>282</v>
      </c>
      <c r="D10192">
        <v>7608</v>
      </c>
      <c r="E10192">
        <v>7188</v>
      </c>
      <c r="F10192">
        <v>6205</v>
      </c>
      <c r="G10192">
        <v>5993</v>
      </c>
    </row>
    <row r="10193" spans="1:7">
      <c r="A10193" t="s">
        <v>1876</v>
      </c>
      <c r="B10193" t="s">
        <v>378</v>
      </c>
      <c r="C10193" t="s">
        <v>283</v>
      </c>
      <c r="D10193">
        <v>16206</v>
      </c>
      <c r="E10193">
        <v>16206</v>
      </c>
      <c r="F10193">
        <v>16206</v>
      </c>
      <c r="G10193">
        <v>16206</v>
      </c>
    </row>
    <row r="10194" spans="1:7">
      <c r="A10194" t="s">
        <v>1876</v>
      </c>
      <c r="B10194" t="s">
        <v>378</v>
      </c>
      <c r="C10194" t="s">
        <v>284</v>
      </c>
      <c r="D10194">
        <v>16206</v>
      </c>
      <c r="E10194">
        <v>16206</v>
      </c>
      <c r="F10194">
        <v>16206</v>
      </c>
      <c r="G10194">
        <v>16206</v>
      </c>
    </row>
    <row r="10195" spans="1:7">
      <c r="A10195" t="s">
        <v>1876</v>
      </c>
      <c r="B10195" t="s">
        <v>378</v>
      </c>
      <c r="C10195" t="s">
        <v>1716</v>
      </c>
      <c r="D10195">
        <v>31868</v>
      </c>
      <c r="E10195">
        <v>31666</v>
      </c>
      <c r="F10195">
        <v>33876</v>
      </c>
      <c r="G10195">
        <v>33754</v>
      </c>
    </row>
    <row r="10196" spans="1:7">
      <c r="A10196" t="s">
        <v>1876</v>
      </c>
      <c r="B10196" t="s">
        <v>378</v>
      </c>
      <c r="C10196" t="s">
        <v>1717</v>
      </c>
      <c r="D10196">
        <v>9353</v>
      </c>
      <c r="E10196">
        <v>14145</v>
      </c>
      <c r="F10196">
        <v>13920</v>
      </c>
      <c r="G10196">
        <v>14037</v>
      </c>
    </row>
    <row r="10197" spans="1:7">
      <c r="A10197" t="s">
        <v>1876</v>
      </c>
      <c r="B10197" t="s">
        <v>378</v>
      </c>
      <c r="C10197" t="s">
        <v>1718</v>
      </c>
      <c r="D10197">
        <v>13898</v>
      </c>
      <c r="E10197">
        <v>9647</v>
      </c>
      <c r="F10197">
        <v>9926</v>
      </c>
      <c r="G10197">
        <v>9881</v>
      </c>
    </row>
    <row r="10198" spans="1:7">
      <c r="A10198" t="s">
        <v>1876</v>
      </c>
      <c r="B10198" t="s">
        <v>378</v>
      </c>
      <c r="C10198" t="s">
        <v>1719</v>
      </c>
      <c r="D10198">
        <v>1238</v>
      </c>
      <c r="E10198">
        <v>1280</v>
      </c>
      <c r="F10198">
        <v>1376</v>
      </c>
      <c r="G10198">
        <v>1388</v>
      </c>
    </row>
    <row r="10199" spans="1:7">
      <c r="A10199" t="s">
        <v>1876</v>
      </c>
      <c r="B10199" t="s">
        <v>378</v>
      </c>
      <c r="C10199" t="s">
        <v>1720</v>
      </c>
      <c r="D10199">
        <v>1878</v>
      </c>
      <c r="E10199">
        <v>1951</v>
      </c>
      <c r="F10199">
        <v>1907</v>
      </c>
      <c r="G10199">
        <v>1870</v>
      </c>
    </row>
    <row r="10200" spans="1:7">
      <c r="A10200" t="s">
        <v>1876</v>
      </c>
      <c r="B10200" t="s">
        <v>378</v>
      </c>
      <c r="C10200" t="s">
        <v>1721</v>
      </c>
      <c r="D10200">
        <v>12999</v>
      </c>
      <c r="E10200">
        <v>15848</v>
      </c>
      <c r="F10200">
        <v>14858</v>
      </c>
      <c r="G10200">
        <v>14902</v>
      </c>
    </row>
    <row r="10201" spans="1:7">
      <c r="A10201" t="s">
        <v>1876</v>
      </c>
      <c r="B10201" t="s">
        <v>378</v>
      </c>
      <c r="C10201" t="s">
        <v>285</v>
      </c>
      <c r="D10201">
        <v>69996</v>
      </c>
      <c r="E10201">
        <v>73256</v>
      </c>
      <c r="F10201">
        <v>74487</v>
      </c>
      <c r="G10201">
        <v>74443</v>
      </c>
    </row>
    <row r="10202" spans="1:7">
      <c r="A10202" t="s">
        <v>1876</v>
      </c>
      <c r="B10202" t="s">
        <v>378</v>
      </c>
      <c r="C10202" t="s">
        <v>1951</v>
      </c>
      <c r="D10202">
        <v>3.6</v>
      </c>
      <c r="E10202">
        <v>3.6</v>
      </c>
      <c r="F10202">
        <v>3.8</v>
      </c>
      <c r="G10202">
        <v>3.8</v>
      </c>
    </row>
    <row r="10203" spans="1:7">
      <c r="A10203" t="s">
        <v>1876</v>
      </c>
      <c r="B10203" t="s">
        <v>378</v>
      </c>
      <c r="C10203" t="s">
        <v>286</v>
      </c>
      <c r="D10203">
        <v>25859</v>
      </c>
      <c r="E10203">
        <v>26499</v>
      </c>
      <c r="F10203">
        <v>21996</v>
      </c>
      <c r="G10203">
        <v>23811</v>
      </c>
    </row>
    <row r="10204" spans="1:7">
      <c r="A10204" t="s">
        <v>1876</v>
      </c>
      <c r="B10204" t="s">
        <v>378</v>
      </c>
      <c r="C10204" t="s">
        <v>287</v>
      </c>
      <c r="D10204">
        <v>6</v>
      </c>
      <c r="E10204">
        <v>6</v>
      </c>
      <c r="F10204">
        <v>5</v>
      </c>
      <c r="G10204">
        <v>6</v>
      </c>
    </row>
    <row r="10205" spans="1:7">
      <c r="A10205" t="s">
        <v>1876</v>
      </c>
      <c r="B10205" t="s">
        <v>378</v>
      </c>
      <c r="C10205" t="s">
        <v>288</v>
      </c>
      <c r="D10205">
        <v>0</v>
      </c>
      <c r="E10205">
        <v>0</v>
      </c>
      <c r="F10205">
        <v>0</v>
      </c>
      <c r="G10205">
        <v>0</v>
      </c>
    </row>
    <row r="10206" spans="1:7">
      <c r="A10206" t="s">
        <v>1876</v>
      </c>
      <c r="B10206" t="s">
        <v>378</v>
      </c>
      <c r="C10206" t="s">
        <v>289</v>
      </c>
      <c r="D10206">
        <v>0</v>
      </c>
      <c r="E10206">
        <v>0</v>
      </c>
      <c r="F10206">
        <v>0</v>
      </c>
      <c r="G10206">
        <v>0</v>
      </c>
    </row>
    <row r="10207" spans="1:7">
      <c r="A10207" t="s">
        <v>1876</v>
      </c>
      <c r="B10207" t="s">
        <v>378</v>
      </c>
      <c r="C10207" t="s">
        <v>290</v>
      </c>
      <c r="D10207">
        <v>25866</v>
      </c>
      <c r="E10207">
        <v>26505</v>
      </c>
      <c r="F10207">
        <v>22002</v>
      </c>
      <c r="G10207">
        <v>23816</v>
      </c>
    </row>
    <row r="10208" spans="1:7">
      <c r="A10208" t="s">
        <v>1876</v>
      </c>
      <c r="B10208" t="s">
        <v>378</v>
      </c>
      <c r="C10208" t="s">
        <v>291</v>
      </c>
      <c r="D10208">
        <v>25866</v>
      </c>
      <c r="E10208">
        <v>26505</v>
      </c>
      <c r="F10208">
        <v>22002</v>
      </c>
      <c r="G10208">
        <v>23816</v>
      </c>
    </row>
    <row r="10209" spans="1:7">
      <c r="A10209" t="s">
        <v>1876</v>
      </c>
      <c r="B10209" t="s">
        <v>378</v>
      </c>
      <c r="C10209" t="s">
        <v>292</v>
      </c>
      <c r="D10209">
        <v>0</v>
      </c>
      <c r="E10209">
        <v>0</v>
      </c>
      <c r="F10209">
        <v>0</v>
      </c>
      <c r="G10209">
        <v>0</v>
      </c>
    </row>
    <row r="10210" spans="1:7">
      <c r="A10210" t="s">
        <v>1876</v>
      </c>
      <c r="B10210" t="s">
        <v>378</v>
      </c>
      <c r="C10210" t="s">
        <v>293</v>
      </c>
      <c r="D10210">
        <v>0</v>
      </c>
      <c r="E10210">
        <v>0</v>
      </c>
      <c r="F10210">
        <v>0</v>
      </c>
      <c r="G10210">
        <v>0</v>
      </c>
    </row>
    <row r="10211" spans="1:7">
      <c r="A10211" t="s">
        <v>1876</v>
      </c>
      <c r="B10211" t="s">
        <v>378</v>
      </c>
      <c r="C10211" t="s">
        <v>294</v>
      </c>
      <c r="D10211">
        <v>0</v>
      </c>
      <c r="E10211">
        <v>0</v>
      </c>
      <c r="F10211">
        <v>0</v>
      </c>
      <c r="G10211">
        <v>0</v>
      </c>
    </row>
    <row r="10212" spans="1:7">
      <c r="A10212" t="s">
        <v>1876</v>
      </c>
      <c r="B10212" t="s">
        <v>378</v>
      </c>
      <c r="C10212" t="s">
        <v>295</v>
      </c>
      <c r="D10212">
        <v>0</v>
      </c>
      <c r="E10212">
        <v>0</v>
      </c>
      <c r="F10212">
        <v>0</v>
      </c>
      <c r="G10212">
        <v>0</v>
      </c>
    </row>
    <row r="10213" spans="1:7">
      <c r="A10213" t="s">
        <v>1876</v>
      </c>
      <c r="B10213" t="s">
        <v>378</v>
      </c>
      <c r="C10213" t="s">
        <v>296</v>
      </c>
      <c r="D10213">
        <v>0</v>
      </c>
      <c r="E10213">
        <v>0</v>
      </c>
      <c r="F10213">
        <v>0</v>
      </c>
      <c r="G10213">
        <v>0</v>
      </c>
    </row>
    <row r="10214" spans="1:7">
      <c r="A10214" t="s">
        <v>1876</v>
      </c>
      <c r="B10214" t="s">
        <v>378</v>
      </c>
      <c r="C10214" t="s">
        <v>297</v>
      </c>
      <c r="D10214">
        <v>30413</v>
      </c>
      <c r="E10214">
        <v>32258</v>
      </c>
      <c r="F10214">
        <v>35187</v>
      </c>
      <c r="G10214">
        <v>34528</v>
      </c>
    </row>
    <row r="10215" spans="1:7">
      <c r="A10215" t="s">
        <v>1876</v>
      </c>
      <c r="B10215" t="s">
        <v>378</v>
      </c>
      <c r="C10215" t="s">
        <v>1952</v>
      </c>
      <c r="D10215">
        <v>0</v>
      </c>
      <c r="E10215">
        <v>0</v>
      </c>
      <c r="F10215">
        <v>0</v>
      </c>
      <c r="G10215">
        <v>0</v>
      </c>
    </row>
    <row r="10216" spans="1:7">
      <c r="A10216" t="s">
        <v>1876</v>
      </c>
      <c r="B10216" t="s">
        <v>378</v>
      </c>
      <c r="C10216" t="s">
        <v>298</v>
      </c>
      <c r="D10216">
        <v>1057</v>
      </c>
      <c r="E10216">
        <v>1322</v>
      </c>
      <c r="F10216">
        <v>1324</v>
      </c>
      <c r="G10216">
        <v>1158</v>
      </c>
    </row>
    <row r="10217" spans="1:7">
      <c r="A10217" t="s">
        <v>1876</v>
      </c>
      <c r="B10217" t="s">
        <v>378</v>
      </c>
      <c r="C10217" t="s">
        <v>299</v>
      </c>
      <c r="D10217">
        <v>4685</v>
      </c>
      <c r="E10217">
        <v>5336</v>
      </c>
      <c r="F10217">
        <v>5001</v>
      </c>
      <c r="G10217">
        <v>5259</v>
      </c>
    </row>
    <row r="10218" spans="1:7">
      <c r="A10218" t="s">
        <v>1876</v>
      </c>
      <c r="B10218" t="s">
        <v>378</v>
      </c>
      <c r="C10218" t="s">
        <v>300</v>
      </c>
      <c r="D10218">
        <v>4241</v>
      </c>
      <c r="E10218">
        <v>4648</v>
      </c>
      <c r="F10218">
        <v>4807</v>
      </c>
      <c r="G10218">
        <v>4999</v>
      </c>
    </row>
    <row r="10219" spans="1:7">
      <c r="A10219" t="s">
        <v>1876</v>
      </c>
      <c r="B10219" t="s">
        <v>378</v>
      </c>
      <c r="C10219" t="s">
        <v>1722</v>
      </c>
      <c r="D10219">
        <v>1024</v>
      </c>
      <c r="E10219">
        <v>1069</v>
      </c>
      <c r="F10219">
        <v>1168</v>
      </c>
      <c r="G10219">
        <v>1180</v>
      </c>
    </row>
    <row r="10220" spans="1:7">
      <c r="A10220" t="s">
        <v>1876</v>
      </c>
      <c r="B10220" t="s">
        <v>378</v>
      </c>
      <c r="C10220" t="s">
        <v>301</v>
      </c>
      <c r="D10220">
        <v>713</v>
      </c>
      <c r="E10220">
        <v>731</v>
      </c>
      <c r="F10220">
        <v>687</v>
      </c>
      <c r="G10220">
        <v>729</v>
      </c>
    </row>
    <row r="10221" spans="1:7">
      <c r="A10221" t="s">
        <v>1876</v>
      </c>
      <c r="B10221" t="s">
        <v>378</v>
      </c>
      <c r="C10221" t="s">
        <v>302</v>
      </c>
      <c r="D10221">
        <v>5937</v>
      </c>
      <c r="E10221">
        <v>7072</v>
      </c>
      <c r="F10221">
        <v>7328</v>
      </c>
      <c r="G10221">
        <v>7814</v>
      </c>
    </row>
    <row r="10222" spans="1:7">
      <c r="A10222" t="s">
        <v>1876</v>
      </c>
      <c r="B10222" t="s">
        <v>378</v>
      </c>
      <c r="C10222" t="s">
        <v>303</v>
      </c>
      <c r="D10222">
        <v>15576</v>
      </c>
      <c r="E10222">
        <v>17787</v>
      </c>
      <c r="F10222">
        <v>17823</v>
      </c>
      <c r="G10222">
        <v>18801</v>
      </c>
    </row>
    <row r="10223" spans="1:7">
      <c r="A10223" t="s">
        <v>1876</v>
      </c>
      <c r="B10223" t="s">
        <v>378</v>
      </c>
      <c r="C10223" t="s">
        <v>304</v>
      </c>
      <c r="D10223">
        <v>11335</v>
      </c>
      <c r="E10223">
        <v>13139</v>
      </c>
      <c r="F10223">
        <v>13016</v>
      </c>
      <c r="G10223">
        <v>13802</v>
      </c>
    </row>
    <row r="10224" spans="1:7">
      <c r="A10224" t="s">
        <v>1876</v>
      </c>
      <c r="B10224" t="s">
        <v>378</v>
      </c>
      <c r="C10224" t="s">
        <v>1953</v>
      </c>
      <c r="D10224">
        <v>15.8</v>
      </c>
      <c r="E10224">
        <v>16.399999999999999</v>
      </c>
      <c r="F10224">
        <v>15.6</v>
      </c>
      <c r="G10224">
        <v>15.5</v>
      </c>
    </row>
    <row r="10225" spans="1:7">
      <c r="A10225" t="s">
        <v>1876</v>
      </c>
      <c r="B10225" t="s">
        <v>378</v>
      </c>
      <c r="C10225" t="s">
        <v>305</v>
      </c>
      <c r="D10225">
        <v>628879</v>
      </c>
      <c r="E10225">
        <v>647036</v>
      </c>
      <c r="F10225">
        <v>670115</v>
      </c>
      <c r="G10225">
        <v>667407</v>
      </c>
    </row>
    <row r="10226" spans="1:7">
      <c r="A10226" t="s">
        <v>1876</v>
      </c>
      <c r="B10226" t="s">
        <v>378</v>
      </c>
      <c r="C10226" t="s">
        <v>306</v>
      </c>
      <c r="D10226">
        <v>67.900000000000006</v>
      </c>
      <c r="E10226">
        <v>69.599999999999994</v>
      </c>
      <c r="F10226">
        <v>71.3</v>
      </c>
      <c r="G10226">
        <v>70.2</v>
      </c>
    </row>
    <row r="10227" spans="1:7">
      <c r="A10227" t="s">
        <v>1876</v>
      </c>
      <c r="B10227" t="s">
        <v>378</v>
      </c>
      <c r="C10227" t="s">
        <v>307</v>
      </c>
      <c r="D10227">
        <v>529719</v>
      </c>
      <c r="E10227">
        <v>546833</v>
      </c>
      <c r="F10227">
        <v>523751</v>
      </c>
      <c r="G10227">
        <v>531533</v>
      </c>
    </row>
    <row r="10228" spans="1:7">
      <c r="A10228" t="s">
        <v>1876</v>
      </c>
      <c r="B10228" t="s">
        <v>378</v>
      </c>
      <c r="C10228" t="s">
        <v>308</v>
      </c>
      <c r="D10228">
        <v>57.2</v>
      </c>
      <c r="E10228">
        <v>58.8</v>
      </c>
      <c r="F10228">
        <v>55.7</v>
      </c>
      <c r="G10228">
        <v>55.9</v>
      </c>
    </row>
    <row r="10229" spans="1:7">
      <c r="A10229" t="s">
        <v>1876</v>
      </c>
      <c r="B10229" t="s">
        <v>378</v>
      </c>
      <c r="C10229" t="s">
        <v>309</v>
      </c>
      <c r="D10229">
        <v>549002</v>
      </c>
      <c r="E10229">
        <v>571629</v>
      </c>
      <c r="F10229">
        <v>561993</v>
      </c>
      <c r="G10229">
        <v>531120</v>
      </c>
    </row>
    <row r="10230" spans="1:7">
      <c r="A10230" t="s">
        <v>1876</v>
      </c>
      <c r="B10230" t="s">
        <v>378</v>
      </c>
      <c r="C10230" t="s">
        <v>310</v>
      </c>
      <c r="D10230">
        <v>239668</v>
      </c>
      <c r="E10230">
        <v>257625</v>
      </c>
      <c r="F10230">
        <v>258372</v>
      </c>
      <c r="G10230">
        <v>228183</v>
      </c>
    </row>
    <row r="10231" spans="1:7">
      <c r="A10231" t="s">
        <v>1876</v>
      </c>
      <c r="B10231" t="s">
        <v>378</v>
      </c>
      <c r="C10231" t="s">
        <v>311</v>
      </c>
      <c r="D10231">
        <v>25.9</v>
      </c>
      <c r="E10231">
        <v>27.7</v>
      </c>
      <c r="F10231">
        <v>27.5</v>
      </c>
      <c r="G10231">
        <v>24</v>
      </c>
    </row>
    <row r="10232" spans="1:7">
      <c r="A10232" t="s">
        <v>1876</v>
      </c>
      <c r="B10232" t="s">
        <v>378</v>
      </c>
      <c r="C10232" t="s">
        <v>312</v>
      </c>
      <c r="D10232">
        <v>567311</v>
      </c>
      <c r="E10232">
        <v>573079</v>
      </c>
      <c r="F10232">
        <v>531861</v>
      </c>
      <c r="G10232">
        <v>550060</v>
      </c>
    </row>
    <row r="10233" spans="1:7">
      <c r="A10233" t="s">
        <v>1876</v>
      </c>
      <c r="B10233" t="s">
        <v>378</v>
      </c>
      <c r="C10233" t="s">
        <v>313</v>
      </c>
      <c r="D10233">
        <v>61.2</v>
      </c>
      <c r="E10233">
        <v>61.6</v>
      </c>
      <c r="F10233">
        <v>56.6</v>
      </c>
      <c r="G10233">
        <v>57.9</v>
      </c>
    </row>
    <row r="10234" spans="1:7">
      <c r="A10234" t="s">
        <v>1876</v>
      </c>
      <c r="B10234" t="s">
        <v>378</v>
      </c>
      <c r="C10234" t="s">
        <v>314</v>
      </c>
      <c r="D10234">
        <v>1965578</v>
      </c>
      <c r="E10234">
        <v>2024571</v>
      </c>
      <c r="F10234">
        <v>1984101</v>
      </c>
      <c r="G10234">
        <v>1977184</v>
      </c>
    </row>
    <row r="10235" spans="1:7">
      <c r="A10235" t="s">
        <v>1876</v>
      </c>
      <c r="B10235" t="s">
        <v>378</v>
      </c>
      <c r="C10235" t="s">
        <v>315</v>
      </c>
      <c r="D10235">
        <v>3.11</v>
      </c>
      <c r="E10235">
        <v>3.12</v>
      </c>
      <c r="F10235">
        <v>3</v>
      </c>
      <c r="G10235">
        <v>2.93</v>
      </c>
    </row>
    <row r="10236" spans="1:7">
      <c r="A10236" t="s">
        <v>1876</v>
      </c>
      <c r="B10236" t="s">
        <v>378</v>
      </c>
      <c r="C10236" t="s">
        <v>316</v>
      </c>
      <c r="D10236">
        <v>212.1</v>
      </c>
      <c r="E10236">
        <v>217.7</v>
      </c>
      <c r="F10236">
        <v>211.2</v>
      </c>
      <c r="G10236">
        <v>208</v>
      </c>
    </row>
    <row r="10237" spans="1:7">
      <c r="A10237" t="s">
        <v>1876</v>
      </c>
      <c r="B10237" t="s">
        <v>378</v>
      </c>
      <c r="C10237" t="s">
        <v>317</v>
      </c>
      <c r="D10237">
        <v>1965578</v>
      </c>
      <c r="E10237">
        <v>2024573</v>
      </c>
      <c r="F10237">
        <v>1984099</v>
      </c>
      <c r="G10237">
        <v>1977183</v>
      </c>
    </row>
    <row r="10238" spans="1:7">
      <c r="A10238" t="s">
        <v>1876</v>
      </c>
      <c r="B10238" t="s">
        <v>378</v>
      </c>
      <c r="C10238" t="s">
        <v>318</v>
      </c>
      <c r="D10238">
        <v>627370</v>
      </c>
      <c r="E10238">
        <v>645536</v>
      </c>
      <c r="F10238">
        <v>667883</v>
      </c>
      <c r="G10238">
        <v>664990</v>
      </c>
    </row>
    <row r="10239" spans="1:7">
      <c r="A10239" t="s">
        <v>1876</v>
      </c>
      <c r="B10239" t="s">
        <v>378</v>
      </c>
      <c r="C10239" t="s">
        <v>319</v>
      </c>
      <c r="D10239">
        <v>311067</v>
      </c>
      <c r="E10239">
        <v>324978</v>
      </c>
      <c r="F10239">
        <v>309275</v>
      </c>
      <c r="G10239">
        <v>307918</v>
      </c>
    </row>
    <row r="10240" spans="1:7">
      <c r="A10240" t="s">
        <v>1876</v>
      </c>
      <c r="B10240" t="s">
        <v>378</v>
      </c>
      <c r="C10240" t="s">
        <v>320</v>
      </c>
      <c r="D10240">
        <v>199774</v>
      </c>
      <c r="E10240">
        <v>217534</v>
      </c>
      <c r="F10240">
        <v>221378</v>
      </c>
      <c r="G10240">
        <v>189888</v>
      </c>
    </row>
    <row r="10241" spans="1:7">
      <c r="A10241" t="s">
        <v>1876</v>
      </c>
      <c r="B10241" t="s">
        <v>378</v>
      </c>
      <c r="C10241" t="s">
        <v>321</v>
      </c>
      <c r="D10241">
        <v>385246</v>
      </c>
      <c r="E10241">
        <v>394627</v>
      </c>
      <c r="F10241">
        <v>362963</v>
      </c>
      <c r="G10241">
        <v>371025</v>
      </c>
    </row>
    <row r="10242" spans="1:7">
      <c r="A10242" t="s">
        <v>1876</v>
      </c>
      <c r="B10242" t="s">
        <v>378</v>
      </c>
      <c r="C10242" t="s">
        <v>1954</v>
      </c>
      <c r="D10242">
        <v>1523457</v>
      </c>
      <c r="E10242">
        <v>1582674</v>
      </c>
      <c r="F10242">
        <v>1561500</v>
      </c>
      <c r="G10242">
        <v>1533821</v>
      </c>
    </row>
    <row r="10243" spans="1:7">
      <c r="A10243" t="s">
        <v>1876</v>
      </c>
      <c r="B10243" t="s">
        <v>378</v>
      </c>
      <c r="C10243" t="s">
        <v>323</v>
      </c>
      <c r="D10243">
        <v>9267</v>
      </c>
      <c r="E10243">
        <v>9298</v>
      </c>
      <c r="F10243">
        <v>9395</v>
      </c>
      <c r="G10243">
        <v>9506</v>
      </c>
    </row>
    <row r="10244" spans="1:7">
      <c r="A10244" t="s">
        <v>1876</v>
      </c>
      <c r="B10244" t="s">
        <v>378</v>
      </c>
      <c r="C10244" t="s">
        <v>324</v>
      </c>
      <c r="D10244">
        <v>1010</v>
      </c>
      <c r="E10244">
        <v>0</v>
      </c>
      <c r="F10244">
        <v>0</v>
      </c>
      <c r="G10244">
        <v>0</v>
      </c>
    </row>
    <row r="10245" spans="1:7">
      <c r="A10245" t="s">
        <v>1876</v>
      </c>
      <c r="B10245" t="s">
        <v>378</v>
      </c>
      <c r="C10245" t="s">
        <v>325</v>
      </c>
      <c r="D10245">
        <v>0</v>
      </c>
      <c r="E10245">
        <v>0</v>
      </c>
      <c r="F10245">
        <v>0</v>
      </c>
      <c r="G10245">
        <v>0</v>
      </c>
    </row>
    <row r="10246" spans="1:7">
      <c r="A10246" t="s">
        <v>1876</v>
      </c>
      <c r="B10246" t="s">
        <v>378</v>
      </c>
      <c r="C10246" t="s">
        <v>326</v>
      </c>
      <c r="D10246">
        <v>1270</v>
      </c>
      <c r="E10246">
        <v>1270</v>
      </c>
      <c r="F10246">
        <v>1270</v>
      </c>
      <c r="G10246">
        <v>1270</v>
      </c>
    </row>
    <row r="10247" spans="1:7">
      <c r="A10247" t="s">
        <v>1876</v>
      </c>
      <c r="B10247" t="s">
        <v>378</v>
      </c>
      <c r="C10247" t="s">
        <v>327</v>
      </c>
      <c r="D10247">
        <v>0</v>
      </c>
      <c r="E10247">
        <v>0</v>
      </c>
      <c r="F10247">
        <v>0</v>
      </c>
      <c r="G10247">
        <v>0</v>
      </c>
    </row>
    <row r="10248" spans="1:7">
      <c r="A10248" t="s">
        <v>1876</v>
      </c>
      <c r="B10248" t="s">
        <v>378</v>
      </c>
      <c r="C10248" t="s">
        <v>1723</v>
      </c>
      <c r="D10248">
        <v>0</v>
      </c>
      <c r="E10248">
        <v>0</v>
      </c>
      <c r="F10248">
        <v>0</v>
      </c>
      <c r="G10248">
        <v>0</v>
      </c>
    </row>
    <row r="10249" spans="1:7">
      <c r="A10249" t="s">
        <v>1876</v>
      </c>
      <c r="B10249" t="s">
        <v>378</v>
      </c>
      <c r="C10249" t="s">
        <v>328</v>
      </c>
      <c r="D10249">
        <v>249</v>
      </c>
      <c r="E10249">
        <v>348</v>
      </c>
      <c r="F10249">
        <v>348</v>
      </c>
      <c r="G10249">
        <v>348</v>
      </c>
    </row>
    <row r="10250" spans="1:7">
      <c r="A10250" t="s">
        <v>1876</v>
      </c>
      <c r="B10250" t="s">
        <v>378</v>
      </c>
      <c r="C10250" t="s">
        <v>329</v>
      </c>
      <c r="D10250">
        <v>6596</v>
      </c>
      <c r="E10250">
        <v>8310</v>
      </c>
      <c r="F10250">
        <v>7064</v>
      </c>
      <c r="G10250">
        <v>6622</v>
      </c>
    </row>
    <row r="10251" spans="1:7">
      <c r="A10251" t="s">
        <v>1876</v>
      </c>
      <c r="B10251" t="s">
        <v>378</v>
      </c>
      <c r="C10251" t="s">
        <v>330</v>
      </c>
      <c r="D10251">
        <v>8114</v>
      </c>
      <c r="E10251">
        <v>9927</v>
      </c>
      <c r="F10251">
        <v>8682</v>
      </c>
      <c r="G10251">
        <v>8240</v>
      </c>
    </row>
    <row r="10252" spans="1:7">
      <c r="A10252" t="s">
        <v>1876</v>
      </c>
      <c r="B10252" t="s">
        <v>378</v>
      </c>
      <c r="C10252" t="s">
        <v>331</v>
      </c>
      <c r="D10252">
        <v>2568</v>
      </c>
      <c r="E10252">
        <v>6625</v>
      </c>
      <c r="F10252">
        <v>6791</v>
      </c>
      <c r="G10252">
        <v>6870</v>
      </c>
    </row>
    <row r="10253" spans="1:7">
      <c r="A10253" t="s">
        <v>1876</v>
      </c>
      <c r="B10253" t="s">
        <v>378</v>
      </c>
      <c r="C10253" t="s">
        <v>332</v>
      </c>
      <c r="D10253">
        <v>9528</v>
      </c>
      <c r="E10253">
        <v>4907</v>
      </c>
      <c r="F10253">
        <v>5017</v>
      </c>
      <c r="G10253">
        <v>4804</v>
      </c>
    </row>
    <row r="10254" spans="1:7">
      <c r="A10254" t="s">
        <v>1876</v>
      </c>
      <c r="B10254" t="s">
        <v>378</v>
      </c>
      <c r="C10254" t="s">
        <v>1724</v>
      </c>
      <c r="D10254">
        <v>194</v>
      </c>
      <c r="E10254">
        <v>191</v>
      </c>
      <c r="F10254">
        <v>189</v>
      </c>
      <c r="G10254">
        <v>189</v>
      </c>
    </row>
    <row r="10255" spans="1:7">
      <c r="A10255" t="s">
        <v>1876</v>
      </c>
      <c r="B10255" t="s">
        <v>378</v>
      </c>
      <c r="C10255" t="s">
        <v>333</v>
      </c>
      <c r="D10255">
        <v>424</v>
      </c>
      <c r="E10255">
        <v>362</v>
      </c>
      <c r="F10255">
        <v>359</v>
      </c>
      <c r="G10255">
        <v>325</v>
      </c>
    </row>
    <row r="10256" spans="1:7">
      <c r="A10256" t="s">
        <v>1876</v>
      </c>
      <c r="B10256" t="s">
        <v>378</v>
      </c>
      <c r="C10256" t="s">
        <v>334</v>
      </c>
      <c r="D10256">
        <v>12521</v>
      </c>
      <c r="E10256">
        <v>11894</v>
      </c>
      <c r="F10256">
        <v>12167</v>
      </c>
      <c r="G10256">
        <v>11999</v>
      </c>
    </row>
    <row r="10257" spans="1:7">
      <c r="A10257" t="s">
        <v>1876</v>
      </c>
      <c r="B10257" t="s">
        <v>378</v>
      </c>
      <c r="C10257" t="s">
        <v>335</v>
      </c>
      <c r="D10257">
        <v>3838</v>
      </c>
      <c r="E10257">
        <v>7894</v>
      </c>
      <c r="F10257">
        <v>8060</v>
      </c>
      <c r="G10257">
        <v>8140</v>
      </c>
    </row>
    <row r="10258" spans="1:7">
      <c r="A10258" t="s">
        <v>1876</v>
      </c>
      <c r="B10258" t="s">
        <v>378</v>
      </c>
      <c r="C10258" t="s">
        <v>336</v>
      </c>
      <c r="D10258">
        <v>9528</v>
      </c>
      <c r="E10258">
        <v>4907</v>
      </c>
      <c r="F10258">
        <v>5017</v>
      </c>
      <c r="G10258">
        <v>4804</v>
      </c>
    </row>
    <row r="10259" spans="1:7">
      <c r="A10259" t="s">
        <v>1876</v>
      </c>
      <c r="B10259" t="s">
        <v>378</v>
      </c>
      <c r="C10259" t="s">
        <v>337</v>
      </c>
      <c r="D10259">
        <v>673</v>
      </c>
      <c r="E10259">
        <v>710</v>
      </c>
      <c r="F10259">
        <v>707</v>
      </c>
      <c r="G10259">
        <v>673</v>
      </c>
    </row>
    <row r="10260" spans="1:7">
      <c r="A10260" t="s">
        <v>1876</v>
      </c>
      <c r="B10260" t="s">
        <v>378</v>
      </c>
      <c r="C10260" t="s">
        <v>338</v>
      </c>
      <c r="D10260">
        <v>20635</v>
      </c>
      <c r="E10260">
        <v>21821</v>
      </c>
      <c r="F10260">
        <v>20848</v>
      </c>
      <c r="G10260">
        <v>20239</v>
      </c>
    </row>
    <row r="10261" spans="1:7">
      <c r="A10261" t="s">
        <v>1876</v>
      </c>
      <c r="B10261" t="s">
        <v>378</v>
      </c>
      <c r="C10261" t="s">
        <v>339</v>
      </c>
      <c r="D10261">
        <v>11107</v>
      </c>
      <c r="E10261">
        <v>16914</v>
      </c>
      <c r="F10261">
        <v>15832</v>
      </c>
      <c r="G10261">
        <v>15435</v>
      </c>
    </row>
    <row r="10262" spans="1:7">
      <c r="A10262" t="s">
        <v>1876</v>
      </c>
      <c r="B10262" t="s">
        <v>378</v>
      </c>
      <c r="C10262" t="s">
        <v>340</v>
      </c>
      <c r="D10262">
        <v>291</v>
      </c>
      <c r="E10262">
        <v>330</v>
      </c>
      <c r="F10262">
        <v>229</v>
      </c>
      <c r="G10262">
        <v>282</v>
      </c>
    </row>
    <row r="10263" spans="1:7">
      <c r="A10263" t="s">
        <v>1876</v>
      </c>
      <c r="B10263" t="s">
        <v>378</v>
      </c>
      <c r="C10263" t="s">
        <v>1955</v>
      </c>
      <c r="D10263">
        <v>29.6</v>
      </c>
      <c r="E10263">
        <v>32.5</v>
      </c>
      <c r="F10263">
        <v>27.7</v>
      </c>
      <c r="G10263">
        <v>29</v>
      </c>
    </row>
    <row r="10264" spans="1:7">
      <c r="A10264" t="s">
        <v>1876</v>
      </c>
      <c r="B10264" t="s">
        <v>378</v>
      </c>
      <c r="C10264" t="s">
        <v>341</v>
      </c>
      <c r="D10264">
        <v>0</v>
      </c>
      <c r="E10264">
        <v>0</v>
      </c>
      <c r="F10264">
        <v>0</v>
      </c>
      <c r="G10264">
        <v>0</v>
      </c>
    </row>
    <row r="10265" spans="1:7">
      <c r="A10265" t="s">
        <v>1876</v>
      </c>
      <c r="B10265" t="s">
        <v>378</v>
      </c>
      <c r="C10265" t="s">
        <v>342</v>
      </c>
      <c r="D10265">
        <v>67</v>
      </c>
      <c r="E10265">
        <v>74</v>
      </c>
      <c r="F10265">
        <v>63</v>
      </c>
      <c r="G10265">
        <v>66</v>
      </c>
    </row>
    <row r="10266" spans="1:7">
      <c r="A10266" t="s">
        <v>1876</v>
      </c>
      <c r="B10266" t="s">
        <v>378</v>
      </c>
      <c r="C10266" t="s">
        <v>1725</v>
      </c>
      <c r="D10266">
        <v>8</v>
      </c>
      <c r="E10266">
        <v>8</v>
      </c>
      <c r="F10266">
        <v>8</v>
      </c>
      <c r="G10266">
        <v>8</v>
      </c>
    </row>
    <row r="10267" spans="1:7">
      <c r="A10267" t="s">
        <v>1876</v>
      </c>
      <c r="B10267" t="s">
        <v>378</v>
      </c>
      <c r="C10267" t="s">
        <v>343</v>
      </c>
      <c r="D10267">
        <v>0</v>
      </c>
      <c r="E10267">
        <v>0</v>
      </c>
      <c r="F10267">
        <v>0</v>
      </c>
      <c r="G10267">
        <v>0</v>
      </c>
    </row>
    <row r="10268" spans="1:7">
      <c r="A10268" t="s">
        <v>1876</v>
      </c>
      <c r="B10268" t="s">
        <v>378</v>
      </c>
      <c r="C10268" t="s">
        <v>344</v>
      </c>
      <c r="D10268">
        <v>67</v>
      </c>
      <c r="E10268">
        <v>74</v>
      </c>
      <c r="F10268">
        <v>63</v>
      </c>
      <c r="G10268">
        <v>66</v>
      </c>
    </row>
    <row r="10269" spans="1:7">
      <c r="A10269" t="s">
        <v>1876</v>
      </c>
      <c r="B10269" t="s">
        <v>378</v>
      </c>
      <c r="C10269" t="s">
        <v>345</v>
      </c>
      <c r="D10269">
        <v>0</v>
      </c>
      <c r="E10269">
        <v>0</v>
      </c>
      <c r="F10269">
        <v>0</v>
      </c>
      <c r="G10269">
        <v>0</v>
      </c>
    </row>
    <row r="10270" spans="1:7">
      <c r="A10270" t="s">
        <v>1876</v>
      </c>
      <c r="B10270" t="s">
        <v>378</v>
      </c>
      <c r="C10270" t="s">
        <v>1956</v>
      </c>
      <c r="D10270">
        <v>9528</v>
      </c>
      <c r="E10270">
        <v>4907</v>
      </c>
      <c r="F10270">
        <v>5017</v>
      </c>
      <c r="G10270">
        <v>4804</v>
      </c>
    </row>
    <row r="10271" spans="1:7">
      <c r="A10271" t="s">
        <v>1876</v>
      </c>
      <c r="B10271" t="s">
        <v>378</v>
      </c>
      <c r="C10271" t="s">
        <v>1957</v>
      </c>
      <c r="D10271">
        <v>12521</v>
      </c>
      <c r="E10271">
        <v>11894</v>
      </c>
      <c r="F10271">
        <v>12167</v>
      </c>
      <c r="G10271">
        <v>11999</v>
      </c>
    </row>
    <row r="10272" spans="1:7">
      <c r="A10272" t="s">
        <v>1876</v>
      </c>
      <c r="B10272" t="s">
        <v>378</v>
      </c>
      <c r="C10272" t="s">
        <v>346</v>
      </c>
      <c r="D10272">
        <v>1021</v>
      </c>
      <c r="E10272">
        <v>1050</v>
      </c>
      <c r="F10272">
        <v>844</v>
      </c>
      <c r="G10272">
        <v>1052</v>
      </c>
    </row>
    <row r="10273" spans="1:7">
      <c r="A10273" t="s">
        <v>1876</v>
      </c>
      <c r="B10273" t="s">
        <v>378</v>
      </c>
      <c r="C10273" t="s">
        <v>347</v>
      </c>
      <c r="D10273">
        <v>4757</v>
      </c>
      <c r="E10273">
        <v>5082</v>
      </c>
      <c r="F10273">
        <v>4418</v>
      </c>
      <c r="G10273">
        <v>4572</v>
      </c>
    </row>
    <row r="10274" spans="1:7">
      <c r="A10274" t="s">
        <v>1876</v>
      </c>
      <c r="B10274" t="s">
        <v>379</v>
      </c>
      <c r="C10274" t="s">
        <v>133</v>
      </c>
      <c r="D10274">
        <v>-5</v>
      </c>
      <c r="E10274">
        <v>-4</v>
      </c>
      <c r="F10274">
        <v>-4</v>
      </c>
      <c r="G10274">
        <v>-6</v>
      </c>
    </row>
    <row r="10275" spans="1:7">
      <c r="A10275" t="s">
        <v>1876</v>
      </c>
      <c r="B10275" t="s">
        <v>379</v>
      </c>
      <c r="C10275" t="s">
        <v>134</v>
      </c>
      <c r="D10275">
        <v>8396</v>
      </c>
      <c r="E10275">
        <v>8228</v>
      </c>
      <c r="F10275">
        <v>7915</v>
      </c>
      <c r="G10275">
        <v>8362</v>
      </c>
    </row>
    <row r="10276" spans="1:7">
      <c r="A10276" t="s">
        <v>1876</v>
      </c>
      <c r="B10276" t="s">
        <v>379</v>
      </c>
      <c r="C10276" t="s">
        <v>135</v>
      </c>
      <c r="D10276">
        <v>8396</v>
      </c>
      <c r="E10276">
        <v>8228</v>
      </c>
      <c r="F10276">
        <v>7915</v>
      </c>
      <c r="G10276">
        <v>8362</v>
      </c>
    </row>
    <row r="10277" spans="1:7">
      <c r="A10277" t="s">
        <v>1876</v>
      </c>
      <c r="B10277" t="s">
        <v>379</v>
      </c>
      <c r="C10277" t="s">
        <v>136</v>
      </c>
      <c r="D10277">
        <v>8396</v>
      </c>
      <c r="E10277">
        <v>8228</v>
      </c>
      <c r="F10277">
        <v>7915</v>
      </c>
      <c r="G10277">
        <v>8362</v>
      </c>
    </row>
    <row r="10278" spans="1:7">
      <c r="A10278" t="s">
        <v>1876</v>
      </c>
      <c r="B10278" t="s">
        <v>379</v>
      </c>
      <c r="C10278" t="s">
        <v>137</v>
      </c>
      <c r="D10278">
        <v>193</v>
      </c>
      <c r="E10278">
        <v>199</v>
      </c>
      <c r="F10278">
        <v>189</v>
      </c>
      <c r="G10278">
        <v>204</v>
      </c>
    </row>
    <row r="10279" spans="1:7">
      <c r="A10279" t="s">
        <v>1876</v>
      </c>
      <c r="B10279" t="s">
        <v>379</v>
      </c>
      <c r="C10279" t="s">
        <v>138</v>
      </c>
      <c r="D10279">
        <v>193</v>
      </c>
      <c r="E10279">
        <v>199</v>
      </c>
      <c r="F10279">
        <v>189</v>
      </c>
      <c r="G10279">
        <v>204</v>
      </c>
    </row>
    <row r="10280" spans="1:7">
      <c r="A10280" t="s">
        <v>1876</v>
      </c>
      <c r="B10280" t="s">
        <v>379</v>
      </c>
      <c r="C10280" t="s">
        <v>139</v>
      </c>
      <c r="D10280">
        <v>193</v>
      </c>
      <c r="E10280">
        <v>199</v>
      </c>
      <c r="F10280">
        <v>189</v>
      </c>
      <c r="G10280">
        <v>204</v>
      </c>
    </row>
    <row r="10281" spans="1:7">
      <c r="A10281" t="s">
        <v>1876</v>
      </c>
      <c r="B10281" t="s">
        <v>379</v>
      </c>
      <c r="C10281" t="s">
        <v>1877</v>
      </c>
      <c r="D10281">
        <v>0</v>
      </c>
      <c r="E10281">
        <v>0</v>
      </c>
      <c r="F10281">
        <v>0</v>
      </c>
      <c r="G10281">
        <v>0</v>
      </c>
    </row>
    <row r="10282" spans="1:7">
      <c r="A10282" t="s">
        <v>1876</v>
      </c>
      <c r="B10282" t="s">
        <v>379</v>
      </c>
      <c r="C10282" t="s">
        <v>1700</v>
      </c>
      <c r="D10282">
        <v>0</v>
      </c>
      <c r="E10282">
        <v>0</v>
      </c>
      <c r="F10282">
        <v>0</v>
      </c>
      <c r="G10282">
        <v>0</v>
      </c>
    </row>
    <row r="10283" spans="1:7">
      <c r="A10283" t="s">
        <v>1876</v>
      </c>
      <c r="B10283" t="s">
        <v>379</v>
      </c>
      <c r="C10283" t="s">
        <v>1878</v>
      </c>
      <c r="D10283">
        <v>0</v>
      </c>
      <c r="E10283">
        <v>0</v>
      </c>
      <c r="F10283">
        <v>0</v>
      </c>
      <c r="G10283">
        <v>0</v>
      </c>
    </row>
    <row r="10284" spans="1:7">
      <c r="A10284" t="s">
        <v>1876</v>
      </c>
      <c r="B10284" t="s">
        <v>379</v>
      </c>
      <c r="C10284" t="s">
        <v>1879</v>
      </c>
      <c r="D10284">
        <v>0</v>
      </c>
      <c r="E10284">
        <v>0</v>
      </c>
      <c r="F10284">
        <v>0</v>
      </c>
      <c r="G10284">
        <v>0</v>
      </c>
    </row>
    <row r="10285" spans="1:7">
      <c r="A10285" t="s">
        <v>1876</v>
      </c>
      <c r="B10285" t="s">
        <v>379</v>
      </c>
      <c r="C10285" t="s">
        <v>1701</v>
      </c>
      <c r="D10285">
        <v>0</v>
      </c>
      <c r="E10285">
        <v>0</v>
      </c>
      <c r="F10285">
        <v>0</v>
      </c>
      <c r="G10285">
        <v>0</v>
      </c>
    </row>
    <row r="10286" spans="1:7">
      <c r="A10286" t="s">
        <v>1876</v>
      </c>
      <c r="B10286" t="s">
        <v>379</v>
      </c>
      <c r="C10286" t="s">
        <v>1880</v>
      </c>
      <c r="D10286">
        <v>786</v>
      </c>
      <c r="E10286">
        <v>736</v>
      </c>
      <c r="F10286">
        <v>637</v>
      </c>
      <c r="G10286">
        <v>581</v>
      </c>
    </row>
    <row r="10287" spans="1:7">
      <c r="A10287" t="s">
        <v>1876</v>
      </c>
      <c r="B10287" t="s">
        <v>379</v>
      </c>
      <c r="C10287" t="s">
        <v>140</v>
      </c>
      <c r="D10287">
        <v>1846</v>
      </c>
      <c r="E10287">
        <v>1779</v>
      </c>
      <c r="F10287">
        <v>1718</v>
      </c>
      <c r="G10287">
        <v>1656</v>
      </c>
    </row>
    <row r="10288" spans="1:7">
      <c r="A10288" t="s">
        <v>1876</v>
      </c>
      <c r="B10288" t="s">
        <v>379</v>
      </c>
      <c r="C10288" t="s">
        <v>1881</v>
      </c>
      <c r="D10288">
        <v>1061</v>
      </c>
      <c r="E10288">
        <v>1043</v>
      </c>
      <c r="F10288">
        <v>1081</v>
      </c>
      <c r="G10288">
        <v>1075</v>
      </c>
    </row>
    <row r="10289" spans="1:7">
      <c r="A10289" t="s">
        <v>1876</v>
      </c>
      <c r="B10289" t="s">
        <v>379</v>
      </c>
      <c r="C10289" t="s">
        <v>1882</v>
      </c>
      <c r="D10289">
        <v>0</v>
      </c>
      <c r="E10289">
        <v>0</v>
      </c>
      <c r="F10289">
        <v>0</v>
      </c>
      <c r="G10289">
        <v>0</v>
      </c>
    </row>
    <row r="10290" spans="1:7">
      <c r="A10290" t="s">
        <v>1876</v>
      </c>
      <c r="B10290" t="s">
        <v>379</v>
      </c>
      <c r="C10290" t="s">
        <v>1883</v>
      </c>
      <c r="D10290">
        <v>0</v>
      </c>
      <c r="E10290">
        <v>0</v>
      </c>
      <c r="F10290">
        <v>0</v>
      </c>
      <c r="G10290">
        <v>0</v>
      </c>
    </row>
    <row r="10291" spans="1:7">
      <c r="A10291" t="s">
        <v>1876</v>
      </c>
      <c r="B10291" t="s">
        <v>379</v>
      </c>
      <c r="C10291" t="s">
        <v>1884</v>
      </c>
      <c r="D10291">
        <v>0</v>
      </c>
      <c r="E10291">
        <v>0</v>
      </c>
      <c r="F10291">
        <v>0</v>
      </c>
      <c r="G10291">
        <v>0</v>
      </c>
    </row>
    <row r="10292" spans="1:7">
      <c r="A10292" t="s">
        <v>1876</v>
      </c>
      <c r="B10292" t="s">
        <v>379</v>
      </c>
      <c r="C10292" t="s">
        <v>1885</v>
      </c>
      <c r="D10292">
        <v>0</v>
      </c>
      <c r="E10292">
        <v>0</v>
      </c>
      <c r="F10292">
        <v>0</v>
      </c>
      <c r="G10292">
        <v>0</v>
      </c>
    </row>
    <row r="10293" spans="1:7">
      <c r="A10293" t="s">
        <v>1876</v>
      </c>
      <c r="B10293" t="s">
        <v>379</v>
      </c>
      <c r="C10293" t="s">
        <v>1886</v>
      </c>
      <c r="D10293">
        <v>0</v>
      </c>
      <c r="E10293">
        <v>0</v>
      </c>
      <c r="F10293">
        <v>0</v>
      </c>
      <c r="G10293">
        <v>0</v>
      </c>
    </row>
    <row r="10294" spans="1:7">
      <c r="A10294" t="s">
        <v>1876</v>
      </c>
      <c r="B10294" t="s">
        <v>379</v>
      </c>
      <c r="C10294" t="s">
        <v>141</v>
      </c>
      <c r="D10294">
        <v>0</v>
      </c>
      <c r="E10294">
        <v>0</v>
      </c>
      <c r="F10294">
        <v>0</v>
      </c>
      <c r="G10294">
        <v>0</v>
      </c>
    </row>
    <row r="10295" spans="1:7">
      <c r="A10295" t="s">
        <v>1876</v>
      </c>
      <c r="B10295" t="s">
        <v>379</v>
      </c>
      <c r="C10295" t="s">
        <v>1887</v>
      </c>
      <c r="D10295">
        <v>0</v>
      </c>
      <c r="E10295">
        <v>0</v>
      </c>
      <c r="F10295">
        <v>0</v>
      </c>
      <c r="G10295">
        <v>0</v>
      </c>
    </row>
    <row r="10296" spans="1:7">
      <c r="A10296" t="s">
        <v>1876</v>
      </c>
      <c r="B10296" t="s">
        <v>379</v>
      </c>
      <c r="C10296" t="s">
        <v>1888</v>
      </c>
      <c r="D10296">
        <v>0</v>
      </c>
      <c r="E10296">
        <v>0</v>
      </c>
      <c r="F10296">
        <v>0</v>
      </c>
      <c r="G10296">
        <v>0</v>
      </c>
    </row>
    <row r="10297" spans="1:7">
      <c r="A10297" t="s">
        <v>1876</v>
      </c>
      <c r="B10297" t="s">
        <v>379</v>
      </c>
      <c r="C10297" t="s">
        <v>1889</v>
      </c>
      <c r="D10297">
        <v>786</v>
      </c>
      <c r="E10297">
        <v>736</v>
      </c>
      <c r="F10297">
        <v>637</v>
      </c>
      <c r="G10297">
        <v>581</v>
      </c>
    </row>
    <row r="10298" spans="1:7">
      <c r="A10298" t="s">
        <v>1876</v>
      </c>
      <c r="B10298" t="s">
        <v>379</v>
      </c>
      <c r="C10298" t="s">
        <v>1890</v>
      </c>
      <c r="D10298">
        <v>0</v>
      </c>
      <c r="E10298">
        <v>0</v>
      </c>
      <c r="F10298">
        <v>0</v>
      </c>
      <c r="G10298">
        <v>0</v>
      </c>
    </row>
    <row r="10299" spans="1:7">
      <c r="A10299" t="s">
        <v>1876</v>
      </c>
      <c r="B10299" t="s">
        <v>379</v>
      </c>
      <c r="C10299" t="s">
        <v>1891</v>
      </c>
    </row>
    <row r="10300" spans="1:7">
      <c r="A10300" t="s">
        <v>1876</v>
      </c>
      <c r="B10300" t="s">
        <v>379</v>
      </c>
      <c r="C10300" t="s">
        <v>1892</v>
      </c>
      <c r="D10300">
        <v>1061</v>
      </c>
      <c r="E10300">
        <v>1043</v>
      </c>
      <c r="F10300">
        <v>1081</v>
      </c>
      <c r="G10300">
        <v>1075</v>
      </c>
    </row>
    <row r="10301" spans="1:7">
      <c r="A10301" t="s">
        <v>1876</v>
      </c>
      <c r="B10301" t="s">
        <v>379</v>
      </c>
      <c r="C10301" t="s">
        <v>142</v>
      </c>
      <c r="D10301">
        <v>1846</v>
      </c>
      <c r="E10301">
        <v>1779</v>
      </c>
      <c r="F10301">
        <v>1718</v>
      </c>
      <c r="G10301">
        <v>1656</v>
      </c>
    </row>
    <row r="10302" spans="1:7">
      <c r="A10302" t="s">
        <v>1876</v>
      </c>
      <c r="B10302" t="s">
        <v>379</v>
      </c>
      <c r="C10302" t="s">
        <v>1893</v>
      </c>
      <c r="D10302">
        <v>1846</v>
      </c>
      <c r="E10302">
        <v>1779</v>
      </c>
      <c r="F10302">
        <v>1718</v>
      </c>
      <c r="G10302">
        <v>1656</v>
      </c>
    </row>
    <row r="10303" spans="1:7">
      <c r="A10303" t="s">
        <v>1876</v>
      </c>
      <c r="B10303" t="s">
        <v>379</v>
      </c>
      <c r="C10303" t="s">
        <v>1894</v>
      </c>
      <c r="D10303">
        <v>1061</v>
      </c>
      <c r="E10303">
        <v>1043</v>
      </c>
      <c r="F10303">
        <v>1081</v>
      </c>
      <c r="G10303">
        <v>1075</v>
      </c>
    </row>
    <row r="10304" spans="1:7">
      <c r="A10304" t="s">
        <v>1876</v>
      </c>
      <c r="B10304" t="s">
        <v>379</v>
      </c>
      <c r="C10304" t="s">
        <v>143</v>
      </c>
      <c r="D10304">
        <v>0</v>
      </c>
      <c r="E10304">
        <v>0</v>
      </c>
      <c r="F10304">
        <v>0</v>
      </c>
      <c r="G10304">
        <v>0</v>
      </c>
    </row>
    <row r="10305" spans="1:7">
      <c r="A10305" t="s">
        <v>1876</v>
      </c>
      <c r="B10305" t="s">
        <v>379</v>
      </c>
      <c r="C10305" t="s">
        <v>144</v>
      </c>
      <c r="D10305">
        <v>10832</v>
      </c>
      <c r="E10305">
        <v>10309</v>
      </c>
      <c r="F10305">
        <v>10220</v>
      </c>
      <c r="G10305">
        <v>9598</v>
      </c>
    </row>
    <row r="10306" spans="1:7">
      <c r="A10306" t="s">
        <v>1876</v>
      </c>
      <c r="B10306" t="s">
        <v>379</v>
      </c>
      <c r="C10306" t="s">
        <v>1895</v>
      </c>
      <c r="D10306">
        <v>52.1</v>
      </c>
      <c r="E10306">
        <v>32.9</v>
      </c>
      <c r="F10306">
        <v>35.700000000000003</v>
      </c>
      <c r="G10306">
        <v>37.4</v>
      </c>
    </row>
    <row r="10307" spans="1:7">
      <c r="A10307" t="s">
        <v>1876</v>
      </c>
      <c r="B10307" t="s">
        <v>379</v>
      </c>
      <c r="C10307" t="s">
        <v>145</v>
      </c>
      <c r="D10307">
        <v>17390</v>
      </c>
      <c r="E10307">
        <v>18133</v>
      </c>
      <c r="F10307">
        <v>16999</v>
      </c>
      <c r="G10307">
        <v>16193</v>
      </c>
    </row>
    <row r="10308" spans="1:7">
      <c r="A10308" t="s">
        <v>1876</v>
      </c>
      <c r="B10308" t="s">
        <v>379</v>
      </c>
      <c r="C10308" t="s">
        <v>146</v>
      </c>
      <c r="D10308">
        <v>0</v>
      </c>
      <c r="E10308">
        <v>0</v>
      </c>
      <c r="F10308">
        <v>0</v>
      </c>
      <c r="G10308">
        <v>0</v>
      </c>
    </row>
    <row r="10309" spans="1:7">
      <c r="A10309" t="s">
        <v>1876</v>
      </c>
      <c r="B10309" t="s">
        <v>379</v>
      </c>
      <c r="C10309" t="s">
        <v>147</v>
      </c>
      <c r="D10309">
        <v>0</v>
      </c>
      <c r="E10309">
        <v>0</v>
      </c>
      <c r="F10309">
        <v>0</v>
      </c>
      <c r="G10309">
        <v>0</v>
      </c>
    </row>
    <row r="10310" spans="1:7">
      <c r="A10310" t="s">
        <v>1876</v>
      </c>
      <c r="B10310" t="s">
        <v>379</v>
      </c>
      <c r="C10310" t="s">
        <v>1896</v>
      </c>
      <c r="D10310">
        <v>1.5</v>
      </c>
      <c r="E10310">
        <v>3</v>
      </c>
      <c r="F10310">
        <v>11.8</v>
      </c>
      <c r="G10310">
        <v>12.6</v>
      </c>
    </row>
    <row r="10311" spans="1:7">
      <c r="A10311" t="s">
        <v>1876</v>
      </c>
      <c r="B10311" t="s">
        <v>379</v>
      </c>
      <c r="C10311" t="s">
        <v>1702</v>
      </c>
      <c r="D10311">
        <v>2</v>
      </c>
      <c r="E10311">
        <v>15</v>
      </c>
      <c r="F10311">
        <v>239</v>
      </c>
      <c r="G10311">
        <v>689</v>
      </c>
    </row>
    <row r="10312" spans="1:7">
      <c r="A10312" t="s">
        <v>1876</v>
      </c>
      <c r="B10312" t="s">
        <v>379</v>
      </c>
      <c r="C10312" t="s">
        <v>1897</v>
      </c>
      <c r="D10312">
        <v>4.0999999999999996</v>
      </c>
      <c r="E10312">
        <v>6</v>
      </c>
      <c r="F10312">
        <v>9.9</v>
      </c>
      <c r="G10312">
        <v>12.6</v>
      </c>
    </row>
    <row r="10313" spans="1:7">
      <c r="A10313" t="s">
        <v>1876</v>
      </c>
      <c r="B10313" t="s">
        <v>379</v>
      </c>
      <c r="C10313" t="s">
        <v>1898</v>
      </c>
      <c r="D10313">
        <v>6</v>
      </c>
      <c r="E10313">
        <v>11</v>
      </c>
      <c r="F10313">
        <v>30</v>
      </c>
      <c r="G10313">
        <v>41</v>
      </c>
    </row>
    <row r="10314" spans="1:7">
      <c r="A10314" t="s">
        <v>1876</v>
      </c>
      <c r="B10314" t="s">
        <v>379</v>
      </c>
      <c r="C10314" t="s">
        <v>1899</v>
      </c>
      <c r="D10314">
        <v>1061</v>
      </c>
      <c r="E10314">
        <v>1043</v>
      </c>
      <c r="F10314">
        <v>1081</v>
      </c>
      <c r="G10314">
        <v>1075</v>
      </c>
    </row>
    <row r="10315" spans="1:7">
      <c r="A10315" t="s">
        <v>1876</v>
      </c>
      <c r="B10315" t="s">
        <v>379</v>
      </c>
      <c r="C10315" t="s">
        <v>148</v>
      </c>
      <c r="D10315">
        <v>0</v>
      </c>
      <c r="E10315">
        <v>0</v>
      </c>
      <c r="F10315">
        <v>0</v>
      </c>
      <c r="G10315">
        <v>0</v>
      </c>
    </row>
    <row r="10316" spans="1:7">
      <c r="A10316" t="s">
        <v>1876</v>
      </c>
      <c r="B10316" t="s">
        <v>379</v>
      </c>
      <c r="C10316" t="s">
        <v>149</v>
      </c>
      <c r="D10316">
        <v>0</v>
      </c>
      <c r="E10316">
        <v>0</v>
      </c>
      <c r="F10316">
        <v>0</v>
      </c>
      <c r="G10316">
        <v>0</v>
      </c>
    </row>
    <row r="10317" spans="1:7">
      <c r="A10317" t="s">
        <v>1876</v>
      </c>
      <c r="B10317" t="s">
        <v>379</v>
      </c>
      <c r="C10317" t="s">
        <v>150</v>
      </c>
      <c r="D10317">
        <v>0</v>
      </c>
      <c r="E10317">
        <v>0</v>
      </c>
      <c r="F10317">
        <v>0</v>
      </c>
      <c r="G10317">
        <v>0</v>
      </c>
    </row>
    <row r="10318" spans="1:7">
      <c r="A10318" t="s">
        <v>1876</v>
      </c>
      <c r="B10318" t="s">
        <v>379</v>
      </c>
      <c r="C10318" t="s">
        <v>1900</v>
      </c>
      <c r="D10318">
        <v>60.5</v>
      </c>
      <c r="E10318">
        <v>73.5</v>
      </c>
      <c r="F10318">
        <v>55.1</v>
      </c>
      <c r="G10318">
        <v>62.8</v>
      </c>
    </row>
    <row r="10319" spans="1:7">
      <c r="A10319" t="s">
        <v>1876</v>
      </c>
      <c r="B10319" t="s">
        <v>379</v>
      </c>
      <c r="C10319" t="s">
        <v>151</v>
      </c>
      <c r="D10319">
        <v>0</v>
      </c>
      <c r="E10319">
        <v>0</v>
      </c>
      <c r="F10319">
        <v>0</v>
      </c>
      <c r="G10319">
        <v>0</v>
      </c>
    </row>
    <row r="10320" spans="1:7">
      <c r="A10320" t="s">
        <v>1876</v>
      </c>
      <c r="B10320" t="s">
        <v>379</v>
      </c>
      <c r="C10320" t="s">
        <v>152</v>
      </c>
      <c r="D10320">
        <v>131834</v>
      </c>
      <c r="E10320">
        <v>136552</v>
      </c>
      <c r="F10320">
        <v>73757</v>
      </c>
      <c r="G10320">
        <v>84402</v>
      </c>
    </row>
    <row r="10321" spans="1:7">
      <c r="A10321" t="s">
        <v>1876</v>
      </c>
      <c r="B10321" t="s">
        <v>379</v>
      </c>
      <c r="C10321" t="s">
        <v>1703</v>
      </c>
      <c r="D10321">
        <v>2387</v>
      </c>
      <c r="E10321">
        <v>1540</v>
      </c>
      <c r="F10321">
        <v>1540</v>
      </c>
      <c r="G10321">
        <v>1540</v>
      </c>
    </row>
    <row r="10322" spans="1:7">
      <c r="A10322" t="s">
        <v>1876</v>
      </c>
      <c r="B10322" t="s">
        <v>379</v>
      </c>
      <c r="C10322" t="s">
        <v>153</v>
      </c>
      <c r="D10322">
        <v>1394</v>
      </c>
      <c r="E10322">
        <v>1525</v>
      </c>
      <c r="F10322">
        <v>1425</v>
      </c>
      <c r="G10322">
        <v>1108</v>
      </c>
    </row>
    <row r="10323" spans="1:7">
      <c r="A10323" t="s">
        <v>1876</v>
      </c>
      <c r="B10323" t="s">
        <v>379</v>
      </c>
      <c r="C10323" t="s">
        <v>154</v>
      </c>
      <c r="D10323">
        <v>0</v>
      </c>
      <c r="E10323">
        <v>0</v>
      </c>
      <c r="F10323">
        <v>0</v>
      </c>
      <c r="G10323">
        <v>0</v>
      </c>
    </row>
    <row r="10324" spans="1:7">
      <c r="A10324" t="s">
        <v>1876</v>
      </c>
      <c r="B10324" t="s">
        <v>379</v>
      </c>
      <c r="C10324" t="s">
        <v>155</v>
      </c>
      <c r="D10324">
        <v>1394</v>
      </c>
      <c r="E10324">
        <v>1525</v>
      </c>
      <c r="F10324">
        <v>1425</v>
      </c>
      <c r="G10324">
        <v>1108</v>
      </c>
    </row>
    <row r="10325" spans="1:7">
      <c r="A10325" t="s">
        <v>1876</v>
      </c>
      <c r="B10325" t="s">
        <v>379</v>
      </c>
      <c r="C10325" t="s">
        <v>156</v>
      </c>
      <c r="D10325">
        <v>0</v>
      </c>
      <c r="E10325">
        <v>0</v>
      </c>
      <c r="F10325">
        <v>0</v>
      </c>
      <c r="G10325">
        <v>0</v>
      </c>
    </row>
    <row r="10326" spans="1:7">
      <c r="A10326" t="s">
        <v>1876</v>
      </c>
      <c r="B10326" t="s">
        <v>379</v>
      </c>
      <c r="C10326" t="s">
        <v>157</v>
      </c>
      <c r="D10326">
        <v>133228</v>
      </c>
      <c r="E10326">
        <v>138077</v>
      </c>
      <c r="F10326">
        <v>75182</v>
      </c>
      <c r="G10326">
        <v>85510</v>
      </c>
    </row>
    <row r="10327" spans="1:7">
      <c r="A10327" t="s">
        <v>1876</v>
      </c>
      <c r="B10327" t="s">
        <v>379</v>
      </c>
      <c r="C10327" t="s">
        <v>158</v>
      </c>
      <c r="D10327">
        <v>1394</v>
      </c>
      <c r="E10327">
        <v>1525</v>
      </c>
      <c r="F10327">
        <v>1425</v>
      </c>
      <c r="G10327">
        <v>1108</v>
      </c>
    </row>
    <row r="10328" spans="1:7">
      <c r="A10328" t="s">
        <v>1876</v>
      </c>
      <c r="B10328" t="s">
        <v>379</v>
      </c>
      <c r="C10328" t="s">
        <v>159</v>
      </c>
      <c r="D10328">
        <v>0</v>
      </c>
      <c r="E10328">
        <v>0</v>
      </c>
      <c r="F10328">
        <v>0</v>
      </c>
      <c r="G10328">
        <v>0</v>
      </c>
    </row>
    <row r="10329" spans="1:7">
      <c r="A10329" t="s">
        <v>1876</v>
      </c>
      <c r="B10329" t="s">
        <v>379</v>
      </c>
      <c r="C10329" t="s">
        <v>1901</v>
      </c>
      <c r="D10329">
        <v>57</v>
      </c>
      <c r="E10329">
        <v>60.8</v>
      </c>
      <c r="F10329">
        <v>72.5</v>
      </c>
      <c r="G10329">
        <v>53.1</v>
      </c>
    </row>
    <row r="10330" spans="1:7">
      <c r="A10330" t="s">
        <v>1876</v>
      </c>
      <c r="B10330" t="s">
        <v>379</v>
      </c>
      <c r="C10330" t="s">
        <v>1902</v>
      </c>
      <c r="D10330">
        <v>101448</v>
      </c>
      <c r="E10330">
        <v>97748</v>
      </c>
      <c r="F10330">
        <v>94476</v>
      </c>
      <c r="G10330">
        <v>91103</v>
      </c>
    </row>
    <row r="10331" spans="1:7">
      <c r="A10331" t="s">
        <v>1876</v>
      </c>
      <c r="B10331" t="s">
        <v>379</v>
      </c>
      <c r="C10331" t="s">
        <v>1903</v>
      </c>
      <c r="D10331">
        <v>1326</v>
      </c>
      <c r="E10331">
        <v>1365</v>
      </c>
      <c r="F10331">
        <v>1430</v>
      </c>
      <c r="G10331">
        <v>1298</v>
      </c>
    </row>
    <row r="10332" spans="1:7">
      <c r="A10332" t="s">
        <v>1876</v>
      </c>
      <c r="B10332" t="s">
        <v>379</v>
      </c>
      <c r="C10332" t="s">
        <v>1904</v>
      </c>
      <c r="D10332">
        <v>384</v>
      </c>
      <c r="E10332">
        <v>219</v>
      </c>
      <c r="F10332">
        <v>872</v>
      </c>
      <c r="G10332">
        <v>12</v>
      </c>
    </row>
    <row r="10333" spans="1:7">
      <c r="A10333" t="s">
        <v>1876</v>
      </c>
      <c r="B10333" t="s">
        <v>379</v>
      </c>
      <c r="C10333" t="s">
        <v>1905</v>
      </c>
      <c r="D10333">
        <v>12113</v>
      </c>
      <c r="E10333">
        <v>12245</v>
      </c>
      <c r="F10333">
        <v>11951</v>
      </c>
      <c r="G10333">
        <v>11598</v>
      </c>
    </row>
    <row r="10334" spans="1:7">
      <c r="A10334" t="s">
        <v>1876</v>
      </c>
      <c r="B10334" t="s">
        <v>379</v>
      </c>
      <c r="C10334" t="s">
        <v>1906</v>
      </c>
      <c r="D10334">
        <v>7</v>
      </c>
      <c r="E10334">
        <v>7</v>
      </c>
      <c r="F10334">
        <v>7</v>
      </c>
      <c r="G10334">
        <v>6</v>
      </c>
    </row>
    <row r="10335" spans="1:7">
      <c r="A10335" t="s">
        <v>1876</v>
      </c>
      <c r="B10335" t="s">
        <v>379</v>
      </c>
      <c r="C10335" t="s">
        <v>1907</v>
      </c>
      <c r="D10335">
        <v>115278</v>
      </c>
      <c r="E10335">
        <v>111584</v>
      </c>
      <c r="F10335">
        <v>108736</v>
      </c>
      <c r="G10335">
        <v>104016</v>
      </c>
    </row>
    <row r="10336" spans="1:7">
      <c r="A10336" t="s">
        <v>1876</v>
      </c>
      <c r="B10336" t="s">
        <v>379</v>
      </c>
      <c r="C10336" t="s">
        <v>160</v>
      </c>
      <c r="D10336">
        <v>100387</v>
      </c>
      <c r="E10336">
        <v>96705</v>
      </c>
      <c r="F10336">
        <v>93395</v>
      </c>
      <c r="G10336">
        <v>90028</v>
      </c>
    </row>
    <row r="10337" spans="1:7">
      <c r="A10337" t="s">
        <v>1876</v>
      </c>
      <c r="B10337" t="s">
        <v>379</v>
      </c>
      <c r="C10337" t="s">
        <v>161</v>
      </c>
      <c r="D10337">
        <v>1326</v>
      </c>
      <c r="E10337">
        <v>1365</v>
      </c>
      <c r="F10337">
        <v>1430</v>
      </c>
      <c r="G10337">
        <v>1298</v>
      </c>
    </row>
    <row r="10338" spans="1:7">
      <c r="A10338" t="s">
        <v>1876</v>
      </c>
      <c r="B10338" t="s">
        <v>379</v>
      </c>
      <c r="C10338" t="s">
        <v>162</v>
      </c>
      <c r="D10338">
        <v>384</v>
      </c>
      <c r="E10338">
        <v>219</v>
      </c>
      <c r="F10338">
        <v>872</v>
      </c>
      <c r="G10338">
        <v>12</v>
      </c>
    </row>
    <row r="10339" spans="1:7">
      <c r="A10339" t="s">
        <v>1876</v>
      </c>
      <c r="B10339" t="s">
        <v>379</v>
      </c>
      <c r="C10339" t="s">
        <v>163</v>
      </c>
      <c r="D10339">
        <v>12113</v>
      </c>
      <c r="E10339">
        <v>12245</v>
      </c>
      <c r="F10339">
        <v>11951</v>
      </c>
      <c r="G10339">
        <v>11598</v>
      </c>
    </row>
    <row r="10340" spans="1:7">
      <c r="A10340" t="s">
        <v>1876</v>
      </c>
      <c r="B10340" t="s">
        <v>379</v>
      </c>
      <c r="C10340" t="s">
        <v>164</v>
      </c>
      <c r="D10340">
        <v>7</v>
      </c>
      <c r="E10340">
        <v>7</v>
      </c>
      <c r="F10340">
        <v>7</v>
      </c>
      <c r="G10340">
        <v>6</v>
      </c>
    </row>
    <row r="10341" spans="1:7">
      <c r="A10341" t="s">
        <v>1876</v>
      </c>
      <c r="B10341" t="s">
        <v>379</v>
      </c>
      <c r="C10341" t="s">
        <v>165</v>
      </c>
      <c r="D10341">
        <v>114217</v>
      </c>
      <c r="E10341">
        <v>110541</v>
      </c>
      <c r="F10341">
        <v>107656</v>
      </c>
      <c r="G10341">
        <v>102941</v>
      </c>
    </row>
    <row r="10342" spans="1:7">
      <c r="A10342" t="s">
        <v>1876</v>
      </c>
      <c r="B10342" t="s">
        <v>379</v>
      </c>
      <c r="C10342" t="s">
        <v>166</v>
      </c>
      <c r="D10342">
        <v>113833</v>
      </c>
      <c r="E10342">
        <v>110322</v>
      </c>
      <c r="F10342">
        <v>106783</v>
      </c>
      <c r="G10342">
        <v>102930</v>
      </c>
    </row>
    <row r="10343" spans="1:7">
      <c r="A10343" t="s">
        <v>1876</v>
      </c>
      <c r="B10343" t="s">
        <v>379</v>
      </c>
      <c r="C10343" t="s">
        <v>167</v>
      </c>
      <c r="D10343">
        <v>384</v>
      </c>
      <c r="E10343">
        <v>219</v>
      </c>
      <c r="F10343">
        <v>872</v>
      </c>
      <c r="G10343">
        <v>12</v>
      </c>
    </row>
    <row r="10344" spans="1:7">
      <c r="A10344" t="s">
        <v>1876</v>
      </c>
      <c r="B10344" t="s">
        <v>379</v>
      </c>
      <c r="C10344" t="s">
        <v>1908</v>
      </c>
      <c r="D10344">
        <v>99602</v>
      </c>
      <c r="E10344">
        <v>95969</v>
      </c>
      <c r="F10344">
        <v>92758</v>
      </c>
      <c r="G10344">
        <v>89447</v>
      </c>
    </row>
    <row r="10345" spans="1:7">
      <c r="A10345" t="s">
        <v>1876</v>
      </c>
      <c r="B10345" t="s">
        <v>379</v>
      </c>
      <c r="C10345" t="s">
        <v>1909</v>
      </c>
      <c r="D10345">
        <v>1326</v>
      </c>
      <c r="E10345">
        <v>1365</v>
      </c>
      <c r="F10345">
        <v>1430</v>
      </c>
      <c r="G10345">
        <v>1298</v>
      </c>
    </row>
    <row r="10346" spans="1:7">
      <c r="A10346" t="s">
        <v>1876</v>
      </c>
      <c r="B10346" t="s">
        <v>379</v>
      </c>
      <c r="C10346" t="s">
        <v>1910</v>
      </c>
      <c r="D10346">
        <v>384</v>
      </c>
      <c r="E10346">
        <v>219</v>
      </c>
      <c r="F10346">
        <v>872</v>
      </c>
      <c r="G10346">
        <v>12</v>
      </c>
    </row>
    <row r="10347" spans="1:7">
      <c r="A10347" t="s">
        <v>1876</v>
      </c>
      <c r="B10347" t="s">
        <v>379</v>
      </c>
      <c r="C10347" t="s">
        <v>1911</v>
      </c>
      <c r="D10347">
        <v>12113</v>
      </c>
      <c r="E10347">
        <v>12245</v>
      </c>
      <c r="F10347">
        <v>11951</v>
      </c>
      <c r="G10347">
        <v>11598</v>
      </c>
    </row>
    <row r="10348" spans="1:7">
      <c r="A10348" t="s">
        <v>1876</v>
      </c>
      <c r="B10348" t="s">
        <v>379</v>
      </c>
      <c r="C10348" t="s">
        <v>1912</v>
      </c>
      <c r="D10348">
        <v>7</v>
      </c>
      <c r="E10348">
        <v>7</v>
      </c>
      <c r="F10348">
        <v>7</v>
      </c>
      <c r="G10348">
        <v>6</v>
      </c>
    </row>
    <row r="10349" spans="1:7">
      <c r="A10349" t="s">
        <v>1876</v>
      </c>
      <c r="B10349" t="s">
        <v>379</v>
      </c>
      <c r="C10349" t="s">
        <v>168</v>
      </c>
      <c r="D10349">
        <v>113431</v>
      </c>
      <c r="E10349">
        <v>109806</v>
      </c>
      <c r="F10349">
        <v>107019</v>
      </c>
      <c r="G10349">
        <v>102360</v>
      </c>
    </row>
    <row r="10350" spans="1:7">
      <c r="A10350" t="s">
        <v>1876</v>
      </c>
      <c r="B10350" t="s">
        <v>379</v>
      </c>
      <c r="C10350" t="s">
        <v>169</v>
      </c>
      <c r="D10350">
        <v>0</v>
      </c>
      <c r="E10350">
        <v>0</v>
      </c>
      <c r="F10350">
        <v>0</v>
      </c>
      <c r="G10350">
        <v>0</v>
      </c>
    </row>
    <row r="10351" spans="1:7">
      <c r="A10351" t="s">
        <v>1876</v>
      </c>
      <c r="B10351" t="s">
        <v>379</v>
      </c>
      <c r="C10351" t="s">
        <v>1704</v>
      </c>
      <c r="D10351">
        <v>10806</v>
      </c>
      <c r="E10351">
        <v>10230</v>
      </c>
      <c r="F10351">
        <v>10724</v>
      </c>
      <c r="G10351">
        <v>11887</v>
      </c>
    </row>
    <row r="10352" spans="1:7">
      <c r="A10352" t="s">
        <v>1876</v>
      </c>
      <c r="B10352" t="s">
        <v>379</v>
      </c>
      <c r="C10352" t="s">
        <v>170</v>
      </c>
      <c r="D10352">
        <v>0</v>
      </c>
      <c r="E10352">
        <v>0</v>
      </c>
      <c r="F10352">
        <v>0</v>
      </c>
      <c r="G10352">
        <v>0</v>
      </c>
    </row>
    <row r="10353" spans="1:7">
      <c r="A10353" t="s">
        <v>1876</v>
      </c>
      <c r="B10353" t="s">
        <v>379</v>
      </c>
      <c r="C10353" t="s">
        <v>171</v>
      </c>
      <c r="D10353">
        <v>-63536</v>
      </c>
      <c r="E10353">
        <v>-88456</v>
      </c>
      <c r="F10353">
        <v>-63911</v>
      </c>
      <c r="G10353">
        <v>-50522</v>
      </c>
    </row>
    <row r="10354" spans="1:7">
      <c r="A10354" t="s">
        <v>1876</v>
      </c>
      <c r="B10354" t="s">
        <v>379</v>
      </c>
      <c r="C10354" t="s">
        <v>172</v>
      </c>
      <c r="D10354">
        <v>0</v>
      </c>
      <c r="E10354">
        <v>0</v>
      </c>
      <c r="F10354">
        <v>0</v>
      </c>
      <c r="G10354">
        <v>0</v>
      </c>
    </row>
    <row r="10355" spans="1:7">
      <c r="A10355" t="s">
        <v>1876</v>
      </c>
      <c r="B10355" t="s">
        <v>379</v>
      </c>
      <c r="C10355" t="s">
        <v>1913</v>
      </c>
      <c r="D10355">
        <v>6.8</v>
      </c>
      <c r="E10355">
        <v>9.6</v>
      </c>
      <c r="F10355">
        <v>14.2</v>
      </c>
      <c r="G10355">
        <v>18.100000000000001</v>
      </c>
    </row>
    <row r="10356" spans="1:7">
      <c r="A10356" t="s">
        <v>1876</v>
      </c>
      <c r="B10356" t="s">
        <v>379</v>
      </c>
      <c r="C10356" t="s">
        <v>1914</v>
      </c>
      <c r="D10356">
        <v>0.4</v>
      </c>
      <c r="E10356">
        <v>0.5</v>
      </c>
      <c r="F10356">
        <v>0.8</v>
      </c>
      <c r="G10356">
        <v>1</v>
      </c>
    </row>
    <row r="10357" spans="1:7">
      <c r="A10357" t="s">
        <v>1876</v>
      </c>
      <c r="B10357" t="s">
        <v>379</v>
      </c>
      <c r="C10357" t="s">
        <v>173</v>
      </c>
      <c r="D10357">
        <v>8637</v>
      </c>
      <c r="E10357">
        <v>8149</v>
      </c>
      <c r="F10357">
        <v>8120</v>
      </c>
      <c r="G10357">
        <v>7647</v>
      </c>
    </row>
    <row r="10358" spans="1:7">
      <c r="A10358" t="s">
        <v>1876</v>
      </c>
      <c r="B10358" t="s">
        <v>379</v>
      </c>
      <c r="C10358" t="s">
        <v>174</v>
      </c>
      <c r="D10358">
        <v>149</v>
      </c>
      <c r="E10358">
        <v>161</v>
      </c>
      <c r="F10358">
        <v>161</v>
      </c>
      <c r="G10358">
        <v>122</v>
      </c>
    </row>
    <row r="10359" spans="1:7">
      <c r="A10359" t="s">
        <v>1876</v>
      </c>
      <c r="B10359" t="s">
        <v>379</v>
      </c>
      <c r="C10359" t="s">
        <v>175</v>
      </c>
      <c r="D10359">
        <v>200</v>
      </c>
      <c r="E10359">
        <v>220</v>
      </c>
      <c r="F10359">
        <v>221</v>
      </c>
      <c r="G10359">
        <v>172</v>
      </c>
    </row>
    <row r="10360" spans="1:7">
      <c r="A10360" t="s">
        <v>1876</v>
      </c>
      <c r="B10360" t="s">
        <v>379</v>
      </c>
      <c r="C10360" t="s">
        <v>176</v>
      </c>
      <c r="D10360">
        <v>0</v>
      </c>
      <c r="E10360">
        <v>0</v>
      </c>
      <c r="F10360">
        <v>0</v>
      </c>
      <c r="G10360">
        <v>0</v>
      </c>
    </row>
    <row r="10361" spans="1:7">
      <c r="A10361" t="s">
        <v>1876</v>
      </c>
      <c r="B10361" t="s">
        <v>379</v>
      </c>
      <c r="C10361" t="s">
        <v>177</v>
      </c>
      <c r="D10361">
        <v>8986</v>
      </c>
      <c r="E10361">
        <v>8530</v>
      </c>
      <c r="F10361">
        <v>8502</v>
      </c>
      <c r="G10361">
        <v>7942</v>
      </c>
    </row>
    <row r="10362" spans="1:7">
      <c r="A10362" t="s">
        <v>1876</v>
      </c>
      <c r="B10362" t="s">
        <v>379</v>
      </c>
      <c r="C10362" t="s">
        <v>178</v>
      </c>
      <c r="D10362">
        <v>0</v>
      </c>
      <c r="E10362">
        <v>0</v>
      </c>
      <c r="F10362">
        <v>0</v>
      </c>
      <c r="G10362">
        <v>0</v>
      </c>
    </row>
    <row r="10363" spans="1:7">
      <c r="A10363" t="s">
        <v>1876</v>
      </c>
      <c r="B10363" t="s">
        <v>379</v>
      </c>
      <c r="C10363" t="s">
        <v>179</v>
      </c>
      <c r="D10363">
        <v>0</v>
      </c>
      <c r="E10363">
        <v>0</v>
      </c>
      <c r="F10363">
        <v>0</v>
      </c>
      <c r="G10363">
        <v>0</v>
      </c>
    </row>
    <row r="10364" spans="1:7">
      <c r="A10364" t="s">
        <v>1876</v>
      </c>
      <c r="B10364" t="s">
        <v>379</v>
      </c>
      <c r="C10364" t="s">
        <v>180</v>
      </c>
      <c r="D10364">
        <v>0</v>
      </c>
      <c r="E10364">
        <v>0</v>
      </c>
      <c r="F10364">
        <v>0</v>
      </c>
      <c r="G10364">
        <v>0</v>
      </c>
    </row>
    <row r="10365" spans="1:7">
      <c r="A10365" t="s">
        <v>1876</v>
      </c>
      <c r="B10365" t="s">
        <v>379</v>
      </c>
      <c r="C10365" t="s">
        <v>181</v>
      </c>
      <c r="D10365">
        <v>29534</v>
      </c>
      <c r="E10365">
        <v>30995</v>
      </c>
      <c r="F10365">
        <v>31900</v>
      </c>
      <c r="G10365">
        <v>32731</v>
      </c>
    </row>
    <row r="10366" spans="1:7">
      <c r="A10366" t="s">
        <v>1876</v>
      </c>
      <c r="B10366" t="s">
        <v>379</v>
      </c>
      <c r="C10366" t="s">
        <v>182</v>
      </c>
      <c r="D10366">
        <v>32924</v>
      </c>
      <c r="E10366">
        <v>36814</v>
      </c>
      <c r="F10366">
        <v>39790</v>
      </c>
      <c r="G10366">
        <v>45570</v>
      </c>
    </row>
    <row r="10367" spans="1:7">
      <c r="A10367" t="s">
        <v>1876</v>
      </c>
      <c r="B10367" t="s">
        <v>379</v>
      </c>
      <c r="C10367" t="s">
        <v>183</v>
      </c>
      <c r="D10367">
        <v>24185</v>
      </c>
      <c r="E10367">
        <v>24848</v>
      </c>
      <c r="F10367">
        <v>25031</v>
      </c>
      <c r="G10367">
        <v>25070</v>
      </c>
    </row>
    <row r="10368" spans="1:7">
      <c r="A10368" t="s">
        <v>1876</v>
      </c>
      <c r="B10368" t="s">
        <v>379</v>
      </c>
      <c r="C10368" t="s">
        <v>184</v>
      </c>
      <c r="D10368">
        <v>86643</v>
      </c>
      <c r="E10368">
        <v>92657</v>
      </c>
      <c r="F10368">
        <v>96722</v>
      </c>
      <c r="G10368">
        <v>103371</v>
      </c>
    </row>
    <row r="10369" spans="1:7">
      <c r="A10369" t="s">
        <v>1876</v>
      </c>
      <c r="B10369" t="s">
        <v>379</v>
      </c>
      <c r="C10369" t="s">
        <v>185</v>
      </c>
      <c r="D10369">
        <v>86643</v>
      </c>
      <c r="E10369">
        <v>92657</v>
      </c>
      <c r="F10369">
        <v>96722</v>
      </c>
      <c r="G10369">
        <v>103371</v>
      </c>
    </row>
    <row r="10370" spans="1:7">
      <c r="A10370" t="s">
        <v>1876</v>
      </c>
      <c r="B10370" t="s">
        <v>379</v>
      </c>
      <c r="C10370" t="s">
        <v>1915</v>
      </c>
      <c r="D10370">
        <v>10</v>
      </c>
      <c r="E10370">
        <v>17</v>
      </c>
      <c r="F10370">
        <v>41</v>
      </c>
      <c r="G10370">
        <v>54</v>
      </c>
    </row>
    <row r="10371" spans="1:7">
      <c r="A10371" t="s">
        <v>1876</v>
      </c>
      <c r="B10371" t="s">
        <v>379</v>
      </c>
      <c r="C10371" t="s">
        <v>1916</v>
      </c>
      <c r="D10371">
        <v>0</v>
      </c>
      <c r="E10371">
        <v>0</v>
      </c>
      <c r="F10371">
        <v>0</v>
      </c>
      <c r="G10371">
        <v>0</v>
      </c>
    </row>
    <row r="10372" spans="1:7">
      <c r="A10372" t="s">
        <v>1876</v>
      </c>
      <c r="B10372" t="s">
        <v>379</v>
      </c>
      <c r="C10372" t="s">
        <v>1917</v>
      </c>
      <c r="D10372">
        <v>10</v>
      </c>
      <c r="E10372">
        <v>10</v>
      </c>
      <c r="F10372">
        <v>10</v>
      </c>
      <c r="G10372">
        <v>10</v>
      </c>
    </row>
    <row r="10373" spans="1:7">
      <c r="A10373" t="s">
        <v>1876</v>
      </c>
      <c r="B10373" t="s">
        <v>379</v>
      </c>
      <c r="C10373" t="s">
        <v>1918</v>
      </c>
      <c r="D10373">
        <v>330</v>
      </c>
      <c r="E10373">
        <v>386</v>
      </c>
      <c r="F10373">
        <v>486</v>
      </c>
      <c r="G10373">
        <v>573</v>
      </c>
    </row>
    <row r="10374" spans="1:7">
      <c r="A10374" t="s">
        <v>1876</v>
      </c>
      <c r="B10374" t="s">
        <v>379</v>
      </c>
      <c r="C10374" t="s">
        <v>1919</v>
      </c>
      <c r="D10374">
        <v>2.2599999999999998</v>
      </c>
      <c r="E10374">
        <v>2.2999999999999998</v>
      </c>
      <c r="F10374">
        <v>2.29</v>
      </c>
      <c r="G10374">
        <v>2.4</v>
      </c>
    </row>
    <row r="10375" spans="1:7">
      <c r="A10375" t="s">
        <v>1876</v>
      </c>
      <c r="B10375" t="s">
        <v>379</v>
      </c>
      <c r="C10375" t="s">
        <v>1920</v>
      </c>
      <c r="D10375">
        <v>467</v>
      </c>
      <c r="E10375">
        <v>557</v>
      </c>
      <c r="F10375">
        <v>761</v>
      </c>
      <c r="G10375">
        <v>978</v>
      </c>
    </row>
    <row r="10376" spans="1:7">
      <c r="A10376" t="s">
        <v>1876</v>
      </c>
      <c r="B10376" t="s">
        <v>379</v>
      </c>
      <c r="C10376" t="s">
        <v>1921</v>
      </c>
      <c r="D10376">
        <v>179</v>
      </c>
      <c r="E10376">
        <v>211</v>
      </c>
      <c r="F10376">
        <v>286</v>
      </c>
      <c r="G10376">
        <v>368</v>
      </c>
    </row>
    <row r="10377" spans="1:7">
      <c r="A10377" t="s">
        <v>1876</v>
      </c>
      <c r="B10377" t="s">
        <v>379</v>
      </c>
      <c r="C10377" t="s">
        <v>1922</v>
      </c>
      <c r="D10377">
        <v>127</v>
      </c>
      <c r="E10377">
        <v>161</v>
      </c>
      <c r="F10377">
        <v>265</v>
      </c>
      <c r="G10377">
        <v>395</v>
      </c>
    </row>
    <row r="10378" spans="1:7">
      <c r="A10378" t="s">
        <v>1876</v>
      </c>
      <c r="B10378" t="s">
        <v>379</v>
      </c>
      <c r="C10378" t="s">
        <v>1923</v>
      </c>
      <c r="D10378">
        <v>3.97</v>
      </c>
      <c r="E10378">
        <v>3.83</v>
      </c>
      <c r="F10378">
        <v>3.58</v>
      </c>
      <c r="G10378">
        <v>3.06</v>
      </c>
    </row>
    <row r="10379" spans="1:7">
      <c r="A10379" t="s">
        <v>1876</v>
      </c>
      <c r="B10379" t="s">
        <v>379</v>
      </c>
      <c r="C10379" t="s">
        <v>1924</v>
      </c>
      <c r="D10379">
        <v>15</v>
      </c>
      <c r="E10379">
        <v>1</v>
      </c>
      <c r="F10379">
        <v>11</v>
      </c>
      <c r="G10379">
        <v>18</v>
      </c>
    </row>
    <row r="10380" spans="1:7">
      <c r="A10380" t="s">
        <v>1876</v>
      </c>
      <c r="B10380" t="s">
        <v>379</v>
      </c>
      <c r="C10380" t="s">
        <v>1925</v>
      </c>
      <c r="D10380">
        <v>23</v>
      </c>
      <c r="E10380">
        <v>23</v>
      </c>
      <c r="F10380">
        <v>45</v>
      </c>
      <c r="G10380">
        <v>49</v>
      </c>
    </row>
    <row r="10381" spans="1:7">
      <c r="A10381" t="s">
        <v>1876</v>
      </c>
      <c r="B10381" t="s">
        <v>379</v>
      </c>
      <c r="C10381" t="s">
        <v>1926</v>
      </c>
      <c r="D10381">
        <v>141</v>
      </c>
      <c r="E10381">
        <v>187</v>
      </c>
      <c r="F10381">
        <v>230</v>
      </c>
      <c r="G10381">
        <v>301</v>
      </c>
    </row>
    <row r="10382" spans="1:7">
      <c r="A10382" t="s">
        <v>1876</v>
      </c>
      <c r="B10382" t="s">
        <v>379</v>
      </c>
      <c r="C10382" t="s">
        <v>1927</v>
      </c>
      <c r="D10382">
        <v>3</v>
      </c>
      <c r="E10382">
        <v>3</v>
      </c>
      <c r="F10382">
        <v>4</v>
      </c>
      <c r="G10382">
        <v>4</v>
      </c>
    </row>
    <row r="10383" spans="1:7">
      <c r="A10383" t="s">
        <v>1876</v>
      </c>
      <c r="B10383" t="s">
        <v>379</v>
      </c>
      <c r="C10383" t="s">
        <v>1928</v>
      </c>
      <c r="D10383">
        <v>165</v>
      </c>
      <c r="E10383">
        <v>197</v>
      </c>
      <c r="F10383">
        <v>272</v>
      </c>
      <c r="G10383">
        <v>354</v>
      </c>
    </row>
    <row r="10384" spans="1:7">
      <c r="A10384" t="s">
        <v>1876</v>
      </c>
      <c r="B10384" t="s">
        <v>379</v>
      </c>
      <c r="C10384" t="s">
        <v>1929</v>
      </c>
      <c r="D10384">
        <v>11</v>
      </c>
      <c r="E10384">
        <v>11</v>
      </c>
      <c r="F10384">
        <v>10</v>
      </c>
      <c r="G10384">
        <v>10</v>
      </c>
    </row>
    <row r="10385" spans="1:7">
      <c r="A10385" t="s">
        <v>1876</v>
      </c>
      <c r="B10385" t="s">
        <v>379</v>
      </c>
      <c r="C10385" t="s">
        <v>186</v>
      </c>
      <c r="D10385">
        <v>0</v>
      </c>
      <c r="E10385">
        <v>0</v>
      </c>
      <c r="F10385">
        <v>0</v>
      </c>
      <c r="G10385">
        <v>0</v>
      </c>
    </row>
    <row r="10386" spans="1:7">
      <c r="A10386" t="s">
        <v>1876</v>
      </c>
      <c r="B10386" t="s">
        <v>379</v>
      </c>
      <c r="C10386" t="s">
        <v>187</v>
      </c>
      <c r="D10386">
        <v>0</v>
      </c>
      <c r="E10386">
        <v>0</v>
      </c>
      <c r="F10386">
        <v>0</v>
      </c>
      <c r="G10386">
        <v>0</v>
      </c>
    </row>
    <row r="10387" spans="1:7">
      <c r="A10387" t="s">
        <v>1876</v>
      </c>
      <c r="B10387" t="s">
        <v>379</v>
      </c>
      <c r="C10387" t="s">
        <v>1705</v>
      </c>
      <c r="D10387">
        <v>5702</v>
      </c>
      <c r="E10387">
        <v>4849</v>
      </c>
      <c r="F10387">
        <v>4849</v>
      </c>
      <c r="G10387">
        <v>4781</v>
      </c>
    </row>
    <row r="10388" spans="1:7">
      <c r="A10388" t="s">
        <v>1876</v>
      </c>
      <c r="B10388" t="s">
        <v>379</v>
      </c>
      <c r="C10388" t="s">
        <v>188</v>
      </c>
      <c r="D10388">
        <v>681947</v>
      </c>
      <c r="E10388">
        <v>694983</v>
      </c>
      <c r="F10388">
        <v>661665</v>
      </c>
      <c r="G10388">
        <v>648153</v>
      </c>
    </row>
    <row r="10389" spans="1:7">
      <c r="A10389" t="s">
        <v>1876</v>
      </c>
      <c r="B10389" t="s">
        <v>379</v>
      </c>
      <c r="C10389" t="s">
        <v>189</v>
      </c>
      <c r="D10389">
        <v>0</v>
      </c>
      <c r="E10389">
        <v>0</v>
      </c>
      <c r="F10389">
        <v>0</v>
      </c>
      <c r="G10389">
        <v>0</v>
      </c>
    </row>
    <row r="10390" spans="1:7">
      <c r="A10390" t="s">
        <v>1876</v>
      </c>
      <c r="B10390" t="s">
        <v>379</v>
      </c>
      <c r="C10390" t="s">
        <v>190</v>
      </c>
      <c r="D10390">
        <v>0</v>
      </c>
      <c r="E10390">
        <v>0</v>
      </c>
      <c r="F10390">
        <v>0</v>
      </c>
      <c r="G10390">
        <v>0</v>
      </c>
    </row>
    <row r="10391" spans="1:7">
      <c r="A10391" t="s">
        <v>1876</v>
      </c>
      <c r="B10391" t="s">
        <v>379</v>
      </c>
      <c r="C10391" t="s">
        <v>191</v>
      </c>
      <c r="D10391">
        <v>0</v>
      </c>
      <c r="E10391">
        <v>0</v>
      </c>
      <c r="F10391">
        <v>0</v>
      </c>
      <c r="G10391">
        <v>0</v>
      </c>
    </row>
    <row r="10392" spans="1:7">
      <c r="A10392" t="s">
        <v>1876</v>
      </c>
      <c r="B10392" t="s">
        <v>379</v>
      </c>
      <c r="C10392" t="s">
        <v>192</v>
      </c>
      <c r="D10392">
        <v>113781.7</v>
      </c>
      <c r="E10392">
        <v>129469.1</v>
      </c>
      <c r="F10392">
        <v>138526</v>
      </c>
      <c r="G10392">
        <v>147084.9</v>
      </c>
    </row>
    <row r="10393" spans="1:7">
      <c r="A10393" t="s">
        <v>1876</v>
      </c>
      <c r="B10393" t="s">
        <v>379</v>
      </c>
      <c r="C10393" t="s">
        <v>193</v>
      </c>
      <c r="D10393">
        <v>101499.2</v>
      </c>
      <c r="E10393">
        <v>104212.8</v>
      </c>
      <c r="F10393">
        <v>114059.2</v>
      </c>
      <c r="G10393">
        <v>119044.5</v>
      </c>
    </row>
    <row r="10394" spans="1:7">
      <c r="A10394" t="s">
        <v>1876</v>
      </c>
      <c r="B10394" t="s">
        <v>379</v>
      </c>
      <c r="C10394" t="s">
        <v>1930</v>
      </c>
      <c r="D10394">
        <v>67.599999999999994</v>
      </c>
      <c r="E10394">
        <v>62.5</v>
      </c>
      <c r="F10394">
        <v>47.6</v>
      </c>
      <c r="G10394">
        <v>34.5</v>
      </c>
    </row>
    <row r="10395" spans="1:7">
      <c r="A10395" t="s">
        <v>1876</v>
      </c>
      <c r="B10395" t="s">
        <v>379</v>
      </c>
      <c r="C10395" t="s">
        <v>194</v>
      </c>
      <c r="D10395">
        <v>72</v>
      </c>
      <c r="E10395">
        <v>72</v>
      </c>
      <c r="F10395">
        <v>72</v>
      </c>
      <c r="G10395">
        <v>72</v>
      </c>
    </row>
    <row r="10396" spans="1:7">
      <c r="A10396" t="s">
        <v>1876</v>
      </c>
      <c r="B10396" t="s">
        <v>379</v>
      </c>
      <c r="C10396" t="s">
        <v>195</v>
      </c>
      <c r="D10396">
        <v>174</v>
      </c>
      <c r="E10396">
        <v>161</v>
      </c>
      <c r="F10396">
        <v>122</v>
      </c>
      <c r="G10396">
        <v>89</v>
      </c>
    </row>
    <row r="10397" spans="1:7">
      <c r="A10397" t="s">
        <v>1876</v>
      </c>
      <c r="B10397" t="s">
        <v>379</v>
      </c>
      <c r="C10397" t="s">
        <v>1706</v>
      </c>
      <c r="D10397">
        <v>9</v>
      </c>
      <c r="E10397">
        <v>9</v>
      </c>
      <c r="F10397">
        <v>9</v>
      </c>
      <c r="G10397">
        <v>9</v>
      </c>
    </row>
    <row r="10398" spans="1:7">
      <c r="A10398" t="s">
        <v>1876</v>
      </c>
      <c r="B10398" t="s">
        <v>379</v>
      </c>
      <c r="C10398" t="s">
        <v>196</v>
      </c>
      <c r="D10398">
        <v>241</v>
      </c>
      <c r="E10398">
        <v>241</v>
      </c>
      <c r="F10398">
        <v>241</v>
      </c>
      <c r="G10398">
        <v>241</v>
      </c>
    </row>
    <row r="10399" spans="1:7">
      <c r="A10399" t="s">
        <v>1876</v>
      </c>
      <c r="B10399" t="s">
        <v>379</v>
      </c>
      <c r="C10399" t="s">
        <v>197</v>
      </c>
      <c r="D10399">
        <v>55</v>
      </c>
      <c r="E10399">
        <v>55</v>
      </c>
      <c r="F10399">
        <v>55</v>
      </c>
      <c r="G10399">
        <v>55</v>
      </c>
    </row>
    <row r="10400" spans="1:7">
      <c r="A10400" t="s">
        <v>1876</v>
      </c>
      <c r="B10400" t="s">
        <v>379</v>
      </c>
      <c r="C10400" t="s">
        <v>198</v>
      </c>
      <c r="D10400">
        <v>542</v>
      </c>
      <c r="E10400">
        <v>528</v>
      </c>
      <c r="F10400">
        <v>490</v>
      </c>
      <c r="G10400">
        <v>457</v>
      </c>
    </row>
    <row r="10401" spans="1:7">
      <c r="A10401" t="s">
        <v>1876</v>
      </c>
      <c r="B10401" t="s">
        <v>379</v>
      </c>
      <c r="C10401" t="s">
        <v>199</v>
      </c>
      <c r="D10401">
        <v>368</v>
      </c>
      <c r="E10401">
        <v>368</v>
      </c>
      <c r="F10401">
        <v>368</v>
      </c>
      <c r="G10401">
        <v>368</v>
      </c>
    </row>
    <row r="10402" spans="1:7">
      <c r="A10402" t="s">
        <v>1876</v>
      </c>
      <c r="B10402" t="s">
        <v>379</v>
      </c>
      <c r="C10402" t="s">
        <v>200</v>
      </c>
      <c r="D10402">
        <v>10</v>
      </c>
      <c r="E10402">
        <v>24</v>
      </c>
      <c r="F10402">
        <v>18</v>
      </c>
      <c r="G10402">
        <v>16</v>
      </c>
    </row>
    <row r="10403" spans="1:7">
      <c r="A10403" t="s">
        <v>1876</v>
      </c>
      <c r="B10403" t="s">
        <v>379</v>
      </c>
      <c r="C10403" t="s">
        <v>201</v>
      </c>
      <c r="D10403">
        <v>1813</v>
      </c>
      <c r="E10403">
        <v>1938</v>
      </c>
      <c r="F10403">
        <v>1626</v>
      </c>
      <c r="G10403">
        <v>2483</v>
      </c>
    </row>
    <row r="10404" spans="1:7">
      <c r="A10404" t="s">
        <v>1876</v>
      </c>
      <c r="B10404" t="s">
        <v>379</v>
      </c>
      <c r="C10404" t="s">
        <v>202</v>
      </c>
      <c r="D10404">
        <v>589</v>
      </c>
      <c r="E10404">
        <v>1145</v>
      </c>
      <c r="F10404">
        <v>900</v>
      </c>
      <c r="G10404">
        <v>344</v>
      </c>
    </row>
    <row r="10405" spans="1:7">
      <c r="A10405" t="s">
        <v>1876</v>
      </c>
      <c r="B10405" t="s">
        <v>379</v>
      </c>
      <c r="C10405" t="s">
        <v>203</v>
      </c>
      <c r="D10405">
        <v>5034</v>
      </c>
      <c r="E10405">
        <v>4958</v>
      </c>
      <c r="F10405">
        <v>4605</v>
      </c>
      <c r="G10405">
        <v>4408</v>
      </c>
    </row>
    <row r="10406" spans="1:7">
      <c r="A10406" t="s">
        <v>1876</v>
      </c>
      <c r="B10406" t="s">
        <v>379</v>
      </c>
      <c r="C10406" t="s">
        <v>204</v>
      </c>
      <c r="D10406">
        <v>7446</v>
      </c>
      <c r="E10406">
        <v>8065</v>
      </c>
      <c r="F10406">
        <v>7150</v>
      </c>
      <c r="G10406">
        <v>7251</v>
      </c>
    </row>
    <row r="10407" spans="1:7">
      <c r="A10407" t="s">
        <v>1876</v>
      </c>
      <c r="B10407" t="s">
        <v>379</v>
      </c>
      <c r="C10407" t="s">
        <v>205</v>
      </c>
      <c r="D10407">
        <v>7446</v>
      </c>
      <c r="E10407">
        <v>8065</v>
      </c>
      <c r="F10407">
        <v>7150</v>
      </c>
      <c r="G10407">
        <v>7251</v>
      </c>
    </row>
    <row r="10408" spans="1:7">
      <c r="A10408" t="s">
        <v>1876</v>
      </c>
      <c r="B10408" t="s">
        <v>379</v>
      </c>
      <c r="C10408" t="s">
        <v>1931</v>
      </c>
      <c r="D10408">
        <v>0</v>
      </c>
      <c r="E10408">
        <v>0</v>
      </c>
      <c r="F10408">
        <v>0</v>
      </c>
      <c r="G10408">
        <v>0</v>
      </c>
    </row>
    <row r="10409" spans="1:7">
      <c r="A10409" t="s">
        <v>1876</v>
      </c>
      <c r="B10409" t="s">
        <v>379</v>
      </c>
      <c r="C10409" t="s">
        <v>1707</v>
      </c>
      <c r="D10409">
        <v>0</v>
      </c>
      <c r="E10409">
        <v>0</v>
      </c>
      <c r="F10409">
        <v>0</v>
      </c>
      <c r="G10409">
        <v>0</v>
      </c>
    </row>
    <row r="10410" spans="1:7">
      <c r="A10410" t="s">
        <v>1876</v>
      </c>
      <c r="B10410" t="s">
        <v>379</v>
      </c>
      <c r="C10410" t="s">
        <v>1932</v>
      </c>
      <c r="D10410">
        <v>17</v>
      </c>
      <c r="E10410">
        <v>16.7</v>
      </c>
      <c r="F10410">
        <v>26.5</v>
      </c>
      <c r="G10410">
        <v>21.1</v>
      </c>
    </row>
    <row r="10411" spans="1:7">
      <c r="A10411" t="s">
        <v>1876</v>
      </c>
      <c r="B10411" t="s">
        <v>379</v>
      </c>
      <c r="C10411" t="s">
        <v>1708</v>
      </c>
      <c r="D10411">
        <v>83</v>
      </c>
      <c r="E10411">
        <v>83</v>
      </c>
      <c r="F10411">
        <v>83</v>
      </c>
      <c r="G10411">
        <v>83</v>
      </c>
    </row>
    <row r="10412" spans="1:7">
      <c r="A10412" t="s">
        <v>1876</v>
      </c>
      <c r="B10412" t="s">
        <v>379</v>
      </c>
      <c r="C10412" t="s">
        <v>206</v>
      </c>
      <c r="D10412">
        <v>0</v>
      </c>
      <c r="E10412">
        <v>0</v>
      </c>
      <c r="F10412">
        <v>0</v>
      </c>
      <c r="G10412">
        <v>0</v>
      </c>
    </row>
    <row r="10413" spans="1:7">
      <c r="A10413" t="s">
        <v>1876</v>
      </c>
      <c r="B10413" t="s">
        <v>379</v>
      </c>
      <c r="C10413" t="s">
        <v>207</v>
      </c>
      <c r="D10413">
        <v>419</v>
      </c>
      <c r="E10413">
        <v>412</v>
      </c>
      <c r="F10413">
        <v>368</v>
      </c>
      <c r="G10413">
        <v>523</v>
      </c>
    </row>
    <row r="10414" spans="1:7">
      <c r="A10414" t="s">
        <v>1876</v>
      </c>
      <c r="B10414" t="s">
        <v>379</v>
      </c>
      <c r="C10414" t="s">
        <v>208</v>
      </c>
      <c r="D10414">
        <v>0</v>
      </c>
      <c r="E10414">
        <v>0</v>
      </c>
      <c r="F10414">
        <v>0</v>
      </c>
      <c r="G10414">
        <v>0</v>
      </c>
    </row>
    <row r="10415" spans="1:7">
      <c r="A10415" t="s">
        <v>1876</v>
      </c>
      <c r="B10415" t="s">
        <v>379</v>
      </c>
      <c r="C10415" t="s">
        <v>209</v>
      </c>
      <c r="D10415">
        <v>419</v>
      </c>
      <c r="E10415">
        <v>412</v>
      </c>
      <c r="F10415">
        <v>368</v>
      </c>
      <c r="G10415">
        <v>523</v>
      </c>
    </row>
    <row r="10416" spans="1:7">
      <c r="A10416" t="s">
        <v>1876</v>
      </c>
      <c r="B10416" t="s">
        <v>379</v>
      </c>
      <c r="C10416" t="s">
        <v>210</v>
      </c>
      <c r="D10416">
        <v>0</v>
      </c>
      <c r="E10416">
        <v>0</v>
      </c>
      <c r="F10416">
        <v>0</v>
      </c>
      <c r="G10416">
        <v>0</v>
      </c>
    </row>
    <row r="10417" spans="1:7">
      <c r="A10417" t="s">
        <v>1876</v>
      </c>
      <c r="B10417" t="s">
        <v>379</v>
      </c>
      <c r="C10417" t="s">
        <v>211</v>
      </c>
      <c r="D10417">
        <v>0</v>
      </c>
      <c r="E10417">
        <v>0</v>
      </c>
      <c r="F10417">
        <v>0</v>
      </c>
      <c r="G10417">
        <v>0</v>
      </c>
    </row>
    <row r="10418" spans="1:7">
      <c r="A10418" t="s">
        <v>1876</v>
      </c>
      <c r="B10418" t="s">
        <v>379</v>
      </c>
      <c r="C10418" t="s">
        <v>212</v>
      </c>
      <c r="D10418">
        <v>0</v>
      </c>
      <c r="E10418">
        <v>0</v>
      </c>
      <c r="F10418">
        <v>0</v>
      </c>
      <c r="G10418">
        <v>0</v>
      </c>
    </row>
    <row r="10419" spans="1:7">
      <c r="A10419" t="s">
        <v>1876</v>
      </c>
      <c r="B10419" t="s">
        <v>379</v>
      </c>
      <c r="C10419" t="s">
        <v>213</v>
      </c>
      <c r="D10419">
        <v>0</v>
      </c>
      <c r="E10419">
        <v>0</v>
      </c>
      <c r="F10419">
        <v>0</v>
      </c>
      <c r="G10419">
        <v>0</v>
      </c>
    </row>
    <row r="10420" spans="1:7">
      <c r="A10420" t="s">
        <v>1876</v>
      </c>
      <c r="B10420" t="s">
        <v>379</v>
      </c>
      <c r="C10420" t="s">
        <v>214</v>
      </c>
      <c r="D10420">
        <v>0</v>
      </c>
      <c r="E10420">
        <v>0</v>
      </c>
      <c r="F10420">
        <v>0</v>
      </c>
      <c r="G10420">
        <v>0</v>
      </c>
    </row>
    <row r="10421" spans="1:7">
      <c r="A10421" t="s">
        <v>1876</v>
      </c>
      <c r="B10421" t="s">
        <v>379</v>
      </c>
      <c r="C10421" t="s">
        <v>215</v>
      </c>
      <c r="D10421">
        <v>6346</v>
      </c>
      <c r="E10421">
        <v>8668</v>
      </c>
      <c r="F10421">
        <v>8697</v>
      </c>
      <c r="G10421">
        <v>7499</v>
      </c>
    </row>
    <row r="10422" spans="1:7">
      <c r="A10422" t="s">
        <v>1876</v>
      </c>
      <c r="B10422" t="s">
        <v>379</v>
      </c>
      <c r="C10422" t="s">
        <v>216</v>
      </c>
      <c r="D10422">
        <v>6346</v>
      </c>
      <c r="E10422">
        <v>8668</v>
      </c>
      <c r="F10422">
        <v>8697</v>
      </c>
      <c r="G10422">
        <v>7499</v>
      </c>
    </row>
    <row r="10423" spans="1:7">
      <c r="A10423" t="s">
        <v>1876</v>
      </c>
      <c r="B10423" t="s">
        <v>379</v>
      </c>
      <c r="C10423" t="s">
        <v>217</v>
      </c>
      <c r="D10423">
        <v>6346</v>
      </c>
      <c r="E10423">
        <v>8668</v>
      </c>
      <c r="F10423">
        <v>8697</v>
      </c>
      <c r="G10423">
        <v>7499</v>
      </c>
    </row>
    <row r="10424" spans="1:7">
      <c r="A10424" t="s">
        <v>1876</v>
      </c>
      <c r="B10424" t="s">
        <v>379</v>
      </c>
      <c r="C10424" t="s">
        <v>218</v>
      </c>
      <c r="D10424">
        <v>1</v>
      </c>
      <c r="E10424">
        <v>0</v>
      </c>
      <c r="F10424">
        <v>1</v>
      </c>
      <c r="G10424">
        <v>1</v>
      </c>
    </row>
    <row r="10425" spans="1:7">
      <c r="A10425" t="s">
        <v>1876</v>
      </c>
      <c r="B10425" t="s">
        <v>379</v>
      </c>
      <c r="C10425" t="s">
        <v>219</v>
      </c>
      <c r="D10425">
        <v>1</v>
      </c>
      <c r="E10425">
        <v>0</v>
      </c>
      <c r="F10425">
        <v>2</v>
      </c>
      <c r="G10425">
        <v>1</v>
      </c>
    </row>
    <row r="10426" spans="1:7">
      <c r="A10426" t="s">
        <v>1876</v>
      </c>
      <c r="B10426" t="s">
        <v>379</v>
      </c>
      <c r="C10426" t="s">
        <v>220</v>
      </c>
      <c r="D10426">
        <v>0</v>
      </c>
      <c r="E10426">
        <v>0</v>
      </c>
      <c r="F10426">
        <v>1</v>
      </c>
      <c r="G10426">
        <v>0</v>
      </c>
    </row>
    <row r="10427" spans="1:7">
      <c r="A10427" t="s">
        <v>1876</v>
      </c>
      <c r="B10427" t="s">
        <v>379</v>
      </c>
      <c r="C10427" t="s">
        <v>221</v>
      </c>
      <c r="D10427">
        <v>1</v>
      </c>
      <c r="E10427">
        <v>1</v>
      </c>
      <c r="F10427">
        <v>3</v>
      </c>
      <c r="G10427">
        <v>2</v>
      </c>
    </row>
    <row r="10428" spans="1:7">
      <c r="A10428" t="s">
        <v>1876</v>
      </c>
      <c r="B10428" t="s">
        <v>379</v>
      </c>
      <c r="C10428" t="s">
        <v>222</v>
      </c>
      <c r="D10428">
        <v>1</v>
      </c>
      <c r="E10428">
        <v>1</v>
      </c>
      <c r="F10428">
        <v>3</v>
      </c>
      <c r="G10428">
        <v>2</v>
      </c>
    </row>
    <row r="10429" spans="1:7">
      <c r="A10429" t="s">
        <v>1876</v>
      </c>
      <c r="B10429" t="s">
        <v>379</v>
      </c>
      <c r="C10429" t="s">
        <v>1933</v>
      </c>
      <c r="D10429">
        <v>1778.1</v>
      </c>
      <c r="E10429">
        <v>1791.1</v>
      </c>
      <c r="F10429">
        <v>1800.3</v>
      </c>
      <c r="G10429">
        <v>1803.5</v>
      </c>
    </row>
    <row r="10430" spans="1:7">
      <c r="A10430" t="s">
        <v>1876</v>
      </c>
      <c r="B10430" t="s">
        <v>379</v>
      </c>
      <c r="C10430" t="s">
        <v>223</v>
      </c>
      <c r="D10430">
        <v>0</v>
      </c>
      <c r="E10430">
        <v>0</v>
      </c>
      <c r="F10430">
        <v>0</v>
      </c>
      <c r="G10430">
        <v>0</v>
      </c>
    </row>
    <row r="10431" spans="1:7">
      <c r="A10431" t="s">
        <v>1876</v>
      </c>
      <c r="B10431" t="s">
        <v>379</v>
      </c>
      <c r="C10431" t="s">
        <v>224</v>
      </c>
      <c r="D10431">
        <v>37290</v>
      </c>
      <c r="E10431">
        <v>35101</v>
      </c>
      <c r="F10431">
        <v>32223</v>
      </c>
      <c r="G10431">
        <v>31688</v>
      </c>
    </row>
    <row r="10432" spans="1:7">
      <c r="A10432" t="s">
        <v>1876</v>
      </c>
      <c r="B10432" t="s">
        <v>379</v>
      </c>
      <c r="C10432" t="s">
        <v>225</v>
      </c>
      <c r="D10432">
        <v>41571</v>
      </c>
      <c r="E10432">
        <v>41691</v>
      </c>
      <c r="F10432">
        <v>40192</v>
      </c>
      <c r="G10432">
        <v>44119</v>
      </c>
    </row>
    <row r="10433" spans="1:7">
      <c r="A10433" t="s">
        <v>1876</v>
      </c>
      <c r="B10433" t="s">
        <v>379</v>
      </c>
      <c r="C10433" t="s">
        <v>226</v>
      </c>
      <c r="D10433">
        <v>30537</v>
      </c>
      <c r="E10433">
        <v>28140</v>
      </c>
      <c r="F10433">
        <v>25284</v>
      </c>
      <c r="G10433">
        <v>24272</v>
      </c>
    </row>
    <row r="10434" spans="1:7">
      <c r="A10434" t="s">
        <v>1876</v>
      </c>
      <c r="B10434" t="s">
        <v>379</v>
      </c>
      <c r="C10434" t="s">
        <v>227</v>
      </c>
      <c r="D10434">
        <v>109398</v>
      </c>
      <c r="E10434">
        <v>104932</v>
      </c>
      <c r="F10434">
        <v>97699</v>
      </c>
      <c r="G10434">
        <v>100080</v>
      </c>
    </row>
    <row r="10435" spans="1:7">
      <c r="A10435" t="s">
        <v>1876</v>
      </c>
      <c r="B10435" t="s">
        <v>379</v>
      </c>
      <c r="C10435" t="s">
        <v>228</v>
      </c>
      <c r="D10435">
        <v>109398</v>
      </c>
      <c r="E10435">
        <v>104932</v>
      </c>
      <c r="F10435">
        <v>97699</v>
      </c>
      <c r="G10435">
        <v>100080</v>
      </c>
    </row>
    <row r="10436" spans="1:7">
      <c r="A10436" t="s">
        <v>1876</v>
      </c>
      <c r="B10436" t="s">
        <v>379</v>
      </c>
      <c r="C10436" t="s">
        <v>229</v>
      </c>
      <c r="D10436">
        <v>1383</v>
      </c>
      <c r="E10436">
        <v>1402</v>
      </c>
      <c r="F10436">
        <v>996</v>
      </c>
      <c r="G10436">
        <v>952</v>
      </c>
    </row>
    <row r="10437" spans="1:7">
      <c r="A10437" t="s">
        <v>1876</v>
      </c>
      <c r="B10437" t="s">
        <v>379</v>
      </c>
      <c r="C10437" t="s">
        <v>230</v>
      </c>
      <c r="D10437">
        <v>906</v>
      </c>
      <c r="E10437">
        <v>1040</v>
      </c>
      <c r="F10437">
        <v>998</v>
      </c>
      <c r="G10437">
        <v>1009</v>
      </c>
    </row>
    <row r="10438" spans="1:7">
      <c r="A10438" t="s">
        <v>1876</v>
      </c>
      <c r="B10438" t="s">
        <v>379</v>
      </c>
      <c r="C10438" t="s">
        <v>231</v>
      </c>
      <c r="D10438">
        <v>2289</v>
      </c>
      <c r="E10438">
        <v>2442</v>
      </c>
      <c r="F10438">
        <v>1994</v>
      </c>
      <c r="G10438">
        <v>1960</v>
      </c>
    </row>
    <row r="10439" spans="1:7">
      <c r="A10439" t="s">
        <v>1876</v>
      </c>
      <c r="B10439" t="s">
        <v>379</v>
      </c>
      <c r="C10439" t="s">
        <v>232</v>
      </c>
      <c r="D10439">
        <v>2289</v>
      </c>
      <c r="E10439">
        <v>2442</v>
      </c>
      <c r="F10439">
        <v>1994</v>
      </c>
      <c r="G10439">
        <v>1960</v>
      </c>
    </row>
    <row r="10440" spans="1:7">
      <c r="A10440" t="s">
        <v>1876</v>
      </c>
      <c r="B10440" t="s">
        <v>379</v>
      </c>
      <c r="C10440" t="s">
        <v>233</v>
      </c>
      <c r="D10440">
        <v>0</v>
      </c>
      <c r="E10440">
        <v>0</v>
      </c>
      <c r="F10440">
        <v>0</v>
      </c>
      <c r="G10440">
        <v>0</v>
      </c>
    </row>
    <row r="10441" spans="1:7">
      <c r="A10441" t="s">
        <v>1876</v>
      </c>
      <c r="B10441" t="s">
        <v>379</v>
      </c>
      <c r="C10441" t="s">
        <v>234</v>
      </c>
      <c r="D10441">
        <v>117434</v>
      </c>
      <c r="E10441">
        <v>110406</v>
      </c>
      <c r="F10441">
        <v>110072</v>
      </c>
      <c r="G10441">
        <v>109498</v>
      </c>
    </row>
    <row r="10442" spans="1:7">
      <c r="A10442" t="s">
        <v>1876</v>
      </c>
      <c r="B10442" t="s">
        <v>379</v>
      </c>
      <c r="C10442" t="s">
        <v>235</v>
      </c>
      <c r="D10442">
        <v>2028</v>
      </c>
      <c r="E10442">
        <v>2184</v>
      </c>
      <c r="F10442">
        <v>2181</v>
      </c>
      <c r="G10442">
        <v>1752</v>
      </c>
    </row>
    <row r="10443" spans="1:7">
      <c r="A10443" t="s">
        <v>1876</v>
      </c>
      <c r="B10443" t="s">
        <v>379</v>
      </c>
      <c r="C10443" t="s">
        <v>236</v>
      </c>
      <c r="D10443">
        <v>2719</v>
      </c>
      <c r="E10443">
        <v>2984</v>
      </c>
      <c r="F10443">
        <v>2996</v>
      </c>
      <c r="G10443">
        <v>2466</v>
      </c>
    </row>
    <row r="10444" spans="1:7">
      <c r="A10444" t="s">
        <v>1876</v>
      </c>
      <c r="B10444" t="s">
        <v>379</v>
      </c>
      <c r="C10444" t="s">
        <v>237</v>
      </c>
      <c r="D10444">
        <v>122181</v>
      </c>
      <c r="E10444">
        <v>115574</v>
      </c>
      <c r="F10444">
        <v>115249</v>
      </c>
      <c r="G10444">
        <v>113716</v>
      </c>
    </row>
    <row r="10445" spans="1:7">
      <c r="A10445" t="s">
        <v>1876</v>
      </c>
      <c r="B10445" t="s">
        <v>379</v>
      </c>
      <c r="C10445" t="s">
        <v>238</v>
      </c>
      <c r="D10445">
        <v>122181</v>
      </c>
      <c r="E10445">
        <v>115574</v>
      </c>
      <c r="F10445">
        <v>115249</v>
      </c>
      <c r="G10445">
        <v>113716</v>
      </c>
    </row>
    <row r="10446" spans="1:7">
      <c r="A10446" t="s">
        <v>1876</v>
      </c>
      <c r="B10446" t="s">
        <v>379</v>
      </c>
      <c r="C10446" t="s">
        <v>1934</v>
      </c>
      <c r="D10446">
        <v>108797</v>
      </c>
      <c r="E10446">
        <v>102257</v>
      </c>
      <c r="F10446">
        <v>101952</v>
      </c>
      <c r="G10446">
        <v>101851</v>
      </c>
    </row>
    <row r="10447" spans="1:7">
      <c r="A10447" t="s">
        <v>1876</v>
      </c>
      <c r="B10447" t="s">
        <v>379</v>
      </c>
      <c r="C10447" t="s">
        <v>1935</v>
      </c>
      <c r="D10447">
        <v>1878</v>
      </c>
      <c r="E10447">
        <v>2022</v>
      </c>
      <c r="F10447">
        <v>2020</v>
      </c>
      <c r="G10447">
        <v>1629</v>
      </c>
    </row>
    <row r="10448" spans="1:7">
      <c r="A10448" t="s">
        <v>1876</v>
      </c>
      <c r="B10448" t="s">
        <v>379</v>
      </c>
      <c r="C10448" t="s">
        <v>1936</v>
      </c>
      <c r="D10448">
        <v>2519</v>
      </c>
      <c r="E10448">
        <v>2764</v>
      </c>
      <c r="F10448">
        <v>2775</v>
      </c>
      <c r="G10448">
        <v>2294</v>
      </c>
    </row>
    <row r="10449" spans="1:7">
      <c r="A10449" t="s">
        <v>1876</v>
      </c>
      <c r="B10449" t="s">
        <v>379</v>
      </c>
      <c r="C10449" t="s">
        <v>239</v>
      </c>
      <c r="D10449">
        <v>113195</v>
      </c>
      <c r="E10449">
        <v>107043</v>
      </c>
      <c r="F10449">
        <v>106747</v>
      </c>
      <c r="G10449">
        <v>105774</v>
      </c>
    </row>
    <row r="10450" spans="1:7">
      <c r="A10450" t="s">
        <v>1876</v>
      </c>
      <c r="B10450" t="s">
        <v>379</v>
      </c>
      <c r="C10450" t="s">
        <v>240</v>
      </c>
      <c r="D10450">
        <v>67</v>
      </c>
      <c r="E10450">
        <v>17</v>
      </c>
      <c r="F10450">
        <v>16</v>
      </c>
      <c r="G10450">
        <v>16</v>
      </c>
    </row>
    <row r="10451" spans="1:7">
      <c r="A10451" t="s">
        <v>1876</v>
      </c>
      <c r="B10451" t="s">
        <v>379</v>
      </c>
      <c r="C10451" t="s">
        <v>241</v>
      </c>
      <c r="D10451">
        <v>0</v>
      </c>
      <c r="E10451">
        <v>0</v>
      </c>
      <c r="F10451">
        <v>0</v>
      </c>
      <c r="G10451">
        <v>0</v>
      </c>
    </row>
    <row r="10452" spans="1:7">
      <c r="A10452" t="s">
        <v>1876</v>
      </c>
      <c r="B10452" t="s">
        <v>379</v>
      </c>
      <c r="C10452" t="s">
        <v>242</v>
      </c>
      <c r="D10452">
        <v>11478</v>
      </c>
      <c r="E10452">
        <v>12281</v>
      </c>
      <c r="F10452">
        <v>14177</v>
      </c>
      <c r="G10452">
        <v>13366</v>
      </c>
    </row>
    <row r="10453" spans="1:7">
      <c r="A10453" t="s">
        <v>1876</v>
      </c>
      <c r="B10453" t="s">
        <v>379</v>
      </c>
      <c r="C10453" t="s">
        <v>243</v>
      </c>
      <c r="D10453">
        <v>27795</v>
      </c>
      <c r="E10453">
        <v>28601</v>
      </c>
      <c r="F10453">
        <v>28452</v>
      </c>
      <c r="G10453">
        <v>28174</v>
      </c>
    </row>
    <row r="10454" spans="1:7">
      <c r="A10454" t="s">
        <v>1876</v>
      </c>
      <c r="B10454" t="s">
        <v>379</v>
      </c>
      <c r="C10454" t="s">
        <v>244</v>
      </c>
      <c r="D10454">
        <v>84401</v>
      </c>
      <c r="E10454">
        <v>92456</v>
      </c>
      <c r="F10454">
        <v>123276</v>
      </c>
      <c r="G10454">
        <v>102367</v>
      </c>
    </row>
    <row r="10455" spans="1:7">
      <c r="A10455" t="s">
        <v>1876</v>
      </c>
      <c r="B10455" t="s">
        <v>379</v>
      </c>
      <c r="C10455" t="s">
        <v>1709</v>
      </c>
      <c r="D10455">
        <v>3128</v>
      </c>
      <c r="E10455">
        <v>3263</v>
      </c>
      <c r="F10455">
        <v>3263</v>
      </c>
      <c r="G10455">
        <v>3195</v>
      </c>
    </row>
    <row r="10456" spans="1:7">
      <c r="A10456" t="s">
        <v>1876</v>
      </c>
      <c r="B10456" t="s">
        <v>379</v>
      </c>
      <c r="C10456" t="s">
        <v>245</v>
      </c>
      <c r="D10456">
        <v>125453</v>
      </c>
      <c r="E10456">
        <v>130159</v>
      </c>
      <c r="F10456">
        <v>132013</v>
      </c>
      <c r="G10456">
        <v>138875</v>
      </c>
    </row>
    <row r="10457" spans="1:7">
      <c r="A10457" t="s">
        <v>1876</v>
      </c>
      <c r="B10457" t="s">
        <v>379</v>
      </c>
      <c r="C10457" t="s">
        <v>246</v>
      </c>
      <c r="D10457">
        <v>36683</v>
      </c>
      <c r="E10457">
        <v>37782</v>
      </c>
      <c r="F10457">
        <v>37739</v>
      </c>
      <c r="G10457">
        <v>36694</v>
      </c>
    </row>
    <row r="10458" spans="1:7">
      <c r="A10458" t="s">
        <v>1876</v>
      </c>
      <c r="B10458" t="s">
        <v>379</v>
      </c>
      <c r="C10458" t="s">
        <v>247</v>
      </c>
      <c r="D10458">
        <v>285809</v>
      </c>
      <c r="E10458">
        <v>301279</v>
      </c>
      <c r="F10458">
        <v>335657</v>
      </c>
      <c r="G10458">
        <v>319477</v>
      </c>
    </row>
    <row r="10459" spans="1:7">
      <c r="A10459" t="s">
        <v>1876</v>
      </c>
      <c r="B10459" t="s">
        <v>379</v>
      </c>
      <c r="C10459" t="s">
        <v>248</v>
      </c>
      <c r="D10459">
        <v>135</v>
      </c>
      <c r="E10459">
        <v>142.6</v>
      </c>
      <c r="F10459">
        <v>158.4</v>
      </c>
      <c r="G10459">
        <v>150.19999999999999</v>
      </c>
    </row>
    <row r="10460" spans="1:7">
      <c r="A10460" t="s">
        <v>1876</v>
      </c>
      <c r="B10460" t="s">
        <v>379</v>
      </c>
      <c r="C10460" t="s">
        <v>249</v>
      </c>
      <c r="D10460">
        <v>201409</v>
      </c>
      <c r="E10460">
        <v>208824</v>
      </c>
      <c r="F10460">
        <v>212380</v>
      </c>
      <c r="G10460">
        <v>217109</v>
      </c>
    </row>
    <row r="10461" spans="1:7">
      <c r="A10461" t="s">
        <v>1876</v>
      </c>
      <c r="B10461" t="s">
        <v>379</v>
      </c>
      <c r="C10461" t="s">
        <v>250</v>
      </c>
      <c r="D10461">
        <v>285809</v>
      </c>
      <c r="E10461">
        <v>301279</v>
      </c>
      <c r="F10461">
        <v>335657</v>
      </c>
      <c r="G10461">
        <v>319477</v>
      </c>
    </row>
    <row r="10462" spans="1:7">
      <c r="A10462" t="s">
        <v>1876</v>
      </c>
      <c r="B10462" t="s">
        <v>379</v>
      </c>
      <c r="C10462" t="s">
        <v>1937</v>
      </c>
      <c r="D10462">
        <v>11.7</v>
      </c>
      <c r="E10462">
        <v>17.2</v>
      </c>
      <c r="F10462">
        <v>28.3</v>
      </c>
      <c r="G10462">
        <v>21.6</v>
      </c>
    </row>
    <row r="10463" spans="1:7">
      <c r="A10463" t="s">
        <v>1876</v>
      </c>
      <c r="B10463" t="s">
        <v>379</v>
      </c>
      <c r="C10463" t="s">
        <v>1938</v>
      </c>
      <c r="D10463">
        <v>0</v>
      </c>
      <c r="E10463">
        <v>0</v>
      </c>
      <c r="F10463">
        <v>0</v>
      </c>
      <c r="G10463">
        <v>0</v>
      </c>
    </row>
    <row r="10464" spans="1:7">
      <c r="A10464" t="s">
        <v>1876</v>
      </c>
      <c r="B10464" t="s">
        <v>379</v>
      </c>
      <c r="C10464" t="s">
        <v>251</v>
      </c>
      <c r="D10464">
        <v>0</v>
      </c>
      <c r="E10464">
        <v>0</v>
      </c>
      <c r="F10464">
        <v>0</v>
      </c>
      <c r="G10464">
        <v>0</v>
      </c>
    </row>
    <row r="10465" spans="1:7">
      <c r="A10465" t="s">
        <v>1876</v>
      </c>
      <c r="B10465" t="s">
        <v>379</v>
      </c>
      <c r="C10465" t="s">
        <v>252</v>
      </c>
      <c r="D10465">
        <v>0</v>
      </c>
      <c r="E10465">
        <v>0</v>
      </c>
      <c r="F10465">
        <v>0</v>
      </c>
      <c r="G10465">
        <v>0</v>
      </c>
    </row>
    <row r="10466" spans="1:7">
      <c r="A10466" t="s">
        <v>1876</v>
      </c>
      <c r="B10466" t="s">
        <v>379</v>
      </c>
      <c r="C10466" t="s">
        <v>1710</v>
      </c>
      <c r="D10466">
        <v>0</v>
      </c>
      <c r="E10466">
        <v>0</v>
      </c>
      <c r="F10466">
        <v>0</v>
      </c>
      <c r="G10466">
        <v>0</v>
      </c>
    </row>
    <row r="10467" spans="1:7">
      <c r="A10467" t="s">
        <v>1876</v>
      </c>
      <c r="B10467" t="s">
        <v>379</v>
      </c>
      <c r="C10467" t="s">
        <v>1939</v>
      </c>
      <c r="D10467">
        <v>23</v>
      </c>
      <c r="E10467">
        <v>21.2</v>
      </c>
      <c r="F10467">
        <v>34</v>
      </c>
      <c r="G10467">
        <v>43.7</v>
      </c>
    </row>
    <row r="10468" spans="1:7">
      <c r="A10468" t="s">
        <v>1876</v>
      </c>
      <c r="B10468" t="s">
        <v>379</v>
      </c>
      <c r="C10468" t="s">
        <v>253</v>
      </c>
      <c r="D10468">
        <v>0</v>
      </c>
      <c r="E10468">
        <v>0</v>
      </c>
      <c r="F10468">
        <v>0</v>
      </c>
      <c r="G10468">
        <v>0</v>
      </c>
    </row>
    <row r="10469" spans="1:7">
      <c r="A10469" t="s">
        <v>1876</v>
      </c>
      <c r="B10469" t="s">
        <v>379</v>
      </c>
      <c r="C10469" t="s">
        <v>1711</v>
      </c>
      <c r="D10469">
        <v>0</v>
      </c>
      <c r="E10469">
        <v>0</v>
      </c>
      <c r="F10469">
        <v>0</v>
      </c>
      <c r="G10469">
        <v>0</v>
      </c>
    </row>
    <row r="10470" spans="1:7">
      <c r="A10470" t="s">
        <v>1876</v>
      </c>
      <c r="B10470" t="s">
        <v>379</v>
      </c>
      <c r="C10470" t="s">
        <v>1712</v>
      </c>
      <c r="D10470">
        <v>9713</v>
      </c>
      <c r="E10470">
        <v>9415</v>
      </c>
      <c r="F10470">
        <v>9221</v>
      </c>
      <c r="G10470">
        <v>8924</v>
      </c>
    </row>
    <row r="10471" spans="1:7">
      <c r="A10471" t="s">
        <v>1876</v>
      </c>
      <c r="B10471" t="s">
        <v>379</v>
      </c>
      <c r="C10471" t="s">
        <v>1713</v>
      </c>
      <c r="D10471">
        <v>1061</v>
      </c>
      <c r="E10471">
        <v>1043</v>
      </c>
      <c r="F10471">
        <v>1081</v>
      </c>
      <c r="G10471">
        <v>1075</v>
      </c>
    </row>
    <row r="10472" spans="1:7">
      <c r="A10472" t="s">
        <v>1876</v>
      </c>
      <c r="B10472" t="s">
        <v>379</v>
      </c>
      <c r="C10472" t="s">
        <v>1940</v>
      </c>
      <c r="D10472">
        <v>0</v>
      </c>
      <c r="E10472">
        <v>0</v>
      </c>
      <c r="F10472">
        <v>0</v>
      </c>
      <c r="G10472">
        <v>0</v>
      </c>
    </row>
    <row r="10473" spans="1:7">
      <c r="A10473" t="s">
        <v>1876</v>
      </c>
      <c r="B10473" t="s">
        <v>379</v>
      </c>
      <c r="C10473" t="s">
        <v>1941</v>
      </c>
      <c r="D10473">
        <v>0</v>
      </c>
      <c r="E10473">
        <v>0</v>
      </c>
      <c r="F10473">
        <v>0</v>
      </c>
      <c r="G10473">
        <v>0</v>
      </c>
    </row>
    <row r="10474" spans="1:7">
      <c r="A10474" t="s">
        <v>1876</v>
      </c>
      <c r="B10474" t="s">
        <v>379</v>
      </c>
      <c r="C10474" t="s">
        <v>254</v>
      </c>
      <c r="D10474">
        <v>9713</v>
      </c>
      <c r="E10474">
        <v>9415</v>
      </c>
      <c r="F10474">
        <v>9221</v>
      </c>
      <c r="G10474">
        <v>8924</v>
      </c>
    </row>
    <row r="10475" spans="1:7">
      <c r="A10475" t="s">
        <v>1876</v>
      </c>
      <c r="B10475" t="s">
        <v>379</v>
      </c>
      <c r="C10475" t="s">
        <v>1942</v>
      </c>
      <c r="D10475">
        <v>0</v>
      </c>
      <c r="E10475">
        <v>0</v>
      </c>
      <c r="F10475">
        <v>0</v>
      </c>
      <c r="G10475">
        <v>0</v>
      </c>
    </row>
    <row r="10476" spans="1:7">
      <c r="A10476" t="s">
        <v>1876</v>
      </c>
      <c r="B10476" t="s">
        <v>379</v>
      </c>
      <c r="C10476" t="s">
        <v>255</v>
      </c>
      <c r="D10476">
        <v>10774</v>
      </c>
      <c r="E10476">
        <v>10457</v>
      </c>
      <c r="F10476">
        <v>10302</v>
      </c>
      <c r="G10476">
        <v>9999</v>
      </c>
    </row>
    <row r="10477" spans="1:7">
      <c r="A10477" t="s">
        <v>1876</v>
      </c>
      <c r="B10477" t="s">
        <v>379</v>
      </c>
      <c r="C10477" t="s">
        <v>256</v>
      </c>
      <c r="D10477">
        <v>10774</v>
      </c>
      <c r="E10477">
        <v>10457</v>
      </c>
      <c r="F10477">
        <v>10302</v>
      </c>
      <c r="G10477">
        <v>9999</v>
      </c>
    </row>
    <row r="10478" spans="1:7">
      <c r="A10478" t="s">
        <v>1876</v>
      </c>
      <c r="B10478" t="s">
        <v>379</v>
      </c>
      <c r="C10478" t="s">
        <v>1714</v>
      </c>
      <c r="D10478">
        <v>1</v>
      </c>
      <c r="E10478">
        <v>1</v>
      </c>
      <c r="F10478">
        <v>1</v>
      </c>
      <c r="G10478">
        <v>1</v>
      </c>
    </row>
    <row r="10479" spans="1:7">
      <c r="A10479" t="s">
        <v>1876</v>
      </c>
      <c r="B10479" t="s">
        <v>379</v>
      </c>
      <c r="C10479" t="s">
        <v>257</v>
      </c>
      <c r="D10479">
        <v>20914</v>
      </c>
      <c r="E10479">
        <v>20444</v>
      </c>
      <c r="F10479">
        <v>20028</v>
      </c>
      <c r="G10479">
        <v>19126</v>
      </c>
    </row>
    <row r="10480" spans="1:7">
      <c r="A10480" t="s">
        <v>1876</v>
      </c>
      <c r="B10480" t="s">
        <v>379</v>
      </c>
      <c r="C10480" t="s">
        <v>258</v>
      </c>
      <c r="D10480">
        <v>23551</v>
      </c>
      <c r="E10480">
        <v>23088</v>
      </c>
      <c r="F10480">
        <v>22296</v>
      </c>
      <c r="G10480">
        <v>21357</v>
      </c>
    </row>
    <row r="10481" spans="1:7">
      <c r="A10481" t="s">
        <v>1876</v>
      </c>
      <c r="B10481" t="s">
        <v>379</v>
      </c>
      <c r="C10481" t="s">
        <v>259</v>
      </c>
      <c r="D10481">
        <v>23551</v>
      </c>
      <c r="E10481">
        <v>23088</v>
      </c>
      <c r="F10481">
        <v>22296</v>
      </c>
      <c r="G10481">
        <v>21357</v>
      </c>
    </row>
    <row r="10482" spans="1:7">
      <c r="A10482" t="s">
        <v>1876</v>
      </c>
      <c r="B10482" t="s">
        <v>379</v>
      </c>
      <c r="C10482" t="s">
        <v>260</v>
      </c>
      <c r="D10482">
        <v>226813</v>
      </c>
      <c r="E10482">
        <v>218447</v>
      </c>
      <c r="F10482">
        <v>214449</v>
      </c>
      <c r="G10482">
        <v>209271</v>
      </c>
    </row>
    <row r="10483" spans="1:7">
      <c r="A10483" t="s">
        <v>1876</v>
      </c>
      <c r="B10483" t="s">
        <v>379</v>
      </c>
      <c r="C10483" t="s">
        <v>1943</v>
      </c>
      <c r="D10483">
        <v>7.1</v>
      </c>
      <c r="E10483">
        <v>0</v>
      </c>
      <c r="F10483">
        <v>0.2</v>
      </c>
      <c r="G10483">
        <v>0.1</v>
      </c>
    </row>
    <row r="10484" spans="1:7">
      <c r="A10484" t="s">
        <v>1876</v>
      </c>
      <c r="B10484" t="s">
        <v>379</v>
      </c>
      <c r="C10484" t="s">
        <v>261</v>
      </c>
      <c r="D10484">
        <v>5167</v>
      </c>
      <c r="E10484">
        <v>5487</v>
      </c>
      <c r="F10484">
        <v>5238</v>
      </c>
      <c r="G10484">
        <v>5533</v>
      </c>
    </row>
    <row r="10485" spans="1:7">
      <c r="A10485" t="s">
        <v>1876</v>
      </c>
      <c r="B10485" t="s">
        <v>379</v>
      </c>
      <c r="C10485" t="s">
        <v>262</v>
      </c>
      <c r="D10485">
        <v>384</v>
      </c>
      <c r="E10485">
        <v>219</v>
      </c>
      <c r="F10485">
        <v>872</v>
      </c>
      <c r="G10485">
        <v>12</v>
      </c>
    </row>
    <row r="10486" spans="1:7">
      <c r="A10486" t="s">
        <v>1876</v>
      </c>
      <c r="B10486" t="s">
        <v>379</v>
      </c>
      <c r="C10486" t="s">
        <v>1715</v>
      </c>
      <c r="D10486">
        <v>187</v>
      </c>
      <c r="E10486">
        <v>46</v>
      </c>
      <c r="F10486">
        <v>46</v>
      </c>
      <c r="G10486">
        <v>46</v>
      </c>
    </row>
    <row r="10487" spans="1:7">
      <c r="A10487" t="s">
        <v>1876</v>
      </c>
      <c r="B10487" t="s">
        <v>379</v>
      </c>
      <c r="C10487" t="s">
        <v>263</v>
      </c>
      <c r="D10487">
        <v>36335</v>
      </c>
      <c r="E10487">
        <v>36818</v>
      </c>
      <c r="F10487">
        <v>35875</v>
      </c>
      <c r="G10487">
        <v>33533</v>
      </c>
    </row>
    <row r="10488" spans="1:7">
      <c r="A10488" t="s">
        <v>1876</v>
      </c>
      <c r="B10488" t="s">
        <v>379</v>
      </c>
      <c r="C10488" t="s">
        <v>264</v>
      </c>
      <c r="D10488">
        <v>5041</v>
      </c>
      <c r="E10488">
        <v>4965</v>
      </c>
      <c r="F10488">
        <v>4612</v>
      </c>
      <c r="G10488">
        <v>4415</v>
      </c>
    </row>
    <row r="10489" spans="1:7">
      <c r="A10489" t="s">
        <v>1876</v>
      </c>
      <c r="B10489" t="s">
        <v>379</v>
      </c>
      <c r="C10489" t="s">
        <v>265</v>
      </c>
      <c r="D10489">
        <v>273741</v>
      </c>
      <c r="E10489">
        <v>265937</v>
      </c>
      <c r="F10489">
        <v>261047</v>
      </c>
      <c r="G10489">
        <v>252764</v>
      </c>
    </row>
    <row r="10490" spans="1:7">
      <c r="A10490" t="s">
        <v>1876</v>
      </c>
      <c r="B10490" t="s">
        <v>379</v>
      </c>
      <c r="C10490" t="s">
        <v>266</v>
      </c>
      <c r="D10490">
        <v>129.30000000000001</v>
      </c>
      <c r="E10490">
        <v>125.9</v>
      </c>
      <c r="F10490">
        <v>123.2</v>
      </c>
      <c r="G10490">
        <v>118.8</v>
      </c>
    </row>
    <row r="10491" spans="1:7">
      <c r="A10491" t="s">
        <v>1876</v>
      </c>
      <c r="B10491" t="s">
        <v>379</v>
      </c>
      <c r="C10491" t="s">
        <v>267</v>
      </c>
      <c r="D10491">
        <v>273357</v>
      </c>
      <c r="E10491">
        <v>265717</v>
      </c>
      <c r="F10491">
        <v>260175</v>
      </c>
      <c r="G10491">
        <v>252752</v>
      </c>
    </row>
    <row r="10492" spans="1:7">
      <c r="A10492" t="s">
        <v>1876</v>
      </c>
      <c r="B10492" t="s">
        <v>379</v>
      </c>
      <c r="C10492" t="s">
        <v>268</v>
      </c>
      <c r="D10492">
        <v>0</v>
      </c>
      <c r="E10492">
        <v>0</v>
      </c>
      <c r="F10492">
        <v>0</v>
      </c>
      <c r="G10492">
        <v>0</v>
      </c>
    </row>
    <row r="10493" spans="1:7">
      <c r="A10493" t="s">
        <v>1876</v>
      </c>
      <c r="B10493" t="s">
        <v>379</v>
      </c>
      <c r="C10493" t="s">
        <v>269</v>
      </c>
      <c r="D10493">
        <v>0</v>
      </c>
      <c r="E10493">
        <v>0</v>
      </c>
      <c r="F10493">
        <v>0</v>
      </c>
      <c r="G10493">
        <v>0</v>
      </c>
    </row>
    <row r="10494" spans="1:7">
      <c r="A10494" t="s">
        <v>1876</v>
      </c>
      <c r="B10494" t="s">
        <v>379</v>
      </c>
      <c r="C10494" t="s">
        <v>270</v>
      </c>
      <c r="D10494">
        <v>1899</v>
      </c>
      <c r="E10494">
        <v>1760</v>
      </c>
      <c r="F10494">
        <v>1892</v>
      </c>
      <c r="G10494">
        <v>830</v>
      </c>
    </row>
    <row r="10495" spans="1:7">
      <c r="A10495" t="s">
        <v>1876</v>
      </c>
      <c r="B10495" t="s">
        <v>379</v>
      </c>
      <c r="C10495" t="s">
        <v>271</v>
      </c>
      <c r="D10495">
        <v>1899</v>
      </c>
      <c r="E10495">
        <v>1760</v>
      </c>
      <c r="F10495">
        <v>1892</v>
      </c>
      <c r="G10495">
        <v>830</v>
      </c>
    </row>
    <row r="10496" spans="1:7">
      <c r="A10496" t="s">
        <v>1876</v>
      </c>
      <c r="B10496" t="s">
        <v>379</v>
      </c>
      <c r="C10496" t="s">
        <v>272</v>
      </c>
      <c r="D10496">
        <v>1899</v>
      </c>
      <c r="E10496">
        <v>1760</v>
      </c>
      <c r="F10496">
        <v>1892</v>
      </c>
      <c r="G10496">
        <v>830</v>
      </c>
    </row>
    <row r="10497" spans="1:7">
      <c r="A10497" t="s">
        <v>1876</v>
      </c>
      <c r="B10497" t="s">
        <v>379</v>
      </c>
      <c r="C10497" t="s">
        <v>1944</v>
      </c>
      <c r="D10497">
        <v>2.7</v>
      </c>
      <c r="E10497">
        <v>3.6</v>
      </c>
      <c r="F10497">
        <v>4.3</v>
      </c>
      <c r="G10497">
        <v>5.6</v>
      </c>
    </row>
    <row r="10498" spans="1:7">
      <c r="A10498" t="s">
        <v>1876</v>
      </c>
      <c r="B10498" t="s">
        <v>379</v>
      </c>
      <c r="C10498" t="s">
        <v>1945</v>
      </c>
      <c r="D10498">
        <v>4</v>
      </c>
      <c r="E10498">
        <v>6</v>
      </c>
      <c r="F10498">
        <v>11</v>
      </c>
      <c r="G10498">
        <v>13</v>
      </c>
    </row>
    <row r="10499" spans="1:7">
      <c r="A10499" t="s">
        <v>1876</v>
      </c>
      <c r="B10499" t="s">
        <v>379</v>
      </c>
      <c r="C10499" t="s">
        <v>273</v>
      </c>
      <c r="D10499">
        <v>0</v>
      </c>
      <c r="E10499">
        <v>0</v>
      </c>
      <c r="F10499">
        <v>0</v>
      </c>
      <c r="G10499">
        <v>0</v>
      </c>
    </row>
    <row r="10500" spans="1:7">
      <c r="A10500" t="s">
        <v>1876</v>
      </c>
      <c r="B10500" t="s">
        <v>379</v>
      </c>
      <c r="C10500" t="s">
        <v>1946</v>
      </c>
      <c r="D10500">
        <v>216330</v>
      </c>
      <c r="E10500">
        <v>208520</v>
      </c>
      <c r="F10500">
        <v>204611</v>
      </c>
      <c r="G10500">
        <v>199968</v>
      </c>
    </row>
    <row r="10501" spans="1:7">
      <c r="A10501" t="s">
        <v>1876</v>
      </c>
      <c r="B10501" t="s">
        <v>379</v>
      </c>
      <c r="C10501" t="s">
        <v>1947</v>
      </c>
      <c r="D10501">
        <v>5018</v>
      </c>
      <c r="E10501">
        <v>5326</v>
      </c>
      <c r="F10501">
        <v>5077</v>
      </c>
      <c r="G10501">
        <v>5411</v>
      </c>
    </row>
    <row r="10502" spans="1:7">
      <c r="A10502" t="s">
        <v>1876</v>
      </c>
      <c r="B10502" t="s">
        <v>379</v>
      </c>
      <c r="C10502" t="s">
        <v>1948</v>
      </c>
      <c r="D10502">
        <v>384</v>
      </c>
      <c r="E10502">
        <v>219</v>
      </c>
      <c r="F10502">
        <v>872</v>
      </c>
      <c r="G10502">
        <v>12</v>
      </c>
    </row>
    <row r="10503" spans="1:7">
      <c r="A10503" t="s">
        <v>1876</v>
      </c>
      <c r="B10503" t="s">
        <v>379</v>
      </c>
      <c r="C10503" t="s">
        <v>1949</v>
      </c>
      <c r="D10503">
        <v>36135</v>
      </c>
      <c r="E10503">
        <v>36598</v>
      </c>
      <c r="F10503">
        <v>35654</v>
      </c>
      <c r="G10503">
        <v>33361</v>
      </c>
    </row>
    <row r="10504" spans="1:7">
      <c r="A10504" t="s">
        <v>1876</v>
      </c>
      <c r="B10504" t="s">
        <v>379</v>
      </c>
      <c r="C10504" t="s">
        <v>1950</v>
      </c>
      <c r="D10504">
        <v>5041</v>
      </c>
      <c r="E10504">
        <v>4965</v>
      </c>
      <c r="F10504">
        <v>4612</v>
      </c>
      <c r="G10504">
        <v>4415</v>
      </c>
    </row>
    <row r="10505" spans="1:7">
      <c r="A10505" t="s">
        <v>1876</v>
      </c>
      <c r="B10505" t="s">
        <v>379</v>
      </c>
      <c r="C10505" t="s">
        <v>274</v>
      </c>
      <c r="D10505">
        <v>262909</v>
      </c>
      <c r="E10505">
        <v>255627</v>
      </c>
      <c r="F10505">
        <v>250827</v>
      </c>
      <c r="G10505">
        <v>243166</v>
      </c>
    </row>
    <row r="10506" spans="1:7">
      <c r="A10506" t="s">
        <v>1876</v>
      </c>
      <c r="B10506" t="s">
        <v>379</v>
      </c>
      <c r="C10506" t="s">
        <v>275</v>
      </c>
      <c r="D10506">
        <v>0</v>
      </c>
      <c r="E10506">
        <v>0</v>
      </c>
      <c r="F10506">
        <v>0</v>
      </c>
      <c r="G10506">
        <v>0</v>
      </c>
    </row>
    <row r="10507" spans="1:7">
      <c r="A10507" t="s">
        <v>1876</v>
      </c>
      <c r="B10507" t="s">
        <v>379</v>
      </c>
      <c r="C10507" t="s">
        <v>276</v>
      </c>
      <c r="D10507">
        <v>0</v>
      </c>
      <c r="E10507">
        <v>0</v>
      </c>
      <c r="F10507">
        <v>0</v>
      </c>
      <c r="G10507">
        <v>0</v>
      </c>
    </row>
    <row r="10508" spans="1:7">
      <c r="A10508" t="s">
        <v>1876</v>
      </c>
      <c r="B10508" t="s">
        <v>379</v>
      </c>
      <c r="C10508" t="s">
        <v>277</v>
      </c>
      <c r="D10508">
        <v>10</v>
      </c>
      <c r="E10508">
        <v>24</v>
      </c>
      <c r="F10508">
        <v>18</v>
      </c>
      <c r="G10508">
        <v>16</v>
      </c>
    </row>
    <row r="10509" spans="1:7">
      <c r="A10509" t="s">
        <v>1876</v>
      </c>
      <c r="B10509" t="s">
        <v>379</v>
      </c>
      <c r="C10509" t="s">
        <v>278</v>
      </c>
      <c r="D10509">
        <v>1813</v>
      </c>
      <c r="E10509">
        <v>1938</v>
      </c>
      <c r="F10509">
        <v>1626</v>
      </c>
      <c r="G10509">
        <v>2483</v>
      </c>
    </row>
    <row r="10510" spans="1:7">
      <c r="A10510" t="s">
        <v>1876</v>
      </c>
      <c r="B10510" t="s">
        <v>379</v>
      </c>
      <c r="C10510" t="s">
        <v>279</v>
      </c>
      <c r="D10510">
        <v>589</v>
      </c>
      <c r="E10510">
        <v>1145</v>
      </c>
      <c r="F10510">
        <v>900</v>
      </c>
      <c r="G10510">
        <v>344</v>
      </c>
    </row>
    <row r="10511" spans="1:7">
      <c r="A10511" t="s">
        <v>1876</v>
      </c>
      <c r="B10511" t="s">
        <v>379</v>
      </c>
      <c r="C10511" t="s">
        <v>280</v>
      </c>
      <c r="D10511">
        <v>5034</v>
      </c>
      <c r="E10511">
        <v>4958</v>
      </c>
      <c r="F10511">
        <v>4605</v>
      </c>
      <c r="G10511">
        <v>4408</v>
      </c>
    </row>
    <row r="10512" spans="1:7">
      <c r="A10512" t="s">
        <v>1876</v>
      </c>
      <c r="B10512" t="s">
        <v>379</v>
      </c>
      <c r="C10512" t="s">
        <v>281</v>
      </c>
      <c r="D10512">
        <v>7446</v>
      </c>
      <c r="E10512">
        <v>8065</v>
      </c>
      <c r="F10512">
        <v>7150</v>
      </c>
      <c r="G10512">
        <v>7251</v>
      </c>
    </row>
    <row r="10513" spans="1:7">
      <c r="A10513" t="s">
        <v>1876</v>
      </c>
      <c r="B10513" t="s">
        <v>379</v>
      </c>
      <c r="C10513" t="s">
        <v>282</v>
      </c>
      <c r="D10513">
        <v>7446</v>
      </c>
      <c r="E10513">
        <v>8065</v>
      </c>
      <c r="F10513">
        <v>7150</v>
      </c>
      <c r="G10513">
        <v>7251</v>
      </c>
    </row>
    <row r="10514" spans="1:7">
      <c r="A10514" t="s">
        <v>1876</v>
      </c>
      <c r="B10514" t="s">
        <v>379</v>
      </c>
      <c r="C10514" t="s">
        <v>283</v>
      </c>
      <c r="D10514">
        <v>0</v>
      </c>
      <c r="E10514">
        <v>0</v>
      </c>
      <c r="F10514">
        <v>0</v>
      </c>
      <c r="G10514">
        <v>0</v>
      </c>
    </row>
    <row r="10515" spans="1:7">
      <c r="A10515" t="s">
        <v>1876</v>
      </c>
      <c r="B10515" t="s">
        <v>379</v>
      </c>
      <c r="C10515" t="s">
        <v>284</v>
      </c>
      <c r="D10515">
        <v>0</v>
      </c>
      <c r="E10515">
        <v>0</v>
      </c>
      <c r="F10515">
        <v>0</v>
      </c>
      <c r="G10515">
        <v>0</v>
      </c>
    </row>
    <row r="10516" spans="1:7">
      <c r="A10516" t="s">
        <v>1876</v>
      </c>
      <c r="B10516" t="s">
        <v>379</v>
      </c>
      <c r="C10516" t="s">
        <v>1716</v>
      </c>
      <c r="D10516">
        <v>10483</v>
      </c>
      <c r="E10516">
        <v>9928</v>
      </c>
      <c r="F10516">
        <v>9838</v>
      </c>
      <c r="G10516">
        <v>9303</v>
      </c>
    </row>
    <row r="10517" spans="1:7">
      <c r="A10517" t="s">
        <v>1876</v>
      </c>
      <c r="B10517" t="s">
        <v>379</v>
      </c>
      <c r="C10517" t="s">
        <v>1717</v>
      </c>
      <c r="D10517">
        <v>1633</v>
      </c>
      <c r="E10517">
        <v>1702</v>
      </c>
      <c r="F10517">
        <v>1723</v>
      </c>
      <c r="G10517">
        <v>1722</v>
      </c>
    </row>
    <row r="10518" spans="1:7">
      <c r="A10518" t="s">
        <v>1876</v>
      </c>
      <c r="B10518" t="s">
        <v>379</v>
      </c>
      <c r="C10518" t="s">
        <v>1718</v>
      </c>
      <c r="D10518">
        <v>42959</v>
      </c>
      <c r="E10518">
        <v>56817</v>
      </c>
      <c r="F10518">
        <v>60427</v>
      </c>
      <c r="G10518">
        <v>67191</v>
      </c>
    </row>
    <row r="10519" spans="1:7">
      <c r="A10519" t="s">
        <v>1876</v>
      </c>
      <c r="B10519" t="s">
        <v>379</v>
      </c>
      <c r="C10519" t="s">
        <v>1719</v>
      </c>
      <c r="D10519">
        <v>5101</v>
      </c>
      <c r="E10519">
        <v>5365</v>
      </c>
      <c r="F10519">
        <v>5635</v>
      </c>
      <c r="G10519">
        <v>6417</v>
      </c>
    </row>
    <row r="10520" spans="1:7">
      <c r="A10520" t="s">
        <v>1876</v>
      </c>
      <c r="B10520" t="s">
        <v>379</v>
      </c>
      <c r="C10520" t="s">
        <v>1720</v>
      </c>
      <c r="D10520">
        <v>526</v>
      </c>
      <c r="E10520">
        <v>526</v>
      </c>
      <c r="F10520">
        <v>563</v>
      </c>
      <c r="G10520">
        <v>505</v>
      </c>
    </row>
    <row r="10521" spans="1:7">
      <c r="A10521" t="s">
        <v>1876</v>
      </c>
      <c r="B10521" t="s">
        <v>379</v>
      </c>
      <c r="C10521" t="s">
        <v>1721</v>
      </c>
      <c r="D10521">
        <v>6603</v>
      </c>
      <c r="E10521">
        <v>8312</v>
      </c>
      <c r="F10521">
        <v>7702</v>
      </c>
      <c r="G10521">
        <v>7652</v>
      </c>
    </row>
    <row r="10522" spans="1:7">
      <c r="A10522" t="s">
        <v>1876</v>
      </c>
      <c r="B10522" t="s">
        <v>379</v>
      </c>
      <c r="C10522" t="s">
        <v>285</v>
      </c>
      <c r="D10522">
        <v>62205</v>
      </c>
      <c r="E10522">
        <v>77285</v>
      </c>
      <c r="F10522">
        <v>80254</v>
      </c>
      <c r="G10522">
        <v>86374</v>
      </c>
    </row>
    <row r="10523" spans="1:7">
      <c r="A10523" t="s">
        <v>1876</v>
      </c>
      <c r="B10523" t="s">
        <v>379</v>
      </c>
      <c r="C10523" t="s">
        <v>1951</v>
      </c>
      <c r="D10523">
        <v>9.1</v>
      </c>
      <c r="E10523">
        <v>11.3</v>
      </c>
      <c r="F10523">
        <v>11.8</v>
      </c>
      <c r="G10523">
        <v>12.6</v>
      </c>
    </row>
    <row r="10524" spans="1:7">
      <c r="A10524" t="s">
        <v>1876</v>
      </c>
      <c r="B10524" t="s">
        <v>379</v>
      </c>
      <c r="C10524" t="s">
        <v>286</v>
      </c>
      <c r="D10524">
        <v>0</v>
      </c>
      <c r="E10524">
        <v>0</v>
      </c>
      <c r="F10524">
        <v>0</v>
      </c>
      <c r="G10524">
        <v>0</v>
      </c>
    </row>
    <row r="10525" spans="1:7">
      <c r="A10525" t="s">
        <v>1876</v>
      </c>
      <c r="B10525" t="s">
        <v>379</v>
      </c>
      <c r="C10525" t="s">
        <v>287</v>
      </c>
      <c r="D10525">
        <v>0</v>
      </c>
      <c r="E10525">
        <v>0</v>
      </c>
      <c r="F10525">
        <v>0</v>
      </c>
      <c r="G10525">
        <v>0</v>
      </c>
    </row>
    <row r="10526" spans="1:7">
      <c r="A10526" t="s">
        <v>1876</v>
      </c>
      <c r="B10526" t="s">
        <v>379</v>
      </c>
      <c r="C10526" t="s">
        <v>288</v>
      </c>
      <c r="D10526">
        <v>0</v>
      </c>
      <c r="E10526">
        <v>0</v>
      </c>
      <c r="F10526">
        <v>0</v>
      </c>
      <c r="G10526">
        <v>0</v>
      </c>
    </row>
    <row r="10527" spans="1:7">
      <c r="A10527" t="s">
        <v>1876</v>
      </c>
      <c r="B10527" t="s">
        <v>379</v>
      </c>
      <c r="C10527" t="s">
        <v>289</v>
      </c>
      <c r="D10527">
        <v>0</v>
      </c>
      <c r="E10527">
        <v>0</v>
      </c>
      <c r="F10527">
        <v>0</v>
      </c>
      <c r="G10527">
        <v>0</v>
      </c>
    </row>
    <row r="10528" spans="1:7">
      <c r="A10528" t="s">
        <v>1876</v>
      </c>
      <c r="B10528" t="s">
        <v>379</v>
      </c>
      <c r="C10528" t="s">
        <v>290</v>
      </c>
      <c r="D10528">
        <v>0</v>
      </c>
      <c r="E10528">
        <v>0</v>
      </c>
      <c r="F10528">
        <v>0</v>
      </c>
      <c r="G10528">
        <v>0</v>
      </c>
    </row>
    <row r="10529" spans="1:7">
      <c r="A10529" t="s">
        <v>1876</v>
      </c>
      <c r="B10529" t="s">
        <v>379</v>
      </c>
      <c r="C10529" t="s">
        <v>291</v>
      </c>
      <c r="D10529">
        <v>0</v>
      </c>
      <c r="E10529">
        <v>0</v>
      </c>
      <c r="F10529">
        <v>0</v>
      </c>
      <c r="G10529">
        <v>0</v>
      </c>
    </row>
    <row r="10530" spans="1:7">
      <c r="A10530" t="s">
        <v>1876</v>
      </c>
      <c r="B10530" t="s">
        <v>379</v>
      </c>
      <c r="C10530" t="s">
        <v>292</v>
      </c>
      <c r="D10530">
        <v>0</v>
      </c>
      <c r="E10530">
        <v>0</v>
      </c>
      <c r="F10530">
        <v>0</v>
      </c>
      <c r="G10530">
        <v>0</v>
      </c>
    </row>
    <row r="10531" spans="1:7">
      <c r="A10531" t="s">
        <v>1876</v>
      </c>
      <c r="B10531" t="s">
        <v>379</v>
      </c>
      <c r="C10531" t="s">
        <v>293</v>
      </c>
      <c r="D10531">
        <v>0</v>
      </c>
      <c r="E10531">
        <v>0</v>
      </c>
      <c r="F10531">
        <v>0</v>
      </c>
      <c r="G10531">
        <v>0</v>
      </c>
    </row>
    <row r="10532" spans="1:7">
      <c r="A10532" t="s">
        <v>1876</v>
      </c>
      <c r="B10532" t="s">
        <v>379</v>
      </c>
      <c r="C10532" t="s">
        <v>294</v>
      </c>
      <c r="D10532">
        <v>0</v>
      </c>
      <c r="E10532">
        <v>0</v>
      </c>
      <c r="F10532">
        <v>0</v>
      </c>
      <c r="G10532">
        <v>0</v>
      </c>
    </row>
    <row r="10533" spans="1:7">
      <c r="A10533" t="s">
        <v>1876</v>
      </c>
      <c r="B10533" t="s">
        <v>379</v>
      </c>
      <c r="C10533" t="s">
        <v>295</v>
      </c>
      <c r="D10533">
        <v>0</v>
      </c>
      <c r="E10533">
        <v>0</v>
      </c>
      <c r="F10533">
        <v>0</v>
      </c>
      <c r="G10533">
        <v>0</v>
      </c>
    </row>
    <row r="10534" spans="1:7">
      <c r="A10534" t="s">
        <v>1876</v>
      </c>
      <c r="B10534" t="s">
        <v>379</v>
      </c>
      <c r="C10534" t="s">
        <v>296</v>
      </c>
      <c r="D10534">
        <v>0</v>
      </c>
      <c r="E10534">
        <v>0</v>
      </c>
      <c r="F10534">
        <v>0</v>
      </c>
      <c r="G10534">
        <v>0</v>
      </c>
    </row>
    <row r="10535" spans="1:7">
      <c r="A10535" t="s">
        <v>1876</v>
      </c>
      <c r="B10535" t="s">
        <v>379</v>
      </c>
      <c r="C10535" t="s">
        <v>297</v>
      </c>
      <c r="D10535">
        <v>9332</v>
      </c>
      <c r="E10535">
        <v>9375</v>
      </c>
      <c r="F10535">
        <v>9190</v>
      </c>
      <c r="G10535">
        <v>8891</v>
      </c>
    </row>
    <row r="10536" spans="1:7">
      <c r="A10536" t="s">
        <v>1876</v>
      </c>
      <c r="B10536" t="s">
        <v>379</v>
      </c>
      <c r="C10536" t="s">
        <v>1952</v>
      </c>
      <c r="D10536">
        <v>0</v>
      </c>
      <c r="E10536">
        <v>0</v>
      </c>
      <c r="F10536">
        <v>0</v>
      </c>
      <c r="G10536">
        <v>0</v>
      </c>
    </row>
    <row r="10537" spans="1:7">
      <c r="A10537" t="s">
        <v>1876</v>
      </c>
      <c r="B10537" t="s">
        <v>379</v>
      </c>
      <c r="C10537" t="s">
        <v>298</v>
      </c>
      <c r="D10537">
        <v>0</v>
      </c>
      <c r="E10537">
        <v>0</v>
      </c>
      <c r="F10537">
        <v>0</v>
      </c>
      <c r="G10537">
        <v>0</v>
      </c>
    </row>
    <row r="10538" spans="1:7">
      <c r="A10538" t="s">
        <v>1876</v>
      </c>
      <c r="B10538" t="s">
        <v>379</v>
      </c>
      <c r="C10538" t="s">
        <v>299</v>
      </c>
      <c r="D10538">
        <v>409</v>
      </c>
      <c r="E10538">
        <v>466</v>
      </c>
      <c r="F10538">
        <v>489</v>
      </c>
      <c r="G10538">
        <v>531</v>
      </c>
    </row>
    <row r="10539" spans="1:7">
      <c r="A10539" t="s">
        <v>1876</v>
      </c>
      <c r="B10539" t="s">
        <v>379</v>
      </c>
      <c r="C10539" t="s">
        <v>300</v>
      </c>
      <c r="D10539">
        <v>5970</v>
      </c>
      <c r="E10539">
        <v>6759</v>
      </c>
      <c r="F10539">
        <v>8916</v>
      </c>
      <c r="G10539">
        <v>14626</v>
      </c>
    </row>
    <row r="10540" spans="1:7">
      <c r="A10540" t="s">
        <v>1876</v>
      </c>
      <c r="B10540" t="s">
        <v>379</v>
      </c>
      <c r="C10540" t="s">
        <v>1722</v>
      </c>
      <c r="D10540">
        <v>739</v>
      </c>
      <c r="E10540">
        <v>856</v>
      </c>
      <c r="F10540">
        <v>1132</v>
      </c>
      <c r="G10540">
        <v>2322</v>
      </c>
    </row>
    <row r="10541" spans="1:7">
      <c r="A10541" t="s">
        <v>1876</v>
      </c>
      <c r="B10541" t="s">
        <v>379</v>
      </c>
      <c r="C10541" t="s">
        <v>301</v>
      </c>
      <c r="D10541">
        <v>4</v>
      </c>
      <c r="E10541">
        <v>4</v>
      </c>
      <c r="F10541">
        <v>4</v>
      </c>
      <c r="G10541">
        <v>4</v>
      </c>
    </row>
    <row r="10542" spans="1:7">
      <c r="A10542" t="s">
        <v>1876</v>
      </c>
      <c r="B10542" t="s">
        <v>379</v>
      </c>
      <c r="C10542" t="s">
        <v>302</v>
      </c>
      <c r="D10542">
        <v>1369</v>
      </c>
      <c r="E10542">
        <v>1733</v>
      </c>
      <c r="F10542">
        <v>2100</v>
      </c>
      <c r="G10542">
        <v>2397</v>
      </c>
    </row>
    <row r="10543" spans="1:7">
      <c r="A10543" t="s">
        <v>1876</v>
      </c>
      <c r="B10543" t="s">
        <v>379</v>
      </c>
      <c r="C10543" t="s">
        <v>303</v>
      </c>
      <c r="D10543">
        <v>7752</v>
      </c>
      <c r="E10543">
        <v>8961</v>
      </c>
      <c r="F10543">
        <v>11508</v>
      </c>
      <c r="G10543">
        <v>17558</v>
      </c>
    </row>
    <row r="10544" spans="1:7">
      <c r="A10544" t="s">
        <v>1876</v>
      </c>
      <c r="B10544" t="s">
        <v>379</v>
      </c>
      <c r="C10544" t="s">
        <v>304</v>
      </c>
      <c r="D10544">
        <v>1782</v>
      </c>
      <c r="E10544">
        <v>2202</v>
      </c>
      <c r="F10544">
        <v>2593</v>
      </c>
      <c r="G10544">
        <v>2932</v>
      </c>
    </row>
    <row r="10545" spans="1:7">
      <c r="A10545" t="s">
        <v>1876</v>
      </c>
      <c r="B10545" t="s">
        <v>379</v>
      </c>
      <c r="C10545" t="s">
        <v>1953</v>
      </c>
      <c r="D10545">
        <v>27.1</v>
      </c>
      <c r="E10545">
        <v>27.6</v>
      </c>
      <c r="F10545">
        <v>27.4</v>
      </c>
      <c r="G10545">
        <v>27.4</v>
      </c>
    </row>
    <row r="10546" spans="1:7">
      <c r="A10546" t="s">
        <v>1876</v>
      </c>
      <c r="B10546" t="s">
        <v>379</v>
      </c>
      <c r="C10546" t="s">
        <v>305</v>
      </c>
      <c r="D10546">
        <v>238292</v>
      </c>
      <c r="E10546">
        <v>230728</v>
      </c>
      <c r="F10546">
        <v>228625</v>
      </c>
      <c r="G10546">
        <v>222637</v>
      </c>
    </row>
    <row r="10547" spans="1:7">
      <c r="A10547" t="s">
        <v>1876</v>
      </c>
      <c r="B10547" t="s">
        <v>379</v>
      </c>
      <c r="C10547" t="s">
        <v>306</v>
      </c>
      <c r="D10547">
        <v>112.5</v>
      </c>
      <c r="E10547">
        <v>109.2</v>
      </c>
      <c r="F10547">
        <v>107.9</v>
      </c>
      <c r="G10547">
        <v>104.7</v>
      </c>
    </row>
    <row r="10548" spans="1:7">
      <c r="A10548" t="s">
        <v>1876</v>
      </c>
      <c r="B10548" t="s">
        <v>379</v>
      </c>
      <c r="C10548" t="s">
        <v>307</v>
      </c>
      <c r="D10548">
        <v>101271</v>
      </c>
      <c r="E10548">
        <v>101724</v>
      </c>
      <c r="F10548">
        <v>99375</v>
      </c>
      <c r="G10548">
        <v>99725</v>
      </c>
    </row>
    <row r="10549" spans="1:7">
      <c r="A10549" t="s">
        <v>1876</v>
      </c>
      <c r="B10549" t="s">
        <v>379</v>
      </c>
      <c r="C10549" t="s">
        <v>308</v>
      </c>
      <c r="D10549">
        <v>47.8</v>
      </c>
      <c r="E10549">
        <v>48.1</v>
      </c>
      <c r="F10549">
        <v>46.9</v>
      </c>
      <c r="G10549">
        <v>46.9</v>
      </c>
    </row>
    <row r="10550" spans="1:7">
      <c r="A10550" t="s">
        <v>1876</v>
      </c>
      <c r="B10550" t="s">
        <v>379</v>
      </c>
      <c r="C10550" t="s">
        <v>309</v>
      </c>
      <c r="D10550">
        <v>259578</v>
      </c>
      <c r="E10550">
        <v>286045</v>
      </c>
      <c r="F10550">
        <v>258332</v>
      </c>
      <c r="G10550">
        <v>253973</v>
      </c>
    </row>
    <row r="10551" spans="1:7">
      <c r="A10551" t="s">
        <v>1876</v>
      </c>
      <c r="B10551" t="s">
        <v>379</v>
      </c>
      <c r="C10551" t="s">
        <v>310</v>
      </c>
      <c r="D10551">
        <v>238004</v>
      </c>
      <c r="E10551">
        <v>247312</v>
      </c>
      <c r="F10551">
        <v>249638</v>
      </c>
      <c r="G10551">
        <v>263539</v>
      </c>
    </row>
    <row r="10552" spans="1:7">
      <c r="A10552" t="s">
        <v>1876</v>
      </c>
      <c r="B10552" t="s">
        <v>379</v>
      </c>
      <c r="C10552" t="s">
        <v>311</v>
      </c>
      <c r="D10552">
        <v>112.4</v>
      </c>
      <c r="E10552">
        <v>117.1</v>
      </c>
      <c r="F10552">
        <v>117.8</v>
      </c>
      <c r="G10552">
        <v>123.9</v>
      </c>
    </row>
    <row r="10553" spans="1:7">
      <c r="A10553" t="s">
        <v>1876</v>
      </c>
      <c r="B10553" t="s">
        <v>379</v>
      </c>
      <c r="C10553" t="s">
        <v>312</v>
      </c>
      <c r="D10553">
        <v>103050</v>
      </c>
      <c r="E10553">
        <v>104048</v>
      </c>
      <c r="F10553">
        <v>100369</v>
      </c>
      <c r="G10553">
        <v>98103</v>
      </c>
    </row>
    <row r="10554" spans="1:7">
      <c r="A10554" t="s">
        <v>1876</v>
      </c>
      <c r="B10554" t="s">
        <v>379</v>
      </c>
      <c r="C10554" t="s">
        <v>313</v>
      </c>
      <c r="D10554">
        <v>48.7</v>
      </c>
      <c r="E10554">
        <v>49.2</v>
      </c>
      <c r="F10554">
        <v>47.4</v>
      </c>
      <c r="G10554">
        <v>46.1</v>
      </c>
    </row>
    <row r="10555" spans="1:7">
      <c r="A10555" t="s">
        <v>1876</v>
      </c>
      <c r="B10555" t="s">
        <v>379</v>
      </c>
      <c r="C10555" t="s">
        <v>314</v>
      </c>
      <c r="D10555">
        <v>680615</v>
      </c>
      <c r="E10555">
        <v>683812</v>
      </c>
      <c r="F10555">
        <v>678007</v>
      </c>
      <c r="G10555">
        <v>684005</v>
      </c>
    </row>
    <row r="10556" spans="1:7">
      <c r="A10556" t="s">
        <v>1876</v>
      </c>
      <c r="B10556" t="s">
        <v>379</v>
      </c>
      <c r="C10556" t="s">
        <v>315</v>
      </c>
      <c r="D10556">
        <v>6.71</v>
      </c>
      <c r="E10556">
        <v>6.56</v>
      </c>
      <c r="F10556">
        <v>5.94</v>
      </c>
      <c r="G10556">
        <v>5.75</v>
      </c>
    </row>
    <row r="10557" spans="1:7">
      <c r="A10557" t="s">
        <v>1876</v>
      </c>
      <c r="B10557" t="s">
        <v>379</v>
      </c>
      <c r="C10557" t="s">
        <v>316</v>
      </c>
      <c r="D10557">
        <v>321.5</v>
      </c>
      <c r="E10557">
        <v>323.60000000000002</v>
      </c>
      <c r="F10557">
        <v>319.89999999999998</v>
      </c>
      <c r="G10557">
        <v>321.60000000000002</v>
      </c>
    </row>
    <row r="10558" spans="1:7">
      <c r="A10558" t="s">
        <v>1876</v>
      </c>
      <c r="B10558" t="s">
        <v>379</v>
      </c>
      <c r="C10558" t="s">
        <v>317</v>
      </c>
      <c r="D10558">
        <v>680616</v>
      </c>
      <c r="E10558">
        <v>683813</v>
      </c>
      <c r="F10558">
        <v>678008</v>
      </c>
      <c r="G10558">
        <v>684004</v>
      </c>
    </row>
    <row r="10559" spans="1:7">
      <c r="A10559" t="s">
        <v>1876</v>
      </c>
      <c r="B10559" t="s">
        <v>379</v>
      </c>
      <c r="C10559" t="s">
        <v>318</v>
      </c>
      <c r="D10559">
        <v>238292</v>
      </c>
      <c r="E10559">
        <v>230728</v>
      </c>
      <c r="F10559">
        <v>228625</v>
      </c>
      <c r="G10559">
        <v>222637</v>
      </c>
    </row>
    <row r="10560" spans="1:7">
      <c r="A10560" t="s">
        <v>1876</v>
      </c>
      <c r="B10560" t="s">
        <v>379</v>
      </c>
      <c r="C10560" t="s">
        <v>319</v>
      </c>
      <c r="D10560">
        <v>63981</v>
      </c>
      <c r="E10560">
        <v>66623</v>
      </c>
      <c r="F10560">
        <v>67152</v>
      </c>
      <c r="G10560">
        <v>68037</v>
      </c>
    </row>
    <row r="10561" spans="1:7">
      <c r="A10561" t="s">
        <v>1876</v>
      </c>
      <c r="B10561" t="s">
        <v>379</v>
      </c>
      <c r="C10561" t="s">
        <v>320</v>
      </c>
      <c r="D10561">
        <v>196433</v>
      </c>
      <c r="E10561">
        <v>205621</v>
      </c>
      <c r="F10561">
        <v>209446</v>
      </c>
      <c r="G10561">
        <v>219419</v>
      </c>
    </row>
    <row r="10562" spans="1:7">
      <c r="A10562" t="s">
        <v>1876</v>
      </c>
      <c r="B10562" t="s">
        <v>379</v>
      </c>
      <c r="C10562" t="s">
        <v>321</v>
      </c>
      <c r="D10562">
        <v>72513</v>
      </c>
      <c r="E10562">
        <v>75908</v>
      </c>
      <c r="F10562">
        <v>75085</v>
      </c>
      <c r="G10562">
        <v>73831</v>
      </c>
    </row>
    <row r="10563" spans="1:7">
      <c r="A10563" t="s">
        <v>1876</v>
      </c>
      <c r="B10563" t="s">
        <v>379</v>
      </c>
      <c r="C10563" t="s">
        <v>1954</v>
      </c>
      <c r="D10563">
        <v>571218</v>
      </c>
      <c r="E10563">
        <v>578881</v>
      </c>
      <c r="F10563">
        <v>580308</v>
      </c>
      <c r="G10563">
        <v>583925</v>
      </c>
    </row>
    <row r="10564" spans="1:7">
      <c r="A10564" t="s">
        <v>1876</v>
      </c>
      <c r="B10564" t="s">
        <v>379</v>
      </c>
      <c r="C10564" t="s">
        <v>323</v>
      </c>
      <c r="D10564">
        <v>2117</v>
      </c>
      <c r="E10564">
        <v>2113</v>
      </c>
      <c r="F10564">
        <v>2119</v>
      </c>
      <c r="G10564">
        <v>2127</v>
      </c>
    </row>
    <row r="10565" spans="1:7">
      <c r="A10565" t="s">
        <v>1876</v>
      </c>
      <c r="B10565" t="s">
        <v>379</v>
      </c>
      <c r="C10565" t="s">
        <v>324</v>
      </c>
      <c r="D10565">
        <v>310</v>
      </c>
      <c r="E10565">
        <v>0</v>
      </c>
      <c r="F10565">
        <v>0</v>
      </c>
      <c r="G10565">
        <v>0</v>
      </c>
    </row>
    <row r="10566" spans="1:7">
      <c r="A10566" t="s">
        <v>1876</v>
      </c>
      <c r="B10566" t="s">
        <v>379</v>
      </c>
      <c r="C10566" t="s">
        <v>325</v>
      </c>
      <c r="D10566">
        <v>0</v>
      </c>
      <c r="E10566">
        <v>0</v>
      </c>
      <c r="F10566">
        <v>0</v>
      </c>
      <c r="G10566">
        <v>0</v>
      </c>
    </row>
    <row r="10567" spans="1:7">
      <c r="A10567" t="s">
        <v>1876</v>
      </c>
      <c r="B10567" t="s">
        <v>379</v>
      </c>
      <c r="C10567" t="s">
        <v>326</v>
      </c>
      <c r="D10567">
        <v>997</v>
      </c>
      <c r="E10567">
        <v>997</v>
      </c>
      <c r="F10567">
        <v>997</v>
      </c>
      <c r="G10567">
        <v>997</v>
      </c>
    </row>
    <row r="10568" spans="1:7">
      <c r="A10568" t="s">
        <v>1876</v>
      </c>
      <c r="B10568" t="s">
        <v>379</v>
      </c>
      <c r="C10568" t="s">
        <v>327</v>
      </c>
      <c r="D10568">
        <v>0</v>
      </c>
      <c r="E10568">
        <v>0</v>
      </c>
      <c r="F10568">
        <v>0</v>
      </c>
      <c r="G10568">
        <v>0</v>
      </c>
    </row>
    <row r="10569" spans="1:7">
      <c r="A10569" t="s">
        <v>1876</v>
      </c>
      <c r="B10569" t="s">
        <v>379</v>
      </c>
      <c r="C10569" t="s">
        <v>1723</v>
      </c>
      <c r="D10569">
        <v>0</v>
      </c>
      <c r="E10569">
        <v>0</v>
      </c>
      <c r="F10569">
        <v>0</v>
      </c>
      <c r="G10569">
        <v>0</v>
      </c>
    </row>
    <row r="10570" spans="1:7">
      <c r="A10570" t="s">
        <v>1876</v>
      </c>
      <c r="B10570" t="s">
        <v>379</v>
      </c>
      <c r="C10570" t="s">
        <v>328</v>
      </c>
      <c r="D10570">
        <v>18</v>
      </c>
      <c r="E10570">
        <v>9</v>
      </c>
      <c r="F10570">
        <v>9</v>
      </c>
      <c r="G10570">
        <v>9</v>
      </c>
    </row>
    <row r="10571" spans="1:7">
      <c r="A10571" t="s">
        <v>1876</v>
      </c>
      <c r="B10571" t="s">
        <v>379</v>
      </c>
      <c r="C10571" t="s">
        <v>329</v>
      </c>
      <c r="D10571">
        <v>5179</v>
      </c>
      <c r="E10571">
        <v>6525</v>
      </c>
      <c r="F10571">
        <v>5547</v>
      </c>
      <c r="G10571">
        <v>5200</v>
      </c>
    </row>
    <row r="10572" spans="1:7">
      <c r="A10572" t="s">
        <v>1876</v>
      </c>
      <c r="B10572" t="s">
        <v>379</v>
      </c>
      <c r="C10572" t="s">
        <v>330</v>
      </c>
      <c r="D10572">
        <v>6194</v>
      </c>
      <c r="E10572">
        <v>7531</v>
      </c>
      <c r="F10572">
        <v>6553</v>
      </c>
      <c r="G10572">
        <v>6206</v>
      </c>
    </row>
    <row r="10573" spans="1:7">
      <c r="A10573" t="s">
        <v>1876</v>
      </c>
      <c r="B10573" t="s">
        <v>379</v>
      </c>
      <c r="C10573" t="s">
        <v>331</v>
      </c>
      <c r="D10573">
        <v>0</v>
      </c>
      <c r="E10573">
        <v>0</v>
      </c>
      <c r="F10573">
        <v>0</v>
      </c>
      <c r="G10573">
        <v>0</v>
      </c>
    </row>
    <row r="10574" spans="1:7">
      <c r="A10574" t="s">
        <v>1876</v>
      </c>
      <c r="B10574" t="s">
        <v>379</v>
      </c>
      <c r="C10574" t="s">
        <v>332</v>
      </c>
      <c r="D10574">
        <v>301</v>
      </c>
      <c r="E10574">
        <v>241</v>
      </c>
      <c r="F10574">
        <v>138</v>
      </c>
      <c r="G10574">
        <v>311</v>
      </c>
    </row>
    <row r="10575" spans="1:7">
      <c r="A10575" t="s">
        <v>1876</v>
      </c>
      <c r="B10575" t="s">
        <v>379</v>
      </c>
      <c r="C10575" t="s">
        <v>1724</v>
      </c>
      <c r="D10575">
        <v>5</v>
      </c>
      <c r="E10575">
        <v>8</v>
      </c>
      <c r="F10575">
        <v>3</v>
      </c>
      <c r="G10575">
        <v>6</v>
      </c>
    </row>
    <row r="10576" spans="1:7">
      <c r="A10576" t="s">
        <v>1876</v>
      </c>
      <c r="B10576" t="s">
        <v>379</v>
      </c>
      <c r="C10576" t="s">
        <v>333</v>
      </c>
      <c r="D10576">
        <v>63</v>
      </c>
      <c r="E10576">
        <v>52</v>
      </c>
      <c r="F10576">
        <v>88</v>
      </c>
      <c r="G10576">
        <v>79</v>
      </c>
    </row>
    <row r="10577" spans="1:7">
      <c r="A10577" t="s">
        <v>1876</v>
      </c>
      <c r="B10577" t="s">
        <v>379</v>
      </c>
      <c r="C10577" t="s">
        <v>334</v>
      </c>
      <c r="D10577">
        <v>364</v>
      </c>
      <c r="E10577">
        <v>293</v>
      </c>
      <c r="F10577">
        <v>226</v>
      </c>
      <c r="G10577">
        <v>390</v>
      </c>
    </row>
    <row r="10578" spans="1:7">
      <c r="A10578" t="s">
        <v>1876</v>
      </c>
      <c r="B10578" t="s">
        <v>379</v>
      </c>
      <c r="C10578" t="s">
        <v>335</v>
      </c>
      <c r="D10578">
        <v>997</v>
      </c>
      <c r="E10578">
        <v>997</v>
      </c>
      <c r="F10578">
        <v>997</v>
      </c>
      <c r="G10578">
        <v>997</v>
      </c>
    </row>
    <row r="10579" spans="1:7">
      <c r="A10579" t="s">
        <v>1876</v>
      </c>
      <c r="B10579" t="s">
        <v>379</v>
      </c>
      <c r="C10579" t="s">
        <v>336</v>
      </c>
      <c r="D10579">
        <v>301</v>
      </c>
      <c r="E10579">
        <v>241</v>
      </c>
      <c r="F10579">
        <v>138</v>
      </c>
      <c r="G10579">
        <v>311</v>
      </c>
    </row>
    <row r="10580" spans="1:7">
      <c r="A10580" t="s">
        <v>1876</v>
      </c>
      <c r="B10580" t="s">
        <v>379</v>
      </c>
      <c r="C10580" t="s">
        <v>337</v>
      </c>
      <c r="D10580">
        <v>81</v>
      </c>
      <c r="E10580">
        <v>61</v>
      </c>
      <c r="F10580">
        <v>97</v>
      </c>
      <c r="G10580">
        <v>88</v>
      </c>
    </row>
    <row r="10581" spans="1:7">
      <c r="A10581" t="s">
        <v>1876</v>
      </c>
      <c r="B10581" t="s">
        <v>379</v>
      </c>
      <c r="C10581" t="s">
        <v>338</v>
      </c>
      <c r="D10581">
        <v>6558</v>
      </c>
      <c r="E10581">
        <v>7824</v>
      </c>
      <c r="F10581">
        <v>6779</v>
      </c>
      <c r="G10581">
        <v>6596</v>
      </c>
    </row>
    <row r="10582" spans="1:7">
      <c r="A10582" t="s">
        <v>1876</v>
      </c>
      <c r="B10582" t="s">
        <v>379</v>
      </c>
      <c r="C10582" t="s">
        <v>339</v>
      </c>
      <c r="D10582">
        <v>6257</v>
      </c>
      <c r="E10582">
        <v>7583</v>
      </c>
      <c r="F10582">
        <v>6641</v>
      </c>
      <c r="G10582">
        <v>6285</v>
      </c>
    </row>
    <row r="10583" spans="1:7">
      <c r="A10583" t="s">
        <v>1876</v>
      </c>
      <c r="B10583" t="s">
        <v>379</v>
      </c>
      <c r="C10583" t="s">
        <v>340</v>
      </c>
      <c r="D10583">
        <v>9</v>
      </c>
      <c r="E10583">
        <v>27</v>
      </c>
      <c r="F10583">
        <v>18</v>
      </c>
      <c r="G10583">
        <v>23</v>
      </c>
    </row>
    <row r="10584" spans="1:7">
      <c r="A10584" t="s">
        <v>1876</v>
      </c>
      <c r="B10584" t="s">
        <v>379</v>
      </c>
      <c r="C10584" t="s">
        <v>1955</v>
      </c>
      <c r="D10584">
        <v>39.700000000000003</v>
      </c>
      <c r="E10584">
        <v>37.5</v>
      </c>
      <c r="F10584">
        <v>38.6</v>
      </c>
      <c r="G10584">
        <v>43.1</v>
      </c>
    </row>
    <row r="10585" spans="1:7">
      <c r="A10585" t="s">
        <v>1876</v>
      </c>
      <c r="B10585" t="s">
        <v>379</v>
      </c>
      <c r="C10585" t="s">
        <v>341</v>
      </c>
      <c r="D10585">
        <v>7</v>
      </c>
      <c r="E10585">
        <v>6</v>
      </c>
      <c r="F10585">
        <v>5</v>
      </c>
      <c r="G10585">
        <v>0</v>
      </c>
    </row>
    <row r="10586" spans="1:7">
      <c r="A10586" t="s">
        <v>1876</v>
      </c>
      <c r="B10586" t="s">
        <v>379</v>
      </c>
      <c r="C10586" t="s">
        <v>342</v>
      </c>
      <c r="D10586">
        <v>36095</v>
      </c>
      <c r="E10586">
        <v>49245</v>
      </c>
      <c r="F10586">
        <v>50883</v>
      </c>
      <c r="G10586">
        <v>51643</v>
      </c>
    </row>
    <row r="10587" spans="1:7">
      <c r="A10587" t="s">
        <v>1876</v>
      </c>
      <c r="B10587" t="s">
        <v>379</v>
      </c>
      <c r="C10587" t="s">
        <v>1725</v>
      </c>
      <c r="D10587">
        <v>4266</v>
      </c>
      <c r="E10587">
        <v>4411</v>
      </c>
      <c r="F10587">
        <v>4409</v>
      </c>
      <c r="G10587">
        <v>3997</v>
      </c>
    </row>
    <row r="10588" spans="1:7">
      <c r="A10588" t="s">
        <v>1876</v>
      </c>
      <c r="B10588" t="s">
        <v>379</v>
      </c>
      <c r="C10588" t="s">
        <v>343</v>
      </c>
      <c r="D10588">
        <v>0</v>
      </c>
      <c r="E10588">
        <v>0</v>
      </c>
      <c r="F10588">
        <v>0</v>
      </c>
      <c r="G10588">
        <v>0</v>
      </c>
    </row>
    <row r="10589" spans="1:7">
      <c r="A10589" t="s">
        <v>1876</v>
      </c>
      <c r="B10589" t="s">
        <v>379</v>
      </c>
      <c r="C10589" t="s">
        <v>344</v>
      </c>
      <c r="D10589">
        <v>36101</v>
      </c>
      <c r="E10589">
        <v>49251</v>
      </c>
      <c r="F10589">
        <v>50888</v>
      </c>
      <c r="G10589">
        <v>51643</v>
      </c>
    </row>
    <row r="10590" spans="1:7">
      <c r="A10590" t="s">
        <v>1876</v>
      </c>
      <c r="B10590" t="s">
        <v>379</v>
      </c>
      <c r="C10590" t="s">
        <v>345</v>
      </c>
      <c r="D10590">
        <v>7</v>
      </c>
      <c r="E10590">
        <v>6</v>
      </c>
      <c r="F10590">
        <v>5</v>
      </c>
      <c r="G10590">
        <v>0</v>
      </c>
    </row>
    <row r="10591" spans="1:7">
      <c r="A10591" t="s">
        <v>1876</v>
      </c>
      <c r="B10591" t="s">
        <v>379</v>
      </c>
      <c r="C10591" t="s">
        <v>1956</v>
      </c>
      <c r="D10591">
        <v>301</v>
      </c>
      <c r="E10591">
        <v>241</v>
      </c>
      <c r="F10591">
        <v>138</v>
      </c>
      <c r="G10591">
        <v>311</v>
      </c>
    </row>
    <row r="10592" spans="1:7">
      <c r="A10592" t="s">
        <v>1876</v>
      </c>
      <c r="B10592" t="s">
        <v>379</v>
      </c>
      <c r="C10592" t="s">
        <v>1957</v>
      </c>
      <c r="D10592">
        <v>364</v>
      </c>
      <c r="E10592">
        <v>293</v>
      </c>
      <c r="F10592">
        <v>226</v>
      </c>
      <c r="G10592">
        <v>390</v>
      </c>
    </row>
    <row r="10593" spans="1:7">
      <c r="A10593" t="s">
        <v>1876</v>
      </c>
      <c r="B10593" t="s">
        <v>379</v>
      </c>
      <c r="C10593" t="s">
        <v>346</v>
      </c>
      <c r="D10593">
        <v>1073</v>
      </c>
      <c r="E10593">
        <v>1174</v>
      </c>
      <c r="F10593">
        <v>1309</v>
      </c>
      <c r="G10593">
        <v>1301</v>
      </c>
    </row>
    <row r="10594" spans="1:7">
      <c r="A10594" t="s">
        <v>1876</v>
      </c>
      <c r="B10594" t="s">
        <v>379</v>
      </c>
      <c r="C10594" t="s">
        <v>347</v>
      </c>
      <c r="D10594">
        <v>4187</v>
      </c>
      <c r="E10594">
        <v>4584</v>
      </c>
      <c r="F10594">
        <v>4403</v>
      </c>
      <c r="G10594">
        <v>4096</v>
      </c>
    </row>
    <row r="10595" spans="1:7">
      <c r="A10595" t="s">
        <v>1876</v>
      </c>
      <c r="B10595" t="s">
        <v>380</v>
      </c>
      <c r="C10595" t="s">
        <v>133</v>
      </c>
      <c r="D10595">
        <v>0</v>
      </c>
      <c r="E10595">
        <v>0</v>
      </c>
      <c r="F10595">
        <v>0</v>
      </c>
      <c r="G10595">
        <v>0</v>
      </c>
    </row>
    <row r="10596" spans="1:7">
      <c r="A10596" t="s">
        <v>1876</v>
      </c>
      <c r="B10596" t="s">
        <v>380</v>
      </c>
      <c r="C10596" t="s">
        <v>134</v>
      </c>
      <c r="D10596">
        <v>8005</v>
      </c>
      <c r="E10596">
        <v>8043</v>
      </c>
      <c r="F10596">
        <v>7710</v>
      </c>
      <c r="G10596">
        <v>7994</v>
      </c>
    </row>
    <row r="10597" spans="1:7">
      <c r="A10597" t="s">
        <v>1876</v>
      </c>
      <c r="B10597" t="s">
        <v>380</v>
      </c>
      <c r="C10597" t="s">
        <v>135</v>
      </c>
      <c r="D10597">
        <v>8005</v>
      </c>
      <c r="E10597">
        <v>8043</v>
      </c>
      <c r="F10597">
        <v>7710</v>
      </c>
      <c r="G10597">
        <v>7994</v>
      </c>
    </row>
    <row r="10598" spans="1:7">
      <c r="A10598" t="s">
        <v>1876</v>
      </c>
      <c r="B10598" t="s">
        <v>380</v>
      </c>
      <c r="C10598" t="s">
        <v>136</v>
      </c>
      <c r="D10598">
        <v>8005</v>
      </c>
      <c r="E10598">
        <v>8043</v>
      </c>
      <c r="F10598">
        <v>7710</v>
      </c>
      <c r="G10598">
        <v>7994</v>
      </c>
    </row>
    <row r="10599" spans="1:7">
      <c r="A10599" t="s">
        <v>1876</v>
      </c>
      <c r="B10599" t="s">
        <v>380</v>
      </c>
      <c r="C10599" t="s">
        <v>137</v>
      </c>
      <c r="D10599">
        <v>225</v>
      </c>
      <c r="E10599">
        <v>233</v>
      </c>
      <c r="F10599">
        <v>221</v>
      </c>
      <c r="G10599">
        <v>238</v>
      </c>
    </row>
    <row r="10600" spans="1:7">
      <c r="A10600" t="s">
        <v>1876</v>
      </c>
      <c r="B10600" t="s">
        <v>380</v>
      </c>
      <c r="C10600" t="s">
        <v>138</v>
      </c>
      <c r="D10600">
        <v>225</v>
      </c>
      <c r="E10600">
        <v>233</v>
      </c>
      <c r="F10600">
        <v>221</v>
      </c>
      <c r="G10600">
        <v>238</v>
      </c>
    </row>
    <row r="10601" spans="1:7">
      <c r="A10601" t="s">
        <v>1876</v>
      </c>
      <c r="B10601" t="s">
        <v>380</v>
      </c>
      <c r="C10601" t="s">
        <v>139</v>
      </c>
      <c r="D10601">
        <v>225</v>
      </c>
      <c r="E10601">
        <v>233</v>
      </c>
      <c r="F10601">
        <v>221</v>
      </c>
      <c r="G10601">
        <v>238</v>
      </c>
    </row>
    <row r="10602" spans="1:7">
      <c r="A10602" t="s">
        <v>1876</v>
      </c>
      <c r="B10602" t="s">
        <v>380</v>
      </c>
      <c r="C10602" t="s">
        <v>1877</v>
      </c>
      <c r="D10602">
        <v>0</v>
      </c>
      <c r="E10602">
        <v>0</v>
      </c>
      <c r="F10602">
        <v>0</v>
      </c>
      <c r="G10602">
        <v>0</v>
      </c>
    </row>
    <row r="10603" spans="1:7">
      <c r="A10603" t="s">
        <v>1876</v>
      </c>
      <c r="B10603" t="s">
        <v>380</v>
      </c>
      <c r="C10603" t="s">
        <v>1700</v>
      </c>
      <c r="D10603">
        <v>0</v>
      </c>
      <c r="E10603">
        <v>0</v>
      </c>
      <c r="F10603">
        <v>0</v>
      </c>
      <c r="G10603">
        <v>0</v>
      </c>
    </row>
    <row r="10604" spans="1:7">
      <c r="A10604" t="s">
        <v>1876</v>
      </c>
      <c r="B10604" t="s">
        <v>380</v>
      </c>
      <c r="C10604" t="s">
        <v>1878</v>
      </c>
      <c r="D10604">
        <v>0</v>
      </c>
      <c r="E10604">
        <v>0</v>
      </c>
      <c r="F10604">
        <v>0</v>
      </c>
      <c r="G10604">
        <v>0</v>
      </c>
    </row>
    <row r="10605" spans="1:7">
      <c r="A10605" t="s">
        <v>1876</v>
      </c>
      <c r="B10605" t="s">
        <v>380</v>
      </c>
      <c r="C10605" t="s">
        <v>1879</v>
      </c>
      <c r="D10605">
        <v>0</v>
      </c>
      <c r="E10605">
        <v>0</v>
      </c>
      <c r="F10605">
        <v>0</v>
      </c>
      <c r="G10605">
        <v>0</v>
      </c>
    </row>
    <row r="10606" spans="1:7">
      <c r="A10606" t="s">
        <v>1876</v>
      </c>
      <c r="B10606" t="s">
        <v>380</v>
      </c>
      <c r="C10606" t="s">
        <v>1701</v>
      </c>
      <c r="D10606">
        <v>0</v>
      </c>
      <c r="E10606">
        <v>0</v>
      </c>
      <c r="F10606">
        <v>0</v>
      </c>
      <c r="G10606">
        <v>0</v>
      </c>
    </row>
    <row r="10607" spans="1:7">
      <c r="A10607" t="s">
        <v>1876</v>
      </c>
      <c r="B10607" t="s">
        <v>380</v>
      </c>
      <c r="C10607" t="s">
        <v>1880</v>
      </c>
      <c r="D10607">
        <v>24</v>
      </c>
      <c r="E10607">
        <v>23</v>
      </c>
      <c r="F10607">
        <v>19</v>
      </c>
      <c r="G10607">
        <v>19</v>
      </c>
    </row>
    <row r="10608" spans="1:7">
      <c r="A10608" t="s">
        <v>1876</v>
      </c>
      <c r="B10608" t="s">
        <v>380</v>
      </c>
      <c r="C10608" t="s">
        <v>140</v>
      </c>
      <c r="D10608">
        <v>56</v>
      </c>
      <c r="E10608">
        <v>56</v>
      </c>
      <c r="F10608">
        <v>51</v>
      </c>
      <c r="G10608">
        <v>54</v>
      </c>
    </row>
    <row r="10609" spans="1:7">
      <c r="A10609" t="s">
        <v>1876</v>
      </c>
      <c r="B10609" t="s">
        <v>380</v>
      </c>
      <c r="C10609" t="s">
        <v>1881</v>
      </c>
      <c r="D10609">
        <v>32</v>
      </c>
      <c r="E10609">
        <v>33</v>
      </c>
      <c r="F10609">
        <v>32</v>
      </c>
      <c r="G10609">
        <v>35</v>
      </c>
    </row>
    <row r="10610" spans="1:7">
      <c r="A10610" t="s">
        <v>1876</v>
      </c>
      <c r="B10610" t="s">
        <v>380</v>
      </c>
      <c r="C10610" t="s">
        <v>1882</v>
      </c>
      <c r="D10610">
        <v>0</v>
      </c>
      <c r="E10610">
        <v>0</v>
      </c>
      <c r="F10610">
        <v>0</v>
      </c>
      <c r="G10610">
        <v>0</v>
      </c>
    </row>
    <row r="10611" spans="1:7">
      <c r="A10611" t="s">
        <v>1876</v>
      </c>
      <c r="B10611" t="s">
        <v>380</v>
      </c>
      <c r="C10611" t="s">
        <v>1883</v>
      </c>
      <c r="D10611">
        <v>0</v>
      </c>
      <c r="E10611">
        <v>0</v>
      </c>
      <c r="F10611">
        <v>0</v>
      </c>
      <c r="G10611">
        <v>0</v>
      </c>
    </row>
    <row r="10612" spans="1:7">
      <c r="A10612" t="s">
        <v>1876</v>
      </c>
      <c r="B10612" t="s">
        <v>380</v>
      </c>
      <c r="C10612" t="s">
        <v>1884</v>
      </c>
      <c r="D10612">
        <v>0</v>
      </c>
      <c r="E10612">
        <v>0</v>
      </c>
      <c r="F10612">
        <v>0</v>
      </c>
      <c r="G10612">
        <v>0</v>
      </c>
    </row>
    <row r="10613" spans="1:7">
      <c r="A10613" t="s">
        <v>1876</v>
      </c>
      <c r="B10613" t="s">
        <v>380</v>
      </c>
      <c r="C10613" t="s">
        <v>1885</v>
      </c>
      <c r="D10613">
        <v>0</v>
      </c>
      <c r="E10613">
        <v>0</v>
      </c>
      <c r="F10613">
        <v>0</v>
      </c>
      <c r="G10613">
        <v>0</v>
      </c>
    </row>
    <row r="10614" spans="1:7">
      <c r="A10614" t="s">
        <v>1876</v>
      </c>
      <c r="B10614" t="s">
        <v>380</v>
      </c>
      <c r="C10614" t="s">
        <v>1886</v>
      </c>
      <c r="D10614">
        <v>0</v>
      </c>
      <c r="E10614">
        <v>0</v>
      </c>
      <c r="F10614">
        <v>0</v>
      </c>
      <c r="G10614">
        <v>0</v>
      </c>
    </row>
    <row r="10615" spans="1:7">
      <c r="A10615" t="s">
        <v>1876</v>
      </c>
      <c r="B10615" t="s">
        <v>380</v>
      </c>
      <c r="C10615" t="s">
        <v>141</v>
      </c>
      <c r="D10615">
        <v>0</v>
      </c>
      <c r="E10615">
        <v>0</v>
      </c>
      <c r="F10615">
        <v>0</v>
      </c>
      <c r="G10615">
        <v>0</v>
      </c>
    </row>
    <row r="10616" spans="1:7">
      <c r="A10616" t="s">
        <v>1876</v>
      </c>
      <c r="B10616" t="s">
        <v>380</v>
      </c>
      <c r="C10616" t="s">
        <v>1887</v>
      </c>
      <c r="D10616">
        <v>0</v>
      </c>
      <c r="E10616">
        <v>0</v>
      </c>
      <c r="F10616">
        <v>0</v>
      </c>
      <c r="G10616">
        <v>0</v>
      </c>
    </row>
    <row r="10617" spans="1:7">
      <c r="A10617" t="s">
        <v>1876</v>
      </c>
      <c r="B10617" t="s">
        <v>380</v>
      </c>
      <c r="C10617" t="s">
        <v>1888</v>
      </c>
      <c r="D10617">
        <v>0</v>
      </c>
      <c r="E10617">
        <v>0</v>
      </c>
      <c r="F10617">
        <v>0</v>
      </c>
      <c r="G10617">
        <v>0</v>
      </c>
    </row>
    <row r="10618" spans="1:7">
      <c r="A10618" t="s">
        <v>1876</v>
      </c>
      <c r="B10618" t="s">
        <v>380</v>
      </c>
      <c r="C10618" t="s">
        <v>1889</v>
      </c>
      <c r="D10618">
        <v>24</v>
      </c>
      <c r="E10618">
        <v>23</v>
      </c>
      <c r="F10618">
        <v>19</v>
      </c>
      <c r="G10618">
        <v>19</v>
      </c>
    </row>
    <row r="10619" spans="1:7">
      <c r="A10619" t="s">
        <v>1876</v>
      </c>
      <c r="B10619" t="s">
        <v>380</v>
      </c>
      <c r="C10619" t="s">
        <v>1890</v>
      </c>
      <c r="D10619">
        <v>0</v>
      </c>
      <c r="E10619">
        <v>0</v>
      </c>
      <c r="F10619">
        <v>0</v>
      </c>
      <c r="G10619">
        <v>0</v>
      </c>
    </row>
    <row r="10620" spans="1:7">
      <c r="A10620" t="s">
        <v>1876</v>
      </c>
      <c r="B10620" t="s">
        <v>380</v>
      </c>
      <c r="C10620" t="s">
        <v>1891</v>
      </c>
    </row>
    <row r="10621" spans="1:7">
      <c r="A10621" t="s">
        <v>1876</v>
      </c>
      <c r="B10621" t="s">
        <v>380</v>
      </c>
      <c r="C10621" t="s">
        <v>1892</v>
      </c>
      <c r="D10621">
        <v>32</v>
      </c>
      <c r="E10621">
        <v>33</v>
      </c>
      <c r="F10621">
        <v>32</v>
      </c>
      <c r="G10621">
        <v>35</v>
      </c>
    </row>
    <row r="10622" spans="1:7">
      <c r="A10622" t="s">
        <v>1876</v>
      </c>
      <c r="B10622" t="s">
        <v>380</v>
      </c>
      <c r="C10622" t="s">
        <v>142</v>
      </c>
      <c r="D10622">
        <v>56</v>
      </c>
      <c r="E10622">
        <v>56</v>
      </c>
      <c r="F10622">
        <v>51</v>
      </c>
      <c r="G10622">
        <v>54</v>
      </c>
    </row>
    <row r="10623" spans="1:7">
      <c r="A10623" t="s">
        <v>1876</v>
      </c>
      <c r="B10623" t="s">
        <v>380</v>
      </c>
      <c r="C10623" t="s">
        <v>1893</v>
      </c>
      <c r="D10623">
        <v>56</v>
      </c>
      <c r="E10623">
        <v>56</v>
      </c>
      <c r="F10623">
        <v>51</v>
      </c>
      <c r="G10623">
        <v>54</v>
      </c>
    </row>
    <row r="10624" spans="1:7">
      <c r="A10624" t="s">
        <v>1876</v>
      </c>
      <c r="B10624" t="s">
        <v>380</v>
      </c>
      <c r="C10624" t="s">
        <v>1894</v>
      </c>
      <c r="D10624">
        <v>32</v>
      </c>
      <c r="E10624">
        <v>33</v>
      </c>
      <c r="F10624">
        <v>32</v>
      </c>
      <c r="G10624">
        <v>35</v>
      </c>
    </row>
    <row r="10625" spans="1:7">
      <c r="A10625" t="s">
        <v>1876</v>
      </c>
      <c r="B10625" t="s">
        <v>380</v>
      </c>
      <c r="C10625" t="s">
        <v>143</v>
      </c>
      <c r="D10625">
        <v>0</v>
      </c>
      <c r="E10625">
        <v>0</v>
      </c>
      <c r="F10625">
        <v>0</v>
      </c>
      <c r="G10625">
        <v>0</v>
      </c>
    </row>
    <row r="10626" spans="1:7">
      <c r="A10626" t="s">
        <v>1876</v>
      </c>
      <c r="B10626" t="s">
        <v>380</v>
      </c>
      <c r="C10626" t="s">
        <v>144</v>
      </c>
      <c r="D10626">
        <v>10519</v>
      </c>
      <c r="E10626">
        <v>10874</v>
      </c>
      <c r="F10626">
        <v>10377</v>
      </c>
      <c r="G10626">
        <v>10485</v>
      </c>
    </row>
    <row r="10627" spans="1:7">
      <c r="A10627" t="s">
        <v>1876</v>
      </c>
      <c r="B10627" t="s">
        <v>380</v>
      </c>
      <c r="C10627" t="s">
        <v>1895</v>
      </c>
      <c r="D10627">
        <v>58.2</v>
      </c>
      <c r="E10627">
        <v>56.9</v>
      </c>
      <c r="F10627">
        <v>62.5</v>
      </c>
      <c r="G10627">
        <v>60.6</v>
      </c>
    </row>
    <row r="10628" spans="1:7">
      <c r="A10628" t="s">
        <v>1876</v>
      </c>
      <c r="B10628" t="s">
        <v>380</v>
      </c>
      <c r="C10628" t="s">
        <v>145</v>
      </c>
      <c r="D10628">
        <v>13735</v>
      </c>
      <c r="E10628">
        <v>14485</v>
      </c>
      <c r="F10628">
        <v>13845</v>
      </c>
      <c r="G10628">
        <v>13874</v>
      </c>
    </row>
    <row r="10629" spans="1:7">
      <c r="A10629" t="s">
        <v>1876</v>
      </c>
      <c r="B10629" t="s">
        <v>380</v>
      </c>
      <c r="C10629" t="s">
        <v>146</v>
      </c>
      <c r="D10629">
        <v>0</v>
      </c>
      <c r="E10629">
        <v>0</v>
      </c>
      <c r="F10629">
        <v>0</v>
      </c>
      <c r="G10629">
        <v>0</v>
      </c>
    </row>
    <row r="10630" spans="1:7">
      <c r="A10630" t="s">
        <v>1876</v>
      </c>
      <c r="B10630" t="s">
        <v>380</v>
      </c>
      <c r="C10630" t="s">
        <v>147</v>
      </c>
      <c r="D10630">
        <v>0</v>
      </c>
      <c r="E10630">
        <v>0</v>
      </c>
      <c r="F10630">
        <v>0</v>
      </c>
      <c r="G10630">
        <v>0</v>
      </c>
    </row>
    <row r="10631" spans="1:7">
      <c r="A10631" t="s">
        <v>1876</v>
      </c>
      <c r="B10631" t="s">
        <v>380</v>
      </c>
      <c r="C10631" t="s">
        <v>1896</v>
      </c>
      <c r="D10631">
        <v>8.5</v>
      </c>
      <c r="E10631">
        <v>12.7</v>
      </c>
      <c r="F10631">
        <v>13.1</v>
      </c>
      <c r="G10631">
        <v>11.8</v>
      </c>
    </row>
    <row r="10632" spans="1:7">
      <c r="A10632" t="s">
        <v>1876</v>
      </c>
      <c r="B10632" t="s">
        <v>380</v>
      </c>
      <c r="C10632" t="s">
        <v>1702</v>
      </c>
      <c r="D10632">
        <v>125</v>
      </c>
      <c r="E10632">
        <v>200</v>
      </c>
      <c r="F10632">
        <v>544</v>
      </c>
      <c r="G10632">
        <v>1109</v>
      </c>
    </row>
    <row r="10633" spans="1:7">
      <c r="A10633" t="s">
        <v>1876</v>
      </c>
      <c r="B10633" t="s">
        <v>380</v>
      </c>
      <c r="C10633" t="s">
        <v>1897</v>
      </c>
      <c r="D10633">
        <v>16.8</v>
      </c>
      <c r="E10633">
        <v>27.6</v>
      </c>
      <c r="F10633">
        <v>45.4</v>
      </c>
      <c r="G10633">
        <v>63.4</v>
      </c>
    </row>
    <row r="10634" spans="1:7">
      <c r="A10634" t="s">
        <v>1876</v>
      </c>
      <c r="B10634" t="s">
        <v>380</v>
      </c>
      <c r="C10634" t="s">
        <v>1898</v>
      </c>
      <c r="D10634">
        <v>28</v>
      </c>
      <c r="E10634">
        <v>48</v>
      </c>
      <c r="F10634">
        <v>134</v>
      </c>
      <c r="G10634">
        <v>200</v>
      </c>
    </row>
    <row r="10635" spans="1:7">
      <c r="A10635" t="s">
        <v>1876</v>
      </c>
      <c r="B10635" t="s">
        <v>380</v>
      </c>
      <c r="C10635" t="s">
        <v>1899</v>
      </c>
      <c r="D10635">
        <v>32</v>
      </c>
      <c r="E10635">
        <v>33</v>
      </c>
      <c r="F10635">
        <v>32</v>
      </c>
      <c r="G10635">
        <v>35</v>
      </c>
    </row>
    <row r="10636" spans="1:7">
      <c r="A10636" t="s">
        <v>1876</v>
      </c>
      <c r="B10636" t="s">
        <v>380</v>
      </c>
      <c r="C10636" t="s">
        <v>148</v>
      </c>
      <c r="D10636">
        <v>0</v>
      </c>
      <c r="E10636">
        <v>0</v>
      </c>
      <c r="F10636">
        <v>0</v>
      </c>
      <c r="G10636">
        <v>0</v>
      </c>
    </row>
    <row r="10637" spans="1:7">
      <c r="A10637" t="s">
        <v>1876</v>
      </c>
      <c r="B10637" t="s">
        <v>380</v>
      </c>
      <c r="C10637" t="s">
        <v>149</v>
      </c>
      <c r="D10637">
        <v>0</v>
      </c>
      <c r="E10637">
        <v>0</v>
      </c>
      <c r="F10637">
        <v>0</v>
      </c>
      <c r="G10637">
        <v>0</v>
      </c>
    </row>
    <row r="10638" spans="1:7">
      <c r="A10638" t="s">
        <v>1876</v>
      </c>
      <c r="B10638" t="s">
        <v>380</v>
      </c>
      <c r="C10638" t="s">
        <v>150</v>
      </c>
      <c r="D10638">
        <v>0</v>
      </c>
      <c r="E10638">
        <v>0</v>
      </c>
      <c r="F10638">
        <v>0</v>
      </c>
      <c r="G10638">
        <v>0</v>
      </c>
    </row>
    <row r="10639" spans="1:7">
      <c r="A10639" t="s">
        <v>1876</v>
      </c>
      <c r="B10639" t="s">
        <v>380</v>
      </c>
      <c r="C10639" t="s">
        <v>1900</v>
      </c>
      <c r="D10639">
        <v>42.7</v>
      </c>
      <c r="E10639">
        <v>42.4</v>
      </c>
      <c r="F10639">
        <v>31.9</v>
      </c>
      <c r="G10639">
        <v>35.799999999999997</v>
      </c>
    </row>
    <row r="10640" spans="1:7">
      <c r="A10640" t="s">
        <v>1876</v>
      </c>
      <c r="B10640" t="s">
        <v>380</v>
      </c>
      <c r="C10640" t="s">
        <v>151</v>
      </c>
      <c r="D10640">
        <v>0</v>
      </c>
      <c r="E10640">
        <v>0</v>
      </c>
      <c r="F10640">
        <v>0</v>
      </c>
      <c r="G10640">
        <v>0</v>
      </c>
    </row>
    <row r="10641" spans="1:7">
      <c r="A10641" t="s">
        <v>1876</v>
      </c>
      <c r="B10641" t="s">
        <v>380</v>
      </c>
      <c r="C10641" t="s">
        <v>152</v>
      </c>
      <c r="D10641">
        <v>30266</v>
      </c>
      <c r="E10641">
        <v>30960</v>
      </c>
      <c r="F10641">
        <v>24915</v>
      </c>
      <c r="G10641">
        <v>28071</v>
      </c>
    </row>
    <row r="10642" spans="1:7">
      <c r="A10642" t="s">
        <v>1876</v>
      </c>
      <c r="B10642" t="s">
        <v>380</v>
      </c>
      <c r="C10642" t="s">
        <v>1703</v>
      </c>
      <c r="D10642">
        <v>740</v>
      </c>
      <c r="E10642">
        <v>740</v>
      </c>
      <c r="F10642">
        <v>740</v>
      </c>
      <c r="G10642">
        <v>740</v>
      </c>
    </row>
    <row r="10643" spans="1:7">
      <c r="A10643" t="s">
        <v>1876</v>
      </c>
      <c r="B10643" t="s">
        <v>380</v>
      </c>
      <c r="C10643" t="s">
        <v>153</v>
      </c>
      <c r="D10643">
        <v>5643</v>
      </c>
      <c r="E10643">
        <v>4875</v>
      </c>
      <c r="F10643">
        <v>4369</v>
      </c>
      <c r="G10643">
        <v>3547</v>
      </c>
    </row>
    <row r="10644" spans="1:7">
      <c r="A10644" t="s">
        <v>1876</v>
      </c>
      <c r="B10644" t="s">
        <v>380</v>
      </c>
      <c r="C10644" t="s">
        <v>154</v>
      </c>
      <c r="D10644">
        <v>0</v>
      </c>
      <c r="E10644">
        <v>0</v>
      </c>
      <c r="F10644">
        <v>0</v>
      </c>
      <c r="G10644">
        <v>0</v>
      </c>
    </row>
    <row r="10645" spans="1:7">
      <c r="A10645" t="s">
        <v>1876</v>
      </c>
      <c r="B10645" t="s">
        <v>380</v>
      </c>
      <c r="C10645" t="s">
        <v>155</v>
      </c>
      <c r="D10645">
        <v>5643</v>
      </c>
      <c r="E10645">
        <v>4875</v>
      </c>
      <c r="F10645">
        <v>4369</v>
      </c>
      <c r="G10645">
        <v>3547</v>
      </c>
    </row>
    <row r="10646" spans="1:7">
      <c r="A10646" t="s">
        <v>1876</v>
      </c>
      <c r="B10646" t="s">
        <v>380</v>
      </c>
      <c r="C10646" t="s">
        <v>156</v>
      </c>
      <c r="D10646">
        <v>0</v>
      </c>
      <c r="E10646">
        <v>0</v>
      </c>
      <c r="F10646">
        <v>0</v>
      </c>
      <c r="G10646">
        <v>0</v>
      </c>
    </row>
    <row r="10647" spans="1:7">
      <c r="A10647" t="s">
        <v>1876</v>
      </c>
      <c r="B10647" t="s">
        <v>380</v>
      </c>
      <c r="C10647" t="s">
        <v>157</v>
      </c>
      <c r="D10647">
        <v>35910</v>
      </c>
      <c r="E10647">
        <v>35835</v>
      </c>
      <c r="F10647">
        <v>29284</v>
      </c>
      <c r="G10647">
        <v>31618</v>
      </c>
    </row>
    <row r="10648" spans="1:7">
      <c r="A10648" t="s">
        <v>1876</v>
      </c>
      <c r="B10648" t="s">
        <v>380</v>
      </c>
      <c r="C10648" t="s">
        <v>158</v>
      </c>
      <c r="D10648">
        <v>5643</v>
      </c>
      <c r="E10648">
        <v>4875</v>
      </c>
      <c r="F10648">
        <v>4369</v>
      </c>
      <c r="G10648">
        <v>3547</v>
      </c>
    </row>
    <row r="10649" spans="1:7">
      <c r="A10649" t="s">
        <v>1876</v>
      </c>
      <c r="B10649" t="s">
        <v>380</v>
      </c>
      <c r="C10649" t="s">
        <v>159</v>
      </c>
      <c r="D10649">
        <v>0</v>
      </c>
      <c r="E10649">
        <v>0</v>
      </c>
      <c r="F10649">
        <v>0</v>
      </c>
      <c r="G10649">
        <v>0</v>
      </c>
    </row>
    <row r="10650" spans="1:7">
      <c r="A10650" t="s">
        <v>1876</v>
      </c>
      <c r="B10650" t="s">
        <v>380</v>
      </c>
      <c r="C10650" t="s">
        <v>1901</v>
      </c>
      <c r="D10650">
        <v>51.4</v>
      </c>
      <c r="E10650">
        <v>46.4</v>
      </c>
      <c r="F10650">
        <v>46.3</v>
      </c>
      <c r="G10650">
        <v>46.7</v>
      </c>
    </row>
    <row r="10651" spans="1:7">
      <c r="A10651" t="s">
        <v>1876</v>
      </c>
      <c r="B10651" t="s">
        <v>380</v>
      </c>
      <c r="C10651" t="s">
        <v>1902</v>
      </c>
      <c r="D10651">
        <v>53062</v>
      </c>
      <c r="E10651">
        <v>53012</v>
      </c>
      <c r="F10651">
        <v>48930</v>
      </c>
      <c r="G10651">
        <v>51969</v>
      </c>
    </row>
    <row r="10652" spans="1:7">
      <c r="A10652" t="s">
        <v>1876</v>
      </c>
      <c r="B10652" t="s">
        <v>380</v>
      </c>
      <c r="C10652" t="s">
        <v>1903</v>
      </c>
      <c r="D10652">
        <v>2164</v>
      </c>
      <c r="E10652">
        <v>2170</v>
      </c>
      <c r="F10652">
        <v>2499</v>
      </c>
      <c r="G10652">
        <v>2178</v>
      </c>
    </row>
    <row r="10653" spans="1:7">
      <c r="A10653" t="s">
        <v>1876</v>
      </c>
      <c r="B10653" t="s">
        <v>380</v>
      </c>
      <c r="C10653" t="s">
        <v>1904</v>
      </c>
      <c r="D10653">
        <v>92</v>
      </c>
      <c r="E10653">
        <v>110</v>
      </c>
      <c r="F10653">
        <v>103</v>
      </c>
      <c r="G10653">
        <v>72</v>
      </c>
    </row>
    <row r="10654" spans="1:7">
      <c r="A10654" t="s">
        <v>1876</v>
      </c>
      <c r="B10654" t="s">
        <v>380</v>
      </c>
      <c r="C10654" t="s">
        <v>1905</v>
      </c>
      <c r="D10654">
        <v>17450</v>
      </c>
      <c r="E10654">
        <v>17640</v>
      </c>
      <c r="F10654">
        <v>17216</v>
      </c>
      <c r="G10654">
        <v>16707</v>
      </c>
    </row>
    <row r="10655" spans="1:7">
      <c r="A10655" t="s">
        <v>1876</v>
      </c>
      <c r="B10655" t="s">
        <v>380</v>
      </c>
      <c r="C10655" t="s">
        <v>1906</v>
      </c>
      <c r="D10655">
        <v>274</v>
      </c>
      <c r="E10655">
        <v>278</v>
      </c>
      <c r="F10655">
        <v>320</v>
      </c>
      <c r="G10655">
        <v>273</v>
      </c>
    </row>
    <row r="10656" spans="1:7">
      <c r="A10656" t="s">
        <v>1876</v>
      </c>
      <c r="B10656" t="s">
        <v>380</v>
      </c>
      <c r="C10656" t="s">
        <v>1907</v>
      </c>
      <c r="D10656">
        <v>73041</v>
      </c>
      <c r="E10656">
        <v>73210</v>
      </c>
      <c r="F10656">
        <v>69069</v>
      </c>
      <c r="G10656">
        <v>71200</v>
      </c>
    </row>
    <row r="10657" spans="1:7">
      <c r="A10657" t="s">
        <v>1876</v>
      </c>
      <c r="B10657" t="s">
        <v>380</v>
      </c>
      <c r="C10657" t="s">
        <v>160</v>
      </c>
      <c r="D10657">
        <v>53030</v>
      </c>
      <c r="E10657">
        <v>52980</v>
      </c>
      <c r="F10657">
        <v>48898</v>
      </c>
      <c r="G10657">
        <v>51934</v>
      </c>
    </row>
    <row r="10658" spans="1:7">
      <c r="A10658" t="s">
        <v>1876</v>
      </c>
      <c r="B10658" t="s">
        <v>380</v>
      </c>
      <c r="C10658" t="s">
        <v>161</v>
      </c>
      <c r="D10658">
        <v>2164</v>
      </c>
      <c r="E10658">
        <v>2170</v>
      </c>
      <c r="F10658">
        <v>2499</v>
      </c>
      <c r="G10658">
        <v>2178</v>
      </c>
    </row>
    <row r="10659" spans="1:7">
      <c r="A10659" t="s">
        <v>1876</v>
      </c>
      <c r="B10659" t="s">
        <v>380</v>
      </c>
      <c r="C10659" t="s">
        <v>162</v>
      </c>
      <c r="D10659">
        <v>92</v>
      </c>
      <c r="E10659">
        <v>110</v>
      </c>
      <c r="F10659">
        <v>103</v>
      </c>
      <c r="G10659">
        <v>72</v>
      </c>
    </row>
    <row r="10660" spans="1:7">
      <c r="A10660" t="s">
        <v>1876</v>
      </c>
      <c r="B10660" t="s">
        <v>380</v>
      </c>
      <c r="C10660" t="s">
        <v>163</v>
      </c>
      <c r="D10660">
        <v>17450</v>
      </c>
      <c r="E10660">
        <v>17640</v>
      </c>
      <c r="F10660">
        <v>17216</v>
      </c>
      <c r="G10660">
        <v>16707</v>
      </c>
    </row>
    <row r="10661" spans="1:7">
      <c r="A10661" t="s">
        <v>1876</v>
      </c>
      <c r="B10661" t="s">
        <v>380</v>
      </c>
      <c r="C10661" t="s">
        <v>164</v>
      </c>
      <c r="D10661">
        <v>274</v>
      </c>
      <c r="E10661">
        <v>278</v>
      </c>
      <c r="F10661">
        <v>320</v>
      </c>
      <c r="G10661">
        <v>273</v>
      </c>
    </row>
    <row r="10662" spans="1:7">
      <c r="A10662" t="s">
        <v>1876</v>
      </c>
      <c r="B10662" t="s">
        <v>380</v>
      </c>
      <c r="C10662" t="s">
        <v>165</v>
      </c>
      <c r="D10662">
        <v>73010</v>
      </c>
      <c r="E10662">
        <v>73178</v>
      </c>
      <c r="F10662">
        <v>69037</v>
      </c>
      <c r="G10662">
        <v>71164</v>
      </c>
    </row>
    <row r="10663" spans="1:7">
      <c r="A10663" t="s">
        <v>1876</v>
      </c>
      <c r="B10663" t="s">
        <v>380</v>
      </c>
      <c r="C10663" t="s">
        <v>166</v>
      </c>
      <c r="D10663">
        <v>72918</v>
      </c>
      <c r="E10663">
        <v>73068</v>
      </c>
      <c r="F10663">
        <v>68934</v>
      </c>
      <c r="G10663">
        <v>71092</v>
      </c>
    </row>
    <row r="10664" spans="1:7">
      <c r="A10664" t="s">
        <v>1876</v>
      </c>
      <c r="B10664" t="s">
        <v>380</v>
      </c>
      <c r="C10664" t="s">
        <v>167</v>
      </c>
      <c r="D10664">
        <v>92</v>
      </c>
      <c r="E10664">
        <v>110</v>
      </c>
      <c r="F10664">
        <v>103</v>
      </c>
      <c r="G10664">
        <v>72</v>
      </c>
    </row>
    <row r="10665" spans="1:7">
      <c r="A10665" t="s">
        <v>1876</v>
      </c>
      <c r="B10665" t="s">
        <v>380</v>
      </c>
      <c r="C10665" t="s">
        <v>1908</v>
      </c>
      <c r="D10665">
        <v>53006</v>
      </c>
      <c r="E10665">
        <v>52957</v>
      </c>
      <c r="F10665">
        <v>48879</v>
      </c>
      <c r="G10665">
        <v>51915</v>
      </c>
    </row>
    <row r="10666" spans="1:7">
      <c r="A10666" t="s">
        <v>1876</v>
      </c>
      <c r="B10666" t="s">
        <v>380</v>
      </c>
      <c r="C10666" t="s">
        <v>1909</v>
      </c>
      <c r="D10666">
        <v>2164</v>
      </c>
      <c r="E10666">
        <v>2170</v>
      </c>
      <c r="F10666">
        <v>2499</v>
      </c>
      <c r="G10666">
        <v>2178</v>
      </c>
    </row>
    <row r="10667" spans="1:7">
      <c r="A10667" t="s">
        <v>1876</v>
      </c>
      <c r="B10667" t="s">
        <v>380</v>
      </c>
      <c r="C10667" t="s">
        <v>1910</v>
      </c>
      <c r="D10667">
        <v>92</v>
      </c>
      <c r="E10667">
        <v>110</v>
      </c>
      <c r="F10667">
        <v>103</v>
      </c>
      <c r="G10667">
        <v>72</v>
      </c>
    </row>
    <row r="10668" spans="1:7">
      <c r="A10668" t="s">
        <v>1876</v>
      </c>
      <c r="B10668" t="s">
        <v>380</v>
      </c>
      <c r="C10668" t="s">
        <v>1911</v>
      </c>
      <c r="D10668">
        <v>17450</v>
      </c>
      <c r="E10668">
        <v>17640</v>
      </c>
      <c r="F10668">
        <v>17216</v>
      </c>
      <c r="G10668">
        <v>16707</v>
      </c>
    </row>
    <row r="10669" spans="1:7">
      <c r="A10669" t="s">
        <v>1876</v>
      </c>
      <c r="B10669" t="s">
        <v>380</v>
      </c>
      <c r="C10669" t="s">
        <v>1912</v>
      </c>
      <c r="D10669">
        <v>274</v>
      </c>
      <c r="E10669">
        <v>278</v>
      </c>
      <c r="F10669">
        <v>320</v>
      </c>
      <c r="G10669">
        <v>273</v>
      </c>
    </row>
    <row r="10670" spans="1:7">
      <c r="A10670" t="s">
        <v>1876</v>
      </c>
      <c r="B10670" t="s">
        <v>380</v>
      </c>
      <c r="C10670" t="s">
        <v>168</v>
      </c>
      <c r="D10670">
        <v>72986</v>
      </c>
      <c r="E10670">
        <v>73155</v>
      </c>
      <c r="F10670">
        <v>69018</v>
      </c>
      <c r="G10670">
        <v>71145</v>
      </c>
    </row>
    <row r="10671" spans="1:7">
      <c r="A10671" t="s">
        <v>1876</v>
      </c>
      <c r="B10671" t="s">
        <v>380</v>
      </c>
      <c r="C10671" t="s">
        <v>169</v>
      </c>
      <c r="D10671">
        <v>0</v>
      </c>
      <c r="E10671">
        <v>0</v>
      </c>
      <c r="F10671">
        <v>0</v>
      </c>
      <c r="G10671">
        <v>0</v>
      </c>
    </row>
    <row r="10672" spans="1:7">
      <c r="A10672" t="s">
        <v>1876</v>
      </c>
      <c r="B10672" t="s">
        <v>380</v>
      </c>
      <c r="C10672" t="s">
        <v>1704</v>
      </c>
      <c r="D10672">
        <v>12863</v>
      </c>
      <c r="E10672">
        <v>13541</v>
      </c>
      <c r="F10672">
        <v>14536</v>
      </c>
      <c r="G10672">
        <v>16725</v>
      </c>
    </row>
    <row r="10673" spans="1:7">
      <c r="A10673" t="s">
        <v>1876</v>
      </c>
      <c r="B10673" t="s">
        <v>380</v>
      </c>
      <c r="C10673" t="s">
        <v>170</v>
      </c>
      <c r="D10673">
        <v>0</v>
      </c>
      <c r="E10673">
        <v>0</v>
      </c>
      <c r="F10673">
        <v>0</v>
      </c>
      <c r="G10673">
        <v>0</v>
      </c>
    </row>
    <row r="10674" spans="1:7">
      <c r="A10674" t="s">
        <v>1876</v>
      </c>
      <c r="B10674" t="s">
        <v>380</v>
      </c>
      <c r="C10674" t="s">
        <v>171</v>
      </c>
      <c r="D10674">
        <v>-3710</v>
      </c>
      <c r="E10674">
        <v>-7579</v>
      </c>
      <c r="F10674">
        <v>-12540</v>
      </c>
      <c r="G10674">
        <v>-16407</v>
      </c>
    </row>
    <row r="10675" spans="1:7">
      <c r="A10675" t="s">
        <v>1876</v>
      </c>
      <c r="B10675" t="s">
        <v>380</v>
      </c>
      <c r="C10675" t="s">
        <v>172</v>
      </c>
      <c r="D10675">
        <v>0</v>
      </c>
      <c r="E10675">
        <v>0</v>
      </c>
      <c r="F10675">
        <v>0</v>
      </c>
      <c r="G10675">
        <v>0</v>
      </c>
    </row>
    <row r="10676" spans="1:7">
      <c r="A10676" t="s">
        <v>1876</v>
      </c>
      <c r="B10676" t="s">
        <v>380</v>
      </c>
      <c r="C10676" t="s">
        <v>1913</v>
      </c>
      <c r="D10676">
        <v>23</v>
      </c>
      <c r="E10676">
        <v>35.700000000000003</v>
      </c>
      <c r="F10676">
        <v>54.7</v>
      </c>
      <c r="G10676">
        <v>76.3</v>
      </c>
    </row>
    <row r="10677" spans="1:7">
      <c r="A10677" t="s">
        <v>1876</v>
      </c>
      <c r="B10677" t="s">
        <v>380</v>
      </c>
      <c r="C10677" t="s">
        <v>1914</v>
      </c>
      <c r="D10677">
        <v>1</v>
      </c>
      <c r="E10677">
        <v>1.5</v>
      </c>
      <c r="F10677">
        <v>2.2999999999999998</v>
      </c>
      <c r="G10677">
        <v>3.2</v>
      </c>
    </row>
    <row r="10678" spans="1:7">
      <c r="A10678" t="s">
        <v>1876</v>
      </c>
      <c r="B10678" t="s">
        <v>380</v>
      </c>
      <c r="C10678" t="s">
        <v>173</v>
      </c>
      <c r="D10678">
        <v>9969</v>
      </c>
      <c r="E10678">
        <v>10300</v>
      </c>
      <c r="F10678">
        <v>9806</v>
      </c>
      <c r="G10678">
        <v>9968</v>
      </c>
    </row>
    <row r="10679" spans="1:7">
      <c r="A10679" t="s">
        <v>1876</v>
      </c>
      <c r="B10679" t="s">
        <v>380</v>
      </c>
      <c r="C10679" t="s">
        <v>174</v>
      </c>
      <c r="D10679">
        <v>328</v>
      </c>
      <c r="E10679">
        <v>343</v>
      </c>
      <c r="F10679">
        <v>343</v>
      </c>
      <c r="G10679">
        <v>301</v>
      </c>
    </row>
    <row r="10680" spans="1:7">
      <c r="A10680" t="s">
        <v>1876</v>
      </c>
      <c r="B10680" t="s">
        <v>380</v>
      </c>
      <c r="C10680" t="s">
        <v>175</v>
      </c>
      <c r="D10680">
        <v>167</v>
      </c>
      <c r="E10680">
        <v>176</v>
      </c>
      <c r="F10680">
        <v>178</v>
      </c>
      <c r="G10680">
        <v>161</v>
      </c>
    </row>
    <row r="10681" spans="1:7">
      <c r="A10681" t="s">
        <v>1876</v>
      </c>
      <c r="B10681" t="s">
        <v>380</v>
      </c>
      <c r="C10681" t="s">
        <v>176</v>
      </c>
      <c r="D10681">
        <v>0</v>
      </c>
      <c r="E10681">
        <v>0</v>
      </c>
      <c r="F10681">
        <v>0</v>
      </c>
      <c r="G10681">
        <v>0</v>
      </c>
    </row>
    <row r="10682" spans="1:7">
      <c r="A10682" t="s">
        <v>1876</v>
      </c>
      <c r="B10682" t="s">
        <v>380</v>
      </c>
      <c r="C10682" t="s">
        <v>177</v>
      </c>
      <c r="D10682">
        <v>10463</v>
      </c>
      <c r="E10682">
        <v>10819</v>
      </c>
      <c r="F10682">
        <v>10326</v>
      </c>
      <c r="G10682">
        <v>10431</v>
      </c>
    </row>
    <row r="10683" spans="1:7">
      <c r="A10683" t="s">
        <v>1876</v>
      </c>
      <c r="B10683" t="s">
        <v>380</v>
      </c>
      <c r="C10683" t="s">
        <v>178</v>
      </c>
      <c r="D10683">
        <v>0</v>
      </c>
      <c r="E10683">
        <v>0</v>
      </c>
      <c r="F10683">
        <v>0</v>
      </c>
      <c r="G10683">
        <v>0</v>
      </c>
    </row>
    <row r="10684" spans="1:7">
      <c r="A10684" t="s">
        <v>1876</v>
      </c>
      <c r="B10684" t="s">
        <v>380</v>
      </c>
      <c r="C10684" t="s">
        <v>179</v>
      </c>
      <c r="D10684">
        <v>0</v>
      </c>
      <c r="E10684">
        <v>0</v>
      </c>
      <c r="F10684">
        <v>0</v>
      </c>
      <c r="G10684">
        <v>0</v>
      </c>
    </row>
    <row r="10685" spans="1:7">
      <c r="A10685" t="s">
        <v>1876</v>
      </c>
      <c r="B10685" t="s">
        <v>380</v>
      </c>
      <c r="C10685" t="s">
        <v>180</v>
      </c>
      <c r="D10685">
        <v>18</v>
      </c>
      <c r="E10685">
        <v>24</v>
      </c>
      <c r="F10685">
        <v>25</v>
      </c>
      <c r="G10685">
        <v>26</v>
      </c>
    </row>
    <row r="10686" spans="1:7">
      <c r="A10686" t="s">
        <v>1876</v>
      </c>
      <c r="B10686" t="s">
        <v>380</v>
      </c>
      <c r="C10686" t="s">
        <v>181</v>
      </c>
      <c r="D10686">
        <v>41946</v>
      </c>
      <c r="E10686">
        <v>42403</v>
      </c>
      <c r="F10686">
        <v>42196</v>
      </c>
      <c r="G10686">
        <v>48653</v>
      </c>
    </row>
    <row r="10687" spans="1:7">
      <c r="A10687" t="s">
        <v>1876</v>
      </c>
      <c r="B10687" t="s">
        <v>380</v>
      </c>
      <c r="C10687" t="s">
        <v>182</v>
      </c>
      <c r="D10687">
        <v>42171</v>
      </c>
      <c r="E10687">
        <v>42918</v>
      </c>
      <c r="F10687">
        <v>42195</v>
      </c>
      <c r="G10687">
        <v>40146</v>
      </c>
    </row>
    <row r="10688" spans="1:7">
      <c r="A10688" t="s">
        <v>1876</v>
      </c>
      <c r="B10688" t="s">
        <v>380</v>
      </c>
      <c r="C10688" t="s">
        <v>183</v>
      </c>
      <c r="D10688">
        <v>49042</v>
      </c>
      <c r="E10688">
        <v>48814</v>
      </c>
      <c r="F10688">
        <v>46092</v>
      </c>
      <c r="G10688">
        <v>49923</v>
      </c>
    </row>
    <row r="10689" spans="1:7">
      <c r="A10689" t="s">
        <v>1876</v>
      </c>
      <c r="B10689" t="s">
        <v>380</v>
      </c>
      <c r="C10689" t="s">
        <v>184</v>
      </c>
      <c r="D10689">
        <v>133177</v>
      </c>
      <c r="E10689">
        <v>134160</v>
      </c>
      <c r="F10689">
        <v>130507</v>
      </c>
      <c r="G10689">
        <v>138748</v>
      </c>
    </row>
    <row r="10690" spans="1:7">
      <c r="A10690" t="s">
        <v>1876</v>
      </c>
      <c r="B10690" t="s">
        <v>380</v>
      </c>
      <c r="C10690" t="s">
        <v>185</v>
      </c>
      <c r="D10690">
        <v>133177</v>
      </c>
      <c r="E10690">
        <v>134160</v>
      </c>
      <c r="F10690">
        <v>130507</v>
      </c>
      <c r="G10690">
        <v>138748</v>
      </c>
    </row>
    <row r="10691" spans="1:7">
      <c r="A10691" t="s">
        <v>1876</v>
      </c>
      <c r="B10691" t="s">
        <v>380</v>
      </c>
      <c r="C10691" t="s">
        <v>1915</v>
      </c>
      <c r="D10691">
        <v>37</v>
      </c>
      <c r="E10691">
        <v>63</v>
      </c>
      <c r="F10691">
        <v>160</v>
      </c>
      <c r="G10691">
        <v>231</v>
      </c>
    </row>
    <row r="10692" spans="1:7">
      <c r="A10692" t="s">
        <v>1876</v>
      </c>
      <c r="B10692" t="s">
        <v>380</v>
      </c>
      <c r="C10692" t="s">
        <v>1916</v>
      </c>
      <c r="D10692">
        <v>0</v>
      </c>
      <c r="E10692">
        <v>0</v>
      </c>
      <c r="F10692">
        <v>0</v>
      </c>
      <c r="G10692">
        <v>0</v>
      </c>
    </row>
    <row r="10693" spans="1:7">
      <c r="A10693" t="s">
        <v>1876</v>
      </c>
      <c r="B10693" t="s">
        <v>380</v>
      </c>
      <c r="C10693" t="s">
        <v>1917</v>
      </c>
      <c r="D10693">
        <v>16</v>
      </c>
      <c r="E10693">
        <v>16</v>
      </c>
      <c r="F10693">
        <v>16</v>
      </c>
      <c r="G10693">
        <v>16</v>
      </c>
    </row>
    <row r="10694" spans="1:7">
      <c r="A10694" t="s">
        <v>1876</v>
      </c>
      <c r="B10694" t="s">
        <v>380</v>
      </c>
      <c r="C10694" t="s">
        <v>1918</v>
      </c>
      <c r="D10694">
        <v>1279</v>
      </c>
      <c r="E10694">
        <v>1602</v>
      </c>
      <c r="F10694">
        <v>1694</v>
      </c>
      <c r="G10694">
        <v>1855</v>
      </c>
    </row>
    <row r="10695" spans="1:7">
      <c r="A10695" t="s">
        <v>1876</v>
      </c>
      <c r="B10695" t="s">
        <v>380</v>
      </c>
      <c r="C10695" t="s">
        <v>1919</v>
      </c>
      <c r="D10695">
        <v>3.49</v>
      </c>
      <c r="E10695">
        <v>3.73</v>
      </c>
      <c r="F10695">
        <v>3.23</v>
      </c>
      <c r="G10695">
        <v>3.35</v>
      </c>
    </row>
    <row r="10696" spans="1:7">
      <c r="A10696" t="s">
        <v>1876</v>
      </c>
      <c r="B10696" t="s">
        <v>380</v>
      </c>
      <c r="C10696" t="s">
        <v>1920</v>
      </c>
      <c r="D10696">
        <v>1654</v>
      </c>
      <c r="E10696">
        <v>2058</v>
      </c>
      <c r="F10696">
        <v>2365</v>
      </c>
      <c r="G10696">
        <v>2740</v>
      </c>
    </row>
    <row r="10697" spans="1:7">
      <c r="A10697" t="s">
        <v>1876</v>
      </c>
      <c r="B10697" t="s">
        <v>380</v>
      </c>
      <c r="C10697" t="s">
        <v>1921</v>
      </c>
      <c r="D10697">
        <v>438</v>
      </c>
      <c r="E10697">
        <v>508</v>
      </c>
      <c r="F10697">
        <v>618</v>
      </c>
      <c r="G10697">
        <v>664</v>
      </c>
    </row>
    <row r="10698" spans="1:7">
      <c r="A10698" t="s">
        <v>1876</v>
      </c>
      <c r="B10698" t="s">
        <v>380</v>
      </c>
      <c r="C10698" t="s">
        <v>1922</v>
      </c>
      <c r="D10698">
        <v>359</v>
      </c>
      <c r="E10698">
        <v>440</v>
      </c>
      <c r="F10698">
        <v>655</v>
      </c>
      <c r="G10698">
        <v>869</v>
      </c>
    </row>
    <row r="10699" spans="1:7">
      <c r="A10699" t="s">
        <v>1876</v>
      </c>
      <c r="B10699" t="s">
        <v>380</v>
      </c>
      <c r="C10699" t="s">
        <v>1923</v>
      </c>
      <c r="D10699">
        <v>4.17</v>
      </c>
      <c r="E10699">
        <v>4.7300000000000004</v>
      </c>
      <c r="F10699">
        <v>6.18</v>
      </c>
      <c r="G10699">
        <v>7.12</v>
      </c>
    </row>
    <row r="10700" spans="1:7">
      <c r="A10700" t="s">
        <v>1876</v>
      </c>
      <c r="B10700" t="s">
        <v>380</v>
      </c>
      <c r="C10700" t="s">
        <v>1924</v>
      </c>
      <c r="D10700">
        <v>23</v>
      </c>
      <c r="E10700">
        <v>2</v>
      </c>
      <c r="F10700">
        <v>4</v>
      </c>
      <c r="G10700">
        <v>3</v>
      </c>
    </row>
    <row r="10701" spans="1:7">
      <c r="A10701" t="s">
        <v>1876</v>
      </c>
      <c r="B10701" t="s">
        <v>380</v>
      </c>
      <c r="C10701" t="s">
        <v>1925</v>
      </c>
      <c r="D10701">
        <v>23</v>
      </c>
      <c r="E10701">
        <v>59</v>
      </c>
      <c r="F10701">
        <v>58</v>
      </c>
      <c r="G10701">
        <v>60</v>
      </c>
    </row>
    <row r="10702" spans="1:7">
      <c r="A10702" t="s">
        <v>1876</v>
      </c>
      <c r="B10702" t="s">
        <v>380</v>
      </c>
      <c r="C10702" t="s">
        <v>1926</v>
      </c>
      <c r="D10702">
        <v>392</v>
      </c>
      <c r="E10702">
        <v>447</v>
      </c>
      <c r="F10702">
        <v>556</v>
      </c>
      <c r="G10702">
        <v>601</v>
      </c>
    </row>
    <row r="10703" spans="1:7">
      <c r="A10703" t="s">
        <v>1876</v>
      </c>
      <c r="B10703" t="s">
        <v>380</v>
      </c>
      <c r="C10703" t="s">
        <v>1927</v>
      </c>
      <c r="D10703">
        <v>7</v>
      </c>
      <c r="E10703">
        <v>9</v>
      </c>
      <c r="F10703">
        <v>3</v>
      </c>
      <c r="G10703">
        <v>2</v>
      </c>
    </row>
    <row r="10704" spans="1:7">
      <c r="A10704" t="s">
        <v>1876</v>
      </c>
      <c r="B10704" t="s">
        <v>380</v>
      </c>
      <c r="C10704" t="s">
        <v>1928</v>
      </c>
      <c r="D10704">
        <v>412</v>
      </c>
      <c r="E10704">
        <v>480</v>
      </c>
      <c r="F10704">
        <v>589</v>
      </c>
      <c r="G10704">
        <v>634</v>
      </c>
    </row>
    <row r="10705" spans="1:7">
      <c r="A10705" t="s">
        <v>1876</v>
      </c>
      <c r="B10705" t="s">
        <v>380</v>
      </c>
      <c r="C10705" t="s">
        <v>1929</v>
      </c>
      <c r="D10705">
        <v>19</v>
      </c>
      <c r="E10705">
        <v>19</v>
      </c>
      <c r="F10705">
        <v>26</v>
      </c>
      <c r="G10705">
        <v>28</v>
      </c>
    </row>
    <row r="10706" spans="1:7">
      <c r="A10706" t="s">
        <v>1876</v>
      </c>
      <c r="B10706" t="s">
        <v>380</v>
      </c>
      <c r="C10706" t="s">
        <v>186</v>
      </c>
      <c r="D10706">
        <v>0</v>
      </c>
      <c r="E10706">
        <v>0</v>
      </c>
      <c r="F10706">
        <v>0</v>
      </c>
      <c r="G10706">
        <v>0</v>
      </c>
    </row>
    <row r="10707" spans="1:7">
      <c r="A10707" t="s">
        <v>1876</v>
      </c>
      <c r="B10707" t="s">
        <v>380</v>
      </c>
      <c r="C10707" t="s">
        <v>187</v>
      </c>
      <c r="D10707">
        <v>0</v>
      </c>
      <c r="E10707">
        <v>0</v>
      </c>
      <c r="F10707">
        <v>0</v>
      </c>
      <c r="G10707">
        <v>0</v>
      </c>
    </row>
    <row r="10708" spans="1:7">
      <c r="A10708" t="s">
        <v>1876</v>
      </c>
      <c r="B10708" t="s">
        <v>380</v>
      </c>
      <c r="C10708" t="s">
        <v>1705</v>
      </c>
      <c r="D10708">
        <v>7822</v>
      </c>
      <c r="E10708">
        <v>8080</v>
      </c>
      <c r="F10708">
        <v>8082</v>
      </c>
      <c r="G10708">
        <v>8529</v>
      </c>
    </row>
    <row r="10709" spans="1:7">
      <c r="A10709" t="s">
        <v>1876</v>
      </c>
      <c r="B10709" t="s">
        <v>380</v>
      </c>
      <c r="C10709" t="s">
        <v>188</v>
      </c>
      <c r="D10709">
        <v>627736</v>
      </c>
      <c r="E10709">
        <v>641439</v>
      </c>
      <c r="F10709">
        <v>624034</v>
      </c>
      <c r="G10709">
        <v>624211</v>
      </c>
    </row>
    <row r="10710" spans="1:7">
      <c r="A10710" t="s">
        <v>1876</v>
      </c>
      <c r="B10710" t="s">
        <v>380</v>
      </c>
      <c r="C10710" t="s">
        <v>189</v>
      </c>
      <c r="D10710">
        <v>0</v>
      </c>
      <c r="E10710">
        <v>0</v>
      </c>
      <c r="F10710">
        <v>0</v>
      </c>
      <c r="G10710">
        <v>0</v>
      </c>
    </row>
    <row r="10711" spans="1:7">
      <c r="A10711" t="s">
        <v>1876</v>
      </c>
      <c r="B10711" t="s">
        <v>380</v>
      </c>
      <c r="C10711" t="s">
        <v>190</v>
      </c>
      <c r="D10711">
        <v>0</v>
      </c>
      <c r="E10711">
        <v>0</v>
      </c>
      <c r="F10711">
        <v>0</v>
      </c>
      <c r="G10711">
        <v>0</v>
      </c>
    </row>
    <row r="10712" spans="1:7">
      <c r="A10712" t="s">
        <v>1876</v>
      </c>
      <c r="B10712" t="s">
        <v>380</v>
      </c>
      <c r="C10712" t="s">
        <v>191</v>
      </c>
      <c r="D10712">
        <v>0</v>
      </c>
      <c r="E10712">
        <v>0</v>
      </c>
      <c r="F10712">
        <v>0</v>
      </c>
      <c r="G10712">
        <v>0</v>
      </c>
    </row>
    <row r="10713" spans="1:7">
      <c r="A10713" t="s">
        <v>1876</v>
      </c>
      <c r="B10713" t="s">
        <v>380</v>
      </c>
      <c r="C10713" t="s">
        <v>192</v>
      </c>
      <c r="D10713">
        <v>202091.8</v>
      </c>
      <c r="E10713">
        <v>232437.9</v>
      </c>
      <c r="F10713">
        <v>253443.3</v>
      </c>
      <c r="G10713">
        <v>269010.5</v>
      </c>
    </row>
    <row r="10714" spans="1:7">
      <c r="A10714" t="s">
        <v>1876</v>
      </c>
      <c r="B10714" t="s">
        <v>380</v>
      </c>
      <c r="C10714" t="s">
        <v>193</v>
      </c>
      <c r="D10714">
        <v>182618.3</v>
      </c>
      <c r="E10714">
        <v>194463.9</v>
      </c>
      <c r="F10714">
        <v>201158.6</v>
      </c>
      <c r="G10714">
        <v>207351.9</v>
      </c>
    </row>
    <row r="10715" spans="1:7">
      <c r="A10715" t="s">
        <v>1876</v>
      </c>
      <c r="B10715" t="s">
        <v>380</v>
      </c>
      <c r="C10715" t="s">
        <v>1930</v>
      </c>
      <c r="D10715">
        <v>73.5</v>
      </c>
      <c r="E10715">
        <v>70.7</v>
      </c>
      <c r="F10715">
        <v>71</v>
      </c>
      <c r="G10715">
        <v>65</v>
      </c>
    </row>
    <row r="10716" spans="1:7">
      <c r="A10716" t="s">
        <v>1876</v>
      </c>
      <c r="B10716" t="s">
        <v>380</v>
      </c>
      <c r="C10716" t="s">
        <v>194</v>
      </c>
      <c r="D10716">
        <v>783</v>
      </c>
      <c r="E10716">
        <v>783</v>
      </c>
      <c r="F10716">
        <v>783</v>
      </c>
      <c r="G10716">
        <v>783</v>
      </c>
    </row>
    <row r="10717" spans="1:7">
      <c r="A10717" t="s">
        <v>1876</v>
      </c>
      <c r="B10717" t="s">
        <v>380</v>
      </c>
      <c r="C10717" t="s">
        <v>195</v>
      </c>
      <c r="D10717">
        <v>13366</v>
      </c>
      <c r="E10717">
        <v>13365</v>
      </c>
      <c r="F10717">
        <v>14161</v>
      </c>
      <c r="G10717">
        <v>13258</v>
      </c>
    </row>
    <row r="10718" spans="1:7">
      <c r="A10718" t="s">
        <v>1876</v>
      </c>
      <c r="B10718" t="s">
        <v>380</v>
      </c>
      <c r="C10718" t="s">
        <v>1706</v>
      </c>
      <c r="D10718">
        <v>595</v>
      </c>
      <c r="E10718">
        <v>630</v>
      </c>
      <c r="F10718">
        <v>659</v>
      </c>
      <c r="G10718">
        <v>663</v>
      </c>
    </row>
    <row r="10719" spans="1:7">
      <c r="A10719" t="s">
        <v>1876</v>
      </c>
      <c r="B10719" t="s">
        <v>380</v>
      </c>
      <c r="C10719" t="s">
        <v>196</v>
      </c>
      <c r="D10719">
        <v>416</v>
      </c>
      <c r="E10719">
        <v>416</v>
      </c>
      <c r="F10719">
        <v>416</v>
      </c>
      <c r="G10719">
        <v>416</v>
      </c>
    </row>
    <row r="10720" spans="1:7">
      <c r="A10720" t="s">
        <v>1876</v>
      </c>
      <c r="B10720" t="s">
        <v>380</v>
      </c>
      <c r="C10720" t="s">
        <v>197</v>
      </c>
      <c r="D10720">
        <v>349</v>
      </c>
      <c r="E10720">
        <v>349</v>
      </c>
      <c r="F10720">
        <v>349</v>
      </c>
      <c r="G10720">
        <v>349</v>
      </c>
    </row>
    <row r="10721" spans="1:7">
      <c r="A10721" t="s">
        <v>1876</v>
      </c>
      <c r="B10721" t="s">
        <v>380</v>
      </c>
      <c r="C10721" t="s">
        <v>198</v>
      </c>
      <c r="D10721">
        <v>14914</v>
      </c>
      <c r="E10721">
        <v>14913</v>
      </c>
      <c r="F10721">
        <v>15709</v>
      </c>
      <c r="G10721">
        <v>14806</v>
      </c>
    </row>
    <row r="10722" spans="1:7">
      <c r="A10722" t="s">
        <v>1876</v>
      </c>
      <c r="B10722" t="s">
        <v>380</v>
      </c>
      <c r="C10722" t="s">
        <v>199</v>
      </c>
      <c r="D10722">
        <v>1548</v>
      </c>
      <c r="E10722">
        <v>1548</v>
      </c>
      <c r="F10722">
        <v>1548</v>
      </c>
      <c r="G10722">
        <v>1548</v>
      </c>
    </row>
    <row r="10723" spans="1:7">
      <c r="A10723" t="s">
        <v>1876</v>
      </c>
      <c r="B10723" t="s">
        <v>380</v>
      </c>
      <c r="C10723" t="s">
        <v>200</v>
      </c>
      <c r="D10723">
        <v>32</v>
      </c>
      <c r="E10723">
        <v>49</v>
      </c>
      <c r="F10723">
        <v>67</v>
      </c>
      <c r="G10723">
        <v>81</v>
      </c>
    </row>
    <row r="10724" spans="1:7">
      <c r="A10724" t="s">
        <v>1876</v>
      </c>
      <c r="B10724" t="s">
        <v>380</v>
      </c>
      <c r="C10724" t="s">
        <v>201</v>
      </c>
      <c r="D10724">
        <v>1861</v>
      </c>
      <c r="E10724">
        <v>1907</v>
      </c>
      <c r="F10724">
        <v>1724</v>
      </c>
      <c r="G10724">
        <v>1840</v>
      </c>
    </row>
    <row r="10725" spans="1:7">
      <c r="A10725" t="s">
        <v>1876</v>
      </c>
      <c r="B10725" t="s">
        <v>380</v>
      </c>
      <c r="C10725" t="s">
        <v>202</v>
      </c>
      <c r="D10725">
        <v>779</v>
      </c>
      <c r="E10725">
        <v>1385</v>
      </c>
      <c r="F10725">
        <v>831</v>
      </c>
      <c r="G10725">
        <v>1261</v>
      </c>
    </row>
    <row r="10726" spans="1:7">
      <c r="A10726" t="s">
        <v>1876</v>
      </c>
      <c r="B10726" t="s">
        <v>380</v>
      </c>
      <c r="C10726" t="s">
        <v>203</v>
      </c>
      <c r="D10726">
        <v>2259</v>
      </c>
      <c r="E10726">
        <v>2206</v>
      </c>
      <c r="F10726">
        <v>2540</v>
      </c>
      <c r="G10726">
        <v>1929</v>
      </c>
    </row>
    <row r="10727" spans="1:7">
      <c r="A10727" t="s">
        <v>1876</v>
      </c>
      <c r="B10727" t="s">
        <v>380</v>
      </c>
      <c r="C10727" t="s">
        <v>204</v>
      </c>
      <c r="D10727">
        <v>4930</v>
      </c>
      <c r="E10727">
        <v>5547</v>
      </c>
      <c r="F10727">
        <v>5162</v>
      </c>
      <c r="G10727">
        <v>5111</v>
      </c>
    </row>
    <row r="10728" spans="1:7">
      <c r="A10728" t="s">
        <v>1876</v>
      </c>
      <c r="B10728" t="s">
        <v>380</v>
      </c>
      <c r="C10728" t="s">
        <v>205</v>
      </c>
      <c r="D10728">
        <v>4930</v>
      </c>
      <c r="E10728">
        <v>5547</v>
      </c>
      <c r="F10728">
        <v>5162</v>
      </c>
      <c r="G10728">
        <v>5111</v>
      </c>
    </row>
    <row r="10729" spans="1:7">
      <c r="A10729" t="s">
        <v>1876</v>
      </c>
      <c r="B10729" t="s">
        <v>380</v>
      </c>
      <c r="C10729" t="s">
        <v>1931</v>
      </c>
      <c r="D10729">
        <v>0</v>
      </c>
      <c r="E10729">
        <v>0</v>
      </c>
      <c r="F10729">
        <v>0</v>
      </c>
      <c r="G10729">
        <v>0</v>
      </c>
    </row>
    <row r="10730" spans="1:7">
      <c r="A10730" t="s">
        <v>1876</v>
      </c>
      <c r="B10730" t="s">
        <v>380</v>
      </c>
      <c r="C10730" t="s">
        <v>1707</v>
      </c>
      <c r="D10730">
        <v>0</v>
      </c>
      <c r="E10730">
        <v>0</v>
      </c>
      <c r="F10730">
        <v>0</v>
      </c>
      <c r="G10730">
        <v>0</v>
      </c>
    </row>
    <row r="10731" spans="1:7">
      <c r="A10731" t="s">
        <v>1876</v>
      </c>
      <c r="B10731" t="s">
        <v>380</v>
      </c>
      <c r="C10731" t="s">
        <v>1932</v>
      </c>
      <c r="D10731">
        <v>21.1</v>
      </c>
      <c r="E10731">
        <v>18.3</v>
      </c>
      <c r="F10731">
        <v>14.3</v>
      </c>
      <c r="G10731">
        <v>17.399999999999999</v>
      </c>
    </row>
    <row r="10732" spans="1:7">
      <c r="A10732" t="s">
        <v>1876</v>
      </c>
      <c r="B10732" t="s">
        <v>380</v>
      </c>
      <c r="C10732" t="s">
        <v>1708</v>
      </c>
      <c r="D10732">
        <v>1052</v>
      </c>
      <c r="E10732">
        <v>1052</v>
      </c>
      <c r="F10732">
        <v>1052</v>
      </c>
      <c r="G10732">
        <v>1052</v>
      </c>
    </row>
    <row r="10733" spans="1:7">
      <c r="A10733" t="s">
        <v>1876</v>
      </c>
      <c r="B10733" t="s">
        <v>380</v>
      </c>
      <c r="C10733" t="s">
        <v>206</v>
      </c>
      <c r="D10733">
        <v>0</v>
      </c>
      <c r="E10733">
        <v>0</v>
      </c>
      <c r="F10733">
        <v>0</v>
      </c>
      <c r="G10733">
        <v>0</v>
      </c>
    </row>
    <row r="10734" spans="1:7">
      <c r="A10734" t="s">
        <v>1876</v>
      </c>
      <c r="B10734" t="s">
        <v>380</v>
      </c>
      <c r="C10734" t="s">
        <v>207</v>
      </c>
      <c r="D10734">
        <v>6634</v>
      </c>
      <c r="E10734">
        <v>5752</v>
      </c>
      <c r="F10734">
        <v>4500</v>
      </c>
      <c r="G10734">
        <v>5481</v>
      </c>
    </row>
    <row r="10735" spans="1:7">
      <c r="A10735" t="s">
        <v>1876</v>
      </c>
      <c r="B10735" t="s">
        <v>380</v>
      </c>
      <c r="C10735" t="s">
        <v>208</v>
      </c>
      <c r="D10735">
        <v>0</v>
      </c>
      <c r="E10735">
        <v>0</v>
      </c>
      <c r="F10735">
        <v>0</v>
      </c>
      <c r="G10735">
        <v>0</v>
      </c>
    </row>
    <row r="10736" spans="1:7">
      <c r="A10736" t="s">
        <v>1876</v>
      </c>
      <c r="B10736" t="s">
        <v>380</v>
      </c>
      <c r="C10736" t="s">
        <v>209</v>
      </c>
      <c r="D10736">
        <v>6634</v>
      </c>
      <c r="E10736">
        <v>5752</v>
      </c>
      <c r="F10736">
        <v>4500</v>
      </c>
      <c r="G10736">
        <v>5481</v>
      </c>
    </row>
    <row r="10737" spans="1:7">
      <c r="A10737" t="s">
        <v>1876</v>
      </c>
      <c r="B10737" t="s">
        <v>380</v>
      </c>
      <c r="C10737" t="s">
        <v>210</v>
      </c>
      <c r="D10737">
        <v>0</v>
      </c>
      <c r="E10737">
        <v>0</v>
      </c>
      <c r="F10737">
        <v>0</v>
      </c>
      <c r="G10737">
        <v>0</v>
      </c>
    </row>
    <row r="10738" spans="1:7">
      <c r="A10738" t="s">
        <v>1876</v>
      </c>
      <c r="B10738" t="s">
        <v>380</v>
      </c>
      <c r="C10738" t="s">
        <v>211</v>
      </c>
      <c r="D10738">
        <v>0</v>
      </c>
      <c r="E10738">
        <v>0</v>
      </c>
      <c r="F10738">
        <v>0</v>
      </c>
      <c r="G10738">
        <v>0</v>
      </c>
    </row>
    <row r="10739" spans="1:7">
      <c r="A10739" t="s">
        <v>1876</v>
      </c>
      <c r="B10739" t="s">
        <v>380</v>
      </c>
      <c r="C10739" t="s">
        <v>212</v>
      </c>
      <c r="D10739">
        <v>0</v>
      </c>
      <c r="E10739">
        <v>0</v>
      </c>
      <c r="F10739">
        <v>0</v>
      </c>
      <c r="G10739">
        <v>0</v>
      </c>
    </row>
    <row r="10740" spans="1:7">
      <c r="A10740" t="s">
        <v>1876</v>
      </c>
      <c r="B10740" t="s">
        <v>380</v>
      </c>
      <c r="C10740" t="s">
        <v>213</v>
      </c>
      <c r="D10740">
        <v>0</v>
      </c>
      <c r="E10740">
        <v>0</v>
      </c>
      <c r="F10740">
        <v>0</v>
      </c>
      <c r="G10740">
        <v>0</v>
      </c>
    </row>
    <row r="10741" spans="1:7">
      <c r="A10741" t="s">
        <v>1876</v>
      </c>
      <c r="B10741" t="s">
        <v>380</v>
      </c>
      <c r="C10741" t="s">
        <v>214</v>
      </c>
      <c r="D10741">
        <v>0</v>
      </c>
      <c r="E10741">
        <v>0</v>
      </c>
      <c r="F10741">
        <v>0</v>
      </c>
      <c r="G10741">
        <v>0</v>
      </c>
    </row>
    <row r="10742" spans="1:7">
      <c r="A10742" t="s">
        <v>1876</v>
      </c>
      <c r="B10742" t="s">
        <v>380</v>
      </c>
      <c r="C10742" t="s">
        <v>215</v>
      </c>
      <c r="D10742">
        <v>65473</v>
      </c>
      <c r="E10742">
        <v>77524</v>
      </c>
      <c r="F10742">
        <v>78938</v>
      </c>
      <c r="G10742">
        <v>78672</v>
      </c>
    </row>
    <row r="10743" spans="1:7">
      <c r="A10743" t="s">
        <v>1876</v>
      </c>
      <c r="B10743" t="s">
        <v>380</v>
      </c>
      <c r="C10743" t="s">
        <v>216</v>
      </c>
      <c r="D10743">
        <v>65473</v>
      </c>
      <c r="E10743">
        <v>77524</v>
      </c>
      <c r="F10743">
        <v>78938</v>
      </c>
      <c r="G10743">
        <v>78672</v>
      </c>
    </row>
    <row r="10744" spans="1:7">
      <c r="A10744" t="s">
        <v>1876</v>
      </c>
      <c r="B10744" t="s">
        <v>380</v>
      </c>
      <c r="C10744" t="s">
        <v>217</v>
      </c>
      <c r="D10744">
        <v>65473</v>
      </c>
      <c r="E10744">
        <v>77524</v>
      </c>
      <c r="F10744">
        <v>78938</v>
      </c>
      <c r="G10744">
        <v>78672</v>
      </c>
    </row>
    <row r="10745" spans="1:7">
      <c r="A10745" t="s">
        <v>1876</v>
      </c>
      <c r="B10745" t="s">
        <v>380</v>
      </c>
      <c r="C10745" t="s">
        <v>218</v>
      </c>
      <c r="D10745">
        <v>5</v>
      </c>
      <c r="E10745">
        <v>4</v>
      </c>
      <c r="F10745">
        <v>9</v>
      </c>
      <c r="G10745">
        <v>6</v>
      </c>
    </row>
    <row r="10746" spans="1:7">
      <c r="A10746" t="s">
        <v>1876</v>
      </c>
      <c r="B10746" t="s">
        <v>380</v>
      </c>
      <c r="C10746" t="s">
        <v>219</v>
      </c>
      <c r="D10746">
        <v>0</v>
      </c>
      <c r="E10746">
        <v>0</v>
      </c>
      <c r="F10746">
        <v>1</v>
      </c>
      <c r="G10746">
        <v>0</v>
      </c>
    </row>
    <row r="10747" spans="1:7">
      <c r="A10747" t="s">
        <v>1876</v>
      </c>
      <c r="B10747" t="s">
        <v>380</v>
      </c>
      <c r="C10747" t="s">
        <v>220</v>
      </c>
      <c r="D10747">
        <v>3</v>
      </c>
      <c r="E10747">
        <v>2</v>
      </c>
      <c r="F10747">
        <v>5</v>
      </c>
      <c r="G10747">
        <v>3</v>
      </c>
    </row>
    <row r="10748" spans="1:7">
      <c r="A10748" t="s">
        <v>1876</v>
      </c>
      <c r="B10748" t="s">
        <v>380</v>
      </c>
      <c r="C10748" t="s">
        <v>221</v>
      </c>
      <c r="D10748">
        <v>7</v>
      </c>
      <c r="E10748">
        <v>7</v>
      </c>
      <c r="F10748">
        <v>14</v>
      </c>
      <c r="G10748">
        <v>10</v>
      </c>
    </row>
    <row r="10749" spans="1:7">
      <c r="A10749" t="s">
        <v>1876</v>
      </c>
      <c r="B10749" t="s">
        <v>380</v>
      </c>
      <c r="C10749" t="s">
        <v>222</v>
      </c>
      <c r="D10749">
        <v>7</v>
      </c>
      <c r="E10749">
        <v>7</v>
      </c>
      <c r="F10749">
        <v>14</v>
      </c>
      <c r="G10749">
        <v>10</v>
      </c>
    </row>
    <row r="10750" spans="1:7">
      <c r="A10750" t="s">
        <v>1876</v>
      </c>
      <c r="B10750" t="s">
        <v>380</v>
      </c>
      <c r="C10750" t="s">
        <v>1933</v>
      </c>
      <c r="D10750">
        <v>2314.4</v>
      </c>
      <c r="E10750">
        <v>2340</v>
      </c>
      <c r="F10750">
        <v>2357</v>
      </c>
      <c r="G10750">
        <v>2403.9</v>
      </c>
    </row>
    <row r="10751" spans="1:7">
      <c r="A10751" t="s">
        <v>1876</v>
      </c>
      <c r="B10751" t="s">
        <v>380</v>
      </c>
      <c r="C10751" t="s">
        <v>223</v>
      </c>
      <c r="D10751">
        <v>19</v>
      </c>
      <c r="E10751">
        <v>25</v>
      </c>
      <c r="F10751">
        <v>23</v>
      </c>
      <c r="G10751">
        <v>24</v>
      </c>
    </row>
    <row r="10752" spans="1:7">
      <c r="A10752" t="s">
        <v>1876</v>
      </c>
      <c r="B10752" t="s">
        <v>380</v>
      </c>
      <c r="C10752" t="s">
        <v>224</v>
      </c>
      <c r="D10752">
        <v>44579</v>
      </c>
      <c r="E10752">
        <v>42905</v>
      </c>
      <c r="F10752">
        <v>39221</v>
      </c>
      <c r="G10752">
        <v>44381</v>
      </c>
    </row>
    <row r="10753" spans="1:7">
      <c r="A10753" t="s">
        <v>1876</v>
      </c>
      <c r="B10753" t="s">
        <v>380</v>
      </c>
      <c r="C10753" t="s">
        <v>225</v>
      </c>
      <c r="D10753">
        <v>44818</v>
      </c>
      <c r="E10753">
        <v>43426</v>
      </c>
      <c r="F10753">
        <v>39220</v>
      </c>
      <c r="G10753">
        <v>36621</v>
      </c>
    </row>
    <row r="10754" spans="1:7">
      <c r="A10754" t="s">
        <v>1876</v>
      </c>
      <c r="B10754" t="s">
        <v>380</v>
      </c>
      <c r="C10754" t="s">
        <v>226</v>
      </c>
      <c r="D10754">
        <v>52120</v>
      </c>
      <c r="E10754">
        <v>49392</v>
      </c>
      <c r="F10754">
        <v>42843</v>
      </c>
      <c r="G10754">
        <v>45539</v>
      </c>
    </row>
    <row r="10755" spans="1:7">
      <c r="A10755" t="s">
        <v>1876</v>
      </c>
      <c r="B10755" t="s">
        <v>380</v>
      </c>
      <c r="C10755" t="s">
        <v>227</v>
      </c>
      <c r="D10755">
        <v>141536</v>
      </c>
      <c r="E10755">
        <v>135747</v>
      </c>
      <c r="F10755">
        <v>121307</v>
      </c>
      <c r="G10755">
        <v>126565</v>
      </c>
    </row>
    <row r="10756" spans="1:7">
      <c r="A10756" t="s">
        <v>1876</v>
      </c>
      <c r="B10756" t="s">
        <v>380</v>
      </c>
      <c r="C10756" t="s">
        <v>228</v>
      </c>
      <c r="D10756">
        <v>141536</v>
      </c>
      <c r="E10756">
        <v>135747</v>
      </c>
      <c r="F10756">
        <v>121307</v>
      </c>
      <c r="G10756">
        <v>126565</v>
      </c>
    </row>
    <row r="10757" spans="1:7">
      <c r="A10757" t="s">
        <v>1876</v>
      </c>
      <c r="B10757" t="s">
        <v>380</v>
      </c>
      <c r="C10757" t="s">
        <v>229</v>
      </c>
      <c r="D10757">
        <v>1023</v>
      </c>
      <c r="E10757">
        <v>1102</v>
      </c>
      <c r="F10757">
        <v>753</v>
      </c>
      <c r="G10757">
        <v>763</v>
      </c>
    </row>
    <row r="10758" spans="1:7">
      <c r="A10758" t="s">
        <v>1876</v>
      </c>
      <c r="B10758" t="s">
        <v>380</v>
      </c>
      <c r="C10758" t="s">
        <v>230</v>
      </c>
      <c r="D10758">
        <v>1005</v>
      </c>
      <c r="E10758">
        <v>1032</v>
      </c>
      <c r="F10758">
        <v>755</v>
      </c>
      <c r="G10758">
        <v>699</v>
      </c>
    </row>
    <row r="10759" spans="1:7">
      <c r="A10759" t="s">
        <v>1876</v>
      </c>
      <c r="B10759" t="s">
        <v>380</v>
      </c>
      <c r="C10759" t="s">
        <v>231</v>
      </c>
      <c r="D10759">
        <v>2029</v>
      </c>
      <c r="E10759">
        <v>2134</v>
      </c>
      <c r="F10759">
        <v>1508</v>
      </c>
      <c r="G10759">
        <v>1461</v>
      </c>
    </row>
    <row r="10760" spans="1:7">
      <c r="A10760" t="s">
        <v>1876</v>
      </c>
      <c r="B10760" t="s">
        <v>380</v>
      </c>
      <c r="C10760" t="s">
        <v>232</v>
      </c>
      <c r="D10760">
        <v>2029</v>
      </c>
      <c r="E10760">
        <v>2134</v>
      </c>
      <c r="F10760">
        <v>1508</v>
      </c>
      <c r="G10760">
        <v>1461</v>
      </c>
    </row>
    <row r="10761" spans="1:7">
      <c r="A10761" t="s">
        <v>1876</v>
      </c>
      <c r="B10761" t="s">
        <v>380</v>
      </c>
      <c r="C10761" t="s">
        <v>233</v>
      </c>
      <c r="D10761">
        <v>0</v>
      </c>
      <c r="E10761">
        <v>0</v>
      </c>
      <c r="F10761">
        <v>0</v>
      </c>
      <c r="G10761">
        <v>0</v>
      </c>
    </row>
    <row r="10762" spans="1:7">
      <c r="A10762" t="s">
        <v>1876</v>
      </c>
      <c r="B10762" t="s">
        <v>380</v>
      </c>
      <c r="C10762" t="s">
        <v>234</v>
      </c>
      <c r="D10762">
        <v>135545</v>
      </c>
      <c r="E10762">
        <v>139545</v>
      </c>
      <c r="F10762">
        <v>132916</v>
      </c>
      <c r="G10762">
        <v>135671</v>
      </c>
    </row>
    <row r="10763" spans="1:7">
      <c r="A10763" t="s">
        <v>1876</v>
      </c>
      <c r="B10763" t="s">
        <v>380</v>
      </c>
      <c r="C10763" t="s">
        <v>235</v>
      </c>
      <c r="D10763">
        <v>4464</v>
      </c>
      <c r="E10763">
        <v>4647</v>
      </c>
      <c r="F10763">
        <v>4643</v>
      </c>
      <c r="G10763">
        <v>4099</v>
      </c>
    </row>
    <row r="10764" spans="1:7">
      <c r="A10764" t="s">
        <v>1876</v>
      </c>
      <c r="B10764" t="s">
        <v>380</v>
      </c>
      <c r="C10764" t="s">
        <v>236</v>
      </c>
      <c r="D10764">
        <v>2264</v>
      </c>
      <c r="E10764">
        <v>2386</v>
      </c>
      <c r="F10764">
        <v>2410</v>
      </c>
      <c r="G10764">
        <v>2193</v>
      </c>
    </row>
    <row r="10765" spans="1:7">
      <c r="A10765" t="s">
        <v>1876</v>
      </c>
      <c r="B10765" t="s">
        <v>380</v>
      </c>
      <c r="C10765" t="s">
        <v>237</v>
      </c>
      <c r="D10765">
        <v>142273</v>
      </c>
      <c r="E10765">
        <v>146578</v>
      </c>
      <c r="F10765">
        <v>139968</v>
      </c>
      <c r="G10765">
        <v>141963</v>
      </c>
    </row>
    <row r="10766" spans="1:7">
      <c r="A10766" t="s">
        <v>1876</v>
      </c>
      <c r="B10766" t="s">
        <v>380</v>
      </c>
      <c r="C10766" t="s">
        <v>238</v>
      </c>
      <c r="D10766">
        <v>142273</v>
      </c>
      <c r="E10766">
        <v>146578</v>
      </c>
      <c r="F10766">
        <v>139968</v>
      </c>
      <c r="G10766">
        <v>141963</v>
      </c>
    </row>
    <row r="10767" spans="1:7">
      <c r="A10767" t="s">
        <v>1876</v>
      </c>
      <c r="B10767" t="s">
        <v>380</v>
      </c>
      <c r="C10767" t="s">
        <v>1934</v>
      </c>
      <c r="D10767">
        <v>125576</v>
      </c>
      <c r="E10767">
        <v>129245</v>
      </c>
      <c r="F10767">
        <v>123110</v>
      </c>
      <c r="G10767">
        <v>125703</v>
      </c>
    </row>
    <row r="10768" spans="1:7">
      <c r="A10768" t="s">
        <v>1876</v>
      </c>
      <c r="B10768" t="s">
        <v>380</v>
      </c>
      <c r="C10768" t="s">
        <v>1935</v>
      </c>
      <c r="D10768">
        <v>4136</v>
      </c>
      <c r="E10768">
        <v>4304</v>
      </c>
      <c r="F10768">
        <v>4300</v>
      </c>
      <c r="G10768">
        <v>3798</v>
      </c>
    </row>
    <row r="10769" spans="1:7">
      <c r="A10769" t="s">
        <v>1876</v>
      </c>
      <c r="B10769" t="s">
        <v>380</v>
      </c>
      <c r="C10769" t="s">
        <v>1936</v>
      </c>
      <c r="D10769">
        <v>2097</v>
      </c>
      <c r="E10769">
        <v>2210</v>
      </c>
      <c r="F10769">
        <v>2232</v>
      </c>
      <c r="G10769">
        <v>2032</v>
      </c>
    </row>
    <row r="10770" spans="1:7">
      <c r="A10770" t="s">
        <v>1876</v>
      </c>
      <c r="B10770" t="s">
        <v>380</v>
      </c>
      <c r="C10770" t="s">
        <v>239</v>
      </c>
      <c r="D10770">
        <v>131810</v>
      </c>
      <c r="E10770">
        <v>135759</v>
      </c>
      <c r="F10770">
        <v>129642</v>
      </c>
      <c r="G10770">
        <v>131533</v>
      </c>
    </row>
    <row r="10771" spans="1:7">
      <c r="A10771" t="s">
        <v>1876</v>
      </c>
      <c r="B10771" t="s">
        <v>380</v>
      </c>
      <c r="C10771" t="s">
        <v>240</v>
      </c>
      <c r="D10771">
        <v>0</v>
      </c>
      <c r="E10771">
        <v>125</v>
      </c>
      <c r="F10771">
        <v>120</v>
      </c>
      <c r="G10771">
        <v>118</v>
      </c>
    </row>
    <row r="10772" spans="1:7">
      <c r="A10772" t="s">
        <v>1876</v>
      </c>
      <c r="B10772" t="s">
        <v>380</v>
      </c>
      <c r="C10772" t="s">
        <v>241</v>
      </c>
      <c r="D10772">
        <v>0</v>
      </c>
      <c r="E10772">
        <v>0</v>
      </c>
      <c r="F10772">
        <v>0</v>
      </c>
      <c r="G10772">
        <v>0</v>
      </c>
    </row>
    <row r="10773" spans="1:7">
      <c r="A10773" t="s">
        <v>1876</v>
      </c>
      <c r="B10773" t="s">
        <v>380</v>
      </c>
      <c r="C10773" t="s">
        <v>242</v>
      </c>
      <c r="D10773">
        <v>4778</v>
      </c>
      <c r="E10773">
        <v>4889</v>
      </c>
      <c r="F10773">
        <v>5401</v>
      </c>
      <c r="G10773">
        <v>4310</v>
      </c>
    </row>
    <row r="10774" spans="1:7">
      <c r="A10774" t="s">
        <v>1876</v>
      </c>
      <c r="B10774" t="s">
        <v>380</v>
      </c>
      <c r="C10774" t="s">
        <v>243</v>
      </c>
      <c r="D10774">
        <v>31848</v>
      </c>
      <c r="E10774">
        <v>34171</v>
      </c>
      <c r="F10774">
        <v>35503</v>
      </c>
      <c r="G10774">
        <v>33536</v>
      </c>
    </row>
    <row r="10775" spans="1:7">
      <c r="A10775" t="s">
        <v>1876</v>
      </c>
      <c r="B10775" t="s">
        <v>380</v>
      </c>
      <c r="C10775" t="s">
        <v>244</v>
      </c>
      <c r="D10775">
        <v>203924</v>
      </c>
      <c r="E10775">
        <v>194925</v>
      </c>
      <c r="F10775">
        <v>186068</v>
      </c>
      <c r="G10775">
        <v>190735</v>
      </c>
    </row>
    <row r="10776" spans="1:7">
      <c r="A10776" t="s">
        <v>1876</v>
      </c>
      <c r="B10776" t="s">
        <v>380</v>
      </c>
      <c r="C10776" t="s">
        <v>1709</v>
      </c>
      <c r="D10776">
        <v>7075</v>
      </c>
      <c r="E10776">
        <v>7333</v>
      </c>
      <c r="F10776">
        <v>7336</v>
      </c>
      <c r="G10776">
        <v>7783</v>
      </c>
    </row>
    <row r="10777" spans="1:7">
      <c r="A10777" t="s">
        <v>1876</v>
      </c>
      <c r="B10777" t="s">
        <v>380</v>
      </c>
      <c r="C10777" t="s">
        <v>245</v>
      </c>
      <c r="D10777">
        <v>18196</v>
      </c>
      <c r="E10777">
        <v>19197</v>
      </c>
      <c r="F10777">
        <v>21830</v>
      </c>
      <c r="G10777">
        <v>21072</v>
      </c>
    </row>
    <row r="10778" spans="1:7">
      <c r="A10778" t="s">
        <v>1876</v>
      </c>
      <c r="B10778" t="s">
        <v>380</v>
      </c>
      <c r="C10778" t="s">
        <v>246</v>
      </c>
      <c r="D10778">
        <v>46467</v>
      </c>
      <c r="E10778">
        <v>49133</v>
      </c>
      <c r="F10778">
        <v>52853</v>
      </c>
      <c r="G10778">
        <v>45995</v>
      </c>
    </row>
    <row r="10779" spans="1:7">
      <c r="A10779" t="s">
        <v>1876</v>
      </c>
      <c r="B10779" t="s">
        <v>380</v>
      </c>
      <c r="C10779" t="s">
        <v>247</v>
      </c>
      <c r="D10779">
        <v>305212</v>
      </c>
      <c r="E10779">
        <v>302315</v>
      </c>
      <c r="F10779">
        <v>301655</v>
      </c>
      <c r="G10779">
        <v>295646</v>
      </c>
    </row>
    <row r="10780" spans="1:7">
      <c r="A10780" t="s">
        <v>1876</v>
      </c>
      <c r="B10780" t="s">
        <v>380</v>
      </c>
      <c r="C10780" t="s">
        <v>248</v>
      </c>
      <c r="D10780">
        <v>96.9</v>
      </c>
      <c r="E10780">
        <v>95.1</v>
      </c>
      <c r="F10780">
        <v>93.9</v>
      </c>
      <c r="G10780">
        <v>90.9</v>
      </c>
    </row>
    <row r="10781" spans="1:7">
      <c r="A10781" t="s">
        <v>1876</v>
      </c>
      <c r="B10781" t="s">
        <v>380</v>
      </c>
      <c r="C10781" t="s">
        <v>249</v>
      </c>
      <c r="D10781">
        <v>101288</v>
      </c>
      <c r="E10781">
        <v>107390</v>
      </c>
      <c r="F10781">
        <v>115588</v>
      </c>
      <c r="G10781">
        <v>104912</v>
      </c>
    </row>
    <row r="10782" spans="1:7">
      <c r="A10782" t="s">
        <v>1876</v>
      </c>
      <c r="B10782" t="s">
        <v>380</v>
      </c>
      <c r="C10782" t="s">
        <v>250</v>
      </c>
      <c r="D10782">
        <v>305212</v>
      </c>
      <c r="E10782">
        <v>302315</v>
      </c>
      <c r="F10782">
        <v>301655</v>
      </c>
      <c r="G10782">
        <v>295646</v>
      </c>
    </row>
    <row r="10783" spans="1:7">
      <c r="A10783" t="s">
        <v>1876</v>
      </c>
      <c r="B10783" t="s">
        <v>380</v>
      </c>
      <c r="C10783" t="s">
        <v>1937</v>
      </c>
      <c r="D10783">
        <v>6.6</v>
      </c>
      <c r="E10783">
        <v>6.7</v>
      </c>
      <c r="F10783">
        <v>5.2</v>
      </c>
      <c r="G10783">
        <v>4.4000000000000004</v>
      </c>
    </row>
    <row r="10784" spans="1:7">
      <c r="A10784" t="s">
        <v>1876</v>
      </c>
      <c r="B10784" t="s">
        <v>380</v>
      </c>
      <c r="C10784" t="s">
        <v>1938</v>
      </c>
      <c r="D10784">
        <v>0</v>
      </c>
      <c r="E10784">
        <v>0</v>
      </c>
      <c r="F10784">
        <v>0</v>
      </c>
      <c r="G10784">
        <v>0</v>
      </c>
    </row>
    <row r="10785" spans="1:7">
      <c r="A10785" t="s">
        <v>1876</v>
      </c>
      <c r="B10785" t="s">
        <v>380</v>
      </c>
      <c r="C10785" t="s">
        <v>251</v>
      </c>
      <c r="D10785">
        <v>0</v>
      </c>
      <c r="E10785">
        <v>0</v>
      </c>
      <c r="F10785">
        <v>0</v>
      </c>
      <c r="G10785">
        <v>0</v>
      </c>
    </row>
    <row r="10786" spans="1:7">
      <c r="A10786" t="s">
        <v>1876</v>
      </c>
      <c r="B10786" t="s">
        <v>380</v>
      </c>
      <c r="C10786" t="s">
        <v>252</v>
      </c>
      <c r="D10786">
        <v>0</v>
      </c>
      <c r="E10786">
        <v>0</v>
      </c>
      <c r="F10786">
        <v>0</v>
      </c>
      <c r="G10786">
        <v>0</v>
      </c>
    </row>
    <row r="10787" spans="1:7">
      <c r="A10787" t="s">
        <v>1876</v>
      </c>
      <c r="B10787" t="s">
        <v>380</v>
      </c>
      <c r="C10787" t="s">
        <v>1710</v>
      </c>
      <c r="D10787">
        <v>0</v>
      </c>
      <c r="E10787">
        <v>0</v>
      </c>
      <c r="F10787">
        <v>0</v>
      </c>
      <c r="G10787">
        <v>0</v>
      </c>
    </row>
    <row r="10788" spans="1:7">
      <c r="A10788" t="s">
        <v>1876</v>
      </c>
      <c r="B10788" t="s">
        <v>380</v>
      </c>
      <c r="C10788" t="s">
        <v>1939</v>
      </c>
      <c r="D10788">
        <v>20.6</v>
      </c>
      <c r="E10788">
        <v>20.5</v>
      </c>
      <c r="F10788">
        <v>15.6</v>
      </c>
      <c r="G10788">
        <v>18.600000000000001</v>
      </c>
    </row>
    <row r="10789" spans="1:7">
      <c r="A10789" t="s">
        <v>1876</v>
      </c>
      <c r="B10789" t="s">
        <v>380</v>
      </c>
      <c r="C10789" t="s">
        <v>253</v>
      </c>
      <c r="D10789">
        <v>0</v>
      </c>
      <c r="E10789">
        <v>0</v>
      </c>
      <c r="F10789">
        <v>0</v>
      </c>
      <c r="G10789">
        <v>0</v>
      </c>
    </row>
    <row r="10790" spans="1:7">
      <c r="A10790" t="s">
        <v>1876</v>
      </c>
      <c r="B10790" t="s">
        <v>380</v>
      </c>
      <c r="C10790" t="s">
        <v>1711</v>
      </c>
      <c r="D10790">
        <v>0</v>
      </c>
      <c r="E10790">
        <v>0</v>
      </c>
      <c r="F10790">
        <v>0</v>
      </c>
      <c r="G10790">
        <v>0</v>
      </c>
    </row>
    <row r="10791" spans="1:7">
      <c r="A10791" t="s">
        <v>1876</v>
      </c>
      <c r="B10791" t="s">
        <v>380</v>
      </c>
      <c r="C10791" t="s">
        <v>1712</v>
      </c>
      <c r="D10791">
        <v>1151</v>
      </c>
      <c r="E10791">
        <v>888</v>
      </c>
      <c r="F10791">
        <v>881</v>
      </c>
      <c r="G10791">
        <v>785</v>
      </c>
    </row>
    <row r="10792" spans="1:7">
      <c r="A10792" t="s">
        <v>1876</v>
      </c>
      <c r="B10792" t="s">
        <v>380</v>
      </c>
      <c r="C10792" t="s">
        <v>1713</v>
      </c>
      <c r="D10792">
        <v>32</v>
      </c>
      <c r="E10792">
        <v>33</v>
      </c>
      <c r="F10792">
        <v>32</v>
      </c>
      <c r="G10792">
        <v>35</v>
      </c>
    </row>
    <row r="10793" spans="1:7">
      <c r="A10793" t="s">
        <v>1876</v>
      </c>
      <c r="B10793" t="s">
        <v>380</v>
      </c>
      <c r="C10793" t="s">
        <v>1940</v>
      </c>
      <c r="D10793">
        <v>0</v>
      </c>
      <c r="E10793">
        <v>0</v>
      </c>
      <c r="F10793">
        <v>0</v>
      </c>
      <c r="G10793">
        <v>0</v>
      </c>
    </row>
    <row r="10794" spans="1:7">
      <c r="A10794" t="s">
        <v>1876</v>
      </c>
      <c r="B10794" t="s">
        <v>380</v>
      </c>
      <c r="C10794" t="s">
        <v>1941</v>
      </c>
      <c r="D10794">
        <v>0</v>
      </c>
      <c r="E10794">
        <v>0</v>
      </c>
      <c r="F10794">
        <v>0</v>
      </c>
      <c r="G10794">
        <v>0</v>
      </c>
    </row>
    <row r="10795" spans="1:7">
      <c r="A10795" t="s">
        <v>1876</v>
      </c>
      <c r="B10795" t="s">
        <v>380</v>
      </c>
      <c r="C10795" t="s">
        <v>254</v>
      </c>
      <c r="D10795">
        <v>1151</v>
      </c>
      <c r="E10795">
        <v>888</v>
      </c>
      <c r="F10795">
        <v>881</v>
      </c>
      <c r="G10795">
        <v>785</v>
      </c>
    </row>
    <row r="10796" spans="1:7">
      <c r="A10796" t="s">
        <v>1876</v>
      </c>
      <c r="B10796" t="s">
        <v>380</v>
      </c>
      <c r="C10796" t="s">
        <v>1942</v>
      </c>
      <c r="D10796">
        <v>0</v>
      </c>
      <c r="E10796">
        <v>0</v>
      </c>
      <c r="F10796">
        <v>0</v>
      </c>
      <c r="G10796">
        <v>0</v>
      </c>
    </row>
    <row r="10797" spans="1:7">
      <c r="A10797" t="s">
        <v>1876</v>
      </c>
      <c r="B10797" t="s">
        <v>380</v>
      </c>
      <c r="C10797" t="s">
        <v>255</v>
      </c>
      <c r="D10797">
        <v>1183</v>
      </c>
      <c r="E10797">
        <v>921</v>
      </c>
      <c r="F10797">
        <v>913</v>
      </c>
      <c r="G10797">
        <v>820</v>
      </c>
    </row>
    <row r="10798" spans="1:7">
      <c r="A10798" t="s">
        <v>1876</v>
      </c>
      <c r="B10798" t="s">
        <v>380</v>
      </c>
      <c r="C10798" t="s">
        <v>256</v>
      </c>
      <c r="D10798">
        <v>1183</v>
      </c>
      <c r="E10798">
        <v>921</v>
      </c>
      <c r="F10798">
        <v>913</v>
      </c>
      <c r="G10798">
        <v>820</v>
      </c>
    </row>
    <row r="10799" spans="1:7">
      <c r="A10799" t="s">
        <v>1876</v>
      </c>
      <c r="B10799" t="s">
        <v>380</v>
      </c>
      <c r="C10799" t="s">
        <v>1714</v>
      </c>
      <c r="D10799">
        <v>7</v>
      </c>
      <c r="E10799">
        <v>7</v>
      </c>
      <c r="F10799">
        <v>7</v>
      </c>
      <c r="G10799">
        <v>7</v>
      </c>
    </row>
    <row r="10800" spans="1:7">
      <c r="A10800" t="s">
        <v>1876</v>
      </c>
      <c r="B10800" t="s">
        <v>380</v>
      </c>
      <c r="C10800" t="s">
        <v>257</v>
      </c>
      <c r="D10800">
        <v>10161</v>
      </c>
      <c r="E10800">
        <v>9964</v>
      </c>
      <c r="F10800">
        <v>9347</v>
      </c>
      <c r="G10800">
        <v>9478</v>
      </c>
    </row>
    <row r="10801" spans="1:7">
      <c r="A10801" t="s">
        <v>1876</v>
      </c>
      <c r="B10801" t="s">
        <v>380</v>
      </c>
      <c r="C10801" t="s">
        <v>258</v>
      </c>
      <c r="D10801">
        <v>11448</v>
      </c>
      <c r="E10801">
        <v>11338</v>
      </c>
      <c r="F10801">
        <v>10367</v>
      </c>
      <c r="G10801">
        <v>10522</v>
      </c>
    </row>
    <row r="10802" spans="1:7">
      <c r="A10802" t="s">
        <v>1876</v>
      </c>
      <c r="B10802" t="s">
        <v>380</v>
      </c>
      <c r="C10802" t="s">
        <v>259</v>
      </c>
      <c r="D10802">
        <v>11448</v>
      </c>
      <c r="E10802">
        <v>11338</v>
      </c>
      <c r="F10802">
        <v>10367</v>
      </c>
      <c r="G10802">
        <v>10522</v>
      </c>
    </row>
    <row r="10803" spans="1:7">
      <c r="A10803" t="s">
        <v>1876</v>
      </c>
      <c r="B10803" t="s">
        <v>380</v>
      </c>
      <c r="C10803" t="s">
        <v>260</v>
      </c>
      <c r="D10803">
        <v>255359</v>
      </c>
      <c r="E10803">
        <v>271465</v>
      </c>
      <c r="F10803">
        <v>261825</v>
      </c>
      <c r="G10803">
        <v>267394</v>
      </c>
    </row>
    <row r="10804" spans="1:7">
      <c r="A10804" t="s">
        <v>1876</v>
      </c>
      <c r="B10804" t="s">
        <v>380</v>
      </c>
      <c r="C10804" t="s">
        <v>1943</v>
      </c>
      <c r="D10804">
        <v>0</v>
      </c>
      <c r="E10804">
        <v>0</v>
      </c>
      <c r="F10804">
        <v>0</v>
      </c>
      <c r="G10804">
        <v>0</v>
      </c>
    </row>
    <row r="10805" spans="1:7">
      <c r="A10805" t="s">
        <v>1876</v>
      </c>
      <c r="B10805" t="s">
        <v>380</v>
      </c>
      <c r="C10805" t="s">
        <v>261</v>
      </c>
      <c r="D10805">
        <v>8494</v>
      </c>
      <c r="E10805">
        <v>8728</v>
      </c>
      <c r="F10805">
        <v>8874</v>
      </c>
      <c r="G10805">
        <v>8122</v>
      </c>
    </row>
    <row r="10806" spans="1:7">
      <c r="A10806" t="s">
        <v>1876</v>
      </c>
      <c r="B10806" t="s">
        <v>380</v>
      </c>
      <c r="C10806" t="s">
        <v>262</v>
      </c>
      <c r="D10806">
        <v>92</v>
      </c>
      <c r="E10806">
        <v>110</v>
      </c>
      <c r="F10806">
        <v>103</v>
      </c>
      <c r="G10806">
        <v>72</v>
      </c>
    </row>
    <row r="10807" spans="1:7">
      <c r="A10807" t="s">
        <v>1876</v>
      </c>
      <c r="B10807" t="s">
        <v>380</v>
      </c>
      <c r="C10807" t="s">
        <v>1715</v>
      </c>
      <c r="D10807">
        <v>6</v>
      </c>
      <c r="E10807">
        <v>6</v>
      </c>
      <c r="F10807">
        <v>6</v>
      </c>
      <c r="G10807">
        <v>6</v>
      </c>
    </row>
    <row r="10808" spans="1:7">
      <c r="A10808" t="s">
        <v>1876</v>
      </c>
      <c r="B10808" t="s">
        <v>380</v>
      </c>
      <c r="C10808" t="s">
        <v>263</v>
      </c>
      <c r="D10808">
        <v>30654</v>
      </c>
      <c r="E10808">
        <v>31374</v>
      </c>
      <c r="F10808">
        <v>29804</v>
      </c>
      <c r="G10808">
        <v>29638</v>
      </c>
    </row>
    <row r="10809" spans="1:7">
      <c r="A10809" t="s">
        <v>1876</v>
      </c>
      <c r="B10809" t="s">
        <v>380</v>
      </c>
      <c r="C10809" t="s">
        <v>264</v>
      </c>
      <c r="D10809">
        <v>2535</v>
      </c>
      <c r="E10809">
        <v>2487</v>
      </c>
      <c r="F10809">
        <v>2865</v>
      </c>
      <c r="G10809">
        <v>2205</v>
      </c>
    </row>
    <row r="10810" spans="1:7">
      <c r="A10810" t="s">
        <v>1876</v>
      </c>
      <c r="B10810" t="s">
        <v>380</v>
      </c>
      <c r="C10810" t="s">
        <v>265</v>
      </c>
      <c r="D10810">
        <v>297134</v>
      </c>
      <c r="E10810">
        <v>314164</v>
      </c>
      <c r="F10810">
        <v>303472</v>
      </c>
      <c r="G10810">
        <v>307433</v>
      </c>
    </row>
    <row r="10811" spans="1:7">
      <c r="A10811" t="s">
        <v>1876</v>
      </c>
      <c r="B10811" t="s">
        <v>380</v>
      </c>
      <c r="C10811" t="s">
        <v>266</v>
      </c>
      <c r="D10811">
        <v>94.4</v>
      </c>
      <c r="E10811">
        <v>98.9</v>
      </c>
      <c r="F10811">
        <v>94.5</v>
      </c>
      <c r="G10811">
        <v>94.5</v>
      </c>
    </row>
    <row r="10812" spans="1:7">
      <c r="A10812" t="s">
        <v>1876</v>
      </c>
      <c r="B10812" t="s">
        <v>380</v>
      </c>
      <c r="C10812" t="s">
        <v>267</v>
      </c>
      <c r="D10812">
        <v>297042</v>
      </c>
      <c r="E10812">
        <v>314054</v>
      </c>
      <c r="F10812">
        <v>303369</v>
      </c>
      <c r="G10812">
        <v>307360</v>
      </c>
    </row>
    <row r="10813" spans="1:7">
      <c r="A10813" t="s">
        <v>1876</v>
      </c>
      <c r="B10813" t="s">
        <v>380</v>
      </c>
      <c r="C10813" t="s">
        <v>268</v>
      </c>
      <c r="D10813">
        <v>0</v>
      </c>
      <c r="E10813">
        <v>0</v>
      </c>
      <c r="F10813">
        <v>0</v>
      </c>
      <c r="G10813">
        <v>0</v>
      </c>
    </row>
    <row r="10814" spans="1:7">
      <c r="A10814" t="s">
        <v>1876</v>
      </c>
      <c r="B10814" t="s">
        <v>380</v>
      </c>
      <c r="C10814" t="s">
        <v>269</v>
      </c>
      <c r="D10814">
        <v>0</v>
      </c>
      <c r="E10814">
        <v>0</v>
      </c>
      <c r="F10814">
        <v>0</v>
      </c>
      <c r="G10814">
        <v>0</v>
      </c>
    </row>
    <row r="10815" spans="1:7">
      <c r="A10815" t="s">
        <v>1876</v>
      </c>
      <c r="B10815" t="s">
        <v>380</v>
      </c>
      <c r="C10815" t="s">
        <v>270</v>
      </c>
      <c r="D10815">
        <v>0</v>
      </c>
      <c r="E10815">
        <v>0</v>
      </c>
      <c r="F10815">
        <v>0</v>
      </c>
      <c r="G10815">
        <v>0</v>
      </c>
    </row>
    <row r="10816" spans="1:7">
      <c r="A10816" t="s">
        <v>1876</v>
      </c>
      <c r="B10816" t="s">
        <v>380</v>
      </c>
      <c r="C10816" t="s">
        <v>271</v>
      </c>
      <c r="D10816">
        <v>0</v>
      </c>
      <c r="E10816">
        <v>0</v>
      </c>
      <c r="F10816">
        <v>0</v>
      </c>
      <c r="G10816">
        <v>0</v>
      </c>
    </row>
    <row r="10817" spans="1:7">
      <c r="A10817" t="s">
        <v>1876</v>
      </c>
      <c r="B10817" t="s">
        <v>380</v>
      </c>
      <c r="C10817" t="s">
        <v>272</v>
      </c>
      <c r="D10817">
        <v>0</v>
      </c>
      <c r="E10817">
        <v>0</v>
      </c>
      <c r="F10817">
        <v>0</v>
      </c>
      <c r="G10817">
        <v>0</v>
      </c>
    </row>
    <row r="10818" spans="1:7">
      <c r="A10818" t="s">
        <v>1876</v>
      </c>
      <c r="B10818" t="s">
        <v>380</v>
      </c>
      <c r="C10818" t="s">
        <v>1944</v>
      </c>
      <c r="D10818">
        <v>6.1</v>
      </c>
      <c r="E10818">
        <v>8.1</v>
      </c>
      <c r="F10818">
        <v>9.3000000000000007</v>
      </c>
      <c r="G10818">
        <v>12.9</v>
      </c>
    </row>
    <row r="10819" spans="1:7">
      <c r="A10819" t="s">
        <v>1876</v>
      </c>
      <c r="B10819" t="s">
        <v>380</v>
      </c>
      <c r="C10819" t="s">
        <v>1945</v>
      </c>
      <c r="D10819">
        <v>10</v>
      </c>
      <c r="E10819">
        <v>14</v>
      </c>
      <c r="F10819">
        <v>26</v>
      </c>
      <c r="G10819">
        <v>32</v>
      </c>
    </row>
    <row r="10820" spans="1:7">
      <c r="A10820" t="s">
        <v>1876</v>
      </c>
      <c r="B10820" t="s">
        <v>380</v>
      </c>
      <c r="C10820" t="s">
        <v>273</v>
      </c>
      <c r="D10820">
        <v>0</v>
      </c>
      <c r="E10820">
        <v>0</v>
      </c>
      <c r="F10820">
        <v>0</v>
      </c>
      <c r="G10820">
        <v>0</v>
      </c>
    </row>
    <row r="10821" spans="1:7">
      <c r="A10821" t="s">
        <v>1876</v>
      </c>
      <c r="B10821" t="s">
        <v>380</v>
      </c>
      <c r="C10821" t="s">
        <v>1946</v>
      </c>
      <c r="D10821">
        <v>245335</v>
      </c>
      <c r="E10821">
        <v>261110</v>
      </c>
      <c r="F10821">
        <v>251968</v>
      </c>
      <c r="G10821">
        <v>257372</v>
      </c>
    </row>
    <row r="10822" spans="1:7">
      <c r="A10822" t="s">
        <v>1876</v>
      </c>
      <c r="B10822" t="s">
        <v>380</v>
      </c>
      <c r="C10822" t="s">
        <v>1947</v>
      </c>
      <c r="D10822">
        <v>8165</v>
      </c>
      <c r="E10822">
        <v>8385</v>
      </c>
      <c r="F10822">
        <v>8532</v>
      </c>
      <c r="G10822">
        <v>7821</v>
      </c>
    </row>
    <row r="10823" spans="1:7">
      <c r="A10823" t="s">
        <v>1876</v>
      </c>
      <c r="B10823" t="s">
        <v>380</v>
      </c>
      <c r="C10823" t="s">
        <v>1948</v>
      </c>
      <c r="D10823">
        <v>92</v>
      </c>
      <c r="E10823">
        <v>110</v>
      </c>
      <c r="F10823">
        <v>103</v>
      </c>
      <c r="G10823">
        <v>72</v>
      </c>
    </row>
    <row r="10824" spans="1:7">
      <c r="A10824" t="s">
        <v>1876</v>
      </c>
      <c r="B10824" t="s">
        <v>380</v>
      </c>
      <c r="C10824" t="s">
        <v>1949</v>
      </c>
      <c r="D10824">
        <v>30487</v>
      </c>
      <c r="E10824">
        <v>31198</v>
      </c>
      <c r="F10824">
        <v>29626</v>
      </c>
      <c r="G10824">
        <v>29477</v>
      </c>
    </row>
    <row r="10825" spans="1:7">
      <c r="A10825" t="s">
        <v>1876</v>
      </c>
      <c r="B10825" t="s">
        <v>380</v>
      </c>
      <c r="C10825" t="s">
        <v>1950</v>
      </c>
      <c r="D10825">
        <v>2535</v>
      </c>
      <c r="E10825">
        <v>2487</v>
      </c>
      <c r="F10825">
        <v>2865</v>
      </c>
      <c r="G10825">
        <v>2205</v>
      </c>
    </row>
    <row r="10826" spans="1:7">
      <c r="A10826" t="s">
        <v>1876</v>
      </c>
      <c r="B10826" t="s">
        <v>380</v>
      </c>
      <c r="C10826" t="s">
        <v>274</v>
      </c>
      <c r="D10826">
        <v>286615</v>
      </c>
      <c r="E10826">
        <v>303290</v>
      </c>
      <c r="F10826">
        <v>293095</v>
      </c>
      <c r="G10826">
        <v>296948</v>
      </c>
    </row>
    <row r="10827" spans="1:7">
      <c r="A10827" t="s">
        <v>1876</v>
      </c>
      <c r="B10827" t="s">
        <v>380</v>
      </c>
      <c r="C10827" t="s">
        <v>275</v>
      </c>
      <c r="D10827">
        <v>0</v>
      </c>
      <c r="E10827">
        <v>0</v>
      </c>
      <c r="F10827">
        <v>0</v>
      </c>
      <c r="G10827">
        <v>0</v>
      </c>
    </row>
    <row r="10828" spans="1:7">
      <c r="A10828" t="s">
        <v>1876</v>
      </c>
      <c r="B10828" t="s">
        <v>380</v>
      </c>
      <c r="C10828" t="s">
        <v>276</v>
      </c>
      <c r="D10828">
        <v>0</v>
      </c>
      <c r="E10828">
        <v>0</v>
      </c>
      <c r="F10828">
        <v>0</v>
      </c>
      <c r="G10828">
        <v>0</v>
      </c>
    </row>
    <row r="10829" spans="1:7">
      <c r="A10829" t="s">
        <v>1876</v>
      </c>
      <c r="B10829" t="s">
        <v>380</v>
      </c>
      <c r="C10829" t="s">
        <v>277</v>
      </c>
      <c r="D10829">
        <v>32</v>
      </c>
      <c r="E10829">
        <v>49</v>
      </c>
      <c r="F10829">
        <v>67</v>
      </c>
      <c r="G10829">
        <v>81</v>
      </c>
    </row>
    <row r="10830" spans="1:7">
      <c r="A10830" t="s">
        <v>1876</v>
      </c>
      <c r="B10830" t="s">
        <v>380</v>
      </c>
      <c r="C10830" t="s">
        <v>278</v>
      </c>
      <c r="D10830">
        <v>1861</v>
      </c>
      <c r="E10830">
        <v>1907</v>
      </c>
      <c r="F10830">
        <v>1724</v>
      </c>
      <c r="G10830">
        <v>1840</v>
      </c>
    </row>
    <row r="10831" spans="1:7">
      <c r="A10831" t="s">
        <v>1876</v>
      </c>
      <c r="B10831" t="s">
        <v>380</v>
      </c>
      <c r="C10831" t="s">
        <v>279</v>
      </c>
      <c r="D10831">
        <v>779</v>
      </c>
      <c r="E10831">
        <v>1385</v>
      </c>
      <c r="F10831">
        <v>831</v>
      </c>
      <c r="G10831">
        <v>1261</v>
      </c>
    </row>
    <row r="10832" spans="1:7">
      <c r="A10832" t="s">
        <v>1876</v>
      </c>
      <c r="B10832" t="s">
        <v>380</v>
      </c>
      <c r="C10832" t="s">
        <v>280</v>
      </c>
      <c r="D10832">
        <v>2259</v>
      </c>
      <c r="E10832">
        <v>2206</v>
      </c>
      <c r="F10832">
        <v>2540</v>
      </c>
      <c r="G10832">
        <v>1929</v>
      </c>
    </row>
    <row r="10833" spans="1:7">
      <c r="A10833" t="s">
        <v>1876</v>
      </c>
      <c r="B10833" t="s">
        <v>380</v>
      </c>
      <c r="C10833" t="s">
        <v>281</v>
      </c>
      <c r="D10833">
        <v>4930</v>
      </c>
      <c r="E10833">
        <v>5547</v>
      </c>
      <c r="F10833">
        <v>5162</v>
      </c>
      <c r="G10833">
        <v>5111</v>
      </c>
    </row>
    <row r="10834" spans="1:7">
      <c r="A10834" t="s">
        <v>1876</v>
      </c>
      <c r="B10834" t="s">
        <v>380</v>
      </c>
      <c r="C10834" t="s">
        <v>282</v>
      </c>
      <c r="D10834">
        <v>4930</v>
      </c>
      <c r="E10834">
        <v>5547</v>
      </c>
      <c r="F10834">
        <v>5162</v>
      </c>
      <c r="G10834">
        <v>5111</v>
      </c>
    </row>
    <row r="10835" spans="1:7">
      <c r="A10835" t="s">
        <v>1876</v>
      </c>
      <c r="B10835" t="s">
        <v>380</v>
      </c>
      <c r="C10835" t="s">
        <v>283</v>
      </c>
      <c r="D10835">
        <v>0</v>
      </c>
      <c r="E10835">
        <v>0</v>
      </c>
      <c r="F10835">
        <v>0</v>
      </c>
      <c r="G10835">
        <v>0</v>
      </c>
    </row>
    <row r="10836" spans="1:7">
      <c r="A10836" t="s">
        <v>1876</v>
      </c>
      <c r="B10836" t="s">
        <v>380</v>
      </c>
      <c r="C10836" t="s">
        <v>284</v>
      </c>
      <c r="D10836">
        <v>0</v>
      </c>
      <c r="E10836">
        <v>0</v>
      </c>
      <c r="F10836">
        <v>0</v>
      </c>
      <c r="G10836">
        <v>0</v>
      </c>
    </row>
    <row r="10837" spans="1:7">
      <c r="A10837" t="s">
        <v>1876</v>
      </c>
      <c r="B10837" t="s">
        <v>380</v>
      </c>
      <c r="C10837" t="s">
        <v>1716</v>
      </c>
      <c r="D10837">
        <v>10024</v>
      </c>
      <c r="E10837">
        <v>10355</v>
      </c>
      <c r="F10837">
        <v>9857</v>
      </c>
      <c r="G10837">
        <v>10023</v>
      </c>
    </row>
    <row r="10838" spans="1:7">
      <c r="A10838" t="s">
        <v>1876</v>
      </c>
      <c r="B10838" t="s">
        <v>380</v>
      </c>
      <c r="C10838" t="s">
        <v>1717</v>
      </c>
      <c r="D10838">
        <v>2090</v>
      </c>
      <c r="E10838">
        <v>2072</v>
      </c>
      <c r="F10838">
        <v>2091</v>
      </c>
      <c r="G10838">
        <v>2085</v>
      </c>
    </row>
    <row r="10839" spans="1:7">
      <c r="A10839" t="s">
        <v>1876</v>
      </c>
      <c r="B10839" t="s">
        <v>380</v>
      </c>
      <c r="C10839" t="s">
        <v>1718</v>
      </c>
      <c r="D10839">
        <v>44141</v>
      </c>
      <c r="E10839">
        <v>51491</v>
      </c>
      <c r="F10839">
        <v>53268</v>
      </c>
      <c r="G10839">
        <v>62841</v>
      </c>
    </row>
    <row r="10840" spans="1:7">
      <c r="A10840" t="s">
        <v>1876</v>
      </c>
      <c r="B10840" t="s">
        <v>380</v>
      </c>
      <c r="C10840" t="s">
        <v>1719</v>
      </c>
      <c r="D10840">
        <v>4910</v>
      </c>
      <c r="E10840">
        <v>5255</v>
      </c>
      <c r="F10840">
        <v>5903</v>
      </c>
      <c r="G10840">
        <v>7081</v>
      </c>
    </row>
    <row r="10841" spans="1:7">
      <c r="A10841" t="s">
        <v>1876</v>
      </c>
      <c r="B10841" t="s">
        <v>380</v>
      </c>
      <c r="C10841" t="s">
        <v>1720</v>
      </c>
      <c r="D10841">
        <v>855</v>
      </c>
      <c r="E10841">
        <v>1084</v>
      </c>
      <c r="F10841">
        <v>1158</v>
      </c>
      <c r="G10841">
        <v>1140</v>
      </c>
    </row>
    <row r="10842" spans="1:7">
      <c r="A10842" t="s">
        <v>1876</v>
      </c>
      <c r="B10842" t="s">
        <v>380</v>
      </c>
      <c r="C10842" t="s">
        <v>1721</v>
      </c>
      <c r="D10842">
        <v>6511</v>
      </c>
      <c r="E10842">
        <v>7816</v>
      </c>
      <c r="F10842">
        <v>8544</v>
      </c>
      <c r="G10842">
        <v>9676</v>
      </c>
    </row>
    <row r="10843" spans="1:7">
      <c r="A10843" t="s">
        <v>1876</v>
      </c>
      <c r="B10843" t="s">
        <v>380</v>
      </c>
      <c r="C10843" t="s">
        <v>285</v>
      </c>
      <c r="D10843">
        <v>63622</v>
      </c>
      <c r="E10843">
        <v>72818</v>
      </c>
      <c r="F10843">
        <v>74918</v>
      </c>
      <c r="G10843">
        <v>85765</v>
      </c>
    </row>
    <row r="10844" spans="1:7">
      <c r="A10844" t="s">
        <v>1876</v>
      </c>
      <c r="B10844" t="s">
        <v>380</v>
      </c>
      <c r="C10844" t="s">
        <v>1951</v>
      </c>
      <c r="D10844">
        <v>9.3000000000000007</v>
      </c>
      <c r="E10844">
        <v>10.3</v>
      </c>
      <c r="F10844">
        <v>10.9</v>
      </c>
      <c r="G10844">
        <v>12.4</v>
      </c>
    </row>
    <row r="10845" spans="1:7">
      <c r="A10845" t="s">
        <v>1876</v>
      </c>
      <c r="B10845" t="s">
        <v>380</v>
      </c>
      <c r="C10845" t="s">
        <v>286</v>
      </c>
      <c r="D10845">
        <v>0</v>
      </c>
      <c r="E10845">
        <v>0</v>
      </c>
      <c r="F10845">
        <v>0</v>
      </c>
      <c r="G10845">
        <v>0</v>
      </c>
    </row>
    <row r="10846" spans="1:7">
      <c r="A10846" t="s">
        <v>1876</v>
      </c>
      <c r="B10846" t="s">
        <v>380</v>
      </c>
      <c r="C10846" t="s">
        <v>287</v>
      </c>
      <c r="D10846">
        <v>0</v>
      </c>
      <c r="E10846">
        <v>0</v>
      </c>
      <c r="F10846">
        <v>0</v>
      </c>
      <c r="G10846">
        <v>0</v>
      </c>
    </row>
    <row r="10847" spans="1:7">
      <c r="A10847" t="s">
        <v>1876</v>
      </c>
      <c r="B10847" t="s">
        <v>380</v>
      </c>
      <c r="C10847" t="s">
        <v>288</v>
      </c>
      <c r="D10847">
        <v>0</v>
      </c>
      <c r="E10847">
        <v>0</v>
      </c>
      <c r="F10847">
        <v>0</v>
      </c>
      <c r="G10847">
        <v>0</v>
      </c>
    </row>
    <row r="10848" spans="1:7">
      <c r="A10848" t="s">
        <v>1876</v>
      </c>
      <c r="B10848" t="s">
        <v>380</v>
      </c>
      <c r="C10848" t="s">
        <v>289</v>
      </c>
      <c r="D10848">
        <v>0</v>
      </c>
      <c r="E10848">
        <v>0</v>
      </c>
      <c r="F10848">
        <v>0</v>
      </c>
      <c r="G10848">
        <v>0</v>
      </c>
    </row>
    <row r="10849" spans="1:7">
      <c r="A10849" t="s">
        <v>1876</v>
      </c>
      <c r="B10849" t="s">
        <v>380</v>
      </c>
      <c r="C10849" t="s">
        <v>290</v>
      </c>
      <c r="D10849">
        <v>0</v>
      </c>
      <c r="E10849">
        <v>0</v>
      </c>
      <c r="F10849">
        <v>0</v>
      </c>
      <c r="G10849">
        <v>0</v>
      </c>
    </row>
    <row r="10850" spans="1:7">
      <c r="A10850" t="s">
        <v>1876</v>
      </c>
      <c r="B10850" t="s">
        <v>380</v>
      </c>
      <c r="C10850" t="s">
        <v>291</v>
      </c>
      <c r="D10850">
        <v>0</v>
      </c>
      <c r="E10850">
        <v>0</v>
      </c>
      <c r="F10850">
        <v>0</v>
      </c>
      <c r="G10850">
        <v>0</v>
      </c>
    </row>
    <row r="10851" spans="1:7">
      <c r="A10851" t="s">
        <v>1876</v>
      </c>
      <c r="B10851" t="s">
        <v>380</v>
      </c>
      <c r="C10851" t="s">
        <v>292</v>
      </c>
      <c r="D10851">
        <v>0</v>
      </c>
      <c r="E10851">
        <v>0</v>
      </c>
      <c r="F10851">
        <v>0</v>
      </c>
      <c r="G10851">
        <v>0</v>
      </c>
    </row>
    <row r="10852" spans="1:7">
      <c r="A10852" t="s">
        <v>1876</v>
      </c>
      <c r="B10852" t="s">
        <v>380</v>
      </c>
      <c r="C10852" t="s">
        <v>293</v>
      </c>
      <c r="D10852">
        <v>0</v>
      </c>
      <c r="E10852">
        <v>0</v>
      </c>
      <c r="F10852">
        <v>0</v>
      </c>
      <c r="G10852">
        <v>0</v>
      </c>
    </row>
    <row r="10853" spans="1:7">
      <c r="A10853" t="s">
        <v>1876</v>
      </c>
      <c r="B10853" t="s">
        <v>380</v>
      </c>
      <c r="C10853" t="s">
        <v>294</v>
      </c>
      <c r="D10853">
        <v>0</v>
      </c>
      <c r="E10853">
        <v>0</v>
      </c>
      <c r="F10853">
        <v>0</v>
      </c>
      <c r="G10853">
        <v>0</v>
      </c>
    </row>
    <row r="10854" spans="1:7">
      <c r="A10854" t="s">
        <v>1876</v>
      </c>
      <c r="B10854" t="s">
        <v>380</v>
      </c>
      <c r="C10854" t="s">
        <v>295</v>
      </c>
      <c r="D10854">
        <v>0</v>
      </c>
      <c r="E10854">
        <v>0</v>
      </c>
      <c r="F10854">
        <v>0</v>
      </c>
      <c r="G10854">
        <v>0</v>
      </c>
    </row>
    <row r="10855" spans="1:7">
      <c r="A10855" t="s">
        <v>1876</v>
      </c>
      <c r="B10855" t="s">
        <v>380</v>
      </c>
      <c r="C10855" t="s">
        <v>296</v>
      </c>
      <c r="D10855">
        <v>0</v>
      </c>
      <c r="E10855">
        <v>0</v>
      </c>
      <c r="F10855">
        <v>0</v>
      </c>
      <c r="G10855">
        <v>0</v>
      </c>
    </row>
    <row r="10856" spans="1:7">
      <c r="A10856" t="s">
        <v>1876</v>
      </c>
      <c r="B10856" t="s">
        <v>380</v>
      </c>
      <c r="C10856" t="s">
        <v>297</v>
      </c>
      <c r="D10856">
        <v>170</v>
      </c>
      <c r="E10856">
        <v>170</v>
      </c>
      <c r="F10856">
        <v>167</v>
      </c>
      <c r="G10856">
        <v>148</v>
      </c>
    </row>
    <row r="10857" spans="1:7">
      <c r="A10857" t="s">
        <v>1876</v>
      </c>
      <c r="B10857" t="s">
        <v>380</v>
      </c>
      <c r="C10857" t="s">
        <v>1952</v>
      </c>
      <c r="D10857">
        <v>11</v>
      </c>
      <c r="E10857">
        <v>12.4</v>
      </c>
      <c r="F10857">
        <v>11.1</v>
      </c>
      <c r="G10857">
        <v>15.7</v>
      </c>
    </row>
    <row r="10858" spans="1:7">
      <c r="A10858" t="s">
        <v>1876</v>
      </c>
      <c r="B10858" t="s">
        <v>380</v>
      </c>
      <c r="C10858" t="s">
        <v>298</v>
      </c>
      <c r="D10858">
        <v>975</v>
      </c>
      <c r="E10858">
        <v>593</v>
      </c>
      <c r="F10858">
        <v>594</v>
      </c>
      <c r="G10858">
        <v>519</v>
      </c>
    </row>
    <row r="10859" spans="1:7">
      <c r="A10859" t="s">
        <v>1876</v>
      </c>
      <c r="B10859" t="s">
        <v>380</v>
      </c>
      <c r="C10859" t="s">
        <v>299</v>
      </c>
      <c r="D10859">
        <v>591</v>
      </c>
      <c r="E10859">
        <v>596</v>
      </c>
      <c r="F10859">
        <v>592</v>
      </c>
      <c r="G10859">
        <v>616</v>
      </c>
    </row>
    <row r="10860" spans="1:7">
      <c r="A10860" t="s">
        <v>1876</v>
      </c>
      <c r="B10860" t="s">
        <v>380</v>
      </c>
      <c r="C10860" t="s">
        <v>300</v>
      </c>
      <c r="D10860">
        <v>22281</v>
      </c>
      <c r="E10860">
        <v>30610</v>
      </c>
      <c r="F10860">
        <v>32882</v>
      </c>
      <c r="G10860">
        <v>42300</v>
      </c>
    </row>
    <row r="10861" spans="1:7">
      <c r="A10861" t="s">
        <v>1876</v>
      </c>
      <c r="B10861" t="s">
        <v>380</v>
      </c>
      <c r="C10861" t="s">
        <v>1722</v>
      </c>
      <c r="D10861">
        <v>3104</v>
      </c>
      <c r="E10861">
        <v>3414</v>
      </c>
      <c r="F10861">
        <v>4033</v>
      </c>
      <c r="G10861">
        <v>5207</v>
      </c>
    </row>
    <row r="10862" spans="1:7">
      <c r="A10862" t="s">
        <v>1876</v>
      </c>
      <c r="B10862" t="s">
        <v>380</v>
      </c>
      <c r="C10862" t="s">
        <v>301</v>
      </c>
      <c r="D10862">
        <v>155</v>
      </c>
      <c r="E10862">
        <v>206</v>
      </c>
      <c r="F10862">
        <v>279</v>
      </c>
      <c r="G10862">
        <v>278</v>
      </c>
    </row>
    <row r="10863" spans="1:7">
      <c r="A10863" t="s">
        <v>1876</v>
      </c>
      <c r="B10863" t="s">
        <v>380</v>
      </c>
      <c r="C10863" t="s">
        <v>302</v>
      </c>
      <c r="D10863">
        <v>4151</v>
      </c>
      <c r="E10863">
        <v>5178</v>
      </c>
      <c r="F10863">
        <v>6118</v>
      </c>
      <c r="G10863">
        <v>7320</v>
      </c>
    </row>
    <row r="10864" spans="1:7">
      <c r="A10864" t="s">
        <v>1876</v>
      </c>
      <c r="B10864" t="s">
        <v>380</v>
      </c>
      <c r="C10864" t="s">
        <v>303</v>
      </c>
      <c r="D10864">
        <v>27179</v>
      </c>
      <c r="E10864">
        <v>36591</v>
      </c>
      <c r="F10864">
        <v>39870</v>
      </c>
      <c r="G10864">
        <v>50514</v>
      </c>
    </row>
    <row r="10865" spans="1:7">
      <c r="A10865" t="s">
        <v>1876</v>
      </c>
      <c r="B10865" t="s">
        <v>380</v>
      </c>
      <c r="C10865" t="s">
        <v>304</v>
      </c>
      <c r="D10865">
        <v>4897</v>
      </c>
      <c r="E10865">
        <v>5981</v>
      </c>
      <c r="F10865">
        <v>6989</v>
      </c>
      <c r="G10865">
        <v>8214</v>
      </c>
    </row>
    <row r="10866" spans="1:7">
      <c r="A10866" t="s">
        <v>1876</v>
      </c>
      <c r="B10866" t="s">
        <v>380</v>
      </c>
      <c r="C10866" t="s">
        <v>1953</v>
      </c>
      <c r="D10866">
        <v>27.6</v>
      </c>
      <c r="E10866">
        <v>29.1</v>
      </c>
      <c r="F10866">
        <v>28.2</v>
      </c>
      <c r="G10866">
        <v>29.8</v>
      </c>
    </row>
    <row r="10867" spans="1:7">
      <c r="A10867" t="s">
        <v>1876</v>
      </c>
      <c r="B10867" t="s">
        <v>380</v>
      </c>
      <c r="C10867" t="s">
        <v>305</v>
      </c>
      <c r="D10867">
        <v>260174</v>
      </c>
      <c r="E10867">
        <v>276403</v>
      </c>
      <c r="F10867">
        <v>267273</v>
      </c>
      <c r="G10867">
        <v>271754</v>
      </c>
    </row>
    <row r="10868" spans="1:7">
      <c r="A10868" t="s">
        <v>1876</v>
      </c>
      <c r="B10868" t="s">
        <v>380</v>
      </c>
      <c r="C10868" t="s">
        <v>306</v>
      </c>
      <c r="D10868">
        <v>82.6</v>
      </c>
      <c r="E10868">
        <v>87</v>
      </c>
      <c r="F10868">
        <v>83.2</v>
      </c>
      <c r="G10868">
        <v>83.5</v>
      </c>
    </row>
    <row r="10869" spans="1:7">
      <c r="A10869" t="s">
        <v>1876</v>
      </c>
      <c r="B10869" t="s">
        <v>380</v>
      </c>
      <c r="C10869" t="s">
        <v>307</v>
      </c>
      <c r="D10869">
        <v>128629</v>
      </c>
      <c r="E10869">
        <v>129937</v>
      </c>
      <c r="F10869">
        <v>127543</v>
      </c>
      <c r="G10869">
        <v>136476</v>
      </c>
    </row>
    <row r="10870" spans="1:7">
      <c r="A10870" t="s">
        <v>1876</v>
      </c>
      <c r="B10870" t="s">
        <v>380</v>
      </c>
      <c r="C10870" t="s">
        <v>308</v>
      </c>
      <c r="D10870">
        <v>40.9</v>
      </c>
      <c r="E10870">
        <v>40.9</v>
      </c>
      <c r="F10870">
        <v>39.700000000000003</v>
      </c>
      <c r="G10870">
        <v>41.9</v>
      </c>
    </row>
    <row r="10871" spans="1:7">
      <c r="A10871" t="s">
        <v>1876</v>
      </c>
      <c r="B10871" t="s">
        <v>380</v>
      </c>
      <c r="C10871" t="s">
        <v>309</v>
      </c>
      <c r="D10871">
        <v>278423</v>
      </c>
      <c r="E10871">
        <v>277486</v>
      </c>
      <c r="F10871">
        <v>264354</v>
      </c>
      <c r="G10871">
        <v>281719</v>
      </c>
    </row>
    <row r="10872" spans="1:7">
      <c r="A10872" t="s">
        <v>1876</v>
      </c>
      <c r="B10872" t="s">
        <v>380</v>
      </c>
      <c r="C10872" t="s">
        <v>310</v>
      </c>
      <c r="D10872">
        <v>142170</v>
      </c>
      <c r="E10872">
        <v>142697</v>
      </c>
      <c r="F10872">
        <v>138398</v>
      </c>
      <c r="G10872">
        <v>132003</v>
      </c>
    </row>
    <row r="10873" spans="1:7">
      <c r="A10873" t="s">
        <v>1876</v>
      </c>
      <c r="B10873" t="s">
        <v>380</v>
      </c>
      <c r="C10873" t="s">
        <v>311</v>
      </c>
      <c r="D10873">
        <v>45.2</v>
      </c>
      <c r="E10873">
        <v>44.9</v>
      </c>
      <c r="F10873">
        <v>43.1</v>
      </c>
      <c r="G10873">
        <v>40.6</v>
      </c>
    </row>
    <row r="10874" spans="1:7">
      <c r="A10874" t="s">
        <v>1876</v>
      </c>
      <c r="B10874" t="s">
        <v>380</v>
      </c>
      <c r="C10874" t="s">
        <v>312</v>
      </c>
      <c r="D10874">
        <v>156675</v>
      </c>
      <c r="E10874">
        <v>157641</v>
      </c>
      <c r="F10874">
        <v>153198</v>
      </c>
      <c r="G10874">
        <v>153337</v>
      </c>
    </row>
    <row r="10875" spans="1:7">
      <c r="A10875" t="s">
        <v>1876</v>
      </c>
      <c r="B10875" t="s">
        <v>380</v>
      </c>
      <c r="C10875" t="s">
        <v>313</v>
      </c>
      <c r="D10875">
        <v>49.8</v>
      </c>
      <c r="E10875">
        <v>49.6</v>
      </c>
      <c r="F10875">
        <v>47.7</v>
      </c>
      <c r="G10875">
        <v>47.1</v>
      </c>
    </row>
    <row r="10876" spans="1:7">
      <c r="A10876" t="s">
        <v>1876</v>
      </c>
      <c r="B10876" t="s">
        <v>380</v>
      </c>
      <c r="C10876" t="s">
        <v>314</v>
      </c>
      <c r="D10876">
        <v>687648</v>
      </c>
      <c r="E10876">
        <v>706678</v>
      </c>
      <c r="F10876">
        <v>686412</v>
      </c>
      <c r="G10876">
        <v>693569</v>
      </c>
    </row>
    <row r="10877" spans="1:7">
      <c r="A10877" t="s">
        <v>1876</v>
      </c>
      <c r="B10877" t="s">
        <v>380</v>
      </c>
      <c r="C10877" t="s">
        <v>315</v>
      </c>
      <c r="D10877">
        <v>3.77</v>
      </c>
      <c r="E10877">
        <v>3.63</v>
      </c>
      <c r="F10877">
        <v>3.41</v>
      </c>
      <c r="G10877">
        <v>3.34</v>
      </c>
    </row>
    <row r="10878" spans="1:7">
      <c r="A10878" t="s">
        <v>1876</v>
      </c>
      <c r="B10878" t="s">
        <v>380</v>
      </c>
      <c r="C10878" t="s">
        <v>316</v>
      </c>
      <c r="D10878">
        <v>218.4</v>
      </c>
      <c r="E10878">
        <v>222.4</v>
      </c>
      <c r="F10878">
        <v>213.8</v>
      </c>
      <c r="G10878">
        <v>213.2</v>
      </c>
    </row>
    <row r="10879" spans="1:7">
      <c r="A10879" t="s">
        <v>1876</v>
      </c>
      <c r="B10879" t="s">
        <v>380</v>
      </c>
      <c r="C10879" t="s">
        <v>317</v>
      </c>
      <c r="D10879">
        <v>687648</v>
      </c>
      <c r="E10879">
        <v>706679</v>
      </c>
      <c r="F10879">
        <v>686412</v>
      </c>
      <c r="G10879">
        <v>693570</v>
      </c>
    </row>
    <row r="10880" spans="1:7">
      <c r="A10880" t="s">
        <v>1876</v>
      </c>
      <c r="B10880" t="s">
        <v>380</v>
      </c>
      <c r="C10880" t="s">
        <v>318</v>
      </c>
      <c r="D10880">
        <v>260155</v>
      </c>
      <c r="E10880">
        <v>276379</v>
      </c>
      <c r="F10880">
        <v>267251</v>
      </c>
      <c r="G10880">
        <v>271730</v>
      </c>
    </row>
    <row r="10881" spans="1:7">
      <c r="A10881" t="s">
        <v>1876</v>
      </c>
      <c r="B10881" t="s">
        <v>380</v>
      </c>
      <c r="C10881" t="s">
        <v>319</v>
      </c>
      <c r="D10881">
        <v>84050</v>
      </c>
      <c r="E10881">
        <v>87032</v>
      </c>
      <c r="F10881">
        <v>88322</v>
      </c>
      <c r="G10881">
        <v>92095</v>
      </c>
    </row>
    <row r="10882" spans="1:7">
      <c r="A10882" t="s">
        <v>1876</v>
      </c>
      <c r="B10882" t="s">
        <v>380</v>
      </c>
      <c r="C10882" t="s">
        <v>320</v>
      </c>
      <c r="D10882">
        <v>97352</v>
      </c>
      <c r="E10882">
        <v>99271</v>
      </c>
      <c r="F10882">
        <v>99178</v>
      </c>
      <c r="G10882">
        <v>95382</v>
      </c>
    </row>
    <row r="10883" spans="1:7">
      <c r="A10883" t="s">
        <v>1876</v>
      </c>
      <c r="B10883" t="s">
        <v>380</v>
      </c>
      <c r="C10883" t="s">
        <v>321</v>
      </c>
      <c r="D10883">
        <v>104555</v>
      </c>
      <c r="E10883">
        <v>108249</v>
      </c>
      <c r="F10883">
        <v>110355</v>
      </c>
      <c r="G10883">
        <v>107798</v>
      </c>
    </row>
    <row r="10884" spans="1:7">
      <c r="A10884" t="s">
        <v>1876</v>
      </c>
      <c r="B10884" t="s">
        <v>380</v>
      </c>
      <c r="C10884" t="s">
        <v>1954</v>
      </c>
      <c r="D10884">
        <v>546112</v>
      </c>
      <c r="E10884">
        <v>570931</v>
      </c>
      <c r="F10884">
        <v>565105</v>
      </c>
      <c r="G10884">
        <v>567005</v>
      </c>
    </row>
    <row r="10885" spans="1:7">
      <c r="A10885" t="s">
        <v>1876</v>
      </c>
      <c r="B10885" t="s">
        <v>380</v>
      </c>
      <c r="C10885" t="s">
        <v>323</v>
      </c>
      <c r="D10885">
        <v>3148</v>
      </c>
      <c r="E10885">
        <v>3178</v>
      </c>
      <c r="F10885">
        <v>3211</v>
      </c>
      <c r="G10885">
        <v>3254</v>
      </c>
    </row>
    <row r="10886" spans="1:7">
      <c r="A10886" t="s">
        <v>1876</v>
      </c>
      <c r="B10886" t="s">
        <v>380</v>
      </c>
      <c r="C10886" t="s">
        <v>324</v>
      </c>
      <c r="D10886">
        <v>6</v>
      </c>
      <c r="E10886">
        <v>0</v>
      </c>
      <c r="F10886">
        <v>0</v>
      </c>
      <c r="G10886">
        <v>0</v>
      </c>
    </row>
    <row r="10887" spans="1:7">
      <c r="A10887" t="s">
        <v>1876</v>
      </c>
      <c r="B10887" t="s">
        <v>380</v>
      </c>
      <c r="C10887" t="s">
        <v>325</v>
      </c>
      <c r="D10887">
        <v>0</v>
      </c>
      <c r="E10887">
        <v>0</v>
      </c>
      <c r="F10887">
        <v>0</v>
      </c>
      <c r="G10887">
        <v>0</v>
      </c>
    </row>
    <row r="10888" spans="1:7">
      <c r="A10888" t="s">
        <v>1876</v>
      </c>
      <c r="B10888" t="s">
        <v>380</v>
      </c>
      <c r="C10888" t="s">
        <v>326</v>
      </c>
      <c r="D10888">
        <v>387</v>
      </c>
      <c r="E10888">
        <v>350</v>
      </c>
      <c r="F10888">
        <v>373</v>
      </c>
      <c r="G10888">
        <v>385</v>
      </c>
    </row>
    <row r="10889" spans="1:7">
      <c r="A10889" t="s">
        <v>1876</v>
      </c>
      <c r="B10889" t="s">
        <v>380</v>
      </c>
      <c r="C10889" t="s">
        <v>327</v>
      </c>
      <c r="D10889">
        <v>0</v>
      </c>
      <c r="E10889">
        <v>0</v>
      </c>
      <c r="F10889">
        <v>0</v>
      </c>
      <c r="G10889">
        <v>0</v>
      </c>
    </row>
    <row r="10890" spans="1:7">
      <c r="A10890" t="s">
        <v>1876</v>
      </c>
      <c r="B10890" t="s">
        <v>380</v>
      </c>
      <c r="C10890" t="s">
        <v>1723</v>
      </c>
      <c r="D10890">
        <v>0</v>
      </c>
      <c r="E10890">
        <v>0</v>
      </c>
      <c r="F10890">
        <v>0</v>
      </c>
      <c r="G10890">
        <v>0</v>
      </c>
    </row>
    <row r="10891" spans="1:7">
      <c r="A10891" t="s">
        <v>1876</v>
      </c>
      <c r="B10891" t="s">
        <v>380</v>
      </c>
      <c r="C10891" t="s">
        <v>328</v>
      </c>
      <c r="D10891">
        <v>114</v>
      </c>
      <c r="E10891">
        <v>283</v>
      </c>
      <c r="F10891">
        <v>283</v>
      </c>
      <c r="G10891">
        <v>283</v>
      </c>
    </row>
    <row r="10892" spans="1:7">
      <c r="A10892" t="s">
        <v>1876</v>
      </c>
      <c r="B10892" t="s">
        <v>380</v>
      </c>
      <c r="C10892" t="s">
        <v>329</v>
      </c>
      <c r="D10892">
        <v>2011</v>
      </c>
      <c r="E10892">
        <v>2289</v>
      </c>
      <c r="F10892">
        <v>2078</v>
      </c>
      <c r="G10892">
        <v>2007</v>
      </c>
    </row>
    <row r="10893" spans="1:7">
      <c r="A10893" t="s">
        <v>1876</v>
      </c>
      <c r="B10893" t="s">
        <v>380</v>
      </c>
      <c r="C10893" t="s">
        <v>330</v>
      </c>
      <c r="D10893">
        <v>2512</v>
      </c>
      <c r="E10893">
        <v>2922</v>
      </c>
      <c r="F10893">
        <v>2735</v>
      </c>
      <c r="G10893">
        <v>2675</v>
      </c>
    </row>
    <row r="10894" spans="1:7">
      <c r="A10894" t="s">
        <v>1876</v>
      </c>
      <c r="B10894" t="s">
        <v>380</v>
      </c>
      <c r="C10894" t="s">
        <v>331</v>
      </c>
      <c r="D10894">
        <v>0</v>
      </c>
      <c r="E10894">
        <v>0</v>
      </c>
      <c r="F10894">
        <v>0</v>
      </c>
      <c r="G10894">
        <v>0</v>
      </c>
    </row>
    <row r="10895" spans="1:7">
      <c r="A10895" t="s">
        <v>1876</v>
      </c>
      <c r="B10895" t="s">
        <v>380</v>
      </c>
      <c r="C10895" t="s">
        <v>332</v>
      </c>
      <c r="D10895">
        <v>700</v>
      </c>
      <c r="E10895">
        <v>687</v>
      </c>
      <c r="F10895">
        <v>731</v>
      </c>
      <c r="G10895">
        <v>713</v>
      </c>
    </row>
    <row r="10896" spans="1:7">
      <c r="A10896" t="s">
        <v>1876</v>
      </c>
      <c r="B10896" t="s">
        <v>380</v>
      </c>
      <c r="C10896" t="s">
        <v>1724</v>
      </c>
      <c r="D10896">
        <v>10</v>
      </c>
      <c r="E10896">
        <v>10</v>
      </c>
      <c r="F10896">
        <v>10</v>
      </c>
      <c r="G10896">
        <v>10</v>
      </c>
    </row>
    <row r="10897" spans="1:7">
      <c r="A10897" t="s">
        <v>1876</v>
      </c>
      <c r="B10897" t="s">
        <v>380</v>
      </c>
      <c r="C10897" t="s">
        <v>333</v>
      </c>
      <c r="D10897">
        <v>5</v>
      </c>
      <c r="E10897">
        <v>2</v>
      </c>
      <c r="F10897">
        <v>2</v>
      </c>
      <c r="G10897">
        <v>2</v>
      </c>
    </row>
    <row r="10898" spans="1:7">
      <c r="A10898" t="s">
        <v>1876</v>
      </c>
      <c r="B10898" t="s">
        <v>380</v>
      </c>
      <c r="C10898" t="s">
        <v>334</v>
      </c>
      <c r="D10898">
        <v>704</v>
      </c>
      <c r="E10898">
        <v>689</v>
      </c>
      <c r="F10898">
        <v>733</v>
      </c>
      <c r="G10898">
        <v>715</v>
      </c>
    </row>
    <row r="10899" spans="1:7">
      <c r="A10899" t="s">
        <v>1876</v>
      </c>
      <c r="B10899" t="s">
        <v>380</v>
      </c>
      <c r="C10899" t="s">
        <v>335</v>
      </c>
      <c r="D10899">
        <v>387</v>
      </c>
      <c r="E10899">
        <v>350</v>
      </c>
      <c r="F10899">
        <v>373</v>
      </c>
      <c r="G10899">
        <v>385</v>
      </c>
    </row>
    <row r="10900" spans="1:7">
      <c r="A10900" t="s">
        <v>1876</v>
      </c>
      <c r="B10900" t="s">
        <v>380</v>
      </c>
      <c r="C10900" t="s">
        <v>336</v>
      </c>
      <c r="D10900">
        <v>700</v>
      </c>
      <c r="E10900">
        <v>687</v>
      </c>
      <c r="F10900">
        <v>731</v>
      </c>
      <c r="G10900">
        <v>713</v>
      </c>
    </row>
    <row r="10901" spans="1:7">
      <c r="A10901" t="s">
        <v>1876</v>
      </c>
      <c r="B10901" t="s">
        <v>380</v>
      </c>
      <c r="C10901" t="s">
        <v>337</v>
      </c>
      <c r="D10901">
        <v>118</v>
      </c>
      <c r="E10901">
        <v>285</v>
      </c>
      <c r="F10901">
        <v>285</v>
      </c>
      <c r="G10901">
        <v>285</v>
      </c>
    </row>
    <row r="10902" spans="1:7">
      <c r="A10902" t="s">
        <v>1876</v>
      </c>
      <c r="B10902" t="s">
        <v>380</v>
      </c>
      <c r="C10902" t="s">
        <v>338</v>
      </c>
      <c r="D10902">
        <v>3216</v>
      </c>
      <c r="E10902">
        <v>3611</v>
      </c>
      <c r="F10902">
        <v>3468</v>
      </c>
      <c r="G10902">
        <v>3389</v>
      </c>
    </row>
    <row r="10903" spans="1:7">
      <c r="A10903" t="s">
        <v>1876</v>
      </c>
      <c r="B10903" t="s">
        <v>380</v>
      </c>
      <c r="C10903" t="s">
        <v>339</v>
      </c>
      <c r="D10903">
        <v>2516</v>
      </c>
      <c r="E10903">
        <v>2924</v>
      </c>
      <c r="F10903">
        <v>2737</v>
      </c>
      <c r="G10903">
        <v>2677</v>
      </c>
    </row>
    <row r="10904" spans="1:7">
      <c r="A10904" t="s">
        <v>1876</v>
      </c>
      <c r="B10904" t="s">
        <v>380</v>
      </c>
      <c r="C10904" t="s">
        <v>340</v>
      </c>
      <c r="D10904">
        <v>0</v>
      </c>
      <c r="E10904">
        <v>0</v>
      </c>
      <c r="F10904">
        <v>0</v>
      </c>
      <c r="G10904">
        <v>0</v>
      </c>
    </row>
    <row r="10905" spans="1:7">
      <c r="A10905" t="s">
        <v>1876</v>
      </c>
      <c r="B10905" t="s">
        <v>380</v>
      </c>
      <c r="C10905" t="s">
        <v>1955</v>
      </c>
      <c r="D10905">
        <v>25.9</v>
      </c>
      <c r="E10905">
        <v>24</v>
      </c>
      <c r="F10905">
        <v>22.2</v>
      </c>
      <c r="G10905">
        <v>24.2</v>
      </c>
    </row>
    <row r="10906" spans="1:7">
      <c r="A10906" t="s">
        <v>1876</v>
      </c>
      <c r="B10906" t="s">
        <v>380</v>
      </c>
      <c r="C10906" t="s">
        <v>341</v>
      </c>
      <c r="D10906">
        <v>0</v>
      </c>
      <c r="E10906">
        <v>0</v>
      </c>
      <c r="F10906">
        <v>0</v>
      </c>
      <c r="G10906">
        <v>0</v>
      </c>
    </row>
    <row r="10907" spans="1:7">
      <c r="A10907" t="s">
        <v>1876</v>
      </c>
      <c r="B10907" t="s">
        <v>380</v>
      </c>
      <c r="C10907" t="s">
        <v>342</v>
      </c>
      <c r="D10907">
        <v>1160</v>
      </c>
      <c r="E10907">
        <v>1077</v>
      </c>
      <c r="F10907">
        <v>994</v>
      </c>
      <c r="G10907">
        <v>1090</v>
      </c>
    </row>
    <row r="10908" spans="1:7">
      <c r="A10908" t="s">
        <v>1876</v>
      </c>
      <c r="B10908" t="s">
        <v>380</v>
      </c>
      <c r="C10908" t="s">
        <v>1725</v>
      </c>
      <c r="D10908">
        <v>150</v>
      </c>
      <c r="E10908">
        <v>150</v>
      </c>
      <c r="F10908">
        <v>150</v>
      </c>
      <c r="G10908">
        <v>150</v>
      </c>
    </row>
    <row r="10909" spans="1:7">
      <c r="A10909" t="s">
        <v>1876</v>
      </c>
      <c r="B10909" t="s">
        <v>380</v>
      </c>
      <c r="C10909" t="s">
        <v>343</v>
      </c>
      <c r="D10909">
        <v>0</v>
      </c>
      <c r="E10909">
        <v>0</v>
      </c>
      <c r="F10909">
        <v>0</v>
      </c>
      <c r="G10909">
        <v>0</v>
      </c>
    </row>
    <row r="10910" spans="1:7">
      <c r="A10910" t="s">
        <v>1876</v>
      </c>
      <c r="B10910" t="s">
        <v>380</v>
      </c>
      <c r="C10910" t="s">
        <v>344</v>
      </c>
      <c r="D10910">
        <v>1160</v>
      </c>
      <c r="E10910">
        <v>1077</v>
      </c>
      <c r="F10910">
        <v>994</v>
      </c>
      <c r="G10910">
        <v>1090</v>
      </c>
    </row>
    <row r="10911" spans="1:7">
      <c r="A10911" t="s">
        <v>1876</v>
      </c>
      <c r="B10911" t="s">
        <v>380</v>
      </c>
      <c r="C10911" t="s">
        <v>345</v>
      </c>
      <c r="D10911">
        <v>0</v>
      </c>
      <c r="E10911">
        <v>0</v>
      </c>
      <c r="F10911">
        <v>0</v>
      </c>
      <c r="G10911">
        <v>0</v>
      </c>
    </row>
    <row r="10912" spans="1:7">
      <c r="A10912" t="s">
        <v>1876</v>
      </c>
      <c r="B10912" t="s">
        <v>380</v>
      </c>
      <c r="C10912" t="s">
        <v>1956</v>
      </c>
      <c r="D10912">
        <v>700</v>
      </c>
      <c r="E10912">
        <v>687</v>
      </c>
      <c r="F10912">
        <v>731</v>
      </c>
      <c r="G10912">
        <v>713</v>
      </c>
    </row>
    <row r="10913" spans="1:7">
      <c r="A10913" t="s">
        <v>1876</v>
      </c>
      <c r="B10913" t="s">
        <v>380</v>
      </c>
      <c r="C10913" t="s">
        <v>1957</v>
      </c>
      <c r="D10913">
        <v>704</v>
      </c>
      <c r="E10913">
        <v>689</v>
      </c>
      <c r="F10913">
        <v>733</v>
      </c>
      <c r="G10913">
        <v>715</v>
      </c>
    </row>
    <row r="10914" spans="1:7">
      <c r="A10914" t="s">
        <v>1876</v>
      </c>
      <c r="B10914" t="s">
        <v>380</v>
      </c>
      <c r="C10914" t="s">
        <v>346</v>
      </c>
      <c r="D10914">
        <v>2495</v>
      </c>
      <c r="E10914">
        <v>2387</v>
      </c>
      <c r="F10914">
        <v>2046</v>
      </c>
      <c r="G10914">
        <v>2650</v>
      </c>
    </row>
    <row r="10915" spans="1:7">
      <c r="A10915" t="s">
        <v>1876</v>
      </c>
      <c r="B10915" t="s">
        <v>380</v>
      </c>
      <c r="C10915" t="s">
        <v>347</v>
      </c>
      <c r="D10915">
        <v>3284</v>
      </c>
      <c r="E10915">
        <v>3502</v>
      </c>
      <c r="F10915">
        <v>3699</v>
      </c>
      <c r="G10915">
        <v>3286</v>
      </c>
    </row>
    <row r="10916" spans="1:7">
      <c r="A10916" t="s">
        <v>1876</v>
      </c>
      <c r="B10916" t="s">
        <v>381</v>
      </c>
      <c r="C10916" t="s">
        <v>133</v>
      </c>
      <c r="D10916">
        <v>0</v>
      </c>
      <c r="E10916">
        <v>0</v>
      </c>
      <c r="F10916">
        <v>0</v>
      </c>
      <c r="G10916">
        <v>0</v>
      </c>
    </row>
    <row r="10917" spans="1:7">
      <c r="A10917" t="s">
        <v>1876</v>
      </c>
      <c r="B10917" t="s">
        <v>381</v>
      </c>
      <c r="C10917" t="s">
        <v>134</v>
      </c>
      <c r="D10917">
        <v>42424</v>
      </c>
      <c r="E10917">
        <v>39322</v>
      </c>
      <c r="F10917">
        <v>38259</v>
      </c>
      <c r="G10917">
        <v>35421</v>
      </c>
    </row>
    <row r="10918" spans="1:7">
      <c r="A10918" t="s">
        <v>1876</v>
      </c>
      <c r="B10918" t="s">
        <v>381</v>
      </c>
      <c r="C10918" t="s">
        <v>135</v>
      </c>
      <c r="D10918">
        <v>42424</v>
      </c>
      <c r="E10918">
        <v>39322</v>
      </c>
      <c r="F10918">
        <v>38259</v>
      </c>
      <c r="G10918">
        <v>35421</v>
      </c>
    </row>
    <row r="10919" spans="1:7">
      <c r="A10919" t="s">
        <v>1876</v>
      </c>
      <c r="B10919" t="s">
        <v>381</v>
      </c>
      <c r="C10919" t="s">
        <v>136</v>
      </c>
      <c r="D10919">
        <v>42424</v>
      </c>
      <c r="E10919">
        <v>39322</v>
      </c>
      <c r="F10919">
        <v>38259</v>
      </c>
      <c r="G10919">
        <v>35421</v>
      </c>
    </row>
    <row r="10920" spans="1:7">
      <c r="A10920" t="s">
        <v>1876</v>
      </c>
      <c r="B10920" t="s">
        <v>381</v>
      </c>
      <c r="C10920" t="s">
        <v>137</v>
      </c>
      <c r="D10920">
        <v>406</v>
      </c>
      <c r="E10920">
        <v>420</v>
      </c>
      <c r="F10920">
        <v>399</v>
      </c>
      <c r="G10920">
        <v>429</v>
      </c>
    </row>
    <row r="10921" spans="1:7">
      <c r="A10921" t="s">
        <v>1876</v>
      </c>
      <c r="B10921" t="s">
        <v>381</v>
      </c>
      <c r="C10921" t="s">
        <v>138</v>
      </c>
      <c r="D10921">
        <v>406</v>
      </c>
      <c r="E10921">
        <v>420</v>
      </c>
      <c r="F10921">
        <v>399</v>
      </c>
      <c r="G10921">
        <v>429</v>
      </c>
    </row>
    <row r="10922" spans="1:7">
      <c r="A10922" t="s">
        <v>1876</v>
      </c>
      <c r="B10922" t="s">
        <v>381</v>
      </c>
      <c r="C10922" t="s">
        <v>139</v>
      </c>
      <c r="D10922">
        <v>406</v>
      </c>
      <c r="E10922">
        <v>420</v>
      </c>
      <c r="F10922">
        <v>399</v>
      </c>
      <c r="G10922">
        <v>429</v>
      </c>
    </row>
    <row r="10923" spans="1:7">
      <c r="A10923" t="s">
        <v>1876</v>
      </c>
      <c r="B10923" t="s">
        <v>381</v>
      </c>
      <c r="C10923" t="s">
        <v>1877</v>
      </c>
      <c r="D10923">
        <v>0</v>
      </c>
      <c r="E10923">
        <v>0</v>
      </c>
      <c r="F10923">
        <v>0</v>
      </c>
      <c r="G10923">
        <v>0</v>
      </c>
    </row>
    <row r="10924" spans="1:7">
      <c r="A10924" t="s">
        <v>1876</v>
      </c>
      <c r="B10924" t="s">
        <v>381</v>
      </c>
      <c r="C10924" t="s">
        <v>1700</v>
      </c>
      <c r="D10924">
        <v>0</v>
      </c>
      <c r="E10924">
        <v>0</v>
      </c>
      <c r="F10924">
        <v>0</v>
      </c>
      <c r="G10924">
        <v>0</v>
      </c>
    </row>
    <row r="10925" spans="1:7">
      <c r="A10925" t="s">
        <v>1876</v>
      </c>
      <c r="B10925" t="s">
        <v>381</v>
      </c>
      <c r="C10925" t="s">
        <v>1878</v>
      </c>
      <c r="D10925">
        <v>0</v>
      </c>
      <c r="E10925">
        <v>0</v>
      </c>
      <c r="F10925">
        <v>0</v>
      </c>
      <c r="G10925">
        <v>0</v>
      </c>
    </row>
    <row r="10926" spans="1:7">
      <c r="A10926" t="s">
        <v>1876</v>
      </c>
      <c r="B10926" t="s">
        <v>381</v>
      </c>
      <c r="C10926" t="s">
        <v>1879</v>
      </c>
      <c r="D10926">
        <v>0</v>
      </c>
      <c r="E10926">
        <v>0</v>
      </c>
      <c r="F10926">
        <v>0</v>
      </c>
      <c r="G10926">
        <v>0</v>
      </c>
    </row>
    <row r="10927" spans="1:7">
      <c r="A10927" t="s">
        <v>1876</v>
      </c>
      <c r="B10927" t="s">
        <v>381</v>
      </c>
      <c r="C10927" t="s">
        <v>1701</v>
      </c>
      <c r="D10927">
        <v>0</v>
      </c>
      <c r="E10927">
        <v>0</v>
      </c>
      <c r="F10927">
        <v>0</v>
      </c>
      <c r="G10927">
        <v>0</v>
      </c>
    </row>
    <row r="10928" spans="1:7">
      <c r="A10928" t="s">
        <v>1876</v>
      </c>
      <c r="B10928" t="s">
        <v>381</v>
      </c>
      <c r="C10928" t="s">
        <v>1880</v>
      </c>
      <c r="D10928">
        <v>1983</v>
      </c>
      <c r="E10928">
        <v>2014</v>
      </c>
      <c r="F10928">
        <v>2337</v>
      </c>
      <c r="G10928">
        <v>2092</v>
      </c>
    </row>
    <row r="10929" spans="1:7">
      <c r="A10929" t="s">
        <v>1876</v>
      </c>
      <c r="B10929" t="s">
        <v>381</v>
      </c>
      <c r="C10929" t="s">
        <v>140</v>
      </c>
      <c r="D10929">
        <v>4660</v>
      </c>
      <c r="E10929">
        <v>4867</v>
      </c>
      <c r="F10929">
        <v>6302</v>
      </c>
      <c r="G10929">
        <v>5962</v>
      </c>
    </row>
    <row r="10930" spans="1:7">
      <c r="A10930" t="s">
        <v>1876</v>
      </c>
      <c r="B10930" t="s">
        <v>381</v>
      </c>
      <c r="C10930" t="s">
        <v>1881</v>
      </c>
      <c r="D10930">
        <v>2677</v>
      </c>
      <c r="E10930">
        <v>2853</v>
      </c>
      <c r="F10930">
        <v>3965</v>
      </c>
      <c r="G10930">
        <v>3871</v>
      </c>
    </row>
    <row r="10931" spans="1:7">
      <c r="A10931" t="s">
        <v>1876</v>
      </c>
      <c r="B10931" t="s">
        <v>381</v>
      </c>
      <c r="C10931" t="s">
        <v>1882</v>
      </c>
      <c r="D10931">
        <v>675</v>
      </c>
      <c r="E10931">
        <v>796</v>
      </c>
      <c r="F10931">
        <v>814</v>
      </c>
      <c r="G10931">
        <v>759</v>
      </c>
    </row>
    <row r="10932" spans="1:7">
      <c r="A10932" t="s">
        <v>1876</v>
      </c>
      <c r="B10932" t="s">
        <v>381</v>
      </c>
      <c r="C10932" t="s">
        <v>1883</v>
      </c>
      <c r="D10932">
        <v>1585</v>
      </c>
      <c r="E10932">
        <v>1925</v>
      </c>
      <c r="F10932">
        <v>2194</v>
      </c>
      <c r="G10932">
        <v>2162</v>
      </c>
    </row>
    <row r="10933" spans="1:7">
      <c r="A10933" t="s">
        <v>1876</v>
      </c>
      <c r="B10933" t="s">
        <v>381</v>
      </c>
      <c r="C10933" t="s">
        <v>1884</v>
      </c>
      <c r="D10933">
        <v>911</v>
      </c>
      <c r="E10933">
        <v>1128</v>
      </c>
      <c r="F10933">
        <v>1381</v>
      </c>
      <c r="G10933">
        <v>1404</v>
      </c>
    </row>
    <row r="10934" spans="1:7">
      <c r="A10934" t="s">
        <v>1876</v>
      </c>
      <c r="B10934" t="s">
        <v>381</v>
      </c>
      <c r="C10934" t="s">
        <v>1885</v>
      </c>
      <c r="D10934">
        <v>0</v>
      </c>
      <c r="E10934">
        <v>0</v>
      </c>
      <c r="F10934">
        <v>0</v>
      </c>
      <c r="G10934">
        <v>0</v>
      </c>
    </row>
    <row r="10935" spans="1:7">
      <c r="A10935" t="s">
        <v>1876</v>
      </c>
      <c r="B10935" t="s">
        <v>381</v>
      </c>
      <c r="C10935" t="s">
        <v>1886</v>
      </c>
      <c r="D10935">
        <v>0</v>
      </c>
      <c r="E10935">
        <v>0</v>
      </c>
      <c r="F10935">
        <v>0</v>
      </c>
      <c r="G10935">
        <v>0</v>
      </c>
    </row>
    <row r="10936" spans="1:7">
      <c r="A10936" t="s">
        <v>1876</v>
      </c>
      <c r="B10936" t="s">
        <v>381</v>
      </c>
      <c r="C10936" t="s">
        <v>141</v>
      </c>
      <c r="D10936">
        <v>0</v>
      </c>
      <c r="E10936">
        <v>0</v>
      </c>
      <c r="F10936">
        <v>0</v>
      </c>
      <c r="G10936">
        <v>0</v>
      </c>
    </row>
    <row r="10937" spans="1:7">
      <c r="A10937" t="s">
        <v>1876</v>
      </c>
      <c r="B10937" t="s">
        <v>381</v>
      </c>
      <c r="C10937" t="s">
        <v>1887</v>
      </c>
      <c r="D10937">
        <v>1416</v>
      </c>
      <c r="E10937">
        <v>1693</v>
      </c>
      <c r="F10937">
        <v>1731</v>
      </c>
      <c r="G10937">
        <v>1577</v>
      </c>
    </row>
    <row r="10938" spans="1:7">
      <c r="A10938" t="s">
        <v>1876</v>
      </c>
      <c r="B10938" t="s">
        <v>381</v>
      </c>
      <c r="C10938" t="s">
        <v>1888</v>
      </c>
      <c r="D10938">
        <v>3327</v>
      </c>
      <c r="E10938">
        <v>4092</v>
      </c>
      <c r="F10938">
        <v>4668</v>
      </c>
      <c r="G10938">
        <v>4495</v>
      </c>
    </row>
    <row r="10939" spans="1:7">
      <c r="A10939" t="s">
        <v>1876</v>
      </c>
      <c r="B10939" t="s">
        <v>381</v>
      </c>
      <c r="C10939" t="s">
        <v>1889</v>
      </c>
      <c r="D10939">
        <v>4074</v>
      </c>
      <c r="E10939">
        <v>4503</v>
      </c>
      <c r="F10939">
        <v>4881</v>
      </c>
      <c r="G10939">
        <v>4427</v>
      </c>
    </row>
    <row r="10940" spans="1:7">
      <c r="A10940" t="s">
        <v>1876</v>
      </c>
      <c r="B10940" t="s">
        <v>381</v>
      </c>
      <c r="C10940" t="s">
        <v>1890</v>
      </c>
      <c r="D10940">
        <v>1911</v>
      </c>
      <c r="E10940">
        <v>2399</v>
      </c>
      <c r="F10940">
        <v>2937</v>
      </c>
      <c r="G10940">
        <v>2918</v>
      </c>
    </row>
    <row r="10941" spans="1:7">
      <c r="A10941" t="s">
        <v>1876</v>
      </c>
      <c r="B10941" t="s">
        <v>381</v>
      </c>
      <c r="C10941" t="s">
        <v>1891</v>
      </c>
    </row>
    <row r="10942" spans="1:7">
      <c r="A10942" t="s">
        <v>1876</v>
      </c>
      <c r="B10942" t="s">
        <v>381</v>
      </c>
      <c r="C10942" t="s">
        <v>1892</v>
      </c>
      <c r="D10942">
        <v>5499</v>
      </c>
      <c r="E10942">
        <v>6380</v>
      </c>
      <c r="F10942">
        <v>8283</v>
      </c>
      <c r="G10942">
        <v>8193</v>
      </c>
    </row>
    <row r="10943" spans="1:7">
      <c r="A10943" t="s">
        <v>1876</v>
      </c>
      <c r="B10943" t="s">
        <v>381</v>
      </c>
      <c r="C10943" t="s">
        <v>142</v>
      </c>
      <c r="D10943">
        <v>9573</v>
      </c>
      <c r="E10943">
        <v>10884</v>
      </c>
      <c r="F10943">
        <v>13164</v>
      </c>
      <c r="G10943">
        <v>12620</v>
      </c>
    </row>
    <row r="10944" spans="1:7">
      <c r="A10944" t="s">
        <v>1876</v>
      </c>
      <c r="B10944" t="s">
        <v>381</v>
      </c>
      <c r="C10944" t="s">
        <v>1893</v>
      </c>
      <c r="D10944">
        <v>9573</v>
      </c>
      <c r="E10944">
        <v>10884</v>
      </c>
      <c r="F10944">
        <v>13164</v>
      </c>
      <c r="G10944">
        <v>12620</v>
      </c>
    </row>
    <row r="10945" spans="1:7">
      <c r="A10945" t="s">
        <v>1876</v>
      </c>
      <c r="B10945" t="s">
        <v>381</v>
      </c>
      <c r="C10945" t="s">
        <v>1894</v>
      </c>
      <c r="D10945">
        <v>5499</v>
      </c>
      <c r="E10945">
        <v>6380</v>
      </c>
      <c r="F10945">
        <v>8283</v>
      </c>
      <c r="G10945">
        <v>8193</v>
      </c>
    </row>
    <row r="10946" spans="1:7">
      <c r="A10946" t="s">
        <v>1876</v>
      </c>
      <c r="B10946" t="s">
        <v>381</v>
      </c>
      <c r="C10946" t="s">
        <v>143</v>
      </c>
      <c r="D10946">
        <v>3024</v>
      </c>
      <c r="E10946">
        <v>2999</v>
      </c>
      <c r="F10946">
        <v>3043</v>
      </c>
      <c r="G10946">
        <v>3024</v>
      </c>
    </row>
    <row r="10947" spans="1:7">
      <c r="A10947" t="s">
        <v>1876</v>
      </c>
      <c r="B10947" t="s">
        <v>381</v>
      </c>
      <c r="C10947" t="s">
        <v>144</v>
      </c>
      <c r="D10947">
        <v>57462</v>
      </c>
      <c r="E10947">
        <v>58117</v>
      </c>
      <c r="F10947">
        <v>61336</v>
      </c>
      <c r="G10947">
        <v>60720</v>
      </c>
    </row>
    <row r="10948" spans="1:7">
      <c r="A10948" t="s">
        <v>1876</v>
      </c>
      <c r="B10948" t="s">
        <v>381</v>
      </c>
      <c r="C10948" t="s">
        <v>1895</v>
      </c>
      <c r="D10948">
        <v>70.900000000000006</v>
      </c>
      <c r="E10948">
        <v>71.5</v>
      </c>
      <c r="F10948">
        <v>64.8</v>
      </c>
      <c r="G10948">
        <v>74.099999999999994</v>
      </c>
    </row>
    <row r="10949" spans="1:7">
      <c r="A10949" t="s">
        <v>1876</v>
      </c>
      <c r="B10949" t="s">
        <v>381</v>
      </c>
      <c r="C10949" t="s">
        <v>145</v>
      </c>
      <c r="D10949">
        <v>135921</v>
      </c>
      <c r="E10949">
        <v>143757</v>
      </c>
      <c r="F10949">
        <v>139105</v>
      </c>
      <c r="G10949">
        <v>135245</v>
      </c>
    </row>
    <row r="10950" spans="1:7">
      <c r="A10950" t="s">
        <v>1876</v>
      </c>
      <c r="B10950" t="s">
        <v>381</v>
      </c>
      <c r="C10950" t="s">
        <v>146</v>
      </c>
      <c r="D10950">
        <v>0</v>
      </c>
      <c r="E10950">
        <v>0</v>
      </c>
      <c r="F10950">
        <v>0</v>
      </c>
      <c r="G10950">
        <v>0</v>
      </c>
    </row>
    <row r="10951" spans="1:7">
      <c r="A10951" t="s">
        <v>1876</v>
      </c>
      <c r="B10951" t="s">
        <v>381</v>
      </c>
      <c r="C10951" t="s">
        <v>147</v>
      </c>
      <c r="D10951">
        <v>0</v>
      </c>
      <c r="E10951">
        <v>0</v>
      </c>
      <c r="F10951">
        <v>0</v>
      </c>
      <c r="G10951">
        <v>0</v>
      </c>
    </row>
    <row r="10952" spans="1:7">
      <c r="A10952" t="s">
        <v>1876</v>
      </c>
      <c r="B10952" t="s">
        <v>381</v>
      </c>
      <c r="C10952" t="s">
        <v>1896</v>
      </c>
      <c r="D10952">
        <v>5.0999999999999996</v>
      </c>
      <c r="E10952">
        <v>3.8</v>
      </c>
      <c r="F10952">
        <v>3</v>
      </c>
      <c r="G10952">
        <v>4.9000000000000004</v>
      </c>
    </row>
    <row r="10953" spans="1:7">
      <c r="A10953" t="s">
        <v>1876</v>
      </c>
      <c r="B10953" t="s">
        <v>381</v>
      </c>
      <c r="C10953" t="s">
        <v>1702</v>
      </c>
      <c r="D10953">
        <v>65</v>
      </c>
      <c r="E10953">
        <v>140</v>
      </c>
      <c r="F10953">
        <v>206</v>
      </c>
      <c r="G10953">
        <v>218</v>
      </c>
    </row>
    <row r="10954" spans="1:7">
      <c r="A10954" t="s">
        <v>1876</v>
      </c>
      <c r="B10954" t="s">
        <v>381</v>
      </c>
      <c r="C10954" t="s">
        <v>1897</v>
      </c>
      <c r="D10954">
        <v>50.2</v>
      </c>
      <c r="E10954">
        <v>71.099999999999994</v>
      </c>
      <c r="F10954">
        <v>125.7</v>
      </c>
      <c r="G10954">
        <v>162.4</v>
      </c>
    </row>
    <row r="10955" spans="1:7">
      <c r="A10955" t="s">
        <v>1876</v>
      </c>
      <c r="B10955" t="s">
        <v>381</v>
      </c>
      <c r="C10955" t="s">
        <v>1898</v>
      </c>
      <c r="D10955">
        <v>79</v>
      </c>
      <c r="E10955">
        <v>138</v>
      </c>
      <c r="F10955">
        <v>403</v>
      </c>
      <c r="G10955">
        <v>542</v>
      </c>
    </row>
    <row r="10956" spans="1:7">
      <c r="A10956" t="s">
        <v>1876</v>
      </c>
      <c r="B10956" t="s">
        <v>381</v>
      </c>
      <c r="C10956" t="s">
        <v>1899</v>
      </c>
      <c r="D10956">
        <v>5499</v>
      </c>
      <c r="E10956">
        <v>6380</v>
      </c>
      <c r="F10956">
        <v>8283</v>
      </c>
      <c r="G10956">
        <v>8193</v>
      </c>
    </row>
    <row r="10957" spans="1:7">
      <c r="A10957" t="s">
        <v>1876</v>
      </c>
      <c r="B10957" t="s">
        <v>381</v>
      </c>
      <c r="C10957" t="s">
        <v>148</v>
      </c>
      <c r="D10957">
        <v>0</v>
      </c>
      <c r="E10957">
        <v>0</v>
      </c>
      <c r="F10957">
        <v>0</v>
      </c>
      <c r="G10957">
        <v>0</v>
      </c>
    </row>
    <row r="10958" spans="1:7">
      <c r="A10958" t="s">
        <v>1876</v>
      </c>
      <c r="B10958" t="s">
        <v>381</v>
      </c>
      <c r="C10958" t="s">
        <v>149</v>
      </c>
      <c r="D10958">
        <v>0</v>
      </c>
      <c r="E10958">
        <v>0</v>
      </c>
      <c r="F10958">
        <v>0</v>
      </c>
      <c r="G10958">
        <v>0</v>
      </c>
    </row>
    <row r="10959" spans="1:7">
      <c r="A10959" t="s">
        <v>1876</v>
      </c>
      <c r="B10959" t="s">
        <v>381</v>
      </c>
      <c r="C10959" t="s">
        <v>150</v>
      </c>
      <c r="D10959">
        <v>0</v>
      </c>
      <c r="E10959">
        <v>0</v>
      </c>
      <c r="F10959">
        <v>0</v>
      </c>
      <c r="G10959">
        <v>0</v>
      </c>
    </row>
    <row r="10960" spans="1:7">
      <c r="A10960" t="s">
        <v>1876</v>
      </c>
      <c r="B10960" t="s">
        <v>381</v>
      </c>
      <c r="C10960" t="s">
        <v>1900</v>
      </c>
      <c r="D10960">
        <v>0</v>
      </c>
      <c r="E10960">
        <v>0</v>
      </c>
      <c r="F10960">
        <v>0</v>
      </c>
      <c r="G10960">
        <v>0</v>
      </c>
    </row>
    <row r="10961" spans="1:7">
      <c r="A10961" t="s">
        <v>1876</v>
      </c>
      <c r="B10961" t="s">
        <v>381</v>
      </c>
      <c r="C10961" t="s">
        <v>151</v>
      </c>
      <c r="D10961">
        <v>0</v>
      </c>
      <c r="E10961">
        <v>0</v>
      </c>
      <c r="F10961">
        <v>0</v>
      </c>
      <c r="G10961">
        <v>0</v>
      </c>
    </row>
    <row r="10962" spans="1:7">
      <c r="A10962" t="s">
        <v>1876</v>
      </c>
      <c r="B10962" t="s">
        <v>381</v>
      </c>
      <c r="C10962" t="s">
        <v>152</v>
      </c>
      <c r="D10962">
        <v>0</v>
      </c>
      <c r="E10962">
        <v>0</v>
      </c>
      <c r="F10962">
        <v>0</v>
      </c>
      <c r="G10962">
        <v>0</v>
      </c>
    </row>
    <row r="10963" spans="1:7">
      <c r="A10963" t="s">
        <v>1876</v>
      </c>
      <c r="B10963" t="s">
        <v>381</v>
      </c>
      <c r="C10963" t="s">
        <v>1703</v>
      </c>
      <c r="D10963">
        <v>445</v>
      </c>
      <c r="E10963">
        <v>0</v>
      </c>
      <c r="F10963">
        <v>0</v>
      </c>
      <c r="G10963">
        <v>0</v>
      </c>
    </row>
    <row r="10964" spans="1:7">
      <c r="A10964" t="s">
        <v>1876</v>
      </c>
      <c r="B10964" t="s">
        <v>381</v>
      </c>
      <c r="C10964" t="s">
        <v>153</v>
      </c>
      <c r="D10964">
        <v>5370</v>
      </c>
      <c r="E10964">
        <v>6143</v>
      </c>
      <c r="F10964">
        <v>4823</v>
      </c>
      <c r="G10964">
        <v>2650</v>
      </c>
    </row>
    <row r="10965" spans="1:7">
      <c r="A10965" t="s">
        <v>1876</v>
      </c>
      <c r="B10965" t="s">
        <v>381</v>
      </c>
      <c r="C10965" t="s">
        <v>154</v>
      </c>
      <c r="D10965">
        <v>0</v>
      </c>
      <c r="E10965">
        <v>0</v>
      </c>
      <c r="F10965">
        <v>0</v>
      </c>
      <c r="G10965">
        <v>0</v>
      </c>
    </row>
    <row r="10966" spans="1:7">
      <c r="A10966" t="s">
        <v>1876</v>
      </c>
      <c r="B10966" t="s">
        <v>381</v>
      </c>
      <c r="C10966" t="s">
        <v>155</v>
      </c>
      <c r="D10966">
        <v>5370</v>
      </c>
      <c r="E10966">
        <v>6143</v>
      </c>
      <c r="F10966">
        <v>4823</v>
      </c>
      <c r="G10966">
        <v>2650</v>
      </c>
    </row>
    <row r="10967" spans="1:7">
      <c r="A10967" t="s">
        <v>1876</v>
      </c>
      <c r="B10967" t="s">
        <v>381</v>
      </c>
      <c r="C10967" t="s">
        <v>156</v>
      </c>
      <c r="D10967">
        <v>0</v>
      </c>
      <c r="E10967">
        <v>0</v>
      </c>
      <c r="F10967">
        <v>0</v>
      </c>
      <c r="G10967">
        <v>0</v>
      </c>
    </row>
    <row r="10968" spans="1:7">
      <c r="A10968" t="s">
        <v>1876</v>
      </c>
      <c r="B10968" t="s">
        <v>381</v>
      </c>
      <c r="C10968" t="s">
        <v>157</v>
      </c>
      <c r="D10968">
        <v>5370</v>
      </c>
      <c r="E10968">
        <v>6143</v>
      </c>
      <c r="F10968">
        <v>4823</v>
      </c>
      <c r="G10968">
        <v>2650</v>
      </c>
    </row>
    <row r="10969" spans="1:7">
      <c r="A10969" t="s">
        <v>1876</v>
      </c>
      <c r="B10969" t="s">
        <v>381</v>
      </c>
      <c r="C10969" t="s">
        <v>158</v>
      </c>
      <c r="D10969">
        <v>5370</v>
      </c>
      <c r="E10969">
        <v>6143</v>
      </c>
      <c r="F10969">
        <v>4823</v>
      </c>
      <c r="G10969">
        <v>2650</v>
      </c>
    </row>
    <row r="10970" spans="1:7">
      <c r="A10970" t="s">
        <v>1876</v>
      </c>
      <c r="B10970" t="s">
        <v>381</v>
      </c>
      <c r="C10970" t="s">
        <v>159</v>
      </c>
      <c r="D10970">
        <v>0</v>
      </c>
      <c r="E10970">
        <v>0</v>
      </c>
      <c r="F10970">
        <v>0</v>
      </c>
      <c r="G10970">
        <v>0</v>
      </c>
    </row>
    <row r="10971" spans="1:7">
      <c r="A10971" t="s">
        <v>1876</v>
      </c>
      <c r="B10971" t="s">
        <v>381</v>
      </c>
      <c r="C10971" t="s">
        <v>1901</v>
      </c>
      <c r="D10971">
        <v>48.7</v>
      </c>
      <c r="E10971">
        <v>54.6</v>
      </c>
      <c r="F10971">
        <v>53.7</v>
      </c>
      <c r="G10971">
        <v>56.9</v>
      </c>
    </row>
    <row r="10972" spans="1:7">
      <c r="A10972" t="s">
        <v>1876</v>
      </c>
      <c r="B10972" t="s">
        <v>381</v>
      </c>
      <c r="C10972" t="s">
        <v>1902</v>
      </c>
      <c r="D10972">
        <v>192287</v>
      </c>
      <c r="E10972">
        <v>217356</v>
      </c>
      <c r="F10972">
        <v>205276</v>
      </c>
      <c r="G10972">
        <v>185552</v>
      </c>
    </row>
    <row r="10973" spans="1:7">
      <c r="A10973" t="s">
        <v>1876</v>
      </c>
      <c r="B10973" t="s">
        <v>381</v>
      </c>
      <c r="C10973" t="s">
        <v>1903</v>
      </c>
      <c r="D10973">
        <v>49628</v>
      </c>
      <c r="E10973">
        <v>49830</v>
      </c>
      <c r="F10973">
        <v>48494</v>
      </c>
      <c r="G10973">
        <v>47911</v>
      </c>
    </row>
    <row r="10974" spans="1:7">
      <c r="A10974" t="s">
        <v>1876</v>
      </c>
      <c r="B10974" t="s">
        <v>381</v>
      </c>
      <c r="C10974" t="s">
        <v>1904</v>
      </c>
      <c r="D10974">
        <v>1201</v>
      </c>
      <c r="E10974">
        <v>6102</v>
      </c>
      <c r="F10974">
        <v>922</v>
      </c>
      <c r="G10974">
        <v>855</v>
      </c>
    </row>
    <row r="10975" spans="1:7">
      <c r="A10975" t="s">
        <v>1876</v>
      </c>
      <c r="B10975" t="s">
        <v>381</v>
      </c>
      <c r="C10975" t="s">
        <v>1905</v>
      </c>
      <c r="D10975">
        <v>11754</v>
      </c>
      <c r="E10975">
        <v>11882</v>
      </c>
      <c r="F10975">
        <v>11597</v>
      </c>
      <c r="G10975">
        <v>11254</v>
      </c>
    </row>
    <row r="10976" spans="1:7">
      <c r="A10976" t="s">
        <v>1876</v>
      </c>
      <c r="B10976" t="s">
        <v>381</v>
      </c>
      <c r="C10976" t="s">
        <v>1906</v>
      </c>
      <c r="D10976">
        <v>104156</v>
      </c>
      <c r="E10976">
        <v>105944</v>
      </c>
      <c r="F10976">
        <v>103066</v>
      </c>
      <c r="G10976">
        <v>99595</v>
      </c>
    </row>
    <row r="10977" spans="1:7">
      <c r="A10977" t="s">
        <v>1876</v>
      </c>
      <c r="B10977" t="s">
        <v>381</v>
      </c>
      <c r="C10977" t="s">
        <v>1907</v>
      </c>
      <c r="D10977">
        <v>359027</v>
      </c>
      <c r="E10977">
        <v>391113</v>
      </c>
      <c r="F10977">
        <v>369354</v>
      </c>
      <c r="G10977">
        <v>345167</v>
      </c>
    </row>
    <row r="10978" spans="1:7">
      <c r="A10978" t="s">
        <v>1876</v>
      </c>
      <c r="B10978" t="s">
        <v>381</v>
      </c>
      <c r="C10978" t="s">
        <v>160</v>
      </c>
      <c r="D10978">
        <v>189611</v>
      </c>
      <c r="E10978">
        <v>214503</v>
      </c>
      <c r="F10978">
        <v>201310</v>
      </c>
      <c r="G10978">
        <v>181682</v>
      </c>
    </row>
    <row r="10979" spans="1:7">
      <c r="A10979" t="s">
        <v>1876</v>
      </c>
      <c r="B10979" t="s">
        <v>381</v>
      </c>
      <c r="C10979" t="s">
        <v>161</v>
      </c>
      <c r="D10979">
        <v>48717</v>
      </c>
      <c r="E10979">
        <v>48701</v>
      </c>
      <c r="F10979">
        <v>47113</v>
      </c>
      <c r="G10979">
        <v>46507</v>
      </c>
    </row>
    <row r="10980" spans="1:7">
      <c r="A10980" t="s">
        <v>1876</v>
      </c>
      <c r="B10980" t="s">
        <v>381</v>
      </c>
      <c r="C10980" t="s">
        <v>162</v>
      </c>
      <c r="D10980">
        <v>1201</v>
      </c>
      <c r="E10980">
        <v>6102</v>
      </c>
      <c r="F10980">
        <v>922</v>
      </c>
      <c r="G10980">
        <v>855</v>
      </c>
    </row>
    <row r="10981" spans="1:7">
      <c r="A10981" t="s">
        <v>1876</v>
      </c>
      <c r="B10981" t="s">
        <v>381</v>
      </c>
      <c r="C10981" t="s">
        <v>163</v>
      </c>
      <c r="D10981">
        <v>11754</v>
      </c>
      <c r="E10981">
        <v>11882</v>
      </c>
      <c r="F10981">
        <v>11597</v>
      </c>
      <c r="G10981">
        <v>11254</v>
      </c>
    </row>
    <row r="10982" spans="1:7">
      <c r="A10982" t="s">
        <v>1876</v>
      </c>
      <c r="B10982" t="s">
        <v>381</v>
      </c>
      <c r="C10982" t="s">
        <v>164</v>
      </c>
      <c r="D10982">
        <v>102245</v>
      </c>
      <c r="E10982">
        <v>103545</v>
      </c>
      <c r="F10982">
        <v>100129</v>
      </c>
      <c r="G10982">
        <v>96677</v>
      </c>
    </row>
    <row r="10983" spans="1:7">
      <c r="A10983" t="s">
        <v>1876</v>
      </c>
      <c r="B10983" t="s">
        <v>381</v>
      </c>
      <c r="C10983" t="s">
        <v>165</v>
      </c>
      <c r="D10983">
        <v>353528</v>
      </c>
      <c r="E10983">
        <v>384732</v>
      </c>
      <c r="F10983">
        <v>361072</v>
      </c>
      <c r="G10983">
        <v>336974</v>
      </c>
    </row>
    <row r="10984" spans="1:7">
      <c r="A10984" t="s">
        <v>1876</v>
      </c>
      <c r="B10984" t="s">
        <v>381</v>
      </c>
      <c r="C10984" t="s">
        <v>166</v>
      </c>
      <c r="D10984">
        <v>352327</v>
      </c>
      <c r="E10984">
        <v>378630</v>
      </c>
      <c r="F10984">
        <v>360149</v>
      </c>
      <c r="G10984">
        <v>336119</v>
      </c>
    </row>
    <row r="10985" spans="1:7">
      <c r="A10985" t="s">
        <v>1876</v>
      </c>
      <c r="B10985" t="s">
        <v>381</v>
      </c>
      <c r="C10985" t="s">
        <v>167</v>
      </c>
      <c r="D10985">
        <v>1201</v>
      </c>
      <c r="E10985">
        <v>6102</v>
      </c>
      <c r="F10985">
        <v>922</v>
      </c>
      <c r="G10985">
        <v>855</v>
      </c>
    </row>
    <row r="10986" spans="1:7">
      <c r="A10986" t="s">
        <v>1876</v>
      </c>
      <c r="B10986" t="s">
        <v>381</v>
      </c>
      <c r="C10986" t="s">
        <v>1908</v>
      </c>
      <c r="D10986">
        <v>187627</v>
      </c>
      <c r="E10986">
        <v>212489</v>
      </c>
      <c r="F10986">
        <v>198974</v>
      </c>
      <c r="G10986">
        <v>179590</v>
      </c>
    </row>
    <row r="10987" spans="1:7">
      <c r="A10987" t="s">
        <v>1876</v>
      </c>
      <c r="B10987" t="s">
        <v>381</v>
      </c>
      <c r="C10987" t="s">
        <v>1909</v>
      </c>
      <c r="D10987">
        <v>48043</v>
      </c>
      <c r="E10987">
        <v>47905</v>
      </c>
      <c r="F10987">
        <v>46300</v>
      </c>
      <c r="G10987">
        <v>45749</v>
      </c>
    </row>
    <row r="10988" spans="1:7">
      <c r="A10988" t="s">
        <v>1876</v>
      </c>
      <c r="B10988" t="s">
        <v>381</v>
      </c>
      <c r="C10988" t="s">
        <v>1910</v>
      </c>
      <c r="D10988">
        <v>1201</v>
      </c>
      <c r="E10988">
        <v>6102</v>
      </c>
      <c r="F10988">
        <v>922</v>
      </c>
      <c r="G10988">
        <v>855</v>
      </c>
    </row>
    <row r="10989" spans="1:7">
      <c r="A10989" t="s">
        <v>1876</v>
      </c>
      <c r="B10989" t="s">
        <v>381</v>
      </c>
      <c r="C10989" t="s">
        <v>1911</v>
      </c>
      <c r="D10989">
        <v>11754</v>
      </c>
      <c r="E10989">
        <v>11882</v>
      </c>
      <c r="F10989">
        <v>11597</v>
      </c>
      <c r="G10989">
        <v>11254</v>
      </c>
    </row>
    <row r="10990" spans="1:7">
      <c r="A10990" t="s">
        <v>1876</v>
      </c>
      <c r="B10990" t="s">
        <v>381</v>
      </c>
      <c r="C10990" t="s">
        <v>1912</v>
      </c>
      <c r="D10990">
        <v>100829</v>
      </c>
      <c r="E10990">
        <v>101851</v>
      </c>
      <c r="F10990">
        <v>98398</v>
      </c>
      <c r="G10990">
        <v>95100</v>
      </c>
    </row>
    <row r="10991" spans="1:7">
      <c r="A10991" t="s">
        <v>1876</v>
      </c>
      <c r="B10991" t="s">
        <v>381</v>
      </c>
      <c r="C10991" t="s">
        <v>168</v>
      </c>
      <c r="D10991">
        <v>349454</v>
      </c>
      <c r="E10991">
        <v>380229</v>
      </c>
      <c r="F10991">
        <v>356191</v>
      </c>
      <c r="G10991">
        <v>332547</v>
      </c>
    </row>
    <row r="10992" spans="1:7">
      <c r="A10992" t="s">
        <v>1876</v>
      </c>
      <c r="B10992" t="s">
        <v>381</v>
      </c>
      <c r="C10992" t="s">
        <v>169</v>
      </c>
      <c r="D10992">
        <v>5972</v>
      </c>
      <c r="E10992">
        <v>5128</v>
      </c>
      <c r="F10992">
        <v>6215</v>
      </c>
      <c r="G10992">
        <v>9305</v>
      </c>
    </row>
    <row r="10993" spans="1:7">
      <c r="A10993" t="s">
        <v>1876</v>
      </c>
      <c r="B10993" t="s">
        <v>381</v>
      </c>
      <c r="C10993" t="s">
        <v>1704</v>
      </c>
      <c r="D10993">
        <v>39890</v>
      </c>
      <c r="E10993">
        <v>39689</v>
      </c>
      <c r="F10993">
        <v>40230</v>
      </c>
      <c r="G10993">
        <v>41286</v>
      </c>
    </row>
    <row r="10994" spans="1:7">
      <c r="A10994" t="s">
        <v>1876</v>
      </c>
      <c r="B10994" t="s">
        <v>381</v>
      </c>
      <c r="C10994" t="s">
        <v>170</v>
      </c>
      <c r="D10994">
        <v>52822</v>
      </c>
      <c r="E10994">
        <v>46781</v>
      </c>
      <c r="F10994">
        <v>25924</v>
      </c>
      <c r="G10994">
        <v>30199</v>
      </c>
    </row>
    <row r="10995" spans="1:7">
      <c r="A10995" t="s">
        <v>1876</v>
      </c>
      <c r="B10995" t="s">
        <v>381</v>
      </c>
      <c r="C10995" t="s">
        <v>171</v>
      </c>
      <c r="D10995">
        <v>106693</v>
      </c>
      <c r="E10995">
        <v>132473</v>
      </c>
      <c r="F10995">
        <v>163380</v>
      </c>
      <c r="G10995">
        <v>132430</v>
      </c>
    </row>
    <row r="10996" spans="1:7">
      <c r="A10996" t="s">
        <v>1876</v>
      </c>
      <c r="B10996" t="s">
        <v>381</v>
      </c>
      <c r="C10996" t="s">
        <v>172</v>
      </c>
      <c r="D10996">
        <v>46850</v>
      </c>
      <c r="E10996">
        <v>41653</v>
      </c>
      <c r="F10996">
        <v>19709</v>
      </c>
      <c r="G10996">
        <v>20894</v>
      </c>
    </row>
    <row r="10997" spans="1:7">
      <c r="A10997" t="s">
        <v>1876</v>
      </c>
      <c r="B10997" t="s">
        <v>381</v>
      </c>
      <c r="C10997" t="s">
        <v>1913</v>
      </c>
      <c r="D10997">
        <v>93.6</v>
      </c>
      <c r="E10997">
        <v>126.3</v>
      </c>
      <c r="F10997">
        <v>207</v>
      </c>
      <c r="G10997">
        <v>269.8</v>
      </c>
    </row>
    <row r="10998" spans="1:7">
      <c r="A10998" t="s">
        <v>1876</v>
      </c>
      <c r="B10998" t="s">
        <v>381</v>
      </c>
      <c r="C10998" t="s">
        <v>1914</v>
      </c>
      <c r="D10998">
        <v>0.9</v>
      </c>
      <c r="E10998">
        <v>1.2</v>
      </c>
      <c r="F10998">
        <v>2</v>
      </c>
      <c r="G10998">
        <v>2.6</v>
      </c>
    </row>
    <row r="10999" spans="1:7">
      <c r="A10999" t="s">
        <v>1876</v>
      </c>
      <c r="B10999" t="s">
        <v>381</v>
      </c>
      <c r="C10999" t="s">
        <v>173</v>
      </c>
      <c r="D10999">
        <v>42696</v>
      </c>
      <c r="E10999">
        <v>41779</v>
      </c>
      <c r="F10999">
        <v>42877</v>
      </c>
      <c r="G10999">
        <v>43194</v>
      </c>
    </row>
    <row r="11000" spans="1:7">
      <c r="A11000" t="s">
        <v>1876</v>
      </c>
      <c r="B11000" t="s">
        <v>381</v>
      </c>
      <c r="C11000" t="s">
        <v>174</v>
      </c>
      <c r="D11000">
        <v>1136</v>
      </c>
      <c r="E11000">
        <v>1386</v>
      </c>
      <c r="F11000">
        <v>1170</v>
      </c>
      <c r="G11000">
        <v>1004</v>
      </c>
    </row>
    <row r="11001" spans="1:7">
      <c r="A11001" t="s">
        <v>1876</v>
      </c>
      <c r="B11001" t="s">
        <v>381</v>
      </c>
      <c r="C11001" t="s">
        <v>175</v>
      </c>
      <c r="D11001">
        <v>1033</v>
      </c>
      <c r="E11001">
        <v>1070</v>
      </c>
      <c r="F11001">
        <v>1082</v>
      </c>
      <c r="G11001">
        <v>878</v>
      </c>
    </row>
    <row r="11002" spans="1:7">
      <c r="A11002" t="s">
        <v>1876</v>
      </c>
      <c r="B11002" t="s">
        <v>381</v>
      </c>
      <c r="C11002" t="s">
        <v>176</v>
      </c>
      <c r="D11002">
        <v>3024</v>
      </c>
      <c r="E11002">
        <v>2999</v>
      </c>
      <c r="F11002">
        <v>3043</v>
      </c>
      <c r="G11002">
        <v>3024</v>
      </c>
    </row>
    <row r="11003" spans="1:7">
      <c r="A11003" t="s">
        <v>1876</v>
      </c>
      <c r="B11003" t="s">
        <v>381</v>
      </c>
      <c r="C11003" t="s">
        <v>177</v>
      </c>
      <c r="D11003">
        <v>44865</v>
      </c>
      <c r="E11003">
        <v>44235</v>
      </c>
      <c r="F11003">
        <v>45129</v>
      </c>
      <c r="G11003">
        <v>45076</v>
      </c>
    </row>
    <row r="11004" spans="1:7">
      <c r="A11004" t="s">
        <v>1876</v>
      </c>
      <c r="B11004" t="s">
        <v>381</v>
      </c>
      <c r="C11004" t="s">
        <v>178</v>
      </c>
      <c r="D11004">
        <v>0</v>
      </c>
      <c r="E11004">
        <v>0</v>
      </c>
      <c r="F11004">
        <v>0</v>
      </c>
      <c r="G11004">
        <v>0</v>
      </c>
    </row>
    <row r="11005" spans="1:7">
      <c r="A11005" t="s">
        <v>1876</v>
      </c>
      <c r="B11005" t="s">
        <v>381</v>
      </c>
      <c r="C11005" t="s">
        <v>179</v>
      </c>
      <c r="D11005">
        <v>0</v>
      </c>
      <c r="E11005">
        <v>0</v>
      </c>
      <c r="F11005">
        <v>0</v>
      </c>
      <c r="G11005">
        <v>0</v>
      </c>
    </row>
    <row r="11006" spans="1:7">
      <c r="A11006" t="s">
        <v>1876</v>
      </c>
      <c r="B11006" t="s">
        <v>381</v>
      </c>
      <c r="C11006" t="s">
        <v>180</v>
      </c>
      <c r="D11006">
        <v>8377</v>
      </c>
      <c r="E11006">
        <v>8870</v>
      </c>
      <c r="F11006">
        <v>9257</v>
      </c>
      <c r="G11006">
        <v>9493</v>
      </c>
    </row>
    <row r="11007" spans="1:7">
      <c r="A11007" t="s">
        <v>1876</v>
      </c>
      <c r="B11007" t="s">
        <v>381</v>
      </c>
      <c r="C11007" t="s">
        <v>181</v>
      </c>
      <c r="D11007">
        <v>238569</v>
      </c>
      <c r="E11007">
        <v>246365</v>
      </c>
      <c r="F11007">
        <v>243692</v>
      </c>
      <c r="G11007">
        <v>242433</v>
      </c>
    </row>
    <row r="11008" spans="1:7">
      <c r="A11008" t="s">
        <v>1876</v>
      </c>
      <c r="B11008" t="s">
        <v>381</v>
      </c>
      <c r="C11008" t="s">
        <v>182</v>
      </c>
      <c r="D11008">
        <v>57633</v>
      </c>
      <c r="E11008">
        <v>55199</v>
      </c>
      <c r="F11008">
        <v>51772</v>
      </c>
      <c r="G11008">
        <v>53926</v>
      </c>
    </row>
    <row r="11009" spans="1:7">
      <c r="A11009" t="s">
        <v>1876</v>
      </c>
      <c r="B11009" t="s">
        <v>381</v>
      </c>
      <c r="C11009" t="s">
        <v>183</v>
      </c>
      <c r="D11009">
        <v>177959</v>
      </c>
      <c r="E11009">
        <v>178200</v>
      </c>
      <c r="F11009">
        <v>170986</v>
      </c>
      <c r="G11009">
        <v>173525</v>
      </c>
    </row>
    <row r="11010" spans="1:7">
      <c r="A11010" t="s">
        <v>1876</v>
      </c>
      <c r="B11010" t="s">
        <v>381</v>
      </c>
      <c r="C11010" t="s">
        <v>184</v>
      </c>
      <c r="D11010">
        <v>482538</v>
      </c>
      <c r="E11010">
        <v>488634</v>
      </c>
      <c r="F11010">
        <v>475708</v>
      </c>
      <c r="G11010">
        <v>479377</v>
      </c>
    </row>
    <row r="11011" spans="1:7">
      <c r="A11011" t="s">
        <v>1876</v>
      </c>
      <c r="B11011" t="s">
        <v>381</v>
      </c>
      <c r="C11011" t="s">
        <v>185</v>
      </c>
      <c r="D11011">
        <v>482538</v>
      </c>
      <c r="E11011">
        <v>488634</v>
      </c>
      <c r="F11011">
        <v>475708</v>
      </c>
      <c r="G11011">
        <v>479377</v>
      </c>
    </row>
    <row r="11012" spans="1:7">
      <c r="A11012" t="s">
        <v>1876</v>
      </c>
      <c r="B11012" t="s">
        <v>381</v>
      </c>
      <c r="C11012" t="s">
        <v>1915</v>
      </c>
      <c r="D11012">
        <v>143</v>
      </c>
      <c r="E11012">
        <v>231</v>
      </c>
      <c r="F11012">
        <v>597</v>
      </c>
      <c r="G11012">
        <v>780</v>
      </c>
    </row>
    <row r="11013" spans="1:7">
      <c r="A11013" t="s">
        <v>1876</v>
      </c>
      <c r="B11013" t="s">
        <v>381</v>
      </c>
      <c r="C11013" t="s">
        <v>1916</v>
      </c>
      <c r="D11013">
        <v>0</v>
      </c>
      <c r="E11013">
        <v>0</v>
      </c>
      <c r="F11013">
        <v>0</v>
      </c>
      <c r="G11013">
        <v>0</v>
      </c>
    </row>
    <row r="11014" spans="1:7">
      <c r="A11014" t="s">
        <v>1876</v>
      </c>
      <c r="B11014" t="s">
        <v>381</v>
      </c>
      <c r="C11014" t="s">
        <v>1917</v>
      </c>
      <c r="D11014">
        <v>56</v>
      </c>
      <c r="E11014">
        <v>53</v>
      </c>
      <c r="F11014">
        <v>42</v>
      </c>
      <c r="G11014">
        <v>44</v>
      </c>
    </row>
    <row r="11015" spans="1:7">
      <c r="A11015" t="s">
        <v>1876</v>
      </c>
      <c r="B11015" t="s">
        <v>381</v>
      </c>
      <c r="C11015" t="s">
        <v>1918</v>
      </c>
      <c r="D11015">
        <v>8230</v>
      </c>
      <c r="E11015">
        <v>11843</v>
      </c>
      <c r="F11015">
        <v>15478</v>
      </c>
      <c r="G11015">
        <v>16628</v>
      </c>
    </row>
    <row r="11016" spans="1:7">
      <c r="A11016" t="s">
        <v>1876</v>
      </c>
      <c r="B11016" t="s">
        <v>381</v>
      </c>
      <c r="C11016" t="s">
        <v>1919</v>
      </c>
      <c r="D11016">
        <v>2.94</v>
      </c>
      <c r="E11016">
        <v>3.47</v>
      </c>
      <c r="F11016">
        <v>3.78</v>
      </c>
      <c r="G11016">
        <v>3.6</v>
      </c>
    </row>
    <row r="11017" spans="1:7">
      <c r="A11017" t="s">
        <v>1876</v>
      </c>
      <c r="B11017" t="s">
        <v>381</v>
      </c>
      <c r="C11017" t="s">
        <v>1920</v>
      </c>
      <c r="D11017">
        <v>9192</v>
      </c>
      <c r="E11017">
        <v>13112</v>
      </c>
      <c r="F11017">
        <v>17058</v>
      </c>
      <c r="G11017">
        <v>18872</v>
      </c>
    </row>
    <row r="11018" spans="1:7">
      <c r="A11018" t="s">
        <v>1876</v>
      </c>
      <c r="B11018" t="s">
        <v>381</v>
      </c>
      <c r="C11018" t="s">
        <v>1921</v>
      </c>
      <c r="D11018">
        <v>2994</v>
      </c>
      <c r="E11018">
        <v>3668</v>
      </c>
      <c r="F11018">
        <v>4437</v>
      </c>
      <c r="G11018">
        <v>5112</v>
      </c>
    </row>
    <row r="11019" spans="1:7">
      <c r="A11019" t="s">
        <v>1876</v>
      </c>
      <c r="B11019" t="s">
        <v>381</v>
      </c>
      <c r="C11019" t="s">
        <v>1922</v>
      </c>
      <c r="D11019">
        <v>906</v>
      </c>
      <c r="E11019">
        <v>1216</v>
      </c>
      <c r="F11019">
        <v>1538</v>
      </c>
      <c r="G11019">
        <v>2200</v>
      </c>
    </row>
    <row r="11020" spans="1:7">
      <c r="A11020" t="s">
        <v>1876</v>
      </c>
      <c r="B11020" t="s">
        <v>381</v>
      </c>
      <c r="C11020" t="s">
        <v>1923</v>
      </c>
      <c r="D11020">
        <v>4.4000000000000004</v>
      </c>
      <c r="E11020">
        <v>4.34</v>
      </c>
      <c r="F11020">
        <v>4.01</v>
      </c>
      <c r="G11020">
        <v>3.94</v>
      </c>
    </row>
    <row r="11021" spans="1:7">
      <c r="A11021" t="s">
        <v>1876</v>
      </c>
      <c r="B11021" t="s">
        <v>381</v>
      </c>
      <c r="C11021" t="s">
        <v>1924</v>
      </c>
      <c r="D11021">
        <v>325</v>
      </c>
      <c r="E11021">
        <v>15</v>
      </c>
      <c r="F11021">
        <v>29</v>
      </c>
      <c r="G11021">
        <v>20</v>
      </c>
    </row>
    <row r="11022" spans="1:7">
      <c r="A11022" t="s">
        <v>1876</v>
      </c>
      <c r="B11022" t="s">
        <v>381</v>
      </c>
      <c r="C11022" t="s">
        <v>1925</v>
      </c>
      <c r="D11022">
        <v>243</v>
      </c>
      <c r="E11022">
        <v>358</v>
      </c>
      <c r="F11022">
        <v>345</v>
      </c>
      <c r="G11022">
        <v>344</v>
      </c>
    </row>
    <row r="11023" spans="1:7">
      <c r="A11023" t="s">
        <v>1876</v>
      </c>
      <c r="B11023" t="s">
        <v>381</v>
      </c>
      <c r="C11023" t="s">
        <v>1926</v>
      </c>
      <c r="D11023">
        <v>2426</v>
      </c>
      <c r="E11023">
        <v>3295</v>
      </c>
      <c r="F11023">
        <v>4063</v>
      </c>
      <c r="G11023">
        <v>4748</v>
      </c>
    </row>
    <row r="11024" spans="1:7">
      <c r="A11024" t="s">
        <v>1876</v>
      </c>
      <c r="B11024" t="s">
        <v>381</v>
      </c>
      <c r="C11024" t="s">
        <v>1927</v>
      </c>
      <c r="D11024">
        <v>73</v>
      </c>
      <c r="E11024">
        <v>81</v>
      </c>
      <c r="F11024">
        <v>66</v>
      </c>
      <c r="G11024">
        <v>59</v>
      </c>
    </row>
    <row r="11025" spans="1:7">
      <c r="A11025" t="s">
        <v>1876</v>
      </c>
      <c r="B11025" t="s">
        <v>381</v>
      </c>
      <c r="C11025" t="s">
        <v>1928</v>
      </c>
      <c r="D11025">
        <v>2789</v>
      </c>
      <c r="E11025">
        <v>3436</v>
      </c>
      <c r="F11025">
        <v>4194</v>
      </c>
      <c r="G11025">
        <v>4842</v>
      </c>
    </row>
    <row r="11026" spans="1:7">
      <c r="A11026" t="s">
        <v>1876</v>
      </c>
      <c r="B11026" t="s">
        <v>381</v>
      </c>
      <c r="C11026" t="s">
        <v>1929</v>
      </c>
      <c r="D11026">
        <v>132</v>
      </c>
      <c r="E11026">
        <v>151</v>
      </c>
      <c r="F11026">
        <v>177</v>
      </c>
      <c r="G11026">
        <v>211</v>
      </c>
    </row>
    <row r="11027" spans="1:7">
      <c r="A11027" t="s">
        <v>1876</v>
      </c>
      <c r="B11027" t="s">
        <v>381</v>
      </c>
      <c r="C11027" t="s">
        <v>186</v>
      </c>
      <c r="D11027">
        <v>0</v>
      </c>
      <c r="E11027">
        <v>0</v>
      </c>
      <c r="F11027">
        <v>0</v>
      </c>
      <c r="G11027">
        <v>0</v>
      </c>
    </row>
    <row r="11028" spans="1:7">
      <c r="A11028" t="s">
        <v>1876</v>
      </c>
      <c r="B11028" t="s">
        <v>381</v>
      </c>
      <c r="C11028" t="s">
        <v>187</v>
      </c>
      <c r="D11028">
        <v>0</v>
      </c>
      <c r="E11028">
        <v>0</v>
      </c>
      <c r="F11028">
        <v>0</v>
      </c>
      <c r="G11028">
        <v>0</v>
      </c>
    </row>
    <row r="11029" spans="1:7">
      <c r="A11029" t="s">
        <v>1876</v>
      </c>
      <c r="B11029" t="s">
        <v>381</v>
      </c>
      <c r="C11029" t="s">
        <v>1705</v>
      </c>
      <c r="D11029">
        <v>26918</v>
      </c>
      <c r="E11029">
        <v>26231</v>
      </c>
      <c r="F11029">
        <v>25812</v>
      </c>
      <c r="G11029">
        <v>25805</v>
      </c>
    </row>
    <row r="11030" spans="1:7">
      <c r="A11030" t="s">
        <v>1876</v>
      </c>
      <c r="B11030" t="s">
        <v>381</v>
      </c>
      <c r="C11030" t="s">
        <v>188</v>
      </c>
      <c r="D11030">
        <v>2602393</v>
      </c>
      <c r="E11030">
        <v>2730942</v>
      </c>
      <c r="F11030">
        <v>2682369</v>
      </c>
      <c r="G11030">
        <v>2680427</v>
      </c>
    </row>
    <row r="11031" spans="1:7">
      <c r="A11031" t="s">
        <v>1876</v>
      </c>
      <c r="B11031" t="s">
        <v>381</v>
      </c>
      <c r="C11031" t="s">
        <v>189</v>
      </c>
      <c r="D11031">
        <v>0</v>
      </c>
      <c r="E11031">
        <v>0</v>
      </c>
      <c r="F11031">
        <v>0</v>
      </c>
      <c r="G11031">
        <v>0</v>
      </c>
    </row>
    <row r="11032" spans="1:7">
      <c r="A11032" t="s">
        <v>1876</v>
      </c>
      <c r="B11032" t="s">
        <v>381</v>
      </c>
      <c r="C11032" t="s">
        <v>190</v>
      </c>
      <c r="D11032">
        <v>0</v>
      </c>
      <c r="E11032">
        <v>0</v>
      </c>
      <c r="F11032">
        <v>0</v>
      </c>
      <c r="G11032">
        <v>0</v>
      </c>
    </row>
    <row r="11033" spans="1:7">
      <c r="A11033" t="s">
        <v>1876</v>
      </c>
      <c r="B11033" t="s">
        <v>381</v>
      </c>
      <c r="C11033" t="s">
        <v>191</v>
      </c>
      <c r="D11033">
        <v>0</v>
      </c>
      <c r="E11033">
        <v>0</v>
      </c>
      <c r="F11033">
        <v>0</v>
      </c>
      <c r="G11033">
        <v>0</v>
      </c>
    </row>
    <row r="11034" spans="1:7">
      <c r="A11034" t="s">
        <v>1876</v>
      </c>
      <c r="B11034" t="s">
        <v>381</v>
      </c>
      <c r="C11034" t="s">
        <v>192</v>
      </c>
      <c r="D11034">
        <v>1934524</v>
      </c>
      <c r="E11034">
        <v>2071075.2</v>
      </c>
      <c r="F11034">
        <v>2182549</v>
      </c>
      <c r="G11034">
        <v>2322138.9</v>
      </c>
    </row>
    <row r="11035" spans="1:7">
      <c r="A11035" t="s">
        <v>1876</v>
      </c>
      <c r="B11035" t="s">
        <v>381</v>
      </c>
      <c r="C11035" t="s">
        <v>193</v>
      </c>
      <c r="D11035">
        <v>1750551.2</v>
      </c>
      <c r="E11035">
        <v>1781554.1</v>
      </c>
      <c r="F11035">
        <v>1793384.5</v>
      </c>
      <c r="G11035">
        <v>1840059.3</v>
      </c>
    </row>
    <row r="11036" spans="1:7">
      <c r="A11036" t="s">
        <v>1876</v>
      </c>
      <c r="B11036" t="s">
        <v>381</v>
      </c>
      <c r="C11036" t="s">
        <v>1930</v>
      </c>
      <c r="D11036">
        <v>0</v>
      </c>
      <c r="E11036">
        <v>0</v>
      </c>
      <c r="F11036">
        <v>0</v>
      </c>
      <c r="G11036">
        <v>0</v>
      </c>
    </row>
    <row r="11037" spans="1:7">
      <c r="A11037" t="s">
        <v>1876</v>
      </c>
      <c r="B11037" t="s">
        <v>381</v>
      </c>
      <c r="C11037" t="s">
        <v>194</v>
      </c>
      <c r="D11037">
        <v>751</v>
      </c>
      <c r="E11037">
        <v>751</v>
      </c>
      <c r="F11037">
        <v>751</v>
      </c>
      <c r="G11037">
        <v>751</v>
      </c>
    </row>
    <row r="11038" spans="1:7">
      <c r="A11038" t="s">
        <v>1876</v>
      </c>
      <c r="B11038" t="s">
        <v>381</v>
      </c>
      <c r="C11038" t="s">
        <v>195</v>
      </c>
      <c r="D11038">
        <v>0</v>
      </c>
      <c r="E11038">
        <v>0</v>
      </c>
      <c r="F11038">
        <v>0</v>
      </c>
      <c r="G11038">
        <v>0</v>
      </c>
    </row>
    <row r="11039" spans="1:7">
      <c r="A11039" t="s">
        <v>1876</v>
      </c>
      <c r="B11039" t="s">
        <v>381</v>
      </c>
      <c r="C11039" t="s">
        <v>1706</v>
      </c>
      <c r="D11039">
        <v>0</v>
      </c>
      <c r="E11039">
        <v>0</v>
      </c>
      <c r="F11039">
        <v>0</v>
      </c>
      <c r="G11039">
        <v>0</v>
      </c>
    </row>
    <row r="11040" spans="1:7">
      <c r="A11040" t="s">
        <v>1876</v>
      </c>
      <c r="B11040" t="s">
        <v>381</v>
      </c>
      <c r="C11040" t="s">
        <v>196</v>
      </c>
      <c r="D11040">
        <v>0</v>
      </c>
      <c r="E11040">
        <v>0</v>
      </c>
      <c r="F11040">
        <v>0</v>
      </c>
      <c r="G11040">
        <v>0</v>
      </c>
    </row>
    <row r="11041" spans="1:7">
      <c r="A11041" t="s">
        <v>1876</v>
      </c>
      <c r="B11041" t="s">
        <v>381</v>
      </c>
      <c r="C11041" t="s">
        <v>197</v>
      </c>
      <c r="D11041">
        <v>434</v>
      </c>
      <c r="E11041">
        <v>434</v>
      </c>
      <c r="F11041">
        <v>434</v>
      </c>
      <c r="G11041">
        <v>434</v>
      </c>
    </row>
    <row r="11042" spans="1:7">
      <c r="A11042" t="s">
        <v>1876</v>
      </c>
      <c r="B11042" t="s">
        <v>381</v>
      </c>
      <c r="C11042" t="s">
        <v>198</v>
      </c>
      <c r="D11042">
        <v>1185</v>
      </c>
      <c r="E11042">
        <v>1185</v>
      </c>
      <c r="F11042">
        <v>1185</v>
      </c>
      <c r="G11042">
        <v>1185</v>
      </c>
    </row>
    <row r="11043" spans="1:7">
      <c r="A11043" t="s">
        <v>1876</v>
      </c>
      <c r="B11043" t="s">
        <v>381</v>
      </c>
      <c r="C11043" t="s">
        <v>199</v>
      </c>
      <c r="D11043">
        <v>1185</v>
      </c>
      <c r="E11043">
        <v>1185</v>
      </c>
      <c r="F11043">
        <v>1185</v>
      </c>
      <c r="G11043">
        <v>1185</v>
      </c>
    </row>
    <row r="11044" spans="1:7">
      <c r="A11044" t="s">
        <v>1876</v>
      </c>
      <c r="B11044" t="s">
        <v>381</v>
      </c>
      <c r="C11044" t="s">
        <v>200</v>
      </c>
      <c r="D11044">
        <v>157</v>
      </c>
      <c r="E11044">
        <v>278</v>
      </c>
      <c r="F11044">
        <v>315</v>
      </c>
      <c r="G11044">
        <v>298</v>
      </c>
    </row>
    <row r="11045" spans="1:7">
      <c r="A11045" t="s">
        <v>1876</v>
      </c>
      <c r="B11045" t="s">
        <v>381</v>
      </c>
      <c r="C11045" t="s">
        <v>201</v>
      </c>
      <c r="D11045">
        <v>10491</v>
      </c>
      <c r="E11045">
        <v>10182</v>
      </c>
      <c r="F11045">
        <v>9774</v>
      </c>
      <c r="G11045">
        <v>11658</v>
      </c>
    </row>
    <row r="11046" spans="1:7">
      <c r="A11046" t="s">
        <v>1876</v>
      </c>
      <c r="B11046" t="s">
        <v>381</v>
      </c>
      <c r="C11046" t="s">
        <v>202</v>
      </c>
      <c r="D11046">
        <v>3736</v>
      </c>
      <c r="E11046">
        <v>4473</v>
      </c>
      <c r="F11046">
        <v>3588</v>
      </c>
      <c r="G11046">
        <v>3080</v>
      </c>
    </row>
    <row r="11047" spans="1:7">
      <c r="A11047" t="s">
        <v>1876</v>
      </c>
      <c r="B11047" t="s">
        <v>381</v>
      </c>
      <c r="C11047" t="s">
        <v>203</v>
      </c>
      <c r="D11047">
        <v>25568</v>
      </c>
      <c r="E11047">
        <v>24197</v>
      </c>
      <c r="F11047">
        <v>22982</v>
      </c>
      <c r="G11047">
        <v>24249</v>
      </c>
    </row>
    <row r="11048" spans="1:7">
      <c r="A11048" t="s">
        <v>1876</v>
      </c>
      <c r="B11048" t="s">
        <v>381</v>
      </c>
      <c r="C11048" t="s">
        <v>204</v>
      </c>
      <c r="D11048">
        <v>39952</v>
      </c>
      <c r="E11048">
        <v>39130</v>
      </c>
      <c r="F11048">
        <v>36658</v>
      </c>
      <c r="G11048">
        <v>39285</v>
      </c>
    </row>
    <row r="11049" spans="1:7">
      <c r="A11049" t="s">
        <v>1876</v>
      </c>
      <c r="B11049" t="s">
        <v>381</v>
      </c>
      <c r="C11049" t="s">
        <v>205</v>
      </c>
      <c r="D11049">
        <v>39952</v>
      </c>
      <c r="E11049">
        <v>39130</v>
      </c>
      <c r="F11049">
        <v>36658</v>
      </c>
      <c r="G11049">
        <v>39285</v>
      </c>
    </row>
    <row r="11050" spans="1:7">
      <c r="A11050" t="s">
        <v>1876</v>
      </c>
      <c r="B11050" t="s">
        <v>381</v>
      </c>
      <c r="C11050" t="s">
        <v>1931</v>
      </c>
      <c r="D11050">
        <v>5.8</v>
      </c>
      <c r="E11050">
        <v>7.2</v>
      </c>
      <c r="F11050">
        <v>5.9</v>
      </c>
      <c r="G11050">
        <v>6.4</v>
      </c>
    </row>
    <row r="11051" spans="1:7">
      <c r="A11051" t="s">
        <v>1876</v>
      </c>
      <c r="B11051" t="s">
        <v>381</v>
      </c>
      <c r="C11051" t="s">
        <v>1707</v>
      </c>
      <c r="D11051">
        <v>1407</v>
      </c>
      <c r="E11051">
        <v>1409</v>
      </c>
      <c r="F11051">
        <v>1405</v>
      </c>
      <c r="G11051">
        <v>1410</v>
      </c>
    </row>
    <row r="11052" spans="1:7">
      <c r="A11052" t="s">
        <v>1876</v>
      </c>
      <c r="B11052" t="s">
        <v>381</v>
      </c>
      <c r="C11052" t="s">
        <v>1932</v>
      </c>
      <c r="D11052">
        <v>71.900000000000006</v>
      </c>
      <c r="E11052">
        <v>68.599999999999994</v>
      </c>
      <c r="F11052">
        <v>71.2</v>
      </c>
      <c r="G11052">
        <v>69.7</v>
      </c>
    </row>
    <row r="11053" spans="1:7">
      <c r="A11053" t="s">
        <v>1876</v>
      </c>
      <c r="B11053" t="s">
        <v>381</v>
      </c>
      <c r="C11053" t="s">
        <v>1708</v>
      </c>
      <c r="D11053">
        <v>4566</v>
      </c>
      <c r="E11053">
        <v>4563</v>
      </c>
      <c r="F11053">
        <v>4561</v>
      </c>
      <c r="G11053">
        <v>4563</v>
      </c>
    </row>
    <row r="11054" spans="1:7">
      <c r="A11054" t="s">
        <v>1876</v>
      </c>
      <c r="B11054" t="s">
        <v>381</v>
      </c>
      <c r="C11054" t="s">
        <v>206</v>
      </c>
      <c r="D11054">
        <v>27</v>
      </c>
      <c r="E11054">
        <v>16</v>
      </c>
      <c r="F11054">
        <v>19</v>
      </c>
      <c r="G11054">
        <v>12</v>
      </c>
    </row>
    <row r="11055" spans="1:7">
      <c r="A11055" t="s">
        <v>1876</v>
      </c>
      <c r="B11055" t="s">
        <v>381</v>
      </c>
      <c r="C11055" t="s">
        <v>207</v>
      </c>
      <c r="D11055">
        <v>97904</v>
      </c>
      <c r="E11055">
        <v>93442</v>
      </c>
      <c r="F11055">
        <v>96790</v>
      </c>
      <c r="G11055">
        <v>95113</v>
      </c>
    </row>
    <row r="11056" spans="1:7">
      <c r="A11056" t="s">
        <v>1876</v>
      </c>
      <c r="B11056" t="s">
        <v>381</v>
      </c>
      <c r="C11056" t="s">
        <v>208</v>
      </c>
      <c r="D11056">
        <v>217</v>
      </c>
      <c r="E11056">
        <v>138</v>
      </c>
      <c r="F11056">
        <v>209</v>
      </c>
      <c r="G11056">
        <v>224</v>
      </c>
    </row>
    <row r="11057" spans="1:7">
      <c r="A11057" t="s">
        <v>1876</v>
      </c>
      <c r="B11057" t="s">
        <v>381</v>
      </c>
      <c r="C11057" t="s">
        <v>209</v>
      </c>
      <c r="D11057">
        <v>98148</v>
      </c>
      <c r="E11057">
        <v>93596</v>
      </c>
      <c r="F11057">
        <v>97017</v>
      </c>
      <c r="G11057">
        <v>95349</v>
      </c>
    </row>
    <row r="11058" spans="1:7">
      <c r="A11058" t="s">
        <v>1876</v>
      </c>
      <c r="B11058" t="s">
        <v>381</v>
      </c>
      <c r="C11058" t="s">
        <v>210</v>
      </c>
      <c r="D11058">
        <v>244</v>
      </c>
      <c r="E11058">
        <v>154</v>
      </c>
      <c r="F11058">
        <v>227</v>
      </c>
      <c r="G11058">
        <v>236</v>
      </c>
    </row>
    <row r="11059" spans="1:7">
      <c r="A11059" t="s">
        <v>1876</v>
      </c>
      <c r="B11059" t="s">
        <v>381</v>
      </c>
      <c r="C11059" t="s">
        <v>211</v>
      </c>
      <c r="D11059">
        <v>0</v>
      </c>
      <c r="E11059">
        <v>0</v>
      </c>
      <c r="F11059">
        <v>0</v>
      </c>
      <c r="G11059">
        <v>0</v>
      </c>
    </row>
    <row r="11060" spans="1:7">
      <c r="A11060" t="s">
        <v>1876</v>
      </c>
      <c r="B11060" t="s">
        <v>381</v>
      </c>
      <c r="C11060" t="s">
        <v>212</v>
      </c>
      <c r="D11060">
        <v>0</v>
      </c>
      <c r="E11060">
        <v>0</v>
      </c>
      <c r="F11060">
        <v>0</v>
      </c>
      <c r="G11060">
        <v>0</v>
      </c>
    </row>
    <row r="11061" spans="1:7">
      <c r="A11061" t="s">
        <v>1876</v>
      </c>
      <c r="B11061" t="s">
        <v>381</v>
      </c>
      <c r="C11061" t="s">
        <v>213</v>
      </c>
      <c r="D11061">
        <v>0</v>
      </c>
      <c r="E11061">
        <v>0</v>
      </c>
      <c r="F11061">
        <v>0</v>
      </c>
      <c r="G11061">
        <v>0</v>
      </c>
    </row>
    <row r="11062" spans="1:7">
      <c r="A11062" t="s">
        <v>1876</v>
      </c>
      <c r="B11062" t="s">
        <v>381</v>
      </c>
      <c r="C11062" t="s">
        <v>214</v>
      </c>
      <c r="D11062">
        <v>0</v>
      </c>
      <c r="E11062">
        <v>0</v>
      </c>
      <c r="F11062">
        <v>0</v>
      </c>
      <c r="G11062">
        <v>0</v>
      </c>
    </row>
    <row r="11063" spans="1:7">
      <c r="A11063" t="s">
        <v>1876</v>
      </c>
      <c r="B11063" t="s">
        <v>381</v>
      </c>
      <c r="C11063" t="s">
        <v>215</v>
      </c>
      <c r="D11063">
        <v>174484</v>
      </c>
      <c r="E11063">
        <v>240097</v>
      </c>
      <c r="F11063">
        <v>268635</v>
      </c>
      <c r="G11063">
        <v>272155</v>
      </c>
    </row>
    <row r="11064" spans="1:7">
      <c r="A11064" t="s">
        <v>1876</v>
      </c>
      <c r="B11064" t="s">
        <v>381</v>
      </c>
      <c r="C11064" t="s">
        <v>216</v>
      </c>
      <c r="D11064">
        <v>174484</v>
      </c>
      <c r="E11064">
        <v>240097</v>
      </c>
      <c r="F11064">
        <v>268635</v>
      </c>
      <c r="G11064">
        <v>272155</v>
      </c>
    </row>
    <row r="11065" spans="1:7">
      <c r="A11065" t="s">
        <v>1876</v>
      </c>
      <c r="B11065" t="s">
        <v>381</v>
      </c>
      <c r="C11065" t="s">
        <v>217</v>
      </c>
      <c r="D11065">
        <v>174484</v>
      </c>
      <c r="E11065">
        <v>240097</v>
      </c>
      <c r="F11065">
        <v>268635</v>
      </c>
      <c r="G11065">
        <v>272155</v>
      </c>
    </row>
    <row r="11066" spans="1:7">
      <c r="A11066" t="s">
        <v>1876</v>
      </c>
      <c r="B11066" t="s">
        <v>381</v>
      </c>
      <c r="C11066" t="s">
        <v>218</v>
      </c>
      <c r="D11066">
        <v>241</v>
      </c>
      <c r="E11066">
        <v>216</v>
      </c>
      <c r="F11066">
        <v>384</v>
      </c>
      <c r="G11066">
        <v>294</v>
      </c>
    </row>
    <row r="11067" spans="1:7">
      <c r="A11067" t="s">
        <v>1876</v>
      </c>
      <c r="B11067" t="s">
        <v>381</v>
      </c>
      <c r="C11067" t="s">
        <v>219</v>
      </c>
      <c r="D11067">
        <v>613</v>
      </c>
      <c r="E11067">
        <v>459</v>
      </c>
      <c r="F11067">
        <v>1842</v>
      </c>
      <c r="G11067">
        <v>1002</v>
      </c>
    </row>
    <row r="11068" spans="1:7">
      <c r="A11068" t="s">
        <v>1876</v>
      </c>
      <c r="B11068" t="s">
        <v>381</v>
      </c>
      <c r="C11068" t="s">
        <v>220</v>
      </c>
      <c r="D11068">
        <v>2497</v>
      </c>
      <c r="E11068">
        <v>2243</v>
      </c>
      <c r="F11068">
        <v>3989</v>
      </c>
      <c r="G11068">
        <v>3049</v>
      </c>
    </row>
    <row r="11069" spans="1:7">
      <c r="A11069" t="s">
        <v>1876</v>
      </c>
      <c r="B11069" t="s">
        <v>381</v>
      </c>
      <c r="C11069" t="s">
        <v>221</v>
      </c>
      <c r="D11069">
        <v>3350</v>
      </c>
      <c r="E11069">
        <v>2918</v>
      </c>
      <c r="F11069">
        <v>6215</v>
      </c>
      <c r="G11069">
        <v>4345</v>
      </c>
    </row>
    <row r="11070" spans="1:7">
      <c r="A11070" t="s">
        <v>1876</v>
      </c>
      <c r="B11070" t="s">
        <v>381</v>
      </c>
      <c r="C11070" t="s">
        <v>222</v>
      </c>
      <c r="D11070">
        <v>3350</v>
      </c>
      <c r="E11070">
        <v>2918</v>
      </c>
      <c r="F11070">
        <v>6215</v>
      </c>
      <c r="G11070">
        <v>4345</v>
      </c>
    </row>
    <row r="11071" spans="1:7">
      <c r="A11071" t="s">
        <v>1876</v>
      </c>
      <c r="B11071" t="s">
        <v>381</v>
      </c>
      <c r="C11071" t="s">
        <v>1933</v>
      </c>
      <c r="D11071">
        <v>10629.3</v>
      </c>
      <c r="E11071">
        <v>10495.6</v>
      </c>
      <c r="F11071">
        <v>10436.9</v>
      </c>
      <c r="G11071">
        <v>10446.799999999999</v>
      </c>
    </row>
    <row r="11072" spans="1:7">
      <c r="A11072" t="s">
        <v>1876</v>
      </c>
      <c r="B11072" t="s">
        <v>381</v>
      </c>
      <c r="C11072" t="s">
        <v>223</v>
      </c>
      <c r="D11072">
        <v>10533</v>
      </c>
      <c r="E11072">
        <v>10939</v>
      </c>
      <c r="F11072">
        <v>12022</v>
      </c>
      <c r="G11072">
        <v>12295</v>
      </c>
    </row>
    <row r="11073" spans="1:7">
      <c r="A11073" t="s">
        <v>1876</v>
      </c>
      <c r="B11073" t="s">
        <v>381</v>
      </c>
      <c r="C11073" t="s">
        <v>224</v>
      </c>
      <c r="D11073">
        <v>299949</v>
      </c>
      <c r="E11073">
        <v>303831</v>
      </c>
      <c r="F11073">
        <v>316499</v>
      </c>
      <c r="G11073">
        <v>313985</v>
      </c>
    </row>
    <row r="11074" spans="1:7">
      <c r="A11074" t="s">
        <v>1876</v>
      </c>
      <c r="B11074" t="s">
        <v>381</v>
      </c>
      <c r="C11074" t="s">
        <v>225</v>
      </c>
      <c r="D11074">
        <v>72461</v>
      </c>
      <c r="E11074">
        <v>68074</v>
      </c>
      <c r="F11074">
        <v>67240</v>
      </c>
      <c r="G11074">
        <v>69841</v>
      </c>
    </row>
    <row r="11075" spans="1:7">
      <c r="A11075" t="s">
        <v>1876</v>
      </c>
      <c r="B11075" t="s">
        <v>381</v>
      </c>
      <c r="C11075" t="s">
        <v>226</v>
      </c>
      <c r="D11075">
        <v>223746</v>
      </c>
      <c r="E11075">
        <v>219766</v>
      </c>
      <c r="F11075">
        <v>222071</v>
      </c>
      <c r="G11075">
        <v>224740</v>
      </c>
    </row>
    <row r="11076" spans="1:7">
      <c r="A11076" t="s">
        <v>1876</v>
      </c>
      <c r="B11076" t="s">
        <v>381</v>
      </c>
      <c r="C11076" t="s">
        <v>227</v>
      </c>
      <c r="D11076">
        <v>606688</v>
      </c>
      <c r="E11076">
        <v>602610</v>
      </c>
      <c r="F11076">
        <v>617832</v>
      </c>
      <c r="G11076">
        <v>620861</v>
      </c>
    </row>
    <row r="11077" spans="1:7">
      <c r="A11077" t="s">
        <v>1876</v>
      </c>
      <c r="B11077" t="s">
        <v>381</v>
      </c>
      <c r="C11077" t="s">
        <v>228</v>
      </c>
      <c r="D11077">
        <v>606688</v>
      </c>
      <c r="E11077">
        <v>602610</v>
      </c>
      <c r="F11077">
        <v>617832</v>
      </c>
      <c r="G11077">
        <v>620861</v>
      </c>
    </row>
    <row r="11078" spans="1:7">
      <c r="A11078" t="s">
        <v>1876</v>
      </c>
      <c r="B11078" t="s">
        <v>381</v>
      </c>
      <c r="C11078" t="s">
        <v>229</v>
      </c>
      <c r="D11078">
        <v>4205</v>
      </c>
      <c r="E11078">
        <v>4623</v>
      </c>
      <c r="F11078">
        <v>3331</v>
      </c>
      <c r="G11078">
        <v>3111</v>
      </c>
    </row>
    <row r="11079" spans="1:7">
      <c r="A11079" t="s">
        <v>1876</v>
      </c>
      <c r="B11079" t="s">
        <v>381</v>
      </c>
      <c r="C11079" t="s">
        <v>230</v>
      </c>
      <c r="D11079">
        <v>3633</v>
      </c>
      <c r="E11079">
        <v>3754</v>
      </c>
      <c r="F11079">
        <v>2696</v>
      </c>
      <c r="G11079">
        <v>2475</v>
      </c>
    </row>
    <row r="11080" spans="1:7">
      <c r="A11080" t="s">
        <v>1876</v>
      </c>
      <c r="B11080" t="s">
        <v>381</v>
      </c>
      <c r="C11080" t="s">
        <v>231</v>
      </c>
      <c r="D11080">
        <v>7838</v>
      </c>
      <c r="E11080">
        <v>8377</v>
      </c>
      <c r="F11080">
        <v>6027</v>
      </c>
      <c r="G11080">
        <v>5586</v>
      </c>
    </row>
    <row r="11081" spans="1:7">
      <c r="A11081" t="s">
        <v>1876</v>
      </c>
      <c r="B11081" t="s">
        <v>381</v>
      </c>
      <c r="C11081" t="s">
        <v>232</v>
      </c>
      <c r="D11081">
        <v>7838</v>
      </c>
      <c r="E11081">
        <v>8377</v>
      </c>
      <c r="F11081">
        <v>6027</v>
      </c>
      <c r="G11081">
        <v>5586</v>
      </c>
    </row>
    <row r="11082" spans="1:7">
      <c r="A11082" t="s">
        <v>1876</v>
      </c>
      <c r="B11082" t="s">
        <v>381</v>
      </c>
      <c r="C11082" t="s">
        <v>233</v>
      </c>
      <c r="D11082">
        <v>0</v>
      </c>
      <c r="E11082">
        <v>0</v>
      </c>
      <c r="F11082">
        <v>0</v>
      </c>
      <c r="G11082">
        <v>0</v>
      </c>
    </row>
    <row r="11083" spans="1:7">
      <c r="A11083" t="s">
        <v>1876</v>
      </c>
      <c r="B11083" t="s">
        <v>381</v>
      </c>
      <c r="C11083" t="s">
        <v>234</v>
      </c>
      <c r="D11083">
        <v>596787</v>
      </c>
      <c r="E11083">
        <v>581648</v>
      </c>
      <c r="F11083">
        <v>598528</v>
      </c>
      <c r="G11083">
        <v>604746</v>
      </c>
    </row>
    <row r="11084" spans="1:7">
      <c r="A11084" t="s">
        <v>1876</v>
      </c>
      <c r="B11084" t="s">
        <v>381</v>
      </c>
      <c r="C11084" t="s">
        <v>235</v>
      </c>
      <c r="D11084">
        <v>15885</v>
      </c>
      <c r="E11084">
        <v>19296</v>
      </c>
      <c r="F11084">
        <v>16330</v>
      </c>
      <c r="G11084">
        <v>14056</v>
      </c>
    </row>
    <row r="11085" spans="1:7">
      <c r="A11085" t="s">
        <v>1876</v>
      </c>
      <c r="B11085" t="s">
        <v>381</v>
      </c>
      <c r="C11085" t="s">
        <v>236</v>
      </c>
      <c r="D11085">
        <v>14438</v>
      </c>
      <c r="E11085">
        <v>14894</v>
      </c>
      <c r="F11085">
        <v>15108</v>
      </c>
      <c r="G11085">
        <v>12289</v>
      </c>
    </row>
    <row r="11086" spans="1:7">
      <c r="A11086" t="s">
        <v>1876</v>
      </c>
      <c r="B11086" t="s">
        <v>381</v>
      </c>
      <c r="C11086" t="s">
        <v>237</v>
      </c>
      <c r="D11086">
        <v>627110</v>
      </c>
      <c r="E11086">
        <v>615838</v>
      </c>
      <c r="F11086">
        <v>629966</v>
      </c>
      <c r="G11086">
        <v>631091</v>
      </c>
    </row>
    <row r="11087" spans="1:7">
      <c r="A11087" t="s">
        <v>1876</v>
      </c>
      <c r="B11087" t="s">
        <v>381</v>
      </c>
      <c r="C11087" t="s">
        <v>238</v>
      </c>
      <c r="D11087">
        <v>627110</v>
      </c>
      <c r="E11087">
        <v>615838</v>
      </c>
      <c r="F11087">
        <v>629966</v>
      </c>
      <c r="G11087">
        <v>631091</v>
      </c>
    </row>
    <row r="11088" spans="1:7">
      <c r="A11088" t="s">
        <v>1876</v>
      </c>
      <c r="B11088" t="s">
        <v>381</v>
      </c>
      <c r="C11088" t="s">
        <v>1934</v>
      </c>
      <c r="D11088">
        <v>554091</v>
      </c>
      <c r="E11088">
        <v>539869</v>
      </c>
      <c r="F11088">
        <v>555651</v>
      </c>
      <c r="G11088">
        <v>561551</v>
      </c>
    </row>
    <row r="11089" spans="1:7">
      <c r="A11089" t="s">
        <v>1876</v>
      </c>
      <c r="B11089" t="s">
        <v>381</v>
      </c>
      <c r="C11089" t="s">
        <v>1935</v>
      </c>
      <c r="D11089">
        <v>14749</v>
      </c>
      <c r="E11089">
        <v>17910</v>
      </c>
      <c r="F11089">
        <v>15160</v>
      </c>
      <c r="G11089">
        <v>13052</v>
      </c>
    </row>
    <row r="11090" spans="1:7">
      <c r="A11090" t="s">
        <v>1876</v>
      </c>
      <c r="B11090" t="s">
        <v>381</v>
      </c>
      <c r="C11090" t="s">
        <v>1936</v>
      </c>
      <c r="D11090">
        <v>13405</v>
      </c>
      <c r="E11090">
        <v>13824</v>
      </c>
      <c r="F11090">
        <v>14026</v>
      </c>
      <c r="G11090">
        <v>11412</v>
      </c>
    </row>
    <row r="11091" spans="1:7">
      <c r="A11091" t="s">
        <v>1876</v>
      </c>
      <c r="B11091" t="s">
        <v>381</v>
      </c>
      <c r="C11091" t="s">
        <v>239</v>
      </c>
      <c r="D11091">
        <v>582245</v>
      </c>
      <c r="E11091">
        <v>571603</v>
      </c>
      <c r="F11091">
        <v>584837</v>
      </c>
      <c r="G11091">
        <v>586015</v>
      </c>
    </row>
    <row r="11092" spans="1:7">
      <c r="A11092" t="s">
        <v>1876</v>
      </c>
      <c r="B11092" t="s">
        <v>381</v>
      </c>
      <c r="C11092" t="s">
        <v>240</v>
      </c>
      <c r="D11092">
        <v>1877</v>
      </c>
      <c r="E11092">
        <v>2622</v>
      </c>
      <c r="F11092">
        <v>2520</v>
      </c>
      <c r="G11092">
        <v>2467</v>
      </c>
    </row>
    <row r="11093" spans="1:7">
      <c r="A11093" t="s">
        <v>1876</v>
      </c>
      <c r="B11093" t="s">
        <v>381</v>
      </c>
      <c r="C11093" t="s">
        <v>241</v>
      </c>
      <c r="D11093">
        <v>0</v>
      </c>
      <c r="E11093">
        <v>0</v>
      </c>
      <c r="F11093">
        <v>0</v>
      </c>
      <c r="G11093">
        <v>0</v>
      </c>
    </row>
    <row r="11094" spans="1:7">
      <c r="A11094" t="s">
        <v>1876</v>
      </c>
      <c r="B11094" t="s">
        <v>381</v>
      </c>
      <c r="C11094" t="s">
        <v>242</v>
      </c>
      <c r="D11094">
        <v>37866</v>
      </c>
      <c r="E11094">
        <v>44048</v>
      </c>
      <c r="F11094">
        <v>40096</v>
      </c>
      <c r="G11094">
        <v>48557</v>
      </c>
    </row>
    <row r="11095" spans="1:7">
      <c r="A11095" t="s">
        <v>1876</v>
      </c>
      <c r="B11095" t="s">
        <v>381</v>
      </c>
      <c r="C11095" t="s">
        <v>243</v>
      </c>
      <c r="D11095">
        <v>307359</v>
      </c>
      <c r="E11095">
        <v>313683</v>
      </c>
      <c r="F11095">
        <v>304180</v>
      </c>
      <c r="G11095">
        <v>293569</v>
      </c>
    </row>
    <row r="11096" spans="1:7">
      <c r="A11096" t="s">
        <v>1876</v>
      </c>
      <c r="B11096" t="s">
        <v>381</v>
      </c>
      <c r="C11096" t="s">
        <v>244</v>
      </c>
      <c r="D11096">
        <v>461577</v>
      </c>
      <c r="E11096">
        <v>490543</v>
      </c>
      <c r="F11096">
        <v>487029</v>
      </c>
      <c r="G11096">
        <v>525653</v>
      </c>
    </row>
    <row r="11097" spans="1:7">
      <c r="A11097" t="s">
        <v>1876</v>
      </c>
      <c r="B11097" t="s">
        <v>381</v>
      </c>
      <c r="C11097" t="s">
        <v>1709</v>
      </c>
      <c r="D11097">
        <v>22919</v>
      </c>
      <c r="E11097">
        <v>22156</v>
      </c>
      <c r="F11097">
        <v>22330</v>
      </c>
      <c r="G11097">
        <v>22280</v>
      </c>
    </row>
    <row r="11098" spans="1:7">
      <c r="A11098" t="s">
        <v>1876</v>
      </c>
      <c r="B11098" t="s">
        <v>381</v>
      </c>
      <c r="C11098" t="s">
        <v>245</v>
      </c>
      <c r="D11098">
        <v>92771</v>
      </c>
      <c r="E11098">
        <v>91987</v>
      </c>
      <c r="F11098">
        <v>87582</v>
      </c>
      <c r="G11098">
        <v>86767</v>
      </c>
    </row>
    <row r="11099" spans="1:7">
      <c r="A11099" t="s">
        <v>1876</v>
      </c>
      <c r="B11099" t="s">
        <v>381</v>
      </c>
      <c r="C11099" t="s">
        <v>246</v>
      </c>
      <c r="D11099">
        <v>459867</v>
      </c>
      <c r="E11099">
        <v>464315</v>
      </c>
      <c r="F11099">
        <v>428171</v>
      </c>
      <c r="G11099">
        <v>414061</v>
      </c>
    </row>
    <row r="11100" spans="1:7">
      <c r="A11100" t="s">
        <v>1876</v>
      </c>
      <c r="B11100" t="s">
        <v>381</v>
      </c>
      <c r="C11100" t="s">
        <v>247</v>
      </c>
      <c r="D11100">
        <v>1359437</v>
      </c>
      <c r="E11100">
        <v>1404576</v>
      </c>
      <c r="F11100">
        <v>1347055</v>
      </c>
      <c r="G11100">
        <v>1368603</v>
      </c>
    </row>
    <row r="11101" spans="1:7">
      <c r="A11101" t="s">
        <v>1876</v>
      </c>
      <c r="B11101" t="s">
        <v>381</v>
      </c>
      <c r="C11101" t="s">
        <v>248</v>
      </c>
      <c r="D11101">
        <v>68.5</v>
      </c>
      <c r="E11101">
        <v>71.3</v>
      </c>
      <c r="F11101">
        <v>68.099999999999994</v>
      </c>
      <c r="G11101">
        <v>68.400000000000006</v>
      </c>
    </row>
    <row r="11102" spans="1:7">
      <c r="A11102" t="s">
        <v>1876</v>
      </c>
      <c r="B11102" t="s">
        <v>381</v>
      </c>
      <c r="C11102" t="s">
        <v>249</v>
      </c>
      <c r="D11102">
        <v>897863</v>
      </c>
      <c r="E11102">
        <v>914033</v>
      </c>
      <c r="F11102">
        <v>860030</v>
      </c>
      <c r="G11102">
        <v>842954</v>
      </c>
    </row>
    <row r="11103" spans="1:7">
      <c r="A11103" t="s">
        <v>1876</v>
      </c>
      <c r="B11103" t="s">
        <v>381</v>
      </c>
      <c r="C11103" t="s">
        <v>250</v>
      </c>
      <c r="D11103">
        <v>1359437</v>
      </c>
      <c r="E11103">
        <v>1403401</v>
      </c>
      <c r="F11103">
        <v>1345406</v>
      </c>
      <c r="G11103">
        <v>1366998</v>
      </c>
    </row>
    <row r="11104" spans="1:7">
      <c r="A11104" t="s">
        <v>1876</v>
      </c>
      <c r="B11104" t="s">
        <v>381</v>
      </c>
      <c r="C11104" t="s">
        <v>1937</v>
      </c>
      <c r="D11104">
        <v>16.399999999999999</v>
      </c>
      <c r="E11104">
        <v>17.899999999999999</v>
      </c>
      <c r="F11104">
        <v>16.8</v>
      </c>
      <c r="G11104">
        <v>18.399999999999999</v>
      </c>
    </row>
    <row r="11105" spans="1:7">
      <c r="A11105" t="s">
        <v>1876</v>
      </c>
      <c r="B11105" t="s">
        <v>381</v>
      </c>
      <c r="C11105" t="s">
        <v>1938</v>
      </c>
      <c r="D11105">
        <v>97</v>
      </c>
      <c r="E11105">
        <v>92.6</v>
      </c>
      <c r="F11105">
        <v>95.1</v>
      </c>
      <c r="G11105">
        <v>92.5</v>
      </c>
    </row>
    <row r="11106" spans="1:7">
      <c r="A11106" t="s">
        <v>1876</v>
      </c>
      <c r="B11106" t="s">
        <v>381</v>
      </c>
      <c r="C11106" t="s">
        <v>251</v>
      </c>
      <c r="D11106">
        <v>325141</v>
      </c>
      <c r="E11106">
        <v>280133</v>
      </c>
      <c r="F11106">
        <v>287690</v>
      </c>
      <c r="G11106">
        <v>282727</v>
      </c>
    </row>
    <row r="11107" spans="1:7">
      <c r="A11107" t="s">
        <v>1876</v>
      </c>
      <c r="B11107" t="s">
        <v>381</v>
      </c>
      <c r="C11107" t="s">
        <v>252</v>
      </c>
      <c r="D11107">
        <v>325141</v>
      </c>
      <c r="E11107">
        <v>280133</v>
      </c>
      <c r="F11107">
        <v>287690</v>
      </c>
      <c r="G11107">
        <v>282727</v>
      </c>
    </row>
    <row r="11108" spans="1:7">
      <c r="A11108" t="s">
        <v>1876</v>
      </c>
      <c r="B11108" t="s">
        <v>381</v>
      </c>
      <c r="C11108" t="s">
        <v>1710</v>
      </c>
      <c r="D11108">
        <v>3341</v>
      </c>
      <c r="E11108">
        <v>3305</v>
      </c>
      <c r="F11108">
        <v>3305</v>
      </c>
      <c r="G11108">
        <v>3330</v>
      </c>
    </row>
    <row r="11109" spans="1:7">
      <c r="A11109" t="s">
        <v>1876</v>
      </c>
      <c r="B11109" t="s">
        <v>381</v>
      </c>
      <c r="C11109" t="s">
        <v>1939</v>
      </c>
      <c r="D11109">
        <v>12.4</v>
      </c>
      <c r="E11109">
        <v>12.8</v>
      </c>
      <c r="F11109">
        <v>11.5</v>
      </c>
      <c r="G11109">
        <v>13.1</v>
      </c>
    </row>
    <row r="11110" spans="1:7">
      <c r="A11110" t="s">
        <v>1876</v>
      </c>
      <c r="B11110" t="s">
        <v>381</v>
      </c>
      <c r="C11110" t="s">
        <v>253</v>
      </c>
      <c r="D11110">
        <v>0</v>
      </c>
      <c r="E11110">
        <v>0</v>
      </c>
      <c r="F11110">
        <v>0</v>
      </c>
      <c r="G11110">
        <v>0</v>
      </c>
    </row>
    <row r="11111" spans="1:7">
      <c r="A11111" t="s">
        <v>1876</v>
      </c>
      <c r="B11111" t="s">
        <v>381</v>
      </c>
      <c r="C11111" t="s">
        <v>1711</v>
      </c>
      <c r="D11111">
        <v>0</v>
      </c>
      <c r="E11111">
        <v>0</v>
      </c>
      <c r="F11111">
        <v>0</v>
      </c>
      <c r="G11111">
        <v>0</v>
      </c>
    </row>
    <row r="11112" spans="1:7">
      <c r="A11112" t="s">
        <v>1876</v>
      </c>
      <c r="B11112" t="s">
        <v>381</v>
      </c>
      <c r="C11112" t="s">
        <v>1712</v>
      </c>
      <c r="D11112">
        <v>4109</v>
      </c>
      <c r="E11112">
        <v>5127</v>
      </c>
      <c r="F11112">
        <v>4923</v>
      </c>
      <c r="G11112">
        <v>4652</v>
      </c>
    </row>
    <row r="11113" spans="1:7">
      <c r="A11113" t="s">
        <v>1876</v>
      </c>
      <c r="B11113" t="s">
        <v>381</v>
      </c>
      <c r="C11113" t="s">
        <v>1713</v>
      </c>
      <c r="D11113">
        <v>2677</v>
      </c>
      <c r="E11113">
        <v>2853</v>
      </c>
      <c r="F11113">
        <v>3965</v>
      </c>
      <c r="G11113">
        <v>3871</v>
      </c>
    </row>
    <row r="11114" spans="1:7">
      <c r="A11114" t="s">
        <v>1876</v>
      </c>
      <c r="B11114" t="s">
        <v>381</v>
      </c>
      <c r="C11114" t="s">
        <v>1940</v>
      </c>
      <c r="D11114">
        <v>911</v>
      </c>
      <c r="E11114">
        <v>1128</v>
      </c>
      <c r="F11114">
        <v>1381</v>
      </c>
      <c r="G11114">
        <v>1404</v>
      </c>
    </row>
    <row r="11115" spans="1:7">
      <c r="A11115" t="s">
        <v>1876</v>
      </c>
      <c r="B11115" t="s">
        <v>381</v>
      </c>
      <c r="C11115" t="s">
        <v>1941</v>
      </c>
      <c r="D11115">
        <v>0</v>
      </c>
      <c r="E11115">
        <v>0</v>
      </c>
      <c r="F11115">
        <v>0</v>
      </c>
      <c r="G11115">
        <v>0</v>
      </c>
    </row>
    <row r="11116" spans="1:7">
      <c r="A11116" t="s">
        <v>1876</v>
      </c>
      <c r="B11116" t="s">
        <v>381</v>
      </c>
      <c r="C11116" t="s">
        <v>254</v>
      </c>
      <c r="D11116">
        <v>4109</v>
      </c>
      <c r="E11116">
        <v>5127</v>
      </c>
      <c r="F11116">
        <v>4923</v>
      </c>
      <c r="G11116">
        <v>4652</v>
      </c>
    </row>
    <row r="11117" spans="1:7">
      <c r="A11117" t="s">
        <v>1876</v>
      </c>
      <c r="B11117" t="s">
        <v>381</v>
      </c>
      <c r="C11117" t="s">
        <v>1942</v>
      </c>
      <c r="D11117">
        <v>1911</v>
      </c>
      <c r="E11117">
        <v>2399</v>
      </c>
      <c r="F11117">
        <v>2937</v>
      </c>
      <c r="G11117">
        <v>2918</v>
      </c>
    </row>
    <row r="11118" spans="1:7">
      <c r="A11118" t="s">
        <v>1876</v>
      </c>
      <c r="B11118" t="s">
        <v>381</v>
      </c>
      <c r="C11118" t="s">
        <v>255</v>
      </c>
      <c r="D11118">
        <v>9608</v>
      </c>
      <c r="E11118">
        <v>11507</v>
      </c>
      <c r="F11118">
        <v>13206</v>
      </c>
      <c r="G11118">
        <v>12845</v>
      </c>
    </row>
    <row r="11119" spans="1:7">
      <c r="A11119" t="s">
        <v>1876</v>
      </c>
      <c r="B11119" t="s">
        <v>381</v>
      </c>
      <c r="C11119" t="s">
        <v>256</v>
      </c>
      <c r="D11119">
        <v>9608</v>
      </c>
      <c r="E11119">
        <v>11507</v>
      </c>
      <c r="F11119">
        <v>13206</v>
      </c>
      <c r="G11119">
        <v>12845</v>
      </c>
    </row>
    <row r="11120" spans="1:7">
      <c r="A11120" t="s">
        <v>1876</v>
      </c>
      <c r="B11120" t="s">
        <v>381</v>
      </c>
      <c r="C11120" t="s">
        <v>1714</v>
      </c>
      <c r="D11120">
        <v>20</v>
      </c>
      <c r="E11120">
        <v>20</v>
      </c>
      <c r="F11120">
        <v>20</v>
      </c>
      <c r="G11120">
        <v>20</v>
      </c>
    </row>
    <row r="11121" spans="1:7">
      <c r="A11121" t="s">
        <v>1876</v>
      </c>
      <c r="B11121" t="s">
        <v>381</v>
      </c>
      <c r="C11121" t="s">
        <v>257</v>
      </c>
      <c r="D11121">
        <v>56618</v>
      </c>
      <c r="E11121">
        <v>49846</v>
      </c>
      <c r="F11121">
        <v>56076</v>
      </c>
      <c r="G11121">
        <v>51697</v>
      </c>
    </row>
    <row r="11122" spans="1:7">
      <c r="A11122" t="s">
        <v>1876</v>
      </c>
      <c r="B11122" t="s">
        <v>381</v>
      </c>
      <c r="C11122" t="s">
        <v>258</v>
      </c>
      <c r="D11122">
        <v>69466</v>
      </c>
      <c r="E11122">
        <v>63729</v>
      </c>
      <c r="F11122">
        <v>72462</v>
      </c>
      <c r="G11122">
        <v>66774</v>
      </c>
    </row>
    <row r="11123" spans="1:7">
      <c r="A11123" t="s">
        <v>1876</v>
      </c>
      <c r="B11123" t="s">
        <v>381</v>
      </c>
      <c r="C11123" t="s">
        <v>259</v>
      </c>
      <c r="D11123">
        <v>69466</v>
      </c>
      <c r="E11123">
        <v>63729</v>
      </c>
      <c r="F11123">
        <v>72462</v>
      </c>
      <c r="G11123">
        <v>66774</v>
      </c>
    </row>
    <row r="11124" spans="1:7">
      <c r="A11124" t="s">
        <v>1876</v>
      </c>
      <c r="B11124" t="s">
        <v>381</v>
      </c>
      <c r="C11124" t="s">
        <v>260</v>
      </c>
      <c r="D11124">
        <v>986518</v>
      </c>
      <c r="E11124">
        <v>1063064</v>
      </c>
      <c r="F11124">
        <v>1091957</v>
      </c>
      <c r="G11124">
        <v>1083041</v>
      </c>
    </row>
    <row r="11125" spans="1:7">
      <c r="A11125" t="s">
        <v>1876</v>
      </c>
      <c r="B11125" t="s">
        <v>381</v>
      </c>
      <c r="C11125" t="s">
        <v>1943</v>
      </c>
      <c r="D11125">
        <v>0.7</v>
      </c>
      <c r="E11125">
        <v>1.4</v>
      </c>
      <c r="F11125">
        <v>0.5</v>
      </c>
      <c r="G11125">
        <v>0.5</v>
      </c>
    </row>
    <row r="11126" spans="1:7">
      <c r="A11126" t="s">
        <v>1876</v>
      </c>
      <c r="B11126" t="s">
        <v>381</v>
      </c>
      <c r="C11126" t="s">
        <v>261</v>
      </c>
      <c r="D11126">
        <v>77430</v>
      </c>
      <c r="E11126">
        <v>80738</v>
      </c>
      <c r="F11126">
        <v>75990</v>
      </c>
      <c r="G11126">
        <v>75011</v>
      </c>
    </row>
    <row r="11127" spans="1:7">
      <c r="A11127" t="s">
        <v>1876</v>
      </c>
      <c r="B11127" t="s">
        <v>381</v>
      </c>
      <c r="C11127" t="s">
        <v>262</v>
      </c>
      <c r="D11127">
        <v>6515</v>
      </c>
      <c r="E11127">
        <v>16375</v>
      </c>
      <c r="F11127">
        <v>3705</v>
      </c>
      <c r="G11127">
        <v>2637</v>
      </c>
    </row>
    <row r="11128" spans="1:7">
      <c r="A11128" t="s">
        <v>1876</v>
      </c>
      <c r="B11128" t="s">
        <v>381</v>
      </c>
      <c r="C11128" t="s">
        <v>1715</v>
      </c>
      <c r="D11128">
        <v>3553</v>
      </c>
      <c r="E11128">
        <v>4075</v>
      </c>
      <c r="F11128">
        <v>3482</v>
      </c>
      <c r="G11128">
        <v>3525</v>
      </c>
    </row>
    <row r="11129" spans="1:7">
      <c r="A11129" t="s">
        <v>1876</v>
      </c>
      <c r="B11129" t="s">
        <v>381</v>
      </c>
      <c r="C11129" t="s">
        <v>263</v>
      </c>
      <c r="D11129">
        <v>89339</v>
      </c>
      <c r="E11129">
        <v>83956</v>
      </c>
      <c r="F11129">
        <v>88744</v>
      </c>
      <c r="G11129">
        <v>80892</v>
      </c>
    </row>
    <row r="11130" spans="1:7">
      <c r="A11130" t="s">
        <v>1876</v>
      </c>
      <c r="B11130" t="s">
        <v>381</v>
      </c>
      <c r="C11130" t="s">
        <v>264</v>
      </c>
      <c r="D11130">
        <v>132221</v>
      </c>
      <c r="E11130">
        <v>132384</v>
      </c>
      <c r="F11130">
        <v>130036</v>
      </c>
      <c r="G11130">
        <v>126894</v>
      </c>
    </row>
    <row r="11131" spans="1:7">
      <c r="A11131" t="s">
        <v>1876</v>
      </c>
      <c r="B11131" t="s">
        <v>381</v>
      </c>
      <c r="C11131" t="s">
        <v>265</v>
      </c>
      <c r="D11131">
        <v>1292024</v>
      </c>
      <c r="E11131">
        <v>1376516</v>
      </c>
      <c r="F11131">
        <v>1390433</v>
      </c>
      <c r="G11131">
        <v>1368475</v>
      </c>
    </row>
    <row r="11132" spans="1:7">
      <c r="A11132" t="s">
        <v>1876</v>
      </c>
      <c r="B11132" t="s">
        <v>381</v>
      </c>
      <c r="C11132" t="s">
        <v>266</v>
      </c>
      <c r="D11132">
        <v>65.099999999999994</v>
      </c>
      <c r="E11132">
        <v>69.8</v>
      </c>
      <c r="F11132">
        <v>70.3</v>
      </c>
      <c r="G11132">
        <v>68.400000000000006</v>
      </c>
    </row>
    <row r="11133" spans="1:7">
      <c r="A11133" t="s">
        <v>1876</v>
      </c>
      <c r="B11133" t="s">
        <v>381</v>
      </c>
      <c r="C11133" t="s">
        <v>267</v>
      </c>
      <c r="D11133">
        <v>1285508</v>
      </c>
      <c r="E11133">
        <v>1360141</v>
      </c>
      <c r="F11133">
        <v>1386728</v>
      </c>
      <c r="G11133">
        <v>1365837</v>
      </c>
    </row>
    <row r="11134" spans="1:7">
      <c r="A11134" t="s">
        <v>1876</v>
      </c>
      <c r="B11134" t="s">
        <v>381</v>
      </c>
      <c r="C11134" t="s">
        <v>268</v>
      </c>
      <c r="D11134">
        <v>0</v>
      </c>
      <c r="E11134">
        <v>0</v>
      </c>
      <c r="F11134">
        <v>0</v>
      </c>
      <c r="G11134">
        <v>0</v>
      </c>
    </row>
    <row r="11135" spans="1:7">
      <c r="A11135" t="s">
        <v>1876</v>
      </c>
      <c r="B11135" t="s">
        <v>381</v>
      </c>
      <c r="C11135" t="s">
        <v>269</v>
      </c>
      <c r="D11135">
        <v>0</v>
      </c>
      <c r="E11135">
        <v>0</v>
      </c>
      <c r="F11135">
        <v>0</v>
      </c>
      <c r="G11135">
        <v>0</v>
      </c>
    </row>
    <row r="11136" spans="1:7">
      <c r="A11136" t="s">
        <v>1876</v>
      </c>
      <c r="B11136" t="s">
        <v>381</v>
      </c>
      <c r="C11136" t="s">
        <v>270</v>
      </c>
      <c r="D11136">
        <v>5839</v>
      </c>
      <c r="E11136">
        <v>1184</v>
      </c>
      <c r="F11136">
        <v>8356</v>
      </c>
      <c r="G11136">
        <v>8148</v>
      </c>
    </row>
    <row r="11137" spans="1:7">
      <c r="A11137" t="s">
        <v>1876</v>
      </c>
      <c r="B11137" t="s">
        <v>381</v>
      </c>
      <c r="C11137" t="s">
        <v>271</v>
      </c>
      <c r="D11137">
        <v>5839</v>
      </c>
      <c r="E11137">
        <v>1184</v>
      </c>
      <c r="F11137">
        <v>8356</v>
      </c>
      <c r="G11137">
        <v>8148</v>
      </c>
    </row>
    <row r="11138" spans="1:7">
      <c r="A11138" t="s">
        <v>1876</v>
      </c>
      <c r="B11138" t="s">
        <v>381</v>
      </c>
      <c r="C11138" t="s">
        <v>272</v>
      </c>
      <c r="D11138">
        <v>5839</v>
      </c>
      <c r="E11138">
        <v>1184</v>
      </c>
      <c r="F11138">
        <v>8356</v>
      </c>
      <c r="G11138">
        <v>8148</v>
      </c>
    </row>
    <row r="11139" spans="1:7">
      <c r="A11139" t="s">
        <v>1876</v>
      </c>
      <c r="B11139" t="s">
        <v>381</v>
      </c>
      <c r="C11139" t="s">
        <v>1944</v>
      </c>
      <c r="D11139">
        <v>43.4</v>
      </c>
      <c r="E11139">
        <v>55.3</v>
      </c>
      <c r="F11139">
        <v>81.3</v>
      </c>
      <c r="G11139">
        <v>107.4</v>
      </c>
    </row>
    <row r="11140" spans="1:7">
      <c r="A11140" t="s">
        <v>1876</v>
      </c>
      <c r="B11140" t="s">
        <v>381</v>
      </c>
      <c r="C11140" t="s">
        <v>1945</v>
      </c>
      <c r="D11140">
        <v>64</v>
      </c>
      <c r="E11140">
        <v>93</v>
      </c>
      <c r="F11140">
        <v>194</v>
      </c>
      <c r="G11140">
        <v>237</v>
      </c>
    </row>
    <row r="11141" spans="1:7">
      <c r="A11141" t="s">
        <v>1876</v>
      </c>
      <c r="B11141" t="s">
        <v>381</v>
      </c>
      <c r="C11141" t="s">
        <v>273</v>
      </c>
      <c r="D11141">
        <v>0</v>
      </c>
      <c r="E11141">
        <v>0</v>
      </c>
      <c r="F11141">
        <v>0</v>
      </c>
      <c r="G11141">
        <v>0</v>
      </c>
    </row>
    <row r="11142" spans="1:7">
      <c r="A11142" t="s">
        <v>1876</v>
      </c>
      <c r="B11142" t="s">
        <v>381</v>
      </c>
      <c r="C11142" t="s">
        <v>1946</v>
      </c>
      <c r="D11142">
        <v>939163</v>
      </c>
      <c r="E11142">
        <v>1016418</v>
      </c>
      <c r="F11142">
        <v>1042778</v>
      </c>
      <c r="G11142">
        <v>1033885</v>
      </c>
    </row>
    <row r="11143" spans="1:7">
      <c r="A11143" t="s">
        <v>1876</v>
      </c>
      <c r="B11143" t="s">
        <v>381</v>
      </c>
      <c r="C11143" t="s">
        <v>1947</v>
      </c>
      <c r="D11143">
        <v>74708</v>
      </c>
      <c r="E11143">
        <v>77428</v>
      </c>
      <c r="F11143">
        <v>72626</v>
      </c>
      <c r="G11143">
        <v>71844</v>
      </c>
    </row>
    <row r="11144" spans="1:7">
      <c r="A11144" t="s">
        <v>1876</v>
      </c>
      <c r="B11144" t="s">
        <v>381</v>
      </c>
      <c r="C11144" t="s">
        <v>1948</v>
      </c>
      <c r="D11144">
        <v>6515</v>
      </c>
      <c r="E11144">
        <v>16375</v>
      </c>
      <c r="F11144">
        <v>3705</v>
      </c>
      <c r="G11144">
        <v>2637</v>
      </c>
    </row>
    <row r="11145" spans="1:7">
      <c r="A11145" t="s">
        <v>1876</v>
      </c>
      <c r="B11145" t="s">
        <v>381</v>
      </c>
      <c r="C11145" t="s">
        <v>1949</v>
      </c>
      <c r="D11145">
        <v>88306</v>
      </c>
      <c r="E11145">
        <v>82886</v>
      </c>
      <c r="F11145">
        <v>87662</v>
      </c>
      <c r="G11145">
        <v>80014</v>
      </c>
    </row>
    <row r="11146" spans="1:7">
      <c r="A11146" t="s">
        <v>1876</v>
      </c>
      <c r="B11146" t="s">
        <v>381</v>
      </c>
      <c r="C11146" t="s">
        <v>1950</v>
      </c>
      <c r="D11146">
        <v>128893</v>
      </c>
      <c r="E11146">
        <v>128292</v>
      </c>
      <c r="F11146">
        <v>125369</v>
      </c>
      <c r="G11146">
        <v>122398</v>
      </c>
    </row>
    <row r="11147" spans="1:7">
      <c r="A11147" t="s">
        <v>1876</v>
      </c>
      <c r="B11147" t="s">
        <v>381</v>
      </c>
      <c r="C11147" t="s">
        <v>274</v>
      </c>
      <c r="D11147">
        <v>1237586</v>
      </c>
      <c r="E11147">
        <v>1321398</v>
      </c>
      <c r="F11147">
        <v>1332140</v>
      </c>
      <c r="G11147">
        <v>1310779</v>
      </c>
    </row>
    <row r="11148" spans="1:7">
      <c r="A11148" t="s">
        <v>1876</v>
      </c>
      <c r="B11148" t="s">
        <v>381</v>
      </c>
      <c r="C11148" t="s">
        <v>275</v>
      </c>
      <c r="D11148">
        <v>0</v>
      </c>
      <c r="E11148">
        <v>0</v>
      </c>
      <c r="F11148">
        <v>0</v>
      </c>
      <c r="G11148">
        <v>0</v>
      </c>
    </row>
    <row r="11149" spans="1:7">
      <c r="A11149" t="s">
        <v>1876</v>
      </c>
      <c r="B11149" t="s">
        <v>381</v>
      </c>
      <c r="C11149" t="s">
        <v>276</v>
      </c>
      <c r="D11149">
        <v>0</v>
      </c>
      <c r="E11149">
        <v>0</v>
      </c>
      <c r="F11149">
        <v>0</v>
      </c>
      <c r="G11149">
        <v>0</v>
      </c>
    </row>
    <row r="11150" spans="1:7">
      <c r="A11150" t="s">
        <v>1876</v>
      </c>
      <c r="B11150" t="s">
        <v>381</v>
      </c>
      <c r="C11150" t="s">
        <v>277</v>
      </c>
      <c r="D11150">
        <v>157</v>
      </c>
      <c r="E11150">
        <v>278</v>
      </c>
      <c r="F11150">
        <v>315</v>
      </c>
      <c r="G11150">
        <v>298</v>
      </c>
    </row>
    <row r="11151" spans="1:7">
      <c r="A11151" t="s">
        <v>1876</v>
      </c>
      <c r="B11151" t="s">
        <v>381</v>
      </c>
      <c r="C11151" t="s">
        <v>278</v>
      </c>
      <c r="D11151">
        <v>10491</v>
      </c>
      <c r="E11151">
        <v>10182</v>
      </c>
      <c r="F11151">
        <v>9774</v>
      </c>
      <c r="G11151">
        <v>11658</v>
      </c>
    </row>
    <row r="11152" spans="1:7">
      <c r="A11152" t="s">
        <v>1876</v>
      </c>
      <c r="B11152" t="s">
        <v>381</v>
      </c>
      <c r="C11152" t="s">
        <v>279</v>
      </c>
      <c r="D11152">
        <v>3736</v>
      </c>
      <c r="E11152">
        <v>4473</v>
      </c>
      <c r="F11152">
        <v>3588</v>
      </c>
      <c r="G11152">
        <v>3080</v>
      </c>
    </row>
    <row r="11153" spans="1:7">
      <c r="A11153" t="s">
        <v>1876</v>
      </c>
      <c r="B11153" t="s">
        <v>381</v>
      </c>
      <c r="C11153" t="s">
        <v>280</v>
      </c>
      <c r="D11153">
        <v>25568</v>
      </c>
      <c r="E11153">
        <v>24197</v>
      </c>
      <c r="F11153">
        <v>22982</v>
      </c>
      <c r="G11153">
        <v>24249</v>
      </c>
    </row>
    <row r="11154" spans="1:7">
      <c r="A11154" t="s">
        <v>1876</v>
      </c>
      <c r="B11154" t="s">
        <v>381</v>
      </c>
      <c r="C11154" t="s">
        <v>281</v>
      </c>
      <c r="D11154">
        <v>39952</v>
      </c>
      <c r="E11154">
        <v>39130</v>
      </c>
      <c r="F11154">
        <v>36658</v>
      </c>
      <c r="G11154">
        <v>39285</v>
      </c>
    </row>
    <row r="11155" spans="1:7">
      <c r="A11155" t="s">
        <v>1876</v>
      </c>
      <c r="B11155" t="s">
        <v>381</v>
      </c>
      <c r="C11155" t="s">
        <v>282</v>
      </c>
      <c r="D11155">
        <v>39952</v>
      </c>
      <c r="E11155">
        <v>39130</v>
      </c>
      <c r="F11155">
        <v>36658</v>
      </c>
      <c r="G11155">
        <v>39285</v>
      </c>
    </row>
    <row r="11156" spans="1:7">
      <c r="A11156" t="s">
        <v>1876</v>
      </c>
      <c r="B11156" t="s">
        <v>381</v>
      </c>
      <c r="C11156" t="s">
        <v>283</v>
      </c>
      <c r="D11156">
        <v>0</v>
      </c>
      <c r="E11156">
        <v>0</v>
      </c>
      <c r="F11156">
        <v>0</v>
      </c>
      <c r="G11156">
        <v>0</v>
      </c>
    </row>
    <row r="11157" spans="1:7">
      <c r="A11157" t="s">
        <v>1876</v>
      </c>
      <c r="B11157" t="s">
        <v>381</v>
      </c>
      <c r="C11157" t="s">
        <v>284</v>
      </c>
      <c r="D11157">
        <v>0</v>
      </c>
      <c r="E11157">
        <v>0</v>
      </c>
      <c r="F11157">
        <v>0</v>
      </c>
      <c r="G11157">
        <v>0</v>
      </c>
    </row>
    <row r="11158" spans="1:7">
      <c r="A11158" t="s">
        <v>1876</v>
      </c>
      <c r="B11158" t="s">
        <v>381</v>
      </c>
      <c r="C11158" t="s">
        <v>1716</v>
      </c>
      <c r="D11158">
        <v>47356</v>
      </c>
      <c r="E11158">
        <v>46645</v>
      </c>
      <c r="F11158">
        <v>49179</v>
      </c>
      <c r="G11158">
        <v>49157</v>
      </c>
    </row>
    <row r="11159" spans="1:7">
      <c r="A11159" t="s">
        <v>1876</v>
      </c>
      <c r="B11159" t="s">
        <v>381</v>
      </c>
      <c r="C11159" t="s">
        <v>1717</v>
      </c>
      <c r="D11159">
        <v>17014</v>
      </c>
      <c r="E11159">
        <v>29301</v>
      </c>
      <c r="F11159">
        <v>29871</v>
      </c>
      <c r="G11159">
        <v>31122</v>
      </c>
    </row>
    <row r="11160" spans="1:7">
      <c r="A11160" t="s">
        <v>1876</v>
      </c>
      <c r="B11160" t="s">
        <v>381</v>
      </c>
      <c r="C11160" t="s">
        <v>1718</v>
      </c>
      <c r="D11160">
        <v>142449</v>
      </c>
      <c r="E11160">
        <v>130491</v>
      </c>
      <c r="F11160">
        <v>132641</v>
      </c>
      <c r="G11160">
        <v>136536</v>
      </c>
    </row>
    <row r="11161" spans="1:7">
      <c r="A11161" t="s">
        <v>1876</v>
      </c>
      <c r="B11161" t="s">
        <v>381</v>
      </c>
      <c r="C11161" t="s">
        <v>1719</v>
      </c>
      <c r="D11161">
        <v>8139</v>
      </c>
      <c r="E11161">
        <v>8585</v>
      </c>
      <c r="F11161">
        <v>9482</v>
      </c>
      <c r="G11161">
        <v>10502</v>
      </c>
    </row>
    <row r="11162" spans="1:7">
      <c r="A11162" t="s">
        <v>1876</v>
      </c>
      <c r="B11162" t="s">
        <v>381</v>
      </c>
      <c r="C11162" t="s">
        <v>1720</v>
      </c>
      <c r="D11162">
        <v>26995</v>
      </c>
      <c r="E11162">
        <v>29607</v>
      </c>
      <c r="F11162">
        <v>29666</v>
      </c>
      <c r="G11162">
        <v>28857</v>
      </c>
    </row>
    <row r="11163" spans="1:7">
      <c r="A11163" t="s">
        <v>1876</v>
      </c>
      <c r="B11163" t="s">
        <v>381</v>
      </c>
      <c r="C11163" t="s">
        <v>1721</v>
      </c>
      <c r="D11163">
        <v>30131</v>
      </c>
      <c r="E11163">
        <v>37347</v>
      </c>
      <c r="F11163">
        <v>34809</v>
      </c>
      <c r="G11163">
        <v>34112</v>
      </c>
    </row>
    <row r="11164" spans="1:7">
      <c r="A11164" t="s">
        <v>1876</v>
      </c>
      <c r="B11164" t="s">
        <v>381</v>
      </c>
      <c r="C11164" t="s">
        <v>285</v>
      </c>
      <c r="D11164">
        <v>263945</v>
      </c>
      <c r="E11164">
        <v>273391</v>
      </c>
      <c r="F11164">
        <v>276165</v>
      </c>
      <c r="G11164">
        <v>279783</v>
      </c>
    </row>
    <row r="11165" spans="1:7">
      <c r="A11165" t="s">
        <v>1876</v>
      </c>
      <c r="B11165" t="s">
        <v>381</v>
      </c>
      <c r="C11165" t="s">
        <v>1951</v>
      </c>
      <c r="D11165">
        <v>7.9</v>
      </c>
      <c r="E11165">
        <v>7.9</v>
      </c>
      <c r="F11165">
        <v>8.1</v>
      </c>
      <c r="G11165">
        <v>8.1999999999999993</v>
      </c>
    </row>
    <row r="11166" spans="1:7">
      <c r="A11166" t="s">
        <v>1876</v>
      </c>
      <c r="B11166" t="s">
        <v>381</v>
      </c>
      <c r="C11166" t="s">
        <v>286</v>
      </c>
      <c r="D11166">
        <v>18191</v>
      </c>
      <c r="E11166">
        <v>18641</v>
      </c>
      <c r="F11166">
        <v>15474</v>
      </c>
      <c r="G11166">
        <v>16750</v>
      </c>
    </row>
    <row r="11167" spans="1:7">
      <c r="A11167" t="s">
        <v>1876</v>
      </c>
      <c r="B11167" t="s">
        <v>381</v>
      </c>
      <c r="C11167" t="s">
        <v>287</v>
      </c>
      <c r="D11167">
        <v>1185</v>
      </c>
      <c r="E11167">
        <v>1214</v>
      </c>
      <c r="F11167">
        <v>1008</v>
      </c>
      <c r="G11167">
        <v>1091</v>
      </c>
    </row>
    <row r="11168" spans="1:7">
      <c r="A11168" t="s">
        <v>1876</v>
      </c>
      <c r="B11168" t="s">
        <v>381</v>
      </c>
      <c r="C11168" t="s">
        <v>288</v>
      </c>
      <c r="D11168">
        <v>5314</v>
      </c>
      <c r="E11168">
        <v>10273</v>
      </c>
      <c r="F11168">
        <v>2782</v>
      </c>
      <c r="G11168">
        <v>1783</v>
      </c>
    </row>
    <row r="11169" spans="1:7">
      <c r="A11169" t="s">
        <v>1876</v>
      </c>
      <c r="B11169" t="s">
        <v>381</v>
      </c>
      <c r="C11169" t="s">
        <v>289</v>
      </c>
      <c r="D11169">
        <v>2793</v>
      </c>
      <c r="E11169">
        <v>2862</v>
      </c>
      <c r="F11169">
        <v>2376</v>
      </c>
      <c r="G11169">
        <v>2572</v>
      </c>
    </row>
    <row r="11170" spans="1:7">
      <c r="A11170" t="s">
        <v>1876</v>
      </c>
      <c r="B11170" t="s">
        <v>381</v>
      </c>
      <c r="C11170" t="s">
        <v>290</v>
      </c>
      <c r="D11170">
        <v>27484</v>
      </c>
      <c r="E11170">
        <v>32990</v>
      </c>
      <c r="F11170">
        <v>21640</v>
      </c>
      <c r="G11170">
        <v>22195</v>
      </c>
    </row>
    <row r="11171" spans="1:7">
      <c r="A11171" t="s">
        <v>1876</v>
      </c>
      <c r="B11171" t="s">
        <v>381</v>
      </c>
      <c r="C11171" t="s">
        <v>291</v>
      </c>
      <c r="D11171">
        <v>22169</v>
      </c>
      <c r="E11171">
        <v>22717</v>
      </c>
      <c r="F11171">
        <v>18858</v>
      </c>
      <c r="G11171">
        <v>20413</v>
      </c>
    </row>
    <row r="11172" spans="1:7">
      <c r="A11172" t="s">
        <v>1876</v>
      </c>
      <c r="B11172" t="s">
        <v>381</v>
      </c>
      <c r="C11172" t="s">
        <v>292</v>
      </c>
      <c r="D11172">
        <v>0</v>
      </c>
      <c r="E11172">
        <v>271</v>
      </c>
      <c r="F11172">
        <v>384</v>
      </c>
      <c r="G11172">
        <v>357</v>
      </c>
    </row>
    <row r="11173" spans="1:7">
      <c r="A11173" t="s">
        <v>1876</v>
      </c>
      <c r="B11173" t="s">
        <v>381</v>
      </c>
      <c r="C11173" t="s">
        <v>293</v>
      </c>
      <c r="D11173">
        <v>0</v>
      </c>
      <c r="E11173">
        <v>424</v>
      </c>
      <c r="F11173">
        <v>614</v>
      </c>
      <c r="G11173">
        <v>639</v>
      </c>
    </row>
    <row r="11174" spans="1:7">
      <c r="A11174" t="s">
        <v>1876</v>
      </c>
      <c r="B11174" t="s">
        <v>381</v>
      </c>
      <c r="C11174" t="s">
        <v>294</v>
      </c>
      <c r="D11174">
        <v>0</v>
      </c>
      <c r="E11174">
        <v>79</v>
      </c>
      <c r="F11174">
        <v>110</v>
      </c>
      <c r="G11174">
        <v>105</v>
      </c>
    </row>
    <row r="11175" spans="1:7">
      <c r="A11175" t="s">
        <v>1876</v>
      </c>
      <c r="B11175" t="s">
        <v>381</v>
      </c>
      <c r="C11175" t="s">
        <v>295</v>
      </c>
      <c r="D11175">
        <v>0</v>
      </c>
      <c r="E11175">
        <v>401</v>
      </c>
      <c r="F11175">
        <v>540</v>
      </c>
      <c r="G11175">
        <v>504</v>
      </c>
    </row>
    <row r="11176" spans="1:7">
      <c r="A11176" t="s">
        <v>1876</v>
      </c>
      <c r="B11176" t="s">
        <v>381</v>
      </c>
      <c r="C11176" t="s">
        <v>296</v>
      </c>
      <c r="D11176">
        <v>0</v>
      </c>
      <c r="E11176">
        <v>1175</v>
      </c>
      <c r="F11176">
        <v>1649</v>
      </c>
      <c r="G11176">
        <v>1605</v>
      </c>
    </row>
    <row r="11177" spans="1:7">
      <c r="A11177" t="s">
        <v>1876</v>
      </c>
      <c r="B11177" t="s">
        <v>381</v>
      </c>
      <c r="C11177" t="s">
        <v>297</v>
      </c>
      <c r="D11177">
        <v>0</v>
      </c>
      <c r="E11177">
        <v>0</v>
      </c>
      <c r="F11177">
        <v>0</v>
      </c>
      <c r="G11177">
        <v>0</v>
      </c>
    </row>
    <row r="11178" spans="1:7">
      <c r="A11178" t="s">
        <v>1876</v>
      </c>
      <c r="B11178" t="s">
        <v>381</v>
      </c>
      <c r="C11178" t="s">
        <v>1952</v>
      </c>
      <c r="D11178">
        <v>0</v>
      </c>
      <c r="E11178">
        <v>0</v>
      </c>
      <c r="F11178">
        <v>0</v>
      </c>
      <c r="G11178">
        <v>0</v>
      </c>
    </row>
    <row r="11179" spans="1:7">
      <c r="A11179" t="s">
        <v>1876</v>
      </c>
      <c r="B11179" t="s">
        <v>381</v>
      </c>
      <c r="C11179" t="s">
        <v>298</v>
      </c>
      <c r="D11179">
        <v>1922</v>
      </c>
      <c r="E11179">
        <v>2167</v>
      </c>
      <c r="F11179">
        <v>2169</v>
      </c>
      <c r="G11179">
        <v>1897</v>
      </c>
    </row>
    <row r="11180" spans="1:7">
      <c r="A11180" t="s">
        <v>1876</v>
      </c>
      <c r="B11180" t="s">
        <v>381</v>
      </c>
      <c r="C11180" t="s">
        <v>299</v>
      </c>
      <c r="D11180">
        <v>4999</v>
      </c>
      <c r="E11180">
        <v>6586</v>
      </c>
      <c r="F11180">
        <v>7433</v>
      </c>
      <c r="G11180">
        <v>8452</v>
      </c>
    </row>
    <row r="11181" spans="1:7">
      <c r="A11181" t="s">
        <v>1876</v>
      </c>
      <c r="B11181" t="s">
        <v>381</v>
      </c>
      <c r="C11181" t="s">
        <v>300</v>
      </c>
      <c r="D11181">
        <v>3898</v>
      </c>
      <c r="E11181">
        <v>6022</v>
      </c>
      <c r="F11181">
        <v>7567</v>
      </c>
      <c r="G11181">
        <v>10608</v>
      </c>
    </row>
    <row r="11182" spans="1:7">
      <c r="A11182" t="s">
        <v>1876</v>
      </c>
      <c r="B11182" t="s">
        <v>381</v>
      </c>
      <c r="C11182" t="s">
        <v>1722</v>
      </c>
      <c r="D11182">
        <v>924</v>
      </c>
      <c r="E11182">
        <v>1377</v>
      </c>
      <c r="F11182">
        <v>1720</v>
      </c>
      <c r="G11182">
        <v>2669</v>
      </c>
    </row>
    <row r="11183" spans="1:7">
      <c r="A11183" t="s">
        <v>1876</v>
      </c>
      <c r="B11183" t="s">
        <v>381</v>
      </c>
      <c r="C11183" t="s">
        <v>301</v>
      </c>
      <c r="D11183">
        <v>81</v>
      </c>
      <c r="E11183">
        <v>94</v>
      </c>
      <c r="F11183">
        <v>93</v>
      </c>
      <c r="G11183">
        <v>104</v>
      </c>
    </row>
    <row r="11184" spans="1:7">
      <c r="A11184" t="s">
        <v>1876</v>
      </c>
      <c r="B11184" t="s">
        <v>381</v>
      </c>
      <c r="C11184" t="s">
        <v>302</v>
      </c>
      <c r="D11184">
        <v>5531</v>
      </c>
      <c r="E11184">
        <v>6567</v>
      </c>
      <c r="F11184">
        <v>7388</v>
      </c>
      <c r="G11184">
        <v>8261</v>
      </c>
    </row>
    <row r="11185" spans="1:7">
      <c r="A11185" t="s">
        <v>1876</v>
      </c>
      <c r="B11185" t="s">
        <v>381</v>
      </c>
      <c r="C11185" t="s">
        <v>303</v>
      </c>
      <c r="D11185">
        <v>14509</v>
      </c>
      <c r="E11185">
        <v>19269</v>
      </c>
      <c r="F11185">
        <v>22481</v>
      </c>
      <c r="G11185">
        <v>27425</v>
      </c>
    </row>
    <row r="11186" spans="1:7">
      <c r="A11186" t="s">
        <v>1876</v>
      </c>
      <c r="B11186" t="s">
        <v>381</v>
      </c>
      <c r="C11186" t="s">
        <v>304</v>
      </c>
      <c r="D11186">
        <v>10611</v>
      </c>
      <c r="E11186">
        <v>13247</v>
      </c>
      <c r="F11186">
        <v>14914</v>
      </c>
      <c r="G11186">
        <v>16817</v>
      </c>
    </row>
    <row r="11187" spans="1:7">
      <c r="A11187" t="s">
        <v>1876</v>
      </c>
      <c r="B11187" t="s">
        <v>381</v>
      </c>
      <c r="C11187" t="s">
        <v>1953</v>
      </c>
      <c r="D11187">
        <v>17</v>
      </c>
      <c r="E11187">
        <v>16.5</v>
      </c>
      <c r="F11187">
        <v>16.399999999999999</v>
      </c>
      <c r="G11187">
        <v>16.899999999999999</v>
      </c>
    </row>
    <row r="11188" spans="1:7">
      <c r="A11188" t="s">
        <v>1876</v>
      </c>
      <c r="B11188" t="s">
        <v>381</v>
      </c>
      <c r="C11188" t="s">
        <v>305</v>
      </c>
      <c r="D11188">
        <v>1043294</v>
      </c>
      <c r="E11188">
        <v>1126921</v>
      </c>
      <c r="F11188">
        <v>1153332</v>
      </c>
      <c r="G11188">
        <v>1153386</v>
      </c>
    </row>
    <row r="11189" spans="1:7">
      <c r="A11189" t="s">
        <v>1876</v>
      </c>
      <c r="B11189" t="s">
        <v>381</v>
      </c>
      <c r="C11189" t="s">
        <v>306</v>
      </c>
      <c r="D11189">
        <v>52.6</v>
      </c>
      <c r="E11189">
        <v>57.2</v>
      </c>
      <c r="F11189">
        <v>58.3</v>
      </c>
      <c r="G11189">
        <v>57.7</v>
      </c>
    </row>
    <row r="11190" spans="1:7">
      <c r="A11190" t="s">
        <v>1876</v>
      </c>
      <c r="B11190" t="s">
        <v>381</v>
      </c>
      <c r="C11190" t="s">
        <v>307</v>
      </c>
      <c r="D11190">
        <v>937599</v>
      </c>
      <c r="E11190">
        <v>970337</v>
      </c>
      <c r="F11190">
        <v>966484</v>
      </c>
      <c r="G11190">
        <v>952597</v>
      </c>
    </row>
    <row r="11191" spans="1:7">
      <c r="A11191" t="s">
        <v>1876</v>
      </c>
      <c r="B11191" t="s">
        <v>381</v>
      </c>
      <c r="C11191" t="s">
        <v>308</v>
      </c>
      <c r="D11191">
        <v>47.3</v>
      </c>
      <c r="E11191">
        <v>49.2</v>
      </c>
      <c r="F11191">
        <v>48.8</v>
      </c>
      <c r="G11191">
        <v>47.6</v>
      </c>
    </row>
    <row r="11192" spans="1:7">
      <c r="A11192" t="s">
        <v>1876</v>
      </c>
      <c r="B11192" t="s">
        <v>381</v>
      </c>
      <c r="C11192" t="s">
        <v>309</v>
      </c>
      <c r="D11192">
        <v>982533</v>
      </c>
      <c r="E11192">
        <v>958771</v>
      </c>
      <c r="F11192">
        <v>930159</v>
      </c>
      <c r="G11192">
        <v>967808</v>
      </c>
    </row>
    <row r="11193" spans="1:7">
      <c r="A11193" t="s">
        <v>1876</v>
      </c>
      <c r="B11193" t="s">
        <v>381</v>
      </c>
      <c r="C11193" t="s">
        <v>310</v>
      </c>
      <c r="D11193">
        <v>343536</v>
      </c>
      <c r="E11193">
        <v>333816</v>
      </c>
      <c r="F11193">
        <v>328634</v>
      </c>
      <c r="G11193">
        <v>321950</v>
      </c>
    </row>
    <row r="11194" spans="1:7">
      <c r="A11194" t="s">
        <v>1876</v>
      </c>
      <c r="B11194" t="s">
        <v>381</v>
      </c>
      <c r="C11194" t="s">
        <v>311</v>
      </c>
      <c r="D11194">
        <v>17.3</v>
      </c>
      <c r="E11194">
        <v>16.899999999999999</v>
      </c>
      <c r="F11194">
        <v>16.600000000000001</v>
      </c>
      <c r="G11194">
        <v>16.100000000000001</v>
      </c>
    </row>
    <row r="11195" spans="1:7">
      <c r="A11195" t="s">
        <v>1876</v>
      </c>
      <c r="B11195" t="s">
        <v>381</v>
      </c>
      <c r="C11195" t="s">
        <v>312</v>
      </c>
      <c r="D11195">
        <v>1020595</v>
      </c>
      <c r="E11195">
        <v>1027519</v>
      </c>
      <c r="F11195">
        <v>980866</v>
      </c>
      <c r="G11195">
        <v>968332</v>
      </c>
    </row>
    <row r="11196" spans="1:7">
      <c r="A11196" t="s">
        <v>1876</v>
      </c>
      <c r="B11196" t="s">
        <v>381</v>
      </c>
      <c r="C11196" t="s">
        <v>313</v>
      </c>
      <c r="D11196">
        <v>51.5</v>
      </c>
      <c r="E11196">
        <v>52.1</v>
      </c>
      <c r="F11196">
        <v>49.6</v>
      </c>
      <c r="G11196">
        <v>48.4</v>
      </c>
    </row>
    <row r="11197" spans="1:7">
      <c r="A11197" t="s">
        <v>1876</v>
      </c>
      <c r="B11197" t="s">
        <v>381</v>
      </c>
      <c r="C11197" t="s">
        <v>314</v>
      </c>
      <c r="D11197">
        <v>3345022</v>
      </c>
      <c r="E11197">
        <v>3458594</v>
      </c>
      <c r="F11197">
        <v>3429313</v>
      </c>
      <c r="G11197">
        <v>3396261</v>
      </c>
    </row>
    <row r="11198" spans="1:7">
      <c r="A11198" t="s">
        <v>1876</v>
      </c>
      <c r="B11198" t="s">
        <v>381</v>
      </c>
      <c r="C11198" t="s">
        <v>315</v>
      </c>
      <c r="D11198">
        <v>1.91</v>
      </c>
      <c r="E11198">
        <v>1.94</v>
      </c>
      <c r="F11198">
        <v>1.91</v>
      </c>
      <c r="G11198">
        <v>1.85</v>
      </c>
    </row>
    <row r="11199" spans="1:7">
      <c r="A11199" t="s">
        <v>1876</v>
      </c>
      <c r="B11199" t="s">
        <v>381</v>
      </c>
      <c r="C11199" t="s">
        <v>316</v>
      </c>
      <c r="D11199">
        <v>168.6</v>
      </c>
      <c r="E11199">
        <v>175.4</v>
      </c>
      <c r="F11199">
        <v>173.3</v>
      </c>
      <c r="G11199">
        <v>169.8</v>
      </c>
    </row>
    <row r="11200" spans="1:7">
      <c r="A11200" t="s">
        <v>1876</v>
      </c>
      <c r="B11200" t="s">
        <v>381</v>
      </c>
      <c r="C11200" t="s">
        <v>317</v>
      </c>
      <c r="D11200">
        <v>3345025</v>
      </c>
      <c r="E11200">
        <v>3458593</v>
      </c>
      <c r="F11200">
        <v>3429317</v>
      </c>
      <c r="G11200">
        <v>3396265</v>
      </c>
    </row>
    <row r="11201" spans="1:7">
      <c r="A11201" t="s">
        <v>1876</v>
      </c>
      <c r="B11201" t="s">
        <v>381</v>
      </c>
      <c r="C11201" t="s">
        <v>318</v>
      </c>
      <c r="D11201">
        <v>1032762</v>
      </c>
      <c r="E11201">
        <v>1115982</v>
      </c>
      <c r="F11201">
        <v>1141310</v>
      </c>
      <c r="G11201">
        <v>1141091</v>
      </c>
    </row>
    <row r="11202" spans="1:7">
      <c r="A11202" t="s">
        <v>1876</v>
      </c>
      <c r="B11202" t="s">
        <v>381</v>
      </c>
      <c r="C11202" t="s">
        <v>319</v>
      </c>
      <c r="D11202">
        <v>637650</v>
      </c>
      <c r="E11202">
        <v>666506</v>
      </c>
      <c r="F11202">
        <v>649985</v>
      </c>
      <c r="G11202">
        <v>638612</v>
      </c>
    </row>
    <row r="11203" spans="1:7">
      <c r="A11203" t="s">
        <v>1876</v>
      </c>
      <c r="B11203" t="s">
        <v>381</v>
      </c>
      <c r="C11203" t="s">
        <v>320</v>
      </c>
      <c r="D11203">
        <v>271076</v>
      </c>
      <c r="E11203">
        <v>265743</v>
      </c>
      <c r="F11203">
        <v>261395</v>
      </c>
      <c r="G11203">
        <v>252109</v>
      </c>
    </row>
    <row r="11204" spans="1:7">
      <c r="A11204" t="s">
        <v>1876</v>
      </c>
      <c r="B11204" t="s">
        <v>381</v>
      </c>
      <c r="C11204" t="s">
        <v>321</v>
      </c>
      <c r="D11204">
        <v>796850</v>
      </c>
      <c r="E11204">
        <v>807753</v>
      </c>
      <c r="F11204">
        <v>758795</v>
      </c>
      <c r="G11204">
        <v>743592</v>
      </c>
    </row>
    <row r="11205" spans="1:7">
      <c r="A11205" t="s">
        <v>1876</v>
      </c>
      <c r="B11205" t="s">
        <v>381</v>
      </c>
      <c r="C11205" t="s">
        <v>1954</v>
      </c>
      <c r="D11205">
        <v>2738337</v>
      </c>
      <c r="E11205">
        <v>2855983</v>
      </c>
      <c r="F11205">
        <v>2811485</v>
      </c>
      <c r="G11205">
        <v>2775404</v>
      </c>
    </row>
    <row r="11206" spans="1:7">
      <c r="A11206" t="s">
        <v>1876</v>
      </c>
      <c r="B11206" t="s">
        <v>381</v>
      </c>
      <c r="C11206" t="s">
        <v>323</v>
      </c>
      <c r="D11206">
        <v>19835</v>
      </c>
      <c r="E11206">
        <v>19713</v>
      </c>
      <c r="F11206">
        <v>19787</v>
      </c>
      <c r="G11206">
        <v>20001</v>
      </c>
    </row>
    <row r="11207" spans="1:7">
      <c r="A11207" t="s">
        <v>1876</v>
      </c>
      <c r="B11207" t="s">
        <v>381</v>
      </c>
      <c r="C11207" t="s">
        <v>324</v>
      </c>
      <c r="D11207">
        <v>0</v>
      </c>
      <c r="E11207">
        <v>0</v>
      </c>
      <c r="F11207">
        <v>0</v>
      </c>
      <c r="G11207">
        <v>0</v>
      </c>
    </row>
    <row r="11208" spans="1:7">
      <c r="A11208" t="s">
        <v>1876</v>
      </c>
      <c r="B11208" t="s">
        <v>381</v>
      </c>
      <c r="C11208" t="s">
        <v>325</v>
      </c>
      <c r="D11208">
        <v>0</v>
      </c>
      <c r="E11208">
        <v>0</v>
      </c>
      <c r="F11208">
        <v>0</v>
      </c>
      <c r="G11208">
        <v>0</v>
      </c>
    </row>
    <row r="11209" spans="1:7">
      <c r="A11209" t="s">
        <v>1876</v>
      </c>
      <c r="B11209" t="s">
        <v>381</v>
      </c>
      <c r="C11209" t="s">
        <v>326</v>
      </c>
      <c r="D11209">
        <v>4011</v>
      </c>
      <c r="E11209">
        <v>4011</v>
      </c>
      <c r="F11209">
        <v>4011</v>
      </c>
      <c r="G11209">
        <v>4011</v>
      </c>
    </row>
    <row r="11210" spans="1:7">
      <c r="A11210" t="s">
        <v>1876</v>
      </c>
      <c r="B11210" t="s">
        <v>381</v>
      </c>
      <c r="C11210" t="s">
        <v>327</v>
      </c>
      <c r="D11210">
        <v>5427</v>
      </c>
      <c r="E11210">
        <v>4950</v>
      </c>
      <c r="F11210">
        <v>1408</v>
      </c>
      <c r="G11210">
        <v>0</v>
      </c>
    </row>
    <row r="11211" spans="1:7">
      <c r="A11211" t="s">
        <v>1876</v>
      </c>
      <c r="B11211" t="s">
        <v>381</v>
      </c>
      <c r="C11211" t="s">
        <v>1723</v>
      </c>
      <c r="D11211">
        <v>78</v>
      </c>
      <c r="E11211">
        <v>78</v>
      </c>
      <c r="F11211">
        <v>78</v>
      </c>
      <c r="G11211">
        <v>23</v>
      </c>
    </row>
    <row r="11212" spans="1:7">
      <c r="A11212" t="s">
        <v>1876</v>
      </c>
      <c r="B11212" t="s">
        <v>381</v>
      </c>
      <c r="C11212" t="s">
        <v>328</v>
      </c>
      <c r="D11212">
        <v>18071</v>
      </c>
      <c r="E11212">
        <v>22807</v>
      </c>
      <c r="F11212">
        <v>22576</v>
      </c>
      <c r="G11212">
        <v>22013</v>
      </c>
    </row>
    <row r="11213" spans="1:7">
      <c r="A11213" t="s">
        <v>1876</v>
      </c>
      <c r="B11213" t="s">
        <v>381</v>
      </c>
      <c r="C11213" t="s">
        <v>329</v>
      </c>
      <c r="D11213">
        <v>20839</v>
      </c>
      <c r="E11213">
        <v>26254</v>
      </c>
      <c r="F11213">
        <v>22319</v>
      </c>
      <c r="G11213">
        <v>20922</v>
      </c>
    </row>
    <row r="11214" spans="1:7">
      <c r="A11214" t="s">
        <v>1876</v>
      </c>
      <c r="B11214" t="s">
        <v>381</v>
      </c>
      <c r="C11214" t="s">
        <v>330</v>
      </c>
      <c r="D11214">
        <v>48348</v>
      </c>
      <c r="E11214">
        <v>58022</v>
      </c>
      <c r="F11214">
        <v>50314</v>
      </c>
      <c r="G11214">
        <v>46946</v>
      </c>
    </row>
    <row r="11215" spans="1:7">
      <c r="A11215" t="s">
        <v>1876</v>
      </c>
      <c r="B11215" t="s">
        <v>381</v>
      </c>
      <c r="C11215" t="s">
        <v>331</v>
      </c>
      <c r="D11215">
        <v>4493</v>
      </c>
      <c r="E11215">
        <v>14616</v>
      </c>
      <c r="F11215">
        <v>14283</v>
      </c>
      <c r="G11215">
        <v>14720</v>
      </c>
    </row>
    <row r="11216" spans="1:7">
      <c r="A11216" t="s">
        <v>1876</v>
      </c>
      <c r="B11216" t="s">
        <v>381</v>
      </c>
      <c r="C11216" t="s">
        <v>332</v>
      </c>
      <c r="D11216">
        <v>21057</v>
      </c>
      <c r="E11216">
        <v>10507</v>
      </c>
      <c r="F11216">
        <v>10515</v>
      </c>
      <c r="G11216">
        <v>10251</v>
      </c>
    </row>
    <row r="11217" spans="1:7">
      <c r="A11217" t="s">
        <v>1876</v>
      </c>
      <c r="B11217" t="s">
        <v>381</v>
      </c>
      <c r="C11217" t="s">
        <v>1724</v>
      </c>
      <c r="D11217">
        <v>381</v>
      </c>
      <c r="E11217">
        <v>377</v>
      </c>
      <c r="F11217">
        <v>377</v>
      </c>
      <c r="G11217">
        <v>377</v>
      </c>
    </row>
    <row r="11218" spans="1:7">
      <c r="A11218" t="s">
        <v>1876</v>
      </c>
      <c r="B11218" t="s">
        <v>381</v>
      </c>
      <c r="C11218" t="s">
        <v>333</v>
      </c>
      <c r="D11218">
        <v>4562</v>
      </c>
      <c r="E11218">
        <v>2493</v>
      </c>
      <c r="F11218">
        <v>2657</v>
      </c>
      <c r="G11218">
        <v>2607</v>
      </c>
    </row>
    <row r="11219" spans="1:7">
      <c r="A11219" t="s">
        <v>1876</v>
      </c>
      <c r="B11219" t="s">
        <v>381</v>
      </c>
      <c r="C11219" t="s">
        <v>334</v>
      </c>
      <c r="D11219">
        <v>30112</v>
      </c>
      <c r="E11219">
        <v>27617</v>
      </c>
      <c r="F11219">
        <v>27455</v>
      </c>
      <c r="G11219">
        <v>27578</v>
      </c>
    </row>
    <row r="11220" spans="1:7">
      <c r="A11220" t="s">
        <v>1876</v>
      </c>
      <c r="B11220" t="s">
        <v>381</v>
      </c>
      <c r="C11220" t="s">
        <v>335</v>
      </c>
      <c r="D11220">
        <v>8505</v>
      </c>
      <c r="E11220">
        <v>18628</v>
      </c>
      <c r="F11220">
        <v>18294</v>
      </c>
      <c r="G11220">
        <v>18732</v>
      </c>
    </row>
    <row r="11221" spans="1:7">
      <c r="A11221" t="s">
        <v>1876</v>
      </c>
      <c r="B11221" t="s">
        <v>381</v>
      </c>
      <c r="C11221" t="s">
        <v>336</v>
      </c>
      <c r="D11221">
        <v>26483</v>
      </c>
      <c r="E11221">
        <v>15458</v>
      </c>
      <c r="F11221">
        <v>11922</v>
      </c>
      <c r="G11221">
        <v>10251</v>
      </c>
    </row>
    <row r="11222" spans="1:7">
      <c r="A11222" t="s">
        <v>1876</v>
      </c>
      <c r="B11222" t="s">
        <v>381</v>
      </c>
      <c r="C11222" t="s">
        <v>337</v>
      </c>
      <c r="D11222">
        <v>22632</v>
      </c>
      <c r="E11222">
        <v>25300</v>
      </c>
      <c r="F11222">
        <v>25233</v>
      </c>
      <c r="G11222">
        <v>24620</v>
      </c>
    </row>
    <row r="11223" spans="1:7">
      <c r="A11223" t="s">
        <v>1876</v>
      </c>
      <c r="B11223" t="s">
        <v>381</v>
      </c>
      <c r="C11223" t="s">
        <v>338</v>
      </c>
      <c r="D11223">
        <v>78460</v>
      </c>
      <c r="E11223">
        <v>85639</v>
      </c>
      <c r="F11223">
        <v>77769</v>
      </c>
      <c r="G11223">
        <v>74525</v>
      </c>
    </row>
    <row r="11224" spans="1:7">
      <c r="A11224" t="s">
        <v>1876</v>
      </c>
      <c r="B11224" t="s">
        <v>381</v>
      </c>
      <c r="C11224" t="s">
        <v>339</v>
      </c>
      <c r="D11224">
        <v>51976</v>
      </c>
      <c r="E11224">
        <v>70182</v>
      </c>
      <c r="F11224">
        <v>65846</v>
      </c>
      <c r="G11224">
        <v>64274</v>
      </c>
    </row>
    <row r="11225" spans="1:7">
      <c r="A11225" t="s">
        <v>1876</v>
      </c>
      <c r="B11225" t="s">
        <v>381</v>
      </c>
      <c r="C11225" t="s">
        <v>340</v>
      </c>
      <c r="D11225">
        <v>309</v>
      </c>
      <c r="E11225">
        <v>338</v>
      </c>
      <c r="F11225">
        <v>234</v>
      </c>
      <c r="G11225">
        <v>288</v>
      </c>
    </row>
    <row r="11226" spans="1:7">
      <c r="A11226" t="s">
        <v>1876</v>
      </c>
      <c r="B11226" t="s">
        <v>381</v>
      </c>
      <c r="C11226" t="s">
        <v>1955</v>
      </c>
      <c r="D11226">
        <v>23</v>
      </c>
      <c r="E11226">
        <v>23.8</v>
      </c>
      <c r="F11226">
        <v>21.5</v>
      </c>
      <c r="G11226">
        <v>24.4</v>
      </c>
    </row>
    <row r="11227" spans="1:7">
      <c r="A11227" t="s">
        <v>1876</v>
      </c>
      <c r="B11227" t="s">
        <v>381</v>
      </c>
      <c r="C11227" t="s">
        <v>341</v>
      </c>
      <c r="D11227">
        <v>10</v>
      </c>
      <c r="E11227">
        <v>9</v>
      </c>
      <c r="F11227">
        <v>10</v>
      </c>
      <c r="G11227">
        <v>9</v>
      </c>
    </row>
    <row r="11228" spans="1:7">
      <c r="A11228" t="s">
        <v>1876</v>
      </c>
      <c r="B11228" t="s">
        <v>381</v>
      </c>
      <c r="C11228" t="s">
        <v>342</v>
      </c>
      <c r="D11228">
        <v>14164</v>
      </c>
      <c r="E11228">
        <v>15569</v>
      </c>
      <c r="F11228">
        <v>16361</v>
      </c>
      <c r="G11228">
        <v>20563</v>
      </c>
    </row>
    <row r="11229" spans="1:7">
      <c r="A11229" t="s">
        <v>1876</v>
      </c>
      <c r="B11229" t="s">
        <v>381</v>
      </c>
      <c r="C11229" t="s">
        <v>1725</v>
      </c>
      <c r="D11229">
        <v>2190</v>
      </c>
      <c r="E11229">
        <v>2190</v>
      </c>
      <c r="F11229">
        <v>2746</v>
      </c>
      <c r="G11229">
        <v>2870</v>
      </c>
    </row>
    <row r="11230" spans="1:7">
      <c r="A11230" t="s">
        <v>1876</v>
      </c>
      <c r="B11230" t="s">
        <v>381</v>
      </c>
      <c r="C11230" t="s">
        <v>343</v>
      </c>
      <c r="D11230">
        <v>8</v>
      </c>
      <c r="E11230">
        <v>7</v>
      </c>
      <c r="F11230">
        <v>5</v>
      </c>
      <c r="G11230">
        <v>7</v>
      </c>
    </row>
    <row r="11231" spans="1:7">
      <c r="A11231" t="s">
        <v>1876</v>
      </c>
      <c r="B11231" t="s">
        <v>381</v>
      </c>
      <c r="C11231" t="s">
        <v>344</v>
      </c>
      <c r="D11231">
        <v>14182</v>
      </c>
      <c r="E11231">
        <v>15584</v>
      </c>
      <c r="F11231">
        <v>16377</v>
      </c>
      <c r="G11231">
        <v>20579</v>
      </c>
    </row>
    <row r="11232" spans="1:7">
      <c r="A11232" t="s">
        <v>1876</v>
      </c>
      <c r="B11232" t="s">
        <v>381</v>
      </c>
      <c r="C11232" t="s">
        <v>345</v>
      </c>
      <c r="D11232">
        <v>18</v>
      </c>
      <c r="E11232">
        <v>16</v>
      </c>
      <c r="F11232">
        <v>15</v>
      </c>
      <c r="G11232">
        <v>16</v>
      </c>
    </row>
    <row r="11233" spans="1:7">
      <c r="A11233" t="s">
        <v>1876</v>
      </c>
      <c r="B11233" t="s">
        <v>381</v>
      </c>
      <c r="C11233" t="s">
        <v>1956</v>
      </c>
      <c r="D11233">
        <v>21057</v>
      </c>
      <c r="E11233">
        <v>10507</v>
      </c>
      <c r="F11233">
        <v>10515</v>
      </c>
      <c r="G11233">
        <v>10251</v>
      </c>
    </row>
    <row r="11234" spans="1:7">
      <c r="A11234" t="s">
        <v>1876</v>
      </c>
      <c r="B11234" t="s">
        <v>381</v>
      </c>
      <c r="C11234" t="s">
        <v>1957</v>
      </c>
      <c r="D11234">
        <v>30112</v>
      </c>
      <c r="E11234">
        <v>27617</v>
      </c>
      <c r="F11234">
        <v>27455</v>
      </c>
      <c r="G11234">
        <v>27578</v>
      </c>
    </row>
    <row r="11235" spans="1:7">
      <c r="A11235" t="s">
        <v>1876</v>
      </c>
      <c r="B11235" t="s">
        <v>381</v>
      </c>
      <c r="C11235" t="s">
        <v>346</v>
      </c>
      <c r="D11235">
        <v>746</v>
      </c>
      <c r="E11235">
        <v>758</v>
      </c>
      <c r="F11235">
        <v>628</v>
      </c>
      <c r="G11235">
        <v>764</v>
      </c>
    </row>
    <row r="11236" spans="1:7">
      <c r="A11236" t="s">
        <v>1876</v>
      </c>
      <c r="B11236" t="s">
        <v>381</v>
      </c>
      <c r="C11236" t="s">
        <v>347</v>
      </c>
      <c r="D11236">
        <v>5517</v>
      </c>
      <c r="E11236">
        <v>5849</v>
      </c>
      <c r="F11236">
        <v>5206</v>
      </c>
      <c r="G11236">
        <v>5255</v>
      </c>
    </row>
    <row r="11237" spans="1:7">
      <c r="A11237" t="s">
        <v>1876</v>
      </c>
      <c r="B11237" t="s">
        <v>382</v>
      </c>
      <c r="C11237" t="s">
        <v>133</v>
      </c>
      <c r="D11237">
        <v>-27</v>
      </c>
      <c r="E11237">
        <v>-21</v>
      </c>
      <c r="F11237">
        <v>-19</v>
      </c>
      <c r="G11237">
        <v>-35</v>
      </c>
    </row>
    <row r="11238" spans="1:7">
      <c r="A11238" t="s">
        <v>1876</v>
      </c>
      <c r="B11238" t="s">
        <v>382</v>
      </c>
      <c r="C11238" t="s">
        <v>134</v>
      </c>
      <c r="D11238">
        <v>28817</v>
      </c>
      <c r="E11238">
        <v>34774</v>
      </c>
      <c r="F11238">
        <v>34355</v>
      </c>
      <c r="G11238">
        <v>29951</v>
      </c>
    </row>
    <row r="11239" spans="1:7">
      <c r="A11239" t="s">
        <v>1876</v>
      </c>
      <c r="B11239" t="s">
        <v>382</v>
      </c>
      <c r="C11239" t="s">
        <v>135</v>
      </c>
      <c r="D11239">
        <v>28817</v>
      </c>
      <c r="E11239">
        <v>34774</v>
      </c>
      <c r="F11239">
        <v>34355</v>
      </c>
      <c r="G11239">
        <v>29951</v>
      </c>
    </row>
    <row r="11240" spans="1:7">
      <c r="A11240" t="s">
        <v>1876</v>
      </c>
      <c r="B11240" t="s">
        <v>382</v>
      </c>
      <c r="C11240" t="s">
        <v>136</v>
      </c>
      <c r="D11240">
        <v>28817</v>
      </c>
      <c r="E11240">
        <v>34774</v>
      </c>
      <c r="F11240">
        <v>34355</v>
      </c>
      <c r="G11240">
        <v>29951</v>
      </c>
    </row>
    <row r="11241" spans="1:7">
      <c r="A11241" t="s">
        <v>1876</v>
      </c>
      <c r="B11241" t="s">
        <v>382</v>
      </c>
      <c r="C11241" t="s">
        <v>137</v>
      </c>
      <c r="D11241">
        <v>464</v>
      </c>
      <c r="E11241">
        <v>480</v>
      </c>
      <c r="F11241">
        <v>456</v>
      </c>
      <c r="G11241">
        <v>490</v>
      </c>
    </row>
    <row r="11242" spans="1:7">
      <c r="A11242" t="s">
        <v>1876</v>
      </c>
      <c r="B11242" t="s">
        <v>382</v>
      </c>
      <c r="C11242" t="s">
        <v>138</v>
      </c>
      <c r="D11242">
        <v>464</v>
      </c>
      <c r="E11242">
        <v>480</v>
      </c>
      <c r="F11242">
        <v>456</v>
      </c>
      <c r="G11242">
        <v>490</v>
      </c>
    </row>
    <row r="11243" spans="1:7">
      <c r="A11243" t="s">
        <v>1876</v>
      </c>
      <c r="B11243" t="s">
        <v>382</v>
      </c>
      <c r="C11243" t="s">
        <v>139</v>
      </c>
      <c r="D11243">
        <v>464</v>
      </c>
      <c r="E11243">
        <v>480</v>
      </c>
      <c r="F11243">
        <v>456</v>
      </c>
      <c r="G11243">
        <v>490</v>
      </c>
    </row>
    <row r="11244" spans="1:7">
      <c r="A11244" t="s">
        <v>1876</v>
      </c>
      <c r="B11244" t="s">
        <v>382</v>
      </c>
      <c r="C11244" t="s">
        <v>1877</v>
      </c>
      <c r="D11244">
        <v>0</v>
      </c>
      <c r="E11244">
        <v>0</v>
      </c>
      <c r="F11244">
        <v>0</v>
      </c>
      <c r="G11244">
        <v>0</v>
      </c>
    </row>
    <row r="11245" spans="1:7">
      <c r="A11245" t="s">
        <v>1876</v>
      </c>
      <c r="B11245" t="s">
        <v>382</v>
      </c>
      <c r="C11245" t="s">
        <v>1700</v>
      </c>
      <c r="D11245">
        <v>0</v>
      </c>
      <c r="E11245">
        <v>0</v>
      </c>
      <c r="F11245">
        <v>0</v>
      </c>
      <c r="G11245">
        <v>0</v>
      </c>
    </row>
    <row r="11246" spans="1:7">
      <c r="A11246" t="s">
        <v>1876</v>
      </c>
      <c r="B11246" t="s">
        <v>382</v>
      </c>
      <c r="C11246" t="s">
        <v>1878</v>
      </c>
      <c r="D11246">
        <v>0</v>
      </c>
      <c r="E11246">
        <v>0</v>
      </c>
      <c r="F11246">
        <v>0</v>
      </c>
      <c r="G11246">
        <v>0</v>
      </c>
    </row>
    <row r="11247" spans="1:7">
      <c r="A11247" t="s">
        <v>1876</v>
      </c>
      <c r="B11247" t="s">
        <v>382</v>
      </c>
      <c r="C11247" t="s">
        <v>1879</v>
      </c>
      <c r="D11247">
        <v>0</v>
      </c>
      <c r="E11247">
        <v>0</v>
      </c>
      <c r="F11247">
        <v>0</v>
      </c>
      <c r="G11247">
        <v>0</v>
      </c>
    </row>
    <row r="11248" spans="1:7">
      <c r="A11248" t="s">
        <v>1876</v>
      </c>
      <c r="B11248" t="s">
        <v>382</v>
      </c>
      <c r="C11248" t="s">
        <v>1701</v>
      </c>
      <c r="D11248">
        <v>0</v>
      </c>
      <c r="E11248">
        <v>0</v>
      </c>
      <c r="F11248">
        <v>0</v>
      </c>
      <c r="G11248">
        <v>0</v>
      </c>
    </row>
    <row r="11249" spans="1:7">
      <c r="A11249" t="s">
        <v>1876</v>
      </c>
      <c r="B11249" t="s">
        <v>382</v>
      </c>
      <c r="C11249" t="s">
        <v>1880</v>
      </c>
      <c r="D11249">
        <v>2393</v>
      </c>
      <c r="E11249">
        <v>2065</v>
      </c>
      <c r="F11249">
        <v>2600</v>
      </c>
      <c r="G11249">
        <v>2526</v>
      </c>
    </row>
    <row r="11250" spans="1:7">
      <c r="A11250" t="s">
        <v>1876</v>
      </c>
      <c r="B11250" t="s">
        <v>382</v>
      </c>
      <c r="C11250" t="s">
        <v>140</v>
      </c>
      <c r="D11250">
        <v>5624</v>
      </c>
      <c r="E11250">
        <v>4990</v>
      </c>
      <c r="F11250">
        <v>7011</v>
      </c>
      <c r="G11250">
        <v>7200</v>
      </c>
    </row>
    <row r="11251" spans="1:7">
      <c r="A11251" t="s">
        <v>1876</v>
      </c>
      <c r="B11251" t="s">
        <v>382</v>
      </c>
      <c r="C11251" t="s">
        <v>1881</v>
      </c>
      <c r="D11251">
        <v>3231</v>
      </c>
      <c r="E11251">
        <v>2925</v>
      </c>
      <c r="F11251">
        <v>4411</v>
      </c>
      <c r="G11251">
        <v>4674</v>
      </c>
    </row>
    <row r="11252" spans="1:7">
      <c r="A11252" t="s">
        <v>1876</v>
      </c>
      <c r="B11252" t="s">
        <v>382</v>
      </c>
      <c r="C11252" t="s">
        <v>1882</v>
      </c>
      <c r="D11252">
        <v>0</v>
      </c>
      <c r="E11252">
        <v>0</v>
      </c>
      <c r="F11252">
        <v>0</v>
      </c>
      <c r="G11252">
        <v>0</v>
      </c>
    </row>
    <row r="11253" spans="1:7">
      <c r="A11253" t="s">
        <v>1876</v>
      </c>
      <c r="B11253" t="s">
        <v>382</v>
      </c>
      <c r="C11253" t="s">
        <v>1883</v>
      </c>
      <c r="D11253">
        <v>0</v>
      </c>
      <c r="E11253">
        <v>0</v>
      </c>
      <c r="F11253">
        <v>0</v>
      </c>
      <c r="G11253">
        <v>0</v>
      </c>
    </row>
    <row r="11254" spans="1:7">
      <c r="A11254" t="s">
        <v>1876</v>
      </c>
      <c r="B11254" t="s">
        <v>382</v>
      </c>
      <c r="C11254" t="s">
        <v>1884</v>
      </c>
      <c r="D11254">
        <v>0</v>
      </c>
      <c r="E11254">
        <v>0</v>
      </c>
      <c r="F11254">
        <v>0</v>
      </c>
      <c r="G11254">
        <v>0</v>
      </c>
    </row>
    <row r="11255" spans="1:7">
      <c r="A11255" t="s">
        <v>1876</v>
      </c>
      <c r="B11255" t="s">
        <v>382</v>
      </c>
      <c r="C11255" t="s">
        <v>1885</v>
      </c>
      <c r="D11255">
        <v>0</v>
      </c>
      <c r="E11255">
        <v>0</v>
      </c>
      <c r="F11255">
        <v>0</v>
      </c>
      <c r="G11255">
        <v>0</v>
      </c>
    </row>
    <row r="11256" spans="1:7">
      <c r="A11256" t="s">
        <v>1876</v>
      </c>
      <c r="B11256" t="s">
        <v>382</v>
      </c>
      <c r="C11256" t="s">
        <v>1886</v>
      </c>
      <c r="D11256">
        <v>0</v>
      </c>
      <c r="E11256">
        <v>0</v>
      </c>
      <c r="F11256">
        <v>0</v>
      </c>
      <c r="G11256">
        <v>0</v>
      </c>
    </row>
    <row r="11257" spans="1:7">
      <c r="A11257" t="s">
        <v>1876</v>
      </c>
      <c r="B11257" t="s">
        <v>382</v>
      </c>
      <c r="C11257" t="s">
        <v>141</v>
      </c>
      <c r="D11257">
        <v>108</v>
      </c>
      <c r="E11257">
        <v>0</v>
      </c>
      <c r="F11257">
        <v>0</v>
      </c>
      <c r="G11257">
        <v>0</v>
      </c>
    </row>
    <row r="11258" spans="1:7">
      <c r="A11258" t="s">
        <v>1876</v>
      </c>
      <c r="B11258" t="s">
        <v>382</v>
      </c>
      <c r="C11258" t="s">
        <v>1887</v>
      </c>
      <c r="D11258">
        <v>0</v>
      </c>
      <c r="E11258">
        <v>0</v>
      </c>
      <c r="F11258">
        <v>0</v>
      </c>
      <c r="G11258">
        <v>0</v>
      </c>
    </row>
    <row r="11259" spans="1:7">
      <c r="A11259" t="s">
        <v>1876</v>
      </c>
      <c r="B11259" t="s">
        <v>382</v>
      </c>
      <c r="C11259" t="s">
        <v>1888</v>
      </c>
      <c r="D11259">
        <v>0</v>
      </c>
      <c r="E11259">
        <v>0</v>
      </c>
      <c r="F11259">
        <v>0</v>
      </c>
      <c r="G11259">
        <v>0</v>
      </c>
    </row>
    <row r="11260" spans="1:7">
      <c r="A11260" t="s">
        <v>1876</v>
      </c>
      <c r="B11260" t="s">
        <v>382</v>
      </c>
      <c r="C11260" t="s">
        <v>1889</v>
      </c>
      <c r="D11260">
        <v>2393</v>
      </c>
      <c r="E11260">
        <v>2065</v>
      </c>
      <c r="F11260">
        <v>2600</v>
      </c>
      <c r="G11260">
        <v>2526</v>
      </c>
    </row>
    <row r="11261" spans="1:7">
      <c r="A11261" t="s">
        <v>1876</v>
      </c>
      <c r="B11261" t="s">
        <v>382</v>
      </c>
      <c r="C11261" t="s">
        <v>1890</v>
      </c>
      <c r="D11261">
        <v>0</v>
      </c>
      <c r="E11261">
        <v>0</v>
      </c>
      <c r="F11261">
        <v>0</v>
      </c>
      <c r="G11261">
        <v>0</v>
      </c>
    </row>
    <row r="11262" spans="1:7">
      <c r="A11262" t="s">
        <v>1876</v>
      </c>
      <c r="B11262" t="s">
        <v>382</v>
      </c>
      <c r="C11262" t="s">
        <v>1891</v>
      </c>
    </row>
    <row r="11263" spans="1:7">
      <c r="A11263" t="s">
        <v>1876</v>
      </c>
      <c r="B11263" t="s">
        <v>382</v>
      </c>
      <c r="C11263" t="s">
        <v>1892</v>
      </c>
      <c r="D11263">
        <v>3231</v>
      </c>
      <c r="E11263">
        <v>2925</v>
      </c>
      <c r="F11263">
        <v>4411</v>
      </c>
      <c r="G11263">
        <v>4674</v>
      </c>
    </row>
    <row r="11264" spans="1:7">
      <c r="A11264" t="s">
        <v>1876</v>
      </c>
      <c r="B11264" t="s">
        <v>382</v>
      </c>
      <c r="C11264" t="s">
        <v>142</v>
      </c>
      <c r="D11264">
        <v>5624</v>
      </c>
      <c r="E11264">
        <v>4990</v>
      </c>
      <c r="F11264">
        <v>7011</v>
      </c>
      <c r="G11264">
        <v>7200</v>
      </c>
    </row>
    <row r="11265" spans="1:7">
      <c r="A11265" t="s">
        <v>1876</v>
      </c>
      <c r="B11265" t="s">
        <v>382</v>
      </c>
      <c r="C11265" t="s">
        <v>1893</v>
      </c>
      <c r="D11265">
        <v>5624</v>
      </c>
      <c r="E11265">
        <v>4990</v>
      </c>
      <c r="F11265">
        <v>7011</v>
      </c>
      <c r="G11265">
        <v>7200</v>
      </c>
    </row>
    <row r="11266" spans="1:7">
      <c r="A11266" t="s">
        <v>1876</v>
      </c>
      <c r="B11266" t="s">
        <v>382</v>
      </c>
      <c r="C11266" t="s">
        <v>1894</v>
      </c>
      <c r="D11266">
        <v>3231</v>
      </c>
      <c r="E11266">
        <v>2925</v>
      </c>
      <c r="F11266">
        <v>4411</v>
      </c>
      <c r="G11266">
        <v>4674</v>
      </c>
    </row>
    <row r="11267" spans="1:7">
      <c r="A11267" t="s">
        <v>1876</v>
      </c>
      <c r="B11267" t="s">
        <v>382</v>
      </c>
      <c r="C11267" t="s">
        <v>143</v>
      </c>
      <c r="D11267">
        <v>30879</v>
      </c>
      <c r="E11267">
        <v>34479</v>
      </c>
      <c r="F11267">
        <v>36054</v>
      </c>
      <c r="G11267">
        <v>36130</v>
      </c>
    </row>
    <row r="11268" spans="1:7">
      <c r="A11268" t="s">
        <v>1876</v>
      </c>
      <c r="B11268" t="s">
        <v>382</v>
      </c>
      <c r="C11268" t="s">
        <v>144</v>
      </c>
      <c r="D11268">
        <v>75611</v>
      </c>
      <c r="E11268">
        <v>78122</v>
      </c>
      <c r="F11268">
        <v>82742</v>
      </c>
      <c r="G11268">
        <v>82755</v>
      </c>
    </row>
    <row r="11269" spans="1:7">
      <c r="A11269" t="s">
        <v>1876</v>
      </c>
      <c r="B11269" t="s">
        <v>382</v>
      </c>
      <c r="C11269" t="s">
        <v>1895</v>
      </c>
      <c r="D11269">
        <v>56.7</v>
      </c>
      <c r="E11269">
        <v>49.8</v>
      </c>
      <c r="F11269">
        <v>52</v>
      </c>
      <c r="G11269">
        <v>52.5</v>
      </c>
    </row>
    <row r="11270" spans="1:7">
      <c r="A11270" t="s">
        <v>1876</v>
      </c>
      <c r="B11270" t="s">
        <v>382</v>
      </c>
      <c r="C11270" t="s">
        <v>145</v>
      </c>
      <c r="D11270">
        <v>129100</v>
      </c>
      <c r="E11270">
        <v>136261</v>
      </c>
      <c r="F11270">
        <v>133582</v>
      </c>
      <c r="G11270">
        <v>132227</v>
      </c>
    </row>
    <row r="11271" spans="1:7">
      <c r="A11271" t="s">
        <v>1876</v>
      </c>
      <c r="B11271" t="s">
        <v>382</v>
      </c>
      <c r="C11271" t="s">
        <v>146</v>
      </c>
      <c r="D11271">
        <v>0</v>
      </c>
      <c r="E11271">
        <v>0</v>
      </c>
      <c r="F11271">
        <v>0</v>
      </c>
      <c r="G11271">
        <v>0</v>
      </c>
    </row>
    <row r="11272" spans="1:7">
      <c r="A11272" t="s">
        <v>1876</v>
      </c>
      <c r="B11272" t="s">
        <v>382</v>
      </c>
      <c r="C11272" t="s">
        <v>147</v>
      </c>
      <c r="D11272">
        <v>0</v>
      </c>
      <c r="E11272">
        <v>0</v>
      </c>
      <c r="F11272">
        <v>0</v>
      </c>
      <c r="G11272">
        <v>0</v>
      </c>
    </row>
    <row r="11273" spans="1:7">
      <c r="A11273" t="s">
        <v>1876</v>
      </c>
      <c r="B11273" t="s">
        <v>382</v>
      </c>
      <c r="C11273" t="s">
        <v>1896</v>
      </c>
      <c r="D11273">
        <v>5.2</v>
      </c>
      <c r="E11273">
        <v>4.4000000000000004</v>
      </c>
      <c r="F11273">
        <v>3.1</v>
      </c>
      <c r="G11273">
        <v>11.5</v>
      </c>
    </row>
    <row r="11274" spans="1:7">
      <c r="A11274" t="s">
        <v>1876</v>
      </c>
      <c r="B11274" t="s">
        <v>382</v>
      </c>
      <c r="C11274" t="s">
        <v>1702</v>
      </c>
      <c r="D11274">
        <v>27</v>
      </c>
      <c r="E11274">
        <v>27</v>
      </c>
      <c r="F11274">
        <v>35</v>
      </c>
      <c r="G11274">
        <v>35</v>
      </c>
    </row>
    <row r="11275" spans="1:7">
      <c r="A11275" t="s">
        <v>1876</v>
      </c>
      <c r="B11275" t="s">
        <v>382</v>
      </c>
      <c r="C11275" t="s">
        <v>1897</v>
      </c>
      <c r="D11275">
        <v>20.5</v>
      </c>
      <c r="E11275">
        <v>28.6</v>
      </c>
      <c r="F11275">
        <v>48.2</v>
      </c>
      <c r="G11275">
        <v>67.099999999999994</v>
      </c>
    </row>
    <row r="11276" spans="1:7">
      <c r="A11276" t="s">
        <v>1876</v>
      </c>
      <c r="B11276" t="s">
        <v>382</v>
      </c>
      <c r="C11276" t="s">
        <v>1898</v>
      </c>
      <c r="D11276">
        <v>36</v>
      </c>
      <c r="E11276">
        <v>59</v>
      </c>
      <c r="F11276">
        <v>157</v>
      </c>
      <c r="G11276">
        <v>224</v>
      </c>
    </row>
    <row r="11277" spans="1:7">
      <c r="A11277" t="s">
        <v>1876</v>
      </c>
      <c r="B11277" t="s">
        <v>382</v>
      </c>
      <c r="C11277" t="s">
        <v>1899</v>
      </c>
      <c r="D11277">
        <v>3231</v>
      </c>
      <c r="E11277">
        <v>2925</v>
      </c>
      <c r="F11277">
        <v>4411</v>
      </c>
      <c r="G11277">
        <v>4674</v>
      </c>
    </row>
    <row r="11278" spans="1:7">
      <c r="A11278" t="s">
        <v>1876</v>
      </c>
      <c r="B11278" t="s">
        <v>382</v>
      </c>
      <c r="C11278" t="s">
        <v>148</v>
      </c>
      <c r="D11278">
        <v>0</v>
      </c>
      <c r="E11278">
        <v>0</v>
      </c>
      <c r="F11278">
        <v>0</v>
      </c>
      <c r="G11278">
        <v>0</v>
      </c>
    </row>
    <row r="11279" spans="1:7">
      <c r="A11279" t="s">
        <v>1876</v>
      </c>
      <c r="B11279" t="s">
        <v>382</v>
      </c>
      <c r="C11279" t="s">
        <v>149</v>
      </c>
      <c r="D11279">
        <v>0</v>
      </c>
      <c r="E11279">
        <v>0</v>
      </c>
      <c r="F11279">
        <v>0</v>
      </c>
      <c r="G11279">
        <v>0</v>
      </c>
    </row>
    <row r="11280" spans="1:7">
      <c r="A11280" t="s">
        <v>1876</v>
      </c>
      <c r="B11280" t="s">
        <v>382</v>
      </c>
      <c r="C11280" t="s">
        <v>150</v>
      </c>
      <c r="D11280">
        <v>0</v>
      </c>
      <c r="E11280">
        <v>0</v>
      </c>
      <c r="F11280">
        <v>0</v>
      </c>
      <c r="G11280">
        <v>0</v>
      </c>
    </row>
    <row r="11281" spans="1:7">
      <c r="A11281" t="s">
        <v>1876</v>
      </c>
      <c r="B11281" t="s">
        <v>382</v>
      </c>
      <c r="C11281" t="s">
        <v>1900</v>
      </c>
      <c r="D11281">
        <v>52.3</v>
      </c>
      <c r="E11281">
        <v>56</v>
      </c>
      <c r="F11281">
        <v>49.9</v>
      </c>
      <c r="G11281">
        <v>52</v>
      </c>
    </row>
    <row r="11282" spans="1:7">
      <c r="A11282" t="s">
        <v>1876</v>
      </c>
      <c r="B11282" t="s">
        <v>382</v>
      </c>
      <c r="C11282" t="s">
        <v>151</v>
      </c>
      <c r="D11282">
        <v>0</v>
      </c>
      <c r="E11282">
        <v>0</v>
      </c>
      <c r="F11282">
        <v>0</v>
      </c>
      <c r="G11282">
        <v>0</v>
      </c>
    </row>
    <row r="11283" spans="1:7">
      <c r="A11283" t="s">
        <v>1876</v>
      </c>
      <c r="B11283" t="s">
        <v>382</v>
      </c>
      <c r="C11283" t="s">
        <v>152</v>
      </c>
      <c r="D11283">
        <v>470982</v>
      </c>
      <c r="E11283">
        <v>446944</v>
      </c>
      <c r="F11283">
        <v>317423</v>
      </c>
      <c r="G11283">
        <v>306687</v>
      </c>
    </row>
    <row r="11284" spans="1:7">
      <c r="A11284" t="s">
        <v>1876</v>
      </c>
      <c r="B11284" t="s">
        <v>382</v>
      </c>
      <c r="C11284" t="s">
        <v>1703</v>
      </c>
      <c r="D11284">
        <v>10012</v>
      </c>
      <c r="E11284">
        <v>8098</v>
      </c>
      <c r="F11284">
        <v>6608</v>
      </c>
      <c r="G11284">
        <v>6621</v>
      </c>
    </row>
    <row r="11285" spans="1:7">
      <c r="A11285" t="s">
        <v>1876</v>
      </c>
      <c r="B11285" t="s">
        <v>382</v>
      </c>
      <c r="C11285" t="s">
        <v>153</v>
      </c>
      <c r="D11285">
        <v>104938</v>
      </c>
      <c r="E11285">
        <v>92643</v>
      </c>
      <c r="F11285">
        <v>96155</v>
      </c>
      <c r="G11285">
        <v>94752</v>
      </c>
    </row>
    <row r="11286" spans="1:7">
      <c r="A11286" t="s">
        <v>1876</v>
      </c>
      <c r="B11286" t="s">
        <v>382</v>
      </c>
      <c r="C11286" t="s">
        <v>154</v>
      </c>
      <c r="D11286">
        <v>94088</v>
      </c>
      <c r="E11286">
        <v>83166</v>
      </c>
      <c r="F11286">
        <v>87608</v>
      </c>
      <c r="G11286">
        <v>86638</v>
      </c>
    </row>
    <row r="11287" spans="1:7">
      <c r="A11287" t="s">
        <v>1876</v>
      </c>
      <c r="B11287" t="s">
        <v>382</v>
      </c>
      <c r="C11287" t="s">
        <v>155</v>
      </c>
      <c r="D11287">
        <v>10850</v>
      </c>
      <c r="E11287">
        <v>9478</v>
      </c>
      <c r="F11287">
        <v>8547</v>
      </c>
      <c r="G11287">
        <v>8115</v>
      </c>
    </row>
    <row r="11288" spans="1:7">
      <c r="A11288" t="s">
        <v>1876</v>
      </c>
      <c r="B11288" t="s">
        <v>382</v>
      </c>
      <c r="C11288" t="s">
        <v>156</v>
      </c>
      <c r="D11288">
        <v>0</v>
      </c>
      <c r="E11288">
        <v>0</v>
      </c>
      <c r="F11288">
        <v>0</v>
      </c>
      <c r="G11288">
        <v>0</v>
      </c>
    </row>
    <row r="11289" spans="1:7">
      <c r="A11289" t="s">
        <v>1876</v>
      </c>
      <c r="B11289" t="s">
        <v>382</v>
      </c>
      <c r="C11289" t="s">
        <v>157</v>
      </c>
      <c r="D11289">
        <v>575920</v>
      </c>
      <c r="E11289">
        <v>539587</v>
      </c>
      <c r="F11289">
        <v>413577</v>
      </c>
      <c r="G11289">
        <v>401439</v>
      </c>
    </row>
    <row r="11290" spans="1:7">
      <c r="A11290" t="s">
        <v>1876</v>
      </c>
      <c r="B11290" t="s">
        <v>382</v>
      </c>
      <c r="C11290" t="s">
        <v>158</v>
      </c>
      <c r="D11290">
        <v>104938</v>
      </c>
      <c r="E11290">
        <v>92643</v>
      </c>
      <c r="F11290">
        <v>96155</v>
      </c>
      <c r="G11290">
        <v>94752</v>
      </c>
    </row>
    <row r="11291" spans="1:7">
      <c r="A11291" t="s">
        <v>1876</v>
      </c>
      <c r="B11291" t="s">
        <v>382</v>
      </c>
      <c r="C11291" t="s">
        <v>159</v>
      </c>
      <c r="D11291">
        <v>0</v>
      </c>
      <c r="E11291">
        <v>0</v>
      </c>
      <c r="F11291">
        <v>0</v>
      </c>
      <c r="G11291">
        <v>0</v>
      </c>
    </row>
    <row r="11292" spans="1:7">
      <c r="A11292" t="s">
        <v>1876</v>
      </c>
      <c r="B11292" t="s">
        <v>382</v>
      </c>
      <c r="C11292" t="s">
        <v>1901</v>
      </c>
      <c r="D11292">
        <v>77.599999999999994</v>
      </c>
      <c r="E11292">
        <v>81.3</v>
      </c>
      <c r="F11292">
        <v>79.099999999999994</v>
      </c>
      <c r="G11292">
        <v>81.8</v>
      </c>
    </row>
    <row r="11293" spans="1:7">
      <c r="A11293" t="s">
        <v>1876</v>
      </c>
      <c r="B11293" t="s">
        <v>382</v>
      </c>
      <c r="C11293" t="s">
        <v>1902</v>
      </c>
      <c r="D11293">
        <v>232057</v>
      </c>
      <c r="E11293">
        <v>222852</v>
      </c>
      <c r="F11293">
        <v>228375</v>
      </c>
      <c r="G11293">
        <v>224074</v>
      </c>
    </row>
    <row r="11294" spans="1:7">
      <c r="A11294" t="s">
        <v>1876</v>
      </c>
      <c r="B11294" t="s">
        <v>382</v>
      </c>
      <c r="C11294" t="s">
        <v>1903</v>
      </c>
      <c r="D11294">
        <v>11842</v>
      </c>
      <c r="E11294">
        <v>12199</v>
      </c>
      <c r="F11294">
        <v>11378</v>
      </c>
      <c r="G11294">
        <v>10725</v>
      </c>
    </row>
    <row r="11295" spans="1:7">
      <c r="A11295" t="s">
        <v>1876</v>
      </c>
      <c r="B11295" t="s">
        <v>382</v>
      </c>
      <c r="C11295" t="s">
        <v>1904</v>
      </c>
      <c r="D11295">
        <v>1829</v>
      </c>
      <c r="E11295">
        <v>4772</v>
      </c>
      <c r="F11295">
        <v>1232</v>
      </c>
      <c r="G11295">
        <v>1453</v>
      </c>
    </row>
    <row r="11296" spans="1:7">
      <c r="A11296" t="s">
        <v>1876</v>
      </c>
      <c r="B11296" t="s">
        <v>382</v>
      </c>
      <c r="C11296" t="s">
        <v>1905</v>
      </c>
      <c r="D11296">
        <v>34490</v>
      </c>
      <c r="E11296">
        <v>34865</v>
      </c>
      <c r="F11296">
        <v>34029</v>
      </c>
      <c r="G11296">
        <v>33022</v>
      </c>
    </row>
    <row r="11297" spans="1:7">
      <c r="A11297" t="s">
        <v>1876</v>
      </c>
      <c r="B11297" t="s">
        <v>382</v>
      </c>
      <c r="C11297" t="s">
        <v>1906</v>
      </c>
      <c r="D11297">
        <v>7675</v>
      </c>
      <c r="E11297">
        <v>8009</v>
      </c>
      <c r="F11297">
        <v>7467</v>
      </c>
      <c r="G11297">
        <v>6885</v>
      </c>
    </row>
    <row r="11298" spans="1:7">
      <c r="A11298" t="s">
        <v>1876</v>
      </c>
      <c r="B11298" t="s">
        <v>382</v>
      </c>
      <c r="C11298" t="s">
        <v>1907</v>
      </c>
      <c r="D11298">
        <v>287893</v>
      </c>
      <c r="E11298">
        <v>282697</v>
      </c>
      <c r="F11298">
        <v>282482</v>
      </c>
      <c r="G11298">
        <v>276158</v>
      </c>
    </row>
    <row r="11299" spans="1:7">
      <c r="A11299" t="s">
        <v>1876</v>
      </c>
      <c r="B11299" t="s">
        <v>382</v>
      </c>
      <c r="C11299" t="s">
        <v>160</v>
      </c>
      <c r="D11299">
        <v>228827</v>
      </c>
      <c r="E11299">
        <v>219927</v>
      </c>
      <c r="F11299">
        <v>223964</v>
      </c>
      <c r="G11299">
        <v>219399</v>
      </c>
    </row>
    <row r="11300" spans="1:7">
      <c r="A11300" t="s">
        <v>1876</v>
      </c>
      <c r="B11300" t="s">
        <v>382</v>
      </c>
      <c r="C11300" t="s">
        <v>161</v>
      </c>
      <c r="D11300">
        <v>11842</v>
      </c>
      <c r="E11300">
        <v>12199</v>
      </c>
      <c r="F11300">
        <v>11378</v>
      </c>
      <c r="G11300">
        <v>10725</v>
      </c>
    </row>
    <row r="11301" spans="1:7">
      <c r="A11301" t="s">
        <v>1876</v>
      </c>
      <c r="B11301" t="s">
        <v>382</v>
      </c>
      <c r="C11301" t="s">
        <v>162</v>
      </c>
      <c r="D11301">
        <v>1829</v>
      </c>
      <c r="E11301">
        <v>4772</v>
      </c>
      <c r="F11301">
        <v>1232</v>
      </c>
      <c r="G11301">
        <v>1453</v>
      </c>
    </row>
    <row r="11302" spans="1:7">
      <c r="A11302" t="s">
        <v>1876</v>
      </c>
      <c r="B11302" t="s">
        <v>382</v>
      </c>
      <c r="C11302" t="s">
        <v>163</v>
      </c>
      <c r="D11302">
        <v>34490</v>
      </c>
      <c r="E11302">
        <v>34865</v>
      </c>
      <c r="F11302">
        <v>34029</v>
      </c>
      <c r="G11302">
        <v>33022</v>
      </c>
    </row>
    <row r="11303" spans="1:7">
      <c r="A11303" t="s">
        <v>1876</v>
      </c>
      <c r="B11303" t="s">
        <v>382</v>
      </c>
      <c r="C11303" t="s">
        <v>164</v>
      </c>
      <c r="D11303">
        <v>7675</v>
      </c>
      <c r="E11303">
        <v>8009</v>
      </c>
      <c r="F11303">
        <v>7467</v>
      </c>
      <c r="G11303">
        <v>6885</v>
      </c>
    </row>
    <row r="11304" spans="1:7">
      <c r="A11304" t="s">
        <v>1876</v>
      </c>
      <c r="B11304" t="s">
        <v>382</v>
      </c>
      <c r="C11304" t="s">
        <v>165</v>
      </c>
      <c r="D11304">
        <v>284662</v>
      </c>
      <c r="E11304">
        <v>279772</v>
      </c>
      <c r="F11304">
        <v>278071</v>
      </c>
      <c r="G11304">
        <v>271484</v>
      </c>
    </row>
    <row r="11305" spans="1:7">
      <c r="A11305" t="s">
        <v>1876</v>
      </c>
      <c r="B11305" t="s">
        <v>382</v>
      </c>
      <c r="C11305" t="s">
        <v>166</v>
      </c>
      <c r="D11305">
        <v>282833</v>
      </c>
      <c r="E11305">
        <v>275001</v>
      </c>
      <c r="F11305">
        <v>276838</v>
      </c>
      <c r="G11305">
        <v>270031</v>
      </c>
    </row>
    <row r="11306" spans="1:7">
      <c r="A11306" t="s">
        <v>1876</v>
      </c>
      <c r="B11306" t="s">
        <v>382</v>
      </c>
      <c r="C11306" t="s">
        <v>167</v>
      </c>
      <c r="D11306">
        <v>1829</v>
      </c>
      <c r="E11306">
        <v>4772</v>
      </c>
      <c r="F11306">
        <v>1232</v>
      </c>
      <c r="G11306">
        <v>1453</v>
      </c>
    </row>
    <row r="11307" spans="1:7">
      <c r="A11307" t="s">
        <v>1876</v>
      </c>
      <c r="B11307" t="s">
        <v>382</v>
      </c>
      <c r="C11307" t="s">
        <v>1908</v>
      </c>
      <c r="D11307">
        <v>226433</v>
      </c>
      <c r="E11307">
        <v>217863</v>
      </c>
      <c r="F11307">
        <v>221364</v>
      </c>
      <c r="G11307">
        <v>216873</v>
      </c>
    </row>
    <row r="11308" spans="1:7">
      <c r="A11308" t="s">
        <v>1876</v>
      </c>
      <c r="B11308" t="s">
        <v>382</v>
      </c>
      <c r="C11308" t="s">
        <v>1909</v>
      </c>
      <c r="D11308">
        <v>11842</v>
      </c>
      <c r="E11308">
        <v>12199</v>
      </c>
      <c r="F11308">
        <v>11378</v>
      </c>
      <c r="G11308">
        <v>10725</v>
      </c>
    </row>
    <row r="11309" spans="1:7">
      <c r="A11309" t="s">
        <v>1876</v>
      </c>
      <c r="B11309" t="s">
        <v>382</v>
      </c>
      <c r="C11309" t="s">
        <v>1910</v>
      </c>
      <c r="D11309">
        <v>1829</v>
      </c>
      <c r="E11309">
        <v>4772</v>
      </c>
      <c r="F11309">
        <v>1232</v>
      </c>
      <c r="G11309">
        <v>1453</v>
      </c>
    </row>
    <row r="11310" spans="1:7">
      <c r="A11310" t="s">
        <v>1876</v>
      </c>
      <c r="B11310" t="s">
        <v>382</v>
      </c>
      <c r="C11310" t="s">
        <v>1911</v>
      </c>
      <c r="D11310">
        <v>34490</v>
      </c>
      <c r="E11310">
        <v>34865</v>
      </c>
      <c r="F11310">
        <v>34029</v>
      </c>
      <c r="G11310">
        <v>33022</v>
      </c>
    </row>
    <row r="11311" spans="1:7">
      <c r="A11311" t="s">
        <v>1876</v>
      </c>
      <c r="B11311" t="s">
        <v>382</v>
      </c>
      <c r="C11311" t="s">
        <v>1912</v>
      </c>
      <c r="D11311">
        <v>7675</v>
      </c>
      <c r="E11311">
        <v>8009</v>
      </c>
      <c r="F11311">
        <v>7467</v>
      </c>
      <c r="G11311">
        <v>6885</v>
      </c>
    </row>
    <row r="11312" spans="1:7">
      <c r="A11312" t="s">
        <v>1876</v>
      </c>
      <c r="B11312" t="s">
        <v>382</v>
      </c>
      <c r="C11312" t="s">
        <v>168</v>
      </c>
      <c r="D11312">
        <v>282269</v>
      </c>
      <c r="E11312">
        <v>277708</v>
      </c>
      <c r="F11312">
        <v>275471</v>
      </c>
      <c r="G11312">
        <v>268958</v>
      </c>
    </row>
    <row r="11313" spans="1:7">
      <c r="A11313" t="s">
        <v>1876</v>
      </c>
      <c r="B11313" t="s">
        <v>382</v>
      </c>
      <c r="C11313" t="s">
        <v>169</v>
      </c>
      <c r="D11313">
        <v>0</v>
      </c>
      <c r="E11313">
        <v>0</v>
      </c>
      <c r="F11313">
        <v>0</v>
      </c>
      <c r="G11313">
        <v>0</v>
      </c>
    </row>
    <row r="11314" spans="1:7">
      <c r="A11314" t="s">
        <v>1876</v>
      </c>
      <c r="B11314" t="s">
        <v>382</v>
      </c>
      <c r="C11314" t="s">
        <v>1704</v>
      </c>
      <c r="D11314">
        <v>29283</v>
      </c>
      <c r="E11314">
        <v>27447</v>
      </c>
      <c r="F11314">
        <v>29104</v>
      </c>
      <c r="G11314">
        <v>30491</v>
      </c>
    </row>
    <row r="11315" spans="1:7">
      <c r="A11315" t="s">
        <v>1876</v>
      </c>
      <c r="B11315" t="s">
        <v>382</v>
      </c>
      <c r="C11315" t="s">
        <v>170</v>
      </c>
      <c r="D11315">
        <v>0</v>
      </c>
      <c r="E11315">
        <v>0</v>
      </c>
      <c r="F11315">
        <v>0</v>
      </c>
      <c r="G11315">
        <v>0</v>
      </c>
    </row>
    <row r="11316" spans="1:7">
      <c r="A11316" t="s">
        <v>1876</v>
      </c>
      <c r="B11316" t="s">
        <v>382</v>
      </c>
      <c r="C11316" t="s">
        <v>171</v>
      </c>
      <c r="D11316">
        <v>264053</v>
      </c>
      <c r="E11316">
        <v>190376</v>
      </c>
      <c r="F11316">
        <v>186647</v>
      </c>
      <c r="G11316">
        <v>173825</v>
      </c>
    </row>
    <row r="11317" spans="1:7">
      <c r="A11317" t="s">
        <v>1876</v>
      </c>
      <c r="B11317" t="s">
        <v>382</v>
      </c>
      <c r="C11317" t="s">
        <v>172</v>
      </c>
      <c r="D11317">
        <v>0</v>
      </c>
      <c r="E11317">
        <v>0</v>
      </c>
      <c r="F11317">
        <v>0</v>
      </c>
      <c r="G11317">
        <v>0</v>
      </c>
    </row>
    <row r="11318" spans="1:7">
      <c r="A11318" t="s">
        <v>1876</v>
      </c>
      <c r="B11318" t="s">
        <v>382</v>
      </c>
      <c r="C11318" t="s">
        <v>1913</v>
      </c>
      <c r="D11318">
        <v>33.299999999999997</v>
      </c>
      <c r="E11318">
        <v>45.1</v>
      </c>
      <c r="F11318">
        <v>69.400000000000006</v>
      </c>
      <c r="G11318">
        <v>95.7</v>
      </c>
    </row>
    <row r="11319" spans="1:7">
      <c r="A11319" t="s">
        <v>1876</v>
      </c>
      <c r="B11319" t="s">
        <v>382</v>
      </c>
      <c r="C11319" t="s">
        <v>1914</v>
      </c>
      <c r="D11319">
        <v>0.3</v>
      </c>
      <c r="E11319">
        <v>0.5</v>
      </c>
      <c r="F11319">
        <v>0.7</v>
      </c>
      <c r="G11319">
        <v>1</v>
      </c>
    </row>
    <row r="11320" spans="1:7">
      <c r="A11320" t="s">
        <v>1876</v>
      </c>
      <c r="B11320" t="s">
        <v>382</v>
      </c>
      <c r="C11320" t="s">
        <v>173</v>
      </c>
      <c r="D11320">
        <v>37429</v>
      </c>
      <c r="E11320">
        <v>36917</v>
      </c>
      <c r="F11320">
        <v>37909</v>
      </c>
      <c r="G11320">
        <v>38188</v>
      </c>
    </row>
    <row r="11321" spans="1:7">
      <c r="A11321" t="s">
        <v>1876</v>
      </c>
      <c r="B11321" t="s">
        <v>382</v>
      </c>
      <c r="C11321" t="s">
        <v>174</v>
      </c>
      <c r="D11321">
        <v>1121</v>
      </c>
      <c r="E11321">
        <v>1155</v>
      </c>
      <c r="F11321">
        <v>1175</v>
      </c>
      <c r="G11321">
        <v>757</v>
      </c>
    </row>
    <row r="11322" spans="1:7">
      <c r="A11322" t="s">
        <v>1876</v>
      </c>
      <c r="B11322" t="s">
        <v>382</v>
      </c>
      <c r="C11322" t="s">
        <v>175</v>
      </c>
      <c r="D11322">
        <v>558</v>
      </c>
      <c r="E11322">
        <v>581</v>
      </c>
      <c r="F11322">
        <v>594</v>
      </c>
      <c r="G11322">
        <v>480</v>
      </c>
    </row>
    <row r="11323" spans="1:7">
      <c r="A11323" t="s">
        <v>1876</v>
      </c>
      <c r="B11323" t="s">
        <v>382</v>
      </c>
      <c r="C11323" t="s">
        <v>176</v>
      </c>
      <c r="D11323">
        <v>30771</v>
      </c>
      <c r="E11323">
        <v>34479</v>
      </c>
      <c r="F11323">
        <v>36054</v>
      </c>
      <c r="G11323">
        <v>36130</v>
      </c>
    </row>
    <row r="11324" spans="1:7">
      <c r="A11324" t="s">
        <v>1876</v>
      </c>
      <c r="B11324" t="s">
        <v>382</v>
      </c>
      <c r="C11324" t="s">
        <v>177</v>
      </c>
      <c r="D11324">
        <v>39108</v>
      </c>
      <c r="E11324">
        <v>38653</v>
      </c>
      <c r="F11324">
        <v>39677</v>
      </c>
      <c r="G11324">
        <v>39425</v>
      </c>
    </row>
    <row r="11325" spans="1:7">
      <c r="A11325" t="s">
        <v>1876</v>
      </c>
      <c r="B11325" t="s">
        <v>382</v>
      </c>
      <c r="C11325" t="s">
        <v>178</v>
      </c>
      <c r="D11325">
        <v>0</v>
      </c>
      <c r="E11325">
        <v>0</v>
      </c>
      <c r="F11325">
        <v>0</v>
      </c>
      <c r="G11325">
        <v>0</v>
      </c>
    </row>
    <row r="11326" spans="1:7">
      <c r="A11326" t="s">
        <v>1876</v>
      </c>
      <c r="B11326" t="s">
        <v>382</v>
      </c>
      <c r="C11326" t="s">
        <v>179</v>
      </c>
      <c r="D11326">
        <v>0</v>
      </c>
      <c r="E11326">
        <v>0</v>
      </c>
      <c r="F11326">
        <v>0</v>
      </c>
      <c r="G11326">
        <v>0</v>
      </c>
    </row>
    <row r="11327" spans="1:7">
      <c r="A11327" t="s">
        <v>1876</v>
      </c>
      <c r="B11327" t="s">
        <v>382</v>
      </c>
      <c r="C11327" t="s">
        <v>180</v>
      </c>
      <c r="D11327">
        <v>126</v>
      </c>
      <c r="E11327">
        <v>116</v>
      </c>
      <c r="F11327">
        <v>103</v>
      </c>
      <c r="G11327">
        <v>108</v>
      </c>
    </row>
    <row r="11328" spans="1:7">
      <c r="A11328" t="s">
        <v>1876</v>
      </c>
      <c r="B11328" t="s">
        <v>382</v>
      </c>
      <c r="C11328" t="s">
        <v>181</v>
      </c>
      <c r="D11328">
        <v>153473</v>
      </c>
      <c r="E11328">
        <v>157262</v>
      </c>
      <c r="F11328">
        <v>158151</v>
      </c>
      <c r="G11328">
        <v>173376</v>
      </c>
    </row>
    <row r="11329" spans="1:7">
      <c r="A11329" t="s">
        <v>1876</v>
      </c>
      <c r="B11329" t="s">
        <v>382</v>
      </c>
      <c r="C11329" t="s">
        <v>182</v>
      </c>
      <c r="D11329">
        <v>168994</v>
      </c>
      <c r="E11329">
        <v>170814</v>
      </c>
      <c r="F11329">
        <v>172463</v>
      </c>
      <c r="G11329">
        <v>172947</v>
      </c>
    </row>
    <row r="11330" spans="1:7">
      <c r="A11330" t="s">
        <v>1876</v>
      </c>
      <c r="B11330" t="s">
        <v>382</v>
      </c>
      <c r="C11330" t="s">
        <v>183</v>
      </c>
      <c r="D11330">
        <v>181420</v>
      </c>
      <c r="E11330">
        <v>181901</v>
      </c>
      <c r="F11330">
        <v>169623</v>
      </c>
      <c r="G11330">
        <v>178019</v>
      </c>
    </row>
    <row r="11331" spans="1:7">
      <c r="A11331" t="s">
        <v>1876</v>
      </c>
      <c r="B11331" t="s">
        <v>382</v>
      </c>
      <c r="C11331" t="s">
        <v>184</v>
      </c>
      <c r="D11331">
        <v>504013</v>
      </c>
      <c r="E11331">
        <v>510093</v>
      </c>
      <c r="F11331">
        <v>500339</v>
      </c>
      <c r="G11331">
        <v>524450</v>
      </c>
    </row>
    <row r="11332" spans="1:7">
      <c r="A11332" t="s">
        <v>1876</v>
      </c>
      <c r="B11332" t="s">
        <v>382</v>
      </c>
      <c r="C11332" t="s">
        <v>185</v>
      </c>
      <c r="D11332">
        <v>504013</v>
      </c>
      <c r="E11332">
        <v>510093</v>
      </c>
      <c r="F11332">
        <v>500339</v>
      </c>
      <c r="G11332">
        <v>524450</v>
      </c>
    </row>
    <row r="11333" spans="1:7">
      <c r="A11333" t="s">
        <v>1876</v>
      </c>
      <c r="B11333" t="s">
        <v>382</v>
      </c>
      <c r="C11333" t="s">
        <v>1915</v>
      </c>
      <c r="D11333">
        <v>60</v>
      </c>
      <c r="E11333">
        <v>94</v>
      </c>
      <c r="F11333">
        <v>218</v>
      </c>
      <c r="G11333">
        <v>298</v>
      </c>
    </row>
    <row r="11334" spans="1:7">
      <c r="A11334" t="s">
        <v>1876</v>
      </c>
      <c r="B11334" t="s">
        <v>382</v>
      </c>
      <c r="C11334" t="s">
        <v>1916</v>
      </c>
      <c r="D11334">
        <v>0</v>
      </c>
      <c r="E11334">
        <v>0</v>
      </c>
      <c r="F11334">
        <v>0</v>
      </c>
      <c r="G11334">
        <v>0</v>
      </c>
    </row>
    <row r="11335" spans="1:7">
      <c r="A11335" t="s">
        <v>1876</v>
      </c>
      <c r="B11335" t="s">
        <v>382</v>
      </c>
      <c r="C11335" t="s">
        <v>1917</v>
      </c>
      <c r="D11335">
        <v>39</v>
      </c>
      <c r="E11335">
        <v>46</v>
      </c>
      <c r="F11335">
        <v>47</v>
      </c>
      <c r="G11335">
        <v>44</v>
      </c>
    </row>
    <row r="11336" spans="1:7">
      <c r="A11336" t="s">
        <v>1876</v>
      </c>
      <c r="B11336" t="s">
        <v>382</v>
      </c>
      <c r="C11336" t="s">
        <v>1918</v>
      </c>
      <c r="D11336">
        <v>2047</v>
      </c>
      <c r="E11336">
        <v>2756</v>
      </c>
      <c r="F11336">
        <v>3260</v>
      </c>
      <c r="G11336">
        <v>3824</v>
      </c>
    </row>
    <row r="11337" spans="1:7">
      <c r="A11337" t="s">
        <v>1876</v>
      </c>
      <c r="B11337" t="s">
        <v>382</v>
      </c>
      <c r="C11337" t="s">
        <v>1919</v>
      </c>
      <c r="D11337">
        <v>2.4500000000000002</v>
      </c>
      <c r="E11337">
        <v>2.41</v>
      </c>
      <c r="F11337">
        <v>2.33</v>
      </c>
      <c r="G11337">
        <v>2.4300000000000002</v>
      </c>
    </row>
    <row r="11338" spans="1:7">
      <c r="A11338" t="s">
        <v>1876</v>
      </c>
      <c r="B11338" t="s">
        <v>382</v>
      </c>
      <c r="C11338" t="s">
        <v>1920</v>
      </c>
      <c r="D11338">
        <v>2480</v>
      </c>
      <c r="E11338">
        <v>3277</v>
      </c>
      <c r="F11338">
        <v>4142</v>
      </c>
      <c r="G11338">
        <v>5051</v>
      </c>
    </row>
    <row r="11339" spans="1:7">
      <c r="A11339" t="s">
        <v>1876</v>
      </c>
      <c r="B11339" t="s">
        <v>382</v>
      </c>
      <c r="C11339" t="s">
        <v>1921</v>
      </c>
      <c r="D11339">
        <v>952</v>
      </c>
      <c r="E11339">
        <v>1296</v>
      </c>
      <c r="F11339">
        <v>1650</v>
      </c>
      <c r="G11339">
        <v>1916</v>
      </c>
    </row>
    <row r="11340" spans="1:7">
      <c r="A11340" t="s">
        <v>1876</v>
      </c>
      <c r="B11340" t="s">
        <v>382</v>
      </c>
      <c r="C11340" t="s">
        <v>1922</v>
      </c>
      <c r="D11340">
        <v>394</v>
      </c>
      <c r="E11340">
        <v>475</v>
      </c>
      <c r="F11340">
        <v>835</v>
      </c>
      <c r="G11340">
        <v>1183</v>
      </c>
    </row>
    <row r="11341" spans="1:7">
      <c r="A11341" t="s">
        <v>1876</v>
      </c>
      <c r="B11341" t="s">
        <v>382</v>
      </c>
      <c r="C11341" t="s">
        <v>1923</v>
      </c>
      <c r="D11341">
        <v>2.63</v>
      </c>
      <c r="E11341">
        <v>2.64</v>
      </c>
      <c r="F11341">
        <v>2.88</v>
      </c>
      <c r="G11341">
        <v>3</v>
      </c>
    </row>
    <row r="11342" spans="1:7">
      <c r="A11342" t="s">
        <v>1876</v>
      </c>
      <c r="B11342" t="s">
        <v>382</v>
      </c>
      <c r="C11342" t="s">
        <v>1924</v>
      </c>
      <c r="D11342">
        <v>66</v>
      </c>
      <c r="E11342">
        <v>13</v>
      </c>
      <c r="F11342">
        <v>15</v>
      </c>
      <c r="G11342">
        <v>11</v>
      </c>
    </row>
    <row r="11343" spans="1:7">
      <c r="A11343" t="s">
        <v>1876</v>
      </c>
      <c r="B11343" t="s">
        <v>382</v>
      </c>
      <c r="C11343" t="s">
        <v>1925</v>
      </c>
      <c r="D11343">
        <v>223</v>
      </c>
      <c r="E11343">
        <v>308</v>
      </c>
      <c r="F11343">
        <v>309</v>
      </c>
      <c r="G11343">
        <v>306</v>
      </c>
    </row>
    <row r="11344" spans="1:7">
      <c r="A11344" t="s">
        <v>1876</v>
      </c>
      <c r="B11344" t="s">
        <v>382</v>
      </c>
      <c r="C11344" t="s">
        <v>1926</v>
      </c>
      <c r="D11344">
        <v>663</v>
      </c>
      <c r="E11344">
        <v>975</v>
      </c>
      <c r="F11344">
        <v>1326</v>
      </c>
      <c r="G11344">
        <v>1599</v>
      </c>
    </row>
    <row r="11345" spans="1:7">
      <c r="A11345" t="s">
        <v>1876</v>
      </c>
      <c r="B11345" t="s">
        <v>382</v>
      </c>
      <c r="C11345" t="s">
        <v>1927</v>
      </c>
      <c r="D11345">
        <v>49</v>
      </c>
      <c r="E11345">
        <v>58</v>
      </c>
      <c r="F11345">
        <v>48</v>
      </c>
      <c r="G11345">
        <v>40</v>
      </c>
    </row>
    <row r="11346" spans="1:7">
      <c r="A11346" t="s">
        <v>1876</v>
      </c>
      <c r="B11346" t="s">
        <v>382</v>
      </c>
      <c r="C11346" t="s">
        <v>1928</v>
      </c>
      <c r="D11346">
        <v>871</v>
      </c>
      <c r="E11346">
        <v>1202</v>
      </c>
      <c r="F11346">
        <v>1552</v>
      </c>
      <c r="G11346">
        <v>1792</v>
      </c>
    </row>
    <row r="11347" spans="1:7">
      <c r="A11347" t="s">
        <v>1876</v>
      </c>
      <c r="B11347" t="s">
        <v>382</v>
      </c>
      <c r="C11347" t="s">
        <v>1929</v>
      </c>
      <c r="D11347">
        <v>32</v>
      </c>
      <c r="E11347">
        <v>36</v>
      </c>
      <c r="F11347">
        <v>50</v>
      </c>
      <c r="G11347">
        <v>84</v>
      </c>
    </row>
    <row r="11348" spans="1:7">
      <c r="A11348" t="s">
        <v>1876</v>
      </c>
      <c r="B11348" t="s">
        <v>382</v>
      </c>
      <c r="C11348" t="s">
        <v>186</v>
      </c>
      <c r="D11348">
        <v>0</v>
      </c>
      <c r="E11348">
        <v>0</v>
      </c>
      <c r="F11348">
        <v>0</v>
      </c>
      <c r="G11348">
        <v>0</v>
      </c>
    </row>
    <row r="11349" spans="1:7">
      <c r="A11349" t="s">
        <v>1876</v>
      </c>
      <c r="B11349" t="s">
        <v>382</v>
      </c>
      <c r="C11349" t="s">
        <v>187</v>
      </c>
      <c r="D11349">
        <v>0</v>
      </c>
      <c r="E11349">
        <v>0</v>
      </c>
      <c r="F11349">
        <v>0</v>
      </c>
      <c r="G11349">
        <v>0</v>
      </c>
    </row>
    <row r="11350" spans="1:7">
      <c r="A11350" t="s">
        <v>1876</v>
      </c>
      <c r="B11350" t="s">
        <v>382</v>
      </c>
      <c r="C11350" t="s">
        <v>1705</v>
      </c>
      <c r="D11350">
        <v>25306</v>
      </c>
      <c r="E11350">
        <v>23501</v>
      </c>
      <c r="F11350">
        <v>23845</v>
      </c>
      <c r="G11350">
        <v>23817</v>
      </c>
    </row>
    <row r="11351" spans="1:7">
      <c r="A11351" t="s">
        <v>1876</v>
      </c>
      <c r="B11351" t="s">
        <v>382</v>
      </c>
      <c r="C11351" t="s">
        <v>188</v>
      </c>
      <c r="D11351">
        <v>2899027</v>
      </c>
      <c r="E11351">
        <v>2993656</v>
      </c>
      <c r="F11351">
        <v>2879264</v>
      </c>
      <c r="G11351">
        <v>2908128</v>
      </c>
    </row>
    <row r="11352" spans="1:7">
      <c r="A11352" t="s">
        <v>1876</v>
      </c>
      <c r="B11352" t="s">
        <v>382</v>
      </c>
      <c r="C11352" t="s">
        <v>189</v>
      </c>
      <c r="D11352">
        <v>0</v>
      </c>
      <c r="E11352">
        <v>0</v>
      </c>
      <c r="F11352">
        <v>0</v>
      </c>
      <c r="G11352">
        <v>0</v>
      </c>
    </row>
    <row r="11353" spans="1:7">
      <c r="A11353" t="s">
        <v>1876</v>
      </c>
      <c r="B11353" t="s">
        <v>382</v>
      </c>
      <c r="C11353" t="s">
        <v>190</v>
      </c>
      <c r="D11353">
        <v>0</v>
      </c>
      <c r="E11353">
        <v>0</v>
      </c>
      <c r="F11353">
        <v>0</v>
      </c>
      <c r="G11353">
        <v>0</v>
      </c>
    </row>
    <row r="11354" spans="1:7">
      <c r="A11354" t="s">
        <v>1876</v>
      </c>
      <c r="B11354" t="s">
        <v>382</v>
      </c>
      <c r="C11354" t="s">
        <v>191</v>
      </c>
      <c r="D11354">
        <v>0</v>
      </c>
      <c r="E11354">
        <v>0</v>
      </c>
      <c r="F11354">
        <v>0</v>
      </c>
      <c r="G11354">
        <v>0</v>
      </c>
    </row>
    <row r="11355" spans="1:7">
      <c r="A11355" t="s">
        <v>1876</v>
      </c>
      <c r="B11355" t="s">
        <v>382</v>
      </c>
      <c r="C11355" t="s">
        <v>192</v>
      </c>
      <c r="D11355">
        <v>764161.4</v>
      </c>
      <c r="E11355">
        <v>830498.8</v>
      </c>
      <c r="F11355">
        <v>883957.1</v>
      </c>
      <c r="G11355">
        <v>923140.6</v>
      </c>
    </row>
    <row r="11356" spans="1:7">
      <c r="A11356" t="s">
        <v>1876</v>
      </c>
      <c r="B11356" t="s">
        <v>382</v>
      </c>
      <c r="C11356" t="s">
        <v>193</v>
      </c>
      <c r="D11356">
        <v>691630</v>
      </c>
      <c r="E11356">
        <v>694473.4</v>
      </c>
      <c r="F11356">
        <v>707996.2</v>
      </c>
      <c r="G11356">
        <v>721997.3</v>
      </c>
    </row>
    <row r="11357" spans="1:7">
      <c r="A11357" t="s">
        <v>1876</v>
      </c>
      <c r="B11357" t="s">
        <v>382</v>
      </c>
      <c r="C11357" t="s">
        <v>1930</v>
      </c>
      <c r="D11357">
        <v>0</v>
      </c>
      <c r="E11357">
        <v>0</v>
      </c>
      <c r="F11357">
        <v>0</v>
      </c>
      <c r="G11357">
        <v>0</v>
      </c>
    </row>
    <row r="11358" spans="1:7">
      <c r="A11358" t="s">
        <v>1876</v>
      </c>
      <c r="B11358" t="s">
        <v>382</v>
      </c>
      <c r="C11358" t="s">
        <v>194</v>
      </c>
      <c r="D11358">
        <v>839</v>
      </c>
      <c r="E11358">
        <v>839</v>
      </c>
      <c r="F11358">
        <v>839</v>
      </c>
      <c r="G11358">
        <v>839</v>
      </c>
    </row>
    <row r="11359" spans="1:7">
      <c r="A11359" t="s">
        <v>1876</v>
      </c>
      <c r="B11359" t="s">
        <v>382</v>
      </c>
      <c r="C11359" t="s">
        <v>195</v>
      </c>
      <c r="D11359">
        <v>0</v>
      </c>
      <c r="E11359">
        <v>0</v>
      </c>
      <c r="F11359">
        <v>0</v>
      </c>
      <c r="G11359">
        <v>0</v>
      </c>
    </row>
    <row r="11360" spans="1:7">
      <c r="A11360" t="s">
        <v>1876</v>
      </c>
      <c r="B11360" t="s">
        <v>382</v>
      </c>
      <c r="C11360" t="s">
        <v>1706</v>
      </c>
      <c r="D11360">
        <v>0</v>
      </c>
      <c r="E11360">
        <v>0</v>
      </c>
      <c r="F11360">
        <v>0</v>
      </c>
      <c r="G11360">
        <v>0</v>
      </c>
    </row>
    <row r="11361" spans="1:7">
      <c r="A11361" t="s">
        <v>1876</v>
      </c>
      <c r="B11361" t="s">
        <v>382</v>
      </c>
      <c r="C11361" t="s">
        <v>196</v>
      </c>
      <c r="D11361">
        <v>0</v>
      </c>
      <c r="E11361">
        <v>0</v>
      </c>
      <c r="F11361">
        <v>0</v>
      </c>
      <c r="G11361">
        <v>0</v>
      </c>
    </row>
    <row r="11362" spans="1:7">
      <c r="A11362" t="s">
        <v>1876</v>
      </c>
      <c r="B11362" t="s">
        <v>382</v>
      </c>
      <c r="C11362" t="s">
        <v>197</v>
      </c>
      <c r="D11362">
        <v>2596</v>
      </c>
      <c r="E11362">
        <v>2596</v>
      </c>
      <c r="F11362">
        <v>2596</v>
      </c>
      <c r="G11362">
        <v>2596</v>
      </c>
    </row>
    <row r="11363" spans="1:7">
      <c r="A11363" t="s">
        <v>1876</v>
      </c>
      <c r="B11363" t="s">
        <v>382</v>
      </c>
      <c r="C11363" t="s">
        <v>198</v>
      </c>
      <c r="D11363">
        <v>3435</v>
      </c>
      <c r="E11363">
        <v>3435</v>
      </c>
      <c r="F11363">
        <v>3435</v>
      </c>
      <c r="G11363">
        <v>3435</v>
      </c>
    </row>
    <row r="11364" spans="1:7">
      <c r="A11364" t="s">
        <v>1876</v>
      </c>
      <c r="B11364" t="s">
        <v>382</v>
      </c>
      <c r="C11364" t="s">
        <v>199</v>
      </c>
      <c r="D11364">
        <v>3435</v>
      </c>
      <c r="E11364">
        <v>3435</v>
      </c>
      <c r="F11364">
        <v>3435</v>
      </c>
      <c r="G11364">
        <v>3435</v>
      </c>
    </row>
    <row r="11365" spans="1:7">
      <c r="A11365" t="s">
        <v>1876</v>
      </c>
      <c r="B11365" t="s">
        <v>382</v>
      </c>
      <c r="C11365" t="s">
        <v>200</v>
      </c>
      <c r="D11365">
        <v>335</v>
      </c>
      <c r="E11365">
        <v>345</v>
      </c>
      <c r="F11365">
        <v>326</v>
      </c>
      <c r="G11365">
        <v>473</v>
      </c>
    </row>
    <row r="11366" spans="1:7">
      <c r="A11366" t="s">
        <v>1876</v>
      </c>
      <c r="B11366" t="s">
        <v>382</v>
      </c>
      <c r="C11366" t="s">
        <v>201</v>
      </c>
      <c r="D11366">
        <v>5826</v>
      </c>
      <c r="E11366">
        <v>6630</v>
      </c>
      <c r="F11366">
        <v>5356</v>
      </c>
      <c r="G11366">
        <v>5245</v>
      </c>
    </row>
    <row r="11367" spans="1:7">
      <c r="A11367" t="s">
        <v>1876</v>
      </c>
      <c r="B11367" t="s">
        <v>382</v>
      </c>
      <c r="C11367" t="s">
        <v>202</v>
      </c>
      <c r="D11367">
        <v>13401</v>
      </c>
      <c r="E11367">
        <v>15844</v>
      </c>
      <c r="F11367">
        <v>14907</v>
      </c>
      <c r="G11367">
        <v>13175</v>
      </c>
    </row>
    <row r="11368" spans="1:7">
      <c r="A11368" t="s">
        <v>1876</v>
      </c>
      <c r="B11368" t="s">
        <v>382</v>
      </c>
      <c r="C11368" t="s">
        <v>203</v>
      </c>
      <c r="D11368">
        <v>19030</v>
      </c>
      <c r="E11368">
        <v>19779</v>
      </c>
      <c r="F11368">
        <v>17802</v>
      </c>
      <c r="G11368">
        <v>16763</v>
      </c>
    </row>
    <row r="11369" spans="1:7">
      <c r="A11369" t="s">
        <v>1876</v>
      </c>
      <c r="B11369" t="s">
        <v>382</v>
      </c>
      <c r="C11369" t="s">
        <v>204</v>
      </c>
      <c r="D11369">
        <v>38592</v>
      </c>
      <c r="E11369">
        <v>42598</v>
      </c>
      <c r="F11369">
        <v>38390</v>
      </c>
      <c r="G11369">
        <v>35655</v>
      </c>
    </row>
    <row r="11370" spans="1:7">
      <c r="A11370" t="s">
        <v>1876</v>
      </c>
      <c r="B11370" t="s">
        <v>382</v>
      </c>
      <c r="C11370" t="s">
        <v>205</v>
      </c>
      <c r="D11370">
        <v>38592</v>
      </c>
      <c r="E11370">
        <v>42598</v>
      </c>
      <c r="F11370">
        <v>38390</v>
      </c>
      <c r="G11370">
        <v>35655</v>
      </c>
    </row>
    <row r="11371" spans="1:7">
      <c r="A11371" t="s">
        <v>1876</v>
      </c>
      <c r="B11371" t="s">
        <v>382</v>
      </c>
      <c r="C11371" t="s">
        <v>1931</v>
      </c>
      <c r="D11371">
        <v>0</v>
      </c>
      <c r="E11371">
        <v>0</v>
      </c>
      <c r="F11371">
        <v>0</v>
      </c>
      <c r="G11371">
        <v>0</v>
      </c>
    </row>
    <row r="11372" spans="1:7">
      <c r="A11372" t="s">
        <v>1876</v>
      </c>
      <c r="B11372" t="s">
        <v>382</v>
      </c>
      <c r="C11372" t="s">
        <v>1707</v>
      </c>
      <c r="D11372">
        <v>0</v>
      </c>
      <c r="E11372">
        <v>0</v>
      </c>
      <c r="F11372">
        <v>0</v>
      </c>
      <c r="G11372">
        <v>0</v>
      </c>
    </row>
    <row r="11373" spans="1:7">
      <c r="A11373" t="s">
        <v>1876</v>
      </c>
      <c r="B11373" t="s">
        <v>382</v>
      </c>
      <c r="C11373" t="s">
        <v>1932</v>
      </c>
      <c r="D11373">
        <v>64.8</v>
      </c>
      <c r="E11373">
        <v>56.8</v>
      </c>
      <c r="F11373">
        <v>56.8</v>
      </c>
      <c r="G11373">
        <v>52.2</v>
      </c>
    </row>
    <row r="11374" spans="1:7">
      <c r="A11374" t="s">
        <v>1876</v>
      </c>
      <c r="B11374" t="s">
        <v>382</v>
      </c>
      <c r="C11374" t="s">
        <v>1708</v>
      </c>
      <c r="D11374">
        <v>102</v>
      </c>
      <c r="E11374">
        <v>102</v>
      </c>
      <c r="F11374">
        <v>102</v>
      </c>
      <c r="G11374">
        <v>102</v>
      </c>
    </row>
    <row r="11375" spans="1:7">
      <c r="A11375" t="s">
        <v>1876</v>
      </c>
      <c r="B11375" t="s">
        <v>382</v>
      </c>
      <c r="C11375" t="s">
        <v>206</v>
      </c>
      <c r="D11375">
        <v>0</v>
      </c>
      <c r="E11375">
        <v>0</v>
      </c>
      <c r="F11375">
        <v>0</v>
      </c>
      <c r="G11375">
        <v>0</v>
      </c>
    </row>
    <row r="11376" spans="1:7">
      <c r="A11376" t="s">
        <v>1876</v>
      </c>
      <c r="B11376" t="s">
        <v>382</v>
      </c>
      <c r="C11376" t="s">
        <v>207</v>
      </c>
      <c r="D11376">
        <v>1973</v>
      </c>
      <c r="E11376">
        <v>1730</v>
      </c>
      <c r="F11376">
        <v>1730</v>
      </c>
      <c r="G11376">
        <v>1595</v>
      </c>
    </row>
    <row r="11377" spans="1:7">
      <c r="A11377" t="s">
        <v>1876</v>
      </c>
      <c r="B11377" t="s">
        <v>382</v>
      </c>
      <c r="C11377" t="s">
        <v>208</v>
      </c>
      <c r="D11377">
        <v>0</v>
      </c>
      <c r="E11377">
        <v>0</v>
      </c>
      <c r="F11377">
        <v>0</v>
      </c>
      <c r="G11377">
        <v>0</v>
      </c>
    </row>
    <row r="11378" spans="1:7">
      <c r="A11378" t="s">
        <v>1876</v>
      </c>
      <c r="B11378" t="s">
        <v>382</v>
      </c>
      <c r="C11378" t="s">
        <v>209</v>
      </c>
      <c r="D11378">
        <v>1973</v>
      </c>
      <c r="E11378">
        <v>1730</v>
      </c>
      <c r="F11378">
        <v>1730</v>
      </c>
      <c r="G11378">
        <v>1595</v>
      </c>
    </row>
    <row r="11379" spans="1:7">
      <c r="A11379" t="s">
        <v>1876</v>
      </c>
      <c r="B11379" t="s">
        <v>382</v>
      </c>
      <c r="C11379" t="s">
        <v>210</v>
      </c>
      <c r="D11379">
        <v>0</v>
      </c>
      <c r="E11379">
        <v>0</v>
      </c>
      <c r="F11379">
        <v>0</v>
      </c>
      <c r="G11379">
        <v>0</v>
      </c>
    </row>
    <row r="11380" spans="1:7">
      <c r="A11380" t="s">
        <v>1876</v>
      </c>
      <c r="B11380" t="s">
        <v>382</v>
      </c>
      <c r="C11380" t="s">
        <v>211</v>
      </c>
      <c r="D11380">
        <v>0</v>
      </c>
      <c r="E11380">
        <v>0</v>
      </c>
      <c r="F11380">
        <v>0</v>
      </c>
      <c r="G11380">
        <v>0</v>
      </c>
    </row>
    <row r="11381" spans="1:7">
      <c r="A11381" t="s">
        <v>1876</v>
      </c>
      <c r="B11381" t="s">
        <v>382</v>
      </c>
      <c r="C11381" t="s">
        <v>212</v>
      </c>
      <c r="D11381">
        <v>0</v>
      </c>
      <c r="E11381">
        <v>0</v>
      </c>
      <c r="F11381">
        <v>0</v>
      </c>
      <c r="G11381">
        <v>0</v>
      </c>
    </row>
    <row r="11382" spans="1:7">
      <c r="A11382" t="s">
        <v>1876</v>
      </c>
      <c r="B11382" t="s">
        <v>382</v>
      </c>
      <c r="C11382" t="s">
        <v>213</v>
      </c>
      <c r="D11382">
        <v>0</v>
      </c>
      <c r="E11382">
        <v>0</v>
      </c>
      <c r="F11382">
        <v>0</v>
      </c>
      <c r="G11382">
        <v>0</v>
      </c>
    </row>
    <row r="11383" spans="1:7">
      <c r="A11383" t="s">
        <v>1876</v>
      </c>
      <c r="B11383" t="s">
        <v>382</v>
      </c>
      <c r="C11383" t="s">
        <v>214</v>
      </c>
      <c r="D11383">
        <v>0</v>
      </c>
      <c r="E11383">
        <v>0</v>
      </c>
      <c r="F11383">
        <v>0</v>
      </c>
      <c r="G11383">
        <v>0</v>
      </c>
    </row>
    <row r="11384" spans="1:7">
      <c r="A11384" t="s">
        <v>1876</v>
      </c>
      <c r="B11384" t="s">
        <v>382</v>
      </c>
      <c r="C11384" t="s">
        <v>215</v>
      </c>
      <c r="D11384">
        <v>40875</v>
      </c>
      <c r="E11384">
        <v>53045</v>
      </c>
      <c r="F11384">
        <v>48675</v>
      </c>
      <c r="G11384">
        <v>49827</v>
      </c>
    </row>
    <row r="11385" spans="1:7">
      <c r="A11385" t="s">
        <v>1876</v>
      </c>
      <c r="B11385" t="s">
        <v>382</v>
      </c>
      <c r="C11385" t="s">
        <v>216</v>
      </c>
      <c r="D11385">
        <v>40875</v>
      </c>
      <c r="E11385">
        <v>53045</v>
      </c>
      <c r="F11385">
        <v>48675</v>
      </c>
      <c r="G11385">
        <v>49827</v>
      </c>
    </row>
    <row r="11386" spans="1:7">
      <c r="A11386" t="s">
        <v>1876</v>
      </c>
      <c r="B11386" t="s">
        <v>382</v>
      </c>
      <c r="C11386" t="s">
        <v>217</v>
      </c>
      <c r="D11386">
        <v>40875</v>
      </c>
      <c r="E11386">
        <v>53045</v>
      </c>
      <c r="F11386">
        <v>48675</v>
      </c>
      <c r="G11386">
        <v>49827</v>
      </c>
    </row>
    <row r="11387" spans="1:7">
      <c r="A11387" t="s">
        <v>1876</v>
      </c>
      <c r="B11387" t="s">
        <v>382</v>
      </c>
      <c r="C11387" t="s">
        <v>218</v>
      </c>
      <c r="D11387">
        <v>45</v>
      </c>
      <c r="E11387">
        <v>41</v>
      </c>
      <c r="F11387">
        <v>71</v>
      </c>
      <c r="G11387">
        <v>52</v>
      </c>
    </row>
    <row r="11388" spans="1:7">
      <c r="A11388" t="s">
        <v>1876</v>
      </c>
      <c r="B11388" t="s">
        <v>382</v>
      </c>
      <c r="C11388" t="s">
        <v>219</v>
      </c>
      <c r="D11388">
        <v>42</v>
      </c>
      <c r="E11388">
        <v>31</v>
      </c>
      <c r="F11388">
        <v>126</v>
      </c>
      <c r="G11388">
        <v>69</v>
      </c>
    </row>
    <row r="11389" spans="1:7">
      <c r="A11389" t="s">
        <v>1876</v>
      </c>
      <c r="B11389" t="s">
        <v>382</v>
      </c>
      <c r="C11389" t="s">
        <v>220</v>
      </c>
      <c r="D11389">
        <v>288</v>
      </c>
      <c r="E11389">
        <v>267</v>
      </c>
      <c r="F11389">
        <v>457</v>
      </c>
      <c r="G11389">
        <v>334</v>
      </c>
    </row>
    <row r="11390" spans="1:7">
      <c r="A11390" t="s">
        <v>1876</v>
      </c>
      <c r="B11390" t="s">
        <v>382</v>
      </c>
      <c r="C11390" t="s">
        <v>221</v>
      </c>
      <c r="D11390">
        <v>375</v>
      </c>
      <c r="E11390">
        <v>340</v>
      </c>
      <c r="F11390">
        <v>654</v>
      </c>
      <c r="G11390">
        <v>454</v>
      </c>
    </row>
    <row r="11391" spans="1:7">
      <c r="A11391" t="s">
        <v>1876</v>
      </c>
      <c r="B11391" t="s">
        <v>382</v>
      </c>
      <c r="C11391" t="s">
        <v>222</v>
      </c>
      <c r="D11391">
        <v>375</v>
      </c>
      <c r="E11391">
        <v>340</v>
      </c>
      <c r="F11391">
        <v>654</v>
      </c>
      <c r="G11391">
        <v>454</v>
      </c>
    </row>
    <row r="11392" spans="1:7">
      <c r="A11392" t="s">
        <v>1876</v>
      </c>
      <c r="B11392" t="s">
        <v>382</v>
      </c>
      <c r="C11392" t="s">
        <v>1933</v>
      </c>
      <c r="D11392">
        <v>9712.2000000000007</v>
      </c>
      <c r="E11392">
        <v>9541.2999999999993</v>
      </c>
      <c r="F11392">
        <v>9513.6</v>
      </c>
      <c r="G11392">
        <v>9576</v>
      </c>
    </row>
    <row r="11393" spans="1:7">
      <c r="A11393" t="s">
        <v>1876</v>
      </c>
      <c r="B11393" t="s">
        <v>382</v>
      </c>
      <c r="C11393" t="s">
        <v>223</v>
      </c>
      <c r="D11393">
        <v>214</v>
      </c>
      <c r="E11393">
        <v>192</v>
      </c>
      <c r="F11393">
        <v>161</v>
      </c>
      <c r="G11393">
        <v>167</v>
      </c>
    </row>
    <row r="11394" spans="1:7">
      <c r="A11394" t="s">
        <v>1876</v>
      </c>
      <c r="B11394" t="s">
        <v>382</v>
      </c>
      <c r="C11394" t="s">
        <v>224</v>
      </c>
      <c r="D11394">
        <v>261508</v>
      </c>
      <c r="E11394">
        <v>259939</v>
      </c>
      <c r="F11394">
        <v>246797</v>
      </c>
      <c r="G11394">
        <v>268399</v>
      </c>
    </row>
    <row r="11395" spans="1:7">
      <c r="A11395" t="s">
        <v>1876</v>
      </c>
      <c r="B11395" t="s">
        <v>382</v>
      </c>
      <c r="C11395" t="s">
        <v>225</v>
      </c>
      <c r="D11395">
        <v>287955</v>
      </c>
      <c r="E11395">
        <v>282340</v>
      </c>
      <c r="F11395">
        <v>269131</v>
      </c>
      <c r="G11395">
        <v>267734</v>
      </c>
    </row>
    <row r="11396" spans="1:7">
      <c r="A11396" t="s">
        <v>1876</v>
      </c>
      <c r="B11396" t="s">
        <v>382</v>
      </c>
      <c r="C11396" t="s">
        <v>226</v>
      </c>
      <c r="D11396">
        <v>309127</v>
      </c>
      <c r="E11396">
        <v>300666</v>
      </c>
      <c r="F11396">
        <v>264699</v>
      </c>
      <c r="G11396">
        <v>275587</v>
      </c>
    </row>
    <row r="11397" spans="1:7">
      <c r="A11397" t="s">
        <v>1876</v>
      </c>
      <c r="B11397" t="s">
        <v>382</v>
      </c>
      <c r="C11397" t="s">
        <v>227</v>
      </c>
      <c r="D11397">
        <v>858804</v>
      </c>
      <c r="E11397">
        <v>843137</v>
      </c>
      <c r="F11397">
        <v>780789</v>
      </c>
      <c r="G11397">
        <v>811888</v>
      </c>
    </row>
    <row r="11398" spans="1:7">
      <c r="A11398" t="s">
        <v>1876</v>
      </c>
      <c r="B11398" t="s">
        <v>382</v>
      </c>
      <c r="C11398" t="s">
        <v>228</v>
      </c>
      <c r="D11398">
        <v>858804</v>
      </c>
      <c r="E11398">
        <v>843137</v>
      </c>
      <c r="F11398">
        <v>780789</v>
      </c>
      <c r="G11398">
        <v>811888</v>
      </c>
    </row>
    <row r="11399" spans="1:7">
      <c r="A11399" t="s">
        <v>1876</v>
      </c>
      <c r="B11399" t="s">
        <v>382</v>
      </c>
      <c r="C11399" t="s">
        <v>229</v>
      </c>
      <c r="D11399">
        <v>4226</v>
      </c>
      <c r="E11399">
        <v>4352</v>
      </c>
      <c r="F11399">
        <v>3232</v>
      </c>
      <c r="G11399">
        <v>3154</v>
      </c>
    </row>
    <row r="11400" spans="1:7">
      <c r="A11400" t="s">
        <v>1876</v>
      </c>
      <c r="B11400" t="s">
        <v>382</v>
      </c>
      <c r="C11400" t="s">
        <v>230</v>
      </c>
      <c r="D11400">
        <v>4339</v>
      </c>
      <c r="E11400">
        <v>4417</v>
      </c>
      <c r="F11400">
        <v>3300</v>
      </c>
      <c r="G11400">
        <v>3132</v>
      </c>
    </row>
    <row r="11401" spans="1:7">
      <c r="A11401" t="s">
        <v>1876</v>
      </c>
      <c r="B11401" t="s">
        <v>382</v>
      </c>
      <c r="C11401" t="s">
        <v>231</v>
      </c>
      <c r="D11401">
        <v>8565</v>
      </c>
      <c r="E11401">
        <v>8769</v>
      </c>
      <c r="F11401">
        <v>6531</v>
      </c>
      <c r="G11401">
        <v>6286</v>
      </c>
    </row>
    <row r="11402" spans="1:7">
      <c r="A11402" t="s">
        <v>1876</v>
      </c>
      <c r="B11402" t="s">
        <v>382</v>
      </c>
      <c r="C11402" t="s">
        <v>232</v>
      </c>
      <c r="D11402">
        <v>8565</v>
      </c>
      <c r="E11402">
        <v>8769</v>
      </c>
      <c r="F11402">
        <v>6531</v>
      </c>
      <c r="G11402">
        <v>6286</v>
      </c>
    </row>
    <row r="11403" spans="1:7">
      <c r="A11403" t="s">
        <v>1876</v>
      </c>
      <c r="B11403" t="s">
        <v>382</v>
      </c>
      <c r="C11403" t="s">
        <v>233</v>
      </c>
      <c r="D11403">
        <v>0</v>
      </c>
      <c r="E11403">
        <v>0</v>
      </c>
      <c r="F11403">
        <v>0</v>
      </c>
      <c r="G11403">
        <v>0</v>
      </c>
    </row>
    <row r="11404" spans="1:7">
      <c r="A11404" t="s">
        <v>1876</v>
      </c>
      <c r="B11404" t="s">
        <v>382</v>
      </c>
      <c r="C11404" t="s">
        <v>234</v>
      </c>
      <c r="D11404">
        <v>540581</v>
      </c>
      <c r="E11404">
        <v>532301</v>
      </c>
      <c r="F11404">
        <v>539143</v>
      </c>
      <c r="G11404">
        <v>553894</v>
      </c>
    </row>
    <row r="11405" spans="1:7">
      <c r="A11405" t="s">
        <v>1876</v>
      </c>
      <c r="B11405" t="s">
        <v>382</v>
      </c>
      <c r="C11405" t="s">
        <v>235</v>
      </c>
      <c r="D11405">
        <v>16195</v>
      </c>
      <c r="E11405">
        <v>16654</v>
      </c>
      <c r="F11405">
        <v>16706</v>
      </c>
      <c r="G11405">
        <v>10976</v>
      </c>
    </row>
    <row r="11406" spans="1:7">
      <c r="A11406" t="s">
        <v>1876</v>
      </c>
      <c r="B11406" t="s">
        <v>382</v>
      </c>
      <c r="C11406" t="s">
        <v>236</v>
      </c>
      <c r="D11406">
        <v>8055</v>
      </c>
      <c r="E11406">
        <v>8381</v>
      </c>
      <c r="F11406">
        <v>8447</v>
      </c>
      <c r="G11406">
        <v>6965</v>
      </c>
    </row>
    <row r="11407" spans="1:7">
      <c r="A11407" t="s">
        <v>1876</v>
      </c>
      <c r="B11407" t="s">
        <v>382</v>
      </c>
      <c r="C11407" t="s">
        <v>237</v>
      </c>
      <c r="D11407">
        <v>564831</v>
      </c>
      <c r="E11407">
        <v>557336</v>
      </c>
      <c r="F11407">
        <v>564295</v>
      </c>
      <c r="G11407">
        <v>571836</v>
      </c>
    </row>
    <row r="11408" spans="1:7">
      <c r="A11408" t="s">
        <v>1876</v>
      </c>
      <c r="B11408" t="s">
        <v>382</v>
      </c>
      <c r="C11408" t="s">
        <v>238</v>
      </c>
      <c r="D11408">
        <v>564831</v>
      </c>
      <c r="E11408">
        <v>557336</v>
      </c>
      <c r="F11408">
        <v>564295</v>
      </c>
      <c r="G11408">
        <v>571836</v>
      </c>
    </row>
    <row r="11409" spans="1:7">
      <c r="A11409" t="s">
        <v>1876</v>
      </c>
      <c r="B11409" t="s">
        <v>382</v>
      </c>
      <c r="C11409" t="s">
        <v>1934</v>
      </c>
      <c r="D11409">
        <v>503152</v>
      </c>
      <c r="E11409">
        <v>495384</v>
      </c>
      <c r="F11409">
        <v>501234</v>
      </c>
      <c r="G11409">
        <v>515706</v>
      </c>
    </row>
    <row r="11410" spans="1:7">
      <c r="A11410" t="s">
        <v>1876</v>
      </c>
      <c r="B11410" t="s">
        <v>382</v>
      </c>
      <c r="C11410" t="s">
        <v>1935</v>
      </c>
      <c r="D11410">
        <v>15074</v>
      </c>
      <c r="E11410">
        <v>15499</v>
      </c>
      <c r="F11410">
        <v>15531</v>
      </c>
      <c r="G11410">
        <v>10220</v>
      </c>
    </row>
    <row r="11411" spans="1:7">
      <c r="A11411" t="s">
        <v>1876</v>
      </c>
      <c r="B11411" t="s">
        <v>382</v>
      </c>
      <c r="C11411" t="s">
        <v>1936</v>
      </c>
      <c r="D11411">
        <v>7497</v>
      </c>
      <c r="E11411">
        <v>7800</v>
      </c>
      <c r="F11411">
        <v>7853</v>
      </c>
      <c r="G11411">
        <v>6485</v>
      </c>
    </row>
    <row r="11412" spans="1:7">
      <c r="A11412" t="s">
        <v>1876</v>
      </c>
      <c r="B11412" t="s">
        <v>382</v>
      </c>
      <c r="C11412" t="s">
        <v>239</v>
      </c>
      <c r="D11412">
        <v>525724</v>
      </c>
      <c r="E11412">
        <v>518683</v>
      </c>
      <c r="F11412">
        <v>524618</v>
      </c>
      <c r="G11412">
        <v>532411</v>
      </c>
    </row>
    <row r="11413" spans="1:7">
      <c r="A11413" t="s">
        <v>1876</v>
      </c>
      <c r="B11413" t="s">
        <v>382</v>
      </c>
      <c r="C11413" t="s">
        <v>240</v>
      </c>
      <c r="D11413">
        <v>4049</v>
      </c>
      <c r="E11413">
        <v>4178</v>
      </c>
      <c r="F11413">
        <v>4015</v>
      </c>
      <c r="G11413">
        <v>3931</v>
      </c>
    </row>
    <row r="11414" spans="1:7">
      <c r="A11414" t="s">
        <v>1876</v>
      </c>
      <c r="B11414" t="s">
        <v>382</v>
      </c>
      <c r="C11414" t="s">
        <v>241</v>
      </c>
      <c r="D11414">
        <v>0</v>
      </c>
      <c r="E11414">
        <v>0</v>
      </c>
      <c r="F11414">
        <v>0</v>
      </c>
      <c r="G11414">
        <v>0</v>
      </c>
    </row>
    <row r="11415" spans="1:7">
      <c r="A11415" t="s">
        <v>1876</v>
      </c>
      <c r="B11415" t="s">
        <v>382</v>
      </c>
      <c r="C11415" t="s">
        <v>242</v>
      </c>
      <c r="D11415">
        <v>56059</v>
      </c>
      <c r="E11415">
        <v>59087</v>
      </c>
      <c r="F11415">
        <v>57116</v>
      </c>
      <c r="G11415">
        <v>57986</v>
      </c>
    </row>
    <row r="11416" spans="1:7">
      <c r="A11416" t="s">
        <v>1876</v>
      </c>
      <c r="B11416" t="s">
        <v>382</v>
      </c>
      <c r="C11416" t="s">
        <v>243</v>
      </c>
      <c r="D11416">
        <v>181974</v>
      </c>
      <c r="E11416">
        <v>194482</v>
      </c>
      <c r="F11416">
        <v>177163</v>
      </c>
      <c r="G11416">
        <v>173140</v>
      </c>
    </row>
    <row r="11417" spans="1:7">
      <c r="A11417" t="s">
        <v>1876</v>
      </c>
      <c r="B11417" t="s">
        <v>382</v>
      </c>
      <c r="C11417" t="s">
        <v>244</v>
      </c>
      <c r="D11417">
        <v>412723</v>
      </c>
      <c r="E11417">
        <v>504410</v>
      </c>
      <c r="F11417">
        <v>578062</v>
      </c>
      <c r="G11417">
        <v>629340</v>
      </c>
    </row>
    <row r="11418" spans="1:7">
      <c r="A11418" t="s">
        <v>1876</v>
      </c>
      <c r="B11418" t="s">
        <v>382</v>
      </c>
      <c r="C11418" t="s">
        <v>1709</v>
      </c>
      <c r="D11418">
        <v>14464</v>
      </c>
      <c r="E11418">
        <v>14504</v>
      </c>
      <c r="F11418">
        <v>16378</v>
      </c>
      <c r="G11418">
        <v>16365</v>
      </c>
    </row>
    <row r="11419" spans="1:7">
      <c r="A11419" t="s">
        <v>1876</v>
      </c>
      <c r="B11419" t="s">
        <v>382</v>
      </c>
      <c r="C11419" t="s">
        <v>245</v>
      </c>
      <c r="D11419">
        <v>354041</v>
      </c>
      <c r="E11419">
        <v>353174</v>
      </c>
      <c r="F11419">
        <v>362260</v>
      </c>
      <c r="G11419">
        <v>365426</v>
      </c>
    </row>
    <row r="11420" spans="1:7">
      <c r="A11420" t="s">
        <v>1876</v>
      </c>
      <c r="B11420" t="s">
        <v>382</v>
      </c>
      <c r="C11420" t="s">
        <v>246</v>
      </c>
      <c r="D11420">
        <v>292832</v>
      </c>
      <c r="E11420">
        <v>313372</v>
      </c>
      <c r="F11420">
        <v>276777</v>
      </c>
      <c r="G11420">
        <v>264103</v>
      </c>
    </row>
    <row r="11421" spans="1:7">
      <c r="A11421" t="s">
        <v>1876</v>
      </c>
      <c r="B11421" t="s">
        <v>382</v>
      </c>
      <c r="C11421" t="s">
        <v>247</v>
      </c>
      <c r="D11421">
        <v>1297629</v>
      </c>
      <c r="E11421">
        <v>1424520</v>
      </c>
      <c r="F11421">
        <v>1451378</v>
      </c>
      <c r="G11421">
        <v>1489992</v>
      </c>
    </row>
    <row r="11422" spans="1:7">
      <c r="A11422" t="s">
        <v>1876</v>
      </c>
      <c r="B11422" t="s">
        <v>382</v>
      </c>
      <c r="C11422" t="s">
        <v>248</v>
      </c>
      <c r="D11422">
        <v>110.3</v>
      </c>
      <c r="E11422">
        <v>121.1</v>
      </c>
      <c r="F11422">
        <v>122.9</v>
      </c>
      <c r="G11422">
        <v>125.6</v>
      </c>
    </row>
    <row r="11423" spans="1:7">
      <c r="A11423" t="s">
        <v>1876</v>
      </c>
      <c r="B11423" t="s">
        <v>382</v>
      </c>
      <c r="C11423" t="s">
        <v>249</v>
      </c>
      <c r="D11423">
        <v>884906</v>
      </c>
      <c r="E11423">
        <v>920114</v>
      </c>
      <c r="F11423">
        <v>873317</v>
      </c>
      <c r="G11423">
        <v>860655</v>
      </c>
    </row>
    <row r="11424" spans="1:7">
      <c r="A11424" t="s">
        <v>1876</v>
      </c>
      <c r="B11424" t="s">
        <v>382</v>
      </c>
      <c r="C11424" t="s">
        <v>250</v>
      </c>
      <c r="D11424">
        <v>1294814</v>
      </c>
      <c r="E11424">
        <v>1422175</v>
      </c>
      <c r="F11424">
        <v>1446742</v>
      </c>
      <c r="G11424">
        <v>1484273</v>
      </c>
    </row>
    <row r="11425" spans="1:7">
      <c r="A11425" t="s">
        <v>1876</v>
      </c>
      <c r="B11425" t="s">
        <v>382</v>
      </c>
      <c r="C11425" t="s">
        <v>1937</v>
      </c>
      <c r="D11425">
        <v>9.6</v>
      </c>
      <c r="E11425">
        <v>12.7</v>
      </c>
      <c r="F11425">
        <v>14.9</v>
      </c>
      <c r="G11425">
        <v>17.2</v>
      </c>
    </row>
    <row r="11426" spans="1:7">
      <c r="A11426" t="s">
        <v>1876</v>
      </c>
      <c r="B11426" t="s">
        <v>382</v>
      </c>
      <c r="C11426" t="s">
        <v>1938</v>
      </c>
      <c r="D11426">
        <v>93.5</v>
      </c>
      <c r="E11426">
        <v>90</v>
      </c>
      <c r="F11426">
        <v>86.7</v>
      </c>
      <c r="G11426">
        <v>95.7</v>
      </c>
    </row>
    <row r="11427" spans="1:7">
      <c r="A11427" t="s">
        <v>1876</v>
      </c>
      <c r="B11427" t="s">
        <v>382</v>
      </c>
      <c r="C11427" t="s">
        <v>251</v>
      </c>
      <c r="D11427">
        <v>182330</v>
      </c>
      <c r="E11427">
        <v>175806</v>
      </c>
      <c r="F11427">
        <v>169392</v>
      </c>
      <c r="G11427">
        <v>187420</v>
      </c>
    </row>
    <row r="11428" spans="1:7">
      <c r="A11428" t="s">
        <v>1876</v>
      </c>
      <c r="B11428" t="s">
        <v>382</v>
      </c>
      <c r="C11428" t="s">
        <v>252</v>
      </c>
      <c r="D11428">
        <v>182330</v>
      </c>
      <c r="E11428">
        <v>175806</v>
      </c>
      <c r="F11428">
        <v>169392</v>
      </c>
      <c r="G11428">
        <v>187420</v>
      </c>
    </row>
    <row r="11429" spans="1:7">
      <c r="A11429" t="s">
        <v>1876</v>
      </c>
      <c r="B11429" t="s">
        <v>382</v>
      </c>
      <c r="C11429" t="s">
        <v>1710</v>
      </c>
      <c r="D11429">
        <v>2134</v>
      </c>
      <c r="E11429">
        <v>2134</v>
      </c>
      <c r="F11429">
        <v>2134</v>
      </c>
      <c r="G11429">
        <v>2134</v>
      </c>
    </row>
    <row r="11430" spans="1:7">
      <c r="A11430" t="s">
        <v>1876</v>
      </c>
      <c r="B11430" t="s">
        <v>382</v>
      </c>
      <c r="C11430" t="s">
        <v>1939</v>
      </c>
      <c r="D11430">
        <v>15</v>
      </c>
      <c r="E11430">
        <v>33.200000000000003</v>
      </c>
      <c r="F11430">
        <v>31.9</v>
      </c>
      <c r="G11430">
        <v>32.799999999999997</v>
      </c>
    </row>
    <row r="11431" spans="1:7">
      <c r="A11431" t="s">
        <v>1876</v>
      </c>
      <c r="B11431" t="s">
        <v>382</v>
      </c>
      <c r="C11431" t="s">
        <v>253</v>
      </c>
      <c r="D11431">
        <v>6976</v>
      </c>
      <c r="E11431">
        <v>6976</v>
      </c>
      <c r="F11431">
        <v>6976</v>
      </c>
      <c r="G11431">
        <v>6976</v>
      </c>
    </row>
    <row r="11432" spans="1:7">
      <c r="A11432" t="s">
        <v>1876</v>
      </c>
      <c r="B11432" t="s">
        <v>382</v>
      </c>
      <c r="C11432" t="s">
        <v>1711</v>
      </c>
      <c r="D11432">
        <v>179</v>
      </c>
      <c r="E11432">
        <v>248</v>
      </c>
      <c r="F11432">
        <v>211</v>
      </c>
      <c r="G11432">
        <v>183</v>
      </c>
    </row>
    <row r="11433" spans="1:7">
      <c r="A11433" t="s">
        <v>1876</v>
      </c>
      <c r="B11433" t="s">
        <v>382</v>
      </c>
      <c r="C11433" t="s">
        <v>1712</v>
      </c>
      <c r="D11433">
        <v>65271</v>
      </c>
      <c r="E11433">
        <v>61982</v>
      </c>
      <c r="F11433">
        <v>57898</v>
      </c>
      <c r="G11433">
        <v>61382</v>
      </c>
    </row>
    <row r="11434" spans="1:7">
      <c r="A11434" t="s">
        <v>1876</v>
      </c>
      <c r="B11434" t="s">
        <v>382</v>
      </c>
      <c r="C11434" t="s">
        <v>1713</v>
      </c>
      <c r="D11434">
        <v>3231</v>
      </c>
      <c r="E11434">
        <v>2925</v>
      </c>
      <c r="F11434">
        <v>4411</v>
      </c>
      <c r="G11434">
        <v>4674</v>
      </c>
    </row>
    <row r="11435" spans="1:7">
      <c r="A11435" t="s">
        <v>1876</v>
      </c>
      <c r="B11435" t="s">
        <v>382</v>
      </c>
      <c r="C11435" t="s">
        <v>1940</v>
      </c>
      <c r="D11435">
        <v>0</v>
      </c>
      <c r="E11435">
        <v>0</v>
      </c>
      <c r="F11435">
        <v>0</v>
      </c>
      <c r="G11435">
        <v>0</v>
      </c>
    </row>
    <row r="11436" spans="1:7">
      <c r="A11436" t="s">
        <v>1876</v>
      </c>
      <c r="B11436" t="s">
        <v>382</v>
      </c>
      <c r="C11436" t="s">
        <v>1941</v>
      </c>
      <c r="D11436">
        <v>0</v>
      </c>
      <c r="E11436">
        <v>0</v>
      </c>
      <c r="F11436">
        <v>0</v>
      </c>
      <c r="G11436">
        <v>0</v>
      </c>
    </row>
    <row r="11437" spans="1:7">
      <c r="A11437" t="s">
        <v>1876</v>
      </c>
      <c r="B11437" t="s">
        <v>382</v>
      </c>
      <c r="C11437" t="s">
        <v>254</v>
      </c>
      <c r="D11437">
        <v>65271</v>
      </c>
      <c r="E11437">
        <v>61982</v>
      </c>
      <c r="F11437">
        <v>57898</v>
      </c>
      <c r="G11437">
        <v>61382</v>
      </c>
    </row>
    <row r="11438" spans="1:7">
      <c r="A11438" t="s">
        <v>1876</v>
      </c>
      <c r="B11438" t="s">
        <v>382</v>
      </c>
      <c r="C11438" t="s">
        <v>1942</v>
      </c>
      <c r="D11438">
        <v>0</v>
      </c>
      <c r="E11438">
        <v>0</v>
      </c>
      <c r="F11438">
        <v>0</v>
      </c>
      <c r="G11438">
        <v>0</v>
      </c>
    </row>
    <row r="11439" spans="1:7">
      <c r="A11439" t="s">
        <v>1876</v>
      </c>
      <c r="B11439" t="s">
        <v>382</v>
      </c>
      <c r="C11439" t="s">
        <v>255</v>
      </c>
      <c r="D11439">
        <v>68502</v>
      </c>
      <c r="E11439">
        <v>64907</v>
      </c>
      <c r="F11439">
        <v>62310</v>
      </c>
      <c r="G11439">
        <v>66057</v>
      </c>
    </row>
    <row r="11440" spans="1:7">
      <c r="A11440" t="s">
        <v>1876</v>
      </c>
      <c r="B11440" t="s">
        <v>382</v>
      </c>
      <c r="C11440" t="s">
        <v>256</v>
      </c>
      <c r="D11440">
        <v>68502</v>
      </c>
      <c r="E11440">
        <v>64907</v>
      </c>
      <c r="F11440">
        <v>62310</v>
      </c>
      <c r="G11440">
        <v>66057</v>
      </c>
    </row>
    <row r="11441" spans="1:7">
      <c r="A11441" t="s">
        <v>1876</v>
      </c>
      <c r="B11441" t="s">
        <v>382</v>
      </c>
      <c r="C11441" t="s">
        <v>1714</v>
      </c>
      <c r="D11441">
        <v>0</v>
      </c>
      <c r="E11441">
        <v>0</v>
      </c>
      <c r="F11441">
        <v>0</v>
      </c>
      <c r="G11441">
        <v>0</v>
      </c>
    </row>
    <row r="11442" spans="1:7">
      <c r="A11442" t="s">
        <v>1876</v>
      </c>
      <c r="B11442" t="s">
        <v>382</v>
      </c>
      <c r="C11442" t="s">
        <v>257</v>
      </c>
      <c r="D11442">
        <v>120180</v>
      </c>
      <c r="E11442">
        <v>120412</v>
      </c>
      <c r="F11442">
        <v>113102</v>
      </c>
      <c r="G11442">
        <v>115706</v>
      </c>
    </row>
    <row r="11443" spans="1:7">
      <c r="A11443" t="s">
        <v>1876</v>
      </c>
      <c r="B11443" t="s">
        <v>382</v>
      </c>
      <c r="C11443" t="s">
        <v>258</v>
      </c>
      <c r="D11443">
        <v>141687</v>
      </c>
      <c r="E11443">
        <v>140350</v>
      </c>
      <c r="F11443">
        <v>134182</v>
      </c>
      <c r="G11443">
        <v>138052</v>
      </c>
    </row>
    <row r="11444" spans="1:7">
      <c r="A11444" t="s">
        <v>1876</v>
      </c>
      <c r="B11444" t="s">
        <v>382</v>
      </c>
      <c r="C11444" t="s">
        <v>259</v>
      </c>
      <c r="D11444">
        <v>128434</v>
      </c>
      <c r="E11444">
        <v>128478</v>
      </c>
      <c r="F11444">
        <v>121729</v>
      </c>
      <c r="G11444">
        <v>124410</v>
      </c>
    </row>
    <row r="11445" spans="1:7">
      <c r="A11445" t="s">
        <v>1876</v>
      </c>
      <c r="B11445" t="s">
        <v>382</v>
      </c>
      <c r="C11445" t="s">
        <v>260</v>
      </c>
      <c r="D11445">
        <v>818607</v>
      </c>
      <c r="E11445">
        <v>813445</v>
      </c>
      <c r="F11445">
        <v>820264</v>
      </c>
      <c r="G11445">
        <v>831975</v>
      </c>
    </row>
    <row r="11446" spans="1:7">
      <c r="A11446" t="s">
        <v>1876</v>
      </c>
      <c r="B11446" t="s">
        <v>382</v>
      </c>
      <c r="C11446" t="s">
        <v>1943</v>
      </c>
      <c r="D11446">
        <v>18.7</v>
      </c>
      <c r="E11446">
        <v>18.3</v>
      </c>
      <c r="F11446">
        <v>20.8</v>
      </c>
      <c r="G11446">
        <v>24.2</v>
      </c>
    </row>
    <row r="11447" spans="1:7">
      <c r="A11447" t="s">
        <v>1876</v>
      </c>
      <c r="B11447" t="s">
        <v>382</v>
      </c>
      <c r="C11447" t="s">
        <v>261</v>
      </c>
      <c r="D11447">
        <v>33908</v>
      </c>
      <c r="E11447">
        <v>35525</v>
      </c>
      <c r="F11447">
        <v>33511</v>
      </c>
      <c r="G11447">
        <v>26998</v>
      </c>
    </row>
    <row r="11448" spans="1:7">
      <c r="A11448" t="s">
        <v>1876</v>
      </c>
      <c r="B11448" t="s">
        <v>382</v>
      </c>
      <c r="C11448" t="s">
        <v>262</v>
      </c>
      <c r="D11448">
        <v>15082</v>
      </c>
      <c r="E11448">
        <v>16644</v>
      </c>
      <c r="F11448">
        <v>13685</v>
      </c>
      <c r="G11448">
        <v>15094</v>
      </c>
    </row>
    <row r="11449" spans="1:7">
      <c r="A11449" t="s">
        <v>1876</v>
      </c>
      <c r="B11449" t="s">
        <v>382</v>
      </c>
      <c r="C11449" t="s">
        <v>1715</v>
      </c>
      <c r="D11449">
        <v>651</v>
      </c>
      <c r="E11449">
        <v>652</v>
      </c>
      <c r="F11449">
        <v>649</v>
      </c>
      <c r="G11449">
        <v>649</v>
      </c>
    </row>
    <row r="11450" spans="1:7">
      <c r="A11450" t="s">
        <v>1876</v>
      </c>
      <c r="B11450" t="s">
        <v>382</v>
      </c>
      <c r="C11450" t="s">
        <v>263</v>
      </c>
      <c r="D11450">
        <v>178434</v>
      </c>
      <c r="E11450">
        <v>181868</v>
      </c>
      <c r="F11450">
        <v>172448</v>
      </c>
      <c r="G11450">
        <v>170993</v>
      </c>
    </row>
    <row r="11451" spans="1:7">
      <c r="A11451" t="s">
        <v>1876</v>
      </c>
      <c r="B11451" t="s">
        <v>382</v>
      </c>
      <c r="C11451" t="s">
        <v>264</v>
      </c>
      <c r="D11451">
        <v>26993</v>
      </c>
      <c r="E11451">
        <v>28055</v>
      </c>
      <c r="F11451">
        <v>25726</v>
      </c>
      <c r="G11451">
        <v>23981</v>
      </c>
    </row>
    <row r="11452" spans="1:7">
      <c r="A11452" t="s">
        <v>1876</v>
      </c>
      <c r="B11452" t="s">
        <v>382</v>
      </c>
      <c r="C11452" t="s">
        <v>265</v>
      </c>
      <c r="D11452">
        <v>1073024</v>
      </c>
      <c r="E11452">
        <v>1075537</v>
      </c>
      <c r="F11452">
        <v>1065634</v>
      </c>
      <c r="G11452">
        <v>1069041</v>
      </c>
    </row>
    <row r="11453" spans="1:7">
      <c r="A11453" t="s">
        <v>1876</v>
      </c>
      <c r="B11453" t="s">
        <v>382</v>
      </c>
      <c r="C11453" t="s">
        <v>266</v>
      </c>
      <c r="D11453">
        <v>91.2</v>
      </c>
      <c r="E11453">
        <v>91.4</v>
      </c>
      <c r="F11453">
        <v>90.2</v>
      </c>
      <c r="G11453">
        <v>90.1</v>
      </c>
    </row>
    <row r="11454" spans="1:7">
      <c r="A11454" t="s">
        <v>1876</v>
      </c>
      <c r="B11454" t="s">
        <v>382</v>
      </c>
      <c r="C11454" t="s">
        <v>267</v>
      </c>
      <c r="D11454">
        <v>1057942</v>
      </c>
      <c r="E11454">
        <v>1058893</v>
      </c>
      <c r="F11454">
        <v>1051949</v>
      </c>
      <c r="G11454">
        <v>1053947</v>
      </c>
    </row>
    <row r="11455" spans="1:7">
      <c r="A11455" t="s">
        <v>1876</v>
      </c>
      <c r="B11455" t="s">
        <v>382</v>
      </c>
      <c r="C11455" t="s">
        <v>268</v>
      </c>
      <c r="D11455">
        <v>0</v>
      </c>
      <c r="E11455">
        <v>0</v>
      </c>
      <c r="F11455">
        <v>0</v>
      </c>
      <c r="G11455">
        <v>0</v>
      </c>
    </row>
    <row r="11456" spans="1:7">
      <c r="A11456" t="s">
        <v>1876</v>
      </c>
      <c r="B11456" t="s">
        <v>382</v>
      </c>
      <c r="C11456" t="s">
        <v>269</v>
      </c>
      <c r="D11456">
        <v>13254</v>
      </c>
      <c r="E11456">
        <v>11873</v>
      </c>
      <c r="F11456">
        <v>12452</v>
      </c>
      <c r="G11456">
        <v>13642</v>
      </c>
    </row>
    <row r="11457" spans="1:7">
      <c r="A11457" t="s">
        <v>1876</v>
      </c>
      <c r="B11457" t="s">
        <v>382</v>
      </c>
      <c r="C11457" t="s">
        <v>270</v>
      </c>
      <c r="D11457">
        <v>21712</v>
      </c>
      <c r="E11457">
        <v>19208</v>
      </c>
      <c r="F11457">
        <v>17424</v>
      </c>
      <c r="G11457">
        <v>21172</v>
      </c>
    </row>
    <row r="11458" spans="1:7">
      <c r="A11458" t="s">
        <v>1876</v>
      </c>
      <c r="B11458" t="s">
        <v>382</v>
      </c>
      <c r="C11458" t="s">
        <v>271</v>
      </c>
      <c r="D11458">
        <v>34965</v>
      </c>
      <c r="E11458">
        <v>31081</v>
      </c>
      <c r="F11458">
        <v>29876</v>
      </c>
      <c r="G11458">
        <v>34813</v>
      </c>
    </row>
    <row r="11459" spans="1:7">
      <c r="A11459" t="s">
        <v>1876</v>
      </c>
      <c r="B11459" t="s">
        <v>382</v>
      </c>
      <c r="C11459" t="s">
        <v>272</v>
      </c>
      <c r="D11459">
        <v>21712</v>
      </c>
      <c r="E11459">
        <v>19208</v>
      </c>
      <c r="F11459">
        <v>17424</v>
      </c>
      <c r="G11459">
        <v>21172</v>
      </c>
    </row>
    <row r="11460" spans="1:7">
      <c r="A11460" t="s">
        <v>1876</v>
      </c>
      <c r="B11460" t="s">
        <v>382</v>
      </c>
      <c r="C11460" t="s">
        <v>1944</v>
      </c>
      <c r="D11460">
        <v>12.8</v>
      </c>
      <c r="E11460">
        <v>16.5</v>
      </c>
      <c r="F11460">
        <v>21.1</v>
      </c>
      <c r="G11460">
        <v>28.6</v>
      </c>
    </row>
    <row r="11461" spans="1:7">
      <c r="A11461" t="s">
        <v>1876</v>
      </c>
      <c r="B11461" t="s">
        <v>382</v>
      </c>
      <c r="C11461" t="s">
        <v>1945</v>
      </c>
      <c r="D11461">
        <v>24</v>
      </c>
      <c r="E11461">
        <v>35</v>
      </c>
      <c r="F11461">
        <v>61</v>
      </c>
      <c r="G11461">
        <v>74</v>
      </c>
    </row>
    <row r="11462" spans="1:7">
      <c r="A11462" t="s">
        <v>1876</v>
      </c>
      <c r="B11462" t="s">
        <v>382</v>
      </c>
      <c r="C11462" t="s">
        <v>273</v>
      </c>
      <c r="D11462">
        <v>0</v>
      </c>
      <c r="E11462">
        <v>0</v>
      </c>
      <c r="F11462">
        <v>0</v>
      </c>
      <c r="G11462">
        <v>0</v>
      </c>
    </row>
    <row r="11463" spans="1:7">
      <c r="A11463" t="s">
        <v>1876</v>
      </c>
      <c r="B11463" t="s">
        <v>382</v>
      </c>
      <c r="C11463" t="s">
        <v>1946</v>
      </c>
      <c r="D11463">
        <v>775554</v>
      </c>
      <c r="E11463">
        <v>771539</v>
      </c>
      <c r="F11463">
        <v>775344</v>
      </c>
      <c r="G11463">
        <v>786587</v>
      </c>
    </row>
    <row r="11464" spans="1:7">
      <c r="A11464" t="s">
        <v>1876</v>
      </c>
      <c r="B11464" t="s">
        <v>382</v>
      </c>
      <c r="C11464" t="s">
        <v>1947</v>
      </c>
      <c r="D11464">
        <v>32787</v>
      </c>
      <c r="E11464">
        <v>34370</v>
      </c>
      <c r="F11464">
        <v>32336</v>
      </c>
      <c r="G11464">
        <v>26241</v>
      </c>
    </row>
    <row r="11465" spans="1:7">
      <c r="A11465" t="s">
        <v>1876</v>
      </c>
      <c r="B11465" t="s">
        <v>382</v>
      </c>
      <c r="C11465" t="s">
        <v>1948</v>
      </c>
      <c r="D11465">
        <v>15082</v>
      </c>
      <c r="E11465">
        <v>16644</v>
      </c>
      <c r="F11465">
        <v>13685</v>
      </c>
      <c r="G11465">
        <v>15094</v>
      </c>
    </row>
    <row r="11466" spans="1:7">
      <c r="A11466" t="s">
        <v>1876</v>
      </c>
      <c r="B11466" t="s">
        <v>382</v>
      </c>
      <c r="C11466" t="s">
        <v>1949</v>
      </c>
      <c r="D11466">
        <v>177876</v>
      </c>
      <c r="E11466">
        <v>181286</v>
      </c>
      <c r="F11466">
        <v>171854</v>
      </c>
      <c r="G11466">
        <v>170513</v>
      </c>
    </row>
    <row r="11467" spans="1:7">
      <c r="A11467" t="s">
        <v>1876</v>
      </c>
      <c r="B11467" t="s">
        <v>382</v>
      </c>
      <c r="C11467" t="s">
        <v>1950</v>
      </c>
      <c r="D11467">
        <v>26993</v>
      </c>
      <c r="E11467">
        <v>28055</v>
      </c>
      <c r="F11467">
        <v>25726</v>
      </c>
      <c r="G11467">
        <v>23981</v>
      </c>
    </row>
    <row r="11468" spans="1:7">
      <c r="A11468" t="s">
        <v>1876</v>
      </c>
      <c r="B11468" t="s">
        <v>382</v>
      </c>
      <c r="C11468" t="s">
        <v>274</v>
      </c>
      <c r="D11468">
        <v>1028293</v>
      </c>
      <c r="E11468">
        <v>1031895</v>
      </c>
      <c r="F11468">
        <v>1018946</v>
      </c>
      <c r="G11468">
        <v>1022416</v>
      </c>
    </row>
    <row r="11469" spans="1:7">
      <c r="A11469" t="s">
        <v>1876</v>
      </c>
      <c r="B11469" t="s">
        <v>382</v>
      </c>
      <c r="C11469" t="s">
        <v>275</v>
      </c>
      <c r="D11469">
        <v>0</v>
      </c>
      <c r="E11469">
        <v>0</v>
      </c>
      <c r="F11469">
        <v>0</v>
      </c>
      <c r="G11469">
        <v>0</v>
      </c>
    </row>
    <row r="11470" spans="1:7">
      <c r="A11470" t="s">
        <v>1876</v>
      </c>
      <c r="B11470" t="s">
        <v>382</v>
      </c>
      <c r="C11470" t="s">
        <v>276</v>
      </c>
      <c r="D11470">
        <v>0</v>
      </c>
      <c r="E11470">
        <v>0</v>
      </c>
      <c r="F11470">
        <v>0</v>
      </c>
      <c r="G11470">
        <v>0</v>
      </c>
    </row>
    <row r="11471" spans="1:7">
      <c r="A11471" t="s">
        <v>1876</v>
      </c>
      <c r="B11471" t="s">
        <v>382</v>
      </c>
      <c r="C11471" t="s">
        <v>277</v>
      </c>
      <c r="D11471">
        <v>335</v>
      </c>
      <c r="E11471">
        <v>345</v>
      </c>
      <c r="F11471">
        <v>326</v>
      </c>
      <c r="G11471">
        <v>473</v>
      </c>
    </row>
    <row r="11472" spans="1:7">
      <c r="A11472" t="s">
        <v>1876</v>
      </c>
      <c r="B11472" t="s">
        <v>382</v>
      </c>
      <c r="C11472" t="s">
        <v>278</v>
      </c>
      <c r="D11472">
        <v>5826</v>
      </c>
      <c r="E11472">
        <v>6630</v>
      </c>
      <c r="F11472">
        <v>5356</v>
      </c>
      <c r="G11472">
        <v>5245</v>
      </c>
    </row>
    <row r="11473" spans="1:7">
      <c r="A11473" t="s">
        <v>1876</v>
      </c>
      <c r="B11473" t="s">
        <v>382</v>
      </c>
      <c r="C11473" t="s">
        <v>279</v>
      </c>
      <c r="D11473">
        <v>6424</v>
      </c>
      <c r="E11473">
        <v>8867</v>
      </c>
      <c r="F11473">
        <v>7930</v>
      </c>
      <c r="G11473">
        <v>6198</v>
      </c>
    </row>
    <row r="11474" spans="1:7">
      <c r="A11474" t="s">
        <v>1876</v>
      </c>
      <c r="B11474" t="s">
        <v>382</v>
      </c>
      <c r="C11474" t="s">
        <v>280</v>
      </c>
      <c r="D11474">
        <v>19030</v>
      </c>
      <c r="E11474">
        <v>19779</v>
      </c>
      <c r="F11474">
        <v>17802</v>
      </c>
      <c r="G11474">
        <v>16763</v>
      </c>
    </row>
    <row r="11475" spans="1:7">
      <c r="A11475" t="s">
        <v>1876</v>
      </c>
      <c r="B11475" t="s">
        <v>382</v>
      </c>
      <c r="C11475" t="s">
        <v>281</v>
      </c>
      <c r="D11475">
        <v>31616</v>
      </c>
      <c r="E11475">
        <v>35622</v>
      </c>
      <c r="F11475">
        <v>31414</v>
      </c>
      <c r="G11475">
        <v>28679</v>
      </c>
    </row>
    <row r="11476" spans="1:7">
      <c r="A11476" t="s">
        <v>1876</v>
      </c>
      <c r="B11476" t="s">
        <v>382</v>
      </c>
      <c r="C11476" t="s">
        <v>282</v>
      </c>
      <c r="D11476">
        <v>31616</v>
      </c>
      <c r="E11476">
        <v>35622</v>
      </c>
      <c r="F11476">
        <v>31414</v>
      </c>
      <c r="G11476">
        <v>28679</v>
      </c>
    </row>
    <row r="11477" spans="1:7">
      <c r="A11477" t="s">
        <v>1876</v>
      </c>
      <c r="B11477" t="s">
        <v>382</v>
      </c>
      <c r="C11477" t="s">
        <v>283</v>
      </c>
      <c r="D11477">
        <v>6976</v>
      </c>
      <c r="E11477">
        <v>6976</v>
      </c>
      <c r="F11477">
        <v>6976</v>
      </c>
      <c r="G11477">
        <v>6976</v>
      </c>
    </row>
    <row r="11478" spans="1:7">
      <c r="A11478" t="s">
        <v>1876</v>
      </c>
      <c r="B11478" t="s">
        <v>382</v>
      </c>
      <c r="C11478" t="s">
        <v>284</v>
      </c>
      <c r="D11478">
        <v>6976</v>
      </c>
      <c r="E11478">
        <v>6976</v>
      </c>
      <c r="F11478">
        <v>6976</v>
      </c>
      <c r="G11478">
        <v>6976</v>
      </c>
    </row>
    <row r="11479" spans="1:7">
      <c r="A11479" t="s">
        <v>1876</v>
      </c>
      <c r="B11479" t="s">
        <v>382</v>
      </c>
      <c r="C11479" t="s">
        <v>1716</v>
      </c>
      <c r="D11479">
        <v>43052</v>
      </c>
      <c r="E11479">
        <v>41906</v>
      </c>
      <c r="F11479">
        <v>44920</v>
      </c>
      <c r="G11479">
        <v>45388</v>
      </c>
    </row>
    <row r="11480" spans="1:7">
      <c r="A11480" t="s">
        <v>1876</v>
      </c>
      <c r="B11480" t="s">
        <v>382</v>
      </c>
      <c r="C11480" t="s">
        <v>1717</v>
      </c>
      <c r="D11480">
        <v>6938</v>
      </c>
      <c r="E11480">
        <v>7008</v>
      </c>
      <c r="F11480">
        <v>7174</v>
      </c>
      <c r="G11480">
        <v>6872</v>
      </c>
    </row>
    <row r="11481" spans="1:7">
      <c r="A11481" t="s">
        <v>1876</v>
      </c>
      <c r="B11481" t="s">
        <v>382</v>
      </c>
      <c r="C11481" t="s">
        <v>1718</v>
      </c>
      <c r="D11481">
        <v>18598</v>
      </c>
      <c r="E11481">
        <v>19929</v>
      </c>
      <c r="F11481">
        <v>17870</v>
      </c>
      <c r="G11481">
        <v>26520</v>
      </c>
    </row>
    <row r="11482" spans="1:7">
      <c r="A11482" t="s">
        <v>1876</v>
      </c>
      <c r="B11482" t="s">
        <v>382</v>
      </c>
      <c r="C11482" t="s">
        <v>1719</v>
      </c>
      <c r="D11482">
        <v>1816</v>
      </c>
      <c r="E11482">
        <v>1785</v>
      </c>
      <c r="F11482">
        <v>3090</v>
      </c>
      <c r="G11482">
        <v>4505</v>
      </c>
    </row>
    <row r="11483" spans="1:7">
      <c r="A11483" t="s">
        <v>1876</v>
      </c>
      <c r="B11483" t="s">
        <v>382</v>
      </c>
      <c r="C11483" t="s">
        <v>1720</v>
      </c>
      <c r="D11483">
        <v>52002</v>
      </c>
      <c r="E11483">
        <v>55538</v>
      </c>
      <c r="F11483">
        <v>56690</v>
      </c>
      <c r="G11483">
        <v>57001</v>
      </c>
    </row>
    <row r="11484" spans="1:7">
      <c r="A11484" t="s">
        <v>1876</v>
      </c>
      <c r="B11484" t="s">
        <v>382</v>
      </c>
      <c r="C11484" t="s">
        <v>1721</v>
      </c>
      <c r="D11484">
        <v>26260</v>
      </c>
      <c r="E11484">
        <v>32334</v>
      </c>
      <c r="F11484">
        <v>28124</v>
      </c>
      <c r="G11484">
        <v>26765</v>
      </c>
    </row>
    <row r="11485" spans="1:7">
      <c r="A11485" t="s">
        <v>1876</v>
      </c>
      <c r="B11485" t="s">
        <v>382</v>
      </c>
      <c r="C11485" t="s">
        <v>285</v>
      </c>
      <c r="D11485">
        <v>146851</v>
      </c>
      <c r="E11485">
        <v>156716</v>
      </c>
      <c r="F11485">
        <v>154778</v>
      </c>
      <c r="G11485">
        <v>162546</v>
      </c>
    </row>
    <row r="11486" spans="1:7">
      <c r="A11486" t="s">
        <v>1876</v>
      </c>
      <c r="B11486" t="s">
        <v>382</v>
      </c>
      <c r="C11486" t="s">
        <v>1951</v>
      </c>
      <c r="D11486">
        <v>4.2</v>
      </c>
      <c r="E11486">
        <v>4.5</v>
      </c>
      <c r="F11486">
        <v>4.5999999999999996</v>
      </c>
      <c r="G11486">
        <v>4.7</v>
      </c>
    </row>
    <row r="11487" spans="1:7">
      <c r="A11487" t="s">
        <v>1876</v>
      </c>
      <c r="B11487" t="s">
        <v>382</v>
      </c>
      <c r="C11487" t="s">
        <v>286</v>
      </c>
      <c r="D11487">
        <v>68</v>
      </c>
      <c r="E11487">
        <v>70</v>
      </c>
      <c r="F11487">
        <v>58</v>
      </c>
      <c r="G11487">
        <v>63</v>
      </c>
    </row>
    <row r="11488" spans="1:7">
      <c r="A11488" t="s">
        <v>1876</v>
      </c>
      <c r="B11488" t="s">
        <v>382</v>
      </c>
      <c r="C11488" t="s">
        <v>287</v>
      </c>
      <c r="D11488">
        <v>0</v>
      </c>
      <c r="E11488">
        <v>0</v>
      </c>
      <c r="F11488">
        <v>0</v>
      </c>
      <c r="G11488">
        <v>0</v>
      </c>
    </row>
    <row r="11489" spans="1:7">
      <c r="A11489" t="s">
        <v>1876</v>
      </c>
      <c r="B11489" t="s">
        <v>382</v>
      </c>
      <c r="C11489" t="s">
        <v>288</v>
      </c>
      <c r="D11489">
        <v>0</v>
      </c>
      <c r="E11489">
        <v>0</v>
      </c>
      <c r="F11489">
        <v>0</v>
      </c>
      <c r="G11489">
        <v>0</v>
      </c>
    </row>
    <row r="11490" spans="1:7">
      <c r="A11490" t="s">
        <v>1876</v>
      </c>
      <c r="B11490" t="s">
        <v>382</v>
      </c>
      <c r="C11490" t="s">
        <v>289</v>
      </c>
      <c r="D11490">
        <v>2308</v>
      </c>
      <c r="E11490">
        <v>2365</v>
      </c>
      <c r="F11490">
        <v>1963</v>
      </c>
      <c r="G11490">
        <v>2125</v>
      </c>
    </row>
    <row r="11491" spans="1:7">
      <c r="A11491" t="s">
        <v>1876</v>
      </c>
      <c r="B11491" t="s">
        <v>382</v>
      </c>
      <c r="C11491" t="s">
        <v>290</v>
      </c>
      <c r="D11491">
        <v>2377</v>
      </c>
      <c r="E11491">
        <v>2435</v>
      </c>
      <c r="F11491">
        <v>2022</v>
      </c>
      <c r="G11491">
        <v>2188</v>
      </c>
    </row>
    <row r="11492" spans="1:7">
      <c r="A11492" t="s">
        <v>1876</v>
      </c>
      <c r="B11492" t="s">
        <v>382</v>
      </c>
      <c r="C11492" t="s">
        <v>291</v>
      </c>
      <c r="D11492">
        <v>2377</v>
      </c>
      <c r="E11492">
        <v>2435</v>
      </c>
      <c r="F11492">
        <v>2022</v>
      </c>
      <c r="G11492">
        <v>2188</v>
      </c>
    </row>
    <row r="11493" spans="1:7">
      <c r="A11493" t="s">
        <v>1876</v>
      </c>
      <c r="B11493" t="s">
        <v>382</v>
      </c>
      <c r="C11493" t="s">
        <v>292</v>
      </c>
      <c r="D11493">
        <v>420</v>
      </c>
      <c r="E11493">
        <v>339</v>
      </c>
      <c r="F11493">
        <v>598</v>
      </c>
      <c r="G11493">
        <v>701</v>
      </c>
    </row>
    <row r="11494" spans="1:7">
      <c r="A11494" t="s">
        <v>1876</v>
      </c>
      <c r="B11494" t="s">
        <v>382</v>
      </c>
      <c r="C11494" t="s">
        <v>293</v>
      </c>
      <c r="D11494">
        <v>952</v>
      </c>
      <c r="E11494">
        <v>879</v>
      </c>
      <c r="F11494">
        <v>1950</v>
      </c>
      <c r="G11494">
        <v>2549</v>
      </c>
    </row>
    <row r="11495" spans="1:7">
      <c r="A11495" t="s">
        <v>1876</v>
      </c>
      <c r="B11495" t="s">
        <v>382</v>
      </c>
      <c r="C11495" t="s">
        <v>294</v>
      </c>
      <c r="D11495">
        <v>768</v>
      </c>
      <c r="E11495">
        <v>582</v>
      </c>
      <c r="F11495">
        <v>1156</v>
      </c>
      <c r="G11495">
        <v>1398</v>
      </c>
    </row>
    <row r="11496" spans="1:7">
      <c r="A11496" t="s">
        <v>1876</v>
      </c>
      <c r="B11496" t="s">
        <v>382</v>
      </c>
      <c r="C11496" t="s">
        <v>295</v>
      </c>
      <c r="D11496">
        <v>676</v>
      </c>
      <c r="E11496">
        <v>546</v>
      </c>
      <c r="F11496">
        <v>934</v>
      </c>
      <c r="G11496">
        <v>1070</v>
      </c>
    </row>
    <row r="11497" spans="1:7">
      <c r="A11497" t="s">
        <v>1876</v>
      </c>
      <c r="B11497" t="s">
        <v>382</v>
      </c>
      <c r="C11497" t="s">
        <v>296</v>
      </c>
      <c r="D11497">
        <v>2816</v>
      </c>
      <c r="E11497">
        <v>2345</v>
      </c>
      <c r="F11497">
        <v>4637</v>
      </c>
      <c r="G11497">
        <v>5718</v>
      </c>
    </row>
    <row r="11498" spans="1:7">
      <c r="A11498" t="s">
        <v>1876</v>
      </c>
      <c r="B11498" t="s">
        <v>382</v>
      </c>
      <c r="C11498" t="s">
        <v>297</v>
      </c>
      <c r="D11498">
        <v>48438</v>
      </c>
      <c r="E11498">
        <v>48145</v>
      </c>
      <c r="F11498">
        <v>44481</v>
      </c>
      <c r="G11498">
        <v>49032</v>
      </c>
    </row>
    <row r="11499" spans="1:7">
      <c r="A11499" t="s">
        <v>1876</v>
      </c>
      <c r="B11499" t="s">
        <v>382</v>
      </c>
      <c r="C11499" t="s">
        <v>1952</v>
      </c>
      <c r="D11499">
        <v>0</v>
      </c>
      <c r="E11499">
        <v>0</v>
      </c>
      <c r="F11499">
        <v>0</v>
      </c>
      <c r="G11499">
        <v>0</v>
      </c>
    </row>
    <row r="11500" spans="1:7">
      <c r="A11500" t="s">
        <v>1876</v>
      </c>
      <c r="B11500" t="s">
        <v>382</v>
      </c>
      <c r="C11500" t="s">
        <v>298</v>
      </c>
      <c r="D11500">
        <v>10468</v>
      </c>
      <c r="E11500">
        <v>8806</v>
      </c>
      <c r="F11500">
        <v>8815</v>
      </c>
      <c r="G11500">
        <v>7709</v>
      </c>
    </row>
    <row r="11501" spans="1:7">
      <c r="A11501" t="s">
        <v>1876</v>
      </c>
      <c r="B11501" t="s">
        <v>382</v>
      </c>
      <c r="C11501" t="s">
        <v>299</v>
      </c>
      <c r="D11501">
        <v>452</v>
      </c>
      <c r="E11501">
        <v>499</v>
      </c>
      <c r="F11501">
        <v>651</v>
      </c>
      <c r="G11501">
        <v>770</v>
      </c>
    </row>
    <row r="11502" spans="1:7">
      <c r="A11502" t="s">
        <v>1876</v>
      </c>
      <c r="B11502" t="s">
        <v>382</v>
      </c>
      <c r="C11502" t="s">
        <v>300</v>
      </c>
      <c r="D11502">
        <v>2269</v>
      </c>
      <c r="E11502">
        <v>3119</v>
      </c>
      <c r="F11502">
        <v>4699</v>
      </c>
      <c r="G11502">
        <v>13622</v>
      </c>
    </row>
    <row r="11503" spans="1:7">
      <c r="A11503" t="s">
        <v>1876</v>
      </c>
      <c r="B11503" t="s">
        <v>382</v>
      </c>
      <c r="C11503" t="s">
        <v>1722</v>
      </c>
      <c r="D11503">
        <v>480</v>
      </c>
      <c r="E11503">
        <v>481</v>
      </c>
      <c r="F11503">
        <v>1808</v>
      </c>
      <c r="G11503">
        <v>3237</v>
      </c>
    </row>
    <row r="11504" spans="1:7">
      <c r="A11504" t="s">
        <v>1876</v>
      </c>
      <c r="B11504" t="s">
        <v>382</v>
      </c>
      <c r="C11504" t="s">
        <v>301</v>
      </c>
      <c r="D11504">
        <v>118</v>
      </c>
      <c r="E11504">
        <v>132</v>
      </c>
      <c r="F11504">
        <v>151</v>
      </c>
      <c r="G11504">
        <v>178</v>
      </c>
    </row>
    <row r="11505" spans="1:7">
      <c r="A11505" t="s">
        <v>1876</v>
      </c>
      <c r="B11505" t="s">
        <v>382</v>
      </c>
      <c r="C11505" t="s">
        <v>302</v>
      </c>
      <c r="D11505">
        <v>678</v>
      </c>
      <c r="E11505">
        <v>779</v>
      </c>
      <c r="F11505">
        <v>910</v>
      </c>
      <c r="G11505">
        <v>1091</v>
      </c>
    </row>
    <row r="11506" spans="1:7">
      <c r="A11506" t="s">
        <v>1876</v>
      </c>
      <c r="B11506" t="s">
        <v>382</v>
      </c>
      <c r="C11506" t="s">
        <v>303</v>
      </c>
      <c r="D11506">
        <v>3517</v>
      </c>
      <c r="E11506">
        <v>4529</v>
      </c>
      <c r="F11506">
        <v>6412</v>
      </c>
      <c r="G11506">
        <v>15661</v>
      </c>
    </row>
    <row r="11507" spans="1:7">
      <c r="A11507" t="s">
        <v>1876</v>
      </c>
      <c r="B11507" t="s">
        <v>382</v>
      </c>
      <c r="C11507" t="s">
        <v>304</v>
      </c>
      <c r="D11507">
        <v>1248</v>
      </c>
      <c r="E11507">
        <v>1410</v>
      </c>
      <c r="F11507">
        <v>1713</v>
      </c>
      <c r="G11507">
        <v>2039</v>
      </c>
    </row>
    <row r="11508" spans="1:7">
      <c r="A11508" t="s">
        <v>1876</v>
      </c>
      <c r="B11508" t="s">
        <v>382</v>
      </c>
      <c r="C11508" t="s">
        <v>1953</v>
      </c>
      <c r="D11508">
        <v>21.4</v>
      </c>
      <c r="E11508">
        <v>21.9</v>
      </c>
      <c r="F11508">
        <v>19.2</v>
      </c>
      <c r="G11508">
        <v>18.8</v>
      </c>
    </row>
    <row r="11509" spans="1:7">
      <c r="A11509" t="s">
        <v>1876</v>
      </c>
      <c r="B11509" t="s">
        <v>382</v>
      </c>
      <c r="C11509" t="s">
        <v>305</v>
      </c>
      <c r="D11509">
        <v>875005</v>
      </c>
      <c r="E11509">
        <v>872840</v>
      </c>
      <c r="F11509">
        <v>877644</v>
      </c>
      <c r="G11509">
        <v>890236</v>
      </c>
    </row>
    <row r="11510" spans="1:7">
      <c r="A11510" t="s">
        <v>1876</v>
      </c>
      <c r="B11510" t="s">
        <v>382</v>
      </c>
      <c r="C11510" t="s">
        <v>306</v>
      </c>
      <c r="D11510">
        <v>74.400000000000006</v>
      </c>
      <c r="E11510">
        <v>74.2</v>
      </c>
      <c r="F11510">
        <v>74.3</v>
      </c>
      <c r="G11510">
        <v>75.099999999999994</v>
      </c>
    </row>
    <row r="11511" spans="1:7">
      <c r="A11511" t="s">
        <v>1876</v>
      </c>
      <c r="B11511" t="s">
        <v>382</v>
      </c>
      <c r="C11511" t="s">
        <v>307</v>
      </c>
      <c r="D11511">
        <v>636260</v>
      </c>
      <c r="E11511">
        <v>652722</v>
      </c>
      <c r="F11511">
        <v>621023</v>
      </c>
      <c r="G11511">
        <v>647327</v>
      </c>
    </row>
    <row r="11512" spans="1:7">
      <c r="A11512" t="s">
        <v>1876</v>
      </c>
      <c r="B11512" t="s">
        <v>382</v>
      </c>
      <c r="C11512" t="s">
        <v>308</v>
      </c>
      <c r="D11512">
        <v>54.1</v>
      </c>
      <c r="E11512">
        <v>55.5</v>
      </c>
      <c r="F11512">
        <v>52.6</v>
      </c>
      <c r="G11512">
        <v>54.6</v>
      </c>
    </row>
    <row r="11513" spans="1:7">
      <c r="A11513" t="s">
        <v>1876</v>
      </c>
      <c r="B11513" t="s">
        <v>382</v>
      </c>
      <c r="C11513" t="s">
        <v>309</v>
      </c>
      <c r="D11513">
        <v>1098764</v>
      </c>
      <c r="E11513">
        <v>1162855</v>
      </c>
      <c r="F11513">
        <v>1094481</v>
      </c>
      <c r="G11513">
        <v>1162512</v>
      </c>
    </row>
    <row r="11514" spans="1:7">
      <c r="A11514" t="s">
        <v>1876</v>
      </c>
      <c r="B11514" t="s">
        <v>382</v>
      </c>
      <c r="C11514" t="s">
        <v>310</v>
      </c>
      <c r="D11514">
        <v>1145039</v>
      </c>
      <c r="E11514">
        <v>1135214</v>
      </c>
      <c r="F11514">
        <v>1127397</v>
      </c>
      <c r="G11514">
        <v>1126974</v>
      </c>
    </row>
    <row r="11515" spans="1:7">
      <c r="A11515" t="s">
        <v>1876</v>
      </c>
      <c r="B11515" t="s">
        <v>382</v>
      </c>
      <c r="C11515" t="s">
        <v>311</v>
      </c>
      <c r="D11515">
        <v>97.4</v>
      </c>
      <c r="E11515">
        <v>96.5</v>
      </c>
      <c r="F11515">
        <v>95.5</v>
      </c>
      <c r="G11515">
        <v>95</v>
      </c>
    </row>
    <row r="11516" spans="1:7">
      <c r="A11516" t="s">
        <v>1876</v>
      </c>
      <c r="B11516" t="s">
        <v>382</v>
      </c>
      <c r="C11516" t="s">
        <v>312</v>
      </c>
      <c r="D11516">
        <v>835957</v>
      </c>
      <c r="E11516">
        <v>855782</v>
      </c>
      <c r="F11516">
        <v>764016</v>
      </c>
      <c r="G11516">
        <v>767385</v>
      </c>
    </row>
    <row r="11517" spans="1:7">
      <c r="A11517" t="s">
        <v>1876</v>
      </c>
      <c r="B11517" t="s">
        <v>382</v>
      </c>
      <c r="C11517" t="s">
        <v>313</v>
      </c>
      <c r="D11517">
        <v>71.099999999999994</v>
      </c>
      <c r="E11517">
        <v>72.7</v>
      </c>
      <c r="F11517">
        <v>64.7</v>
      </c>
      <c r="G11517">
        <v>64.7</v>
      </c>
    </row>
    <row r="11518" spans="1:7">
      <c r="A11518" t="s">
        <v>1876</v>
      </c>
      <c r="B11518" t="s">
        <v>382</v>
      </c>
      <c r="C11518" t="s">
        <v>314</v>
      </c>
      <c r="D11518">
        <v>3492261</v>
      </c>
      <c r="E11518">
        <v>3516554</v>
      </c>
      <c r="F11518">
        <v>3390080</v>
      </c>
      <c r="G11518">
        <v>3431919</v>
      </c>
    </row>
    <row r="11519" spans="1:7">
      <c r="A11519" t="s">
        <v>1876</v>
      </c>
      <c r="B11519" t="s">
        <v>382</v>
      </c>
      <c r="C11519" t="s">
        <v>315</v>
      </c>
      <c r="D11519">
        <v>5.05</v>
      </c>
      <c r="E11519">
        <v>5.0599999999999996</v>
      </c>
      <c r="F11519">
        <v>4.79</v>
      </c>
      <c r="G11519">
        <v>4.75</v>
      </c>
    </row>
    <row r="11520" spans="1:7">
      <c r="A11520" t="s">
        <v>1876</v>
      </c>
      <c r="B11520" t="s">
        <v>382</v>
      </c>
      <c r="C11520" t="s">
        <v>316</v>
      </c>
      <c r="D11520">
        <v>296.89999999999998</v>
      </c>
      <c r="E11520">
        <v>298.89999999999998</v>
      </c>
      <c r="F11520">
        <v>287.10000000000002</v>
      </c>
      <c r="G11520">
        <v>289.39999999999998</v>
      </c>
    </row>
    <row r="11521" spans="1:7">
      <c r="A11521" t="s">
        <v>1876</v>
      </c>
      <c r="B11521" t="s">
        <v>382</v>
      </c>
      <c r="C11521" t="s">
        <v>317</v>
      </c>
      <c r="D11521">
        <v>3492261</v>
      </c>
      <c r="E11521">
        <v>3516558</v>
      </c>
      <c r="F11521">
        <v>3390081</v>
      </c>
      <c r="G11521">
        <v>3431923</v>
      </c>
    </row>
    <row r="11522" spans="1:7">
      <c r="A11522" t="s">
        <v>1876</v>
      </c>
      <c r="B11522" t="s">
        <v>382</v>
      </c>
      <c r="C11522" t="s">
        <v>318</v>
      </c>
      <c r="D11522">
        <v>874791</v>
      </c>
      <c r="E11522">
        <v>872648</v>
      </c>
      <c r="F11522">
        <v>877483</v>
      </c>
      <c r="G11522">
        <v>890069</v>
      </c>
    </row>
    <row r="11523" spans="1:7">
      <c r="A11523" t="s">
        <v>1876</v>
      </c>
      <c r="B11523" t="s">
        <v>382</v>
      </c>
      <c r="C11523" t="s">
        <v>319</v>
      </c>
      <c r="D11523">
        <v>374752</v>
      </c>
      <c r="E11523">
        <v>392783</v>
      </c>
      <c r="F11523">
        <v>374226</v>
      </c>
      <c r="G11523">
        <v>378928</v>
      </c>
    </row>
    <row r="11524" spans="1:7">
      <c r="A11524" t="s">
        <v>1876</v>
      </c>
      <c r="B11524" t="s">
        <v>382</v>
      </c>
      <c r="C11524" t="s">
        <v>320</v>
      </c>
      <c r="D11524">
        <v>857084</v>
      </c>
      <c r="E11524">
        <v>852874</v>
      </c>
      <c r="F11524">
        <v>858266</v>
      </c>
      <c r="G11524">
        <v>859240</v>
      </c>
    </row>
    <row r="11525" spans="1:7">
      <c r="A11525" t="s">
        <v>1876</v>
      </c>
      <c r="B11525" t="s">
        <v>382</v>
      </c>
      <c r="C11525" t="s">
        <v>321</v>
      </c>
      <c r="D11525">
        <v>526830</v>
      </c>
      <c r="E11525">
        <v>555116</v>
      </c>
      <c r="F11525">
        <v>499317</v>
      </c>
      <c r="G11525">
        <v>491798</v>
      </c>
    </row>
    <row r="11526" spans="1:7">
      <c r="A11526" t="s">
        <v>1876</v>
      </c>
      <c r="B11526" t="s">
        <v>382</v>
      </c>
      <c r="C11526" t="s">
        <v>1954</v>
      </c>
      <c r="D11526">
        <v>2633457</v>
      </c>
      <c r="E11526">
        <v>2673421</v>
      </c>
      <c r="F11526">
        <v>2609292</v>
      </c>
      <c r="G11526">
        <v>2620035</v>
      </c>
    </row>
    <row r="11527" spans="1:7">
      <c r="A11527" t="s">
        <v>1876</v>
      </c>
      <c r="B11527" t="s">
        <v>382</v>
      </c>
      <c r="C11527" t="s">
        <v>323</v>
      </c>
      <c r="D11527">
        <v>11761</v>
      </c>
      <c r="E11527">
        <v>11765</v>
      </c>
      <c r="F11527">
        <v>11808</v>
      </c>
      <c r="G11527">
        <v>11861</v>
      </c>
    </row>
    <row r="11528" spans="1:7">
      <c r="A11528" t="s">
        <v>1876</v>
      </c>
      <c r="B11528" t="s">
        <v>382</v>
      </c>
      <c r="C11528" t="s">
        <v>324</v>
      </c>
      <c r="D11528">
        <v>1609</v>
      </c>
      <c r="E11528">
        <v>0</v>
      </c>
      <c r="F11528">
        <v>0</v>
      </c>
      <c r="G11528">
        <v>0</v>
      </c>
    </row>
    <row r="11529" spans="1:7">
      <c r="A11529" t="s">
        <v>1876</v>
      </c>
      <c r="B11529" t="s">
        <v>382</v>
      </c>
      <c r="C11529" t="s">
        <v>325</v>
      </c>
      <c r="D11529">
        <v>0</v>
      </c>
      <c r="E11529">
        <v>0</v>
      </c>
      <c r="F11529">
        <v>0</v>
      </c>
      <c r="G11529">
        <v>0</v>
      </c>
    </row>
    <row r="11530" spans="1:7">
      <c r="A11530" t="s">
        <v>1876</v>
      </c>
      <c r="B11530" t="s">
        <v>382</v>
      </c>
      <c r="C11530" t="s">
        <v>326</v>
      </c>
      <c r="D11530">
        <v>4425</v>
      </c>
      <c r="E11530">
        <v>4424</v>
      </c>
      <c r="F11530">
        <v>4425</v>
      </c>
      <c r="G11530">
        <v>4424</v>
      </c>
    </row>
    <row r="11531" spans="1:7">
      <c r="A11531" t="s">
        <v>1876</v>
      </c>
      <c r="B11531" t="s">
        <v>382</v>
      </c>
      <c r="C11531" t="s">
        <v>327</v>
      </c>
      <c r="D11531">
        <v>772</v>
      </c>
      <c r="E11531">
        <v>651</v>
      </c>
      <c r="F11531">
        <v>401</v>
      </c>
      <c r="G11531">
        <v>364</v>
      </c>
    </row>
    <row r="11532" spans="1:7">
      <c r="A11532" t="s">
        <v>1876</v>
      </c>
      <c r="B11532" t="s">
        <v>382</v>
      </c>
      <c r="C11532" t="s">
        <v>1723</v>
      </c>
      <c r="D11532">
        <v>45</v>
      </c>
      <c r="E11532">
        <v>41</v>
      </c>
      <c r="F11532">
        <v>41</v>
      </c>
      <c r="G11532">
        <v>27</v>
      </c>
    </row>
    <row r="11533" spans="1:7">
      <c r="A11533" t="s">
        <v>1876</v>
      </c>
      <c r="B11533" t="s">
        <v>382</v>
      </c>
      <c r="C11533" t="s">
        <v>328</v>
      </c>
      <c r="D11533">
        <v>13724</v>
      </c>
      <c r="E11533">
        <v>14289</v>
      </c>
      <c r="F11533">
        <v>13271</v>
      </c>
      <c r="G11533">
        <v>13537</v>
      </c>
    </row>
    <row r="11534" spans="1:7">
      <c r="A11534" t="s">
        <v>1876</v>
      </c>
      <c r="B11534" t="s">
        <v>382</v>
      </c>
      <c r="C11534" t="s">
        <v>329</v>
      </c>
      <c r="D11534">
        <v>22986</v>
      </c>
      <c r="E11534">
        <v>28959</v>
      </c>
      <c r="F11534">
        <v>24618</v>
      </c>
      <c r="G11534">
        <v>23078</v>
      </c>
    </row>
    <row r="11535" spans="1:7">
      <c r="A11535" t="s">
        <v>1876</v>
      </c>
      <c r="B11535" t="s">
        <v>382</v>
      </c>
      <c r="C11535" t="s">
        <v>330</v>
      </c>
      <c r="D11535">
        <v>41907</v>
      </c>
      <c r="E11535">
        <v>48323</v>
      </c>
      <c r="F11535">
        <v>42715</v>
      </c>
      <c r="G11535">
        <v>41404</v>
      </c>
    </row>
    <row r="11536" spans="1:7">
      <c r="A11536" t="s">
        <v>1876</v>
      </c>
      <c r="B11536" t="s">
        <v>382</v>
      </c>
      <c r="C11536" t="s">
        <v>331</v>
      </c>
      <c r="D11536">
        <v>90</v>
      </c>
      <c r="E11536">
        <v>78</v>
      </c>
      <c r="F11536">
        <v>75</v>
      </c>
      <c r="G11536">
        <v>75</v>
      </c>
    </row>
    <row r="11537" spans="1:7">
      <c r="A11537" t="s">
        <v>1876</v>
      </c>
      <c r="B11537" t="s">
        <v>382</v>
      </c>
      <c r="C11537" t="s">
        <v>332</v>
      </c>
      <c r="D11537">
        <v>5068</v>
      </c>
      <c r="E11537">
        <v>4025</v>
      </c>
      <c r="F11537">
        <v>1724</v>
      </c>
      <c r="G11537">
        <v>1527</v>
      </c>
    </row>
    <row r="11538" spans="1:7">
      <c r="A11538" t="s">
        <v>1876</v>
      </c>
      <c r="B11538" t="s">
        <v>382</v>
      </c>
      <c r="C11538" t="s">
        <v>1724</v>
      </c>
      <c r="D11538">
        <v>93</v>
      </c>
      <c r="E11538">
        <v>64</v>
      </c>
      <c r="F11538">
        <v>37</v>
      </c>
      <c r="G11538">
        <v>37</v>
      </c>
    </row>
    <row r="11539" spans="1:7">
      <c r="A11539" t="s">
        <v>1876</v>
      </c>
      <c r="B11539" t="s">
        <v>382</v>
      </c>
      <c r="C11539" t="s">
        <v>333</v>
      </c>
      <c r="D11539">
        <v>6425</v>
      </c>
      <c r="E11539">
        <v>5713</v>
      </c>
      <c r="F11539">
        <v>6327</v>
      </c>
      <c r="G11539">
        <v>6466</v>
      </c>
    </row>
    <row r="11540" spans="1:7">
      <c r="A11540" t="s">
        <v>1876</v>
      </c>
      <c r="B11540" t="s">
        <v>382</v>
      </c>
      <c r="C11540" t="s">
        <v>334</v>
      </c>
      <c r="D11540">
        <v>11583</v>
      </c>
      <c r="E11540">
        <v>9815</v>
      </c>
      <c r="F11540">
        <v>8125</v>
      </c>
      <c r="G11540">
        <v>8069</v>
      </c>
    </row>
    <row r="11541" spans="1:7">
      <c r="A11541" t="s">
        <v>1876</v>
      </c>
      <c r="B11541" t="s">
        <v>382</v>
      </c>
      <c r="C11541" t="s">
        <v>335</v>
      </c>
      <c r="D11541">
        <v>4515</v>
      </c>
      <c r="E11541">
        <v>4503</v>
      </c>
      <c r="F11541">
        <v>4499</v>
      </c>
      <c r="G11541">
        <v>4500</v>
      </c>
    </row>
    <row r="11542" spans="1:7">
      <c r="A11542" t="s">
        <v>1876</v>
      </c>
      <c r="B11542" t="s">
        <v>382</v>
      </c>
      <c r="C11542" t="s">
        <v>336</v>
      </c>
      <c r="D11542">
        <v>5839</v>
      </c>
      <c r="E11542">
        <v>4675</v>
      </c>
      <c r="F11542">
        <v>2125</v>
      </c>
      <c r="G11542">
        <v>1892</v>
      </c>
    </row>
    <row r="11543" spans="1:7">
      <c r="A11543" t="s">
        <v>1876</v>
      </c>
      <c r="B11543" t="s">
        <v>382</v>
      </c>
      <c r="C11543" t="s">
        <v>337</v>
      </c>
      <c r="D11543">
        <v>20149</v>
      </c>
      <c r="E11543">
        <v>20002</v>
      </c>
      <c r="F11543">
        <v>19598</v>
      </c>
      <c r="G11543">
        <v>20003</v>
      </c>
    </row>
    <row r="11544" spans="1:7">
      <c r="A11544" t="s">
        <v>1876</v>
      </c>
      <c r="B11544" t="s">
        <v>382</v>
      </c>
      <c r="C11544" t="s">
        <v>338</v>
      </c>
      <c r="D11544">
        <v>53490</v>
      </c>
      <c r="E11544">
        <v>58139</v>
      </c>
      <c r="F11544">
        <v>50840</v>
      </c>
      <c r="G11544">
        <v>49472</v>
      </c>
    </row>
    <row r="11545" spans="1:7">
      <c r="A11545" t="s">
        <v>1876</v>
      </c>
      <c r="B11545" t="s">
        <v>382</v>
      </c>
      <c r="C11545" t="s">
        <v>339</v>
      </c>
      <c r="D11545">
        <v>47650</v>
      </c>
      <c r="E11545">
        <v>53463</v>
      </c>
      <c r="F11545">
        <v>48715</v>
      </c>
      <c r="G11545">
        <v>47580</v>
      </c>
    </row>
    <row r="11546" spans="1:7">
      <c r="A11546" t="s">
        <v>1876</v>
      </c>
      <c r="B11546" t="s">
        <v>382</v>
      </c>
      <c r="C11546" t="s">
        <v>340</v>
      </c>
      <c r="D11546">
        <v>735</v>
      </c>
      <c r="E11546">
        <v>874</v>
      </c>
      <c r="F11546">
        <v>606</v>
      </c>
      <c r="G11546">
        <v>745</v>
      </c>
    </row>
    <row r="11547" spans="1:7">
      <c r="A11547" t="s">
        <v>1876</v>
      </c>
      <c r="B11547" t="s">
        <v>382</v>
      </c>
      <c r="C11547" t="s">
        <v>1955</v>
      </c>
      <c r="D11547">
        <v>29.4</v>
      </c>
      <c r="E11547">
        <v>32.799999999999997</v>
      </c>
      <c r="F11547">
        <v>29.3</v>
      </c>
      <c r="G11547">
        <v>29.2</v>
      </c>
    </row>
    <row r="11548" spans="1:7">
      <c r="A11548" t="s">
        <v>1876</v>
      </c>
      <c r="B11548" t="s">
        <v>382</v>
      </c>
      <c r="C11548" t="s">
        <v>341</v>
      </c>
      <c r="D11548">
        <v>11</v>
      </c>
      <c r="E11548">
        <v>12</v>
      </c>
      <c r="F11548">
        <v>10</v>
      </c>
      <c r="G11548">
        <v>7</v>
      </c>
    </row>
    <row r="11549" spans="1:7">
      <c r="A11549" t="s">
        <v>1876</v>
      </c>
      <c r="B11549" t="s">
        <v>382</v>
      </c>
      <c r="C11549" t="s">
        <v>342</v>
      </c>
      <c r="D11549">
        <v>8516</v>
      </c>
      <c r="E11549">
        <v>10405</v>
      </c>
      <c r="F11549">
        <v>9316</v>
      </c>
      <c r="G11549">
        <v>9412</v>
      </c>
    </row>
    <row r="11550" spans="1:7">
      <c r="A11550" t="s">
        <v>1876</v>
      </c>
      <c r="B11550" t="s">
        <v>382</v>
      </c>
      <c r="C11550" t="s">
        <v>1725</v>
      </c>
      <c r="D11550">
        <v>1097</v>
      </c>
      <c r="E11550">
        <v>1097</v>
      </c>
      <c r="F11550">
        <v>1102</v>
      </c>
      <c r="G11550">
        <v>1102</v>
      </c>
    </row>
    <row r="11551" spans="1:7">
      <c r="A11551" t="s">
        <v>1876</v>
      </c>
      <c r="B11551" t="s">
        <v>382</v>
      </c>
      <c r="C11551" t="s">
        <v>343</v>
      </c>
      <c r="D11551">
        <v>299</v>
      </c>
      <c r="E11551">
        <v>344</v>
      </c>
      <c r="F11551">
        <v>293</v>
      </c>
      <c r="G11551">
        <v>209</v>
      </c>
    </row>
    <row r="11552" spans="1:7">
      <c r="A11552" t="s">
        <v>1876</v>
      </c>
      <c r="B11552" t="s">
        <v>382</v>
      </c>
      <c r="C11552" t="s">
        <v>344</v>
      </c>
      <c r="D11552">
        <v>8826</v>
      </c>
      <c r="E11552">
        <v>10761</v>
      </c>
      <c r="F11552">
        <v>9620</v>
      </c>
      <c r="G11552">
        <v>9628</v>
      </c>
    </row>
    <row r="11553" spans="1:7">
      <c r="A11553" t="s">
        <v>1876</v>
      </c>
      <c r="B11553" t="s">
        <v>382</v>
      </c>
      <c r="C11553" t="s">
        <v>345</v>
      </c>
      <c r="D11553">
        <v>310</v>
      </c>
      <c r="E11553">
        <v>357</v>
      </c>
      <c r="F11553">
        <v>303</v>
      </c>
      <c r="G11553">
        <v>216</v>
      </c>
    </row>
    <row r="11554" spans="1:7">
      <c r="A11554" t="s">
        <v>1876</v>
      </c>
      <c r="B11554" t="s">
        <v>382</v>
      </c>
      <c r="C11554" t="s">
        <v>1956</v>
      </c>
      <c r="D11554">
        <v>5068</v>
      </c>
      <c r="E11554">
        <v>4025</v>
      </c>
      <c r="F11554">
        <v>1724</v>
      </c>
      <c r="G11554">
        <v>1527</v>
      </c>
    </row>
    <row r="11555" spans="1:7">
      <c r="A11555" t="s">
        <v>1876</v>
      </c>
      <c r="B11555" t="s">
        <v>382</v>
      </c>
      <c r="C11555" t="s">
        <v>1957</v>
      </c>
      <c r="D11555">
        <v>11583</v>
      </c>
      <c r="E11555">
        <v>9815</v>
      </c>
      <c r="F11555">
        <v>8125</v>
      </c>
      <c r="G11555">
        <v>8069</v>
      </c>
    </row>
    <row r="11556" spans="1:7">
      <c r="A11556" t="s">
        <v>1876</v>
      </c>
      <c r="B11556" t="s">
        <v>382</v>
      </c>
      <c r="C11556" t="s">
        <v>346</v>
      </c>
      <c r="D11556">
        <v>928</v>
      </c>
      <c r="E11556">
        <v>863</v>
      </c>
      <c r="F11556">
        <v>689</v>
      </c>
      <c r="G11556">
        <v>998</v>
      </c>
    </row>
    <row r="11557" spans="1:7">
      <c r="A11557" t="s">
        <v>1876</v>
      </c>
      <c r="B11557" t="s">
        <v>382</v>
      </c>
      <c r="C11557" t="s">
        <v>347</v>
      </c>
      <c r="D11557">
        <v>5213</v>
      </c>
      <c r="E11557">
        <v>5698</v>
      </c>
      <c r="F11557">
        <v>4886</v>
      </c>
      <c r="G11557">
        <v>4703</v>
      </c>
    </row>
    <row r="11558" spans="1:7">
      <c r="A11558" t="s">
        <v>1876</v>
      </c>
      <c r="B11558" t="s">
        <v>383</v>
      </c>
      <c r="C11558" t="s">
        <v>133</v>
      </c>
      <c r="D11558">
        <v>-24</v>
      </c>
      <c r="E11558">
        <v>-19</v>
      </c>
      <c r="F11558">
        <v>-19</v>
      </c>
      <c r="G11558">
        <v>-31</v>
      </c>
    </row>
    <row r="11559" spans="1:7">
      <c r="A11559" t="s">
        <v>1876</v>
      </c>
      <c r="B11559" t="s">
        <v>383</v>
      </c>
      <c r="C11559" t="s">
        <v>134</v>
      </c>
      <c r="D11559">
        <v>10940</v>
      </c>
      <c r="E11559">
        <v>11502</v>
      </c>
      <c r="F11559">
        <v>10411</v>
      </c>
      <c r="G11559">
        <v>9897</v>
      </c>
    </row>
    <row r="11560" spans="1:7">
      <c r="A11560" t="s">
        <v>1876</v>
      </c>
      <c r="B11560" t="s">
        <v>383</v>
      </c>
      <c r="C11560" t="s">
        <v>135</v>
      </c>
      <c r="D11560">
        <v>10940</v>
      </c>
      <c r="E11560">
        <v>11502</v>
      </c>
      <c r="F11560">
        <v>10411</v>
      </c>
      <c r="G11560">
        <v>9897</v>
      </c>
    </row>
    <row r="11561" spans="1:7">
      <c r="A11561" t="s">
        <v>1876</v>
      </c>
      <c r="B11561" t="s">
        <v>383</v>
      </c>
      <c r="C11561" t="s">
        <v>136</v>
      </c>
      <c r="D11561">
        <v>10940</v>
      </c>
      <c r="E11561">
        <v>11502</v>
      </c>
      <c r="F11561">
        <v>10411</v>
      </c>
      <c r="G11561">
        <v>9897</v>
      </c>
    </row>
    <row r="11562" spans="1:7">
      <c r="A11562" t="s">
        <v>1876</v>
      </c>
      <c r="B11562" t="s">
        <v>383</v>
      </c>
      <c r="C11562" t="s">
        <v>137</v>
      </c>
      <c r="D11562">
        <v>316</v>
      </c>
      <c r="E11562">
        <v>327</v>
      </c>
      <c r="F11562">
        <v>310</v>
      </c>
      <c r="G11562">
        <v>334</v>
      </c>
    </row>
    <row r="11563" spans="1:7">
      <c r="A11563" t="s">
        <v>1876</v>
      </c>
      <c r="B11563" t="s">
        <v>383</v>
      </c>
      <c r="C11563" t="s">
        <v>138</v>
      </c>
      <c r="D11563">
        <v>316</v>
      </c>
      <c r="E11563">
        <v>327</v>
      </c>
      <c r="F11563">
        <v>310</v>
      </c>
      <c r="G11563">
        <v>334</v>
      </c>
    </row>
    <row r="11564" spans="1:7">
      <c r="A11564" t="s">
        <v>1876</v>
      </c>
      <c r="B11564" t="s">
        <v>383</v>
      </c>
      <c r="C11564" t="s">
        <v>139</v>
      </c>
      <c r="D11564">
        <v>316</v>
      </c>
      <c r="E11564">
        <v>327</v>
      </c>
      <c r="F11564">
        <v>310</v>
      </c>
      <c r="G11564">
        <v>334</v>
      </c>
    </row>
    <row r="11565" spans="1:7">
      <c r="A11565" t="s">
        <v>1876</v>
      </c>
      <c r="B11565" t="s">
        <v>383</v>
      </c>
      <c r="C11565" t="s">
        <v>1877</v>
      </c>
      <c r="D11565">
        <v>0</v>
      </c>
      <c r="E11565">
        <v>0</v>
      </c>
      <c r="F11565">
        <v>0</v>
      </c>
      <c r="G11565">
        <v>0</v>
      </c>
    </row>
    <row r="11566" spans="1:7">
      <c r="A11566" t="s">
        <v>1876</v>
      </c>
      <c r="B11566" t="s">
        <v>383</v>
      </c>
      <c r="C11566" t="s">
        <v>1700</v>
      </c>
      <c r="D11566">
        <v>0</v>
      </c>
      <c r="E11566">
        <v>0</v>
      </c>
      <c r="F11566">
        <v>0</v>
      </c>
      <c r="G11566">
        <v>0</v>
      </c>
    </row>
    <row r="11567" spans="1:7">
      <c r="A11567" t="s">
        <v>1876</v>
      </c>
      <c r="B11567" t="s">
        <v>383</v>
      </c>
      <c r="C11567" t="s">
        <v>1878</v>
      </c>
      <c r="D11567">
        <v>0</v>
      </c>
      <c r="E11567">
        <v>0</v>
      </c>
      <c r="F11567">
        <v>0</v>
      </c>
      <c r="G11567">
        <v>0</v>
      </c>
    </row>
    <row r="11568" spans="1:7">
      <c r="A11568" t="s">
        <v>1876</v>
      </c>
      <c r="B11568" t="s">
        <v>383</v>
      </c>
      <c r="C11568" t="s">
        <v>1879</v>
      </c>
      <c r="D11568">
        <v>0</v>
      </c>
      <c r="E11568">
        <v>0</v>
      </c>
      <c r="F11568">
        <v>0</v>
      </c>
      <c r="G11568">
        <v>0</v>
      </c>
    </row>
    <row r="11569" spans="1:7">
      <c r="A11569" t="s">
        <v>1876</v>
      </c>
      <c r="B11569" t="s">
        <v>383</v>
      </c>
      <c r="C11569" t="s">
        <v>1701</v>
      </c>
      <c r="D11569">
        <v>0</v>
      </c>
      <c r="E11569">
        <v>0</v>
      </c>
      <c r="F11569">
        <v>0</v>
      </c>
      <c r="G11569">
        <v>0</v>
      </c>
    </row>
    <row r="11570" spans="1:7">
      <c r="A11570" t="s">
        <v>1876</v>
      </c>
      <c r="B11570" t="s">
        <v>383</v>
      </c>
      <c r="C11570" t="s">
        <v>1880</v>
      </c>
      <c r="D11570">
        <v>1490</v>
      </c>
      <c r="E11570">
        <v>1362</v>
      </c>
      <c r="F11570">
        <v>1621</v>
      </c>
      <c r="G11570">
        <v>1641</v>
      </c>
    </row>
    <row r="11571" spans="1:7">
      <c r="A11571" t="s">
        <v>1876</v>
      </c>
      <c r="B11571" t="s">
        <v>383</v>
      </c>
      <c r="C11571" t="s">
        <v>140</v>
      </c>
      <c r="D11571">
        <v>3500</v>
      </c>
      <c r="E11571">
        <v>3291</v>
      </c>
      <c r="F11571">
        <v>4372</v>
      </c>
      <c r="G11571">
        <v>4679</v>
      </c>
    </row>
    <row r="11572" spans="1:7">
      <c r="A11572" t="s">
        <v>1876</v>
      </c>
      <c r="B11572" t="s">
        <v>383</v>
      </c>
      <c r="C11572" t="s">
        <v>1881</v>
      </c>
      <c r="D11572">
        <v>2011</v>
      </c>
      <c r="E11572">
        <v>1929</v>
      </c>
      <c r="F11572">
        <v>2751</v>
      </c>
      <c r="G11572">
        <v>3038</v>
      </c>
    </row>
    <row r="11573" spans="1:7">
      <c r="A11573" t="s">
        <v>1876</v>
      </c>
      <c r="B11573" t="s">
        <v>383</v>
      </c>
      <c r="C11573" t="s">
        <v>1882</v>
      </c>
      <c r="D11573">
        <v>0</v>
      </c>
      <c r="E11573">
        <v>0</v>
      </c>
      <c r="F11573">
        <v>0</v>
      </c>
      <c r="G11573">
        <v>0</v>
      </c>
    </row>
    <row r="11574" spans="1:7">
      <c r="A11574" t="s">
        <v>1876</v>
      </c>
      <c r="B11574" t="s">
        <v>383</v>
      </c>
      <c r="C11574" t="s">
        <v>1883</v>
      </c>
      <c r="D11574">
        <v>0</v>
      </c>
      <c r="E11574">
        <v>0</v>
      </c>
      <c r="F11574">
        <v>0</v>
      </c>
      <c r="G11574">
        <v>0</v>
      </c>
    </row>
    <row r="11575" spans="1:7">
      <c r="A11575" t="s">
        <v>1876</v>
      </c>
      <c r="B11575" t="s">
        <v>383</v>
      </c>
      <c r="C11575" t="s">
        <v>1884</v>
      </c>
      <c r="D11575">
        <v>0</v>
      </c>
      <c r="E11575">
        <v>0</v>
      </c>
      <c r="F11575">
        <v>0</v>
      </c>
      <c r="G11575">
        <v>0</v>
      </c>
    </row>
    <row r="11576" spans="1:7">
      <c r="A11576" t="s">
        <v>1876</v>
      </c>
      <c r="B11576" t="s">
        <v>383</v>
      </c>
      <c r="C11576" t="s">
        <v>1885</v>
      </c>
      <c r="D11576">
        <v>0</v>
      </c>
      <c r="E11576">
        <v>0</v>
      </c>
      <c r="F11576">
        <v>0</v>
      </c>
      <c r="G11576">
        <v>0</v>
      </c>
    </row>
    <row r="11577" spans="1:7">
      <c r="A11577" t="s">
        <v>1876</v>
      </c>
      <c r="B11577" t="s">
        <v>383</v>
      </c>
      <c r="C11577" t="s">
        <v>1886</v>
      </c>
      <c r="D11577">
        <v>0</v>
      </c>
      <c r="E11577">
        <v>0</v>
      </c>
      <c r="F11577">
        <v>0</v>
      </c>
      <c r="G11577">
        <v>0</v>
      </c>
    </row>
    <row r="11578" spans="1:7">
      <c r="A11578" t="s">
        <v>1876</v>
      </c>
      <c r="B11578" t="s">
        <v>383</v>
      </c>
      <c r="C11578" t="s">
        <v>141</v>
      </c>
      <c r="D11578">
        <v>60</v>
      </c>
      <c r="E11578">
        <v>59</v>
      </c>
      <c r="F11578">
        <v>62</v>
      </c>
      <c r="G11578">
        <v>62</v>
      </c>
    </row>
    <row r="11579" spans="1:7">
      <c r="A11579" t="s">
        <v>1876</v>
      </c>
      <c r="B11579" t="s">
        <v>383</v>
      </c>
      <c r="C11579" t="s">
        <v>1887</v>
      </c>
      <c r="D11579">
        <v>0</v>
      </c>
      <c r="E11579">
        <v>0</v>
      </c>
      <c r="F11579">
        <v>0</v>
      </c>
      <c r="G11579">
        <v>0</v>
      </c>
    </row>
    <row r="11580" spans="1:7">
      <c r="A11580" t="s">
        <v>1876</v>
      </c>
      <c r="B11580" t="s">
        <v>383</v>
      </c>
      <c r="C11580" t="s">
        <v>1888</v>
      </c>
      <c r="D11580">
        <v>0</v>
      </c>
      <c r="E11580">
        <v>0</v>
      </c>
      <c r="F11580">
        <v>0</v>
      </c>
      <c r="G11580">
        <v>0</v>
      </c>
    </row>
    <row r="11581" spans="1:7">
      <c r="A11581" t="s">
        <v>1876</v>
      </c>
      <c r="B11581" t="s">
        <v>383</v>
      </c>
      <c r="C11581" t="s">
        <v>1889</v>
      </c>
      <c r="D11581">
        <v>1490</v>
      </c>
      <c r="E11581">
        <v>1362</v>
      </c>
      <c r="F11581">
        <v>1621</v>
      </c>
      <c r="G11581">
        <v>1641</v>
      </c>
    </row>
    <row r="11582" spans="1:7">
      <c r="A11582" t="s">
        <v>1876</v>
      </c>
      <c r="B11582" t="s">
        <v>383</v>
      </c>
      <c r="C11582" t="s">
        <v>1890</v>
      </c>
      <c r="D11582">
        <v>0</v>
      </c>
      <c r="E11582">
        <v>0</v>
      </c>
      <c r="F11582">
        <v>0</v>
      </c>
      <c r="G11582">
        <v>0</v>
      </c>
    </row>
    <row r="11583" spans="1:7">
      <c r="A11583" t="s">
        <v>1876</v>
      </c>
      <c r="B11583" t="s">
        <v>383</v>
      </c>
      <c r="C11583" t="s">
        <v>1891</v>
      </c>
    </row>
    <row r="11584" spans="1:7">
      <c r="A11584" t="s">
        <v>1876</v>
      </c>
      <c r="B11584" t="s">
        <v>383</v>
      </c>
      <c r="C11584" t="s">
        <v>1892</v>
      </c>
      <c r="D11584">
        <v>2011</v>
      </c>
      <c r="E11584">
        <v>1929</v>
      </c>
      <c r="F11584">
        <v>2751</v>
      </c>
      <c r="G11584">
        <v>3038</v>
      </c>
    </row>
    <row r="11585" spans="1:7">
      <c r="A11585" t="s">
        <v>1876</v>
      </c>
      <c r="B11585" t="s">
        <v>383</v>
      </c>
      <c r="C11585" t="s">
        <v>142</v>
      </c>
      <c r="D11585">
        <v>3500</v>
      </c>
      <c r="E11585">
        <v>3291</v>
      </c>
      <c r="F11585">
        <v>4372</v>
      </c>
      <c r="G11585">
        <v>4679</v>
      </c>
    </row>
    <row r="11586" spans="1:7">
      <c r="A11586" t="s">
        <v>1876</v>
      </c>
      <c r="B11586" t="s">
        <v>383</v>
      </c>
      <c r="C11586" t="s">
        <v>1893</v>
      </c>
      <c r="D11586">
        <v>3500</v>
      </c>
      <c r="E11586">
        <v>3291</v>
      </c>
      <c r="F11586">
        <v>4372</v>
      </c>
      <c r="G11586">
        <v>4679</v>
      </c>
    </row>
    <row r="11587" spans="1:7">
      <c r="A11587" t="s">
        <v>1876</v>
      </c>
      <c r="B11587" t="s">
        <v>383</v>
      </c>
      <c r="C11587" t="s">
        <v>1894</v>
      </c>
      <c r="D11587">
        <v>2011</v>
      </c>
      <c r="E11587">
        <v>1929</v>
      </c>
      <c r="F11587">
        <v>2751</v>
      </c>
      <c r="G11587">
        <v>3038</v>
      </c>
    </row>
    <row r="11588" spans="1:7">
      <c r="A11588" t="s">
        <v>1876</v>
      </c>
      <c r="B11588" t="s">
        <v>383</v>
      </c>
      <c r="C11588" t="s">
        <v>143</v>
      </c>
      <c r="D11588">
        <v>60</v>
      </c>
      <c r="E11588">
        <v>59</v>
      </c>
      <c r="F11588">
        <v>62</v>
      </c>
      <c r="G11588">
        <v>62</v>
      </c>
    </row>
    <row r="11589" spans="1:7">
      <c r="A11589" t="s">
        <v>1876</v>
      </c>
      <c r="B11589" t="s">
        <v>383</v>
      </c>
      <c r="C11589" t="s">
        <v>144</v>
      </c>
      <c r="D11589">
        <v>18712</v>
      </c>
      <c r="E11589">
        <v>18517</v>
      </c>
      <c r="F11589">
        <v>19833</v>
      </c>
      <c r="G11589">
        <v>20277</v>
      </c>
    </row>
    <row r="11590" spans="1:7">
      <c r="A11590" t="s">
        <v>1876</v>
      </c>
      <c r="B11590" t="s">
        <v>383</v>
      </c>
      <c r="C11590" t="s">
        <v>1895</v>
      </c>
      <c r="D11590">
        <v>68.2</v>
      </c>
      <c r="E11590">
        <v>68</v>
      </c>
      <c r="F11590">
        <v>61.7</v>
      </c>
      <c r="G11590">
        <v>70</v>
      </c>
    </row>
    <row r="11591" spans="1:7">
      <c r="A11591" t="s">
        <v>1876</v>
      </c>
      <c r="B11591" t="s">
        <v>383</v>
      </c>
      <c r="C11591" t="s">
        <v>145</v>
      </c>
      <c r="D11591">
        <v>56130</v>
      </c>
      <c r="E11591">
        <v>57717</v>
      </c>
      <c r="F11591">
        <v>55931</v>
      </c>
      <c r="G11591">
        <v>59328</v>
      </c>
    </row>
    <row r="11592" spans="1:7">
      <c r="A11592" t="s">
        <v>1876</v>
      </c>
      <c r="B11592" t="s">
        <v>383</v>
      </c>
      <c r="C11592" t="s">
        <v>146</v>
      </c>
      <c r="D11592">
        <v>0</v>
      </c>
      <c r="E11592">
        <v>0</v>
      </c>
      <c r="F11592">
        <v>0</v>
      </c>
      <c r="G11592">
        <v>0</v>
      </c>
    </row>
    <row r="11593" spans="1:7">
      <c r="A11593" t="s">
        <v>1876</v>
      </c>
      <c r="B11593" t="s">
        <v>383</v>
      </c>
      <c r="C11593" t="s">
        <v>147</v>
      </c>
      <c r="D11593">
        <v>0</v>
      </c>
      <c r="E11593">
        <v>0</v>
      </c>
      <c r="F11593">
        <v>0</v>
      </c>
      <c r="G11593">
        <v>0</v>
      </c>
    </row>
    <row r="11594" spans="1:7">
      <c r="A11594" t="s">
        <v>1876</v>
      </c>
      <c r="B11594" t="s">
        <v>383</v>
      </c>
      <c r="C11594" t="s">
        <v>1896</v>
      </c>
      <c r="D11594">
        <v>0</v>
      </c>
      <c r="E11594">
        <v>0</v>
      </c>
      <c r="F11594">
        <v>0</v>
      </c>
      <c r="G11594">
        <v>13.9</v>
      </c>
    </row>
    <row r="11595" spans="1:7">
      <c r="A11595" t="s">
        <v>1876</v>
      </c>
      <c r="B11595" t="s">
        <v>383</v>
      </c>
      <c r="C11595" t="s">
        <v>1702</v>
      </c>
      <c r="D11595">
        <v>10</v>
      </c>
      <c r="E11595">
        <v>10</v>
      </c>
      <c r="F11595">
        <v>10</v>
      </c>
      <c r="G11595">
        <v>10</v>
      </c>
    </row>
    <row r="11596" spans="1:7">
      <c r="A11596" t="s">
        <v>1876</v>
      </c>
      <c r="B11596" t="s">
        <v>383</v>
      </c>
      <c r="C11596" t="s">
        <v>1897</v>
      </c>
      <c r="D11596">
        <v>6.9</v>
      </c>
      <c r="E11596">
        <v>13.7</v>
      </c>
      <c r="F11596">
        <v>21.8</v>
      </c>
      <c r="G11596">
        <v>21.8</v>
      </c>
    </row>
    <row r="11597" spans="1:7">
      <c r="A11597" t="s">
        <v>1876</v>
      </c>
      <c r="B11597" t="s">
        <v>383</v>
      </c>
      <c r="C11597" t="s">
        <v>1898</v>
      </c>
      <c r="D11597">
        <v>10</v>
      </c>
      <c r="E11597">
        <v>23</v>
      </c>
      <c r="F11597">
        <v>72</v>
      </c>
      <c r="G11597">
        <v>96</v>
      </c>
    </row>
    <row r="11598" spans="1:7">
      <c r="A11598" t="s">
        <v>1876</v>
      </c>
      <c r="B11598" t="s">
        <v>383</v>
      </c>
      <c r="C11598" t="s">
        <v>1899</v>
      </c>
      <c r="D11598">
        <v>2011</v>
      </c>
      <c r="E11598">
        <v>1929</v>
      </c>
      <c r="F11598">
        <v>2751</v>
      </c>
      <c r="G11598">
        <v>3038</v>
      </c>
    </row>
    <row r="11599" spans="1:7">
      <c r="A11599" t="s">
        <v>1876</v>
      </c>
      <c r="B11599" t="s">
        <v>383</v>
      </c>
      <c r="C11599" t="s">
        <v>148</v>
      </c>
      <c r="D11599">
        <v>0</v>
      </c>
      <c r="E11599">
        <v>0</v>
      </c>
      <c r="F11599">
        <v>0</v>
      </c>
      <c r="G11599">
        <v>0</v>
      </c>
    </row>
    <row r="11600" spans="1:7">
      <c r="A11600" t="s">
        <v>1876</v>
      </c>
      <c r="B11600" t="s">
        <v>383</v>
      </c>
      <c r="C11600" t="s">
        <v>149</v>
      </c>
      <c r="D11600">
        <v>0</v>
      </c>
      <c r="E11600">
        <v>0</v>
      </c>
      <c r="F11600">
        <v>0</v>
      </c>
      <c r="G11600">
        <v>0</v>
      </c>
    </row>
    <row r="11601" spans="1:7">
      <c r="A11601" t="s">
        <v>1876</v>
      </c>
      <c r="B11601" t="s">
        <v>383</v>
      </c>
      <c r="C11601" t="s">
        <v>150</v>
      </c>
      <c r="D11601">
        <v>0</v>
      </c>
      <c r="E11601">
        <v>0</v>
      </c>
      <c r="F11601">
        <v>0</v>
      </c>
      <c r="G11601">
        <v>0</v>
      </c>
    </row>
    <row r="11602" spans="1:7">
      <c r="A11602" t="s">
        <v>1876</v>
      </c>
      <c r="B11602" t="s">
        <v>383</v>
      </c>
      <c r="C11602" t="s">
        <v>1900</v>
      </c>
      <c r="D11602">
        <v>40</v>
      </c>
      <c r="E11602">
        <v>32.5</v>
      </c>
      <c r="F11602">
        <v>18.600000000000001</v>
      </c>
      <c r="G11602">
        <v>21.8</v>
      </c>
    </row>
    <row r="11603" spans="1:7">
      <c r="A11603" t="s">
        <v>1876</v>
      </c>
      <c r="B11603" t="s">
        <v>383</v>
      </c>
      <c r="C11603" t="s">
        <v>151</v>
      </c>
      <c r="D11603">
        <v>0</v>
      </c>
      <c r="E11603">
        <v>0</v>
      </c>
      <c r="F11603">
        <v>0</v>
      </c>
      <c r="G11603">
        <v>0</v>
      </c>
    </row>
    <row r="11604" spans="1:7">
      <c r="A11604" t="s">
        <v>1876</v>
      </c>
      <c r="B11604" t="s">
        <v>383</v>
      </c>
      <c r="C11604" t="s">
        <v>152</v>
      </c>
      <c r="D11604">
        <v>128136</v>
      </c>
      <c r="E11604">
        <v>102342</v>
      </c>
      <c r="F11604">
        <v>60461</v>
      </c>
      <c r="G11604">
        <v>71509</v>
      </c>
    </row>
    <row r="11605" spans="1:7">
      <c r="A11605" t="s">
        <v>1876</v>
      </c>
      <c r="B11605" t="s">
        <v>383</v>
      </c>
      <c r="C11605" t="s">
        <v>1703</v>
      </c>
      <c r="D11605">
        <v>3247</v>
      </c>
      <c r="E11605">
        <v>3245</v>
      </c>
      <c r="F11605">
        <v>3273</v>
      </c>
      <c r="G11605">
        <v>3259</v>
      </c>
    </row>
    <row r="11606" spans="1:7">
      <c r="A11606" t="s">
        <v>1876</v>
      </c>
      <c r="B11606" t="s">
        <v>383</v>
      </c>
      <c r="C11606" t="s">
        <v>153</v>
      </c>
      <c r="D11606">
        <v>3558</v>
      </c>
      <c r="E11606">
        <v>4513</v>
      </c>
      <c r="F11606">
        <v>3326</v>
      </c>
      <c r="G11606">
        <v>3517</v>
      </c>
    </row>
    <row r="11607" spans="1:7">
      <c r="A11607" t="s">
        <v>1876</v>
      </c>
      <c r="B11607" t="s">
        <v>383</v>
      </c>
      <c r="C11607" t="s">
        <v>154</v>
      </c>
      <c r="D11607">
        <v>0</v>
      </c>
      <c r="E11607">
        <v>0</v>
      </c>
      <c r="F11607">
        <v>0</v>
      </c>
      <c r="G11607">
        <v>0</v>
      </c>
    </row>
    <row r="11608" spans="1:7">
      <c r="A11608" t="s">
        <v>1876</v>
      </c>
      <c r="B11608" t="s">
        <v>383</v>
      </c>
      <c r="C11608" t="s">
        <v>155</v>
      </c>
      <c r="D11608">
        <v>3558</v>
      </c>
      <c r="E11608">
        <v>4513</v>
      </c>
      <c r="F11608">
        <v>3326</v>
      </c>
      <c r="G11608">
        <v>3517</v>
      </c>
    </row>
    <row r="11609" spans="1:7">
      <c r="A11609" t="s">
        <v>1876</v>
      </c>
      <c r="B11609" t="s">
        <v>383</v>
      </c>
      <c r="C11609" t="s">
        <v>156</v>
      </c>
      <c r="D11609">
        <v>0</v>
      </c>
      <c r="E11609">
        <v>0</v>
      </c>
      <c r="F11609">
        <v>0</v>
      </c>
      <c r="G11609">
        <v>0</v>
      </c>
    </row>
    <row r="11610" spans="1:7">
      <c r="A11610" t="s">
        <v>1876</v>
      </c>
      <c r="B11610" t="s">
        <v>383</v>
      </c>
      <c r="C11610" t="s">
        <v>157</v>
      </c>
      <c r="D11610">
        <v>131695</v>
      </c>
      <c r="E11610">
        <v>106855</v>
      </c>
      <c r="F11610">
        <v>63787</v>
      </c>
      <c r="G11610">
        <v>75026</v>
      </c>
    </row>
    <row r="11611" spans="1:7">
      <c r="A11611" t="s">
        <v>1876</v>
      </c>
      <c r="B11611" t="s">
        <v>383</v>
      </c>
      <c r="C11611" t="s">
        <v>158</v>
      </c>
      <c r="D11611">
        <v>3558</v>
      </c>
      <c r="E11611">
        <v>4513</v>
      </c>
      <c r="F11611">
        <v>3326</v>
      </c>
      <c r="G11611">
        <v>3517</v>
      </c>
    </row>
    <row r="11612" spans="1:7">
      <c r="A11612" t="s">
        <v>1876</v>
      </c>
      <c r="B11612" t="s">
        <v>383</v>
      </c>
      <c r="C11612" t="s">
        <v>159</v>
      </c>
      <c r="D11612">
        <v>0</v>
      </c>
      <c r="E11612">
        <v>0</v>
      </c>
      <c r="F11612">
        <v>0</v>
      </c>
      <c r="G11612">
        <v>0</v>
      </c>
    </row>
    <row r="11613" spans="1:7">
      <c r="A11613" t="s">
        <v>1876</v>
      </c>
      <c r="B11613" t="s">
        <v>383</v>
      </c>
      <c r="C11613" t="s">
        <v>1901</v>
      </c>
      <c r="D11613">
        <v>42.4</v>
      </c>
      <c r="E11613">
        <v>35.700000000000003</v>
      </c>
      <c r="F11613">
        <v>54.7</v>
      </c>
      <c r="G11613">
        <v>55.6</v>
      </c>
    </row>
    <row r="11614" spans="1:7">
      <c r="A11614" t="s">
        <v>1876</v>
      </c>
      <c r="B11614" t="s">
        <v>383</v>
      </c>
      <c r="C11614" t="s">
        <v>1902</v>
      </c>
      <c r="D11614">
        <v>144438</v>
      </c>
      <c r="E11614">
        <v>146984</v>
      </c>
      <c r="F11614">
        <v>142400</v>
      </c>
      <c r="G11614">
        <v>145617</v>
      </c>
    </row>
    <row r="11615" spans="1:7">
      <c r="A11615" t="s">
        <v>1876</v>
      </c>
      <c r="B11615" t="s">
        <v>383</v>
      </c>
      <c r="C11615" t="s">
        <v>1903</v>
      </c>
      <c r="D11615">
        <v>3952</v>
      </c>
      <c r="E11615">
        <v>4091</v>
      </c>
      <c r="F11615">
        <v>3814</v>
      </c>
      <c r="G11615">
        <v>3446</v>
      </c>
    </row>
    <row r="11616" spans="1:7">
      <c r="A11616" t="s">
        <v>1876</v>
      </c>
      <c r="B11616" t="s">
        <v>383</v>
      </c>
      <c r="C11616" t="s">
        <v>1904</v>
      </c>
      <c r="D11616">
        <v>382</v>
      </c>
      <c r="E11616">
        <v>307</v>
      </c>
      <c r="F11616">
        <v>216</v>
      </c>
      <c r="G11616">
        <v>281</v>
      </c>
    </row>
    <row r="11617" spans="1:7">
      <c r="A11617" t="s">
        <v>1876</v>
      </c>
      <c r="B11617" t="s">
        <v>383</v>
      </c>
      <c r="C11617" t="s">
        <v>1905</v>
      </c>
      <c r="D11617">
        <v>28607</v>
      </c>
      <c r="E11617">
        <v>28918</v>
      </c>
      <c r="F11617">
        <v>28225</v>
      </c>
      <c r="G11617">
        <v>27389</v>
      </c>
    </row>
    <row r="11618" spans="1:7">
      <c r="A11618" t="s">
        <v>1876</v>
      </c>
      <c r="B11618" t="s">
        <v>383</v>
      </c>
      <c r="C11618" t="s">
        <v>1906</v>
      </c>
      <c r="D11618">
        <v>24</v>
      </c>
      <c r="E11618">
        <v>25</v>
      </c>
      <c r="F11618">
        <v>24</v>
      </c>
      <c r="G11618">
        <v>21</v>
      </c>
    </row>
    <row r="11619" spans="1:7">
      <c r="A11619" t="s">
        <v>1876</v>
      </c>
      <c r="B11619" t="s">
        <v>383</v>
      </c>
      <c r="C11619" t="s">
        <v>1907</v>
      </c>
      <c r="D11619">
        <v>177403</v>
      </c>
      <c r="E11619">
        <v>180325</v>
      </c>
      <c r="F11619">
        <v>174679</v>
      </c>
      <c r="G11619">
        <v>176754</v>
      </c>
    </row>
    <row r="11620" spans="1:7">
      <c r="A11620" t="s">
        <v>1876</v>
      </c>
      <c r="B11620" t="s">
        <v>383</v>
      </c>
      <c r="C11620" t="s">
        <v>160</v>
      </c>
      <c r="D11620">
        <v>142427</v>
      </c>
      <c r="E11620">
        <v>145054</v>
      </c>
      <c r="F11620">
        <v>139649</v>
      </c>
      <c r="G11620">
        <v>142579</v>
      </c>
    </row>
    <row r="11621" spans="1:7">
      <c r="A11621" t="s">
        <v>1876</v>
      </c>
      <c r="B11621" t="s">
        <v>383</v>
      </c>
      <c r="C11621" t="s">
        <v>161</v>
      </c>
      <c r="D11621">
        <v>3952</v>
      </c>
      <c r="E11621">
        <v>4091</v>
      </c>
      <c r="F11621">
        <v>3814</v>
      </c>
      <c r="G11621">
        <v>3446</v>
      </c>
    </row>
    <row r="11622" spans="1:7">
      <c r="A11622" t="s">
        <v>1876</v>
      </c>
      <c r="B11622" t="s">
        <v>383</v>
      </c>
      <c r="C11622" t="s">
        <v>162</v>
      </c>
      <c r="D11622">
        <v>382</v>
      </c>
      <c r="E11622">
        <v>307</v>
      </c>
      <c r="F11622">
        <v>216</v>
      </c>
      <c r="G11622">
        <v>281</v>
      </c>
    </row>
    <row r="11623" spans="1:7">
      <c r="A11623" t="s">
        <v>1876</v>
      </c>
      <c r="B11623" t="s">
        <v>383</v>
      </c>
      <c r="C11623" t="s">
        <v>163</v>
      </c>
      <c r="D11623">
        <v>28607</v>
      </c>
      <c r="E11623">
        <v>28918</v>
      </c>
      <c r="F11623">
        <v>28225</v>
      </c>
      <c r="G11623">
        <v>27389</v>
      </c>
    </row>
    <row r="11624" spans="1:7">
      <c r="A11624" t="s">
        <v>1876</v>
      </c>
      <c r="B11624" t="s">
        <v>383</v>
      </c>
      <c r="C11624" t="s">
        <v>164</v>
      </c>
      <c r="D11624">
        <v>24</v>
      </c>
      <c r="E11624">
        <v>25</v>
      </c>
      <c r="F11624">
        <v>24</v>
      </c>
      <c r="G11624">
        <v>21</v>
      </c>
    </row>
    <row r="11625" spans="1:7">
      <c r="A11625" t="s">
        <v>1876</v>
      </c>
      <c r="B11625" t="s">
        <v>383</v>
      </c>
      <c r="C11625" t="s">
        <v>165</v>
      </c>
      <c r="D11625">
        <v>175392</v>
      </c>
      <c r="E11625">
        <v>178396</v>
      </c>
      <c r="F11625">
        <v>171928</v>
      </c>
      <c r="G11625">
        <v>173716</v>
      </c>
    </row>
    <row r="11626" spans="1:7">
      <c r="A11626" t="s">
        <v>1876</v>
      </c>
      <c r="B11626" t="s">
        <v>383</v>
      </c>
      <c r="C11626" t="s">
        <v>166</v>
      </c>
      <c r="D11626">
        <v>175010</v>
      </c>
      <c r="E11626">
        <v>178089</v>
      </c>
      <c r="F11626">
        <v>171712</v>
      </c>
      <c r="G11626">
        <v>173435</v>
      </c>
    </row>
    <row r="11627" spans="1:7">
      <c r="A11627" t="s">
        <v>1876</v>
      </c>
      <c r="B11627" t="s">
        <v>383</v>
      </c>
      <c r="C11627" t="s">
        <v>167</v>
      </c>
      <c r="D11627">
        <v>382</v>
      </c>
      <c r="E11627">
        <v>307</v>
      </c>
      <c r="F11627">
        <v>216</v>
      </c>
      <c r="G11627">
        <v>281</v>
      </c>
    </row>
    <row r="11628" spans="1:7">
      <c r="A11628" t="s">
        <v>1876</v>
      </c>
      <c r="B11628" t="s">
        <v>383</v>
      </c>
      <c r="C11628" t="s">
        <v>1908</v>
      </c>
      <c r="D11628">
        <v>140938</v>
      </c>
      <c r="E11628">
        <v>143693</v>
      </c>
      <c r="F11628">
        <v>138029</v>
      </c>
      <c r="G11628">
        <v>140938</v>
      </c>
    </row>
    <row r="11629" spans="1:7">
      <c r="A11629" t="s">
        <v>1876</v>
      </c>
      <c r="B11629" t="s">
        <v>383</v>
      </c>
      <c r="C11629" t="s">
        <v>1909</v>
      </c>
      <c r="D11629">
        <v>3952</v>
      </c>
      <c r="E11629">
        <v>4091</v>
      </c>
      <c r="F11629">
        <v>3814</v>
      </c>
      <c r="G11629">
        <v>3446</v>
      </c>
    </row>
    <row r="11630" spans="1:7">
      <c r="A11630" t="s">
        <v>1876</v>
      </c>
      <c r="B11630" t="s">
        <v>383</v>
      </c>
      <c r="C11630" t="s">
        <v>1910</v>
      </c>
      <c r="D11630">
        <v>382</v>
      </c>
      <c r="E11630">
        <v>307</v>
      </c>
      <c r="F11630">
        <v>216</v>
      </c>
      <c r="G11630">
        <v>281</v>
      </c>
    </row>
    <row r="11631" spans="1:7">
      <c r="A11631" t="s">
        <v>1876</v>
      </c>
      <c r="B11631" t="s">
        <v>383</v>
      </c>
      <c r="C11631" t="s">
        <v>1911</v>
      </c>
      <c r="D11631">
        <v>28607</v>
      </c>
      <c r="E11631">
        <v>28918</v>
      </c>
      <c r="F11631">
        <v>28225</v>
      </c>
      <c r="G11631">
        <v>27389</v>
      </c>
    </row>
    <row r="11632" spans="1:7">
      <c r="A11632" t="s">
        <v>1876</v>
      </c>
      <c r="B11632" t="s">
        <v>383</v>
      </c>
      <c r="C11632" t="s">
        <v>1912</v>
      </c>
      <c r="D11632">
        <v>24</v>
      </c>
      <c r="E11632">
        <v>25</v>
      </c>
      <c r="F11632">
        <v>24</v>
      </c>
      <c r="G11632">
        <v>21</v>
      </c>
    </row>
    <row r="11633" spans="1:7">
      <c r="A11633" t="s">
        <v>1876</v>
      </c>
      <c r="B11633" t="s">
        <v>383</v>
      </c>
      <c r="C11633" t="s">
        <v>168</v>
      </c>
      <c r="D11633">
        <v>173902</v>
      </c>
      <c r="E11633">
        <v>177034</v>
      </c>
      <c r="F11633">
        <v>170307</v>
      </c>
      <c r="G11633">
        <v>172075</v>
      </c>
    </row>
    <row r="11634" spans="1:7">
      <c r="A11634" t="s">
        <v>1876</v>
      </c>
      <c r="B11634" t="s">
        <v>383</v>
      </c>
      <c r="C11634" t="s">
        <v>169</v>
      </c>
      <c r="D11634">
        <v>0</v>
      </c>
      <c r="E11634">
        <v>0</v>
      </c>
      <c r="F11634">
        <v>0</v>
      </c>
      <c r="G11634">
        <v>0</v>
      </c>
    </row>
    <row r="11635" spans="1:7">
      <c r="A11635" t="s">
        <v>1876</v>
      </c>
      <c r="B11635" t="s">
        <v>383</v>
      </c>
      <c r="C11635" t="s">
        <v>1704</v>
      </c>
      <c r="D11635">
        <v>29824</v>
      </c>
      <c r="E11635">
        <v>32619</v>
      </c>
      <c r="F11635">
        <v>31690</v>
      </c>
      <c r="G11635">
        <v>31907</v>
      </c>
    </row>
    <row r="11636" spans="1:7">
      <c r="A11636" t="s">
        <v>1876</v>
      </c>
      <c r="B11636" t="s">
        <v>383</v>
      </c>
      <c r="C11636" t="s">
        <v>170</v>
      </c>
      <c r="D11636">
        <v>0</v>
      </c>
      <c r="E11636">
        <v>0</v>
      </c>
      <c r="F11636">
        <v>0</v>
      </c>
      <c r="G11636">
        <v>0</v>
      </c>
    </row>
    <row r="11637" spans="1:7">
      <c r="A11637" t="s">
        <v>1876</v>
      </c>
      <c r="B11637" t="s">
        <v>383</v>
      </c>
      <c r="C11637" t="s">
        <v>171</v>
      </c>
      <c r="D11637">
        <v>-81446</v>
      </c>
      <c r="E11637">
        <v>-70558</v>
      </c>
      <c r="F11637">
        <v>-105676</v>
      </c>
      <c r="G11637">
        <v>-116088</v>
      </c>
    </row>
    <row r="11638" spans="1:7">
      <c r="A11638" t="s">
        <v>1876</v>
      </c>
      <c r="B11638" t="s">
        <v>383</v>
      </c>
      <c r="C11638" t="s">
        <v>172</v>
      </c>
      <c r="D11638">
        <v>0</v>
      </c>
      <c r="E11638">
        <v>0</v>
      </c>
      <c r="F11638">
        <v>0</v>
      </c>
      <c r="G11638">
        <v>0</v>
      </c>
    </row>
    <row r="11639" spans="1:7">
      <c r="A11639" t="s">
        <v>1876</v>
      </c>
      <c r="B11639" t="s">
        <v>383</v>
      </c>
      <c r="C11639" t="s">
        <v>1913</v>
      </c>
      <c r="D11639">
        <v>13.6</v>
      </c>
      <c r="E11639">
        <v>24.3</v>
      </c>
      <c r="F11639">
        <v>50.9</v>
      </c>
      <c r="G11639">
        <v>54.9</v>
      </c>
    </row>
    <row r="11640" spans="1:7">
      <c r="A11640" t="s">
        <v>1876</v>
      </c>
      <c r="B11640" t="s">
        <v>383</v>
      </c>
      <c r="C11640" t="s">
        <v>1914</v>
      </c>
      <c r="D11640">
        <v>0.4</v>
      </c>
      <c r="E11640">
        <v>0.6</v>
      </c>
      <c r="F11640">
        <v>1.3</v>
      </c>
      <c r="G11640">
        <v>1.4</v>
      </c>
    </row>
    <row r="11641" spans="1:7">
      <c r="A11641" t="s">
        <v>1876</v>
      </c>
      <c r="B11641" t="s">
        <v>383</v>
      </c>
      <c r="C11641" t="s">
        <v>173</v>
      </c>
      <c r="D11641">
        <v>14544</v>
      </c>
      <c r="E11641">
        <v>14471</v>
      </c>
      <c r="F11641">
        <v>14784</v>
      </c>
      <c r="G11641">
        <v>14936</v>
      </c>
    </row>
    <row r="11642" spans="1:7">
      <c r="A11642" t="s">
        <v>1876</v>
      </c>
      <c r="B11642" t="s">
        <v>383</v>
      </c>
      <c r="C11642" t="s">
        <v>174</v>
      </c>
      <c r="D11642">
        <v>303</v>
      </c>
      <c r="E11642">
        <v>375</v>
      </c>
      <c r="F11642">
        <v>315</v>
      </c>
      <c r="G11642">
        <v>318</v>
      </c>
    </row>
    <row r="11643" spans="1:7">
      <c r="A11643" t="s">
        <v>1876</v>
      </c>
      <c r="B11643" t="s">
        <v>383</v>
      </c>
      <c r="C11643" t="s">
        <v>175</v>
      </c>
      <c r="D11643">
        <v>305</v>
      </c>
      <c r="E11643">
        <v>321</v>
      </c>
      <c r="F11643">
        <v>299</v>
      </c>
      <c r="G11643">
        <v>282</v>
      </c>
    </row>
    <row r="11644" spans="1:7">
      <c r="A11644" t="s">
        <v>1876</v>
      </c>
      <c r="B11644" t="s">
        <v>383</v>
      </c>
      <c r="C11644" t="s">
        <v>176</v>
      </c>
      <c r="D11644">
        <v>0</v>
      </c>
      <c r="E11644">
        <v>0</v>
      </c>
      <c r="F11644">
        <v>0</v>
      </c>
      <c r="G11644">
        <v>0</v>
      </c>
    </row>
    <row r="11645" spans="1:7">
      <c r="A11645" t="s">
        <v>1876</v>
      </c>
      <c r="B11645" t="s">
        <v>383</v>
      </c>
      <c r="C11645" t="s">
        <v>177</v>
      </c>
      <c r="D11645">
        <v>15152</v>
      </c>
      <c r="E11645">
        <v>15167</v>
      </c>
      <c r="F11645">
        <v>15399</v>
      </c>
      <c r="G11645">
        <v>15536</v>
      </c>
    </row>
    <row r="11646" spans="1:7">
      <c r="A11646" t="s">
        <v>1876</v>
      </c>
      <c r="B11646" t="s">
        <v>383</v>
      </c>
      <c r="C11646" t="s">
        <v>178</v>
      </c>
      <c r="D11646">
        <v>0</v>
      </c>
      <c r="E11646">
        <v>0</v>
      </c>
      <c r="F11646">
        <v>0</v>
      </c>
      <c r="G11646">
        <v>0</v>
      </c>
    </row>
    <row r="11647" spans="1:7">
      <c r="A11647" t="s">
        <v>1876</v>
      </c>
      <c r="B11647" t="s">
        <v>383</v>
      </c>
      <c r="C11647" t="s">
        <v>179</v>
      </c>
      <c r="D11647">
        <v>0</v>
      </c>
      <c r="E11647">
        <v>0</v>
      </c>
      <c r="F11647">
        <v>0</v>
      </c>
      <c r="G11647">
        <v>0</v>
      </c>
    </row>
    <row r="11648" spans="1:7">
      <c r="A11648" t="s">
        <v>1876</v>
      </c>
      <c r="B11648" t="s">
        <v>383</v>
      </c>
      <c r="C11648" t="s">
        <v>180</v>
      </c>
      <c r="D11648">
        <v>0</v>
      </c>
      <c r="E11648">
        <v>0</v>
      </c>
      <c r="F11648">
        <v>0</v>
      </c>
      <c r="G11648">
        <v>0</v>
      </c>
    </row>
    <row r="11649" spans="1:7">
      <c r="A11649" t="s">
        <v>1876</v>
      </c>
      <c r="B11649" t="s">
        <v>383</v>
      </c>
      <c r="C11649" t="s">
        <v>181</v>
      </c>
      <c r="D11649">
        <v>68238</v>
      </c>
      <c r="E11649">
        <v>75786</v>
      </c>
      <c r="F11649">
        <v>78877</v>
      </c>
      <c r="G11649">
        <v>86707</v>
      </c>
    </row>
    <row r="11650" spans="1:7">
      <c r="A11650" t="s">
        <v>1876</v>
      </c>
      <c r="B11650" t="s">
        <v>383</v>
      </c>
      <c r="C11650" t="s">
        <v>182</v>
      </c>
      <c r="D11650">
        <v>70901</v>
      </c>
      <c r="E11650">
        <v>74369</v>
      </c>
      <c r="F11650">
        <v>75214</v>
      </c>
      <c r="G11650">
        <v>76235</v>
      </c>
    </row>
    <row r="11651" spans="1:7">
      <c r="A11651" t="s">
        <v>1876</v>
      </c>
      <c r="B11651" t="s">
        <v>383</v>
      </c>
      <c r="C11651" t="s">
        <v>183</v>
      </c>
      <c r="D11651">
        <v>81021</v>
      </c>
      <c r="E11651">
        <v>86935</v>
      </c>
      <c r="F11651">
        <v>81265</v>
      </c>
      <c r="G11651">
        <v>83008</v>
      </c>
    </row>
    <row r="11652" spans="1:7">
      <c r="A11652" t="s">
        <v>1876</v>
      </c>
      <c r="B11652" t="s">
        <v>383</v>
      </c>
      <c r="C11652" t="s">
        <v>184</v>
      </c>
      <c r="D11652">
        <v>220160</v>
      </c>
      <c r="E11652">
        <v>237089</v>
      </c>
      <c r="F11652">
        <v>235356</v>
      </c>
      <c r="G11652">
        <v>245950</v>
      </c>
    </row>
    <row r="11653" spans="1:7">
      <c r="A11653" t="s">
        <v>1876</v>
      </c>
      <c r="B11653" t="s">
        <v>383</v>
      </c>
      <c r="C11653" t="s">
        <v>185</v>
      </c>
      <c r="D11653">
        <v>220160</v>
      </c>
      <c r="E11653">
        <v>237089</v>
      </c>
      <c r="F11653">
        <v>235356</v>
      </c>
      <c r="G11653">
        <v>245950</v>
      </c>
    </row>
    <row r="11654" spans="1:7">
      <c r="A11654" t="s">
        <v>1876</v>
      </c>
      <c r="B11654" t="s">
        <v>383</v>
      </c>
      <c r="C11654" t="s">
        <v>1915</v>
      </c>
      <c r="D11654">
        <v>21</v>
      </c>
      <c r="E11654">
        <v>42</v>
      </c>
      <c r="F11654">
        <v>145</v>
      </c>
      <c r="G11654">
        <v>185</v>
      </c>
    </row>
    <row r="11655" spans="1:7">
      <c r="A11655" t="s">
        <v>1876</v>
      </c>
      <c r="B11655" t="s">
        <v>383</v>
      </c>
      <c r="C11655" t="s">
        <v>1916</v>
      </c>
      <c r="D11655">
        <v>0</v>
      </c>
      <c r="E11655">
        <v>0</v>
      </c>
      <c r="F11655">
        <v>0</v>
      </c>
      <c r="G11655">
        <v>0</v>
      </c>
    </row>
    <row r="11656" spans="1:7">
      <c r="A11656" t="s">
        <v>1876</v>
      </c>
      <c r="B11656" t="s">
        <v>383</v>
      </c>
      <c r="C11656" t="s">
        <v>1917</v>
      </c>
      <c r="D11656">
        <v>11</v>
      </c>
      <c r="E11656">
        <v>8</v>
      </c>
      <c r="F11656">
        <v>6</v>
      </c>
      <c r="G11656">
        <v>5</v>
      </c>
    </row>
    <row r="11657" spans="1:7">
      <c r="A11657" t="s">
        <v>1876</v>
      </c>
      <c r="B11657" t="s">
        <v>383</v>
      </c>
      <c r="C11657" t="s">
        <v>1918</v>
      </c>
      <c r="D11657">
        <v>455</v>
      </c>
      <c r="E11657">
        <v>512</v>
      </c>
      <c r="F11657">
        <v>570</v>
      </c>
      <c r="G11657">
        <v>692</v>
      </c>
    </row>
    <row r="11658" spans="1:7">
      <c r="A11658" t="s">
        <v>1876</v>
      </c>
      <c r="B11658" t="s">
        <v>383</v>
      </c>
      <c r="C11658" t="s">
        <v>1919</v>
      </c>
      <c r="D11658">
        <v>2.61</v>
      </c>
      <c r="E11658">
        <v>2.5</v>
      </c>
      <c r="F11658">
        <v>2.57</v>
      </c>
      <c r="G11658">
        <v>2.9</v>
      </c>
    </row>
    <row r="11659" spans="1:7">
      <c r="A11659" t="s">
        <v>1876</v>
      </c>
      <c r="B11659" t="s">
        <v>383</v>
      </c>
      <c r="C11659" t="s">
        <v>1920</v>
      </c>
      <c r="D11659">
        <v>1140</v>
      </c>
      <c r="E11659">
        <v>1165</v>
      </c>
      <c r="F11659">
        <v>1457</v>
      </c>
      <c r="G11659">
        <v>1674</v>
      </c>
    </row>
    <row r="11660" spans="1:7">
      <c r="A11660" t="s">
        <v>1876</v>
      </c>
      <c r="B11660" t="s">
        <v>383</v>
      </c>
      <c r="C11660" t="s">
        <v>1921</v>
      </c>
      <c r="D11660">
        <v>304</v>
      </c>
      <c r="E11660">
        <v>339</v>
      </c>
      <c r="F11660">
        <v>367</v>
      </c>
      <c r="G11660">
        <v>405</v>
      </c>
    </row>
    <row r="11661" spans="1:7">
      <c r="A11661" t="s">
        <v>1876</v>
      </c>
      <c r="B11661" t="s">
        <v>383</v>
      </c>
      <c r="C11661" t="s">
        <v>1922</v>
      </c>
      <c r="D11661">
        <v>674</v>
      </c>
      <c r="E11661">
        <v>645</v>
      </c>
      <c r="F11661">
        <v>881</v>
      </c>
      <c r="G11661">
        <v>977</v>
      </c>
    </row>
    <row r="11662" spans="1:7">
      <c r="A11662" t="s">
        <v>1876</v>
      </c>
      <c r="B11662" t="s">
        <v>383</v>
      </c>
      <c r="C11662" t="s">
        <v>1923</v>
      </c>
      <c r="D11662">
        <v>4.16</v>
      </c>
      <c r="E11662">
        <v>3.86</v>
      </c>
      <c r="F11662">
        <v>5.03</v>
      </c>
      <c r="G11662">
        <v>4.6500000000000004</v>
      </c>
    </row>
    <row r="11663" spans="1:7">
      <c r="A11663" t="s">
        <v>1876</v>
      </c>
      <c r="B11663" t="s">
        <v>383</v>
      </c>
      <c r="C11663" t="s">
        <v>1924</v>
      </c>
      <c r="D11663">
        <v>16</v>
      </c>
      <c r="E11663">
        <v>7</v>
      </c>
      <c r="F11663">
        <v>7</v>
      </c>
      <c r="G11663">
        <v>3</v>
      </c>
    </row>
    <row r="11664" spans="1:7">
      <c r="A11664" t="s">
        <v>1876</v>
      </c>
      <c r="B11664" t="s">
        <v>383</v>
      </c>
      <c r="C11664" t="s">
        <v>1925</v>
      </c>
      <c r="D11664">
        <v>63</v>
      </c>
      <c r="E11664">
        <v>81</v>
      </c>
      <c r="F11664">
        <v>76</v>
      </c>
      <c r="G11664">
        <v>75</v>
      </c>
    </row>
    <row r="11665" spans="1:7">
      <c r="A11665" t="s">
        <v>1876</v>
      </c>
      <c r="B11665" t="s">
        <v>383</v>
      </c>
      <c r="C11665" t="s">
        <v>1926</v>
      </c>
      <c r="D11665">
        <v>225</v>
      </c>
      <c r="E11665">
        <v>251</v>
      </c>
      <c r="F11665">
        <v>284</v>
      </c>
      <c r="G11665">
        <v>327</v>
      </c>
    </row>
    <row r="11666" spans="1:7">
      <c r="A11666" t="s">
        <v>1876</v>
      </c>
      <c r="B11666" t="s">
        <v>383</v>
      </c>
      <c r="C11666" t="s">
        <v>1927</v>
      </c>
      <c r="D11666">
        <v>15</v>
      </c>
      <c r="E11666">
        <v>15</v>
      </c>
      <c r="F11666">
        <v>14</v>
      </c>
      <c r="G11666">
        <v>10</v>
      </c>
    </row>
    <row r="11667" spans="1:7">
      <c r="A11667" t="s">
        <v>1876</v>
      </c>
      <c r="B11667" t="s">
        <v>383</v>
      </c>
      <c r="C11667" t="s">
        <v>1928</v>
      </c>
      <c r="D11667">
        <v>270</v>
      </c>
      <c r="E11667">
        <v>304</v>
      </c>
      <c r="F11667">
        <v>333</v>
      </c>
      <c r="G11667">
        <v>375</v>
      </c>
    </row>
    <row r="11668" spans="1:7">
      <c r="A11668" t="s">
        <v>1876</v>
      </c>
      <c r="B11668" t="s">
        <v>383</v>
      </c>
      <c r="C11668" t="s">
        <v>1929</v>
      </c>
      <c r="D11668">
        <v>19</v>
      </c>
      <c r="E11668">
        <v>20</v>
      </c>
      <c r="F11668">
        <v>20</v>
      </c>
      <c r="G11668">
        <v>20</v>
      </c>
    </row>
    <row r="11669" spans="1:7">
      <c r="A11669" t="s">
        <v>1876</v>
      </c>
      <c r="B11669" t="s">
        <v>383</v>
      </c>
      <c r="C11669" t="s">
        <v>186</v>
      </c>
      <c r="D11669">
        <v>0</v>
      </c>
      <c r="E11669">
        <v>0</v>
      </c>
      <c r="F11669">
        <v>0</v>
      </c>
      <c r="G11669">
        <v>0</v>
      </c>
    </row>
    <row r="11670" spans="1:7">
      <c r="A11670" t="s">
        <v>1876</v>
      </c>
      <c r="B11670" t="s">
        <v>383</v>
      </c>
      <c r="C11670" t="s">
        <v>187</v>
      </c>
      <c r="D11670">
        <v>0</v>
      </c>
      <c r="E11670">
        <v>0</v>
      </c>
      <c r="F11670">
        <v>0</v>
      </c>
      <c r="G11670">
        <v>0</v>
      </c>
    </row>
    <row r="11671" spans="1:7">
      <c r="A11671" t="s">
        <v>1876</v>
      </c>
      <c r="B11671" t="s">
        <v>383</v>
      </c>
      <c r="C11671" t="s">
        <v>1705</v>
      </c>
      <c r="D11671">
        <v>18185</v>
      </c>
      <c r="E11671">
        <v>19790</v>
      </c>
      <c r="F11671">
        <v>18212</v>
      </c>
      <c r="G11671">
        <v>17825</v>
      </c>
    </row>
    <row r="11672" spans="1:7">
      <c r="A11672" t="s">
        <v>1876</v>
      </c>
      <c r="B11672" t="s">
        <v>383</v>
      </c>
      <c r="C11672" t="s">
        <v>188</v>
      </c>
      <c r="D11672">
        <v>1395134</v>
      </c>
      <c r="E11672">
        <v>1400910</v>
      </c>
      <c r="F11672">
        <v>1431346</v>
      </c>
      <c r="G11672">
        <v>1455414</v>
      </c>
    </row>
    <row r="11673" spans="1:7">
      <c r="A11673" t="s">
        <v>1876</v>
      </c>
      <c r="B11673" t="s">
        <v>383</v>
      </c>
      <c r="C11673" t="s">
        <v>189</v>
      </c>
      <c r="D11673">
        <v>0</v>
      </c>
      <c r="E11673">
        <v>0</v>
      </c>
      <c r="F11673">
        <v>0</v>
      </c>
      <c r="G11673">
        <v>0</v>
      </c>
    </row>
    <row r="11674" spans="1:7">
      <c r="A11674" t="s">
        <v>1876</v>
      </c>
      <c r="B11674" t="s">
        <v>383</v>
      </c>
      <c r="C11674" t="s">
        <v>190</v>
      </c>
      <c r="D11674">
        <v>0</v>
      </c>
      <c r="E11674">
        <v>0</v>
      </c>
      <c r="F11674">
        <v>0</v>
      </c>
      <c r="G11674">
        <v>0</v>
      </c>
    </row>
    <row r="11675" spans="1:7">
      <c r="A11675" t="s">
        <v>1876</v>
      </c>
      <c r="B11675" t="s">
        <v>383</v>
      </c>
      <c r="C11675" t="s">
        <v>191</v>
      </c>
      <c r="D11675">
        <v>0</v>
      </c>
      <c r="E11675">
        <v>0</v>
      </c>
      <c r="F11675">
        <v>0</v>
      </c>
      <c r="G11675">
        <v>0</v>
      </c>
    </row>
    <row r="11676" spans="1:7">
      <c r="A11676" t="s">
        <v>1876</v>
      </c>
      <c r="B11676" t="s">
        <v>383</v>
      </c>
      <c r="C11676" t="s">
        <v>192</v>
      </c>
      <c r="D11676">
        <v>219132.4</v>
      </c>
      <c r="E11676">
        <v>247541.5</v>
      </c>
      <c r="F11676">
        <v>255933.2</v>
      </c>
      <c r="G11676">
        <v>263695.09999999998</v>
      </c>
    </row>
    <row r="11677" spans="1:7">
      <c r="A11677" t="s">
        <v>1876</v>
      </c>
      <c r="B11677" t="s">
        <v>383</v>
      </c>
      <c r="C11677" t="s">
        <v>193</v>
      </c>
      <c r="D11677">
        <v>194991.2</v>
      </c>
      <c r="E11677">
        <v>194170.9</v>
      </c>
      <c r="F11677">
        <v>207072.7</v>
      </c>
      <c r="G11677">
        <v>210315.9</v>
      </c>
    </row>
    <row r="11678" spans="1:7">
      <c r="A11678" t="s">
        <v>1876</v>
      </c>
      <c r="B11678" t="s">
        <v>383</v>
      </c>
      <c r="C11678" t="s">
        <v>1930</v>
      </c>
      <c r="D11678">
        <v>0</v>
      </c>
      <c r="E11678">
        <v>0</v>
      </c>
      <c r="F11678">
        <v>0</v>
      </c>
      <c r="G11678">
        <v>0</v>
      </c>
    </row>
    <row r="11679" spans="1:7">
      <c r="A11679" t="s">
        <v>1876</v>
      </c>
      <c r="B11679" t="s">
        <v>383</v>
      </c>
      <c r="C11679" t="s">
        <v>194</v>
      </c>
      <c r="D11679">
        <v>0</v>
      </c>
      <c r="E11679">
        <v>0</v>
      </c>
      <c r="F11679">
        <v>0</v>
      </c>
      <c r="G11679">
        <v>0</v>
      </c>
    </row>
    <row r="11680" spans="1:7">
      <c r="A11680" t="s">
        <v>1876</v>
      </c>
      <c r="B11680" t="s">
        <v>383</v>
      </c>
      <c r="C11680" t="s">
        <v>195</v>
      </c>
      <c r="D11680">
        <v>0</v>
      </c>
      <c r="E11680">
        <v>0</v>
      </c>
      <c r="F11680">
        <v>0</v>
      </c>
      <c r="G11680">
        <v>0</v>
      </c>
    </row>
    <row r="11681" spans="1:7">
      <c r="A11681" t="s">
        <v>1876</v>
      </c>
      <c r="B11681" t="s">
        <v>383</v>
      </c>
      <c r="C11681" t="s">
        <v>1706</v>
      </c>
      <c r="D11681">
        <v>0</v>
      </c>
      <c r="E11681">
        <v>0</v>
      </c>
      <c r="F11681">
        <v>0</v>
      </c>
      <c r="G11681">
        <v>0</v>
      </c>
    </row>
    <row r="11682" spans="1:7">
      <c r="A11682" t="s">
        <v>1876</v>
      </c>
      <c r="B11682" t="s">
        <v>383</v>
      </c>
      <c r="C11682" t="s">
        <v>196</v>
      </c>
      <c r="D11682">
        <v>0</v>
      </c>
      <c r="E11682">
        <v>0</v>
      </c>
      <c r="F11682">
        <v>0</v>
      </c>
      <c r="G11682">
        <v>0</v>
      </c>
    </row>
    <row r="11683" spans="1:7">
      <c r="A11683" t="s">
        <v>1876</v>
      </c>
      <c r="B11683" t="s">
        <v>383</v>
      </c>
      <c r="C11683" t="s">
        <v>197</v>
      </c>
      <c r="D11683">
        <v>24</v>
      </c>
      <c r="E11683">
        <v>24</v>
      </c>
      <c r="F11683">
        <v>24</v>
      </c>
      <c r="G11683">
        <v>24</v>
      </c>
    </row>
    <row r="11684" spans="1:7">
      <c r="A11684" t="s">
        <v>1876</v>
      </c>
      <c r="B11684" t="s">
        <v>383</v>
      </c>
      <c r="C11684" t="s">
        <v>198</v>
      </c>
      <c r="D11684">
        <v>24</v>
      </c>
      <c r="E11684">
        <v>24</v>
      </c>
      <c r="F11684">
        <v>24</v>
      </c>
      <c r="G11684">
        <v>24</v>
      </c>
    </row>
    <row r="11685" spans="1:7">
      <c r="A11685" t="s">
        <v>1876</v>
      </c>
      <c r="B11685" t="s">
        <v>383</v>
      </c>
      <c r="C11685" t="s">
        <v>199</v>
      </c>
      <c r="D11685">
        <v>24</v>
      </c>
      <c r="E11685">
        <v>24</v>
      </c>
      <c r="F11685">
        <v>24</v>
      </c>
      <c r="G11685">
        <v>24</v>
      </c>
    </row>
    <row r="11686" spans="1:7">
      <c r="A11686" t="s">
        <v>1876</v>
      </c>
      <c r="B11686" t="s">
        <v>383</v>
      </c>
      <c r="C11686" t="s">
        <v>200</v>
      </c>
      <c r="D11686">
        <v>310</v>
      </c>
      <c r="E11686">
        <v>369</v>
      </c>
      <c r="F11686">
        <v>324</v>
      </c>
      <c r="G11686">
        <v>226</v>
      </c>
    </row>
    <row r="11687" spans="1:7">
      <c r="A11687" t="s">
        <v>1876</v>
      </c>
      <c r="B11687" t="s">
        <v>383</v>
      </c>
      <c r="C11687" t="s">
        <v>201</v>
      </c>
      <c r="D11687">
        <v>2643</v>
      </c>
      <c r="E11687">
        <v>2445</v>
      </c>
      <c r="F11687">
        <v>2114</v>
      </c>
      <c r="G11687">
        <v>1507</v>
      </c>
    </row>
    <row r="11688" spans="1:7">
      <c r="A11688" t="s">
        <v>1876</v>
      </c>
      <c r="B11688" t="s">
        <v>383</v>
      </c>
      <c r="C11688" t="s">
        <v>202</v>
      </c>
      <c r="D11688">
        <v>1884</v>
      </c>
      <c r="E11688">
        <v>1699</v>
      </c>
      <c r="F11688">
        <v>2002</v>
      </c>
      <c r="G11688">
        <v>1400</v>
      </c>
    </row>
    <row r="11689" spans="1:7">
      <c r="A11689" t="s">
        <v>1876</v>
      </c>
      <c r="B11689" t="s">
        <v>383</v>
      </c>
      <c r="C11689" t="s">
        <v>203</v>
      </c>
      <c r="D11689">
        <v>8048</v>
      </c>
      <c r="E11689">
        <v>8372</v>
      </c>
      <c r="F11689">
        <v>7271</v>
      </c>
      <c r="G11689">
        <v>5482</v>
      </c>
    </row>
    <row r="11690" spans="1:7">
      <c r="A11690" t="s">
        <v>1876</v>
      </c>
      <c r="B11690" t="s">
        <v>383</v>
      </c>
      <c r="C11690" t="s">
        <v>204</v>
      </c>
      <c r="D11690">
        <v>12884</v>
      </c>
      <c r="E11690">
        <v>12885</v>
      </c>
      <c r="F11690">
        <v>11711</v>
      </c>
      <c r="G11690">
        <v>8615</v>
      </c>
    </row>
    <row r="11691" spans="1:7">
      <c r="A11691" t="s">
        <v>1876</v>
      </c>
      <c r="B11691" t="s">
        <v>383</v>
      </c>
      <c r="C11691" t="s">
        <v>205</v>
      </c>
      <c r="D11691">
        <v>12884</v>
      </c>
      <c r="E11691">
        <v>12885</v>
      </c>
      <c r="F11691">
        <v>11711</v>
      </c>
      <c r="G11691">
        <v>8615</v>
      </c>
    </row>
    <row r="11692" spans="1:7">
      <c r="A11692" t="s">
        <v>1876</v>
      </c>
      <c r="B11692" t="s">
        <v>383</v>
      </c>
      <c r="C11692" t="s">
        <v>1931</v>
      </c>
      <c r="D11692">
        <v>3.6</v>
      </c>
      <c r="E11692">
        <v>3.5</v>
      </c>
      <c r="F11692">
        <v>1.8</v>
      </c>
      <c r="G11692">
        <v>1.8</v>
      </c>
    </row>
    <row r="11693" spans="1:7">
      <c r="A11693" t="s">
        <v>1876</v>
      </c>
      <c r="B11693" t="s">
        <v>383</v>
      </c>
      <c r="C11693" t="s">
        <v>1707</v>
      </c>
      <c r="D11693">
        <v>258</v>
      </c>
      <c r="E11693">
        <v>258</v>
      </c>
      <c r="F11693">
        <v>258</v>
      </c>
      <c r="G11693">
        <v>242</v>
      </c>
    </row>
    <row r="11694" spans="1:7">
      <c r="A11694" t="s">
        <v>1876</v>
      </c>
      <c r="B11694" t="s">
        <v>383</v>
      </c>
      <c r="C11694" t="s">
        <v>1932</v>
      </c>
      <c r="D11694">
        <v>37.6</v>
      </c>
      <c r="E11694">
        <v>23.9</v>
      </c>
      <c r="F11694">
        <v>20.100000000000001</v>
      </c>
      <c r="G11694">
        <v>21.5</v>
      </c>
    </row>
    <row r="11695" spans="1:7">
      <c r="A11695" t="s">
        <v>1876</v>
      </c>
      <c r="B11695" t="s">
        <v>383</v>
      </c>
      <c r="C11695" t="s">
        <v>1708</v>
      </c>
      <c r="D11695">
        <v>841</v>
      </c>
      <c r="E11695">
        <v>844</v>
      </c>
      <c r="F11695">
        <v>841</v>
      </c>
      <c r="G11695">
        <v>832</v>
      </c>
    </row>
    <row r="11696" spans="1:7">
      <c r="A11696" t="s">
        <v>1876</v>
      </c>
      <c r="B11696" t="s">
        <v>383</v>
      </c>
      <c r="C11696" t="s">
        <v>206</v>
      </c>
      <c r="D11696">
        <v>0</v>
      </c>
      <c r="E11696">
        <v>0</v>
      </c>
      <c r="F11696">
        <v>0</v>
      </c>
      <c r="G11696">
        <v>0</v>
      </c>
    </row>
    <row r="11697" spans="1:7">
      <c r="A11697" t="s">
        <v>1876</v>
      </c>
      <c r="B11697" t="s">
        <v>383</v>
      </c>
      <c r="C11697" t="s">
        <v>207</v>
      </c>
      <c r="D11697">
        <v>9438</v>
      </c>
      <c r="E11697">
        <v>6038</v>
      </c>
      <c r="F11697">
        <v>5062</v>
      </c>
      <c r="G11697">
        <v>5396</v>
      </c>
    </row>
    <row r="11698" spans="1:7">
      <c r="A11698" t="s">
        <v>1876</v>
      </c>
      <c r="B11698" t="s">
        <v>383</v>
      </c>
      <c r="C11698" t="s">
        <v>208</v>
      </c>
      <c r="D11698">
        <v>0</v>
      </c>
      <c r="E11698">
        <v>0</v>
      </c>
      <c r="F11698">
        <v>0</v>
      </c>
      <c r="G11698">
        <v>0</v>
      </c>
    </row>
    <row r="11699" spans="1:7">
      <c r="A11699" t="s">
        <v>1876</v>
      </c>
      <c r="B11699" t="s">
        <v>383</v>
      </c>
      <c r="C11699" t="s">
        <v>209</v>
      </c>
      <c r="D11699">
        <v>9438</v>
      </c>
      <c r="E11699">
        <v>6038</v>
      </c>
      <c r="F11699">
        <v>5062</v>
      </c>
      <c r="G11699">
        <v>5396</v>
      </c>
    </row>
    <row r="11700" spans="1:7">
      <c r="A11700" t="s">
        <v>1876</v>
      </c>
      <c r="B11700" t="s">
        <v>383</v>
      </c>
      <c r="C11700" t="s">
        <v>210</v>
      </c>
      <c r="D11700">
        <v>0</v>
      </c>
      <c r="E11700">
        <v>0</v>
      </c>
      <c r="F11700">
        <v>0</v>
      </c>
      <c r="G11700">
        <v>0</v>
      </c>
    </row>
    <row r="11701" spans="1:7">
      <c r="A11701" t="s">
        <v>1876</v>
      </c>
      <c r="B11701" t="s">
        <v>383</v>
      </c>
      <c r="C11701" t="s">
        <v>211</v>
      </c>
      <c r="D11701">
        <v>0</v>
      </c>
      <c r="E11701">
        <v>0</v>
      </c>
      <c r="F11701">
        <v>0</v>
      </c>
      <c r="G11701">
        <v>0</v>
      </c>
    </row>
    <row r="11702" spans="1:7">
      <c r="A11702" t="s">
        <v>1876</v>
      </c>
      <c r="B11702" t="s">
        <v>383</v>
      </c>
      <c r="C11702" t="s">
        <v>212</v>
      </c>
      <c r="D11702">
        <v>0</v>
      </c>
      <c r="E11702">
        <v>0</v>
      </c>
      <c r="F11702">
        <v>0</v>
      </c>
      <c r="G11702">
        <v>0</v>
      </c>
    </row>
    <row r="11703" spans="1:7">
      <c r="A11703" t="s">
        <v>1876</v>
      </c>
      <c r="B11703" t="s">
        <v>383</v>
      </c>
      <c r="C11703" t="s">
        <v>213</v>
      </c>
      <c r="D11703">
        <v>0</v>
      </c>
      <c r="E11703">
        <v>0</v>
      </c>
      <c r="F11703">
        <v>0</v>
      </c>
      <c r="G11703">
        <v>0</v>
      </c>
    </row>
    <row r="11704" spans="1:7">
      <c r="A11704" t="s">
        <v>1876</v>
      </c>
      <c r="B11704" t="s">
        <v>383</v>
      </c>
      <c r="C11704" t="s">
        <v>214</v>
      </c>
      <c r="D11704">
        <v>0</v>
      </c>
      <c r="E11704">
        <v>0</v>
      </c>
      <c r="F11704">
        <v>0</v>
      </c>
      <c r="G11704">
        <v>0</v>
      </c>
    </row>
    <row r="11705" spans="1:7">
      <c r="A11705" t="s">
        <v>1876</v>
      </c>
      <c r="B11705" t="s">
        <v>383</v>
      </c>
      <c r="C11705" t="s">
        <v>215</v>
      </c>
      <c r="D11705">
        <v>44571</v>
      </c>
      <c r="E11705">
        <v>45454</v>
      </c>
      <c r="F11705">
        <v>47302</v>
      </c>
      <c r="G11705">
        <v>48133</v>
      </c>
    </row>
    <row r="11706" spans="1:7">
      <c r="A11706" t="s">
        <v>1876</v>
      </c>
      <c r="B11706" t="s">
        <v>383</v>
      </c>
      <c r="C11706" t="s">
        <v>216</v>
      </c>
      <c r="D11706">
        <v>44571</v>
      </c>
      <c r="E11706">
        <v>45454</v>
      </c>
      <c r="F11706">
        <v>47302</v>
      </c>
      <c r="G11706">
        <v>48133</v>
      </c>
    </row>
    <row r="11707" spans="1:7">
      <c r="A11707" t="s">
        <v>1876</v>
      </c>
      <c r="B11707" t="s">
        <v>383</v>
      </c>
      <c r="C11707" t="s">
        <v>217</v>
      </c>
      <c r="D11707">
        <v>44571</v>
      </c>
      <c r="E11707">
        <v>45454</v>
      </c>
      <c r="F11707">
        <v>47302</v>
      </c>
      <c r="G11707">
        <v>48133</v>
      </c>
    </row>
    <row r="11708" spans="1:7">
      <c r="A11708" t="s">
        <v>1876</v>
      </c>
      <c r="B11708" t="s">
        <v>383</v>
      </c>
      <c r="C11708" t="s">
        <v>218</v>
      </c>
      <c r="D11708">
        <v>2</v>
      </c>
      <c r="E11708">
        <v>2</v>
      </c>
      <c r="F11708">
        <v>3</v>
      </c>
      <c r="G11708">
        <v>2</v>
      </c>
    </row>
    <row r="11709" spans="1:7">
      <c r="A11709" t="s">
        <v>1876</v>
      </c>
      <c r="B11709" t="s">
        <v>383</v>
      </c>
      <c r="C11709" t="s">
        <v>219</v>
      </c>
      <c r="D11709">
        <v>6</v>
      </c>
      <c r="E11709">
        <v>4</v>
      </c>
      <c r="F11709">
        <v>17</v>
      </c>
      <c r="G11709">
        <v>9</v>
      </c>
    </row>
    <row r="11710" spans="1:7">
      <c r="A11710" t="s">
        <v>1876</v>
      </c>
      <c r="B11710" t="s">
        <v>383</v>
      </c>
      <c r="C11710" t="s">
        <v>220</v>
      </c>
      <c r="D11710">
        <v>3</v>
      </c>
      <c r="E11710">
        <v>3</v>
      </c>
      <c r="F11710">
        <v>5</v>
      </c>
      <c r="G11710">
        <v>4</v>
      </c>
    </row>
    <row r="11711" spans="1:7">
      <c r="A11711" t="s">
        <v>1876</v>
      </c>
      <c r="B11711" t="s">
        <v>383</v>
      </c>
      <c r="C11711" t="s">
        <v>221</v>
      </c>
      <c r="D11711">
        <v>11</v>
      </c>
      <c r="E11711">
        <v>9</v>
      </c>
      <c r="F11711">
        <v>25</v>
      </c>
      <c r="G11711">
        <v>15</v>
      </c>
    </row>
    <row r="11712" spans="1:7">
      <c r="A11712" t="s">
        <v>1876</v>
      </c>
      <c r="B11712" t="s">
        <v>383</v>
      </c>
      <c r="C11712" t="s">
        <v>222</v>
      </c>
      <c r="D11712">
        <v>11</v>
      </c>
      <c r="E11712">
        <v>9</v>
      </c>
      <c r="F11712">
        <v>25</v>
      </c>
      <c r="G11712">
        <v>15</v>
      </c>
    </row>
    <row r="11713" spans="1:7">
      <c r="A11713" t="s">
        <v>1876</v>
      </c>
      <c r="B11713" t="s">
        <v>383</v>
      </c>
      <c r="C11713" t="s">
        <v>1933</v>
      </c>
      <c r="D11713">
        <v>3852.8</v>
      </c>
      <c r="E11713">
        <v>3945.2</v>
      </c>
      <c r="F11713">
        <v>3953.9</v>
      </c>
      <c r="G11713">
        <v>3908</v>
      </c>
    </row>
    <row r="11714" spans="1:7">
      <c r="A11714" t="s">
        <v>1876</v>
      </c>
      <c r="B11714" t="s">
        <v>383</v>
      </c>
      <c r="C11714" t="s">
        <v>223</v>
      </c>
      <c r="D11714">
        <v>0</v>
      </c>
      <c r="E11714">
        <v>0</v>
      </c>
      <c r="F11714">
        <v>0</v>
      </c>
      <c r="G11714">
        <v>0</v>
      </c>
    </row>
    <row r="11715" spans="1:7">
      <c r="A11715" t="s">
        <v>1876</v>
      </c>
      <c r="B11715" t="s">
        <v>383</v>
      </c>
      <c r="C11715" t="s">
        <v>224</v>
      </c>
      <c r="D11715">
        <v>68412</v>
      </c>
      <c r="E11715">
        <v>72264</v>
      </c>
      <c r="F11715">
        <v>73592</v>
      </c>
      <c r="G11715">
        <v>84363</v>
      </c>
    </row>
    <row r="11716" spans="1:7">
      <c r="A11716" t="s">
        <v>1876</v>
      </c>
      <c r="B11716" t="s">
        <v>383</v>
      </c>
      <c r="C11716" t="s">
        <v>225</v>
      </c>
      <c r="D11716">
        <v>71082</v>
      </c>
      <c r="E11716">
        <v>70913</v>
      </c>
      <c r="F11716">
        <v>70175</v>
      </c>
      <c r="G11716">
        <v>74173</v>
      </c>
    </row>
    <row r="11717" spans="1:7">
      <c r="A11717" t="s">
        <v>1876</v>
      </c>
      <c r="B11717" t="s">
        <v>383</v>
      </c>
      <c r="C11717" t="s">
        <v>226</v>
      </c>
      <c r="D11717">
        <v>81227</v>
      </c>
      <c r="E11717">
        <v>82895</v>
      </c>
      <c r="F11717">
        <v>75821</v>
      </c>
      <c r="G11717">
        <v>80764</v>
      </c>
    </row>
    <row r="11718" spans="1:7">
      <c r="A11718" t="s">
        <v>1876</v>
      </c>
      <c r="B11718" t="s">
        <v>383</v>
      </c>
      <c r="C11718" t="s">
        <v>227</v>
      </c>
      <c r="D11718">
        <v>220721</v>
      </c>
      <c r="E11718">
        <v>226072</v>
      </c>
      <c r="F11718">
        <v>219588</v>
      </c>
      <c r="G11718">
        <v>239299</v>
      </c>
    </row>
    <row r="11719" spans="1:7">
      <c r="A11719" t="s">
        <v>1876</v>
      </c>
      <c r="B11719" t="s">
        <v>383</v>
      </c>
      <c r="C11719" t="s">
        <v>228</v>
      </c>
      <c r="D11719">
        <v>220721</v>
      </c>
      <c r="E11719">
        <v>226072</v>
      </c>
      <c r="F11719">
        <v>219588</v>
      </c>
      <c r="G11719">
        <v>239299</v>
      </c>
    </row>
    <row r="11720" spans="1:7">
      <c r="A11720" t="s">
        <v>1876</v>
      </c>
      <c r="B11720" t="s">
        <v>383</v>
      </c>
      <c r="C11720" t="s">
        <v>229</v>
      </c>
      <c r="D11720">
        <v>2145</v>
      </c>
      <c r="E11720">
        <v>2284</v>
      </c>
      <c r="F11720">
        <v>1645</v>
      </c>
      <c r="G11720">
        <v>1642</v>
      </c>
    </row>
    <row r="11721" spans="1:7">
      <c r="A11721" t="s">
        <v>1876</v>
      </c>
      <c r="B11721" t="s">
        <v>383</v>
      </c>
      <c r="C11721" t="s">
        <v>230</v>
      </c>
      <c r="D11721">
        <v>1818</v>
      </c>
      <c r="E11721">
        <v>1905</v>
      </c>
      <c r="F11721">
        <v>1640</v>
      </c>
      <c r="G11721">
        <v>1430</v>
      </c>
    </row>
    <row r="11722" spans="1:7">
      <c r="A11722" t="s">
        <v>1876</v>
      </c>
      <c r="B11722" t="s">
        <v>383</v>
      </c>
      <c r="C11722" t="s">
        <v>231</v>
      </c>
      <c r="D11722">
        <v>3963</v>
      </c>
      <c r="E11722">
        <v>4188</v>
      </c>
      <c r="F11722">
        <v>3285</v>
      </c>
      <c r="G11722">
        <v>3072</v>
      </c>
    </row>
    <row r="11723" spans="1:7">
      <c r="A11723" t="s">
        <v>1876</v>
      </c>
      <c r="B11723" t="s">
        <v>383</v>
      </c>
      <c r="C11723" t="s">
        <v>232</v>
      </c>
      <c r="D11723">
        <v>3963</v>
      </c>
      <c r="E11723">
        <v>4188</v>
      </c>
      <c r="F11723">
        <v>3285</v>
      </c>
      <c r="G11723">
        <v>3072</v>
      </c>
    </row>
    <row r="11724" spans="1:7">
      <c r="A11724" t="s">
        <v>1876</v>
      </c>
      <c r="B11724" t="s">
        <v>383</v>
      </c>
      <c r="C11724" t="s">
        <v>233</v>
      </c>
      <c r="D11724">
        <v>0</v>
      </c>
      <c r="E11724">
        <v>0</v>
      </c>
      <c r="F11724">
        <v>0</v>
      </c>
      <c r="G11724">
        <v>0</v>
      </c>
    </row>
    <row r="11725" spans="1:7">
      <c r="A11725" t="s">
        <v>1876</v>
      </c>
      <c r="B11725" t="s">
        <v>383</v>
      </c>
      <c r="C11725" t="s">
        <v>234</v>
      </c>
      <c r="D11725">
        <v>218379</v>
      </c>
      <c r="E11725">
        <v>215258</v>
      </c>
      <c r="F11725">
        <v>219229</v>
      </c>
      <c r="G11725">
        <v>223695</v>
      </c>
    </row>
    <row r="11726" spans="1:7">
      <c r="A11726" t="s">
        <v>1876</v>
      </c>
      <c r="B11726" t="s">
        <v>383</v>
      </c>
      <c r="C11726" t="s">
        <v>235</v>
      </c>
      <c r="D11726">
        <v>4545</v>
      </c>
      <c r="E11726">
        <v>5574</v>
      </c>
      <c r="F11726">
        <v>4677</v>
      </c>
      <c r="G11726">
        <v>4762</v>
      </c>
    </row>
    <row r="11727" spans="1:7">
      <c r="A11727" t="s">
        <v>1876</v>
      </c>
      <c r="B11727" t="s">
        <v>383</v>
      </c>
      <c r="C11727" t="s">
        <v>236</v>
      </c>
      <c r="D11727">
        <v>4578</v>
      </c>
      <c r="E11727">
        <v>4782</v>
      </c>
      <c r="F11727">
        <v>4439</v>
      </c>
      <c r="G11727">
        <v>4228</v>
      </c>
    </row>
    <row r="11728" spans="1:7">
      <c r="A11728" t="s">
        <v>1876</v>
      </c>
      <c r="B11728" t="s">
        <v>383</v>
      </c>
      <c r="C11728" t="s">
        <v>237</v>
      </c>
      <c r="D11728">
        <v>227502</v>
      </c>
      <c r="E11728">
        <v>225614</v>
      </c>
      <c r="F11728">
        <v>228345</v>
      </c>
      <c r="G11728">
        <v>232685</v>
      </c>
    </row>
    <row r="11729" spans="1:7">
      <c r="A11729" t="s">
        <v>1876</v>
      </c>
      <c r="B11729" t="s">
        <v>383</v>
      </c>
      <c r="C11729" t="s">
        <v>238</v>
      </c>
      <c r="D11729">
        <v>227502</v>
      </c>
      <c r="E11729">
        <v>225614</v>
      </c>
      <c r="F11729">
        <v>228345</v>
      </c>
      <c r="G11729">
        <v>232685</v>
      </c>
    </row>
    <row r="11730" spans="1:7">
      <c r="A11730" t="s">
        <v>1876</v>
      </c>
      <c r="B11730" t="s">
        <v>383</v>
      </c>
      <c r="C11730" t="s">
        <v>1934</v>
      </c>
      <c r="D11730">
        <v>203835</v>
      </c>
      <c r="E11730">
        <v>200787</v>
      </c>
      <c r="F11730">
        <v>204445</v>
      </c>
      <c r="G11730">
        <v>208759</v>
      </c>
    </row>
    <row r="11731" spans="1:7">
      <c r="A11731" t="s">
        <v>1876</v>
      </c>
      <c r="B11731" t="s">
        <v>383</v>
      </c>
      <c r="C11731" t="s">
        <v>1935</v>
      </c>
      <c r="D11731">
        <v>4243</v>
      </c>
      <c r="E11731">
        <v>5199</v>
      </c>
      <c r="F11731">
        <v>4362</v>
      </c>
      <c r="G11731">
        <v>4444</v>
      </c>
    </row>
    <row r="11732" spans="1:7">
      <c r="A11732" t="s">
        <v>1876</v>
      </c>
      <c r="B11732" t="s">
        <v>383</v>
      </c>
      <c r="C11732" t="s">
        <v>1936</v>
      </c>
      <c r="D11732">
        <v>4273</v>
      </c>
      <c r="E11732">
        <v>4460</v>
      </c>
      <c r="F11732">
        <v>4140</v>
      </c>
      <c r="G11732">
        <v>3945</v>
      </c>
    </row>
    <row r="11733" spans="1:7">
      <c r="A11733" t="s">
        <v>1876</v>
      </c>
      <c r="B11733" t="s">
        <v>383</v>
      </c>
      <c r="C11733" t="s">
        <v>239</v>
      </c>
      <c r="D11733">
        <v>212350</v>
      </c>
      <c r="E11733">
        <v>210447</v>
      </c>
      <c r="F11733">
        <v>212947</v>
      </c>
      <c r="G11733">
        <v>217148</v>
      </c>
    </row>
    <row r="11734" spans="1:7">
      <c r="A11734" t="s">
        <v>1876</v>
      </c>
      <c r="B11734" t="s">
        <v>383</v>
      </c>
      <c r="C11734" t="s">
        <v>240</v>
      </c>
      <c r="D11734">
        <v>599</v>
      </c>
      <c r="E11734">
        <v>411</v>
      </c>
      <c r="F11734">
        <v>395</v>
      </c>
      <c r="G11734">
        <v>386</v>
      </c>
    </row>
    <row r="11735" spans="1:7">
      <c r="A11735" t="s">
        <v>1876</v>
      </c>
      <c r="B11735" t="s">
        <v>383</v>
      </c>
      <c r="C11735" t="s">
        <v>241</v>
      </c>
      <c r="D11735">
        <v>0</v>
      </c>
      <c r="E11735">
        <v>0</v>
      </c>
      <c r="F11735">
        <v>0</v>
      </c>
      <c r="G11735">
        <v>0</v>
      </c>
    </row>
    <row r="11736" spans="1:7">
      <c r="A11736" t="s">
        <v>1876</v>
      </c>
      <c r="B11736" t="s">
        <v>383</v>
      </c>
      <c r="C11736" t="s">
        <v>242</v>
      </c>
      <c r="D11736">
        <v>45077</v>
      </c>
      <c r="E11736">
        <v>45970</v>
      </c>
      <c r="F11736">
        <v>48478</v>
      </c>
      <c r="G11736">
        <v>42612</v>
      </c>
    </row>
    <row r="11737" spans="1:7">
      <c r="A11737" t="s">
        <v>1876</v>
      </c>
      <c r="B11737" t="s">
        <v>383</v>
      </c>
      <c r="C11737" t="s">
        <v>243</v>
      </c>
      <c r="D11737">
        <v>45047</v>
      </c>
      <c r="E11737">
        <v>47052</v>
      </c>
      <c r="F11737">
        <v>44899</v>
      </c>
      <c r="G11737">
        <v>43452</v>
      </c>
    </row>
    <row r="11738" spans="1:7">
      <c r="A11738" t="s">
        <v>1876</v>
      </c>
      <c r="B11738" t="s">
        <v>383</v>
      </c>
      <c r="C11738" t="s">
        <v>244</v>
      </c>
      <c r="D11738">
        <v>272821</v>
      </c>
      <c r="E11738">
        <v>296458</v>
      </c>
      <c r="F11738">
        <v>368845</v>
      </c>
      <c r="G11738">
        <v>394033</v>
      </c>
    </row>
    <row r="11739" spans="1:7">
      <c r="A11739" t="s">
        <v>1876</v>
      </c>
      <c r="B11739" t="s">
        <v>383</v>
      </c>
      <c r="C11739" t="s">
        <v>1709</v>
      </c>
      <c r="D11739">
        <v>14863</v>
      </c>
      <c r="E11739">
        <v>16479</v>
      </c>
      <c r="F11739">
        <v>14886</v>
      </c>
      <c r="G11739">
        <v>14521</v>
      </c>
    </row>
    <row r="11740" spans="1:7">
      <c r="A11740" t="s">
        <v>1876</v>
      </c>
      <c r="B11740" t="s">
        <v>383</v>
      </c>
      <c r="C11740" t="s">
        <v>245</v>
      </c>
      <c r="D11740">
        <v>317327</v>
      </c>
      <c r="E11740">
        <v>320151</v>
      </c>
      <c r="F11740">
        <v>331986</v>
      </c>
      <c r="G11740">
        <v>328212</v>
      </c>
    </row>
    <row r="11741" spans="1:7">
      <c r="A11741" t="s">
        <v>1876</v>
      </c>
      <c r="B11741" t="s">
        <v>383</v>
      </c>
      <c r="C11741" t="s">
        <v>246</v>
      </c>
      <c r="D11741">
        <v>65642</v>
      </c>
      <c r="E11741">
        <v>63335</v>
      </c>
      <c r="F11741">
        <v>61115</v>
      </c>
      <c r="G11741">
        <v>55247</v>
      </c>
    </row>
    <row r="11742" spans="1:7">
      <c r="A11742" t="s">
        <v>1876</v>
      </c>
      <c r="B11742" t="s">
        <v>383</v>
      </c>
      <c r="C11742" t="s">
        <v>247</v>
      </c>
      <c r="D11742">
        <v>745911</v>
      </c>
      <c r="E11742">
        <v>772966</v>
      </c>
      <c r="F11742">
        <v>855322</v>
      </c>
      <c r="G11742">
        <v>863556</v>
      </c>
    </row>
    <row r="11743" spans="1:7">
      <c r="A11743" t="s">
        <v>1876</v>
      </c>
      <c r="B11743" t="s">
        <v>383</v>
      </c>
      <c r="C11743" t="s">
        <v>248</v>
      </c>
      <c r="D11743">
        <v>186.8</v>
      </c>
      <c r="E11743">
        <v>192</v>
      </c>
      <c r="F11743">
        <v>210.5</v>
      </c>
      <c r="G11743">
        <v>210.7</v>
      </c>
    </row>
    <row r="11744" spans="1:7">
      <c r="A11744" t="s">
        <v>1876</v>
      </c>
      <c r="B11744" t="s">
        <v>383</v>
      </c>
      <c r="C11744" t="s">
        <v>249</v>
      </c>
      <c r="D11744">
        <v>473092</v>
      </c>
      <c r="E11744">
        <v>476508</v>
      </c>
      <c r="F11744">
        <v>486478</v>
      </c>
      <c r="G11744">
        <v>469523</v>
      </c>
    </row>
    <row r="11745" spans="1:7">
      <c r="A11745" t="s">
        <v>1876</v>
      </c>
      <c r="B11745" t="s">
        <v>383</v>
      </c>
      <c r="C11745" t="s">
        <v>250</v>
      </c>
      <c r="D11745">
        <v>745911</v>
      </c>
      <c r="E11745">
        <v>772405</v>
      </c>
      <c r="F11745">
        <v>854000</v>
      </c>
      <c r="G11745">
        <v>862187</v>
      </c>
    </row>
    <row r="11746" spans="1:7">
      <c r="A11746" t="s">
        <v>1876</v>
      </c>
      <c r="B11746" t="s">
        <v>383</v>
      </c>
      <c r="C11746" t="s">
        <v>1937</v>
      </c>
      <c r="D11746">
        <v>15.2</v>
      </c>
      <c r="E11746">
        <v>12.9</v>
      </c>
      <c r="F11746">
        <v>11.9</v>
      </c>
      <c r="G11746">
        <v>11.3</v>
      </c>
    </row>
    <row r="11747" spans="1:7">
      <c r="A11747" t="s">
        <v>1876</v>
      </c>
      <c r="B11747" t="s">
        <v>383</v>
      </c>
      <c r="C11747" t="s">
        <v>1938</v>
      </c>
      <c r="D11747">
        <v>0</v>
      </c>
      <c r="E11747">
        <v>0</v>
      </c>
      <c r="F11747">
        <v>0</v>
      </c>
      <c r="G11747">
        <v>0</v>
      </c>
    </row>
    <row r="11748" spans="1:7">
      <c r="A11748" t="s">
        <v>1876</v>
      </c>
      <c r="B11748" t="s">
        <v>383</v>
      </c>
      <c r="C11748" t="s">
        <v>251</v>
      </c>
      <c r="D11748">
        <v>0</v>
      </c>
      <c r="E11748">
        <v>0</v>
      </c>
      <c r="F11748">
        <v>0</v>
      </c>
      <c r="G11748">
        <v>0</v>
      </c>
    </row>
    <row r="11749" spans="1:7">
      <c r="A11749" t="s">
        <v>1876</v>
      </c>
      <c r="B11749" t="s">
        <v>383</v>
      </c>
      <c r="C11749" t="s">
        <v>252</v>
      </c>
      <c r="D11749">
        <v>0</v>
      </c>
      <c r="E11749">
        <v>0</v>
      </c>
      <c r="F11749">
        <v>0</v>
      </c>
      <c r="G11749">
        <v>0</v>
      </c>
    </row>
    <row r="11750" spans="1:7">
      <c r="A11750" t="s">
        <v>1876</v>
      </c>
      <c r="B11750" t="s">
        <v>383</v>
      </c>
      <c r="C11750" t="s">
        <v>1710</v>
      </c>
      <c r="D11750">
        <v>0</v>
      </c>
      <c r="E11750">
        <v>0</v>
      </c>
      <c r="F11750">
        <v>0</v>
      </c>
      <c r="G11750">
        <v>0</v>
      </c>
    </row>
    <row r="11751" spans="1:7">
      <c r="A11751" t="s">
        <v>1876</v>
      </c>
      <c r="B11751" t="s">
        <v>383</v>
      </c>
      <c r="C11751" t="s">
        <v>1939</v>
      </c>
      <c r="D11751">
        <v>8.1</v>
      </c>
      <c r="E11751">
        <v>11.1</v>
      </c>
      <c r="F11751">
        <v>15.8</v>
      </c>
      <c r="G11751">
        <v>19.7</v>
      </c>
    </row>
    <row r="11752" spans="1:7">
      <c r="A11752" t="s">
        <v>1876</v>
      </c>
      <c r="B11752" t="s">
        <v>383</v>
      </c>
      <c r="C11752" t="s">
        <v>253</v>
      </c>
      <c r="D11752">
        <v>0</v>
      </c>
      <c r="E11752">
        <v>0</v>
      </c>
      <c r="F11752">
        <v>0</v>
      </c>
      <c r="G11752">
        <v>0</v>
      </c>
    </row>
    <row r="11753" spans="1:7">
      <c r="A11753" t="s">
        <v>1876</v>
      </c>
      <c r="B11753" t="s">
        <v>383</v>
      </c>
      <c r="C11753" t="s">
        <v>1711</v>
      </c>
      <c r="D11753">
        <v>0</v>
      </c>
      <c r="E11753">
        <v>0</v>
      </c>
      <c r="F11753">
        <v>0</v>
      </c>
      <c r="G11753">
        <v>0</v>
      </c>
    </row>
    <row r="11754" spans="1:7">
      <c r="A11754" t="s">
        <v>1876</v>
      </c>
      <c r="B11754" t="s">
        <v>383</v>
      </c>
      <c r="C11754" t="s">
        <v>1712</v>
      </c>
      <c r="D11754">
        <v>45566</v>
      </c>
      <c r="E11754">
        <v>45437</v>
      </c>
      <c r="F11754">
        <v>44307</v>
      </c>
      <c r="G11754">
        <v>45180</v>
      </c>
    </row>
    <row r="11755" spans="1:7">
      <c r="A11755" t="s">
        <v>1876</v>
      </c>
      <c r="B11755" t="s">
        <v>383</v>
      </c>
      <c r="C11755" t="s">
        <v>1713</v>
      </c>
      <c r="D11755">
        <v>2011</v>
      </c>
      <c r="E11755">
        <v>1929</v>
      </c>
      <c r="F11755">
        <v>2751</v>
      </c>
      <c r="G11755">
        <v>3038</v>
      </c>
    </row>
    <row r="11756" spans="1:7">
      <c r="A11756" t="s">
        <v>1876</v>
      </c>
      <c r="B11756" t="s">
        <v>383</v>
      </c>
      <c r="C11756" t="s">
        <v>1940</v>
      </c>
      <c r="D11756">
        <v>0</v>
      </c>
      <c r="E11756">
        <v>0</v>
      </c>
      <c r="F11756">
        <v>0</v>
      </c>
      <c r="G11756">
        <v>0</v>
      </c>
    </row>
    <row r="11757" spans="1:7">
      <c r="A11757" t="s">
        <v>1876</v>
      </c>
      <c r="B11757" t="s">
        <v>383</v>
      </c>
      <c r="C11757" t="s">
        <v>1941</v>
      </c>
      <c r="D11757">
        <v>0</v>
      </c>
      <c r="E11757">
        <v>0</v>
      </c>
      <c r="F11757">
        <v>0</v>
      </c>
      <c r="G11757">
        <v>0</v>
      </c>
    </row>
    <row r="11758" spans="1:7">
      <c r="A11758" t="s">
        <v>1876</v>
      </c>
      <c r="B11758" t="s">
        <v>383</v>
      </c>
      <c r="C11758" t="s">
        <v>254</v>
      </c>
      <c r="D11758">
        <v>45566</v>
      </c>
      <c r="E11758">
        <v>45437</v>
      </c>
      <c r="F11758">
        <v>44307</v>
      </c>
      <c r="G11758">
        <v>45180</v>
      </c>
    </row>
    <row r="11759" spans="1:7">
      <c r="A11759" t="s">
        <v>1876</v>
      </c>
      <c r="B11759" t="s">
        <v>383</v>
      </c>
      <c r="C11759" t="s">
        <v>1942</v>
      </c>
      <c r="D11759">
        <v>0</v>
      </c>
      <c r="E11759">
        <v>0</v>
      </c>
      <c r="F11759">
        <v>0</v>
      </c>
      <c r="G11759">
        <v>0</v>
      </c>
    </row>
    <row r="11760" spans="1:7">
      <c r="A11760" t="s">
        <v>1876</v>
      </c>
      <c r="B11760" t="s">
        <v>383</v>
      </c>
      <c r="C11760" t="s">
        <v>255</v>
      </c>
      <c r="D11760">
        <v>47577</v>
      </c>
      <c r="E11760">
        <v>47366</v>
      </c>
      <c r="F11760">
        <v>47058</v>
      </c>
      <c r="G11760">
        <v>48218</v>
      </c>
    </row>
    <row r="11761" spans="1:7">
      <c r="A11761" t="s">
        <v>1876</v>
      </c>
      <c r="B11761" t="s">
        <v>383</v>
      </c>
      <c r="C11761" t="s">
        <v>256</v>
      </c>
      <c r="D11761">
        <v>47577</v>
      </c>
      <c r="E11761">
        <v>47366</v>
      </c>
      <c r="F11761">
        <v>47058</v>
      </c>
      <c r="G11761">
        <v>48218</v>
      </c>
    </row>
    <row r="11762" spans="1:7">
      <c r="A11762" t="s">
        <v>1876</v>
      </c>
      <c r="B11762" t="s">
        <v>383</v>
      </c>
      <c r="C11762" t="s">
        <v>1714</v>
      </c>
      <c r="D11762">
        <v>0</v>
      </c>
      <c r="E11762">
        <v>0</v>
      </c>
      <c r="F11762">
        <v>0</v>
      </c>
      <c r="G11762">
        <v>0</v>
      </c>
    </row>
    <row r="11763" spans="1:7">
      <c r="A11763" t="s">
        <v>1876</v>
      </c>
      <c r="B11763" t="s">
        <v>383</v>
      </c>
      <c r="C11763" t="s">
        <v>257</v>
      </c>
      <c r="D11763">
        <v>68678</v>
      </c>
      <c r="E11763">
        <v>70472</v>
      </c>
      <c r="F11763">
        <v>67050</v>
      </c>
      <c r="G11763">
        <v>67783</v>
      </c>
    </row>
    <row r="11764" spans="1:7">
      <c r="A11764" t="s">
        <v>1876</v>
      </c>
      <c r="B11764" t="s">
        <v>383</v>
      </c>
      <c r="C11764" t="s">
        <v>258</v>
      </c>
      <c r="D11764">
        <v>73155</v>
      </c>
      <c r="E11764">
        <v>75017</v>
      </c>
      <c r="F11764">
        <v>71764</v>
      </c>
      <c r="G11764">
        <v>72802</v>
      </c>
    </row>
    <row r="11765" spans="1:7">
      <c r="A11765" t="s">
        <v>1876</v>
      </c>
      <c r="B11765" t="s">
        <v>383</v>
      </c>
      <c r="C11765" t="s">
        <v>259</v>
      </c>
      <c r="D11765">
        <v>73155</v>
      </c>
      <c r="E11765">
        <v>75017</v>
      </c>
      <c r="F11765">
        <v>71764</v>
      </c>
      <c r="G11765">
        <v>72802</v>
      </c>
    </row>
    <row r="11766" spans="1:7">
      <c r="A11766" t="s">
        <v>1876</v>
      </c>
      <c r="B11766" t="s">
        <v>383</v>
      </c>
      <c r="C11766" t="s">
        <v>260</v>
      </c>
      <c r="D11766">
        <v>410158</v>
      </c>
      <c r="E11766">
        <v>410675</v>
      </c>
      <c r="F11766">
        <v>411212</v>
      </c>
      <c r="G11766">
        <v>419647</v>
      </c>
    </row>
    <row r="11767" spans="1:7">
      <c r="A11767" t="s">
        <v>1876</v>
      </c>
      <c r="B11767" t="s">
        <v>383</v>
      </c>
      <c r="C11767" t="s">
        <v>1943</v>
      </c>
      <c r="D11767">
        <v>0.5</v>
      </c>
      <c r="E11767">
        <v>0.5</v>
      </c>
      <c r="F11767">
        <v>0.5</v>
      </c>
      <c r="G11767">
        <v>0.8</v>
      </c>
    </row>
    <row r="11768" spans="1:7">
      <c r="A11768" t="s">
        <v>1876</v>
      </c>
      <c r="B11768" t="s">
        <v>383</v>
      </c>
      <c r="C11768" t="s">
        <v>261</v>
      </c>
      <c r="D11768">
        <v>11142</v>
      </c>
      <c r="E11768">
        <v>12112</v>
      </c>
      <c r="F11768">
        <v>10608</v>
      </c>
      <c r="G11768">
        <v>9717</v>
      </c>
    </row>
    <row r="11769" spans="1:7">
      <c r="A11769" t="s">
        <v>1876</v>
      </c>
      <c r="B11769" t="s">
        <v>383</v>
      </c>
      <c r="C11769" t="s">
        <v>262</v>
      </c>
      <c r="D11769">
        <v>382</v>
      </c>
      <c r="E11769">
        <v>307</v>
      </c>
      <c r="F11769">
        <v>216</v>
      </c>
      <c r="G11769">
        <v>281</v>
      </c>
    </row>
    <row r="11770" spans="1:7">
      <c r="A11770" t="s">
        <v>1876</v>
      </c>
      <c r="B11770" t="s">
        <v>383</v>
      </c>
      <c r="C11770" t="s">
        <v>1715</v>
      </c>
      <c r="D11770">
        <v>74</v>
      </c>
      <c r="E11770">
        <v>66</v>
      </c>
      <c r="F11770">
        <v>54</v>
      </c>
      <c r="G11770">
        <v>45</v>
      </c>
    </row>
    <row r="11771" spans="1:7">
      <c r="A11771" t="s">
        <v>1876</v>
      </c>
      <c r="B11771" t="s">
        <v>383</v>
      </c>
      <c r="C11771" t="s">
        <v>263</v>
      </c>
      <c r="D11771">
        <v>106423</v>
      </c>
      <c r="E11771">
        <v>108614</v>
      </c>
      <c r="F11771">
        <v>103992</v>
      </c>
      <c r="G11771">
        <v>103265</v>
      </c>
    </row>
    <row r="11772" spans="1:7">
      <c r="A11772" t="s">
        <v>1876</v>
      </c>
      <c r="B11772" t="s">
        <v>383</v>
      </c>
      <c r="C11772" t="s">
        <v>264</v>
      </c>
      <c r="D11772">
        <v>8075</v>
      </c>
      <c r="E11772">
        <v>8400</v>
      </c>
      <c r="F11772">
        <v>7300</v>
      </c>
      <c r="G11772">
        <v>5506</v>
      </c>
    </row>
    <row r="11773" spans="1:7">
      <c r="A11773" t="s">
        <v>1876</v>
      </c>
      <c r="B11773" t="s">
        <v>383</v>
      </c>
      <c r="C11773" t="s">
        <v>265</v>
      </c>
      <c r="D11773">
        <v>536180</v>
      </c>
      <c r="E11773">
        <v>540108</v>
      </c>
      <c r="F11773">
        <v>533328</v>
      </c>
      <c r="G11773">
        <v>538416</v>
      </c>
    </row>
    <row r="11774" spans="1:7">
      <c r="A11774" t="s">
        <v>1876</v>
      </c>
      <c r="B11774" t="s">
        <v>383</v>
      </c>
      <c r="C11774" t="s">
        <v>266</v>
      </c>
      <c r="D11774">
        <v>134.30000000000001</v>
      </c>
      <c r="E11774">
        <v>134.19999999999999</v>
      </c>
      <c r="F11774">
        <v>131.30000000000001</v>
      </c>
      <c r="G11774">
        <v>131.4</v>
      </c>
    </row>
    <row r="11775" spans="1:7">
      <c r="A11775" t="s">
        <v>1876</v>
      </c>
      <c r="B11775" t="s">
        <v>383</v>
      </c>
      <c r="C11775" t="s">
        <v>267</v>
      </c>
      <c r="D11775">
        <v>535799</v>
      </c>
      <c r="E11775">
        <v>539801</v>
      </c>
      <c r="F11775">
        <v>533112</v>
      </c>
      <c r="G11775">
        <v>538135</v>
      </c>
    </row>
    <row r="11776" spans="1:7">
      <c r="A11776" t="s">
        <v>1876</v>
      </c>
      <c r="B11776" t="s">
        <v>383</v>
      </c>
      <c r="C11776" t="s">
        <v>268</v>
      </c>
      <c r="D11776">
        <v>0</v>
      </c>
      <c r="E11776">
        <v>0</v>
      </c>
      <c r="F11776">
        <v>0</v>
      </c>
      <c r="G11776">
        <v>0</v>
      </c>
    </row>
    <row r="11777" spans="1:7">
      <c r="A11777" t="s">
        <v>1876</v>
      </c>
      <c r="B11777" t="s">
        <v>383</v>
      </c>
      <c r="C11777" t="s">
        <v>269</v>
      </c>
      <c r="D11777">
        <v>0</v>
      </c>
      <c r="E11777">
        <v>0</v>
      </c>
      <c r="F11777">
        <v>0</v>
      </c>
      <c r="G11777">
        <v>0</v>
      </c>
    </row>
    <row r="11778" spans="1:7">
      <c r="A11778" t="s">
        <v>1876</v>
      </c>
      <c r="B11778" t="s">
        <v>383</v>
      </c>
      <c r="C11778" t="s">
        <v>270</v>
      </c>
      <c r="D11778">
        <v>10348</v>
      </c>
      <c r="E11778">
        <v>11625</v>
      </c>
      <c r="F11778">
        <v>10675</v>
      </c>
      <c r="G11778">
        <v>11266</v>
      </c>
    </row>
    <row r="11779" spans="1:7">
      <c r="A11779" t="s">
        <v>1876</v>
      </c>
      <c r="B11779" t="s">
        <v>383</v>
      </c>
      <c r="C11779" t="s">
        <v>271</v>
      </c>
      <c r="D11779">
        <v>10348</v>
      </c>
      <c r="E11779">
        <v>11625</v>
      </c>
      <c r="F11779">
        <v>10675</v>
      </c>
      <c r="G11779">
        <v>11266</v>
      </c>
    </row>
    <row r="11780" spans="1:7">
      <c r="A11780" t="s">
        <v>1876</v>
      </c>
      <c r="B11780" t="s">
        <v>383</v>
      </c>
      <c r="C11780" t="s">
        <v>272</v>
      </c>
      <c r="D11780">
        <v>10348</v>
      </c>
      <c r="E11780">
        <v>11625</v>
      </c>
      <c r="F11780">
        <v>10675</v>
      </c>
      <c r="G11780">
        <v>11266</v>
      </c>
    </row>
    <row r="11781" spans="1:7">
      <c r="A11781" t="s">
        <v>1876</v>
      </c>
      <c r="B11781" t="s">
        <v>383</v>
      </c>
      <c r="C11781" t="s">
        <v>1944</v>
      </c>
      <c r="D11781">
        <v>6.7</v>
      </c>
      <c r="E11781">
        <v>10.6</v>
      </c>
      <c r="F11781">
        <v>29.1</v>
      </c>
      <c r="G11781">
        <v>33.1</v>
      </c>
    </row>
    <row r="11782" spans="1:7">
      <c r="A11782" t="s">
        <v>1876</v>
      </c>
      <c r="B11782" t="s">
        <v>383</v>
      </c>
      <c r="C11782" t="s">
        <v>1945</v>
      </c>
      <c r="D11782">
        <v>11</v>
      </c>
      <c r="E11782">
        <v>19</v>
      </c>
      <c r="F11782">
        <v>74</v>
      </c>
      <c r="G11782">
        <v>89</v>
      </c>
    </row>
    <row r="11783" spans="1:7">
      <c r="A11783" t="s">
        <v>1876</v>
      </c>
      <c r="B11783" t="s">
        <v>383</v>
      </c>
      <c r="C11783" t="s">
        <v>273</v>
      </c>
      <c r="D11783">
        <v>0</v>
      </c>
      <c r="E11783">
        <v>0</v>
      </c>
      <c r="F11783">
        <v>0</v>
      </c>
      <c r="G11783">
        <v>0</v>
      </c>
    </row>
    <row r="11784" spans="1:7">
      <c r="A11784" t="s">
        <v>1876</v>
      </c>
      <c r="B11784" t="s">
        <v>383</v>
      </c>
      <c r="C11784" t="s">
        <v>1946</v>
      </c>
      <c r="D11784">
        <v>392113</v>
      </c>
      <c r="E11784">
        <v>392913</v>
      </c>
      <c r="F11784">
        <v>392056</v>
      </c>
      <c r="G11784">
        <v>400032</v>
      </c>
    </row>
    <row r="11785" spans="1:7">
      <c r="A11785" t="s">
        <v>1876</v>
      </c>
      <c r="B11785" t="s">
        <v>383</v>
      </c>
      <c r="C11785" t="s">
        <v>1947</v>
      </c>
      <c r="D11785">
        <v>10840</v>
      </c>
      <c r="E11785">
        <v>11737</v>
      </c>
      <c r="F11785">
        <v>10293</v>
      </c>
      <c r="G11785">
        <v>9399</v>
      </c>
    </row>
    <row r="11786" spans="1:7">
      <c r="A11786" t="s">
        <v>1876</v>
      </c>
      <c r="B11786" t="s">
        <v>383</v>
      </c>
      <c r="C11786" t="s">
        <v>1948</v>
      </c>
      <c r="D11786">
        <v>382</v>
      </c>
      <c r="E11786">
        <v>307</v>
      </c>
      <c r="F11786">
        <v>216</v>
      </c>
      <c r="G11786">
        <v>281</v>
      </c>
    </row>
    <row r="11787" spans="1:7">
      <c r="A11787" t="s">
        <v>1876</v>
      </c>
      <c r="B11787" t="s">
        <v>383</v>
      </c>
      <c r="C11787" t="s">
        <v>1949</v>
      </c>
      <c r="D11787">
        <v>106118</v>
      </c>
      <c r="E11787">
        <v>108293</v>
      </c>
      <c r="F11787">
        <v>103693</v>
      </c>
      <c r="G11787">
        <v>102983</v>
      </c>
    </row>
    <row r="11788" spans="1:7">
      <c r="A11788" t="s">
        <v>1876</v>
      </c>
      <c r="B11788" t="s">
        <v>383</v>
      </c>
      <c r="C11788" t="s">
        <v>1950</v>
      </c>
      <c r="D11788">
        <v>8075</v>
      </c>
      <c r="E11788">
        <v>8400</v>
      </c>
      <c r="F11788">
        <v>7300</v>
      </c>
      <c r="G11788">
        <v>5506</v>
      </c>
    </row>
    <row r="11789" spans="1:7">
      <c r="A11789" t="s">
        <v>1876</v>
      </c>
      <c r="B11789" t="s">
        <v>383</v>
      </c>
      <c r="C11789" t="s">
        <v>274</v>
      </c>
      <c r="D11789">
        <v>517528</v>
      </c>
      <c r="E11789">
        <v>521650</v>
      </c>
      <c r="F11789">
        <v>513558</v>
      </c>
      <c r="G11789">
        <v>518201</v>
      </c>
    </row>
    <row r="11790" spans="1:7">
      <c r="A11790" t="s">
        <v>1876</v>
      </c>
      <c r="B11790" t="s">
        <v>383</v>
      </c>
      <c r="C11790" t="s">
        <v>275</v>
      </c>
      <c r="D11790">
        <v>0</v>
      </c>
      <c r="E11790">
        <v>0</v>
      </c>
      <c r="F11790">
        <v>0</v>
      </c>
      <c r="G11790">
        <v>0</v>
      </c>
    </row>
    <row r="11791" spans="1:7">
      <c r="A11791" t="s">
        <v>1876</v>
      </c>
      <c r="B11791" t="s">
        <v>383</v>
      </c>
      <c r="C11791" t="s">
        <v>276</v>
      </c>
      <c r="D11791">
        <v>0</v>
      </c>
      <c r="E11791">
        <v>0</v>
      </c>
      <c r="F11791">
        <v>0</v>
      </c>
      <c r="G11791">
        <v>0</v>
      </c>
    </row>
    <row r="11792" spans="1:7">
      <c r="A11792" t="s">
        <v>1876</v>
      </c>
      <c r="B11792" t="s">
        <v>383</v>
      </c>
      <c r="C11792" t="s">
        <v>277</v>
      </c>
      <c r="D11792">
        <v>310</v>
      </c>
      <c r="E11792">
        <v>369</v>
      </c>
      <c r="F11792">
        <v>324</v>
      </c>
      <c r="G11792">
        <v>226</v>
      </c>
    </row>
    <row r="11793" spans="1:7">
      <c r="A11793" t="s">
        <v>1876</v>
      </c>
      <c r="B11793" t="s">
        <v>383</v>
      </c>
      <c r="C11793" t="s">
        <v>278</v>
      </c>
      <c r="D11793">
        <v>2643</v>
      </c>
      <c r="E11793">
        <v>2445</v>
      </c>
      <c r="F11793">
        <v>2114</v>
      </c>
      <c r="G11793">
        <v>1507</v>
      </c>
    </row>
    <row r="11794" spans="1:7">
      <c r="A11794" t="s">
        <v>1876</v>
      </c>
      <c r="B11794" t="s">
        <v>383</v>
      </c>
      <c r="C11794" t="s">
        <v>279</v>
      </c>
      <c r="D11794">
        <v>1884</v>
      </c>
      <c r="E11794">
        <v>1699</v>
      </c>
      <c r="F11794">
        <v>2002</v>
      </c>
      <c r="G11794">
        <v>1400</v>
      </c>
    </row>
    <row r="11795" spans="1:7">
      <c r="A11795" t="s">
        <v>1876</v>
      </c>
      <c r="B11795" t="s">
        <v>383</v>
      </c>
      <c r="C11795" t="s">
        <v>280</v>
      </c>
      <c r="D11795">
        <v>8048</v>
      </c>
      <c r="E11795">
        <v>8372</v>
      </c>
      <c r="F11795">
        <v>7271</v>
      </c>
      <c r="G11795">
        <v>5482</v>
      </c>
    </row>
    <row r="11796" spans="1:7">
      <c r="A11796" t="s">
        <v>1876</v>
      </c>
      <c r="B11796" t="s">
        <v>383</v>
      </c>
      <c r="C11796" t="s">
        <v>281</v>
      </c>
      <c r="D11796">
        <v>12884</v>
      </c>
      <c r="E11796">
        <v>12885</v>
      </c>
      <c r="F11796">
        <v>11711</v>
      </c>
      <c r="G11796">
        <v>8615</v>
      </c>
    </row>
    <row r="11797" spans="1:7">
      <c r="A11797" t="s">
        <v>1876</v>
      </c>
      <c r="B11797" t="s">
        <v>383</v>
      </c>
      <c r="C11797" t="s">
        <v>282</v>
      </c>
      <c r="D11797">
        <v>12884</v>
      </c>
      <c r="E11797">
        <v>12885</v>
      </c>
      <c r="F11797">
        <v>11711</v>
      </c>
      <c r="G11797">
        <v>8615</v>
      </c>
    </row>
    <row r="11798" spans="1:7">
      <c r="A11798" t="s">
        <v>1876</v>
      </c>
      <c r="B11798" t="s">
        <v>383</v>
      </c>
      <c r="C11798" t="s">
        <v>283</v>
      </c>
      <c r="D11798">
        <v>0</v>
      </c>
      <c r="E11798">
        <v>0</v>
      </c>
      <c r="F11798">
        <v>0</v>
      </c>
      <c r="G11798">
        <v>0</v>
      </c>
    </row>
    <row r="11799" spans="1:7">
      <c r="A11799" t="s">
        <v>1876</v>
      </c>
      <c r="B11799" t="s">
        <v>383</v>
      </c>
      <c r="C11799" t="s">
        <v>284</v>
      </c>
      <c r="D11799">
        <v>0</v>
      </c>
      <c r="E11799">
        <v>0</v>
      </c>
      <c r="F11799">
        <v>0</v>
      </c>
      <c r="G11799">
        <v>0</v>
      </c>
    </row>
    <row r="11800" spans="1:7">
      <c r="A11800" t="s">
        <v>1876</v>
      </c>
      <c r="B11800" t="s">
        <v>383</v>
      </c>
      <c r="C11800" t="s">
        <v>1716</v>
      </c>
      <c r="D11800">
        <v>18045</v>
      </c>
      <c r="E11800">
        <v>17762</v>
      </c>
      <c r="F11800">
        <v>19156</v>
      </c>
      <c r="G11800">
        <v>19615</v>
      </c>
    </row>
    <row r="11801" spans="1:7">
      <c r="A11801" t="s">
        <v>1876</v>
      </c>
      <c r="B11801" t="s">
        <v>383</v>
      </c>
      <c r="C11801" t="s">
        <v>1717</v>
      </c>
      <c r="D11801">
        <v>1447</v>
      </c>
      <c r="E11801">
        <v>2619</v>
      </c>
      <c r="F11801">
        <v>2598</v>
      </c>
      <c r="G11801">
        <v>2824</v>
      </c>
    </row>
    <row r="11802" spans="1:7">
      <c r="A11802" t="s">
        <v>1876</v>
      </c>
      <c r="B11802" t="s">
        <v>383</v>
      </c>
      <c r="C11802" t="s">
        <v>1718</v>
      </c>
      <c r="D11802">
        <v>120987</v>
      </c>
      <c r="E11802">
        <v>134877</v>
      </c>
      <c r="F11802">
        <v>131785</v>
      </c>
      <c r="G11802">
        <v>136259</v>
      </c>
    </row>
    <row r="11803" spans="1:7">
      <c r="A11803" t="s">
        <v>1876</v>
      </c>
      <c r="B11803" t="s">
        <v>383</v>
      </c>
      <c r="C11803" t="s">
        <v>1719</v>
      </c>
      <c r="D11803">
        <v>11371</v>
      </c>
      <c r="E11803">
        <v>12561</v>
      </c>
      <c r="F11803">
        <v>13210</v>
      </c>
      <c r="G11803">
        <v>13830</v>
      </c>
    </row>
    <row r="11804" spans="1:7">
      <c r="A11804" t="s">
        <v>1876</v>
      </c>
      <c r="B11804" t="s">
        <v>383</v>
      </c>
      <c r="C11804" t="s">
        <v>1720</v>
      </c>
      <c r="D11804">
        <v>30607</v>
      </c>
      <c r="E11804">
        <v>29639</v>
      </c>
      <c r="F11804">
        <v>27902</v>
      </c>
      <c r="G11804">
        <v>30918</v>
      </c>
    </row>
    <row r="11805" spans="1:7">
      <c r="A11805" t="s">
        <v>1876</v>
      </c>
      <c r="B11805" t="s">
        <v>383</v>
      </c>
      <c r="C11805" t="s">
        <v>1721</v>
      </c>
      <c r="D11805">
        <v>6000</v>
      </c>
      <c r="E11805">
        <v>7609</v>
      </c>
      <c r="F11805">
        <v>6718</v>
      </c>
      <c r="G11805">
        <v>6546</v>
      </c>
    </row>
    <row r="11806" spans="1:7">
      <c r="A11806" t="s">
        <v>1876</v>
      </c>
      <c r="B11806" t="s">
        <v>383</v>
      </c>
      <c r="C11806" t="s">
        <v>285</v>
      </c>
      <c r="D11806">
        <v>177086</v>
      </c>
      <c r="E11806">
        <v>192506</v>
      </c>
      <c r="F11806">
        <v>188158</v>
      </c>
      <c r="G11806">
        <v>196162</v>
      </c>
    </row>
    <row r="11807" spans="1:7">
      <c r="A11807" t="s">
        <v>1876</v>
      </c>
      <c r="B11807" t="s">
        <v>383</v>
      </c>
      <c r="C11807" t="s">
        <v>1951</v>
      </c>
      <c r="D11807">
        <v>11.9</v>
      </c>
      <c r="E11807">
        <v>12.6</v>
      </c>
      <c r="F11807">
        <v>12.4</v>
      </c>
      <c r="G11807">
        <v>12.8</v>
      </c>
    </row>
    <row r="11808" spans="1:7">
      <c r="A11808" t="s">
        <v>1876</v>
      </c>
      <c r="B11808" t="s">
        <v>383</v>
      </c>
      <c r="C11808" t="s">
        <v>286</v>
      </c>
      <c r="D11808">
        <v>0</v>
      </c>
      <c r="E11808">
        <v>0</v>
      </c>
      <c r="F11808">
        <v>0</v>
      </c>
      <c r="G11808">
        <v>0</v>
      </c>
    </row>
    <row r="11809" spans="1:7">
      <c r="A11809" t="s">
        <v>1876</v>
      </c>
      <c r="B11809" t="s">
        <v>383</v>
      </c>
      <c r="C11809" t="s">
        <v>287</v>
      </c>
      <c r="D11809">
        <v>0</v>
      </c>
      <c r="E11809">
        <v>0</v>
      </c>
      <c r="F11809">
        <v>0</v>
      </c>
      <c r="G11809">
        <v>0</v>
      </c>
    </row>
    <row r="11810" spans="1:7">
      <c r="A11810" t="s">
        <v>1876</v>
      </c>
      <c r="B11810" t="s">
        <v>383</v>
      </c>
      <c r="C11810" t="s">
        <v>288</v>
      </c>
      <c r="D11810">
        <v>0</v>
      </c>
      <c r="E11810">
        <v>0</v>
      </c>
      <c r="F11810">
        <v>0</v>
      </c>
      <c r="G11810">
        <v>0</v>
      </c>
    </row>
    <row r="11811" spans="1:7">
      <c r="A11811" t="s">
        <v>1876</v>
      </c>
      <c r="B11811" t="s">
        <v>383</v>
      </c>
      <c r="C11811" t="s">
        <v>289</v>
      </c>
      <c r="D11811">
        <v>2677</v>
      </c>
      <c r="E11811">
        <v>2743</v>
      </c>
      <c r="F11811">
        <v>2277</v>
      </c>
      <c r="G11811">
        <v>2465</v>
      </c>
    </row>
    <row r="11812" spans="1:7">
      <c r="A11812" t="s">
        <v>1876</v>
      </c>
      <c r="B11812" t="s">
        <v>383</v>
      </c>
      <c r="C11812" t="s">
        <v>290</v>
      </c>
      <c r="D11812">
        <v>2677</v>
      </c>
      <c r="E11812">
        <v>2743</v>
      </c>
      <c r="F11812">
        <v>2277</v>
      </c>
      <c r="G11812">
        <v>2465</v>
      </c>
    </row>
    <row r="11813" spans="1:7">
      <c r="A11813" t="s">
        <v>1876</v>
      </c>
      <c r="B11813" t="s">
        <v>383</v>
      </c>
      <c r="C11813" t="s">
        <v>291</v>
      </c>
      <c r="D11813">
        <v>2677</v>
      </c>
      <c r="E11813">
        <v>2743</v>
      </c>
      <c r="F11813">
        <v>2277</v>
      </c>
      <c r="G11813">
        <v>2465</v>
      </c>
    </row>
    <row r="11814" spans="1:7">
      <c r="A11814" t="s">
        <v>1876</v>
      </c>
      <c r="B11814" t="s">
        <v>383</v>
      </c>
      <c r="C11814" t="s">
        <v>292</v>
      </c>
      <c r="D11814">
        <v>0</v>
      </c>
      <c r="E11814">
        <v>42</v>
      </c>
      <c r="F11814">
        <v>84</v>
      </c>
      <c r="G11814">
        <v>82</v>
      </c>
    </row>
    <row r="11815" spans="1:7">
      <c r="A11815" t="s">
        <v>1876</v>
      </c>
      <c r="B11815" t="s">
        <v>383</v>
      </c>
      <c r="C11815" t="s">
        <v>293</v>
      </c>
      <c r="D11815">
        <v>0</v>
      </c>
      <c r="E11815">
        <v>265</v>
      </c>
      <c r="F11815">
        <v>688</v>
      </c>
      <c r="G11815">
        <v>745</v>
      </c>
    </row>
    <row r="11816" spans="1:7">
      <c r="A11816" t="s">
        <v>1876</v>
      </c>
      <c r="B11816" t="s">
        <v>383</v>
      </c>
      <c r="C11816" t="s">
        <v>294</v>
      </c>
      <c r="D11816">
        <v>0</v>
      </c>
      <c r="E11816">
        <v>197</v>
      </c>
      <c r="F11816">
        <v>436</v>
      </c>
      <c r="G11816">
        <v>438</v>
      </c>
    </row>
    <row r="11817" spans="1:7">
      <c r="A11817" t="s">
        <v>1876</v>
      </c>
      <c r="B11817" t="s">
        <v>383</v>
      </c>
      <c r="C11817" t="s">
        <v>295</v>
      </c>
      <c r="D11817">
        <v>0</v>
      </c>
      <c r="E11817">
        <v>57</v>
      </c>
      <c r="F11817">
        <v>114</v>
      </c>
      <c r="G11817">
        <v>104</v>
      </c>
    </row>
    <row r="11818" spans="1:7">
      <c r="A11818" t="s">
        <v>1876</v>
      </c>
      <c r="B11818" t="s">
        <v>383</v>
      </c>
      <c r="C11818" t="s">
        <v>296</v>
      </c>
      <c r="D11818">
        <v>0</v>
      </c>
      <c r="E11818">
        <v>561</v>
      </c>
      <c r="F11818">
        <v>1322</v>
      </c>
      <c r="G11818">
        <v>1369</v>
      </c>
    </row>
    <row r="11819" spans="1:7">
      <c r="A11819" t="s">
        <v>1876</v>
      </c>
      <c r="B11819" t="s">
        <v>383</v>
      </c>
      <c r="C11819" t="s">
        <v>297</v>
      </c>
      <c r="D11819">
        <v>43169</v>
      </c>
      <c r="E11819">
        <v>44358</v>
      </c>
      <c r="F11819">
        <v>43272</v>
      </c>
      <c r="G11819">
        <v>44226</v>
      </c>
    </row>
    <row r="11820" spans="1:7">
      <c r="A11820" t="s">
        <v>1876</v>
      </c>
      <c r="B11820" t="s">
        <v>383</v>
      </c>
      <c r="C11820" t="s">
        <v>1952</v>
      </c>
      <c r="D11820">
        <v>0</v>
      </c>
      <c r="E11820">
        <v>0</v>
      </c>
      <c r="F11820">
        <v>0</v>
      </c>
      <c r="G11820">
        <v>0</v>
      </c>
    </row>
    <row r="11821" spans="1:7">
      <c r="A11821" t="s">
        <v>1876</v>
      </c>
      <c r="B11821" t="s">
        <v>383</v>
      </c>
      <c r="C11821" t="s">
        <v>298</v>
      </c>
      <c r="D11821">
        <v>319</v>
      </c>
      <c r="E11821">
        <v>593</v>
      </c>
      <c r="F11821">
        <v>594</v>
      </c>
      <c r="G11821">
        <v>519</v>
      </c>
    </row>
    <row r="11822" spans="1:7">
      <c r="A11822" t="s">
        <v>1876</v>
      </c>
      <c r="B11822" t="s">
        <v>383</v>
      </c>
      <c r="C11822" t="s">
        <v>299</v>
      </c>
      <c r="D11822">
        <v>28</v>
      </c>
      <c r="E11822">
        <v>41</v>
      </c>
      <c r="F11822">
        <v>96</v>
      </c>
      <c r="G11822">
        <v>97</v>
      </c>
    </row>
    <row r="11823" spans="1:7">
      <c r="A11823" t="s">
        <v>1876</v>
      </c>
      <c r="B11823" t="s">
        <v>383</v>
      </c>
      <c r="C11823" t="s">
        <v>300</v>
      </c>
      <c r="D11823">
        <v>261</v>
      </c>
      <c r="E11823">
        <v>278</v>
      </c>
      <c r="F11823">
        <v>268</v>
      </c>
      <c r="G11823">
        <v>1062</v>
      </c>
    </row>
    <row r="11824" spans="1:7">
      <c r="A11824" t="s">
        <v>1876</v>
      </c>
      <c r="B11824" t="s">
        <v>383</v>
      </c>
      <c r="C11824" t="s">
        <v>1722</v>
      </c>
      <c r="D11824">
        <v>43</v>
      </c>
      <c r="E11824">
        <v>48</v>
      </c>
      <c r="F11824">
        <v>48</v>
      </c>
      <c r="G11824">
        <v>174</v>
      </c>
    </row>
    <row r="11825" spans="1:7">
      <c r="A11825" t="s">
        <v>1876</v>
      </c>
      <c r="B11825" t="s">
        <v>383</v>
      </c>
      <c r="C11825" t="s">
        <v>301</v>
      </c>
      <c r="D11825">
        <v>3</v>
      </c>
      <c r="E11825">
        <v>3</v>
      </c>
      <c r="F11825">
        <v>11</v>
      </c>
      <c r="G11825">
        <v>15</v>
      </c>
    </row>
    <row r="11826" spans="1:7">
      <c r="A11826" t="s">
        <v>1876</v>
      </c>
      <c r="B11826" t="s">
        <v>383</v>
      </c>
      <c r="C11826" t="s">
        <v>302</v>
      </c>
      <c r="D11826">
        <v>174</v>
      </c>
      <c r="E11826">
        <v>275</v>
      </c>
      <c r="F11826">
        <v>479</v>
      </c>
      <c r="G11826">
        <v>697</v>
      </c>
    </row>
    <row r="11827" spans="1:7">
      <c r="A11827" t="s">
        <v>1876</v>
      </c>
      <c r="B11827" t="s">
        <v>383</v>
      </c>
      <c r="C11827" t="s">
        <v>303</v>
      </c>
      <c r="D11827">
        <v>466</v>
      </c>
      <c r="E11827">
        <v>598</v>
      </c>
      <c r="F11827">
        <v>855</v>
      </c>
      <c r="G11827">
        <v>1871</v>
      </c>
    </row>
    <row r="11828" spans="1:7">
      <c r="A11828" t="s">
        <v>1876</v>
      </c>
      <c r="B11828" t="s">
        <v>383</v>
      </c>
      <c r="C11828" t="s">
        <v>304</v>
      </c>
      <c r="D11828">
        <v>204</v>
      </c>
      <c r="E11828">
        <v>320</v>
      </c>
      <c r="F11828">
        <v>587</v>
      </c>
      <c r="G11828">
        <v>809</v>
      </c>
    </row>
    <row r="11829" spans="1:7">
      <c r="A11829" t="s">
        <v>1876</v>
      </c>
      <c r="B11829" t="s">
        <v>383</v>
      </c>
      <c r="C11829" t="s">
        <v>1953</v>
      </c>
      <c r="D11829">
        <v>20.6</v>
      </c>
      <c r="E11829">
        <v>20</v>
      </c>
      <c r="F11829">
        <v>18.899999999999999</v>
      </c>
      <c r="G11829">
        <v>26.3</v>
      </c>
    </row>
    <row r="11830" spans="1:7">
      <c r="A11830" t="s">
        <v>1876</v>
      </c>
      <c r="B11830" t="s">
        <v>383</v>
      </c>
      <c r="C11830" t="s">
        <v>305</v>
      </c>
      <c r="D11830">
        <v>455235</v>
      </c>
      <c r="E11830">
        <v>456645</v>
      </c>
      <c r="F11830">
        <v>459690</v>
      </c>
      <c r="G11830">
        <v>462259</v>
      </c>
    </row>
    <row r="11831" spans="1:7">
      <c r="A11831" t="s">
        <v>1876</v>
      </c>
      <c r="B11831" t="s">
        <v>383</v>
      </c>
      <c r="C11831" t="s">
        <v>306</v>
      </c>
      <c r="D11831">
        <v>114</v>
      </c>
      <c r="E11831">
        <v>113.4</v>
      </c>
      <c r="F11831">
        <v>113.1</v>
      </c>
      <c r="G11831">
        <v>112.8</v>
      </c>
    </row>
    <row r="11832" spans="1:7">
      <c r="A11832" t="s">
        <v>1876</v>
      </c>
      <c r="B11832" t="s">
        <v>383</v>
      </c>
      <c r="C11832" t="s">
        <v>307</v>
      </c>
      <c r="D11832">
        <v>193983</v>
      </c>
      <c r="E11832">
        <v>209415</v>
      </c>
      <c r="F11832">
        <v>210175</v>
      </c>
      <c r="G11832">
        <v>226662</v>
      </c>
    </row>
    <row r="11833" spans="1:7">
      <c r="A11833" t="s">
        <v>1876</v>
      </c>
      <c r="B11833" t="s">
        <v>383</v>
      </c>
      <c r="C11833" t="s">
        <v>308</v>
      </c>
      <c r="D11833">
        <v>48.6</v>
      </c>
      <c r="E11833">
        <v>52</v>
      </c>
      <c r="F11833">
        <v>51.7</v>
      </c>
      <c r="G11833">
        <v>55.3</v>
      </c>
    </row>
    <row r="11834" spans="1:7">
      <c r="A11834" t="s">
        <v>1876</v>
      </c>
      <c r="B11834" t="s">
        <v>383</v>
      </c>
      <c r="C11834" t="s">
        <v>309</v>
      </c>
      <c r="D11834">
        <v>522326</v>
      </c>
      <c r="E11834">
        <v>533720</v>
      </c>
      <c r="F11834">
        <v>560619</v>
      </c>
      <c r="G11834">
        <v>601337</v>
      </c>
    </row>
    <row r="11835" spans="1:7">
      <c r="A11835" t="s">
        <v>1876</v>
      </c>
      <c r="B11835" t="s">
        <v>383</v>
      </c>
      <c r="C11835" t="s">
        <v>310</v>
      </c>
      <c r="D11835">
        <v>599593</v>
      </c>
      <c r="E11835">
        <v>607680</v>
      </c>
      <c r="F11835">
        <v>611860</v>
      </c>
      <c r="G11835">
        <v>615601</v>
      </c>
    </row>
    <row r="11836" spans="1:7">
      <c r="A11836" t="s">
        <v>1876</v>
      </c>
      <c r="B11836" t="s">
        <v>383</v>
      </c>
      <c r="C11836" t="s">
        <v>311</v>
      </c>
      <c r="D11836">
        <v>150.19999999999999</v>
      </c>
      <c r="E11836">
        <v>151</v>
      </c>
      <c r="F11836">
        <v>150.6</v>
      </c>
      <c r="G11836">
        <v>150.19999999999999</v>
      </c>
    </row>
    <row r="11837" spans="1:7">
      <c r="A11837" t="s">
        <v>1876</v>
      </c>
      <c r="B11837" t="s">
        <v>383</v>
      </c>
      <c r="C11837" t="s">
        <v>312</v>
      </c>
      <c r="D11837">
        <v>241965</v>
      </c>
      <c r="E11837">
        <v>249118</v>
      </c>
      <c r="F11837">
        <v>232105</v>
      </c>
      <c r="G11837">
        <v>230967</v>
      </c>
    </row>
    <row r="11838" spans="1:7">
      <c r="A11838" t="s">
        <v>1876</v>
      </c>
      <c r="B11838" t="s">
        <v>383</v>
      </c>
      <c r="C11838" t="s">
        <v>313</v>
      </c>
      <c r="D11838">
        <v>60.6</v>
      </c>
      <c r="E11838">
        <v>61.9</v>
      </c>
      <c r="F11838">
        <v>57.1</v>
      </c>
      <c r="G11838">
        <v>56.4</v>
      </c>
    </row>
    <row r="11839" spans="1:7">
      <c r="A11839" t="s">
        <v>1876</v>
      </c>
      <c r="B11839" t="s">
        <v>383</v>
      </c>
      <c r="C11839" t="s">
        <v>314</v>
      </c>
      <c r="D11839">
        <v>1490774</v>
      </c>
      <c r="E11839">
        <v>1522858</v>
      </c>
      <c r="F11839">
        <v>1513828</v>
      </c>
      <c r="G11839">
        <v>1535488</v>
      </c>
    </row>
    <row r="11840" spans="1:7">
      <c r="A11840" t="s">
        <v>1876</v>
      </c>
      <c r="B11840" t="s">
        <v>383</v>
      </c>
      <c r="C11840" t="s">
        <v>315</v>
      </c>
      <c r="D11840">
        <v>7.65</v>
      </c>
      <c r="E11840">
        <v>7.84</v>
      </c>
      <c r="F11840">
        <v>7.31</v>
      </c>
      <c r="G11840">
        <v>7.3</v>
      </c>
    </row>
    <row r="11841" spans="1:7">
      <c r="A11841" t="s">
        <v>1876</v>
      </c>
      <c r="B11841" t="s">
        <v>383</v>
      </c>
      <c r="C11841" t="s">
        <v>316</v>
      </c>
      <c r="D11841">
        <v>373.4</v>
      </c>
      <c r="E11841">
        <v>378.3</v>
      </c>
      <c r="F11841">
        <v>372.6</v>
      </c>
      <c r="G11841">
        <v>374.7</v>
      </c>
    </row>
    <row r="11842" spans="1:7">
      <c r="A11842" t="s">
        <v>1876</v>
      </c>
      <c r="B11842" t="s">
        <v>383</v>
      </c>
      <c r="C11842" t="s">
        <v>317</v>
      </c>
      <c r="D11842">
        <v>1490776</v>
      </c>
      <c r="E11842">
        <v>1522859</v>
      </c>
      <c r="F11842">
        <v>1513829</v>
      </c>
      <c r="G11842">
        <v>1535489</v>
      </c>
    </row>
    <row r="11843" spans="1:7">
      <c r="A11843" t="s">
        <v>1876</v>
      </c>
      <c r="B11843" t="s">
        <v>383</v>
      </c>
      <c r="C11843" t="s">
        <v>318</v>
      </c>
      <c r="D11843">
        <v>455235</v>
      </c>
      <c r="E11843">
        <v>456645</v>
      </c>
      <c r="F11843">
        <v>459690</v>
      </c>
      <c r="G11843">
        <v>462259</v>
      </c>
    </row>
    <row r="11844" spans="1:7">
      <c r="A11844" t="s">
        <v>1876</v>
      </c>
      <c r="B11844" t="s">
        <v>383</v>
      </c>
      <c r="C11844" t="s">
        <v>319</v>
      </c>
      <c r="D11844">
        <v>125571</v>
      </c>
      <c r="E11844">
        <v>137151</v>
      </c>
      <c r="F11844">
        <v>136582</v>
      </c>
      <c r="G11844">
        <v>142300</v>
      </c>
    </row>
    <row r="11845" spans="1:7">
      <c r="A11845" t="s">
        <v>1876</v>
      </c>
      <c r="B11845" t="s">
        <v>383</v>
      </c>
      <c r="C11845" t="s">
        <v>320</v>
      </c>
      <c r="D11845">
        <v>528512</v>
      </c>
      <c r="E11845">
        <v>536767</v>
      </c>
      <c r="F11845">
        <v>541685</v>
      </c>
      <c r="G11845">
        <v>541427</v>
      </c>
    </row>
    <row r="11846" spans="1:7">
      <c r="A11846" t="s">
        <v>1876</v>
      </c>
      <c r="B11846" t="s">
        <v>383</v>
      </c>
      <c r="C11846" t="s">
        <v>321</v>
      </c>
      <c r="D11846">
        <v>160738</v>
      </c>
      <c r="E11846">
        <v>166223</v>
      </c>
      <c r="F11846">
        <v>156284</v>
      </c>
      <c r="G11846">
        <v>150203</v>
      </c>
    </row>
    <row r="11847" spans="1:7">
      <c r="A11847" t="s">
        <v>1876</v>
      </c>
      <c r="B11847" t="s">
        <v>383</v>
      </c>
      <c r="C11847" t="s">
        <v>1954</v>
      </c>
      <c r="D11847">
        <v>1270055</v>
      </c>
      <c r="E11847">
        <v>1296786</v>
      </c>
      <c r="F11847">
        <v>1294241</v>
      </c>
      <c r="G11847">
        <v>1296189</v>
      </c>
    </row>
    <row r="11848" spans="1:7">
      <c r="A11848" t="s">
        <v>1876</v>
      </c>
      <c r="B11848" t="s">
        <v>383</v>
      </c>
      <c r="C11848" t="s">
        <v>323</v>
      </c>
      <c r="D11848">
        <v>3993</v>
      </c>
      <c r="E11848">
        <v>4025</v>
      </c>
      <c r="F11848">
        <v>4063</v>
      </c>
      <c r="G11848">
        <v>4098</v>
      </c>
    </row>
    <row r="11849" spans="1:7">
      <c r="A11849" t="s">
        <v>1876</v>
      </c>
      <c r="B11849" t="s">
        <v>383</v>
      </c>
      <c r="C11849" t="s">
        <v>324</v>
      </c>
      <c r="D11849">
        <v>1434</v>
      </c>
      <c r="E11849">
        <v>0</v>
      </c>
      <c r="F11849">
        <v>0</v>
      </c>
      <c r="G11849">
        <v>0</v>
      </c>
    </row>
    <row r="11850" spans="1:7">
      <c r="A11850" t="s">
        <v>1876</v>
      </c>
      <c r="B11850" t="s">
        <v>383</v>
      </c>
      <c r="C11850" t="s">
        <v>325</v>
      </c>
      <c r="D11850">
        <v>0</v>
      </c>
      <c r="E11850">
        <v>0</v>
      </c>
      <c r="F11850">
        <v>0</v>
      </c>
      <c r="G11850">
        <v>0</v>
      </c>
    </row>
    <row r="11851" spans="1:7">
      <c r="A11851" t="s">
        <v>1876</v>
      </c>
      <c r="B11851" t="s">
        <v>383</v>
      </c>
      <c r="C11851" t="s">
        <v>326</v>
      </c>
      <c r="D11851">
        <v>1117</v>
      </c>
      <c r="E11851">
        <v>1117</v>
      </c>
      <c r="F11851">
        <v>1117</v>
      </c>
      <c r="G11851">
        <v>1117</v>
      </c>
    </row>
    <row r="11852" spans="1:7">
      <c r="A11852" t="s">
        <v>1876</v>
      </c>
      <c r="B11852" t="s">
        <v>383</v>
      </c>
      <c r="C11852" t="s">
        <v>327</v>
      </c>
      <c r="D11852">
        <v>0</v>
      </c>
      <c r="E11852">
        <v>0</v>
      </c>
      <c r="F11852">
        <v>0</v>
      </c>
      <c r="G11852">
        <v>0</v>
      </c>
    </row>
    <row r="11853" spans="1:7">
      <c r="A11853" t="s">
        <v>1876</v>
      </c>
      <c r="B11853" t="s">
        <v>383</v>
      </c>
      <c r="C11853" t="s">
        <v>1723</v>
      </c>
      <c r="D11853">
        <v>58</v>
      </c>
      <c r="E11853">
        <v>58</v>
      </c>
      <c r="F11853">
        <v>58</v>
      </c>
      <c r="G11853">
        <v>58</v>
      </c>
    </row>
    <row r="11854" spans="1:7">
      <c r="A11854" t="s">
        <v>1876</v>
      </c>
      <c r="B11854" t="s">
        <v>383</v>
      </c>
      <c r="C11854" t="s">
        <v>328</v>
      </c>
      <c r="D11854">
        <v>23921</v>
      </c>
      <c r="E11854">
        <v>24431</v>
      </c>
      <c r="F11854">
        <v>22825</v>
      </c>
      <c r="G11854">
        <v>25691</v>
      </c>
    </row>
    <row r="11855" spans="1:7">
      <c r="A11855" t="s">
        <v>1876</v>
      </c>
      <c r="B11855" t="s">
        <v>383</v>
      </c>
      <c r="C11855" t="s">
        <v>329</v>
      </c>
      <c r="D11855">
        <v>5802</v>
      </c>
      <c r="E11855">
        <v>7310</v>
      </c>
      <c r="F11855">
        <v>6214</v>
      </c>
      <c r="G11855">
        <v>5825</v>
      </c>
    </row>
    <row r="11856" spans="1:7">
      <c r="A11856" t="s">
        <v>1876</v>
      </c>
      <c r="B11856" t="s">
        <v>383</v>
      </c>
      <c r="C11856" t="s">
        <v>330</v>
      </c>
      <c r="D11856">
        <v>30840</v>
      </c>
      <c r="E11856">
        <v>32857</v>
      </c>
      <c r="F11856">
        <v>30156</v>
      </c>
      <c r="G11856">
        <v>32634</v>
      </c>
    </row>
    <row r="11857" spans="1:7">
      <c r="A11857" t="s">
        <v>1876</v>
      </c>
      <c r="B11857" t="s">
        <v>383</v>
      </c>
      <c r="C11857" t="s">
        <v>331</v>
      </c>
      <c r="D11857">
        <v>0</v>
      </c>
      <c r="E11857">
        <v>1086</v>
      </c>
      <c r="F11857">
        <v>1069</v>
      </c>
      <c r="G11857">
        <v>1292</v>
      </c>
    </row>
    <row r="11858" spans="1:7">
      <c r="A11858" t="s">
        <v>1876</v>
      </c>
      <c r="B11858" t="s">
        <v>383</v>
      </c>
      <c r="C11858" t="s">
        <v>332</v>
      </c>
      <c r="D11858">
        <v>260</v>
      </c>
      <c r="E11858">
        <v>432</v>
      </c>
      <c r="F11858">
        <v>169</v>
      </c>
      <c r="G11858">
        <v>258</v>
      </c>
    </row>
    <row r="11859" spans="1:7">
      <c r="A11859" t="s">
        <v>1876</v>
      </c>
      <c r="B11859" t="s">
        <v>383</v>
      </c>
      <c r="C11859" t="s">
        <v>1724</v>
      </c>
      <c r="D11859">
        <v>18</v>
      </c>
      <c r="E11859">
        <v>18</v>
      </c>
      <c r="F11859">
        <v>18</v>
      </c>
      <c r="G11859">
        <v>18</v>
      </c>
    </row>
    <row r="11860" spans="1:7">
      <c r="A11860" t="s">
        <v>1876</v>
      </c>
      <c r="B11860" t="s">
        <v>383</v>
      </c>
      <c r="C11860" t="s">
        <v>333</v>
      </c>
      <c r="D11860">
        <v>6318</v>
      </c>
      <c r="E11860">
        <v>4824</v>
      </c>
      <c r="F11860">
        <v>4704</v>
      </c>
      <c r="G11860">
        <v>4867</v>
      </c>
    </row>
    <row r="11861" spans="1:7">
      <c r="A11861" t="s">
        <v>1876</v>
      </c>
      <c r="B11861" t="s">
        <v>383</v>
      </c>
      <c r="C11861" t="s">
        <v>334</v>
      </c>
      <c r="D11861">
        <v>6578</v>
      </c>
      <c r="E11861">
        <v>6342</v>
      </c>
      <c r="F11861">
        <v>5943</v>
      </c>
      <c r="G11861">
        <v>6417</v>
      </c>
    </row>
    <row r="11862" spans="1:7">
      <c r="A11862" t="s">
        <v>1876</v>
      </c>
      <c r="B11862" t="s">
        <v>383</v>
      </c>
      <c r="C11862" t="s">
        <v>335</v>
      </c>
      <c r="D11862">
        <v>1117</v>
      </c>
      <c r="E11862">
        <v>2203</v>
      </c>
      <c r="F11862">
        <v>2186</v>
      </c>
      <c r="G11862">
        <v>2409</v>
      </c>
    </row>
    <row r="11863" spans="1:7">
      <c r="A11863" t="s">
        <v>1876</v>
      </c>
      <c r="B11863" t="s">
        <v>383</v>
      </c>
      <c r="C11863" t="s">
        <v>336</v>
      </c>
      <c r="D11863">
        <v>260</v>
      </c>
      <c r="E11863">
        <v>432</v>
      </c>
      <c r="F11863">
        <v>169</v>
      </c>
      <c r="G11863">
        <v>258</v>
      </c>
    </row>
    <row r="11864" spans="1:7">
      <c r="A11864" t="s">
        <v>1876</v>
      </c>
      <c r="B11864" t="s">
        <v>383</v>
      </c>
      <c r="C11864" t="s">
        <v>337</v>
      </c>
      <c r="D11864">
        <v>30239</v>
      </c>
      <c r="E11864">
        <v>29255</v>
      </c>
      <c r="F11864">
        <v>27529</v>
      </c>
      <c r="G11864">
        <v>30559</v>
      </c>
    </row>
    <row r="11865" spans="1:7">
      <c r="A11865" t="s">
        <v>1876</v>
      </c>
      <c r="B11865" t="s">
        <v>383</v>
      </c>
      <c r="C11865" t="s">
        <v>338</v>
      </c>
      <c r="D11865">
        <v>37418</v>
      </c>
      <c r="E11865">
        <v>39200</v>
      </c>
      <c r="F11865">
        <v>36099</v>
      </c>
      <c r="G11865">
        <v>39051</v>
      </c>
    </row>
    <row r="11866" spans="1:7">
      <c r="A11866" t="s">
        <v>1876</v>
      </c>
      <c r="B11866" t="s">
        <v>383</v>
      </c>
      <c r="C11866" t="s">
        <v>339</v>
      </c>
      <c r="D11866">
        <v>37158</v>
      </c>
      <c r="E11866">
        <v>38768</v>
      </c>
      <c r="F11866">
        <v>35929</v>
      </c>
      <c r="G11866">
        <v>38793</v>
      </c>
    </row>
    <row r="11867" spans="1:7">
      <c r="A11867" t="s">
        <v>1876</v>
      </c>
      <c r="B11867" t="s">
        <v>383</v>
      </c>
      <c r="C11867" t="s">
        <v>340</v>
      </c>
      <c r="D11867">
        <v>69</v>
      </c>
      <c r="E11867">
        <v>94</v>
      </c>
      <c r="F11867">
        <v>65</v>
      </c>
      <c r="G11867">
        <v>80</v>
      </c>
    </row>
    <row r="11868" spans="1:7">
      <c r="A11868" t="s">
        <v>1876</v>
      </c>
      <c r="B11868" t="s">
        <v>383</v>
      </c>
      <c r="C11868" t="s">
        <v>1955</v>
      </c>
      <c r="D11868">
        <v>37.5</v>
      </c>
      <c r="E11868">
        <v>37.700000000000003</v>
      </c>
      <c r="F11868">
        <v>34.5</v>
      </c>
      <c r="G11868">
        <v>34.299999999999997</v>
      </c>
    </row>
    <row r="11869" spans="1:7">
      <c r="A11869" t="s">
        <v>1876</v>
      </c>
      <c r="B11869" t="s">
        <v>383</v>
      </c>
      <c r="C11869" t="s">
        <v>341</v>
      </c>
      <c r="D11869">
        <v>0</v>
      </c>
      <c r="E11869">
        <v>0</v>
      </c>
      <c r="F11869">
        <v>0</v>
      </c>
      <c r="G11869">
        <v>0</v>
      </c>
    </row>
    <row r="11870" spans="1:7">
      <c r="A11870" t="s">
        <v>1876</v>
      </c>
      <c r="B11870" t="s">
        <v>383</v>
      </c>
      <c r="C11870" t="s">
        <v>342</v>
      </c>
      <c r="D11870">
        <v>111028</v>
      </c>
      <c r="E11870">
        <v>128130</v>
      </c>
      <c r="F11870">
        <v>126286</v>
      </c>
      <c r="G11870">
        <v>129542</v>
      </c>
    </row>
    <row r="11871" spans="1:7">
      <c r="A11871" t="s">
        <v>1876</v>
      </c>
      <c r="B11871" t="s">
        <v>383</v>
      </c>
      <c r="C11871" t="s">
        <v>1725</v>
      </c>
      <c r="D11871">
        <v>10412</v>
      </c>
      <c r="E11871">
        <v>11594</v>
      </c>
      <c r="F11871">
        <v>12245</v>
      </c>
      <c r="G11871">
        <v>12748</v>
      </c>
    </row>
    <row r="11872" spans="1:7">
      <c r="A11872" t="s">
        <v>1876</v>
      </c>
      <c r="B11872" t="s">
        <v>383</v>
      </c>
      <c r="C11872" t="s">
        <v>343</v>
      </c>
      <c r="D11872">
        <v>0</v>
      </c>
      <c r="E11872">
        <v>0</v>
      </c>
      <c r="F11872">
        <v>0</v>
      </c>
      <c r="G11872">
        <v>0</v>
      </c>
    </row>
    <row r="11873" spans="1:7">
      <c r="A11873" t="s">
        <v>1876</v>
      </c>
      <c r="B11873" t="s">
        <v>383</v>
      </c>
      <c r="C11873" t="s">
        <v>344</v>
      </c>
      <c r="D11873">
        <v>111028</v>
      </c>
      <c r="E11873">
        <v>128130</v>
      </c>
      <c r="F11873">
        <v>126286</v>
      </c>
      <c r="G11873">
        <v>129542</v>
      </c>
    </row>
    <row r="11874" spans="1:7">
      <c r="A11874" t="s">
        <v>1876</v>
      </c>
      <c r="B11874" t="s">
        <v>383</v>
      </c>
      <c r="C11874" t="s">
        <v>345</v>
      </c>
      <c r="D11874">
        <v>0</v>
      </c>
      <c r="E11874">
        <v>0</v>
      </c>
      <c r="F11874">
        <v>0</v>
      </c>
      <c r="G11874">
        <v>0</v>
      </c>
    </row>
    <row r="11875" spans="1:7">
      <c r="A11875" t="s">
        <v>1876</v>
      </c>
      <c r="B11875" t="s">
        <v>383</v>
      </c>
      <c r="C11875" t="s">
        <v>1956</v>
      </c>
      <c r="D11875">
        <v>260</v>
      </c>
      <c r="E11875">
        <v>432</v>
      </c>
      <c r="F11875">
        <v>169</v>
      </c>
      <c r="G11875">
        <v>258</v>
      </c>
    </row>
    <row r="11876" spans="1:7">
      <c r="A11876" t="s">
        <v>1876</v>
      </c>
      <c r="B11876" t="s">
        <v>383</v>
      </c>
      <c r="C11876" t="s">
        <v>1957</v>
      </c>
      <c r="D11876">
        <v>6578</v>
      </c>
      <c r="E11876">
        <v>6342</v>
      </c>
      <c r="F11876">
        <v>5943</v>
      </c>
      <c r="G11876">
        <v>6417</v>
      </c>
    </row>
    <row r="11877" spans="1:7">
      <c r="A11877" t="s">
        <v>1876</v>
      </c>
      <c r="B11877" t="s">
        <v>383</v>
      </c>
      <c r="C11877" t="s">
        <v>346</v>
      </c>
      <c r="D11877">
        <v>1954</v>
      </c>
      <c r="E11877">
        <v>2284</v>
      </c>
      <c r="F11877">
        <v>2073</v>
      </c>
      <c r="G11877">
        <v>2304</v>
      </c>
    </row>
    <row r="11878" spans="1:7">
      <c r="A11878" t="s">
        <v>1876</v>
      </c>
      <c r="B11878" t="s">
        <v>383</v>
      </c>
      <c r="C11878" t="s">
        <v>347</v>
      </c>
      <c r="D11878">
        <v>3346</v>
      </c>
      <c r="E11878">
        <v>3669</v>
      </c>
      <c r="F11878">
        <v>3150</v>
      </c>
      <c r="G11878">
        <v>2908</v>
      </c>
    </row>
    <row r="11879" spans="1:7">
      <c r="A11879" t="s">
        <v>1876</v>
      </c>
      <c r="B11879" t="s">
        <v>384</v>
      </c>
      <c r="C11879" t="s">
        <v>133</v>
      </c>
      <c r="D11879">
        <v>0</v>
      </c>
      <c r="E11879">
        <v>0</v>
      </c>
      <c r="F11879">
        <v>0</v>
      </c>
      <c r="G11879">
        <v>0</v>
      </c>
    </row>
    <row r="11880" spans="1:7">
      <c r="A11880" t="s">
        <v>1876</v>
      </c>
      <c r="B11880" t="s">
        <v>384</v>
      </c>
      <c r="C11880" t="s">
        <v>134</v>
      </c>
      <c r="D11880">
        <v>10406</v>
      </c>
      <c r="E11880">
        <v>10700</v>
      </c>
      <c r="F11880">
        <v>9630</v>
      </c>
      <c r="G11880">
        <v>10939</v>
      </c>
    </row>
    <row r="11881" spans="1:7">
      <c r="A11881" t="s">
        <v>1876</v>
      </c>
      <c r="B11881" t="s">
        <v>384</v>
      </c>
      <c r="C11881" t="s">
        <v>135</v>
      </c>
      <c r="D11881">
        <v>10406</v>
      </c>
      <c r="E11881">
        <v>10700</v>
      </c>
      <c r="F11881">
        <v>9630</v>
      </c>
      <c r="G11881">
        <v>10939</v>
      </c>
    </row>
    <row r="11882" spans="1:7">
      <c r="A11882" t="s">
        <v>1876</v>
      </c>
      <c r="B11882" t="s">
        <v>384</v>
      </c>
      <c r="C11882" t="s">
        <v>136</v>
      </c>
      <c r="D11882">
        <v>10406</v>
      </c>
      <c r="E11882">
        <v>10700</v>
      </c>
      <c r="F11882">
        <v>9630</v>
      </c>
      <c r="G11882">
        <v>10939</v>
      </c>
    </row>
    <row r="11883" spans="1:7">
      <c r="A11883" t="s">
        <v>1876</v>
      </c>
      <c r="B11883" t="s">
        <v>384</v>
      </c>
      <c r="C11883" t="s">
        <v>137</v>
      </c>
      <c r="D11883">
        <v>374</v>
      </c>
      <c r="E11883">
        <v>387</v>
      </c>
      <c r="F11883">
        <v>368</v>
      </c>
      <c r="G11883">
        <v>395</v>
      </c>
    </row>
    <row r="11884" spans="1:7">
      <c r="A11884" t="s">
        <v>1876</v>
      </c>
      <c r="B11884" t="s">
        <v>384</v>
      </c>
      <c r="C11884" t="s">
        <v>138</v>
      </c>
      <c r="D11884">
        <v>374</v>
      </c>
      <c r="E11884">
        <v>387</v>
      </c>
      <c r="F11884">
        <v>368</v>
      </c>
      <c r="G11884">
        <v>395</v>
      </c>
    </row>
    <row r="11885" spans="1:7">
      <c r="A11885" t="s">
        <v>1876</v>
      </c>
      <c r="B11885" t="s">
        <v>384</v>
      </c>
      <c r="C11885" t="s">
        <v>139</v>
      </c>
      <c r="D11885">
        <v>374</v>
      </c>
      <c r="E11885">
        <v>387</v>
      </c>
      <c r="F11885">
        <v>368</v>
      </c>
      <c r="G11885">
        <v>395</v>
      </c>
    </row>
    <row r="11886" spans="1:7">
      <c r="A11886" t="s">
        <v>1876</v>
      </c>
      <c r="B11886" t="s">
        <v>384</v>
      </c>
      <c r="C11886" t="s">
        <v>1877</v>
      </c>
      <c r="D11886">
        <v>220</v>
      </c>
      <c r="E11886">
        <v>820</v>
      </c>
      <c r="F11886">
        <v>1422</v>
      </c>
      <c r="G11886">
        <v>1382</v>
      </c>
    </row>
    <row r="11887" spans="1:7">
      <c r="A11887" t="s">
        <v>1876</v>
      </c>
      <c r="B11887" t="s">
        <v>384</v>
      </c>
      <c r="C11887" t="s">
        <v>1700</v>
      </c>
      <c r="D11887">
        <v>1643</v>
      </c>
      <c r="E11887">
        <v>7400</v>
      </c>
      <c r="F11887">
        <v>22261</v>
      </c>
      <c r="G11887">
        <v>29928</v>
      </c>
    </row>
    <row r="11888" spans="1:7">
      <c r="A11888" t="s">
        <v>1876</v>
      </c>
      <c r="B11888" t="s">
        <v>384</v>
      </c>
      <c r="C11888" t="s">
        <v>1878</v>
      </c>
      <c r="D11888">
        <v>1423</v>
      </c>
      <c r="E11888">
        <v>6581</v>
      </c>
      <c r="F11888">
        <v>20840</v>
      </c>
      <c r="G11888">
        <v>28545</v>
      </c>
    </row>
    <row r="11889" spans="1:7">
      <c r="A11889" t="s">
        <v>1876</v>
      </c>
      <c r="B11889" t="s">
        <v>384</v>
      </c>
      <c r="C11889" t="s">
        <v>1879</v>
      </c>
      <c r="D11889">
        <v>220</v>
      </c>
      <c r="E11889">
        <v>820</v>
      </c>
      <c r="F11889">
        <v>1422</v>
      </c>
      <c r="G11889">
        <v>1382</v>
      </c>
    </row>
    <row r="11890" spans="1:7">
      <c r="A11890" t="s">
        <v>1876</v>
      </c>
      <c r="B11890" t="s">
        <v>384</v>
      </c>
      <c r="C11890" t="s">
        <v>1701</v>
      </c>
      <c r="D11890">
        <v>1643</v>
      </c>
      <c r="E11890">
        <v>7400</v>
      </c>
      <c r="F11890">
        <v>22261</v>
      </c>
      <c r="G11890">
        <v>29928</v>
      </c>
    </row>
    <row r="11891" spans="1:7">
      <c r="A11891" t="s">
        <v>1876</v>
      </c>
      <c r="B11891" t="s">
        <v>384</v>
      </c>
      <c r="C11891" t="s">
        <v>1880</v>
      </c>
      <c r="D11891">
        <v>4163</v>
      </c>
      <c r="E11891">
        <v>4347</v>
      </c>
      <c r="F11891">
        <v>3766</v>
      </c>
      <c r="G11891">
        <v>3557</v>
      </c>
    </row>
    <row r="11892" spans="1:7">
      <c r="A11892" t="s">
        <v>1876</v>
      </c>
      <c r="B11892" t="s">
        <v>384</v>
      </c>
      <c r="C11892" t="s">
        <v>140</v>
      </c>
      <c r="D11892">
        <v>9782</v>
      </c>
      <c r="E11892">
        <v>10506</v>
      </c>
      <c r="F11892">
        <v>10158</v>
      </c>
      <c r="G11892">
        <v>10140</v>
      </c>
    </row>
    <row r="11893" spans="1:7">
      <c r="A11893" t="s">
        <v>1876</v>
      </c>
      <c r="B11893" t="s">
        <v>384</v>
      </c>
      <c r="C11893" t="s">
        <v>1881</v>
      </c>
      <c r="D11893">
        <v>5619</v>
      </c>
      <c r="E11893">
        <v>6159</v>
      </c>
      <c r="F11893">
        <v>6392</v>
      </c>
      <c r="G11893">
        <v>6583</v>
      </c>
    </row>
    <row r="11894" spans="1:7">
      <c r="A11894" t="s">
        <v>1876</v>
      </c>
      <c r="B11894" t="s">
        <v>384</v>
      </c>
      <c r="C11894" t="s">
        <v>1882</v>
      </c>
      <c r="D11894">
        <v>0</v>
      </c>
      <c r="E11894">
        <v>0</v>
      </c>
      <c r="F11894">
        <v>0</v>
      </c>
      <c r="G11894">
        <v>0</v>
      </c>
    </row>
    <row r="11895" spans="1:7">
      <c r="A11895" t="s">
        <v>1876</v>
      </c>
      <c r="B11895" t="s">
        <v>384</v>
      </c>
      <c r="C11895" t="s">
        <v>1883</v>
      </c>
      <c r="D11895">
        <v>0</v>
      </c>
      <c r="E11895">
        <v>0</v>
      </c>
      <c r="F11895">
        <v>0</v>
      </c>
      <c r="G11895">
        <v>0</v>
      </c>
    </row>
    <row r="11896" spans="1:7">
      <c r="A11896" t="s">
        <v>1876</v>
      </c>
      <c r="B11896" t="s">
        <v>384</v>
      </c>
      <c r="C11896" t="s">
        <v>1884</v>
      </c>
      <c r="D11896">
        <v>0</v>
      </c>
      <c r="E11896">
        <v>0</v>
      </c>
      <c r="F11896">
        <v>0</v>
      </c>
      <c r="G11896">
        <v>0</v>
      </c>
    </row>
    <row r="11897" spans="1:7">
      <c r="A11897" t="s">
        <v>1876</v>
      </c>
      <c r="B11897" t="s">
        <v>384</v>
      </c>
      <c r="C11897" t="s">
        <v>1885</v>
      </c>
      <c r="D11897">
        <v>0</v>
      </c>
      <c r="E11897">
        <v>0</v>
      </c>
      <c r="F11897">
        <v>0</v>
      </c>
      <c r="G11897">
        <v>0</v>
      </c>
    </row>
    <row r="11898" spans="1:7">
      <c r="A11898" t="s">
        <v>1876</v>
      </c>
      <c r="B11898" t="s">
        <v>384</v>
      </c>
      <c r="C11898" t="s">
        <v>1886</v>
      </c>
      <c r="D11898">
        <v>0</v>
      </c>
      <c r="E11898">
        <v>0</v>
      </c>
      <c r="F11898">
        <v>0</v>
      </c>
      <c r="G11898">
        <v>0</v>
      </c>
    </row>
    <row r="11899" spans="1:7">
      <c r="A11899" t="s">
        <v>1876</v>
      </c>
      <c r="B11899" t="s">
        <v>384</v>
      </c>
      <c r="C11899" t="s">
        <v>141</v>
      </c>
      <c r="D11899">
        <v>14</v>
      </c>
      <c r="E11899">
        <v>16</v>
      </c>
      <c r="F11899">
        <v>1</v>
      </c>
      <c r="G11899">
        <v>0</v>
      </c>
    </row>
    <row r="11900" spans="1:7">
      <c r="A11900" t="s">
        <v>1876</v>
      </c>
      <c r="B11900" t="s">
        <v>384</v>
      </c>
      <c r="C11900" t="s">
        <v>1887</v>
      </c>
      <c r="D11900">
        <v>0</v>
      </c>
      <c r="E11900">
        <v>0</v>
      </c>
      <c r="F11900">
        <v>0</v>
      </c>
      <c r="G11900">
        <v>0</v>
      </c>
    </row>
    <row r="11901" spans="1:7">
      <c r="A11901" t="s">
        <v>1876</v>
      </c>
      <c r="B11901" t="s">
        <v>384</v>
      </c>
      <c r="C11901" t="s">
        <v>1888</v>
      </c>
      <c r="D11901">
        <v>0</v>
      </c>
      <c r="E11901">
        <v>0</v>
      </c>
      <c r="F11901">
        <v>0</v>
      </c>
      <c r="G11901">
        <v>0</v>
      </c>
    </row>
    <row r="11902" spans="1:7">
      <c r="A11902" t="s">
        <v>1876</v>
      </c>
      <c r="B11902" t="s">
        <v>384</v>
      </c>
      <c r="C11902" t="s">
        <v>1889</v>
      </c>
      <c r="D11902">
        <v>4163</v>
      </c>
      <c r="E11902">
        <v>4347</v>
      </c>
      <c r="F11902">
        <v>3766</v>
      </c>
      <c r="G11902">
        <v>3557</v>
      </c>
    </row>
    <row r="11903" spans="1:7">
      <c r="A11903" t="s">
        <v>1876</v>
      </c>
      <c r="B11903" t="s">
        <v>384</v>
      </c>
      <c r="C11903" t="s">
        <v>1890</v>
      </c>
      <c r="D11903">
        <v>0</v>
      </c>
      <c r="E11903">
        <v>0</v>
      </c>
      <c r="F11903">
        <v>0</v>
      </c>
      <c r="G11903">
        <v>0</v>
      </c>
    </row>
    <row r="11904" spans="1:7">
      <c r="A11904" t="s">
        <v>1876</v>
      </c>
      <c r="B11904" t="s">
        <v>384</v>
      </c>
      <c r="C11904" t="s">
        <v>1891</v>
      </c>
    </row>
    <row r="11905" spans="1:7">
      <c r="A11905" t="s">
        <v>1876</v>
      </c>
      <c r="B11905" t="s">
        <v>384</v>
      </c>
      <c r="C11905" t="s">
        <v>1892</v>
      </c>
      <c r="D11905">
        <v>5619</v>
      </c>
      <c r="E11905">
        <v>6159</v>
      </c>
      <c r="F11905">
        <v>6392</v>
      </c>
      <c r="G11905">
        <v>6583</v>
      </c>
    </row>
    <row r="11906" spans="1:7">
      <c r="A11906" t="s">
        <v>1876</v>
      </c>
      <c r="B11906" t="s">
        <v>384</v>
      </c>
      <c r="C11906" t="s">
        <v>142</v>
      </c>
      <c r="D11906">
        <v>9782</v>
      </c>
      <c r="E11906">
        <v>10506</v>
      </c>
      <c r="F11906">
        <v>10158</v>
      </c>
      <c r="G11906">
        <v>10140</v>
      </c>
    </row>
    <row r="11907" spans="1:7">
      <c r="A11907" t="s">
        <v>1876</v>
      </c>
      <c r="B11907" t="s">
        <v>384</v>
      </c>
      <c r="C11907" t="s">
        <v>1893</v>
      </c>
      <c r="D11907">
        <v>9782</v>
      </c>
      <c r="E11907">
        <v>10506</v>
      </c>
      <c r="F11907">
        <v>10158</v>
      </c>
      <c r="G11907">
        <v>10140</v>
      </c>
    </row>
    <row r="11908" spans="1:7">
      <c r="A11908" t="s">
        <v>1876</v>
      </c>
      <c r="B11908" t="s">
        <v>384</v>
      </c>
      <c r="C11908" t="s">
        <v>1894</v>
      </c>
      <c r="D11908">
        <v>5619</v>
      </c>
      <c r="E11908">
        <v>6159</v>
      </c>
      <c r="F11908">
        <v>6392</v>
      </c>
      <c r="G11908">
        <v>6583</v>
      </c>
    </row>
    <row r="11909" spans="1:7">
      <c r="A11909" t="s">
        <v>1876</v>
      </c>
      <c r="B11909" t="s">
        <v>384</v>
      </c>
      <c r="C11909" t="s">
        <v>143</v>
      </c>
      <c r="D11909">
        <v>1591</v>
      </c>
      <c r="E11909">
        <v>1365</v>
      </c>
      <c r="F11909">
        <v>1342</v>
      </c>
      <c r="G11909">
        <v>1622</v>
      </c>
    </row>
    <row r="11910" spans="1:7">
      <c r="A11910" t="s">
        <v>1876</v>
      </c>
      <c r="B11910" t="s">
        <v>384</v>
      </c>
      <c r="C11910" t="s">
        <v>144</v>
      </c>
      <c r="D11910">
        <v>26231</v>
      </c>
      <c r="E11910">
        <v>32228</v>
      </c>
      <c r="F11910">
        <v>46801</v>
      </c>
      <c r="G11910">
        <v>54496</v>
      </c>
    </row>
    <row r="11911" spans="1:7">
      <c r="A11911" t="s">
        <v>1876</v>
      </c>
      <c r="B11911" t="s">
        <v>384</v>
      </c>
      <c r="C11911" t="s">
        <v>1895</v>
      </c>
      <c r="D11911">
        <v>40.700000000000003</v>
      </c>
      <c r="E11911">
        <v>42.4</v>
      </c>
      <c r="F11911">
        <v>41.1</v>
      </c>
      <c r="G11911">
        <v>48.2</v>
      </c>
    </row>
    <row r="11912" spans="1:7">
      <c r="A11912" t="s">
        <v>1876</v>
      </c>
      <c r="B11912" t="s">
        <v>384</v>
      </c>
      <c r="C11912" t="s">
        <v>145</v>
      </c>
      <c r="D11912">
        <v>89886</v>
      </c>
      <c r="E11912">
        <v>97973</v>
      </c>
      <c r="F11912">
        <v>109127</v>
      </c>
      <c r="G11912">
        <v>118218</v>
      </c>
    </row>
    <row r="11913" spans="1:7">
      <c r="A11913" t="s">
        <v>1876</v>
      </c>
      <c r="B11913" t="s">
        <v>384</v>
      </c>
      <c r="C11913" t="s">
        <v>146</v>
      </c>
      <c r="D11913">
        <v>0</v>
      </c>
      <c r="E11913">
        <v>0</v>
      </c>
      <c r="F11913">
        <v>0</v>
      </c>
      <c r="G11913">
        <v>0</v>
      </c>
    </row>
    <row r="11914" spans="1:7">
      <c r="A11914" t="s">
        <v>1876</v>
      </c>
      <c r="B11914" t="s">
        <v>384</v>
      </c>
      <c r="C11914" t="s">
        <v>147</v>
      </c>
      <c r="D11914">
        <v>0</v>
      </c>
      <c r="E11914">
        <v>0</v>
      </c>
      <c r="F11914">
        <v>0</v>
      </c>
      <c r="G11914">
        <v>0</v>
      </c>
    </row>
    <row r="11915" spans="1:7">
      <c r="A11915" t="s">
        <v>1876</v>
      </c>
      <c r="B11915" t="s">
        <v>384</v>
      </c>
      <c r="C11915" t="s">
        <v>1896</v>
      </c>
      <c r="D11915">
        <v>0.1</v>
      </c>
      <c r="E11915">
        <v>7.1</v>
      </c>
      <c r="F11915">
        <v>7.8</v>
      </c>
      <c r="G11915">
        <v>9.9</v>
      </c>
    </row>
    <row r="11916" spans="1:7">
      <c r="A11916" t="s">
        <v>1876</v>
      </c>
      <c r="B11916" t="s">
        <v>384</v>
      </c>
      <c r="C11916" t="s">
        <v>1702</v>
      </c>
      <c r="D11916">
        <v>5</v>
      </c>
      <c r="E11916">
        <v>35</v>
      </c>
      <c r="F11916">
        <v>35</v>
      </c>
      <c r="G11916">
        <v>322</v>
      </c>
    </row>
    <row r="11917" spans="1:7">
      <c r="A11917" t="s">
        <v>1876</v>
      </c>
      <c r="B11917" t="s">
        <v>384</v>
      </c>
      <c r="C11917" t="s">
        <v>1897</v>
      </c>
      <c r="D11917">
        <v>29.3</v>
      </c>
      <c r="E11917">
        <v>39.4</v>
      </c>
      <c r="F11917">
        <v>61.6</v>
      </c>
      <c r="G11917">
        <v>75.7</v>
      </c>
    </row>
    <row r="11918" spans="1:7">
      <c r="A11918" t="s">
        <v>1876</v>
      </c>
      <c r="B11918" t="s">
        <v>384</v>
      </c>
      <c r="C11918" t="s">
        <v>1898</v>
      </c>
      <c r="D11918">
        <v>50</v>
      </c>
      <c r="E11918">
        <v>73</v>
      </c>
      <c r="F11918">
        <v>200</v>
      </c>
      <c r="G11918">
        <v>267</v>
      </c>
    </row>
    <row r="11919" spans="1:7">
      <c r="A11919" t="s">
        <v>1876</v>
      </c>
      <c r="B11919" t="s">
        <v>384</v>
      </c>
      <c r="C11919" t="s">
        <v>1899</v>
      </c>
      <c r="D11919">
        <v>7042</v>
      </c>
      <c r="E11919">
        <v>12740</v>
      </c>
      <c r="F11919">
        <v>27231</v>
      </c>
      <c r="G11919">
        <v>35128</v>
      </c>
    </row>
    <row r="11920" spans="1:7">
      <c r="A11920" t="s">
        <v>1876</v>
      </c>
      <c r="B11920" t="s">
        <v>384</v>
      </c>
      <c r="C11920" t="s">
        <v>148</v>
      </c>
      <c r="D11920">
        <v>0</v>
      </c>
      <c r="E11920">
        <v>0</v>
      </c>
      <c r="F11920">
        <v>0</v>
      </c>
      <c r="G11920">
        <v>0</v>
      </c>
    </row>
    <row r="11921" spans="1:7">
      <c r="A11921" t="s">
        <v>1876</v>
      </c>
      <c r="B11921" t="s">
        <v>384</v>
      </c>
      <c r="C11921" t="s">
        <v>149</v>
      </c>
      <c r="D11921">
        <v>0</v>
      </c>
      <c r="E11921">
        <v>0</v>
      </c>
      <c r="F11921">
        <v>0</v>
      </c>
      <c r="G11921">
        <v>0</v>
      </c>
    </row>
    <row r="11922" spans="1:7">
      <c r="A11922" t="s">
        <v>1876</v>
      </c>
      <c r="B11922" t="s">
        <v>384</v>
      </c>
      <c r="C11922" t="s">
        <v>150</v>
      </c>
      <c r="D11922">
        <v>0</v>
      </c>
      <c r="E11922">
        <v>0</v>
      </c>
      <c r="F11922">
        <v>0</v>
      </c>
      <c r="G11922">
        <v>0</v>
      </c>
    </row>
    <row r="11923" spans="1:7">
      <c r="A11923" t="s">
        <v>1876</v>
      </c>
      <c r="B11923" t="s">
        <v>384</v>
      </c>
      <c r="C11923" t="s">
        <v>1900</v>
      </c>
      <c r="D11923">
        <v>0</v>
      </c>
      <c r="E11923">
        <v>0</v>
      </c>
      <c r="F11923">
        <v>0</v>
      </c>
      <c r="G11923">
        <v>0</v>
      </c>
    </row>
    <row r="11924" spans="1:7">
      <c r="A11924" t="s">
        <v>1876</v>
      </c>
      <c r="B11924" t="s">
        <v>384</v>
      </c>
      <c r="C11924" t="s">
        <v>151</v>
      </c>
      <c r="D11924">
        <v>0</v>
      </c>
      <c r="E11924">
        <v>0</v>
      </c>
      <c r="F11924">
        <v>0</v>
      </c>
      <c r="G11924">
        <v>0</v>
      </c>
    </row>
    <row r="11925" spans="1:7">
      <c r="A11925" t="s">
        <v>1876</v>
      </c>
      <c r="B11925" t="s">
        <v>384</v>
      </c>
      <c r="C11925" t="s">
        <v>152</v>
      </c>
      <c r="D11925">
        <v>0</v>
      </c>
      <c r="E11925">
        <v>0</v>
      </c>
      <c r="F11925">
        <v>0</v>
      </c>
      <c r="G11925">
        <v>0</v>
      </c>
    </row>
    <row r="11926" spans="1:7">
      <c r="A11926" t="s">
        <v>1876</v>
      </c>
      <c r="B11926" t="s">
        <v>384</v>
      </c>
      <c r="C11926" t="s">
        <v>1703</v>
      </c>
      <c r="D11926">
        <v>0</v>
      </c>
      <c r="E11926">
        <v>0</v>
      </c>
      <c r="F11926">
        <v>0</v>
      </c>
      <c r="G11926">
        <v>0</v>
      </c>
    </row>
    <row r="11927" spans="1:7">
      <c r="A11927" t="s">
        <v>1876</v>
      </c>
      <c r="B11927" t="s">
        <v>384</v>
      </c>
      <c r="C11927" t="s">
        <v>153</v>
      </c>
      <c r="D11927">
        <v>1303</v>
      </c>
      <c r="E11927">
        <v>1066</v>
      </c>
      <c r="F11927">
        <v>652</v>
      </c>
      <c r="G11927">
        <v>108</v>
      </c>
    </row>
    <row r="11928" spans="1:7">
      <c r="A11928" t="s">
        <v>1876</v>
      </c>
      <c r="B11928" t="s">
        <v>384</v>
      </c>
      <c r="C11928" t="s">
        <v>154</v>
      </c>
      <c r="D11928">
        <v>0</v>
      </c>
      <c r="E11928">
        <v>0</v>
      </c>
      <c r="F11928">
        <v>0</v>
      </c>
      <c r="G11928">
        <v>0</v>
      </c>
    </row>
    <row r="11929" spans="1:7">
      <c r="A11929" t="s">
        <v>1876</v>
      </c>
      <c r="B11929" t="s">
        <v>384</v>
      </c>
      <c r="C11929" t="s">
        <v>155</v>
      </c>
      <c r="D11929">
        <v>1303</v>
      </c>
      <c r="E11929">
        <v>1066</v>
      </c>
      <c r="F11929">
        <v>652</v>
      </c>
      <c r="G11929">
        <v>108</v>
      </c>
    </row>
    <row r="11930" spans="1:7">
      <c r="A11930" t="s">
        <v>1876</v>
      </c>
      <c r="B11930" t="s">
        <v>384</v>
      </c>
      <c r="C11930" t="s">
        <v>156</v>
      </c>
      <c r="D11930">
        <v>0</v>
      </c>
      <c r="E11930">
        <v>0</v>
      </c>
      <c r="F11930">
        <v>0</v>
      </c>
      <c r="G11930">
        <v>0</v>
      </c>
    </row>
    <row r="11931" spans="1:7">
      <c r="A11931" t="s">
        <v>1876</v>
      </c>
      <c r="B11931" t="s">
        <v>384</v>
      </c>
      <c r="C11931" t="s">
        <v>157</v>
      </c>
      <c r="D11931">
        <v>1303</v>
      </c>
      <c r="E11931">
        <v>1066</v>
      </c>
      <c r="F11931">
        <v>652</v>
      </c>
      <c r="G11931">
        <v>108</v>
      </c>
    </row>
    <row r="11932" spans="1:7">
      <c r="A11932" t="s">
        <v>1876</v>
      </c>
      <c r="B11932" t="s">
        <v>384</v>
      </c>
      <c r="C11932" t="s">
        <v>158</v>
      </c>
      <c r="D11932">
        <v>1303</v>
      </c>
      <c r="E11932">
        <v>1066</v>
      </c>
      <c r="F11932">
        <v>652</v>
      </c>
      <c r="G11932">
        <v>108</v>
      </c>
    </row>
    <row r="11933" spans="1:7">
      <c r="A11933" t="s">
        <v>1876</v>
      </c>
      <c r="B11933" t="s">
        <v>384</v>
      </c>
      <c r="C11933" t="s">
        <v>159</v>
      </c>
      <c r="D11933">
        <v>0</v>
      </c>
      <c r="E11933">
        <v>0</v>
      </c>
      <c r="F11933">
        <v>0</v>
      </c>
      <c r="G11933">
        <v>0</v>
      </c>
    </row>
    <row r="11934" spans="1:7">
      <c r="A11934" t="s">
        <v>1876</v>
      </c>
      <c r="B11934" t="s">
        <v>384</v>
      </c>
      <c r="C11934" t="s">
        <v>1901</v>
      </c>
      <c r="D11934">
        <v>68.3</v>
      </c>
      <c r="E11934">
        <v>61.3</v>
      </c>
      <c r="F11934">
        <v>73.2</v>
      </c>
      <c r="G11934">
        <v>78.400000000000006</v>
      </c>
    </row>
    <row r="11935" spans="1:7">
      <c r="A11935" t="s">
        <v>1876</v>
      </c>
      <c r="B11935" t="s">
        <v>384</v>
      </c>
      <c r="C11935" t="s">
        <v>1902</v>
      </c>
      <c r="D11935">
        <v>93630</v>
      </c>
      <c r="E11935">
        <v>98195</v>
      </c>
      <c r="F11935">
        <v>110824</v>
      </c>
      <c r="G11935">
        <v>114325</v>
      </c>
    </row>
    <row r="11936" spans="1:7">
      <c r="A11936" t="s">
        <v>1876</v>
      </c>
      <c r="B11936" t="s">
        <v>384</v>
      </c>
      <c r="C11936" t="s">
        <v>1903</v>
      </c>
      <c r="D11936">
        <v>2457</v>
      </c>
      <c r="E11936">
        <v>2422</v>
      </c>
      <c r="F11936">
        <v>2577</v>
      </c>
      <c r="G11936">
        <v>2458</v>
      </c>
    </row>
    <row r="11937" spans="1:7">
      <c r="A11937" t="s">
        <v>1876</v>
      </c>
      <c r="B11937" t="s">
        <v>384</v>
      </c>
      <c r="C11937" t="s">
        <v>1904</v>
      </c>
      <c r="D11937">
        <v>1</v>
      </c>
      <c r="E11937">
        <v>15</v>
      </c>
      <c r="F11937">
        <v>0</v>
      </c>
      <c r="G11937">
        <v>136</v>
      </c>
    </row>
    <row r="11938" spans="1:7">
      <c r="A11938" t="s">
        <v>1876</v>
      </c>
      <c r="B11938" t="s">
        <v>384</v>
      </c>
      <c r="C11938" t="s">
        <v>1905</v>
      </c>
      <c r="D11938">
        <v>14112</v>
      </c>
      <c r="E11938">
        <v>14266</v>
      </c>
      <c r="F11938">
        <v>13924</v>
      </c>
      <c r="G11938">
        <v>13512</v>
      </c>
    </row>
    <row r="11939" spans="1:7">
      <c r="A11939" t="s">
        <v>1876</v>
      </c>
      <c r="B11939" t="s">
        <v>384</v>
      </c>
      <c r="C11939" t="s">
        <v>1906</v>
      </c>
      <c r="D11939">
        <v>1863</v>
      </c>
      <c r="E11939">
        <v>1861</v>
      </c>
      <c r="F11939">
        <v>1979</v>
      </c>
      <c r="G11939">
        <v>1846</v>
      </c>
    </row>
    <row r="11940" spans="1:7">
      <c r="A11940" t="s">
        <v>1876</v>
      </c>
      <c r="B11940" t="s">
        <v>384</v>
      </c>
      <c r="C11940" t="s">
        <v>1907</v>
      </c>
      <c r="D11940">
        <v>112063</v>
      </c>
      <c r="E11940">
        <v>116759</v>
      </c>
      <c r="F11940">
        <v>129303</v>
      </c>
      <c r="G11940">
        <v>132276</v>
      </c>
    </row>
    <row r="11941" spans="1:7">
      <c r="A11941" t="s">
        <v>1876</v>
      </c>
      <c r="B11941" t="s">
        <v>384</v>
      </c>
      <c r="C11941" t="s">
        <v>160</v>
      </c>
      <c r="D11941">
        <v>86587</v>
      </c>
      <c r="E11941">
        <v>85455</v>
      </c>
      <c r="F11941">
        <v>83593</v>
      </c>
      <c r="G11941">
        <v>79197</v>
      </c>
    </row>
    <row r="11942" spans="1:7">
      <c r="A11942" t="s">
        <v>1876</v>
      </c>
      <c r="B11942" t="s">
        <v>384</v>
      </c>
      <c r="C11942" t="s">
        <v>161</v>
      </c>
      <c r="D11942">
        <v>2457</v>
      </c>
      <c r="E11942">
        <v>2422</v>
      </c>
      <c r="F11942">
        <v>2577</v>
      </c>
      <c r="G11942">
        <v>2458</v>
      </c>
    </row>
    <row r="11943" spans="1:7">
      <c r="A11943" t="s">
        <v>1876</v>
      </c>
      <c r="B11943" t="s">
        <v>384</v>
      </c>
      <c r="C11943" t="s">
        <v>162</v>
      </c>
      <c r="D11943">
        <v>1</v>
      </c>
      <c r="E11943">
        <v>15</v>
      </c>
      <c r="F11943">
        <v>0</v>
      </c>
      <c r="G11943">
        <v>136</v>
      </c>
    </row>
    <row r="11944" spans="1:7">
      <c r="A11944" t="s">
        <v>1876</v>
      </c>
      <c r="B11944" t="s">
        <v>384</v>
      </c>
      <c r="C11944" t="s">
        <v>163</v>
      </c>
      <c r="D11944">
        <v>14112</v>
      </c>
      <c r="E11944">
        <v>14266</v>
      </c>
      <c r="F11944">
        <v>13924</v>
      </c>
      <c r="G11944">
        <v>13512</v>
      </c>
    </row>
    <row r="11945" spans="1:7">
      <c r="A11945" t="s">
        <v>1876</v>
      </c>
      <c r="B11945" t="s">
        <v>384</v>
      </c>
      <c r="C11945" t="s">
        <v>164</v>
      </c>
      <c r="D11945">
        <v>1863</v>
      </c>
      <c r="E11945">
        <v>1861</v>
      </c>
      <c r="F11945">
        <v>1979</v>
      </c>
      <c r="G11945">
        <v>1846</v>
      </c>
    </row>
    <row r="11946" spans="1:7">
      <c r="A11946" t="s">
        <v>1876</v>
      </c>
      <c r="B11946" t="s">
        <v>384</v>
      </c>
      <c r="C11946" t="s">
        <v>165</v>
      </c>
      <c r="D11946">
        <v>105021</v>
      </c>
      <c r="E11946">
        <v>104019</v>
      </c>
      <c r="F11946">
        <v>102072</v>
      </c>
      <c r="G11946">
        <v>97148</v>
      </c>
    </row>
    <row r="11947" spans="1:7">
      <c r="A11947" t="s">
        <v>1876</v>
      </c>
      <c r="B11947" t="s">
        <v>384</v>
      </c>
      <c r="C11947" t="s">
        <v>166</v>
      </c>
      <c r="D11947">
        <v>105020</v>
      </c>
      <c r="E11947">
        <v>104004</v>
      </c>
      <c r="F11947">
        <v>102072</v>
      </c>
      <c r="G11947">
        <v>97012</v>
      </c>
    </row>
    <row r="11948" spans="1:7">
      <c r="A11948" t="s">
        <v>1876</v>
      </c>
      <c r="B11948" t="s">
        <v>384</v>
      </c>
      <c r="C11948" t="s">
        <v>167</v>
      </c>
      <c r="D11948">
        <v>1</v>
      </c>
      <c r="E11948">
        <v>15</v>
      </c>
      <c r="F11948">
        <v>0</v>
      </c>
      <c r="G11948">
        <v>136</v>
      </c>
    </row>
    <row r="11949" spans="1:7">
      <c r="A11949" t="s">
        <v>1876</v>
      </c>
      <c r="B11949" t="s">
        <v>384</v>
      </c>
      <c r="C11949" t="s">
        <v>1908</v>
      </c>
      <c r="D11949">
        <v>82204</v>
      </c>
      <c r="E11949">
        <v>80288</v>
      </c>
      <c r="F11949">
        <v>78404</v>
      </c>
      <c r="G11949">
        <v>74257</v>
      </c>
    </row>
    <row r="11950" spans="1:7">
      <c r="A11950" t="s">
        <v>1876</v>
      </c>
      <c r="B11950" t="s">
        <v>384</v>
      </c>
      <c r="C11950" t="s">
        <v>1909</v>
      </c>
      <c r="D11950">
        <v>2457</v>
      </c>
      <c r="E11950">
        <v>2422</v>
      </c>
      <c r="F11950">
        <v>2577</v>
      </c>
      <c r="G11950">
        <v>2458</v>
      </c>
    </row>
    <row r="11951" spans="1:7">
      <c r="A11951" t="s">
        <v>1876</v>
      </c>
      <c r="B11951" t="s">
        <v>384</v>
      </c>
      <c r="C11951" t="s">
        <v>1910</v>
      </c>
      <c r="D11951">
        <v>1</v>
      </c>
      <c r="E11951">
        <v>15</v>
      </c>
      <c r="F11951">
        <v>0</v>
      </c>
      <c r="G11951">
        <v>136</v>
      </c>
    </row>
    <row r="11952" spans="1:7">
      <c r="A11952" t="s">
        <v>1876</v>
      </c>
      <c r="B11952" t="s">
        <v>384</v>
      </c>
      <c r="C11952" t="s">
        <v>1911</v>
      </c>
      <c r="D11952">
        <v>14112</v>
      </c>
      <c r="E11952">
        <v>14266</v>
      </c>
      <c r="F11952">
        <v>13924</v>
      </c>
      <c r="G11952">
        <v>13512</v>
      </c>
    </row>
    <row r="11953" spans="1:7">
      <c r="A11953" t="s">
        <v>1876</v>
      </c>
      <c r="B11953" t="s">
        <v>384</v>
      </c>
      <c r="C11953" t="s">
        <v>1912</v>
      </c>
      <c r="D11953">
        <v>1863</v>
      </c>
      <c r="E11953">
        <v>1861</v>
      </c>
      <c r="F11953">
        <v>1979</v>
      </c>
      <c r="G11953">
        <v>1846</v>
      </c>
    </row>
    <row r="11954" spans="1:7">
      <c r="A11954" t="s">
        <v>1876</v>
      </c>
      <c r="B11954" t="s">
        <v>384</v>
      </c>
      <c r="C11954" t="s">
        <v>168</v>
      </c>
      <c r="D11954">
        <v>100638</v>
      </c>
      <c r="E11954">
        <v>98852</v>
      </c>
      <c r="F11954">
        <v>96883</v>
      </c>
      <c r="G11954">
        <v>92209</v>
      </c>
    </row>
    <row r="11955" spans="1:7">
      <c r="A11955" t="s">
        <v>1876</v>
      </c>
      <c r="B11955" t="s">
        <v>384</v>
      </c>
      <c r="C11955" t="s">
        <v>169</v>
      </c>
      <c r="D11955">
        <v>0</v>
      </c>
      <c r="E11955">
        <v>0</v>
      </c>
      <c r="F11955">
        <v>0</v>
      </c>
      <c r="G11955">
        <v>0</v>
      </c>
    </row>
    <row r="11956" spans="1:7">
      <c r="A11956" t="s">
        <v>1876</v>
      </c>
      <c r="B11956" t="s">
        <v>384</v>
      </c>
      <c r="C11956" t="s">
        <v>1704</v>
      </c>
      <c r="D11956">
        <v>16917</v>
      </c>
      <c r="E11956">
        <v>17243</v>
      </c>
      <c r="F11956">
        <v>17469</v>
      </c>
      <c r="G11956">
        <v>17692</v>
      </c>
    </row>
    <row r="11957" spans="1:7">
      <c r="A11957" t="s">
        <v>1876</v>
      </c>
      <c r="B11957" t="s">
        <v>384</v>
      </c>
      <c r="C11957" t="s">
        <v>170</v>
      </c>
      <c r="D11957">
        <v>0</v>
      </c>
      <c r="E11957">
        <v>0</v>
      </c>
      <c r="F11957">
        <v>0</v>
      </c>
      <c r="G11957">
        <v>0</v>
      </c>
    </row>
    <row r="11958" spans="1:7">
      <c r="A11958" t="s">
        <v>1876</v>
      </c>
      <c r="B11958" t="s">
        <v>384</v>
      </c>
      <c r="C11958" t="s">
        <v>171</v>
      </c>
      <c r="D11958">
        <v>-17960</v>
      </c>
      <c r="E11958">
        <v>-8059</v>
      </c>
      <c r="F11958">
        <v>-1870</v>
      </c>
      <c r="G11958">
        <v>-6163</v>
      </c>
    </row>
    <row r="11959" spans="1:7">
      <c r="A11959" t="s">
        <v>1876</v>
      </c>
      <c r="B11959" t="s">
        <v>384</v>
      </c>
      <c r="C11959" t="s">
        <v>172</v>
      </c>
      <c r="D11959">
        <v>0</v>
      </c>
      <c r="E11959">
        <v>0</v>
      </c>
      <c r="F11959">
        <v>0</v>
      </c>
      <c r="G11959">
        <v>0</v>
      </c>
    </row>
    <row r="11960" spans="1:7">
      <c r="A11960" t="s">
        <v>1876</v>
      </c>
      <c r="B11960" t="s">
        <v>384</v>
      </c>
      <c r="C11960" t="s">
        <v>1913</v>
      </c>
      <c r="D11960">
        <v>45.7</v>
      </c>
      <c r="E11960">
        <v>60.2</v>
      </c>
      <c r="F11960">
        <v>87</v>
      </c>
      <c r="G11960">
        <v>107.7</v>
      </c>
    </row>
    <row r="11961" spans="1:7">
      <c r="A11961" t="s">
        <v>1876</v>
      </c>
      <c r="B11961" t="s">
        <v>384</v>
      </c>
      <c r="C11961" t="s">
        <v>1914</v>
      </c>
      <c r="D11961">
        <v>1.3</v>
      </c>
      <c r="E11961">
        <v>1.7</v>
      </c>
      <c r="F11961">
        <v>2.5</v>
      </c>
      <c r="G11961">
        <v>3</v>
      </c>
    </row>
    <row r="11962" spans="1:7">
      <c r="A11962" t="s">
        <v>1876</v>
      </c>
      <c r="B11962" t="s">
        <v>384</v>
      </c>
      <c r="C11962" t="s">
        <v>173</v>
      </c>
      <c r="D11962">
        <v>12613</v>
      </c>
      <c r="E11962">
        <v>12334</v>
      </c>
      <c r="F11962">
        <v>12412</v>
      </c>
      <c r="G11962">
        <v>12028</v>
      </c>
    </row>
    <row r="11963" spans="1:7">
      <c r="A11963" t="s">
        <v>1876</v>
      </c>
      <c r="B11963" t="s">
        <v>384</v>
      </c>
      <c r="C11963" t="s">
        <v>174</v>
      </c>
      <c r="D11963">
        <v>362</v>
      </c>
      <c r="E11963">
        <v>370</v>
      </c>
      <c r="F11963">
        <v>370</v>
      </c>
      <c r="G11963">
        <v>359</v>
      </c>
    </row>
    <row r="11964" spans="1:7">
      <c r="A11964" t="s">
        <v>1876</v>
      </c>
      <c r="B11964" t="s">
        <v>384</v>
      </c>
      <c r="C11964" t="s">
        <v>175</v>
      </c>
      <c r="D11964">
        <v>239</v>
      </c>
      <c r="E11964">
        <v>253</v>
      </c>
      <c r="F11964">
        <v>257</v>
      </c>
      <c r="G11964">
        <v>420</v>
      </c>
    </row>
    <row r="11965" spans="1:7">
      <c r="A11965" t="s">
        <v>1876</v>
      </c>
      <c r="B11965" t="s">
        <v>384</v>
      </c>
      <c r="C11965" t="s">
        <v>176</v>
      </c>
      <c r="D11965">
        <v>1577</v>
      </c>
      <c r="E11965">
        <v>1349</v>
      </c>
      <c r="F11965">
        <v>1341</v>
      </c>
      <c r="G11965">
        <v>1622</v>
      </c>
    </row>
    <row r="11966" spans="1:7">
      <c r="A11966" t="s">
        <v>1876</v>
      </c>
      <c r="B11966" t="s">
        <v>384</v>
      </c>
      <c r="C11966" t="s">
        <v>177</v>
      </c>
      <c r="D11966">
        <v>13214</v>
      </c>
      <c r="E11966">
        <v>12957</v>
      </c>
      <c r="F11966">
        <v>13039</v>
      </c>
      <c r="G11966">
        <v>12807</v>
      </c>
    </row>
    <row r="11967" spans="1:7">
      <c r="A11967" t="s">
        <v>1876</v>
      </c>
      <c r="B11967" t="s">
        <v>384</v>
      </c>
      <c r="C11967" t="s">
        <v>178</v>
      </c>
      <c r="D11967">
        <v>0</v>
      </c>
      <c r="E11967">
        <v>0</v>
      </c>
      <c r="F11967">
        <v>0</v>
      </c>
      <c r="G11967">
        <v>0</v>
      </c>
    </row>
    <row r="11968" spans="1:7">
      <c r="A11968" t="s">
        <v>1876</v>
      </c>
      <c r="B11968" t="s">
        <v>384</v>
      </c>
      <c r="C11968" t="s">
        <v>179</v>
      </c>
      <c r="D11968">
        <v>0</v>
      </c>
      <c r="E11968">
        <v>0</v>
      </c>
      <c r="F11968">
        <v>0</v>
      </c>
      <c r="G11968">
        <v>0</v>
      </c>
    </row>
    <row r="11969" spans="1:7">
      <c r="A11969" t="s">
        <v>1876</v>
      </c>
      <c r="B11969" t="s">
        <v>384</v>
      </c>
      <c r="C11969" t="s">
        <v>180</v>
      </c>
      <c r="D11969">
        <v>77</v>
      </c>
      <c r="E11969">
        <v>77</v>
      </c>
      <c r="F11969">
        <v>77</v>
      </c>
      <c r="G11969">
        <v>76</v>
      </c>
    </row>
    <row r="11970" spans="1:7">
      <c r="A11970" t="s">
        <v>1876</v>
      </c>
      <c r="B11970" t="s">
        <v>384</v>
      </c>
      <c r="C11970" t="s">
        <v>181</v>
      </c>
      <c r="D11970">
        <v>56328</v>
      </c>
      <c r="E11970">
        <v>56825</v>
      </c>
      <c r="F11970">
        <v>78763</v>
      </c>
      <c r="G11970">
        <v>84148</v>
      </c>
    </row>
    <row r="11971" spans="1:7">
      <c r="A11971" t="s">
        <v>1876</v>
      </c>
      <c r="B11971" t="s">
        <v>384</v>
      </c>
      <c r="C11971" t="s">
        <v>182</v>
      </c>
      <c r="D11971">
        <v>59091</v>
      </c>
      <c r="E11971">
        <v>64568</v>
      </c>
      <c r="F11971">
        <v>49248</v>
      </c>
      <c r="G11971">
        <v>51959</v>
      </c>
    </row>
    <row r="11972" spans="1:7">
      <c r="A11972" t="s">
        <v>1876</v>
      </c>
      <c r="B11972" t="s">
        <v>384</v>
      </c>
      <c r="C11972" t="s">
        <v>183</v>
      </c>
      <c r="D11972">
        <v>69214</v>
      </c>
      <c r="E11972">
        <v>70717</v>
      </c>
      <c r="F11972">
        <v>69757</v>
      </c>
      <c r="G11972">
        <v>67448</v>
      </c>
    </row>
    <row r="11973" spans="1:7">
      <c r="A11973" t="s">
        <v>1876</v>
      </c>
      <c r="B11973" t="s">
        <v>384</v>
      </c>
      <c r="C11973" t="s">
        <v>184</v>
      </c>
      <c r="D11973">
        <v>184709</v>
      </c>
      <c r="E11973">
        <v>192187</v>
      </c>
      <c r="F11973">
        <v>197845</v>
      </c>
      <c r="G11973">
        <v>203631</v>
      </c>
    </row>
    <row r="11974" spans="1:7">
      <c r="A11974" t="s">
        <v>1876</v>
      </c>
      <c r="B11974" t="s">
        <v>384</v>
      </c>
      <c r="C11974" t="s">
        <v>185</v>
      </c>
      <c r="D11974">
        <v>184709</v>
      </c>
      <c r="E11974">
        <v>192187</v>
      </c>
      <c r="F11974">
        <v>197845</v>
      </c>
      <c r="G11974">
        <v>203631</v>
      </c>
    </row>
    <row r="11975" spans="1:7">
      <c r="A11975" t="s">
        <v>1876</v>
      </c>
      <c r="B11975" t="s">
        <v>384</v>
      </c>
      <c r="C11975" t="s">
        <v>1915</v>
      </c>
      <c r="D11975">
        <v>76</v>
      </c>
      <c r="E11975">
        <v>111</v>
      </c>
      <c r="F11975">
        <v>265</v>
      </c>
      <c r="G11975">
        <v>344</v>
      </c>
    </row>
    <row r="11976" spans="1:7">
      <c r="A11976" t="s">
        <v>1876</v>
      </c>
      <c r="B11976" t="s">
        <v>384</v>
      </c>
      <c r="C11976" t="s">
        <v>1916</v>
      </c>
      <c r="D11976">
        <v>0</v>
      </c>
      <c r="E11976">
        <v>0</v>
      </c>
      <c r="F11976">
        <v>0</v>
      </c>
      <c r="G11976">
        <v>0</v>
      </c>
    </row>
    <row r="11977" spans="1:7">
      <c r="A11977" t="s">
        <v>1876</v>
      </c>
      <c r="B11977" t="s">
        <v>384</v>
      </c>
      <c r="C11977" t="s">
        <v>1917</v>
      </c>
      <c r="D11977">
        <v>91</v>
      </c>
      <c r="E11977">
        <v>78</v>
      </c>
      <c r="F11977">
        <v>75</v>
      </c>
      <c r="G11977">
        <v>74</v>
      </c>
    </row>
    <row r="11978" spans="1:7">
      <c r="A11978" t="s">
        <v>1876</v>
      </c>
      <c r="B11978" t="s">
        <v>384</v>
      </c>
      <c r="C11978" t="s">
        <v>1918</v>
      </c>
      <c r="D11978">
        <v>2460</v>
      </c>
      <c r="E11978">
        <v>2584</v>
      </c>
      <c r="F11978">
        <v>2682</v>
      </c>
      <c r="G11978">
        <v>3009</v>
      </c>
    </row>
    <row r="11979" spans="1:7">
      <c r="A11979" t="s">
        <v>1876</v>
      </c>
      <c r="B11979" t="s">
        <v>384</v>
      </c>
      <c r="C11979" t="s">
        <v>1919</v>
      </c>
      <c r="D11979">
        <v>2.82</v>
      </c>
      <c r="E11979">
        <v>2.75</v>
      </c>
      <c r="F11979">
        <v>2.4700000000000002</v>
      </c>
      <c r="G11979">
        <v>2.2999999999999998</v>
      </c>
    </row>
    <row r="11980" spans="1:7">
      <c r="A11980" t="s">
        <v>1876</v>
      </c>
      <c r="B11980" t="s">
        <v>384</v>
      </c>
      <c r="C11980" t="s">
        <v>1920</v>
      </c>
      <c r="D11980">
        <v>3050</v>
      </c>
      <c r="E11980">
        <v>3201</v>
      </c>
      <c r="F11980">
        <v>3644</v>
      </c>
      <c r="G11980">
        <v>4137</v>
      </c>
    </row>
    <row r="11981" spans="1:7">
      <c r="A11981" t="s">
        <v>1876</v>
      </c>
      <c r="B11981" t="s">
        <v>384</v>
      </c>
      <c r="C11981" t="s">
        <v>1921</v>
      </c>
      <c r="D11981">
        <v>989</v>
      </c>
      <c r="E11981">
        <v>1067</v>
      </c>
      <c r="F11981">
        <v>1300</v>
      </c>
      <c r="G11981">
        <v>1593</v>
      </c>
    </row>
    <row r="11982" spans="1:7">
      <c r="A11982" t="s">
        <v>1876</v>
      </c>
      <c r="B11982" t="s">
        <v>384</v>
      </c>
      <c r="C11982" t="s">
        <v>1922</v>
      </c>
      <c r="D11982">
        <v>499</v>
      </c>
      <c r="E11982">
        <v>539</v>
      </c>
      <c r="F11982">
        <v>887</v>
      </c>
      <c r="G11982">
        <v>1054</v>
      </c>
    </row>
    <row r="11983" spans="1:7">
      <c r="A11983" t="s">
        <v>1876</v>
      </c>
      <c r="B11983" t="s">
        <v>384</v>
      </c>
      <c r="C11983" t="s">
        <v>1923</v>
      </c>
      <c r="D11983">
        <v>2.82</v>
      </c>
      <c r="E11983">
        <v>2.91</v>
      </c>
      <c r="F11983">
        <v>3.29</v>
      </c>
      <c r="G11983">
        <v>3.19</v>
      </c>
    </row>
    <row r="11984" spans="1:7">
      <c r="A11984" t="s">
        <v>1876</v>
      </c>
      <c r="B11984" t="s">
        <v>384</v>
      </c>
      <c r="C11984" t="s">
        <v>1924</v>
      </c>
      <c r="D11984">
        <v>67</v>
      </c>
      <c r="E11984">
        <v>7</v>
      </c>
      <c r="F11984">
        <v>8</v>
      </c>
      <c r="G11984">
        <v>4</v>
      </c>
    </row>
    <row r="11985" spans="1:7">
      <c r="A11985" t="s">
        <v>1876</v>
      </c>
      <c r="B11985" t="s">
        <v>384</v>
      </c>
      <c r="C11985" t="s">
        <v>1925</v>
      </c>
      <c r="D11985">
        <v>165</v>
      </c>
      <c r="E11985">
        <v>184</v>
      </c>
      <c r="F11985">
        <v>184</v>
      </c>
      <c r="G11985">
        <v>189</v>
      </c>
    </row>
    <row r="11986" spans="1:7">
      <c r="A11986" t="s">
        <v>1876</v>
      </c>
      <c r="B11986" t="s">
        <v>384</v>
      </c>
      <c r="C11986" t="s">
        <v>1926</v>
      </c>
      <c r="D11986">
        <v>757</v>
      </c>
      <c r="E11986">
        <v>876</v>
      </c>
      <c r="F11986">
        <v>1108</v>
      </c>
      <c r="G11986">
        <v>1400</v>
      </c>
    </row>
    <row r="11987" spans="1:7">
      <c r="A11987" t="s">
        <v>1876</v>
      </c>
      <c r="B11987" t="s">
        <v>384</v>
      </c>
      <c r="C11987" t="s">
        <v>1927</v>
      </c>
      <c r="D11987">
        <v>30</v>
      </c>
      <c r="E11987">
        <v>27</v>
      </c>
      <c r="F11987">
        <v>18</v>
      </c>
      <c r="G11987">
        <v>15</v>
      </c>
    </row>
    <row r="11988" spans="1:7">
      <c r="A11988" t="s">
        <v>1876</v>
      </c>
      <c r="B11988" t="s">
        <v>384</v>
      </c>
      <c r="C11988" t="s">
        <v>1928</v>
      </c>
      <c r="D11988">
        <v>895</v>
      </c>
      <c r="E11988">
        <v>979</v>
      </c>
      <c r="F11988">
        <v>1214</v>
      </c>
      <c r="G11988">
        <v>1502</v>
      </c>
    </row>
    <row r="11989" spans="1:7">
      <c r="A11989" t="s">
        <v>1876</v>
      </c>
      <c r="B11989" t="s">
        <v>384</v>
      </c>
      <c r="C11989" t="s">
        <v>1929</v>
      </c>
      <c r="D11989">
        <v>64</v>
      </c>
      <c r="E11989">
        <v>61</v>
      </c>
      <c r="F11989">
        <v>68</v>
      </c>
      <c r="G11989">
        <v>76</v>
      </c>
    </row>
    <row r="11990" spans="1:7">
      <c r="A11990" t="s">
        <v>1876</v>
      </c>
      <c r="B11990" t="s">
        <v>384</v>
      </c>
      <c r="C11990" t="s">
        <v>186</v>
      </c>
      <c r="D11990">
        <v>0</v>
      </c>
      <c r="E11990">
        <v>0</v>
      </c>
      <c r="F11990">
        <v>0</v>
      </c>
      <c r="G11990">
        <v>0</v>
      </c>
    </row>
    <row r="11991" spans="1:7">
      <c r="A11991" t="s">
        <v>1876</v>
      </c>
      <c r="B11991" t="s">
        <v>384</v>
      </c>
      <c r="C11991" t="s">
        <v>187</v>
      </c>
      <c r="D11991">
        <v>0</v>
      </c>
      <c r="E11991">
        <v>0</v>
      </c>
      <c r="F11991">
        <v>0</v>
      </c>
      <c r="G11991">
        <v>0</v>
      </c>
    </row>
    <row r="11992" spans="1:7">
      <c r="A11992" t="s">
        <v>1876</v>
      </c>
      <c r="B11992" t="s">
        <v>384</v>
      </c>
      <c r="C11992" t="s">
        <v>1705</v>
      </c>
      <c r="D11992">
        <v>3755</v>
      </c>
      <c r="E11992">
        <v>3755</v>
      </c>
      <c r="F11992">
        <v>3769</v>
      </c>
      <c r="G11992">
        <v>3769</v>
      </c>
    </row>
    <row r="11993" spans="1:7">
      <c r="A11993" t="s">
        <v>1876</v>
      </c>
      <c r="B11993" t="s">
        <v>384</v>
      </c>
      <c r="C11993" t="s">
        <v>188</v>
      </c>
      <c r="D11993">
        <v>624504</v>
      </c>
      <c r="E11993">
        <v>614338</v>
      </c>
      <c r="F11993">
        <v>641500</v>
      </c>
      <c r="G11993">
        <v>645105</v>
      </c>
    </row>
    <row r="11994" spans="1:7">
      <c r="A11994" t="s">
        <v>1876</v>
      </c>
      <c r="B11994" t="s">
        <v>384</v>
      </c>
      <c r="C11994" t="s">
        <v>189</v>
      </c>
      <c r="D11994">
        <v>0</v>
      </c>
      <c r="E11994">
        <v>0</v>
      </c>
      <c r="F11994">
        <v>0</v>
      </c>
      <c r="G11994">
        <v>0</v>
      </c>
    </row>
    <row r="11995" spans="1:7">
      <c r="A11995" t="s">
        <v>1876</v>
      </c>
      <c r="B11995" t="s">
        <v>384</v>
      </c>
      <c r="C11995" t="s">
        <v>190</v>
      </c>
      <c r="D11995">
        <v>0</v>
      </c>
      <c r="E11995">
        <v>0</v>
      </c>
      <c r="F11995">
        <v>0</v>
      </c>
      <c r="G11995">
        <v>0</v>
      </c>
    </row>
    <row r="11996" spans="1:7">
      <c r="A11996" t="s">
        <v>1876</v>
      </c>
      <c r="B11996" t="s">
        <v>384</v>
      </c>
      <c r="C11996" t="s">
        <v>191</v>
      </c>
      <c r="D11996">
        <v>0</v>
      </c>
      <c r="E11996">
        <v>0</v>
      </c>
      <c r="F11996">
        <v>0</v>
      </c>
      <c r="G11996">
        <v>0</v>
      </c>
    </row>
    <row r="11997" spans="1:7">
      <c r="A11997" t="s">
        <v>1876</v>
      </c>
      <c r="B11997" t="s">
        <v>384</v>
      </c>
      <c r="C11997" t="s">
        <v>192</v>
      </c>
      <c r="D11997">
        <v>276367.7</v>
      </c>
      <c r="E11997">
        <v>297084.3</v>
      </c>
      <c r="F11997">
        <v>314895</v>
      </c>
      <c r="G11997">
        <v>330250.09999999998</v>
      </c>
    </row>
    <row r="11998" spans="1:7">
      <c r="A11998" t="s">
        <v>1876</v>
      </c>
      <c r="B11998" t="s">
        <v>384</v>
      </c>
      <c r="C11998" t="s">
        <v>193</v>
      </c>
      <c r="D11998">
        <v>250919.9</v>
      </c>
      <c r="E11998">
        <v>254237.5</v>
      </c>
      <c r="F11998">
        <v>258023.4</v>
      </c>
      <c r="G11998">
        <v>263347.7</v>
      </c>
    </row>
    <row r="11999" spans="1:7">
      <c r="A11999" t="s">
        <v>1876</v>
      </c>
      <c r="B11999" t="s">
        <v>384</v>
      </c>
      <c r="C11999" t="s">
        <v>1930</v>
      </c>
      <c r="D11999">
        <v>107</v>
      </c>
      <c r="E11999">
        <v>104.7</v>
      </c>
      <c r="F11999">
        <v>103</v>
      </c>
      <c r="G11999">
        <v>98.6</v>
      </c>
    </row>
    <row r="12000" spans="1:7">
      <c r="A12000" t="s">
        <v>1876</v>
      </c>
      <c r="B12000" t="s">
        <v>384</v>
      </c>
      <c r="C12000" t="s">
        <v>194</v>
      </c>
      <c r="D12000">
        <v>676</v>
      </c>
      <c r="E12000">
        <v>676</v>
      </c>
      <c r="F12000">
        <v>676</v>
      </c>
      <c r="G12000">
        <v>676</v>
      </c>
    </row>
    <row r="12001" spans="1:7">
      <c r="A12001" t="s">
        <v>1876</v>
      </c>
      <c r="B12001" t="s">
        <v>384</v>
      </c>
      <c r="C12001" t="s">
        <v>195</v>
      </c>
      <c r="D12001">
        <v>624</v>
      </c>
      <c r="E12001">
        <v>610</v>
      </c>
      <c r="F12001">
        <v>600</v>
      </c>
      <c r="G12001">
        <v>576</v>
      </c>
    </row>
    <row r="12002" spans="1:7">
      <c r="A12002" t="s">
        <v>1876</v>
      </c>
      <c r="B12002" t="s">
        <v>384</v>
      </c>
      <c r="C12002" t="s">
        <v>1706</v>
      </c>
      <c r="D12002">
        <v>20</v>
      </c>
      <c r="E12002">
        <v>20</v>
      </c>
      <c r="F12002">
        <v>20</v>
      </c>
      <c r="G12002">
        <v>20</v>
      </c>
    </row>
    <row r="12003" spans="1:7">
      <c r="A12003" t="s">
        <v>1876</v>
      </c>
      <c r="B12003" t="s">
        <v>384</v>
      </c>
      <c r="C12003" t="s">
        <v>196</v>
      </c>
      <c r="D12003">
        <v>166</v>
      </c>
      <c r="E12003">
        <v>166</v>
      </c>
      <c r="F12003">
        <v>166</v>
      </c>
      <c r="G12003">
        <v>166</v>
      </c>
    </row>
    <row r="12004" spans="1:7">
      <c r="A12004" t="s">
        <v>1876</v>
      </c>
      <c r="B12004" t="s">
        <v>384</v>
      </c>
      <c r="C12004" t="s">
        <v>197</v>
      </c>
      <c r="D12004">
        <v>390</v>
      </c>
      <c r="E12004">
        <v>390</v>
      </c>
      <c r="F12004">
        <v>390</v>
      </c>
      <c r="G12004">
        <v>390</v>
      </c>
    </row>
    <row r="12005" spans="1:7">
      <c r="A12005" t="s">
        <v>1876</v>
      </c>
      <c r="B12005" t="s">
        <v>384</v>
      </c>
      <c r="C12005" t="s">
        <v>198</v>
      </c>
      <c r="D12005">
        <v>1856</v>
      </c>
      <c r="E12005">
        <v>1842</v>
      </c>
      <c r="F12005">
        <v>1833</v>
      </c>
      <c r="G12005">
        <v>1808</v>
      </c>
    </row>
    <row r="12006" spans="1:7">
      <c r="A12006" t="s">
        <v>1876</v>
      </c>
      <c r="B12006" t="s">
        <v>384</v>
      </c>
      <c r="C12006" t="s">
        <v>199</v>
      </c>
      <c r="D12006">
        <v>1232</v>
      </c>
      <c r="E12006">
        <v>1232</v>
      </c>
      <c r="F12006">
        <v>1232</v>
      </c>
      <c r="G12006">
        <v>1232</v>
      </c>
    </row>
    <row r="12007" spans="1:7">
      <c r="A12007" t="s">
        <v>1876</v>
      </c>
      <c r="B12007" t="s">
        <v>384</v>
      </c>
      <c r="C12007" t="s">
        <v>200</v>
      </c>
      <c r="D12007">
        <v>88</v>
      </c>
      <c r="E12007">
        <v>234</v>
      </c>
      <c r="F12007">
        <v>346</v>
      </c>
      <c r="G12007">
        <v>234</v>
      </c>
    </row>
    <row r="12008" spans="1:7">
      <c r="A12008" t="s">
        <v>1876</v>
      </c>
      <c r="B12008" t="s">
        <v>384</v>
      </c>
      <c r="C12008" t="s">
        <v>201</v>
      </c>
      <c r="D12008">
        <v>4063</v>
      </c>
      <c r="E12008">
        <v>4036</v>
      </c>
      <c r="F12008">
        <v>4423</v>
      </c>
      <c r="G12008">
        <v>4173</v>
      </c>
    </row>
    <row r="12009" spans="1:7">
      <c r="A12009" t="s">
        <v>1876</v>
      </c>
      <c r="B12009" t="s">
        <v>384</v>
      </c>
      <c r="C12009" t="s">
        <v>202</v>
      </c>
      <c r="D12009">
        <v>1447</v>
      </c>
      <c r="E12009">
        <v>3309</v>
      </c>
      <c r="F12009">
        <v>1406</v>
      </c>
      <c r="G12009">
        <v>1323</v>
      </c>
    </row>
    <row r="12010" spans="1:7">
      <c r="A12010" t="s">
        <v>1876</v>
      </c>
      <c r="B12010" t="s">
        <v>384</v>
      </c>
      <c r="C12010" t="s">
        <v>203</v>
      </c>
      <c r="D12010">
        <v>3377</v>
      </c>
      <c r="E12010">
        <v>2468</v>
      </c>
      <c r="F12010">
        <v>2389</v>
      </c>
      <c r="G12010">
        <v>2228</v>
      </c>
    </row>
    <row r="12011" spans="1:7">
      <c r="A12011" t="s">
        <v>1876</v>
      </c>
      <c r="B12011" t="s">
        <v>384</v>
      </c>
      <c r="C12011" t="s">
        <v>204</v>
      </c>
      <c r="D12011">
        <v>8974</v>
      </c>
      <c r="E12011">
        <v>10047</v>
      </c>
      <c r="F12011">
        <v>8564</v>
      </c>
      <c r="G12011">
        <v>7959</v>
      </c>
    </row>
    <row r="12012" spans="1:7">
      <c r="A12012" t="s">
        <v>1876</v>
      </c>
      <c r="B12012" t="s">
        <v>384</v>
      </c>
      <c r="C12012" t="s">
        <v>205</v>
      </c>
      <c r="D12012">
        <v>8974</v>
      </c>
      <c r="E12012">
        <v>10047</v>
      </c>
      <c r="F12012">
        <v>8564</v>
      </c>
      <c r="G12012">
        <v>7959</v>
      </c>
    </row>
    <row r="12013" spans="1:7">
      <c r="A12013" t="s">
        <v>1876</v>
      </c>
      <c r="B12013" t="s">
        <v>384</v>
      </c>
      <c r="C12013" t="s">
        <v>1931</v>
      </c>
      <c r="D12013">
        <v>0</v>
      </c>
      <c r="E12013">
        <v>0</v>
      </c>
      <c r="F12013">
        <v>0</v>
      </c>
      <c r="G12013">
        <v>0</v>
      </c>
    </row>
    <row r="12014" spans="1:7">
      <c r="A12014" t="s">
        <v>1876</v>
      </c>
      <c r="B12014" t="s">
        <v>384</v>
      </c>
      <c r="C12014" t="s">
        <v>1707</v>
      </c>
      <c r="D12014">
        <v>0</v>
      </c>
      <c r="E12014">
        <v>0</v>
      </c>
      <c r="F12014">
        <v>0</v>
      </c>
      <c r="G12014">
        <v>0</v>
      </c>
    </row>
    <row r="12015" spans="1:7">
      <c r="A12015" t="s">
        <v>1876</v>
      </c>
      <c r="B12015" t="s">
        <v>384</v>
      </c>
      <c r="C12015" t="s">
        <v>1932</v>
      </c>
      <c r="D12015">
        <v>37.9</v>
      </c>
      <c r="E12015">
        <v>42.7</v>
      </c>
      <c r="F12015">
        <v>35.9</v>
      </c>
      <c r="G12015">
        <v>37.1</v>
      </c>
    </row>
    <row r="12016" spans="1:7">
      <c r="A12016" t="s">
        <v>1876</v>
      </c>
      <c r="B12016" t="s">
        <v>384</v>
      </c>
      <c r="C12016" t="s">
        <v>1708</v>
      </c>
      <c r="D12016">
        <v>8334</v>
      </c>
      <c r="E12016">
        <v>8368</v>
      </c>
      <c r="F12016">
        <v>8363</v>
      </c>
      <c r="G12016">
        <v>8264</v>
      </c>
    </row>
    <row r="12017" spans="1:7">
      <c r="A12017" t="s">
        <v>1876</v>
      </c>
      <c r="B12017" t="s">
        <v>384</v>
      </c>
      <c r="C12017" t="s">
        <v>206</v>
      </c>
      <c r="D12017">
        <v>0</v>
      </c>
      <c r="E12017">
        <v>0</v>
      </c>
      <c r="F12017">
        <v>0</v>
      </c>
      <c r="G12017">
        <v>0</v>
      </c>
    </row>
    <row r="12018" spans="1:7">
      <c r="A12018" t="s">
        <v>1876</v>
      </c>
      <c r="B12018" t="s">
        <v>384</v>
      </c>
      <c r="C12018" t="s">
        <v>207</v>
      </c>
      <c r="D12018">
        <v>94374</v>
      </c>
      <c r="E12018">
        <v>106810</v>
      </c>
      <c r="F12018">
        <v>89835</v>
      </c>
      <c r="G12018">
        <v>91895</v>
      </c>
    </row>
    <row r="12019" spans="1:7">
      <c r="A12019" t="s">
        <v>1876</v>
      </c>
      <c r="B12019" t="s">
        <v>384</v>
      </c>
      <c r="C12019" t="s">
        <v>208</v>
      </c>
      <c r="D12019">
        <v>0</v>
      </c>
      <c r="E12019">
        <v>0</v>
      </c>
      <c r="F12019">
        <v>0</v>
      </c>
      <c r="G12019">
        <v>0</v>
      </c>
    </row>
    <row r="12020" spans="1:7">
      <c r="A12020" t="s">
        <v>1876</v>
      </c>
      <c r="B12020" t="s">
        <v>384</v>
      </c>
      <c r="C12020" t="s">
        <v>209</v>
      </c>
      <c r="D12020">
        <v>94374</v>
      </c>
      <c r="E12020">
        <v>106810</v>
      </c>
      <c r="F12020">
        <v>89835</v>
      </c>
      <c r="G12020">
        <v>91895</v>
      </c>
    </row>
    <row r="12021" spans="1:7">
      <c r="A12021" t="s">
        <v>1876</v>
      </c>
      <c r="B12021" t="s">
        <v>384</v>
      </c>
      <c r="C12021" t="s">
        <v>210</v>
      </c>
      <c r="D12021">
        <v>0</v>
      </c>
      <c r="E12021">
        <v>0</v>
      </c>
      <c r="F12021">
        <v>0</v>
      </c>
      <c r="G12021">
        <v>0</v>
      </c>
    </row>
    <row r="12022" spans="1:7">
      <c r="A12022" t="s">
        <v>1876</v>
      </c>
      <c r="B12022" t="s">
        <v>384</v>
      </c>
      <c r="C12022" t="s">
        <v>211</v>
      </c>
      <c r="D12022">
        <v>0</v>
      </c>
      <c r="E12022">
        <v>0</v>
      </c>
      <c r="F12022">
        <v>0</v>
      </c>
      <c r="G12022">
        <v>0</v>
      </c>
    </row>
    <row r="12023" spans="1:7">
      <c r="A12023" t="s">
        <v>1876</v>
      </c>
      <c r="B12023" t="s">
        <v>384</v>
      </c>
      <c r="C12023" t="s">
        <v>212</v>
      </c>
      <c r="D12023">
        <v>0</v>
      </c>
      <c r="E12023">
        <v>0</v>
      </c>
      <c r="F12023">
        <v>0</v>
      </c>
      <c r="G12023">
        <v>0</v>
      </c>
    </row>
    <row r="12024" spans="1:7">
      <c r="A12024" t="s">
        <v>1876</v>
      </c>
      <c r="B12024" t="s">
        <v>384</v>
      </c>
      <c r="C12024" t="s">
        <v>213</v>
      </c>
      <c r="D12024">
        <v>0</v>
      </c>
      <c r="E12024">
        <v>0</v>
      </c>
      <c r="F12024">
        <v>0</v>
      </c>
      <c r="G12024">
        <v>0</v>
      </c>
    </row>
    <row r="12025" spans="1:7">
      <c r="A12025" t="s">
        <v>1876</v>
      </c>
      <c r="B12025" t="s">
        <v>384</v>
      </c>
      <c r="C12025" t="s">
        <v>214</v>
      </c>
      <c r="D12025">
        <v>0</v>
      </c>
      <c r="E12025">
        <v>0</v>
      </c>
      <c r="F12025">
        <v>0</v>
      </c>
      <c r="G12025">
        <v>0</v>
      </c>
    </row>
    <row r="12026" spans="1:7">
      <c r="A12026" t="s">
        <v>1876</v>
      </c>
      <c r="B12026" t="s">
        <v>384</v>
      </c>
      <c r="C12026" t="s">
        <v>215</v>
      </c>
      <c r="D12026">
        <v>25765</v>
      </c>
      <c r="E12026">
        <v>28312</v>
      </c>
      <c r="F12026">
        <v>30188</v>
      </c>
      <c r="G12026">
        <v>32501</v>
      </c>
    </row>
    <row r="12027" spans="1:7">
      <c r="A12027" t="s">
        <v>1876</v>
      </c>
      <c r="B12027" t="s">
        <v>384</v>
      </c>
      <c r="C12027" t="s">
        <v>216</v>
      </c>
      <c r="D12027">
        <v>25765</v>
      </c>
      <c r="E12027">
        <v>28312</v>
      </c>
      <c r="F12027">
        <v>30188</v>
      </c>
      <c r="G12027">
        <v>32501</v>
      </c>
    </row>
    <row r="12028" spans="1:7">
      <c r="A12028" t="s">
        <v>1876</v>
      </c>
      <c r="B12028" t="s">
        <v>384</v>
      </c>
      <c r="C12028" t="s">
        <v>217</v>
      </c>
      <c r="D12028">
        <v>25765</v>
      </c>
      <c r="E12028">
        <v>28312</v>
      </c>
      <c r="F12028">
        <v>30188</v>
      </c>
      <c r="G12028">
        <v>32501</v>
      </c>
    </row>
    <row r="12029" spans="1:7">
      <c r="A12029" t="s">
        <v>1876</v>
      </c>
      <c r="B12029" t="s">
        <v>384</v>
      </c>
      <c r="C12029" t="s">
        <v>218</v>
      </c>
      <c r="D12029">
        <v>10</v>
      </c>
      <c r="E12029">
        <v>9</v>
      </c>
      <c r="F12029">
        <v>18</v>
      </c>
      <c r="G12029">
        <v>13</v>
      </c>
    </row>
    <row r="12030" spans="1:7">
      <c r="A12030" t="s">
        <v>1876</v>
      </c>
      <c r="B12030" t="s">
        <v>384</v>
      </c>
      <c r="C12030" t="s">
        <v>219</v>
      </c>
      <c r="D12030">
        <v>6</v>
      </c>
      <c r="E12030">
        <v>4</v>
      </c>
      <c r="F12030">
        <v>17</v>
      </c>
      <c r="G12030">
        <v>9</v>
      </c>
    </row>
    <row r="12031" spans="1:7">
      <c r="A12031" t="s">
        <v>1876</v>
      </c>
      <c r="B12031" t="s">
        <v>384</v>
      </c>
      <c r="C12031" t="s">
        <v>220</v>
      </c>
      <c r="D12031">
        <v>152</v>
      </c>
      <c r="E12031">
        <v>134</v>
      </c>
      <c r="F12031">
        <v>262</v>
      </c>
      <c r="G12031">
        <v>194</v>
      </c>
    </row>
    <row r="12032" spans="1:7">
      <c r="A12032" t="s">
        <v>1876</v>
      </c>
      <c r="B12032" t="s">
        <v>384</v>
      </c>
      <c r="C12032" t="s">
        <v>221</v>
      </c>
      <c r="D12032">
        <v>168</v>
      </c>
      <c r="E12032">
        <v>148</v>
      </c>
      <c r="F12032">
        <v>297</v>
      </c>
      <c r="G12032">
        <v>216</v>
      </c>
    </row>
    <row r="12033" spans="1:7">
      <c r="A12033" t="s">
        <v>1876</v>
      </c>
      <c r="B12033" t="s">
        <v>384</v>
      </c>
      <c r="C12033" t="s">
        <v>222</v>
      </c>
      <c r="D12033">
        <v>168</v>
      </c>
      <c r="E12033">
        <v>148</v>
      </c>
      <c r="F12033">
        <v>297</v>
      </c>
      <c r="G12033">
        <v>216</v>
      </c>
    </row>
    <row r="12034" spans="1:7">
      <c r="A12034" t="s">
        <v>1876</v>
      </c>
      <c r="B12034" t="s">
        <v>384</v>
      </c>
      <c r="C12034" t="s">
        <v>1933</v>
      </c>
      <c r="D12034">
        <v>3535.8</v>
      </c>
      <c r="E12034">
        <v>3508.8</v>
      </c>
      <c r="F12034">
        <v>3534.2</v>
      </c>
      <c r="G12034">
        <v>3550.3</v>
      </c>
    </row>
    <row r="12035" spans="1:7">
      <c r="A12035" t="s">
        <v>1876</v>
      </c>
      <c r="B12035" t="s">
        <v>384</v>
      </c>
      <c r="C12035" t="s">
        <v>223</v>
      </c>
      <c r="D12035">
        <v>38</v>
      </c>
      <c r="E12035">
        <v>35</v>
      </c>
      <c r="F12035">
        <v>42</v>
      </c>
      <c r="G12035">
        <v>43</v>
      </c>
    </row>
    <row r="12036" spans="1:7">
      <c r="A12036" t="s">
        <v>1876</v>
      </c>
      <c r="B12036" t="s">
        <v>384</v>
      </c>
      <c r="C12036" t="s">
        <v>224</v>
      </c>
      <c r="D12036">
        <v>28003</v>
      </c>
      <c r="E12036">
        <v>25763</v>
      </c>
      <c r="F12036">
        <v>42600</v>
      </c>
      <c r="G12036">
        <v>47605</v>
      </c>
    </row>
    <row r="12037" spans="1:7">
      <c r="A12037" t="s">
        <v>1876</v>
      </c>
      <c r="B12037" t="s">
        <v>384</v>
      </c>
      <c r="C12037" t="s">
        <v>225</v>
      </c>
      <c r="D12037">
        <v>29376</v>
      </c>
      <c r="E12037">
        <v>29273</v>
      </c>
      <c r="F12037">
        <v>26636</v>
      </c>
      <c r="G12037">
        <v>29395</v>
      </c>
    </row>
    <row r="12038" spans="1:7">
      <c r="A12038" t="s">
        <v>1876</v>
      </c>
      <c r="B12038" t="s">
        <v>384</v>
      </c>
      <c r="C12038" t="s">
        <v>226</v>
      </c>
      <c r="D12038">
        <v>34409</v>
      </c>
      <c r="E12038">
        <v>32061</v>
      </c>
      <c r="F12038">
        <v>37729</v>
      </c>
      <c r="G12038">
        <v>38157</v>
      </c>
    </row>
    <row r="12039" spans="1:7">
      <c r="A12039" t="s">
        <v>1876</v>
      </c>
      <c r="B12039" t="s">
        <v>384</v>
      </c>
      <c r="C12039" t="s">
        <v>227</v>
      </c>
      <c r="D12039">
        <v>91827</v>
      </c>
      <c r="E12039">
        <v>87133</v>
      </c>
      <c r="F12039">
        <v>107007</v>
      </c>
      <c r="G12039">
        <v>115199</v>
      </c>
    </row>
    <row r="12040" spans="1:7">
      <c r="A12040" t="s">
        <v>1876</v>
      </c>
      <c r="B12040" t="s">
        <v>384</v>
      </c>
      <c r="C12040" t="s">
        <v>228</v>
      </c>
      <c r="D12040">
        <v>91827</v>
      </c>
      <c r="E12040">
        <v>87133</v>
      </c>
      <c r="F12040">
        <v>107007</v>
      </c>
      <c r="G12040">
        <v>115199</v>
      </c>
    </row>
    <row r="12041" spans="1:7">
      <c r="A12041" t="s">
        <v>1876</v>
      </c>
      <c r="B12041" t="s">
        <v>384</v>
      </c>
      <c r="C12041" t="s">
        <v>229</v>
      </c>
      <c r="D12041">
        <v>1490</v>
      </c>
      <c r="E12041">
        <v>1544</v>
      </c>
      <c r="F12041">
        <v>1119</v>
      </c>
      <c r="G12041">
        <v>1045</v>
      </c>
    </row>
    <row r="12042" spans="1:7">
      <c r="A12042" t="s">
        <v>1876</v>
      </c>
      <c r="B12042" t="s">
        <v>384</v>
      </c>
      <c r="C12042" t="s">
        <v>230</v>
      </c>
      <c r="D12042">
        <v>1085</v>
      </c>
      <c r="E12042">
        <v>1126</v>
      </c>
      <c r="F12042">
        <v>826</v>
      </c>
      <c r="G12042">
        <v>766</v>
      </c>
    </row>
    <row r="12043" spans="1:7">
      <c r="A12043" t="s">
        <v>1876</v>
      </c>
      <c r="B12043" t="s">
        <v>384</v>
      </c>
      <c r="C12043" t="s">
        <v>231</v>
      </c>
      <c r="D12043">
        <v>2575</v>
      </c>
      <c r="E12043">
        <v>2670</v>
      </c>
      <c r="F12043">
        <v>1945</v>
      </c>
      <c r="G12043">
        <v>1811</v>
      </c>
    </row>
    <row r="12044" spans="1:7">
      <c r="A12044" t="s">
        <v>1876</v>
      </c>
      <c r="B12044" t="s">
        <v>384</v>
      </c>
      <c r="C12044" t="s">
        <v>232</v>
      </c>
      <c r="D12044">
        <v>2575</v>
      </c>
      <c r="E12044">
        <v>2670</v>
      </c>
      <c r="F12044">
        <v>1945</v>
      </c>
      <c r="G12044">
        <v>1811</v>
      </c>
    </row>
    <row r="12045" spans="1:7">
      <c r="A12045" t="s">
        <v>1876</v>
      </c>
      <c r="B12045" t="s">
        <v>384</v>
      </c>
      <c r="C12045" t="s">
        <v>233</v>
      </c>
      <c r="D12045">
        <v>0</v>
      </c>
      <c r="E12045">
        <v>0</v>
      </c>
      <c r="F12045">
        <v>0</v>
      </c>
      <c r="G12045">
        <v>0</v>
      </c>
    </row>
    <row r="12046" spans="1:7">
      <c r="A12046" t="s">
        <v>1876</v>
      </c>
      <c r="B12046" t="s">
        <v>384</v>
      </c>
      <c r="C12046" t="s">
        <v>234</v>
      </c>
      <c r="D12046">
        <v>171509</v>
      </c>
      <c r="E12046">
        <v>167105</v>
      </c>
      <c r="F12046">
        <v>168245</v>
      </c>
      <c r="G12046">
        <v>163700</v>
      </c>
    </row>
    <row r="12047" spans="1:7">
      <c r="A12047" t="s">
        <v>1876</v>
      </c>
      <c r="B12047" t="s">
        <v>384</v>
      </c>
      <c r="C12047" t="s">
        <v>235</v>
      </c>
      <c r="D12047">
        <v>4925</v>
      </c>
      <c r="E12047">
        <v>5006</v>
      </c>
      <c r="F12047">
        <v>5018</v>
      </c>
      <c r="G12047">
        <v>4887</v>
      </c>
    </row>
    <row r="12048" spans="1:7">
      <c r="A12048" t="s">
        <v>1876</v>
      </c>
      <c r="B12048" t="s">
        <v>384</v>
      </c>
      <c r="C12048" t="s">
        <v>236</v>
      </c>
      <c r="D12048">
        <v>3244</v>
      </c>
      <c r="E12048">
        <v>3434</v>
      </c>
      <c r="F12048">
        <v>3480</v>
      </c>
      <c r="G12048">
        <v>5718</v>
      </c>
    </row>
    <row r="12049" spans="1:7">
      <c r="A12049" t="s">
        <v>1876</v>
      </c>
      <c r="B12049" t="s">
        <v>384</v>
      </c>
      <c r="C12049" t="s">
        <v>237</v>
      </c>
      <c r="D12049">
        <v>179679</v>
      </c>
      <c r="E12049">
        <v>175545</v>
      </c>
      <c r="F12049">
        <v>176743</v>
      </c>
      <c r="G12049">
        <v>174304</v>
      </c>
    </row>
    <row r="12050" spans="1:7">
      <c r="A12050" t="s">
        <v>1876</v>
      </c>
      <c r="B12050" t="s">
        <v>384</v>
      </c>
      <c r="C12050" t="s">
        <v>238</v>
      </c>
      <c r="D12050">
        <v>179679</v>
      </c>
      <c r="E12050">
        <v>175545</v>
      </c>
      <c r="F12050">
        <v>176743</v>
      </c>
      <c r="G12050">
        <v>174304</v>
      </c>
    </row>
    <row r="12051" spans="1:7">
      <c r="A12051" t="s">
        <v>1876</v>
      </c>
      <c r="B12051" t="s">
        <v>384</v>
      </c>
      <c r="C12051" t="s">
        <v>1934</v>
      </c>
      <c r="D12051">
        <v>158895</v>
      </c>
      <c r="E12051">
        <v>154771</v>
      </c>
      <c r="F12051">
        <v>155833</v>
      </c>
      <c r="G12051">
        <v>151672</v>
      </c>
    </row>
    <row r="12052" spans="1:7">
      <c r="A12052" t="s">
        <v>1876</v>
      </c>
      <c r="B12052" t="s">
        <v>384</v>
      </c>
      <c r="C12052" t="s">
        <v>1935</v>
      </c>
      <c r="D12052">
        <v>4563</v>
      </c>
      <c r="E12052">
        <v>4637</v>
      </c>
      <c r="F12052">
        <v>4648</v>
      </c>
      <c r="G12052">
        <v>4528</v>
      </c>
    </row>
    <row r="12053" spans="1:7">
      <c r="A12053" t="s">
        <v>1876</v>
      </c>
      <c r="B12053" t="s">
        <v>384</v>
      </c>
      <c r="C12053" t="s">
        <v>1936</v>
      </c>
      <c r="D12053">
        <v>3006</v>
      </c>
      <c r="E12053">
        <v>3181</v>
      </c>
      <c r="F12053">
        <v>3223</v>
      </c>
      <c r="G12053">
        <v>5298</v>
      </c>
    </row>
    <row r="12054" spans="1:7">
      <c r="A12054" t="s">
        <v>1876</v>
      </c>
      <c r="B12054" t="s">
        <v>384</v>
      </c>
      <c r="C12054" t="s">
        <v>239</v>
      </c>
      <c r="D12054">
        <v>166464</v>
      </c>
      <c r="E12054">
        <v>162589</v>
      </c>
      <c r="F12054">
        <v>163704</v>
      </c>
      <c r="G12054">
        <v>161497</v>
      </c>
    </row>
    <row r="12055" spans="1:7">
      <c r="A12055" t="s">
        <v>1876</v>
      </c>
      <c r="B12055" t="s">
        <v>384</v>
      </c>
      <c r="C12055" t="s">
        <v>240</v>
      </c>
      <c r="D12055">
        <v>278</v>
      </c>
      <c r="E12055">
        <v>209</v>
      </c>
      <c r="F12055">
        <v>201</v>
      </c>
      <c r="G12055">
        <v>197</v>
      </c>
    </row>
    <row r="12056" spans="1:7">
      <c r="A12056" t="s">
        <v>1876</v>
      </c>
      <c r="B12056" t="s">
        <v>384</v>
      </c>
      <c r="C12056" t="s">
        <v>241</v>
      </c>
      <c r="D12056">
        <v>0</v>
      </c>
      <c r="E12056">
        <v>0</v>
      </c>
      <c r="F12056">
        <v>0</v>
      </c>
      <c r="G12056">
        <v>0</v>
      </c>
    </row>
    <row r="12057" spans="1:7">
      <c r="A12057" t="s">
        <v>1876</v>
      </c>
      <c r="B12057" t="s">
        <v>384</v>
      </c>
      <c r="C12057" t="s">
        <v>242</v>
      </c>
      <c r="D12057">
        <v>8355</v>
      </c>
      <c r="E12057">
        <v>9472</v>
      </c>
      <c r="F12057">
        <v>9990</v>
      </c>
      <c r="G12057">
        <v>9864</v>
      </c>
    </row>
    <row r="12058" spans="1:7">
      <c r="A12058" t="s">
        <v>1876</v>
      </c>
      <c r="B12058" t="s">
        <v>384</v>
      </c>
      <c r="C12058" t="s">
        <v>243</v>
      </c>
      <c r="D12058">
        <v>31413</v>
      </c>
      <c r="E12058">
        <v>34992</v>
      </c>
      <c r="F12058">
        <v>34288</v>
      </c>
      <c r="G12058">
        <v>32530</v>
      </c>
    </row>
    <row r="12059" spans="1:7">
      <c r="A12059" t="s">
        <v>1876</v>
      </c>
      <c r="B12059" t="s">
        <v>384</v>
      </c>
      <c r="C12059" t="s">
        <v>244</v>
      </c>
      <c r="D12059">
        <v>155564</v>
      </c>
      <c r="E12059">
        <v>140068</v>
      </c>
      <c r="F12059">
        <v>173889</v>
      </c>
      <c r="G12059">
        <v>185797</v>
      </c>
    </row>
    <row r="12060" spans="1:7">
      <c r="A12060" t="s">
        <v>1876</v>
      </c>
      <c r="B12060" t="s">
        <v>384</v>
      </c>
      <c r="C12060" t="s">
        <v>1709</v>
      </c>
      <c r="D12060">
        <v>3748</v>
      </c>
      <c r="E12060">
        <v>3748</v>
      </c>
      <c r="F12060">
        <v>3762</v>
      </c>
      <c r="G12060">
        <v>3762</v>
      </c>
    </row>
    <row r="12061" spans="1:7">
      <c r="A12061" t="s">
        <v>1876</v>
      </c>
      <c r="B12061" t="s">
        <v>384</v>
      </c>
      <c r="C12061" t="s">
        <v>245</v>
      </c>
      <c r="D12061">
        <v>61471</v>
      </c>
      <c r="E12061">
        <v>60482</v>
      </c>
      <c r="F12061">
        <v>59117</v>
      </c>
      <c r="G12061">
        <v>59403</v>
      </c>
    </row>
    <row r="12062" spans="1:7">
      <c r="A12062" t="s">
        <v>1876</v>
      </c>
      <c r="B12062" t="s">
        <v>384</v>
      </c>
      <c r="C12062" t="s">
        <v>246</v>
      </c>
      <c r="D12062">
        <v>48861</v>
      </c>
      <c r="E12062">
        <v>52577</v>
      </c>
      <c r="F12062">
        <v>50351</v>
      </c>
      <c r="G12062">
        <v>48330</v>
      </c>
    </row>
    <row r="12063" spans="1:7">
      <c r="A12063" t="s">
        <v>1876</v>
      </c>
      <c r="B12063" t="s">
        <v>384</v>
      </c>
      <c r="C12063" t="s">
        <v>247</v>
      </c>
      <c r="D12063">
        <v>305665</v>
      </c>
      <c r="E12063">
        <v>297591</v>
      </c>
      <c r="F12063">
        <v>327635</v>
      </c>
      <c r="G12063">
        <v>335924</v>
      </c>
    </row>
    <row r="12064" spans="1:7">
      <c r="A12064" t="s">
        <v>1876</v>
      </c>
      <c r="B12064" t="s">
        <v>384</v>
      </c>
      <c r="C12064" t="s">
        <v>248</v>
      </c>
      <c r="D12064">
        <v>71.8</v>
      </c>
      <c r="E12064">
        <v>70.099999999999994</v>
      </c>
      <c r="F12064">
        <v>77.099999999999994</v>
      </c>
      <c r="G12064">
        <v>78.8</v>
      </c>
    </row>
    <row r="12065" spans="1:7">
      <c r="A12065" t="s">
        <v>1876</v>
      </c>
      <c r="B12065" t="s">
        <v>384</v>
      </c>
      <c r="C12065" t="s">
        <v>249</v>
      </c>
      <c r="D12065">
        <v>150100</v>
      </c>
      <c r="E12065">
        <v>157523</v>
      </c>
      <c r="F12065">
        <v>153746</v>
      </c>
      <c r="G12065">
        <v>150127</v>
      </c>
    </row>
    <row r="12066" spans="1:7">
      <c r="A12066" t="s">
        <v>1876</v>
      </c>
      <c r="B12066" t="s">
        <v>384</v>
      </c>
      <c r="C12066" t="s">
        <v>250</v>
      </c>
      <c r="D12066">
        <v>305665</v>
      </c>
      <c r="E12066">
        <v>297591</v>
      </c>
      <c r="F12066">
        <v>327470</v>
      </c>
      <c r="G12066">
        <v>335709</v>
      </c>
    </row>
    <row r="12067" spans="1:7">
      <c r="A12067" t="s">
        <v>1876</v>
      </c>
      <c r="B12067" t="s">
        <v>384</v>
      </c>
      <c r="C12067" t="s">
        <v>1937</v>
      </c>
      <c r="D12067">
        <v>5.0999999999999996</v>
      </c>
      <c r="E12067">
        <v>2.8</v>
      </c>
      <c r="F12067">
        <v>17.399999999999999</v>
      </c>
      <c r="G12067">
        <v>12.6</v>
      </c>
    </row>
    <row r="12068" spans="1:7">
      <c r="A12068" t="s">
        <v>1876</v>
      </c>
      <c r="B12068" t="s">
        <v>384</v>
      </c>
      <c r="C12068" t="s">
        <v>1938</v>
      </c>
      <c r="D12068">
        <v>0</v>
      </c>
      <c r="E12068">
        <v>0</v>
      </c>
      <c r="F12068">
        <v>0</v>
      </c>
      <c r="G12068">
        <v>0</v>
      </c>
    </row>
    <row r="12069" spans="1:7">
      <c r="A12069" t="s">
        <v>1876</v>
      </c>
      <c r="B12069" t="s">
        <v>384</v>
      </c>
      <c r="C12069" t="s">
        <v>251</v>
      </c>
      <c r="D12069">
        <v>0</v>
      </c>
      <c r="E12069">
        <v>0</v>
      </c>
      <c r="F12069">
        <v>0</v>
      </c>
      <c r="G12069">
        <v>0</v>
      </c>
    </row>
    <row r="12070" spans="1:7">
      <c r="A12070" t="s">
        <v>1876</v>
      </c>
      <c r="B12070" t="s">
        <v>384</v>
      </c>
      <c r="C12070" t="s">
        <v>252</v>
      </c>
      <c r="D12070">
        <v>0</v>
      </c>
      <c r="E12070">
        <v>0</v>
      </c>
      <c r="F12070">
        <v>0</v>
      </c>
      <c r="G12070">
        <v>0</v>
      </c>
    </row>
    <row r="12071" spans="1:7">
      <c r="A12071" t="s">
        <v>1876</v>
      </c>
      <c r="B12071" t="s">
        <v>384</v>
      </c>
      <c r="C12071" t="s">
        <v>1710</v>
      </c>
      <c r="D12071">
        <v>0</v>
      </c>
      <c r="E12071">
        <v>0</v>
      </c>
      <c r="F12071">
        <v>0</v>
      </c>
      <c r="G12071">
        <v>0</v>
      </c>
    </row>
    <row r="12072" spans="1:7">
      <c r="A12072" t="s">
        <v>1876</v>
      </c>
      <c r="B12072" t="s">
        <v>384</v>
      </c>
      <c r="C12072" t="s">
        <v>1939</v>
      </c>
      <c r="D12072">
        <v>0</v>
      </c>
      <c r="E12072">
        <v>0</v>
      </c>
      <c r="F12072">
        <v>0</v>
      </c>
      <c r="G12072">
        <v>0</v>
      </c>
    </row>
    <row r="12073" spans="1:7">
      <c r="A12073" t="s">
        <v>1876</v>
      </c>
      <c r="B12073" t="s">
        <v>384</v>
      </c>
      <c r="C12073" t="s">
        <v>253</v>
      </c>
      <c r="D12073">
        <v>0</v>
      </c>
      <c r="E12073">
        <v>0</v>
      </c>
      <c r="F12073">
        <v>0</v>
      </c>
      <c r="G12073">
        <v>0</v>
      </c>
    </row>
    <row r="12074" spans="1:7">
      <c r="A12074" t="s">
        <v>1876</v>
      </c>
      <c r="B12074" t="s">
        <v>384</v>
      </c>
      <c r="C12074" t="s">
        <v>1711</v>
      </c>
      <c r="D12074">
        <v>0</v>
      </c>
      <c r="E12074">
        <v>0</v>
      </c>
      <c r="F12074">
        <v>0</v>
      </c>
      <c r="G12074">
        <v>0</v>
      </c>
    </row>
    <row r="12075" spans="1:7">
      <c r="A12075" t="s">
        <v>1876</v>
      </c>
      <c r="B12075" t="s">
        <v>384</v>
      </c>
      <c r="C12075" t="s">
        <v>1712</v>
      </c>
      <c r="D12075">
        <v>1360</v>
      </c>
      <c r="E12075">
        <v>1144</v>
      </c>
      <c r="F12075">
        <v>1108</v>
      </c>
      <c r="G12075">
        <v>1013</v>
      </c>
    </row>
    <row r="12076" spans="1:7">
      <c r="A12076" t="s">
        <v>1876</v>
      </c>
      <c r="B12076" t="s">
        <v>384</v>
      </c>
      <c r="C12076" t="s">
        <v>1713</v>
      </c>
      <c r="D12076">
        <v>7042</v>
      </c>
      <c r="E12076">
        <v>12740</v>
      </c>
      <c r="F12076">
        <v>27231</v>
      </c>
      <c r="G12076">
        <v>35128</v>
      </c>
    </row>
    <row r="12077" spans="1:7">
      <c r="A12077" t="s">
        <v>1876</v>
      </c>
      <c r="B12077" t="s">
        <v>384</v>
      </c>
      <c r="C12077" t="s">
        <v>1940</v>
      </c>
      <c r="D12077">
        <v>0</v>
      </c>
      <c r="E12077">
        <v>0</v>
      </c>
      <c r="F12077">
        <v>0</v>
      </c>
      <c r="G12077">
        <v>0</v>
      </c>
    </row>
    <row r="12078" spans="1:7">
      <c r="A12078" t="s">
        <v>1876</v>
      </c>
      <c r="B12078" t="s">
        <v>384</v>
      </c>
      <c r="C12078" t="s">
        <v>1941</v>
      </c>
      <c r="D12078">
        <v>0</v>
      </c>
      <c r="E12078">
        <v>0</v>
      </c>
      <c r="F12078">
        <v>0</v>
      </c>
      <c r="G12078">
        <v>0</v>
      </c>
    </row>
    <row r="12079" spans="1:7">
      <c r="A12079" t="s">
        <v>1876</v>
      </c>
      <c r="B12079" t="s">
        <v>384</v>
      </c>
      <c r="C12079" t="s">
        <v>254</v>
      </c>
      <c r="D12079">
        <v>1360</v>
      </c>
      <c r="E12079">
        <v>1144</v>
      </c>
      <c r="F12079">
        <v>1108</v>
      </c>
      <c r="G12079">
        <v>1013</v>
      </c>
    </row>
    <row r="12080" spans="1:7">
      <c r="A12080" t="s">
        <v>1876</v>
      </c>
      <c r="B12080" t="s">
        <v>384</v>
      </c>
      <c r="C12080" t="s">
        <v>1942</v>
      </c>
      <c r="D12080">
        <v>0</v>
      </c>
      <c r="E12080">
        <v>0</v>
      </c>
      <c r="F12080">
        <v>0</v>
      </c>
      <c r="G12080">
        <v>0</v>
      </c>
    </row>
    <row r="12081" spans="1:7">
      <c r="A12081" t="s">
        <v>1876</v>
      </c>
      <c r="B12081" t="s">
        <v>384</v>
      </c>
      <c r="C12081" t="s">
        <v>255</v>
      </c>
      <c r="D12081">
        <v>8402</v>
      </c>
      <c r="E12081">
        <v>13884</v>
      </c>
      <c r="F12081">
        <v>28339</v>
      </c>
      <c r="G12081">
        <v>36141</v>
      </c>
    </row>
    <row r="12082" spans="1:7">
      <c r="A12082" t="s">
        <v>1876</v>
      </c>
      <c r="B12082" t="s">
        <v>384</v>
      </c>
      <c r="C12082" t="s">
        <v>256</v>
      </c>
      <c r="D12082">
        <v>8402</v>
      </c>
      <c r="E12082">
        <v>13884</v>
      </c>
      <c r="F12082">
        <v>28339</v>
      </c>
      <c r="G12082">
        <v>36141</v>
      </c>
    </row>
    <row r="12083" spans="1:7">
      <c r="A12083" t="s">
        <v>1876</v>
      </c>
      <c r="B12083" t="s">
        <v>384</v>
      </c>
      <c r="C12083" t="s">
        <v>1714</v>
      </c>
      <c r="D12083">
        <v>0</v>
      </c>
      <c r="E12083">
        <v>0</v>
      </c>
      <c r="F12083">
        <v>0</v>
      </c>
      <c r="G12083">
        <v>0</v>
      </c>
    </row>
    <row r="12084" spans="1:7">
      <c r="A12084" t="s">
        <v>1876</v>
      </c>
      <c r="B12084" t="s">
        <v>384</v>
      </c>
      <c r="C12084" t="s">
        <v>257</v>
      </c>
      <c r="D12084">
        <v>12857</v>
      </c>
      <c r="E12084">
        <v>12974</v>
      </c>
      <c r="F12084">
        <v>11581</v>
      </c>
      <c r="G12084">
        <v>12727</v>
      </c>
    </row>
    <row r="12085" spans="1:7">
      <c r="A12085" t="s">
        <v>1876</v>
      </c>
      <c r="B12085" t="s">
        <v>384</v>
      </c>
      <c r="C12085" t="s">
        <v>258</v>
      </c>
      <c r="D12085">
        <v>21925</v>
      </c>
      <c r="E12085">
        <v>27789</v>
      </c>
      <c r="F12085">
        <v>40579</v>
      </c>
      <c r="G12085">
        <v>49502</v>
      </c>
    </row>
    <row r="12086" spans="1:7">
      <c r="A12086" t="s">
        <v>1876</v>
      </c>
      <c r="B12086" t="s">
        <v>384</v>
      </c>
      <c r="C12086" t="s">
        <v>259</v>
      </c>
      <c r="D12086">
        <v>21925</v>
      </c>
      <c r="E12086">
        <v>27789</v>
      </c>
      <c r="F12086">
        <v>40579</v>
      </c>
      <c r="G12086">
        <v>49502</v>
      </c>
    </row>
    <row r="12087" spans="1:7">
      <c r="A12087" t="s">
        <v>1876</v>
      </c>
      <c r="B12087" t="s">
        <v>384</v>
      </c>
      <c r="C12087" t="s">
        <v>260</v>
      </c>
      <c r="D12087">
        <v>293593</v>
      </c>
      <c r="E12087">
        <v>296532</v>
      </c>
      <c r="F12087">
        <v>311717</v>
      </c>
      <c r="G12087">
        <v>312878</v>
      </c>
    </row>
    <row r="12088" spans="1:7">
      <c r="A12088" t="s">
        <v>1876</v>
      </c>
      <c r="B12088" t="s">
        <v>384</v>
      </c>
      <c r="C12088" t="s">
        <v>1943</v>
      </c>
      <c r="D12088">
        <v>0.3</v>
      </c>
      <c r="E12088">
        <v>0.3</v>
      </c>
      <c r="F12088">
        <v>0.3</v>
      </c>
      <c r="G12088">
        <v>0.3</v>
      </c>
    </row>
    <row r="12089" spans="1:7">
      <c r="A12089" t="s">
        <v>1876</v>
      </c>
      <c r="B12089" t="s">
        <v>384</v>
      </c>
      <c r="C12089" t="s">
        <v>261</v>
      </c>
      <c r="D12089">
        <v>11456</v>
      </c>
      <c r="E12089">
        <v>11474</v>
      </c>
      <c r="F12089">
        <v>12035</v>
      </c>
      <c r="G12089">
        <v>11531</v>
      </c>
    </row>
    <row r="12090" spans="1:7">
      <c r="A12090" t="s">
        <v>1876</v>
      </c>
      <c r="B12090" t="s">
        <v>384</v>
      </c>
      <c r="C12090" t="s">
        <v>262</v>
      </c>
      <c r="D12090">
        <v>1</v>
      </c>
      <c r="E12090">
        <v>15</v>
      </c>
      <c r="F12090">
        <v>0</v>
      </c>
      <c r="G12090">
        <v>136</v>
      </c>
    </row>
    <row r="12091" spans="1:7">
      <c r="A12091" t="s">
        <v>1876</v>
      </c>
      <c r="B12091" t="s">
        <v>384</v>
      </c>
      <c r="C12091" t="s">
        <v>1715</v>
      </c>
      <c r="D12091">
        <v>7</v>
      </c>
      <c r="E12091">
        <v>7</v>
      </c>
      <c r="F12091">
        <v>7</v>
      </c>
      <c r="G12091">
        <v>7</v>
      </c>
    </row>
    <row r="12092" spans="1:7">
      <c r="A12092" t="s">
        <v>1876</v>
      </c>
      <c r="B12092" t="s">
        <v>384</v>
      </c>
      <c r="C12092" t="s">
        <v>263</v>
      </c>
      <c r="D12092">
        <v>31736</v>
      </c>
      <c r="E12092">
        <v>34061</v>
      </c>
      <c r="F12092">
        <v>30455</v>
      </c>
      <c r="G12092">
        <v>33349</v>
      </c>
    </row>
    <row r="12093" spans="1:7">
      <c r="A12093" t="s">
        <v>1876</v>
      </c>
      <c r="B12093" t="s">
        <v>384</v>
      </c>
      <c r="C12093" t="s">
        <v>264</v>
      </c>
      <c r="D12093">
        <v>5392</v>
      </c>
      <c r="E12093">
        <v>4463</v>
      </c>
      <c r="F12093">
        <v>4630</v>
      </c>
      <c r="G12093">
        <v>4268</v>
      </c>
    </row>
    <row r="12094" spans="1:7">
      <c r="A12094" t="s">
        <v>1876</v>
      </c>
      <c r="B12094" t="s">
        <v>384</v>
      </c>
      <c r="C12094" t="s">
        <v>265</v>
      </c>
      <c r="D12094">
        <v>342177</v>
      </c>
      <c r="E12094">
        <v>346545</v>
      </c>
      <c r="F12094">
        <v>358837</v>
      </c>
      <c r="G12094">
        <v>362162</v>
      </c>
    </row>
    <row r="12095" spans="1:7">
      <c r="A12095" t="s">
        <v>1876</v>
      </c>
      <c r="B12095" t="s">
        <v>384</v>
      </c>
      <c r="C12095" t="s">
        <v>266</v>
      </c>
      <c r="D12095">
        <v>80.400000000000006</v>
      </c>
      <c r="E12095">
        <v>81.599999999999994</v>
      </c>
      <c r="F12095">
        <v>84.4</v>
      </c>
      <c r="G12095">
        <v>84.9</v>
      </c>
    </row>
    <row r="12096" spans="1:7">
      <c r="A12096" t="s">
        <v>1876</v>
      </c>
      <c r="B12096" t="s">
        <v>384</v>
      </c>
      <c r="C12096" t="s">
        <v>267</v>
      </c>
      <c r="D12096">
        <v>342176</v>
      </c>
      <c r="E12096">
        <v>346530</v>
      </c>
      <c r="F12096">
        <v>358837</v>
      </c>
      <c r="G12096">
        <v>362025</v>
      </c>
    </row>
    <row r="12097" spans="1:7">
      <c r="A12097" t="s">
        <v>1876</v>
      </c>
      <c r="B12097" t="s">
        <v>384</v>
      </c>
      <c r="C12097" t="s">
        <v>268</v>
      </c>
      <c r="D12097">
        <v>0</v>
      </c>
      <c r="E12097">
        <v>0</v>
      </c>
      <c r="F12097">
        <v>0</v>
      </c>
      <c r="G12097">
        <v>0</v>
      </c>
    </row>
    <row r="12098" spans="1:7">
      <c r="A12098" t="s">
        <v>1876</v>
      </c>
      <c r="B12098" t="s">
        <v>384</v>
      </c>
      <c r="C12098" t="s">
        <v>269</v>
      </c>
      <c r="D12098">
        <v>0</v>
      </c>
      <c r="E12098">
        <v>0</v>
      </c>
      <c r="F12098">
        <v>0</v>
      </c>
      <c r="G12098">
        <v>0</v>
      </c>
    </row>
    <row r="12099" spans="1:7">
      <c r="A12099" t="s">
        <v>1876</v>
      </c>
      <c r="B12099" t="s">
        <v>384</v>
      </c>
      <c r="C12099" t="s">
        <v>270</v>
      </c>
      <c r="D12099">
        <v>0</v>
      </c>
      <c r="E12099">
        <v>0</v>
      </c>
      <c r="F12099">
        <v>0</v>
      </c>
      <c r="G12099">
        <v>0</v>
      </c>
    </row>
    <row r="12100" spans="1:7">
      <c r="A12100" t="s">
        <v>1876</v>
      </c>
      <c r="B12100" t="s">
        <v>384</v>
      </c>
      <c r="C12100" t="s">
        <v>271</v>
      </c>
      <c r="D12100">
        <v>0</v>
      </c>
      <c r="E12100">
        <v>0</v>
      </c>
      <c r="F12100">
        <v>0</v>
      </c>
      <c r="G12100">
        <v>0</v>
      </c>
    </row>
    <row r="12101" spans="1:7">
      <c r="A12101" t="s">
        <v>1876</v>
      </c>
      <c r="B12101" t="s">
        <v>384</v>
      </c>
      <c r="C12101" t="s">
        <v>272</v>
      </c>
      <c r="D12101">
        <v>0</v>
      </c>
      <c r="E12101">
        <v>0</v>
      </c>
      <c r="F12101">
        <v>0</v>
      </c>
      <c r="G12101">
        <v>0</v>
      </c>
    </row>
    <row r="12102" spans="1:7">
      <c r="A12102" t="s">
        <v>1876</v>
      </c>
      <c r="B12102" t="s">
        <v>384</v>
      </c>
      <c r="C12102" t="s">
        <v>1944</v>
      </c>
      <c r="D12102">
        <v>16.5</v>
      </c>
      <c r="E12102">
        <v>20.8</v>
      </c>
      <c r="F12102">
        <v>25.4</v>
      </c>
      <c r="G12102">
        <v>32</v>
      </c>
    </row>
    <row r="12103" spans="1:7">
      <c r="A12103" t="s">
        <v>1876</v>
      </c>
      <c r="B12103" t="s">
        <v>384</v>
      </c>
      <c r="C12103" t="s">
        <v>1945</v>
      </c>
      <c r="D12103">
        <v>27</v>
      </c>
      <c r="E12103">
        <v>38</v>
      </c>
      <c r="F12103">
        <v>65</v>
      </c>
      <c r="G12103">
        <v>77</v>
      </c>
    </row>
    <row r="12104" spans="1:7">
      <c r="A12104" t="s">
        <v>1876</v>
      </c>
      <c r="B12104" t="s">
        <v>384</v>
      </c>
      <c r="C12104" t="s">
        <v>273</v>
      </c>
      <c r="D12104">
        <v>0</v>
      </c>
      <c r="E12104">
        <v>0</v>
      </c>
      <c r="F12104">
        <v>0</v>
      </c>
      <c r="G12104">
        <v>0</v>
      </c>
    </row>
    <row r="12105" spans="1:7">
      <c r="A12105" t="s">
        <v>1876</v>
      </c>
      <c r="B12105" t="s">
        <v>384</v>
      </c>
      <c r="C12105" t="s">
        <v>1946</v>
      </c>
      <c r="D12105">
        <v>269553</v>
      </c>
      <c r="E12105">
        <v>266292</v>
      </c>
      <c r="F12105">
        <v>266885</v>
      </c>
      <c r="G12105">
        <v>260783</v>
      </c>
    </row>
    <row r="12106" spans="1:7">
      <c r="A12106" t="s">
        <v>1876</v>
      </c>
      <c r="B12106" t="s">
        <v>384</v>
      </c>
      <c r="C12106" t="s">
        <v>1947</v>
      </c>
      <c r="D12106">
        <v>11094</v>
      </c>
      <c r="E12106">
        <v>11104</v>
      </c>
      <c r="F12106">
        <v>11665</v>
      </c>
      <c r="G12106">
        <v>11172</v>
      </c>
    </row>
    <row r="12107" spans="1:7">
      <c r="A12107" t="s">
        <v>1876</v>
      </c>
      <c r="B12107" t="s">
        <v>384</v>
      </c>
      <c r="C12107" t="s">
        <v>1948</v>
      </c>
      <c r="D12107">
        <v>1</v>
      </c>
      <c r="E12107">
        <v>15</v>
      </c>
      <c r="F12107">
        <v>0</v>
      </c>
      <c r="G12107">
        <v>136</v>
      </c>
    </row>
    <row r="12108" spans="1:7">
      <c r="A12108" t="s">
        <v>1876</v>
      </c>
      <c r="B12108" t="s">
        <v>384</v>
      </c>
      <c r="C12108" t="s">
        <v>1949</v>
      </c>
      <c r="D12108">
        <v>31497</v>
      </c>
      <c r="E12108">
        <v>33808</v>
      </c>
      <c r="F12108">
        <v>30198</v>
      </c>
      <c r="G12108">
        <v>32929</v>
      </c>
    </row>
    <row r="12109" spans="1:7">
      <c r="A12109" t="s">
        <v>1876</v>
      </c>
      <c r="B12109" t="s">
        <v>384</v>
      </c>
      <c r="C12109" t="s">
        <v>1950</v>
      </c>
      <c r="D12109">
        <v>5392</v>
      </c>
      <c r="E12109">
        <v>4463</v>
      </c>
      <c r="F12109">
        <v>4630</v>
      </c>
      <c r="G12109">
        <v>4268</v>
      </c>
    </row>
    <row r="12110" spans="1:7">
      <c r="A12110" t="s">
        <v>1876</v>
      </c>
      <c r="B12110" t="s">
        <v>384</v>
      </c>
      <c r="C12110" t="s">
        <v>274</v>
      </c>
      <c r="D12110">
        <v>317536</v>
      </c>
      <c r="E12110">
        <v>315681</v>
      </c>
      <c r="F12110">
        <v>313378</v>
      </c>
      <c r="G12110">
        <v>309288</v>
      </c>
    </row>
    <row r="12111" spans="1:7">
      <c r="A12111" t="s">
        <v>1876</v>
      </c>
      <c r="B12111" t="s">
        <v>384</v>
      </c>
      <c r="C12111" t="s">
        <v>275</v>
      </c>
      <c r="D12111">
        <v>0</v>
      </c>
      <c r="E12111">
        <v>0</v>
      </c>
      <c r="F12111">
        <v>0</v>
      </c>
      <c r="G12111">
        <v>0</v>
      </c>
    </row>
    <row r="12112" spans="1:7">
      <c r="A12112" t="s">
        <v>1876</v>
      </c>
      <c r="B12112" t="s">
        <v>384</v>
      </c>
      <c r="C12112" t="s">
        <v>276</v>
      </c>
      <c r="D12112">
        <v>0</v>
      </c>
      <c r="E12112">
        <v>0</v>
      </c>
      <c r="F12112">
        <v>0</v>
      </c>
      <c r="G12112">
        <v>0</v>
      </c>
    </row>
    <row r="12113" spans="1:7">
      <c r="A12113" t="s">
        <v>1876</v>
      </c>
      <c r="B12113" t="s">
        <v>384</v>
      </c>
      <c r="C12113" t="s">
        <v>277</v>
      </c>
      <c r="D12113">
        <v>88</v>
      </c>
      <c r="E12113">
        <v>234</v>
      </c>
      <c r="F12113">
        <v>346</v>
      </c>
      <c r="G12113">
        <v>234</v>
      </c>
    </row>
    <row r="12114" spans="1:7">
      <c r="A12114" t="s">
        <v>1876</v>
      </c>
      <c r="B12114" t="s">
        <v>384</v>
      </c>
      <c r="C12114" t="s">
        <v>278</v>
      </c>
      <c r="D12114">
        <v>4063</v>
      </c>
      <c r="E12114">
        <v>4036</v>
      </c>
      <c r="F12114">
        <v>4423</v>
      </c>
      <c r="G12114">
        <v>4173</v>
      </c>
    </row>
    <row r="12115" spans="1:7">
      <c r="A12115" t="s">
        <v>1876</v>
      </c>
      <c r="B12115" t="s">
        <v>384</v>
      </c>
      <c r="C12115" t="s">
        <v>279</v>
      </c>
      <c r="D12115">
        <v>1447</v>
      </c>
      <c r="E12115">
        <v>3309</v>
      </c>
      <c r="F12115">
        <v>1406</v>
      </c>
      <c r="G12115">
        <v>1323</v>
      </c>
    </row>
    <row r="12116" spans="1:7">
      <c r="A12116" t="s">
        <v>1876</v>
      </c>
      <c r="B12116" t="s">
        <v>384</v>
      </c>
      <c r="C12116" t="s">
        <v>280</v>
      </c>
      <c r="D12116">
        <v>3377</v>
      </c>
      <c r="E12116">
        <v>2468</v>
      </c>
      <c r="F12116">
        <v>2389</v>
      </c>
      <c r="G12116">
        <v>2228</v>
      </c>
    </row>
    <row r="12117" spans="1:7">
      <c r="A12117" t="s">
        <v>1876</v>
      </c>
      <c r="B12117" t="s">
        <v>384</v>
      </c>
      <c r="C12117" t="s">
        <v>281</v>
      </c>
      <c r="D12117">
        <v>8974</v>
      </c>
      <c r="E12117">
        <v>10047</v>
      </c>
      <c r="F12117">
        <v>8564</v>
      </c>
      <c r="G12117">
        <v>7959</v>
      </c>
    </row>
    <row r="12118" spans="1:7">
      <c r="A12118" t="s">
        <v>1876</v>
      </c>
      <c r="B12118" t="s">
        <v>384</v>
      </c>
      <c r="C12118" t="s">
        <v>282</v>
      </c>
      <c r="D12118">
        <v>8974</v>
      </c>
      <c r="E12118">
        <v>10047</v>
      </c>
      <c r="F12118">
        <v>8564</v>
      </c>
      <c r="G12118">
        <v>7959</v>
      </c>
    </row>
    <row r="12119" spans="1:7">
      <c r="A12119" t="s">
        <v>1876</v>
      </c>
      <c r="B12119" t="s">
        <v>384</v>
      </c>
      <c r="C12119" t="s">
        <v>283</v>
      </c>
      <c r="D12119">
        <v>0</v>
      </c>
      <c r="E12119">
        <v>0</v>
      </c>
      <c r="F12119">
        <v>0</v>
      </c>
      <c r="G12119">
        <v>0</v>
      </c>
    </row>
    <row r="12120" spans="1:7">
      <c r="A12120" t="s">
        <v>1876</v>
      </c>
      <c r="B12120" t="s">
        <v>384</v>
      </c>
      <c r="C12120" t="s">
        <v>284</v>
      </c>
      <c r="D12120">
        <v>0</v>
      </c>
      <c r="E12120">
        <v>0</v>
      </c>
      <c r="F12120">
        <v>0</v>
      </c>
      <c r="G12120">
        <v>0</v>
      </c>
    </row>
    <row r="12121" spans="1:7">
      <c r="A12121" t="s">
        <v>1876</v>
      </c>
      <c r="B12121" t="s">
        <v>384</v>
      </c>
      <c r="C12121" t="s">
        <v>1716</v>
      </c>
      <c r="D12121">
        <v>24039</v>
      </c>
      <c r="E12121">
        <v>30241</v>
      </c>
      <c r="F12121">
        <v>44832</v>
      </c>
      <c r="G12121">
        <v>52095</v>
      </c>
    </row>
    <row r="12122" spans="1:7">
      <c r="A12122" t="s">
        <v>1876</v>
      </c>
      <c r="B12122" t="s">
        <v>384</v>
      </c>
      <c r="C12122" t="s">
        <v>1717</v>
      </c>
      <c r="D12122">
        <v>4100</v>
      </c>
      <c r="E12122">
        <v>4101</v>
      </c>
      <c r="F12122">
        <v>4114</v>
      </c>
      <c r="G12122">
        <v>4199</v>
      </c>
    </row>
    <row r="12123" spans="1:7">
      <c r="A12123" t="s">
        <v>1876</v>
      </c>
      <c r="B12123" t="s">
        <v>384</v>
      </c>
      <c r="C12123" t="s">
        <v>1718</v>
      </c>
      <c r="D12123">
        <v>138932</v>
      </c>
      <c r="E12123">
        <v>147297</v>
      </c>
      <c r="F12123">
        <v>132923</v>
      </c>
      <c r="G12123">
        <v>139183</v>
      </c>
    </row>
    <row r="12124" spans="1:7">
      <c r="A12124" t="s">
        <v>1876</v>
      </c>
      <c r="B12124" t="s">
        <v>384</v>
      </c>
      <c r="C12124" t="s">
        <v>1719</v>
      </c>
      <c r="D12124">
        <v>13157</v>
      </c>
      <c r="E12124">
        <v>13453</v>
      </c>
      <c r="F12124">
        <v>13665</v>
      </c>
      <c r="G12124">
        <v>13601</v>
      </c>
    </row>
    <row r="12125" spans="1:7">
      <c r="A12125" t="s">
        <v>1876</v>
      </c>
      <c r="B12125" t="s">
        <v>384</v>
      </c>
      <c r="C12125" t="s">
        <v>1720</v>
      </c>
      <c r="D12125">
        <v>44404</v>
      </c>
      <c r="E12125">
        <v>43699</v>
      </c>
      <c r="F12125">
        <v>43618</v>
      </c>
      <c r="G12125">
        <v>44254</v>
      </c>
    </row>
    <row r="12126" spans="1:7">
      <c r="A12126" t="s">
        <v>1876</v>
      </c>
      <c r="B12126" t="s">
        <v>384</v>
      </c>
      <c r="C12126" t="s">
        <v>1721</v>
      </c>
      <c r="D12126">
        <v>14035</v>
      </c>
      <c r="E12126">
        <v>17338</v>
      </c>
      <c r="F12126">
        <v>15453</v>
      </c>
      <c r="G12126">
        <v>14977</v>
      </c>
    </row>
    <row r="12127" spans="1:7">
      <c r="A12127" t="s">
        <v>1876</v>
      </c>
      <c r="B12127" t="s">
        <v>384</v>
      </c>
      <c r="C12127" t="s">
        <v>285</v>
      </c>
      <c r="D12127">
        <v>225510</v>
      </c>
      <c r="E12127">
        <v>242676</v>
      </c>
      <c r="F12127">
        <v>240941</v>
      </c>
      <c r="G12127">
        <v>254707</v>
      </c>
    </row>
    <row r="12128" spans="1:7">
      <c r="A12128" t="s">
        <v>1876</v>
      </c>
      <c r="B12128" t="s">
        <v>384</v>
      </c>
      <c r="C12128" t="s">
        <v>1951</v>
      </c>
      <c r="D12128">
        <v>27.1</v>
      </c>
      <c r="E12128">
        <v>28.6</v>
      </c>
      <c r="F12128">
        <v>27.4</v>
      </c>
      <c r="G12128">
        <v>28.5</v>
      </c>
    </row>
    <row r="12129" spans="1:7">
      <c r="A12129" t="s">
        <v>1876</v>
      </c>
      <c r="B12129" t="s">
        <v>384</v>
      </c>
      <c r="C12129" t="s">
        <v>286</v>
      </c>
      <c r="D12129">
        <v>737</v>
      </c>
      <c r="E12129">
        <v>755</v>
      </c>
      <c r="F12129">
        <v>627</v>
      </c>
      <c r="G12129">
        <v>678</v>
      </c>
    </row>
    <row r="12130" spans="1:7">
      <c r="A12130" t="s">
        <v>1876</v>
      </c>
      <c r="B12130" t="s">
        <v>384</v>
      </c>
      <c r="C12130" t="s">
        <v>287</v>
      </c>
      <c r="D12130">
        <v>0</v>
      </c>
      <c r="E12130">
        <v>0</v>
      </c>
      <c r="F12130">
        <v>0</v>
      </c>
      <c r="G12130">
        <v>0</v>
      </c>
    </row>
    <row r="12131" spans="1:7">
      <c r="A12131" t="s">
        <v>1876</v>
      </c>
      <c r="B12131" t="s">
        <v>384</v>
      </c>
      <c r="C12131" t="s">
        <v>288</v>
      </c>
      <c r="D12131">
        <v>0</v>
      </c>
      <c r="E12131">
        <v>0</v>
      </c>
      <c r="F12131">
        <v>0</v>
      </c>
      <c r="G12131">
        <v>0</v>
      </c>
    </row>
    <row r="12132" spans="1:7">
      <c r="A12132" t="s">
        <v>1876</v>
      </c>
      <c r="B12132" t="s">
        <v>384</v>
      </c>
      <c r="C12132" t="s">
        <v>289</v>
      </c>
      <c r="D12132">
        <v>76</v>
      </c>
      <c r="E12132">
        <v>78</v>
      </c>
      <c r="F12132">
        <v>64</v>
      </c>
      <c r="G12132">
        <v>70</v>
      </c>
    </row>
    <row r="12133" spans="1:7">
      <c r="A12133" t="s">
        <v>1876</v>
      </c>
      <c r="B12133" t="s">
        <v>384</v>
      </c>
      <c r="C12133" t="s">
        <v>290</v>
      </c>
      <c r="D12133">
        <v>812</v>
      </c>
      <c r="E12133">
        <v>832</v>
      </c>
      <c r="F12133">
        <v>691</v>
      </c>
      <c r="G12133">
        <v>748</v>
      </c>
    </row>
    <row r="12134" spans="1:7">
      <c r="A12134" t="s">
        <v>1876</v>
      </c>
      <c r="B12134" t="s">
        <v>384</v>
      </c>
      <c r="C12134" t="s">
        <v>291</v>
      </c>
      <c r="D12134">
        <v>812</v>
      </c>
      <c r="E12134">
        <v>832</v>
      </c>
      <c r="F12134">
        <v>691</v>
      </c>
      <c r="G12134">
        <v>748</v>
      </c>
    </row>
    <row r="12135" spans="1:7">
      <c r="A12135" t="s">
        <v>1876</v>
      </c>
      <c r="B12135" t="s">
        <v>384</v>
      </c>
      <c r="C12135" t="s">
        <v>292</v>
      </c>
      <c r="D12135">
        <v>0</v>
      </c>
      <c r="E12135">
        <v>0</v>
      </c>
      <c r="F12135">
        <v>18</v>
      </c>
      <c r="G12135">
        <v>21</v>
      </c>
    </row>
    <row r="12136" spans="1:7">
      <c r="A12136" t="s">
        <v>1876</v>
      </c>
      <c r="B12136" t="s">
        <v>384</v>
      </c>
      <c r="C12136" t="s">
        <v>293</v>
      </c>
      <c r="D12136">
        <v>0</v>
      </c>
      <c r="E12136">
        <v>0</v>
      </c>
      <c r="F12136">
        <v>90</v>
      </c>
      <c r="G12136">
        <v>123</v>
      </c>
    </row>
    <row r="12137" spans="1:7">
      <c r="A12137" t="s">
        <v>1876</v>
      </c>
      <c r="B12137" t="s">
        <v>384</v>
      </c>
      <c r="C12137" t="s">
        <v>294</v>
      </c>
      <c r="D12137">
        <v>0</v>
      </c>
      <c r="E12137">
        <v>0</v>
      </c>
      <c r="F12137">
        <v>31</v>
      </c>
      <c r="G12137">
        <v>39</v>
      </c>
    </row>
    <row r="12138" spans="1:7">
      <c r="A12138" t="s">
        <v>1876</v>
      </c>
      <c r="B12138" t="s">
        <v>384</v>
      </c>
      <c r="C12138" t="s">
        <v>295</v>
      </c>
      <c r="D12138">
        <v>0</v>
      </c>
      <c r="E12138">
        <v>0</v>
      </c>
      <c r="F12138">
        <v>26</v>
      </c>
      <c r="G12138">
        <v>32</v>
      </c>
    </row>
    <row r="12139" spans="1:7">
      <c r="A12139" t="s">
        <v>1876</v>
      </c>
      <c r="B12139" t="s">
        <v>384</v>
      </c>
      <c r="C12139" t="s">
        <v>296</v>
      </c>
      <c r="D12139">
        <v>0</v>
      </c>
      <c r="E12139">
        <v>0</v>
      </c>
      <c r="F12139">
        <v>165</v>
      </c>
      <c r="G12139">
        <v>215</v>
      </c>
    </row>
    <row r="12140" spans="1:7">
      <c r="A12140" t="s">
        <v>1876</v>
      </c>
      <c r="B12140" t="s">
        <v>384</v>
      </c>
      <c r="C12140" t="s">
        <v>297</v>
      </c>
      <c r="D12140">
        <v>0</v>
      </c>
      <c r="E12140">
        <v>0</v>
      </c>
      <c r="F12140">
        <v>0</v>
      </c>
      <c r="G12140">
        <v>0</v>
      </c>
    </row>
    <row r="12141" spans="1:7">
      <c r="A12141" t="s">
        <v>1876</v>
      </c>
      <c r="B12141" t="s">
        <v>384</v>
      </c>
      <c r="C12141" t="s">
        <v>1952</v>
      </c>
      <c r="D12141">
        <v>0</v>
      </c>
      <c r="E12141">
        <v>0</v>
      </c>
      <c r="F12141">
        <v>0</v>
      </c>
      <c r="G12141">
        <v>0</v>
      </c>
    </row>
    <row r="12142" spans="1:7">
      <c r="A12142" t="s">
        <v>1876</v>
      </c>
      <c r="B12142" t="s">
        <v>384</v>
      </c>
      <c r="C12142" t="s">
        <v>298</v>
      </c>
      <c r="D12142">
        <v>986</v>
      </c>
      <c r="E12142">
        <v>841</v>
      </c>
      <c r="F12142">
        <v>842</v>
      </c>
      <c r="G12142">
        <v>736</v>
      </c>
    </row>
    <row r="12143" spans="1:7">
      <c r="A12143" t="s">
        <v>1876</v>
      </c>
      <c r="B12143" t="s">
        <v>384</v>
      </c>
      <c r="C12143" t="s">
        <v>299</v>
      </c>
      <c r="D12143">
        <v>369</v>
      </c>
      <c r="E12143">
        <v>423</v>
      </c>
      <c r="F12143">
        <v>455</v>
      </c>
      <c r="G12143">
        <v>508</v>
      </c>
    </row>
    <row r="12144" spans="1:7">
      <c r="A12144" t="s">
        <v>1876</v>
      </c>
      <c r="B12144" t="s">
        <v>384</v>
      </c>
      <c r="C12144" t="s">
        <v>300</v>
      </c>
      <c r="D12144">
        <v>4985</v>
      </c>
      <c r="E12144">
        <v>5488</v>
      </c>
      <c r="F12144">
        <v>6485</v>
      </c>
      <c r="G12144">
        <v>6829</v>
      </c>
    </row>
    <row r="12145" spans="1:7">
      <c r="A12145" t="s">
        <v>1876</v>
      </c>
      <c r="B12145" t="s">
        <v>384</v>
      </c>
      <c r="C12145" t="s">
        <v>1722</v>
      </c>
      <c r="D12145">
        <v>726</v>
      </c>
      <c r="E12145">
        <v>794</v>
      </c>
      <c r="F12145">
        <v>1011</v>
      </c>
      <c r="G12145">
        <v>1052</v>
      </c>
    </row>
    <row r="12146" spans="1:7">
      <c r="A12146" t="s">
        <v>1876</v>
      </c>
      <c r="B12146" t="s">
        <v>384</v>
      </c>
      <c r="C12146" t="s">
        <v>301</v>
      </c>
      <c r="D12146">
        <v>56</v>
      </c>
      <c r="E12146">
        <v>66</v>
      </c>
      <c r="F12146">
        <v>72</v>
      </c>
      <c r="G12146">
        <v>82</v>
      </c>
    </row>
    <row r="12147" spans="1:7">
      <c r="A12147" t="s">
        <v>1876</v>
      </c>
      <c r="B12147" t="s">
        <v>384</v>
      </c>
      <c r="C12147" t="s">
        <v>302</v>
      </c>
      <c r="D12147">
        <v>1993</v>
      </c>
      <c r="E12147">
        <v>2268</v>
      </c>
      <c r="F12147">
        <v>2584</v>
      </c>
      <c r="G12147">
        <v>2888</v>
      </c>
    </row>
    <row r="12148" spans="1:7">
      <c r="A12148" t="s">
        <v>1876</v>
      </c>
      <c r="B12148" t="s">
        <v>384</v>
      </c>
      <c r="C12148" t="s">
        <v>303</v>
      </c>
      <c r="D12148">
        <v>7404</v>
      </c>
      <c r="E12148">
        <v>8245</v>
      </c>
      <c r="F12148">
        <v>9596</v>
      </c>
      <c r="G12148">
        <v>10307</v>
      </c>
    </row>
    <row r="12149" spans="1:7">
      <c r="A12149" t="s">
        <v>1876</v>
      </c>
      <c r="B12149" t="s">
        <v>384</v>
      </c>
      <c r="C12149" t="s">
        <v>304</v>
      </c>
      <c r="D12149">
        <v>2419</v>
      </c>
      <c r="E12149">
        <v>2757</v>
      </c>
      <c r="F12149">
        <v>3111</v>
      </c>
      <c r="G12149">
        <v>3478</v>
      </c>
    </row>
    <row r="12150" spans="1:7">
      <c r="A12150" t="s">
        <v>1876</v>
      </c>
      <c r="B12150" t="s">
        <v>384</v>
      </c>
      <c r="C12150" t="s">
        <v>1953</v>
      </c>
      <c r="D12150">
        <v>24</v>
      </c>
      <c r="E12150">
        <v>23.9</v>
      </c>
      <c r="F12150">
        <v>23.5</v>
      </c>
      <c r="G12150">
        <v>22.2</v>
      </c>
    </row>
    <row r="12151" spans="1:7">
      <c r="A12151" t="s">
        <v>1876</v>
      </c>
      <c r="B12151" t="s">
        <v>384</v>
      </c>
      <c r="C12151" t="s">
        <v>305</v>
      </c>
      <c r="D12151">
        <v>302063</v>
      </c>
      <c r="E12151">
        <v>306117</v>
      </c>
      <c r="F12151">
        <v>321826</v>
      </c>
      <c r="G12151">
        <v>322860</v>
      </c>
    </row>
    <row r="12152" spans="1:7">
      <c r="A12152" t="s">
        <v>1876</v>
      </c>
      <c r="B12152" t="s">
        <v>384</v>
      </c>
      <c r="C12152" t="s">
        <v>306</v>
      </c>
      <c r="D12152">
        <v>71</v>
      </c>
      <c r="E12152">
        <v>72.099999999999994</v>
      </c>
      <c r="F12152">
        <v>75.7</v>
      </c>
      <c r="G12152">
        <v>75.7</v>
      </c>
    </row>
    <row r="12153" spans="1:7">
      <c r="A12153" t="s">
        <v>1876</v>
      </c>
      <c r="B12153" t="s">
        <v>384</v>
      </c>
      <c r="C12153" t="s">
        <v>307</v>
      </c>
      <c r="D12153">
        <v>130937</v>
      </c>
      <c r="E12153">
        <v>132786</v>
      </c>
      <c r="F12153">
        <v>171412</v>
      </c>
      <c r="G12153">
        <v>179633</v>
      </c>
    </row>
    <row r="12154" spans="1:7">
      <c r="A12154" t="s">
        <v>1876</v>
      </c>
      <c r="B12154" t="s">
        <v>384</v>
      </c>
      <c r="C12154" t="s">
        <v>308</v>
      </c>
      <c r="D12154">
        <v>30.8</v>
      </c>
      <c r="E12154">
        <v>31.3</v>
      </c>
      <c r="F12154">
        <v>40.299999999999997</v>
      </c>
      <c r="G12154">
        <v>42.1</v>
      </c>
    </row>
    <row r="12155" spans="1:7">
      <c r="A12155" t="s">
        <v>1876</v>
      </c>
      <c r="B12155" t="s">
        <v>384</v>
      </c>
      <c r="C12155" t="s">
        <v>309</v>
      </c>
      <c r="D12155">
        <v>294496</v>
      </c>
      <c r="E12155">
        <v>287379</v>
      </c>
      <c r="F12155">
        <v>306722</v>
      </c>
      <c r="G12155">
        <v>324993</v>
      </c>
    </row>
    <row r="12156" spans="1:7">
      <c r="A12156" t="s">
        <v>1876</v>
      </c>
      <c r="B12156" t="s">
        <v>384</v>
      </c>
      <c r="C12156" t="s">
        <v>310</v>
      </c>
      <c r="D12156">
        <v>227143</v>
      </c>
      <c r="E12156">
        <v>232896</v>
      </c>
      <c r="F12156">
        <v>209437</v>
      </c>
      <c r="G12156">
        <v>218008</v>
      </c>
    </row>
    <row r="12157" spans="1:7">
      <c r="A12157" t="s">
        <v>1876</v>
      </c>
      <c r="B12157" t="s">
        <v>384</v>
      </c>
      <c r="C12157" t="s">
        <v>311</v>
      </c>
      <c r="D12157">
        <v>53.4</v>
      </c>
      <c r="E12157">
        <v>54.9</v>
      </c>
      <c r="F12157">
        <v>49.3</v>
      </c>
      <c r="G12157">
        <v>51.1</v>
      </c>
    </row>
    <row r="12158" spans="1:7">
      <c r="A12158" t="s">
        <v>1876</v>
      </c>
      <c r="B12158" t="s">
        <v>384</v>
      </c>
      <c r="C12158" t="s">
        <v>312</v>
      </c>
      <c r="D12158">
        <v>171910</v>
      </c>
      <c r="E12158">
        <v>177155</v>
      </c>
      <c r="F12158">
        <v>177894</v>
      </c>
      <c r="G12158">
        <v>173147</v>
      </c>
    </row>
    <row r="12159" spans="1:7">
      <c r="A12159" t="s">
        <v>1876</v>
      </c>
      <c r="B12159" t="s">
        <v>384</v>
      </c>
      <c r="C12159" t="s">
        <v>313</v>
      </c>
      <c r="D12159">
        <v>40.4</v>
      </c>
      <c r="E12159">
        <v>41.7</v>
      </c>
      <c r="F12159">
        <v>41.9</v>
      </c>
      <c r="G12159">
        <v>40.6</v>
      </c>
    </row>
    <row r="12160" spans="1:7">
      <c r="A12160" t="s">
        <v>1876</v>
      </c>
      <c r="B12160" t="s">
        <v>384</v>
      </c>
      <c r="C12160" t="s">
        <v>314</v>
      </c>
      <c r="D12160">
        <v>832054</v>
      </c>
      <c r="E12160">
        <v>848954</v>
      </c>
      <c r="F12160">
        <v>880570</v>
      </c>
      <c r="G12160">
        <v>893648</v>
      </c>
    </row>
    <row r="12161" spans="1:7">
      <c r="A12161" t="s">
        <v>1876</v>
      </c>
      <c r="B12161" t="s">
        <v>384</v>
      </c>
      <c r="C12161" t="s">
        <v>315</v>
      </c>
      <c r="D12161">
        <v>3.32</v>
      </c>
      <c r="E12161">
        <v>3.34</v>
      </c>
      <c r="F12161">
        <v>3.41</v>
      </c>
      <c r="G12161">
        <v>3.39</v>
      </c>
    </row>
    <row r="12162" spans="1:7">
      <c r="A12162" t="s">
        <v>1876</v>
      </c>
      <c r="B12162" t="s">
        <v>384</v>
      </c>
      <c r="C12162" t="s">
        <v>316</v>
      </c>
      <c r="D12162">
        <v>195.6</v>
      </c>
      <c r="E12162">
        <v>199.9</v>
      </c>
      <c r="F12162">
        <v>207.2</v>
      </c>
      <c r="G12162">
        <v>209.5</v>
      </c>
    </row>
    <row r="12163" spans="1:7">
      <c r="A12163" t="s">
        <v>1876</v>
      </c>
      <c r="B12163" t="s">
        <v>384</v>
      </c>
      <c r="C12163" t="s">
        <v>317</v>
      </c>
      <c r="D12163">
        <v>832053</v>
      </c>
      <c r="E12163">
        <v>848954</v>
      </c>
      <c r="F12163">
        <v>880570</v>
      </c>
      <c r="G12163">
        <v>893648</v>
      </c>
    </row>
    <row r="12164" spans="1:7">
      <c r="A12164" t="s">
        <v>1876</v>
      </c>
      <c r="B12164" t="s">
        <v>384</v>
      </c>
      <c r="C12164" t="s">
        <v>318</v>
      </c>
      <c r="D12164">
        <v>302025</v>
      </c>
      <c r="E12164">
        <v>306082</v>
      </c>
      <c r="F12164">
        <v>321784</v>
      </c>
      <c r="G12164">
        <v>322817</v>
      </c>
    </row>
    <row r="12165" spans="1:7">
      <c r="A12165" t="s">
        <v>1876</v>
      </c>
      <c r="B12165" t="s">
        <v>384</v>
      </c>
      <c r="C12165" t="s">
        <v>319</v>
      </c>
      <c r="D12165">
        <v>102934</v>
      </c>
      <c r="E12165">
        <v>107023</v>
      </c>
      <c r="F12165">
        <v>128812</v>
      </c>
      <c r="G12165">
        <v>132028</v>
      </c>
    </row>
    <row r="12166" spans="1:7">
      <c r="A12166" t="s">
        <v>1876</v>
      </c>
      <c r="B12166" t="s">
        <v>384</v>
      </c>
      <c r="C12166" t="s">
        <v>320</v>
      </c>
      <c r="D12166">
        <v>197767</v>
      </c>
      <c r="E12166">
        <v>203622</v>
      </c>
      <c r="F12166">
        <v>182801</v>
      </c>
      <c r="G12166">
        <v>188613</v>
      </c>
    </row>
    <row r="12167" spans="1:7">
      <c r="A12167" t="s">
        <v>1876</v>
      </c>
      <c r="B12167" t="s">
        <v>384</v>
      </c>
      <c r="C12167" t="s">
        <v>321</v>
      </c>
      <c r="D12167">
        <v>137501</v>
      </c>
      <c r="E12167">
        <v>145094</v>
      </c>
      <c r="F12167">
        <v>140166</v>
      </c>
      <c r="G12167">
        <v>134990</v>
      </c>
    </row>
    <row r="12168" spans="1:7">
      <c r="A12168" t="s">
        <v>1876</v>
      </c>
      <c r="B12168" t="s">
        <v>384</v>
      </c>
      <c r="C12168" t="s">
        <v>1954</v>
      </c>
      <c r="D12168">
        <v>740227</v>
      </c>
      <c r="E12168">
        <v>761821</v>
      </c>
      <c r="F12168">
        <v>773563</v>
      </c>
      <c r="G12168">
        <v>778449</v>
      </c>
    </row>
    <row r="12169" spans="1:7">
      <c r="A12169" t="s">
        <v>1876</v>
      </c>
      <c r="B12169" t="s">
        <v>384</v>
      </c>
      <c r="C12169" t="s">
        <v>323</v>
      </c>
      <c r="D12169">
        <v>4255</v>
      </c>
      <c r="E12169">
        <v>4246</v>
      </c>
      <c r="F12169">
        <v>4250</v>
      </c>
      <c r="G12169">
        <v>4265</v>
      </c>
    </row>
    <row r="12170" spans="1:7">
      <c r="A12170" t="s">
        <v>1876</v>
      </c>
      <c r="B12170" t="s">
        <v>384</v>
      </c>
      <c r="C12170" t="s">
        <v>324</v>
      </c>
      <c r="D12170">
        <v>0</v>
      </c>
      <c r="E12170">
        <v>0</v>
      </c>
      <c r="F12170">
        <v>0</v>
      </c>
      <c r="G12170">
        <v>0</v>
      </c>
    </row>
    <row r="12171" spans="1:7">
      <c r="A12171" t="s">
        <v>1876</v>
      </c>
      <c r="B12171" t="s">
        <v>384</v>
      </c>
      <c r="C12171" t="s">
        <v>325</v>
      </c>
      <c r="D12171">
        <v>0</v>
      </c>
      <c r="E12171">
        <v>0</v>
      </c>
      <c r="F12171">
        <v>0</v>
      </c>
      <c r="G12171">
        <v>0</v>
      </c>
    </row>
    <row r="12172" spans="1:7">
      <c r="A12172" t="s">
        <v>1876</v>
      </c>
      <c r="B12172" t="s">
        <v>384</v>
      </c>
      <c r="C12172" t="s">
        <v>326</v>
      </c>
      <c r="D12172">
        <v>2243</v>
      </c>
      <c r="E12172">
        <v>2243</v>
      </c>
      <c r="F12172">
        <v>2243</v>
      </c>
      <c r="G12172">
        <v>2243</v>
      </c>
    </row>
    <row r="12173" spans="1:7">
      <c r="A12173" t="s">
        <v>1876</v>
      </c>
      <c r="B12173" t="s">
        <v>384</v>
      </c>
      <c r="C12173" t="s">
        <v>327</v>
      </c>
      <c r="D12173">
        <v>3529</v>
      </c>
      <c r="E12173">
        <v>3407</v>
      </c>
      <c r="F12173">
        <v>2464</v>
      </c>
      <c r="G12173">
        <v>4566</v>
      </c>
    </row>
    <row r="12174" spans="1:7">
      <c r="A12174" t="s">
        <v>1876</v>
      </c>
      <c r="B12174" t="s">
        <v>384</v>
      </c>
      <c r="C12174" t="s">
        <v>1723</v>
      </c>
      <c r="D12174">
        <v>259</v>
      </c>
      <c r="E12174">
        <v>242</v>
      </c>
      <c r="F12174">
        <v>242</v>
      </c>
      <c r="G12174">
        <v>242</v>
      </c>
    </row>
    <row r="12175" spans="1:7">
      <c r="A12175" t="s">
        <v>1876</v>
      </c>
      <c r="B12175" t="s">
        <v>384</v>
      </c>
      <c r="C12175" t="s">
        <v>328</v>
      </c>
      <c r="D12175">
        <v>41024</v>
      </c>
      <c r="E12175">
        <v>40567</v>
      </c>
      <c r="F12175">
        <v>40805</v>
      </c>
      <c r="G12175">
        <v>41066</v>
      </c>
    </row>
    <row r="12176" spans="1:7">
      <c r="A12176" t="s">
        <v>1876</v>
      </c>
      <c r="B12176" t="s">
        <v>384</v>
      </c>
      <c r="C12176" t="s">
        <v>329</v>
      </c>
      <c r="D12176">
        <v>11652</v>
      </c>
      <c r="E12176">
        <v>14680</v>
      </c>
      <c r="F12176">
        <v>12479</v>
      </c>
      <c r="G12176">
        <v>11699</v>
      </c>
    </row>
    <row r="12177" spans="1:7">
      <c r="A12177" t="s">
        <v>1876</v>
      </c>
      <c r="B12177" t="s">
        <v>384</v>
      </c>
      <c r="C12177" t="s">
        <v>330</v>
      </c>
      <c r="D12177">
        <v>58448</v>
      </c>
      <c r="E12177">
        <v>60897</v>
      </c>
      <c r="F12177">
        <v>57992</v>
      </c>
      <c r="G12177">
        <v>59573</v>
      </c>
    </row>
    <row r="12178" spans="1:7">
      <c r="A12178" t="s">
        <v>1876</v>
      </c>
      <c r="B12178" t="s">
        <v>384</v>
      </c>
      <c r="C12178" t="s">
        <v>331</v>
      </c>
      <c r="D12178">
        <v>449</v>
      </c>
      <c r="E12178">
        <v>389</v>
      </c>
      <c r="F12178">
        <v>370</v>
      </c>
      <c r="G12178">
        <v>413</v>
      </c>
    </row>
    <row r="12179" spans="1:7">
      <c r="A12179" t="s">
        <v>1876</v>
      </c>
      <c r="B12179" t="s">
        <v>384</v>
      </c>
      <c r="C12179" t="s">
        <v>332</v>
      </c>
      <c r="D12179">
        <v>3429</v>
      </c>
      <c r="E12179">
        <v>3176</v>
      </c>
      <c r="F12179">
        <v>2989</v>
      </c>
      <c r="G12179">
        <v>2838</v>
      </c>
    </row>
    <row r="12180" spans="1:7">
      <c r="A12180" t="s">
        <v>1876</v>
      </c>
      <c r="B12180" t="s">
        <v>384</v>
      </c>
      <c r="C12180" t="s">
        <v>1724</v>
      </c>
      <c r="D12180">
        <v>53</v>
      </c>
      <c r="E12180">
        <v>53</v>
      </c>
      <c r="F12180">
        <v>53</v>
      </c>
      <c r="G12180">
        <v>53</v>
      </c>
    </row>
    <row r="12181" spans="1:7">
      <c r="A12181" t="s">
        <v>1876</v>
      </c>
      <c r="B12181" t="s">
        <v>384</v>
      </c>
      <c r="C12181" t="s">
        <v>333</v>
      </c>
      <c r="D12181">
        <v>1330</v>
      </c>
      <c r="E12181">
        <v>1283</v>
      </c>
      <c r="F12181">
        <v>975</v>
      </c>
      <c r="G12181">
        <v>898</v>
      </c>
    </row>
    <row r="12182" spans="1:7">
      <c r="A12182" t="s">
        <v>1876</v>
      </c>
      <c r="B12182" t="s">
        <v>384</v>
      </c>
      <c r="C12182" t="s">
        <v>334</v>
      </c>
      <c r="D12182">
        <v>5208</v>
      </c>
      <c r="E12182">
        <v>4848</v>
      </c>
      <c r="F12182">
        <v>4334</v>
      </c>
      <c r="G12182">
        <v>4149</v>
      </c>
    </row>
    <row r="12183" spans="1:7">
      <c r="A12183" t="s">
        <v>1876</v>
      </c>
      <c r="B12183" t="s">
        <v>384</v>
      </c>
      <c r="C12183" t="s">
        <v>335</v>
      </c>
      <c r="D12183">
        <v>2692</v>
      </c>
      <c r="E12183">
        <v>2632</v>
      </c>
      <c r="F12183">
        <v>2613</v>
      </c>
      <c r="G12183">
        <v>2656</v>
      </c>
    </row>
    <row r="12184" spans="1:7">
      <c r="A12184" t="s">
        <v>1876</v>
      </c>
      <c r="B12184" t="s">
        <v>384</v>
      </c>
      <c r="C12184" t="s">
        <v>336</v>
      </c>
      <c r="D12184">
        <v>6958</v>
      </c>
      <c r="E12184">
        <v>6584</v>
      </c>
      <c r="F12184">
        <v>5454</v>
      </c>
      <c r="G12184">
        <v>7404</v>
      </c>
    </row>
    <row r="12185" spans="1:7">
      <c r="A12185" t="s">
        <v>1876</v>
      </c>
      <c r="B12185" t="s">
        <v>384</v>
      </c>
      <c r="C12185" t="s">
        <v>337</v>
      </c>
      <c r="D12185">
        <v>42353</v>
      </c>
      <c r="E12185">
        <v>41849</v>
      </c>
      <c r="F12185">
        <v>41781</v>
      </c>
      <c r="G12185">
        <v>41963</v>
      </c>
    </row>
    <row r="12186" spans="1:7">
      <c r="A12186" t="s">
        <v>1876</v>
      </c>
      <c r="B12186" t="s">
        <v>384</v>
      </c>
      <c r="C12186" t="s">
        <v>338</v>
      </c>
      <c r="D12186">
        <v>63655</v>
      </c>
      <c r="E12186">
        <v>65745</v>
      </c>
      <c r="F12186">
        <v>62326</v>
      </c>
      <c r="G12186">
        <v>63722</v>
      </c>
    </row>
    <row r="12187" spans="1:7">
      <c r="A12187" t="s">
        <v>1876</v>
      </c>
      <c r="B12187" t="s">
        <v>384</v>
      </c>
      <c r="C12187" t="s">
        <v>339</v>
      </c>
      <c r="D12187">
        <v>56697</v>
      </c>
      <c r="E12187">
        <v>59161</v>
      </c>
      <c r="F12187">
        <v>56873</v>
      </c>
      <c r="G12187">
        <v>56318</v>
      </c>
    </row>
    <row r="12188" spans="1:7">
      <c r="A12188" t="s">
        <v>1876</v>
      </c>
      <c r="B12188" t="s">
        <v>384</v>
      </c>
      <c r="C12188" t="s">
        <v>340</v>
      </c>
      <c r="D12188">
        <v>95</v>
      </c>
      <c r="E12188">
        <v>94</v>
      </c>
      <c r="F12188">
        <v>65</v>
      </c>
      <c r="G12188">
        <v>80</v>
      </c>
    </row>
    <row r="12189" spans="1:7">
      <c r="A12189" t="s">
        <v>1876</v>
      </c>
      <c r="B12189" t="s">
        <v>384</v>
      </c>
      <c r="C12189" t="s">
        <v>1955</v>
      </c>
      <c r="D12189">
        <v>28.4</v>
      </c>
      <c r="E12189">
        <v>23.7</v>
      </c>
      <c r="F12189">
        <v>25.7</v>
      </c>
      <c r="G12189">
        <v>27.3</v>
      </c>
    </row>
    <row r="12190" spans="1:7">
      <c r="A12190" t="s">
        <v>1876</v>
      </c>
      <c r="B12190" t="s">
        <v>384</v>
      </c>
      <c r="C12190" t="s">
        <v>341</v>
      </c>
      <c r="D12190">
        <v>0</v>
      </c>
      <c r="E12190">
        <v>0</v>
      </c>
      <c r="F12190">
        <v>0</v>
      </c>
      <c r="G12190">
        <v>0</v>
      </c>
    </row>
    <row r="12191" spans="1:7">
      <c r="A12191" t="s">
        <v>1876</v>
      </c>
      <c r="B12191" t="s">
        <v>384</v>
      </c>
      <c r="C12191" t="s">
        <v>342</v>
      </c>
      <c r="D12191">
        <v>31990</v>
      </c>
      <c r="E12191">
        <v>27805</v>
      </c>
      <c r="F12191">
        <v>30550</v>
      </c>
      <c r="G12191">
        <v>32479</v>
      </c>
    </row>
    <row r="12192" spans="1:7">
      <c r="A12192" t="s">
        <v>1876</v>
      </c>
      <c r="B12192" t="s">
        <v>384</v>
      </c>
      <c r="C12192" t="s">
        <v>1725</v>
      </c>
      <c r="D12192">
        <v>3766</v>
      </c>
      <c r="E12192">
        <v>3977</v>
      </c>
      <c r="F12192">
        <v>3977</v>
      </c>
      <c r="G12192">
        <v>3970</v>
      </c>
    </row>
    <row r="12193" spans="1:7">
      <c r="A12193" t="s">
        <v>1876</v>
      </c>
      <c r="B12193" t="s">
        <v>384</v>
      </c>
      <c r="C12193" t="s">
        <v>343</v>
      </c>
      <c r="D12193">
        <v>0</v>
      </c>
      <c r="E12193">
        <v>0</v>
      </c>
      <c r="F12193">
        <v>0</v>
      </c>
      <c r="G12193">
        <v>0</v>
      </c>
    </row>
    <row r="12194" spans="1:7">
      <c r="A12194" t="s">
        <v>1876</v>
      </c>
      <c r="B12194" t="s">
        <v>384</v>
      </c>
      <c r="C12194" t="s">
        <v>344</v>
      </c>
      <c r="D12194">
        <v>31990</v>
      </c>
      <c r="E12194">
        <v>27805</v>
      </c>
      <c r="F12194">
        <v>30550</v>
      </c>
      <c r="G12194">
        <v>32479</v>
      </c>
    </row>
    <row r="12195" spans="1:7">
      <c r="A12195" t="s">
        <v>1876</v>
      </c>
      <c r="B12195" t="s">
        <v>384</v>
      </c>
      <c r="C12195" t="s">
        <v>345</v>
      </c>
      <c r="D12195">
        <v>0</v>
      </c>
      <c r="E12195">
        <v>0</v>
      </c>
      <c r="F12195">
        <v>0</v>
      </c>
      <c r="G12195">
        <v>0</v>
      </c>
    </row>
    <row r="12196" spans="1:7">
      <c r="A12196" t="s">
        <v>1876</v>
      </c>
      <c r="B12196" t="s">
        <v>384</v>
      </c>
      <c r="C12196" t="s">
        <v>1956</v>
      </c>
      <c r="D12196">
        <v>3429</v>
      </c>
      <c r="E12196">
        <v>3176</v>
      </c>
      <c r="F12196">
        <v>2989</v>
      </c>
      <c r="G12196">
        <v>2838</v>
      </c>
    </row>
    <row r="12197" spans="1:7">
      <c r="A12197" t="s">
        <v>1876</v>
      </c>
      <c r="B12197" t="s">
        <v>384</v>
      </c>
      <c r="C12197" t="s">
        <v>1957</v>
      </c>
      <c r="D12197">
        <v>5208</v>
      </c>
      <c r="E12197">
        <v>4848</v>
      </c>
      <c r="F12197">
        <v>4334</v>
      </c>
      <c r="G12197">
        <v>4149</v>
      </c>
    </row>
    <row r="12198" spans="1:7">
      <c r="A12198" t="s">
        <v>1876</v>
      </c>
      <c r="B12198" t="s">
        <v>384</v>
      </c>
      <c r="C12198" t="s">
        <v>346</v>
      </c>
      <c r="D12198">
        <v>372</v>
      </c>
      <c r="E12198">
        <v>381</v>
      </c>
      <c r="F12198">
        <v>348</v>
      </c>
      <c r="G12198">
        <v>328</v>
      </c>
    </row>
    <row r="12199" spans="1:7">
      <c r="A12199" t="s">
        <v>1876</v>
      </c>
      <c r="B12199" t="s">
        <v>384</v>
      </c>
      <c r="C12199" t="s">
        <v>347</v>
      </c>
      <c r="D12199">
        <v>5068</v>
      </c>
      <c r="E12199">
        <v>5291</v>
      </c>
      <c r="F12199">
        <v>5184</v>
      </c>
      <c r="G12199">
        <v>5041</v>
      </c>
    </row>
    <row r="12200" spans="1:7">
      <c r="A12200" t="s">
        <v>1876</v>
      </c>
      <c r="B12200" t="s">
        <v>385</v>
      </c>
      <c r="C12200" t="s">
        <v>133</v>
      </c>
      <c r="D12200">
        <v>-13</v>
      </c>
      <c r="E12200">
        <v>-10</v>
      </c>
      <c r="F12200">
        <v>-8</v>
      </c>
      <c r="G12200">
        <v>-15</v>
      </c>
    </row>
    <row r="12201" spans="1:7">
      <c r="A12201" t="s">
        <v>1876</v>
      </c>
      <c r="B12201" t="s">
        <v>385</v>
      </c>
      <c r="C12201" t="s">
        <v>134</v>
      </c>
      <c r="D12201">
        <v>42158</v>
      </c>
      <c r="E12201">
        <v>46812</v>
      </c>
      <c r="F12201">
        <v>44765</v>
      </c>
      <c r="G12201">
        <v>40630</v>
      </c>
    </row>
    <row r="12202" spans="1:7">
      <c r="A12202" t="s">
        <v>1876</v>
      </c>
      <c r="B12202" t="s">
        <v>385</v>
      </c>
      <c r="C12202" t="s">
        <v>135</v>
      </c>
      <c r="D12202">
        <v>42158</v>
      </c>
      <c r="E12202">
        <v>46812</v>
      </c>
      <c r="F12202">
        <v>44765</v>
      </c>
      <c r="G12202">
        <v>40630</v>
      </c>
    </row>
    <row r="12203" spans="1:7">
      <c r="A12203" t="s">
        <v>1876</v>
      </c>
      <c r="B12203" t="s">
        <v>385</v>
      </c>
      <c r="C12203" t="s">
        <v>136</v>
      </c>
      <c r="D12203">
        <v>42158</v>
      </c>
      <c r="E12203">
        <v>46812</v>
      </c>
      <c r="F12203">
        <v>44765</v>
      </c>
      <c r="G12203">
        <v>40630</v>
      </c>
    </row>
    <row r="12204" spans="1:7">
      <c r="A12204" t="s">
        <v>1876</v>
      </c>
      <c r="B12204" t="s">
        <v>385</v>
      </c>
      <c r="C12204" t="s">
        <v>137</v>
      </c>
      <c r="D12204">
        <v>386</v>
      </c>
      <c r="E12204">
        <v>400</v>
      </c>
      <c r="F12204">
        <v>379</v>
      </c>
      <c r="G12204">
        <v>408</v>
      </c>
    </row>
    <row r="12205" spans="1:7">
      <c r="A12205" t="s">
        <v>1876</v>
      </c>
      <c r="B12205" t="s">
        <v>385</v>
      </c>
      <c r="C12205" t="s">
        <v>138</v>
      </c>
      <c r="D12205">
        <v>386</v>
      </c>
      <c r="E12205">
        <v>400</v>
      </c>
      <c r="F12205">
        <v>379</v>
      </c>
      <c r="G12205">
        <v>408</v>
      </c>
    </row>
    <row r="12206" spans="1:7">
      <c r="A12206" t="s">
        <v>1876</v>
      </c>
      <c r="B12206" t="s">
        <v>385</v>
      </c>
      <c r="C12206" t="s">
        <v>139</v>
      </c>
      <c r="D12206">
        <v>386</v>
      </c>
      <c r="E12206">
        <v>400</v>
      </c>
      <c r="F12206">
        <v>379</v>
      </c>
      <c r="G12206">
        <v>408</v>
      </c>
    </row>
    <row r="12207" spans="1:7">
      <c r="A12207" t="s">
        <v>1876</v>
      </c>
      <c r="B12207" t="s">
        <v>385</v>
      </c>
      <c r="C12207" t="s">
        <v>1877</v>
      </c>
      <c r="D12207">
        <v>0</v>
      </c>
      <c r="E12207">
        <v>0</v>
      </c>
      <c r="F12207">
        <v>0</v>
      </c>
      <c r="G12207">
        <v>0</v>
      </c>
    </row>
    <row r="12208" spans="1:7">
      <c r="A12208" t="s">
        <v>1876</v>
      </c>
      <c r="B12208" t="s">
        <v>385</v>
      </c>
      <c r="C12208" t="s">
        <v>1700</v>
      </c>
      <c r="D12208">
        <v>0</v>
      </c>
      <c r="E12208">
        <v>0</v>
      </c>
      <c r="F12208">
        <v>0</v>
      </c>
      <c r="G12208">
        <v>0</v>
      </c>
    </row>
    <row r="12209" spans="1:7">
      <c r="A12209" t="s">
        <v>1876</v>
      </c>
      <c r="B12209" t="s">
        <v>385</v>
      </c>
      <c r="C12209" t="s">
        <v>1878</v>
      </c>
      <c r="D12209">
        <v>0</v>
      </c>
      <c r="E12209">
        <v>0</v>
      </c>
      <c r="F12209">
        <v>0</v>
      </c>
      <c r="G12209">
        <v>0</v>
      </c>
    </row>
    <row r="12210" spans="1:7">
      <c r="A12210" t="s">
        <v>1876</v>
      </c>
      <c r="B12210" t="s">
        <v>385</v>
      </c>
      <c r="C12210" t="s">
        <v>1879</v>
      </c>
      <c r="D12210">
        <v>0</v>
      </c>
      <c r="E12210">
        <v>0</v>
      </c>
      <c r="F12210">
        <v>0</v>
      </c>
      <c r="G12210">
        <v>0</v>
      </c>
    </row>
    <row r="12211" spans="1:7">
      <c r="A12211" t="s">
        <v>1876</v>
      </c>
      <c r="B12211" t="s">
        <v>385</v>
      </c>
      <c r="C12211" t="s">
        <v>1701</v>
      </c>
      <c r="D12211">
        <v>0</v>
      </c>
      <c r="E12211">
        <v>0</v>
      </c>
      <c r="F12211">
        <v>0</v>
      </c>
      <c r="G12211">
        <v>0</v>
      </c>
    </row>
    <row r="12212" spans="1:7">
      <c r="A12212" t="s">
        <v>1876</v>
      </c>
      <c r="B12212" t="s">
        <v>385</v>
      </c>
      <c r="C12212" t="s">
        <v>1880</v>
      </c>
      <c r="D12212">
        <v>2171</v>
      </c>
      <c r="E12212">
        <v>1992</v>
      </c>
      <c r="F12212">
        <v>2354</v>
      </c>
      <c r="G12212">
        <v>2264</v>
      </c>
    </row>
    <row r="12213" spans="1:7">
      <c r="A12213" t="s">
        <v>1876</v>
      </c>
      <c r="B12213" t="s">
        <v>385</v>
      </c>
      <c r="C12213" t="s">
        <v>140</v>
      </c>
      <c r="D12213">
        <v>5102</v>
      </c>
      <c r="E12213">
        <v>4814</v>
      </c>
      <c r="F12213">
        <v>6350</v>
      </c>
      <c r="G12213">
        <v>6452</v>
      </c>
    </row>
    <row r="12214" spans="1:7">
      <c r="A12214" t="s">
        <v>1876</v>
      </c>
      <c r="B12214" t="s">
        <v>385</v>
      </c>
      <c r="C12214" t="s">
        <v>1881</v>
      </c>
      <c r="D12214">
        <v>2931</v>
      </c>
      <c r="E12214">
        <v>2822</v>
      </c>
      <c r="F12214">
        <v>3995</v>
      </c>
      <c r="G12214">
        <v>4189</v>
      </c>
    </row>
    <row r="12215" spans="1:7">
      <c r="A12215" t="s">
        <v>1876</v>
      </c>
      <c r="B12215" t="s">
        <v>385</v>
      </c>
      <c r="C12215" t="s">
        <v>1882</v>
      </c>
      <c r="D12215">
        <v>0</v>
      </c>
      <c r="E12215">
        <v>0</v>
      </c>
      <c r="F12215">
        <v>0</v>
      </c>
      <c r="G12215">
        <v>0</v>
      </c>
    </row>
    <row r="12216" spans="1:7">
      <c r="A12216" t="s">
        <v>1876</v>
      </c>
      <c r="B12216" t="s">
        <v>385</v>
      </c>
      <c r="C12216" t="s">
        <v>1883</v>
      </c>
      <c r="D12216">
        <v>0</v>
      </c>
      <c r="E12216">
        <v>0</v>
      </c>
      <c r="F12216">
        <v>0</v>
      </c>
      <c r="G12216">
        <v>0</v>
      </c>
    </row>
    <row r="12217" spans="1:7">
      <c r="A12217" t="s">
        <v>1876</v>
      </c>
      <c r="B12217" t="s">
        <v>385</v>
      </c>
      <c r="C12217" t="s">
        <v>1884</v>
      </c>
      <c r="D12217">
        <v>0</v>
      </c>
      <c r="E12217">
        <v>0</v>
      </c>
      <c r="F12217">
        <v>0</v>
      </c>
      <c r="G12217">
        <v>0</v>
      </c>
    </row>
    <row r="12218" spans="1:7">
      <c r="A12218" t="s">
        <v>1876</v>
      </c>
      <c r="B12218" t="s">
        <v>385</v>
      </c>
      <c r="C12218" t="s">
        <v>1885</v>
      </c>
      <c r="D12218">
        <v>0</v>
      </c>
      <c r="E12218">
        <v>0</v>
      </c>
      <c r="F12218">
        <v>0</v>
      </c>
      <c r="G12218">
        <v>0</v>
      </c>
    </row>
    <row r="12219" spans="1:7">
      <c r="A12219" t="s">
        <v>1876</v>
      </c>
      <c r="B12219" t="s">
        <v>385</v>
      </c>
      <c r="C12219" t="s">
        <v>1886</v>
      </c>
      <c r="D12219">
        <v>0</v>
      </c>
      <c r="E12219">
        <v>0</v>
      </c>
      <c r="F12219">
        <v>0</v>
      </c>
      <c r="G12219">
        <v>0</v>
      </c>
    </row>
    <row r="12220" spans="1:7">
      <c r="A12220" t="s">
        <v>1876</v>
      </c>
      <c r="B12220" t="s">
        <v>385</v>
      </c>
      <c r="C12220" t="s">
        <v>141</v>
      </c>
      <c r="D12220">
        <v>72</v>
      </c>
      <c r="E12220">
        <v>63</v>
      </c>
      <c r="F12220">
        <v>94</v>
      </c>
      <c r="G12220">
        <v>92</v>
      </c>
    </row>
    <row r="12221" spans="1:7">
      <c r="A12221" t="s">
        <v>1876</v>
      </c>
      <c r="B12221" t="s">
        <v>385</v>
      </c>
      <c r="C12221" t="s">
        <v>1887</v>
      </c>
      <c r="D12221">
        <v>0</v>
      </c>
      <c r="E12221">
        <v>0</v>
      </c>
      <c r="F12221">
        <v>0</v>
      </c>
      <c r="G12221">
        <v>0</v>
      </c>
    </row>
    <row r="12222" spans="1:7">
      <c r="A12222" t="s">
        <v>1876</v>
      </c>
      <c r="B12222" t="s">
        <v>385</v>
      </c>
      <c r="C12222" t="s">
        <v>1888</v>
      </c>
      <c r="D12222">
        <v>0</v>
      </c>
      <c r="E12222">
        <v>0</v>
      </c>
      <c r="F12222">
        <v>0</v>
      </c>
      <c r="G12222">
        <v>0</v>
      </c>
    </row>
    <row r="12223" spans="1:7">
      <c r="A12223" t="s">
        <v>1876</v>
      </c>
      <c r="B12223" t="s">
        <v>385</v>
      </c>
      <c r="C12223" t="s">
        <v>1889</v>
      </c>
      <c r="D12223">
        <v>2171</v>
      </c>
      <c r="E12223">
        <v>1992</v>
      </c>
      <c r="F12223">
        <v>2354</v>
      </c>
      <c r="G12223">
        <v>2264</v>
      </c>
    </row>
    <row r="12224" spans="1:7">
      <c r="A12224" t="s">
        <v>1876</v>
      </c>
      <c r="B12224" t="s">
        <v>385</v>
      </c>
      <c r="C12224" t="s">
        <v>1890</v>
      </c>
      <c r="D12224">
        <v>0</v>
      </c>
      <c r="E12224">
        <v>0</v>
      </c>
      <c r="F12224">
        <v>0</v>
      </c>
      <c r="G12224">
        <v>0</v>
      </c>
    </row>
    <row r="12225" spans="1:7">
      <c r="A12225" t="s">
        <v>1876</v>
      </c>
      <c r="B12225" t="s">
        <v>385</v>
      </c>
      <c r="C12225" t="s">
        <v>1891</v>
      </c>
    </row>
    <row r="12226" spans="1:7">
      <c r="A12226" t="s">
        <v>1876</v>
      </c>
      <c r="B12226" t="s">
        <v>385</v>
      </c>
      <c r="C12226" t="s">
        <v>1892</v>
      </c>
      <c r="D12226">
        <v>2931</v>
      </c>
      <c r="E12226">
        <v>2822</v>
      </c>
      <c r="F12226">
        <v>3995</v>
      </c>
      <c r="G12226">
        <v>4189</v>
      </c>
    </row>
    <row r="12227" spans="1:7">
      <c r="A12227" t="s">
        <v>1876</v>
      </c>
      <c r="B12227" t="s">
        <v>385</v>
      </c>
      <c r="C12227" t="s">
        <v>142</v>
      </c>
      <c r="D12227">
        <v>5102</v>
      </c>
      <c r="E12227">
        <v>4814</v>
      </c>
      <c r="F12227">
        <v>6350</v>
      </c>
      <c r="G12227">
        <v>6452</v>
      </c>
    </row>
    <row r="12228" spans="1:7">
      <c r="A12228" t="s">
        <v>1876</v>
      </c>
      <c r="B12228" t="s">
        <v>385</v>
      </c>
      <c r="C12228" t="s">
        <v>1893</v>
      </c>
      <c r="D12228">
        <v>5102</v>
      </c>
      <c r="E12228">
        <v>4814</v>
      </c>
      <c r="F12228">
        <v>6350</v>
      </c>
      <c r="G12228">
        <v>6452</v>
      </c>
    </row>
    <row r="12229" spans="1:7">
      <c r="A12229" t="s">
        <v>1876</v>
      </c>
      <c r="B12229" t="s">
        <v>385</v>
      </c>
      <c r="C12229" t="s">
        <v>1894</v>
      </c>
      <c r="D12229">
        <v>2931</v>
      </c>
      <c r="E12229">
        <v>2822</v>
      </c>
      <c r="F12229">
        <v>3995</v>
      </c>
      <c r="G12229">
        <v>4189</v>
      </c>
    </row>
    <row r="12230" spans="1:7">
      <c r="A12230" t="s">
        <v>1876</v>
      </c>
      <c r="B12230" t="s">
        <v>385</v>
      </c>
      <c r="C12230" t="s">
        <v>143</v>
      </c>
      <c r="D12230">
        <v>6315</v>
      </c>
      <c r="E12230">
        <v>6254</v>
      </c>
      <c r="F12230">
        <v>6377</v>
      </c>
      <c r="G12230">
        <v>6335</v>
      </c>
    </row>
    <row r="12231" spans="1:7">
      <c r="A12231" t="s">
        <v>1876</v>
      </c>
      <c r="B12231" t="s">
        <v>385</v>
      </c>
      <c r="C12231" t="s">
        <v>144</v>
      </c>
      <c r="D12231">
        <v>49430</v>
      </c>
      <c r="E12231">
        <v>48611</v>
      </c>
      <c r="F12231">
        <v>49992</v>
      </c>
      <c r="G12231">
        <v>50051</v>
      </c>
    </row>
    <row r="12232" spans="1:7">
      <c r="A12232" t="s">
        <v>1876</v>
      </c>
      <c r="B12232" t="s">
        <v>385</v>
      </c>
      <c r="C12232" t="s">
        <v>1895</v>
      </c>
      <c r="D12232">
        <v>69.3</v>
      </c>
      <c r="E12232">
        <v>62.5</v>
      </c>
      <c r="F12232">
        <v>62.7</v>
      </c>
      <c r="G12232">
        <v>60.1</v>
      </c>
    </row>
    <row r="12233" spans="1:7">
      <c r="A12233" t="s">
        <v>1876</v>
      </c>
      <c r="B12233" t="s">
        <v>385</v>
      </c>
      <c r="C12233" t="s">
        <v>145</v>
      </c>
      <c r="D12233">
        <v>151173</v>
      </c>
      <c r="E12233">
        <v>159405</v>
      </c>
      <c r="F12233">
        <v>154679</v>
      </c>
      <c r="G12233">
        <v>150898</v>
      </c>
    </row>
    <row r="12234" spans="1:7">
      <c r="A12234" t="s">
        <v>1876</v>
      </c>
      <c r="B12234" t="s">
        <v>385</v>
      </c>
      <c r="C12234" t="s">
        <v>146</v>
      </c>
      <c r="D12234">
        <v>0</v>
      </c>
      <c r="E12234">
        <v>0</v>
      </c>
      <c r="F12234">
        <v>0</v>
      </c>
      <c r="G12234">
        <v>0</v>
      </c>
    </row>
    <row r="12235" spans="1:7">
      <c r="A12235" t="s">
        <v>1876</v>
      </c>
      <c r="B12235" t="s">
        <v>385</v>
      </c>
      <c r="C12235" t="s">
        <v>147</v>
      </c>
      <c r="D12235">
        <v>0</v>
      </c>
      <c r="E12235">
        <v>0</v>
      </c>
      <c r="F12235">
        <v>0</v>
      </c>
      <c r="G12235">
        <v>0</v>
      </c>
    </row>
    <row r="12236" spans="1:7">
      <c r="A12236" t="s">
        <v>1876</v>
      </c>
      <c r="B12236" t="s">
        <v>385</v>
      </c>
      <c r="C12236" t="s">
        <v>1896</v>
      </c>
      <c r="D12236">
        <v>17.100000000000001</v>
      </c>
      <c r="E12236">
        <v>19</v>
      </c>
      <c r="F12236">
        <v>13.1</v>
      </c>
      <c r="G12236">
        <v>10.8</v>
      </c>
    </row>
    <row r="12237" spans="1:7">
      <c r="A12237" t="s">
        <v>1876</v>
      </c>
      <c r="B12237" t="s">
        <v>385</v>
      </c>
      <c r="C12237" t="s">
        <v>1702</v>
      </c>
      <c r="D12237">
        <v>35</v>
      </c>
      <c r="E12237">
        <v>35</v>
      </c>
      <c r="F12237">
        <v>35</v>
      </c>
      <c r="G12237">
        <v>35</v>
      </c>
    </row>
    <row r="12238" spans="1:7">
      <c r="A12238" t="s">
        <v>1876</v>
      </c>
      <c r="B12238" t="s">
        <v>385</v>
      </c>
      <c r="C12238" t="s">
        <v>1897</v>
      </c>
      <c r="D12238">
        <v>25.9</v>
      </c>
      <c r="E12238">
        <v>39.799999999999997</v>
      </c>
      <c r="F12238">
        <v>67.2</v>
      </c>
      <c r="G12238">
        <v>86.9</v>
      </c>
    </row>
    <row r="12239" spans="1:7">
      <c r="A12239" t="s">
        <v>1876</v>
      </c>
      <c r="B12239" t="s">
        <v>385</v>
      </c>
      <c r="C12239" t="s">
        <v>1898</v>
      </c>
      <c r="D12239">
        <v>40</v>
      </c>
      <c r="E12239">
        <v>72</v>
      </c>
      <c r="F12239">
        <v>203</v>
      </c>
      <c r="G12239">
        <v>286</v>
      </c>
    </row>
    <row r="12240" spans="1:7">
      <c r="A12240" t="s">
        <v>1876</v>
      </c>
      <c r="B12240" t="s">
        <v>385</v>
      </c>
      <c r="C12240" t="s">
        <v>1899</v>
      </c>
      <c r="D12240">
        <v>2931</v>
      </c>
      <c r="E12240">
        <v>2822</v>
      </c>
      <c r="F12240">
        <v>3995</v>
      </c>
      <c r="G12240">
        <v>4189</v>
      </c>
    </row>
    <row r="12241" spans="1:7">
      <c r="A12241" t="s">
        <v>1876</v>
      </c>
      <c r="B12241" t="s">
        <v>385</v>
      </c>
      <c r="C12241" t="s">
        <v>148</v>
      </c>
      <c r="D12241">
        <v>0</v>
      </c>
      <c r="E12241">
        <v>0</v>
      </c>
      <c r="F12241">
        <v>0</v>
      </c>
      <c r="G12241">
        <v>0</v>
      </c>
    </row>
    <row r="12242" spans="1:7">
      <c r="A12242" t="s">
        <v>1876</v>
      </c>
      <c r="B12242" t="s">
        <v>385</v>
      </c>
      <c r="C12242" t="s">
        <v>149</v>
      </c>
      <c r="D12242">
        <v>0</v>
      </c>
      <c r="E12242">
        <v>0</v>
      </c>
      <c r="F12242">
        <v>0</v>
      </c>
      <c r="G12242">
        <v>0</v>
      </c>
    </row>
    <row r="12243" spans="1:7">
      <c r="A12243" t="s">
        <v>1876</v>
      </c>
      <c r="B12243" t="s">
        <v>385</v>
      </c>
      <c r="C12243" t="s">
        <v>150</v>
      </c>
      <c r="D12243">
        <v>0</v>
      </c>
      <c r="E12243">
        <v>0</v>
      </c>
      <c r="F12243">
        <v>0</v>
      </c>
      <c r="G12243">
        <v>0</v>
      </c>
    </row>
    <row r="12244" spans="1:7">
      <c r="A12244" t="s">
        <v>1876</v>
      </c>
      <c r="B12244" t="s">
        <v>385</v>
      </c>
      <c r="C12244" t="s">
        <v>1900</v>
      </c>
      <c r="D12244">
        <v>34.4</v>
      </c>
      <c r="E12244">
        <v>31.8</v>
      </c>
      <c r="F12244">
        <v>22.2</v>
      </c>
      <c r="G12244">
        <v>28.6</v>
      </c>
    </row>
    <row r="12245" spans="1:7">
      <c r="A12245" t="s">
        <v>1876</v>
      </c>
      <c r="B12245" t="s">
        <v>385</v>
      </c>
      <c r="C12245" t="s">
        <v>151</v>
      </c>
      <c r="D12245">
        <v>171</v>
      </c>
      <c r="E12245">
        <v>78</v>
      </c>
      <c r="F12245">
        <v>48</v>
      </c>
      <c r="G12245">
        <v>58</v>
      </c>
    </row>
    <row r="12246" spans="1:7">
      <c r="A12246" t="s">
        <v>1876</v>
      </c>
      <c r="B12246" t="s">
        <v>385</v>
      </c>
      <c r="C12246" t="s">
        <v>152</v>
      </c>
      <c r="D12246">
        <v>320427</v>
      </c>
      <c r="E12246">
        <v>267748</v>
      </c>
      <c r="F12246">
        <v>152122</v>
      </c>
      <c r="G12246">
        <v>149331</v>
      </c>
    </row>
    <row r="12247" spans="1:7">
      <c r="A12247" t="s">
        <v>1876</v>
      </c>
      <c r="B12247" t="s">
        <v>385</v>
      </c>
      <c r="C12247" t="s">
        <v>1703</v>
      </c>
      <c r="D12247">
        <v>10000</v>
      </c>
      <c r="E12247">
        <v>8023</v>
      </c>
      <c r="F12247">
        <v>6009</v>
      </c>
      <c r="G12247">
        <v>5383</v>
      </c>
    </row>
    <row r="12248" spans="1:7">
      <c r="A12248" t="s">
        <v>1876</v>
      </c>
      <c r="B12248" t="s">
        <v>385</v>
      </c>
      <c r="C12248" t="s">
        <v>153</v>
      </c>
      <c r="D12248">
        <v>164596</v>
      </c>
      <c r="E12248">
        <v>167713</v>
      </c>
      <c r="F12248">
        <v>155434</v>
      </c>
      <c r="G12248">
        <v>152207</v>
      </c>
    </row>
    <row r="12249" spans="1:7">
      <c r="A12249" t="s">
        <v>1876</v>
      </c>
      <c r="B12249" t="s">
        <v>385</v>
      </c>
      <c r="C12249" t="s">
        <v>154</v>
      </c>
      <c r="D12249">
        <v>152971</v>
      </c>
      <c r="E12249">
        <v>156556</v>
      </c>
      <c r="F12249">
        <v>145845</v>
      </c>
      <c r="G12249">
        <v>143371</v>
      </c>
    </row>
    <row r="12250" spans="1:7">
      <c r="A12250" t="s">
        <v>1876</v>
      </c>
      <c r="B12250" t="s">
        <v>385</v>
      </c>
      <c r="C12250" t="s">
        <v>155</v>
      </c>
      <c r="D12250">
        <v>11624</v>
      </c>
      <c r="E12250">
        <v>11157</v>
      </c>
      <c r="F12250">
        <v>9589</v>
      </c>
      <c r="G12250">
        <v>8837</v>
      </c>
    </row>
    <row r="12251" spans="1:7">
      <c r="A12251" t="s">
        <v>1876</v>
      </c>
      <c r="B12251" t="s">
        <v>385</v>
      </c>
      <c r="C12251" t="s">
        <v>156</v>
      </c>
      <c r="D12251">
        <v>0</v>
      </c>
      <c r="E12251">
        <v>0</v>
      </c>
      <c r="F12251">
        <v>0</v>
      </c>
      <c r="G12251">
        <v>0</v>
      </c>
    </row>
    <row r="12252" spans="1:7">
      <c r="A12252" t="s">
        <v>1876</v>
      </c>
      <c r="B12252" t="s">
        <v>385</v>
      </c>
      <c r="C12252" t="s">
        <v>157</v>
      </c>
      <c r="D12252">
        <v>485193</v>
      </c>
      <c r="E12252">
        <v>435540</v>
      </c>
      <c r="F12252">
        <v>307604</v>
      </c>
      <c r="G12252">
        <v>301596</v>
      </c>
    </row>
    <row r="12253" spans="1:7">
      <c r="A12253" t="s">
        <v>1876</v>
      </c>
      <c r="B12253" t="s">
        <v>385</v>
      </c>
      <c r="C12253" t="s">
        <v>158</v>
      </c>
      <c r="D12253">
        <v>164767</v>
      </c>
      <c r="E12253">
        <v>167791</v>
      </c>
      <c r="F12253">
        <v>155482</v>
      </c>
      <c r="G12253">
        <v>152266</v>
      </c>
    </row>
    <row r="12254" spans="1:7">
      <c r="A12254" t="s">
        <v>1876</v>
      </c>
      <c r="B12254" t="s">
        <v>385</v>
      </c>
      <c r="C12254" t="s">
        <v>159</v>
      </c>
      <c r="D12254">
        <v>0</v>
      </c>
      <c r="E12254">
        <v>0</v>
      </c>
      <c r="F12254">
        <v>0</v>
      </c>
      <c r="G12254">
        <v>0</v>
      </c>
    </row>
    <row r="12255" spans="1:7">
      <c r="A12255" t="s">
        <v>1876</v>
      </c>
      <c r="B12255" t="s">
        <v>385</v>
      </c>
      <c r="C12255" t="s">
        <v>1901</v>
      </c>
      <c r="D12255">
        <v>74.900000000000006</v>
      </c>
      <c r="E12255">
        <v>73.3</v>
      </c>
      <c r="F12255">
        <v>76.900000000000006</v>
      </c>
      <c r="G12255">
        <v>77.3</v>
      </c>
    </row>
    <row r="12256" spans="1:7">
      <c r="A12256" t="s">
        <v>1876</v>
      </c>
      <c r="B12256" t="s">
        <v>385</v>
      </c>
      <c r="C12256" t="s">
        <v>1902</v>
      </c>
      <c r="D12256">
        <v>210507</v>
      </c>
      <c r="E12256">
        <v>215012</v>
      </c>
      <c r="F12256">
        <v>206838</v>
      </c>
      <c r="G12256">
        <v>200803</v>
      </c>
    </row>
    <row r="12257" spans="1:7">
      <c r="A12257" t="s">
        <v>1876</v>
      </c>
      <c r="B12257" t="s">
        <v>385</v>
      </c>
      <c r="C12257" t="s">
        <v>1903</v>
      </c>
      <c r="D12257">
        <v>18217</v>
      </c>
      <c r="E12257">
        <v>18763</v>
      </c>
      <c r="F12257">
        <v>17678</v>
      </c>
      <c r="G12257">
        <v>17466</v>
      </c>
    </row>
    <row r="12258" spans="1:7">
      <c r="A12258" t="s">
        <v>1876</v>
      </c>
      <c r="B12258" t="s">
        <v>385</v>
      </c>
      <c r="C12258" t="s">
        <v>1904</v>
      </c>
      <c r="D12258">
        <v>1389</v>
      </c>
      <c r="E12258">
        <v>3192</v>
      </c>
      <c r="F12258">
        <v>691</v>
      </c>
      <c r="G12258">
        <v>667</v>
      </c>
    </row>
    <row r="12259" spans="1:7">
      <c r="A12259" t="s">
        <v>1876</v>
      </c>
      <c r="B12259" t="s">
        <v>385</v>
      </c>
      <c r="C12259" t="s">
        <v>1905</v>
      </c>
      <c r="D12259">
        <v>42942</v>
      </c>
      <c r="E12259">
        <v>43410</v>
      </c>
      <c r="F12259">
        <v>42368</v>
      </c>
      <c r="G12259">
        <v>41115</v>
      </c>
    </row>
    <row r="12260" spans="1:7">
      <c r="A12260" t="s">
        <v>1876</v>
      </c>
      <c r="B12260" t="s">
        <v>385</v>
      </c>
      <c r="C12260" t="s">
        <v>1906</v>
      </c>
      <c r="D12260">
        <v>75064</v>
      </c>
      <c r="E12260">
        <v>78324</v>
      </c>
      <c r="F12260">
        <v>73766</v>
      </c>
      <c r="G12260">
        <v>71287</v>
      </c>
    </row>
    <row r="12261" spans="1:7">
      <c r="A12261" t="s">
        <v>1876</v>
      </c>
      <c r="B12261" t="s">
        <v>385</v>
      </c>
      <c r="C12261" t="s">
        <v>1907</v>
      </c>
      <c r="D12261">
        <v>348119</v>
      </c>
      <c r="E12261">
        <v>358701</v>
      </c>
      <c r="F12261">
        <v>341341</v>
      </c>
      <c r="G12261">
        <v>331338</v>
      </c>
    </row>
    <row r="12262" spans="1:7">
      <c r="A12262" t="s">
        <v>1876</v>
      </c>
      <c r="B12262" t="s">
        <v>385</v>
      </c>
      <c r="C12262" t="s">
        <v>160</v>
      </c>
      <c r="D12262">
        <v>207577</v>
      </c>
      <c r="E12262">
        <v>212190</v>
      </c>
      <c r="F12262">
        <v>202843</v>
      </c>
      <c r="G12262">
        <v>196614</v>
      </c>
    </row>
    <row r="12263" spans="1:7">
      <c r="A12263" t="s">
        <v>1876</v>
      </c>
      <c r="B12263" t="s">
        <v>385</v>
      </c>
      <c r="C12263" t="s">
        <v>161</v>
      </c>
      <c r="D12263">
        <v>18217</v>
      </c>
      <c r="E12263">
        <v>18763</v>
      </c>
      <c r="F12263">
        <v>17678</v>
      </c>
      <c r="G12263">
        <v>17466</v>
      </c>
    </row>
    <row r="12264" spans="1:7">
      <c r="A12264" t="s">
        <v>1876</v>
      </c>
      <c r="B12264" t="s">
        <v>385</v>
      </c>
      <c r="C12264" t="s">
        <v>162</v>
      </c>
      <c r="D12264">
        <v>1389</v>
      </c>
      <c r="E12264">
        <v>3192</v>
      </c>
      <c r="F12264">
        <v>691</v>
      </c>
      <c r="G12264">
        <v>667</v>
      </c>
    </row>
    <row r="12265" spans="1:7">
      <c r="A12265" t="s">
        <v>1876</v>
      </c>
      <c r="B12265" t="s">
        <v>385</v>
      </c>
      <c r="C12265" t="s">
        <v>163</v>
      </c>
      <c r="D12265">
        <v>42942</v>
      </c>
      <c r="E12265">
        <v>43410</v>
      </c>
      <c r="F12265">
        <v>42368</v>
      </c>
      <c r="G12265">
        <v>41115</v>
      </c>
    </row>
    <row r="12266" spans="1:7">
      <c r="A12266" t="s">
        <v>1876</v>
      </c>
      <c r="B12266" t="s">
        <v>385</v>
      </c>
      <c r="C12266" t="s">
        <v>164</v>
      </c>
      <c r="D12266">
        <v>75064</v>
      </c>
      <c r="E12266">
        <v>78324</v>
      </c>
      <c r="F12266">
        <v>73766</v>
      </c>
      <c r="G12266">
        <v>71287</v>
      </c>
    </row>
    <row r="12267" spans="1:7">
      <c r="A12267" t="s">
        <v>1876</v>
      </c>
      <c r="B12267" t="s">
        <v>385</v>
      </c>
      <c r="C12267" t="s">
        <v>165</v>
      </c>
      <c r="D12267">
        <v>345188</v>
      </c>
      <c r="E12267">
        <v>355879</v>
      </c>
      <c r="F12267">
        <v>337346</v>
      </c>
      <c r="G12267">
        <v>327149</v>
      </c>
    </row>
    <row r="12268" spans="1:7">
      <c r="A12268" t="s">
        <v>1876</v>
      </c>
      <c r="B12268" t="s">
        <v>385</v>
      </c>
      <c r="C12268" t="s">
        <v>166</v>
      </c>
      <c r="D12268">
        <v>343799</v>
      </c>
      <c r="E12268">
        <v>352686</v>
      </c>
      <c r="F12268">
        <v>336655</v>
      </c>
      <c r="G12268">
        <v>326482</v>
      </c>
    </row>
    <row r="12269" spans="1:7">
      <c r="A12269" t="s">
        <v>1876</v>
      </c>
      <c r="B12269" t="s">
        <v>385</v>
      </c>
      <c r="C12269" t="s">
        <v>167</v>
      </c>
      <c r="D12269">
        <v>1389</v>
      </c>
      <c r="E12269">
        <v>3192</v>
      </c>
      <c r="F12269">
        <v>691</v>
      </c>
      <c r="G12269">
        <v>667</v>
      </c>
    </row>
    <row r="12270" spans="1:7">
      <c r="A12270" t="s">
        <v>1876</v>
      </c>
      <c r="B12270" t="s">
        <v>385</v>
      </c>
      <c r="C12270" t="s">
        <v>1908</v>
      </c>
      <c r="D12270">
        <v>205406</v>
      </c>
      <c r="E12270">
        <v>210198</v>
      </c>
      <c r="F12270">
        <v>200488</v>
      </c>
      <c r="G12270">
        <v>194350</v>
      </c>
    </row>
    <row r="12271" spans="1:7">
      <c r="A12271" t="s">
        <v>1876</v>
      </c>
      <c r="B12271" t="s">
        <v>385</v>
      </c>
      <c r="C12271" t="s">
        <v>1909</v>
      </c>
      <c r="D12271">
        <v>18217</v>
      </c>
      <c r="E12271">
        <v>18763</v>
      </c>
      <c r="F12271">
        <v>17678</v>
      </c>
      <c r="G12271">
        <v>17466</v>
      </c>
    </row>
    <row r="12272" spans="1:7">
      <c r="A12272" t="s">
        <v>1876</v>
      </c>
      <c r="B12272" t="s">
        <v>385</v>
      </c>
      <c r="C12272" t="s">
        <v>1910</v>
      </c>
      <c r="D12272">
        <v>1389</v>
      </c>
      <c r="E12272">
        <v>3192</v>
      </c>
      <c r="F12272">
        <v>691</v>
      </c>
      <c r="G12272">
        <v>667</v>
      </c>
    </row>
    <row r="12273" spans="1:7">
      <c r="A12273" t="s">
        <v>1876</v>
      </c>
      <c r="B12273" t="s">
        <v>385</v>
      </c>
      <c r="C12273" t="s">
        <v>1911</v>
      </c>
      <c r="D12273">
        <v>42942</v>
      </c>
      <c r="E12273">
        <v>43410</v>
      </c>
      <c r="F12273">
        <v>42368</v>
      </c>
      <c r="G12273">
        <v>41115</v>
      </c>
    </row>
    <row r="12274" spans="1:7">
      <c r="A12274" t="s">
        <v>1876</v>
      </c>
      <c r="B12274" t="s">
        <v>385</v>
      </c>
      <c r="C12274" t="s">
        <v>1912</v>
      </c>
      <c r="D12274">
        <v>75064</v>
      </c>
      <c r="E12274">
        <v>78324</v>
      </c>
      <c r="F12274">
        <v>73766</v>
      </c>
      <c r="G12274">
        <v>71287</v>
      </c>
    </row>
    <row r="12275" spans="1:7">
      <c r="A12275" t="s">
        <v>1876</v>
      </c>
      <c r="B12275" t="s">
        <v>385</v>
      </c>
      <c r="C12275" t="s">
        <v>168</v>
      </c>
      <c r="D12275">
        <v>343017</v>
      </c>
      <c r="E12275">
        <v>353887</v>
      </c>
      <c r="F12275">
        <v>334991</v>
      </c>
      <c r="G12275">
        <v>324886</v>
      </c>
    </row>
    <row r="12276" spans="1:7">
      <c r="A12276" t="s">
        <v>1876</v>
      </c>
      <c r="B12276" t="s">
        <v>385</v>
      </c>
      <c r="C12276" t="s">
        <v>169</v>
      </c>
      <c r="D12276">
        <v>0</v>
      </c>
      <c r="E12276">
        <v>0</v>
      </c>
      <c r="F12276">
        <v>0</v>
      </c>
      <c r="G12276">
        <v>0</v>
      </c>
    </row>
    <row r="12277" spans="1:7">
      <c r="A12277" t="s">
        <v>1876</v>
      </c>
      <c r="B12277" t="s">
        <v>385</v>
      </c>
      <c r="C12277" t="s">
        <v>1704</v>
      </c>
      <c r="D12277">
        <v>49766</v>
      </c>
      <c r="E12277">
        <v>49066</v>
      </c>
      <c r="F12277">
        <v>48526</v>
      </c>
      <c r="G12277">
        <v>48053</v>
      </c>
    </row>
    <row r="12278" spans="1:7">
      <c r="A12278" t="s">
        <v>1876</v>
      </c>
      <c r="B12278" t="s">
        <v>385</v>
      </c>
      <c r="C12278" t="s">
        <v>170</v>
      </c>
      <c r="D12278">
        <v>0</v>
      </c>
      <c r="E12278">
        <v>0</v>
      </c>
      <c r="F12278">
        <v>0</v>
      </c>
      <c r="G12278">
        <v>0</v>
      </c>
    </row>
    <row r="12279" spans="1:7">
      <c r="A12279" t="s">
        <v>1876</v>
      </c>
      <c r="B12279" t="s">
        <v>385</v>
      </c>
      <c r="C12279" t="s">
        <v>171</v>
      </c>
      <c r="D12279">
        <v>-756639</v>
      </c>
      <c r="E12279">
        <v>-719508</v>
      </c>
      <c r="F12279">
        <v>-735213</v>
      </c>
      <c r="G12279">
        <v>-749638</v>
      </c>
    </row>
    <row r="12280" spans="1:7">
      <c r="A12280" t="s">
        <v>1876</v>
      </c>
      <c r="B12280" t="s">
        <v>385</v>
      </c>
      <c r="C12280" t="s">
        <v>172</v>
      </c>
      <c r="D12280">
        <v>0</v>
      </c>
      <c r="E12280">
        <v>0</v>
      </c>
      <c r="F12280">
        <v>0</v>
      </c>
      <c r="G12280">
        <v>0</v>
      </c>
    </row>
    <row r="12281" spans="1:7">
      <c r="A12281" t="s">
        <v>1876</v>
      </c>
      <c r="B12281" t="s">
        <v>385</v>
      </c>
      <c r="C12281" t="s">
        <v>1913</v>
      </c>
      <c r="D12281">
        <v>43.2</v>
      </c>
      <c r="E12281">
        <v>63.3</v>
      </c>
      <c r="F12281">
        <v>101.5</v>
      </c>
      <c r="G12281">
        <v>132.69999999999999</v>
      </c>
    </row>
    <row r="12282" spans="1:7">
      <c r="A12282" t="s">
        <v>1876</v>
      </c>
      <c r="B12282" t="s">
        <v>385</v>
      </c>
      <c r="C12282" t="s">
        <v>1914</v>
      </c>
      <c r="D12282">
        <v>0.5</v>
      </c>
      <c r="E12282">
        <v>0.7</v>
      </c>
      <c r="F12282">
        <v>1.1000000000000001</v>
      </c>
      <c r="G12282">
        <v>1.4</v>
      </c>
    </row>
    <row r="12283" spans="1:7">
      <c r="A12283" t="s">
        <v>1876</v>
      </c>
      <c r="B12283" t="s">
        <v>385</v>
      </c>
      <c r="C12283" t="s">
        <v>173</v>
      </c>
      <c r="D12283">
        <v>36432</v>
      </c>
      <c r="E12283">
        <v>35898</v>
      </c>
      <c r="F12283">
        <v>35622</v>
      </c>
      <c r="G12283">
        <v>35912</v>
      </c>
    </row>
    <row r="12284" spans="1:7">
      <c r="A12284" t="s">
        <v>1876</v>
      </c>
      <c r="B12284" t="s">
        <v>385</v>
      </c>
      <c r="C12284" t="s">
        <v>174</v>
      </c>
      <c r="D12284">
        <v>1045</v>
      </c>
      <c r="E12284">
        <v>1080</v>
      </c>
      <c r="F12284">
        <v>1077</v>
      </c>
      <c r="G12284">
        <v>829</v>
      </c>
    </row>
    <row r="12285" spans="1:7">
      <c r="A12285" t="s">
        <v>1876</v>
      </c>
      <c r="B12285" t="s">
        <v>385</v>
      </c>
      <c r="C12285" t="s">
        <v>175</v>
      </c>
      <c r="D12285">
        <v>536</v>
      </c>
      <c r="E12285">
        <v>565</v>
      </c>
      <c r="F12285">
        <v>566</v>
      </c>
      <c r="G12285">
        <v>523</v>
      </c>
    </row>
    <row r="12286" spans="1:7">
      <c r="A12286" t="s">
        <v>1876</v>
      </c>
      <c r="B12286" t="s">
        <v>385</v>
      </c>
      <c r="C12286" t="s">
        <v>176</v>
      </c>
      <c r="D12286">
        <v>6243</v>
      </c>
      <c r="E12286">
        <v>6192</v>
      </c>
      <c r="F12286">
        <v>6283</v>
      </c>
      <c r="G12286">
        <v>6243</v>
      </c>
    </row>
    <row r="12287" spans="1:7">
      <c r="A12287" t="s">
        <v>1876</v>
      </c>
      <c r="B12287" t="s">
        <v>385</v>
      </c>
      <c r="C12287" t="s">
        <v>177</v>
      </c>
      <c r="D12287">
        <v>38013</v>
      </c>
      <c r="E12287">
        <v>37543</v>
      </c>
      <c r="F12287">
        <v>37266</v>
      </c>
      <c r="G12287">
        <v>37263</v>
      </c>
    </row>
    <row r="12288" spans="1:7">
      <c r="A12288" t="s">
        <v>1876</v>
      </c>
      <c r="B12288" t="s">
        <v>385</v>
      </c>
      <c r="C12288" t="s">
        <v>178</v>
      </c>
      <c r="D12288">
        <v>0</v>
      </c>
      <c r="E12288">
        <v>48758</v>
      </c>
      <c r="F12288">
        <v>97516</v>
      </c>
      <c r="G12288">
        <v>97783</v>
      </c>
    </row>
    <row r="12289" spans="1:7">
      <c r="A12289" t="s">
        <v>1876</v>
      </c>
      <c r="B12289" t="s">
        <v>385</v>
      </c>
      <c r="C12289" t="s">
        <v>179</v>
      </c>
      <c r="D12289">
        <v>0</v>
      </c>
      <c r="E12289">
        <v>48758</v>
      </c>
      <c r="F12289">
        <v>97516</v>
      </c>
      <c r="G12289">
        <v>97783</v>
      </c>
    </row>
    <row r="12290" spans="1:7">
      <c r="A12290" t="s">
        <v>1876</v>
      </c>
      <c r="B12290" t="s">
        <v>385</v>
      </c>
      <c r="C12290" t="s">
        <v>180</v>
      </c>
      <c r="D12290">
        <v>1389</v>
      </c>
      <c r="E12290">
        <v>1807</v>
      </c>
      <c r="F12290">
        <v>1482</v>
      </c>
      <c r="G12290">
        <v>1688</v>
      </c>
    </row>
    <row r="12291" spans="1:7">
      <c r="A12291" t="s">
        <v>1876</v>
      </c>
      <c r="B12291" t="s">
        <v>385</v>
      </c>
      <c r="C12291" t="s">
        <v>181</v>
      </c>
      <c r="D12291">
        <v>126203</v>
      </c>
      <c r="E12291">
        <v>126991</v>
      </c>
      <c r="F12291">
        <v>122157</v>
      </c>
      <c r="G12291">
        <v>131527</v>
      </c>
    </row>
    <row r="12292" spans="1:7">
      <c r="A12292" t="s">
        <v>1876</v>
      </c>
      <c r="B12292" t="s">
        <v>385</v>
      </c>
      <c r="C12292" t="s">
        <v>182</v>
      </c>
      <c r="D12292">
        <v>170599</v>
      </c>
      <c r="E12292">
        <v>173612</v>
      </c>
      <c r="F12292">
        <v>171101</v>
      </c>
      <c r="G12292">
        <v>166611</v>
      </c>
    </row>
    <row r="12293" spans="1:7">
      <c r="A12293" t="s">
        <v>1876</v>
      </c>
      <c r="B12293" t="s">
        <v>385</v>
      </c>
      <c r="C12293" t="s">
        <v>183</v>
      </c>
      <c r="D12293">
        <v>190885</v>
      </c>
      <c r="E12293">
        <v>192482</v>
      </c>
      <c r="F12293">
        <v>178542</v>
      </c>
      <c r="G12293">
        <v>185178</v>
      </c>
    </row>
    <row r="12294" spans="1:7">
      <c r="A12294" t="s">
        <v>1876</v>
      </c>
      <c r="B12294" t="s">
        <v>385</v>
      </c>
      <c r="C12294" t="s">
        <v>184</v>
      </c>
      <c r="D12294">
        <v>489077</v>
      </c>
      <c r="E12294">
        <v>494892</v>
      </c>
      <c r="F12294">
        <v>473282</v>
      </c>
      <c r="G12294">
        <v>485004</v>
      </c>
    </row>
    <row r="12295" spans="1:7">
      <c r="A12295" t="s">
        <v>1876</v>
      </c>
      <c r="B12295" t="s">
        <v>385</v>
      </c>
      <c r="C12295" t="s">
        <v>185</v>
      </c>
      <c r="D12295">
        <v>489077</v>
      </c>
      <c r="E12295">
        <v>494892</v>
      </c>
      <c r="F12295">
        <v>473282</v>
      </c>
      <c r="G12295">
        <v>485004</v>
      </c>
    </row>
    <row r="12296" spans="1:7">
      <c r="A12296" t="s">
        <v>1876</v>
      </c>
      <c r="B12296" t="s">
        <v>385</v>
      </c>
      <c r="C12296" t="s">
        <v>1915</v>
      </c>
      <c r="D12296">
        <v>67</v>
      </c>
      <c r="E12296">
        <v>113</v>
      </c>
      <c r="F12296">
        <v>285</v>
      </c>
      <c r="G12296">
        <v>388</v>
      </c>
    </row>
    <row r="12297" spans="1:7">
      <c r="A12297" t="s">
        <v>1876</v>
      </c>
      <c r="B12297" t="s">
        <v>385</v>
      </c>
      <c r="C12297" t="s">
        <v>1916</v>
      </c>
      <c r="D12297">
        <v>0</v>
      </c>
      <c r="E12297">
        <v>0</v>
      </c>
      <c r="F12297">
        <v>0</v>
      </c>
      <c r="G12297">
        <v>0</v>
      </c>
    </row>
    <row r="12298" spans="1:7">
      <c r="A12298" t="s">
        <v>1876</v>
      </c>
      <c r="B12298" t="s">
        <v>385</v>
      </c>
      <c r="C12298" t="s">
        <v>1917</v>
      </c>
      <c r="D12298">
        <v>52</v>
      </c>
      <c r="E12298">
        <v>54</v>
      </c>
      <c r="F12298">
        <v>54</v>
      </c>
      <c r="G12298">
        <v>52</v>
      </c>
    </row>
    <row r="12299" spans="1:7">
      <c r="A12299" t="s">
        <v>1876</v>
      </c>
      <c r="B12299" t="s">
        <v>385</v>
      </c>
      <c r="C12299" t="s">
        <v>1918</v>
      </c>
      <c r="D12299">
        <v>2562</v>
      </c>
      <c r="E12299">
        <v>3237</v>
      </c>
      <c r="F12299">
        <v>3879</v>
      </c>
      <c r="G12299">
        <v>4218</v>
      </c>
    </row>
    <row r="12300" spans="1:7">
      <c r="A12300" t="s">
        <v>1876</v>
      </c>
      <c r="B12300" t="s">
        <v>385</v>
      </c>
      <c r="C12300" t="s">
        <v>1919</v>
      </c>
      <c r="D12300">
        <v>2.5</v>
      </c>
      <c r="E12300">
        <v>2.54</v>
      </c>
      <c r="F12300">
        <v>2.4900000000000002</v>
      </c>
      <c r="G12300">
        <v>2.39</v>
      </c>
    </row>
    <row r="12301" spans="1:7">
      <c r="A12301" t="s">
        <v>1876</v>
      </c>
      <c r="B12301" t="s">
        <v>385</v>
      </c>
      <c r="C12301" t="s">
        <v>1920</v>
      </c>
      <c r="D12301">
        <v>3154</v>
      </c>
      <c r="E12301">
        <v>4024</v>
      </c>
      <c r="F12301">
        <v>4980</v>
      </c>
      <c r="G12301">
        <v>5593</v>
      </c>
    </row>
    <row r="12302" spans="1:7">
      <c r="A12302" t="s">
        <v>1876</v>
      </c>
      <c r="B12302" t="s">
        <v>385</v>
      </c>
      <c r="C12302" t="s">
        <v>1921</v>
      </c>
      <c r="D12302">
        <v>1129</v>
      </c>
      <c r="E12302">
        <v>1417</v>
      </c>
      <c r="F12302">
        <v>1796</v>
      </c>
      <c r="G12302">
        <v>2086</v>
      </c>
    </row>
    <row r="12303" spans="1:7">
      <c r="A12303" t="s">
        <v>1876</v>
      </c>
      <c r="B12303" t="s">
        <v>385</v>
      </c>
      <c r="C12303" t="s">
        <v>1922</v>
      </c>
      <c r="D12303">
        <v>540</v>
      </c>
      <c r="E12303">
        <v>733</v>
      </c>
      <c r="F12303">
        <v>1047</v>
      </c>
      <c r="G12303">
        <v>1323</v>
      </c>
    </row>
    <row r="12304" spans="1:7">
      <c r="A12304" t="s">
        <v>1876</v>
      </c>
      <c r="B12304" t="s">
        <v>385</v>
      </c>
      <c r="C12304" t="s">
        <v>1923</v>
      </c>
      <c r="D12304">
        <v>4.3499999999999996</v>
      </c>
      <c r="E12304">
        <v>4.3600000000000003</v>
      </c>
      <c r="F12304">
        <v>4.07</v>
      </c>
      <c r="G12304">
        <v>3.88</v>
      </c>
    </row>
    <row r="12305" spans="1:7">
      <c r="A12305" t="s">
        <v>1876</v>
      </c>
      <c r="B12305" t="s">
        <v>385</v>
      </c>
      <c r="C12305" t="s">
        <v>1924</v>
      </c>
      <c r="D12305">
        <v>70</v>
      </c>
      <c r="E12305">
        <v>9</v>
      </c>
      <c r="F12305">
        <v>17</v>
      </c>
      <c r="G12305">
        <v>18</v>
      </c>
    </row>
    <row r="12306" spans="1:7">
      <c r="A12306" t="s">
        <v>1876</v>
      </c>
      <c r="B12306" t="s">
        <v>385</v>
      </c>
      <c r="C12306" t="s">
        <v>1925</v>
      </c>
      <c r="D12306">
        <v>218</v>
      </c>
      <c r="E12306">
        <v>223</v>
      </c>
      <c r="F12306">
        <v>236</v>
      </c>
      <c r="G12306">
        <v>240</v>
      </c>
    </row>
    <row r="12307" spans="1:7">
      <c r="A12307" t="s">
        <v>1876</v>
      </c>
      <c r="B12307" t="s">
        <v>385</v>
      </c>
      <c r="C12307" t="s">
        <v>1926</v>
      </c>
      <c r="D12307">
        <v>841</v>
      </c>
      <c r="E12307">
        <v>1185</v>
      </c>
      <c r="F12307">
        <v>1543</v>
      </c>
      <c r="G12307">
        <v>1828</v>
      </c>
    </row>
    <row r="12308" spans="1:7">
      <c r="A12308" t="s">
        <v>1876</v>
      </c>
      <c r="B12308" t="s">
        <v>385</v>
      </c>
      <c r="C12308" t="s">
        <v>1927</v>
      </c>
      <c r="D12308">
        <v>62</v>
      </c>
      <c r="E12308">
        <v>63</v>
      </c>
      <c r="F12308">
        <v>50</v>
      </c>
      <c r="G12308">
        <v>45</v>
      </c>
    </row>
    <row r="12309" spans="1:7">
      <c r="A12309" t="s">
        <v>1876</v>
      </c>
      <c r="B12309" t="s">
        <v>385</v>
      </c>
      <c r="C12309" t="s">
        <v>1928</v>
      </c>
      <c r="D12309">
        <v>1029</v>
      </c>
      <c r="E12309">
        <v>1315</v>
      </c>
      <c r="F12309">
        <v>1698</v>
      </c>
      <c r="G12309">
        <v>1968</v>
      </c>
    </row>
    <row r="12310" spans="1:7">
      <c r="A12310" t="s">
        <v>1876</v>
      </c>
      <c r="B12310" t="s">
        <v>385</v>
      </c>
      <c r="C12310" t="s">
        <v>1929</v>
      </c>
      <c r="D12310">
        <v>38</v>
      </c>
      <c r="E12310">
        <v>39</v>
      </c>
      <c r="F12310">
        <v>48</v>
      </c>
      <c r="G12310">
        <v>73</v>
      </c>
    </row>
    <row r="12311" spans="1:7">
      <c r="A12311" t="s">
        <v>1876</v>
      </c>
      <c r="B12311" t="s">
        <v>385</v>
      </c>
      <c r="C12311" t="s">
        <v>186</v>
      </c>
      <c r="D12311">
        <v>0</v>
      </c>
      <c r="E12311">
        <v>17</v>
      </c>
      <c r="F12311">
        <v>69</v>
      </c>
      <c r="G12311">
        <v>-602</v>
      </c>
    </row>
    <row r="12312" spans="1:7">
      <c r="A12312" t="s">
        <v>1876</v>
      </c>
      <c r="B12312" t="s">
        <v>385</v>
      </c>
      <c r="C12312" t="s">
        <v>187</v>
      </c>
      <c r="D12312">
        <v>0</v>
      </c>
      <c r="E12312">
        <v>17</v>
      </c>
      <c r="F12312">
        <v>69</v>
      </c>
      <c r="G12312">
        <v>-602</v>
      </c>
    </row>
    <row r="12313" spans="1:7">
      <c r="A12313" t="s">
        <v>1876</v>
      </c>
      <c r="B12313" t="s">
        <v>385</v>
      </c>
      <c r="C12313" t="s">
        <v>1705</v>
      </c>
      <c r="D12313">
        <v>36103</v>
      </c>
      <c r="E12313">
        <v>35389</v>
      </c>
      <c r="F12313">
        <v>34292</v>
      </c>
      <c r="G12313">
        <v>33626</v>
      </c>
    </row>
    <row r="12314" spans="1:7">
      <c r="A12314" t="s">
        <v>1876</v>
      </c>
      <c r="B12314" t="s">
        <v>385</v>
      </c>
      <c r="C12314" t="s">
        <v>188</v>
      </c>
      <c r="D12314">
        <v>3400808</v>
      </c>
      <c r="E12314">
        <v>3480601</v>
      </c>
      <c r="F12314">
        <v>3371269</v>
      </c>
      <c r="G12314">
        <v>3393202</v>
      </c>
    </row>
    <row r="12315" spans="1:7">
      <c r="A12315" t="s">
        <v>1876</v>
      </c>
      <c r="B12315" t="s">
        <v>385</v>
      </c>
      <c r="C12315" t="s">
        <v>189</v>
      </c>
      <c r="D12315">
        <v>0</v>
      </c>
      <c r="E12315">
        <v>0</v>
      </c>
      <c r="F12315">
        <v>0</v>
      </c>
      <c r="G12315">
        <v>0</v>
      </c>
    </row>
    <row r="12316" spans="1:7">
      <c r="A12316" t="s">
        <v>1876</v>
      </c>
      <c r="B12316" t="s">
        <v>385</v>
      </c>
      <c r="C12316" t="s">
        <v>190</v>
      </c>
      <c r="D12316">
        <v>0</v>
      </c>
      <c r="E12316">
        <v>0</v>
      </c>
      <c r="F12316">
        <v>0</v>
      </c>
      <c r="G12316">
        <v>0</v>
      </c>
    </row>
    <row r="12317" spans="1:7">
      <c r="A12317" t="s">
        <v>1876</v>
      </c>
      <c r="B12317" t="s">
        <v>385</v>
      </c>
      <c r="C12317" t="s">
        <v>191</v>
      </c>
      <c r="D12317">
        <v>0</v>
      </c>
      <c r="E12317">
        <v>0</v>
      </c>
      <c r="F12317">
        <v>0</v>
      </c>
      <c r="G12317">
        <v>0</v>
      </c>
    </row>
    <row r="12318" spans="1:7">
      <c r="A12318" t="s">
        <v>1876</v>
      </c>
      <c r="B12318" t="s">
        <v>385</v>
      </c>
      <c r="C12318" t="s">
        <v>192</v>
      </c>
      <c r="D12318">
        <v>844875.5</v>
      </c>
      <c r="E12318">
        <v>916861.7</v>
      </c>
      <c r="F12318">
        <v>966444</v>
      </c>
      <c r="G12318">
        <v>1007873.9</v>
      </c>
    </row>
    <row r="12319" spans="1:7">
      <c r="A12319" t="s">
        <v>1876</v>
      </c>
      <c r="B12319" t="s">
        <v>385</v>
      </c>
      <c r="C12319" t="s">
        <v>193</v>
      </c>
      <c r="D12319">
        <v>766140</v>
      </c>
      <c r="E12319">
        <v>776824.7</v>
      </c>
      <c r="F12319">
        <v>789918.5</v>
      </c>
      <c r="G12319">
        <v>803232.5</v>
      </c>
    </row>
    <row r="12320" spans="1:7">
      <c r="A12320" t="s">
        <v>1876</v>
      </c>
      <c r="B12320" t="s">
        <v>385</v>
      </c>
      <c r="C12320" t="s">
        <v>1930</v>
      </c>
      <c r="D12320">
        <v>0</v>
      </c>
      <c r="E12320">
        <v>0</v>
      </c>
      <c r="F12320">
        <v>0</v>
      </c>
      <c r="G12320">
        <v>0</v>
      </c>
    </row>
    <row r="12321" spans="1:7">
      <c r="A12321" t="s">
        <v>1876</v>
      </c>
      <c r="B12321" t="s">
        <v>385</v>
      </c>
      <c r="C12321" t="s">
        <v>194</v>
      </c>
      <c r="D12321">
        <v>816</v>
      </c>
      <c r="E12321">
        <v>816</v>
      </c>
      <c r="F12321">
        <v>816</v>
      </c>
      <c r="G12321">
        <v>816</v>
      </c>
    </row>
    <row r="12322" spans="1:7">
      <c r="A12322" t="s">
        <v>1876</v>
      </c>
      <c r="B12322" t="s">
        <v>385</v>
      </c>
      <c r="C12322" t="s">
        <v>195</v>
      </c>
      <c r="D12322">
        <v>0</v>
      </c>
      <c r="E12322">
        <v>0</v>
      </c>
      <c r="F12322">
        <v>0</v>
      </c>
      <c r="G12322">
        <v>0</v>
      </c>
    </row>
    <row r="12323" spans="1:7">
      <c r="A12323" t="s">
        <v>1876</v>
      </c>
      <c r="B12323" t="s">
        <v>385</v>
      </c>
      <c r="C12323" t="s">
        <v>1706</v>
      </c>
      <c r="D12323">
        <v>0</v>
      </c>
      <c r="E12323">
        <v>0</v>
      </c>
      <c r="F12323">
        <v>0</v>
      </c>
      <c r="G12323">
        <v>0</v>
      </c>
    </row>
    <row r="12324" spans="1:7">
      <c r="A12324" t="s">
        <v>1876</v>
      </c>
      <c r="B12324" t="s">
        <v>385</v>
      </c>
      <c r="C12324" t="s">
        <v>196</v>
      </c>
      <c r="D12324">
        <v>0</v>
      </c>
      <c r="E12324">
        <v>0</v>
      </c>
      <c r="F12324">
        <v>0</v>
      </c>
      <c r="G12324">
        <v>0</v>
      </c>
    </row>
    <row r="12325" spans="1:7">
      <c r="A12325" t="s">
        <v>1876</v>
      </c>
      <c r="B12325" t="s">
        <v>385</v>
      </c>
      <c r="C12325" t="s">
        <v>197</v>
      </c>
      <c r="D12325">
        <v>1347</v>
      </c>
      <c r="E12325">
        <v>1347</v>
      </c>
      <c r="F12325">
        <v>1347</v>
      </c>
      <c r="G12325">
        <v>1347</v>
      </c>
    </row>
    <row r="12326" spans="1:7">
      <c r="A12326" t="s">
        <v>1876</v>
      </c>
      <c r="B12326" t="s">
        <v>385</v>
      </c>
      <c r="C12326" t="s">
        <v>198</v>
      </c>
      <c r="D12326">
        <v>2162</v>
      </c>
      <c r="E12326">
        <v>2162</v>
      </c>
      <c r="F12326">
        <v>2162</v>
      </c>
      <c r="G12326">
        <v>2162</v>
      </c>
    </row>
    <row r="12327" spans="1:7">
      <c r="A12327" t="s">
        <v>1876</v>
      </c>
      <c r="B12327" t="s">
        <v>385</v>
      </c>
      <c r="C12327" t="s">
        <v>199</v>
      </c>
      <c r="D12327">
        <v>2162</v>
      </c>
      <c r="E12327">
        <v>2162</v>
      </c>
      <c r="F12327">
        <v>2162</v>
      </c>
      <c r="G12327">
        <v>2162</v>
      </c>
    </row>
    <row r="12328" spans="1:7">
      <c r="A12328" t="s">
        <v>1876</v>
      </c>
      <c r="B12328" t="s">
        <v>385</v>
      </c>
      <c r="C12328" t="s">
        <v>200</v>
      </c>
      <c r="D12328">
        <v>398</v>
      </c>
      <c r="E12328">
        <v>631</v>
      </c>
      <c r="F12328">
        <v>554</v>
      </c>
      <c r="G12328">
        <v>546</v>
      </c>
    </row>
    <row r="12329" spans="1:7">
      <c r="A12329" t="s">
        <v>1876</v>
      </c>
      <c r="B12329" t="s">
        <v>385</v>
      </c>
      <c r="C12329" t="s">
        <v>201</v>
      </c>
      <c r="D12329">
        <v>8367</v>
      </c>
      <c r="E12329">
        <v>8099</v>
      </c>
      <c r="F12329">
        <v>7274</v>
      </c>
      <c r="G12329">
        <v>7911</v>
      </c>
    </row>
    <row r="12330" spans="1:7">
      <c r="A12330" t="s">
        <v>1876</v>
      </c>
      <c r="B12330" t="s">
        <v>385</v>
      </c>
      <c r="C12330" t="s">
        <v>202</v>
      </c>
      <c r="D12330">
        <v>25688</v>
      </c>
      <c r="E12330">
        <v>74377</v>
      </c>
      <c r="F12330">
        <v>120182</v>
      </c>
      <c r="G12330">
        <v>112617</v>
      </c>
    </row>
    <row r="12331" spans="1:7">
      <c r="A12331" t="s">
        <v>1876</v>
      </c>
      <c r="B12331" t="s">
        <v>385</v>
      </c>
      <c r="C12331" t="s">
        <v>203</v>
      </c>
      <c r="D12331">
        <v>18812</v>
      </c>
      <c r="E12331">
        <v>18766</v>
      </c>
      <c r="F12331">
        <v>17188</v>
      </c>
      <c r="G12331">
        <v>17075</v>
      </c>
    </row>
    <row r="12332" spans="1:7">
      <c r="A12332" t="s">
        <v>1876</v>
      </c>
      <c r="B12332" t="s">
        <v>385</v>
      </c>
      <c r="C12332" t="s">
        <v>204</v>
      </c>
      <c r="D12332">
        <v>53265</v>
      </c>
      <c r="E12332">
        <v>101873</v>
      </c>
      <c r="F12332">
        <v>145197</v>
      </c>
      <c r="G12332">
        <v>138149</v>
      </c>
    </row>
    <row r="12333" spans="1:7">
      <c r="A12333" t="s">
        <v>1876</v>
      </c>
      <c r="B12333" t="s">
        <v>385</v>
      </c>
      <c r="C12333" t="s">
        <v>205</v>
      </c>
      <c r="D12333">
        <v>53265</v>
      </c>
      <c r="E12333">
        <v>101873</v>
      </c>
      <c r="F12333">
        <v>145197</v>
      </c>
      <c r="G12333">
        <v>138149</v>
      </c>
    </row>
    <row r="12334" spans="1:7">
      <c r="A12334" t="s">
        <v>1876</v>
      </c>
      <c r="B12334" t="s">
        <v>385</v>
      </c>
      <c r="C12334" t="s">
        <v>1931</v>
      </c>
      <c r="D12334">
        <v>17.5</v>
      </c>
      <c r="E12334">
        <v>18.399999999999999</v>
      </c>
      <c r="F12334">
        <v>20.2</v>
      </c>
      <c r="G12334">
        <v>20.9</v>
      </c>
    </row>
    <row r="12335" spans="1:7">
      <c r="A12335" t="s">
        <v>1876</v>
      </c>
      <c r="B12335" t="s">
        <v>385</v>
      </c>
      <c r="C12335" t="s">
        <v>1707</v>
      </c>
      <c r="D12335">
        <v>1522</v>
      </c>
      <c r="E12335">
        <v>1514</v>
      </c>
      <c r="F12335">
        <v>1492</v>
      </c>
      <c r="G12335">
        <v>1492</v>
      </c>
    </row>
    <row r="12336" spans="1:7">
      <c r="A12336" t="s">
        <v>1876</v>
      </c>
      <c r="B12336" t="s">
        <v>385</v>
      </c>
      <c r="C12336" t="s">
        <v>1932</v>
      </c>
      <c r="D12336">
        <v>38.5</v>
      </c>
      <c r="E12336">
        <v>32.6</v>
      </c>
      <c r="F12336">
        <v>34.200000000000003</v>
      </c>
      <c r="G12336">
        <v>33.299999999999997</v>
      </c>
    </row>
    <row r="12337" spans="1:7">
      <c r="A12337" t="s">
        <v>1876</v>
      </c>
      <c r="B12337" t="s">
        <v>385</v>
      </c>
      <c r="C12337" t="s">
        <v>1708</v>
      </c>
      <c r="D12337">
        <v>930</v>
      </c>
      <c r="E12337">
        <v>930</v>
      </c>
      <c r="F12337">
        <v>930</v>
      </c>
      <c r="G12337">
        <v>930</v>
      </c>
    </row>
    <row r="12338" spans="1:7">
      <c r="A12338" t="s">
        <v>1876</v>
      </c>
      <c r="B12338" t="s">
        <v>385</v>
      </c>
      <c r="C12338" t="s">
        <v>206</v>
      </c>
      <c r="D12338">
        <v>0</v>
      </c>
      <c r="E12338">
        <v>0</v>
      </c>
      <c r="F12338">
        <v>0</v>
      </c>
      <c r="G12338">
        <v>0</v>
      </c>
    </row>
    <row r="12339" spans="1:7">
      <c r="A12339" t="s">
        <v>1876</v>
      </c>
      <c r="B12339" t="s">
        <v>385</v>
      </c>
      <c r="C12339" t="s">
        <v>207</v>
      </c>
      <c r="D12339">
        <v>10696</v>
      </c>
      <c r="E12339">
        <v>9051</v>
      </c>
      <c r="F12339">
        <v>9497</v>
      </c>
      <c r="G12339">
        <v>9284</v>
      </c>
    </row>
    <row r="12340" spans="1:7">
      <c r="A12340" t="s">
        <v>1876</v>
      </c>
      <c r="B12340" t="s">
        <v>385</v>
      </c>
      <c r="C12340" t="s">
        <v>208</v>
      </c>
      <c r="D12340">
        <v>0</v>
      </c>
      <c r="E12340">
        <v>0</v>
      </c>
      <c r="F12340">
        <v>0</v>
      </c>
      <c r="G12340">
        <v>0</v>
      </c>
    </row>
    <row r="12341" spans="1:7">
      <c r="A12341" t="s">
        <v>1876</v>
      </c>
      <c r="B12341" t="s">
        <v>385</v>
      </c>
      <c r="C12341" t="s">
        <v>209</v>
      </c>
      <c r="D12341">
        <v>10696</v>
      </c>
      <c r="E12341">
        <v>9051</v>
      </c>
      <c r="F12341">
        <v>9497</v>
      </c>
      <c r="G12341">
        <v>9284</v>
      </c>
    </row>
    <row r="12342" spans="1:7">
      <c r="A12342" t="s">
        <v>1876</v>
      </c>
      <c r="B12342" t="s">
        <v>385</v>
      </c>
      <c r="C12342" t="s">
        <v>210</v>
      </c>
      <c r="D12342">
        <v>0</v>
      </c>
      <c r="E12342">
        <v>0</v>
      </c>
      <c r="F12342">
        <v>0</v>
      </c>
      <c r="G12342">
        <v>0</v>
      </c>
    </row>
    <row r="12343" spans="1:7">
      <c r="A12343" t="s">
        <v>1876</v>
      </c>
      <c r="B12343" t="s">
        <v>385</v>
      </c>
      <c r="C12343" t="s">
        <v>211</v>
      </c>
      <c r="D12343">
        <v>0</v>
      </c>
      <c r="E12343">
        <v>0</v>
      </c>
      <c r="F12343">
        <v>0</v>
      </c>
      <c r="G12343">
        <v>0</v>
      </c>
    </row>
    <row r="12344" spans="1:7">
      <c r="A12344" t="s">
        <v>1876</v>
      </c>
      <c r="B12344" t="s">
        <v>385</v>
      </c>
      <c r="C12344" t="s">
        <v>212</v>
      </c>
      <c r="D12344">
        <v>0</v>
      </c>
      <c r="E12344">
        <v>0</v>
      </c>
      <c r="F12344">
        <v>0</v>
      </c>
      <c r="G12344">
        <v>0</v>
      </c>
    </row>
    <row r="12345" spans="1:7">
      <c r="A12345" t="s">
        <v>1876</v>
      </c>
      <c r="B12345" t="s">
        <v>385</v>
      </c>
      <c r="C12345" t="s">
        <v>213</v>
      </c>
      <c r="D12345">
        <v>0</v>
      </c>
      <c r="E12345">
        <v>0</v>
      </c>
      <c r="F12345">
        <v>0</v>
      </c>
      <c r="G12345">
        <v>0</v>
      </c>
    </row>
    <row r="12346" spans="1:7">
      <c r="A12346" t="s">
        <v>1876</v>
      </c>
      <c r="B12346" t="s">
        <v>385</v>
      </c>
      <c r="C12346" t="s">
        <v>214</v>
      </c>
      <c r="D12346">
        <v>0</v>
      </c>
      <c r="E12346">
        <v>0</v>
      </c>
      <c r="F12346">
        <v>0</v>
      </c>
      <c r="G12346">
        <v>0</v>
      </c>
    </row>
    <row r="12347" spans="1:7">
      <c r="A12347" t="s">
        <v>1876</v>
      </c>
      <c r="B12347" t="s">
        <v>385</v>
      </c>
      <c r="C12347" t="s">
        <v>215</v>
      </c>
      <c r="D12347">
        <v>52560</v>
      </c>
      <c r="E12347">
        <v>56852</v>
      </c>
      <c r="F12347">
        <v>62972</v>
      </c>
      <c r="G12347">
        <v>66172</v>
      </c>
    </row>
    <row r="12348" spans="1:7">
      <c r="A12348" t="s">
        <v>1876</v>
      </c>
      <c r="B12348" t="s">
        <v>385</v>
      </c>
      <c r="C12348" t="s">
        <v>216</v>
      </c>
      <c r="D12348">
        <v>52560</v>
      </c>
      <c r="E12348">
        <v>56852</v>
      </c>
      <c r="F12348">
        <v>62972</v>
      </c>
      <c r="G12348">
        <v>66172</v>
      </c>
    </row>
    <row r="12349" spans="1:7">
      <c r="A12349" t="s">
        <v>1876</v>
      </c>
      <c r="B12349" t="s">
        <v>385</v>
      </c>
      <c r="C12349" t="s">
        <v>217</v>
      </c>
      <c r="D12349">
        <v>52560</v>
      </c>
      <c r="E12349">
        <v>56852</v>
      </c>
      <c r="F12349">
        <v>62972</v>
      </c>
      <c r="G12349">
        <v>66172</v>
      </c>
    </row>
    <row r="12350" spans="1:7">
      <c r="A12350" t="s">
        <v>1876</v>
      </c>
      <c r="B12350" t="s">
        <v>385</v>
      </c>
      <c r="C12350" t="s">
        <v>218</v>
      </c>
      <c r="D12350">
        <v>166</v>
      </c>
      <c r="E12350">
        <v>154</v>
      </c>
      <c r="F12350">
        <v>265</v>
      </c>
      <c r="G12350">
        <v>204</v>
      </c>
    </row>
    <row r="12351" spans="1:7">
      <c r="A12351" t="s">
        <v>1876</v>
      </c>
      <c r="B12351" t="s">
        <v>385</v>
      </c>
      <c r="C12351" t="s">
        <v>219</v>
      </c>
      <c r="D12351">
        <v>62</v>
      </c>
      <c r="E12351">
        <v>47</v>
      </c>
      <c r="F12351">
        <v>187</v>
      </c>
      <c r="G12351">
        <v>102</v>
      </c>
    </row>
    <row r="12352" spans="1:7">
      <c r="A12352" t="s">
        <v>1876</v>
      </c>
      <c r="B12352" t="s">
        <v>385</v>
      </c>
      <c r="C12352" t="s">
        <v>220</v>
      </c>
      <c r="D12352">
        <v>1060</v>
      </c>
      <c r="E12352">
        <v>981</v>
      </c>
      <c r="F12352">
        <v>1690</v>
      </c>
      <c r="G12352">
        <v>1300</v>
      </c>
    </row>
    <row r="12353" spans="1:7">
      <c r="A12353" t="s">
        <v>1876</v>
      </c>
      <c r="B12353" t="s">
        <v>385</v>
      </c>
      <c r="C12353" t="s">
        <v>221</v>
      </c>
      <c r="D12353">
        <v>1289</v>
      </c>
      <c r="E12353">
        <v>1182</v>
      </c>
      <c r="F12353">
        <v>2142</v>
      </c>
      <c r="G12353">
        <v>1606</v>
      </c>
    </row>
    <row r="12354" spans="1:7">
      <c r="A12354" t="s">
        <v>1876</v>
      </c>
      <c r="B12354" t="s">
        <v>385</v>
      </c>
      <c r="C12354" t="s">
        <v>222</v>
      </c>
      <c r="D12354">
        <v>1289</v>
      </c>
      <c r="E12354">
        <v>1182</v>
      </c>
      <c r="F12354">
        <v>2142</v>
      </c>
      <c r="G12354">
        <v>1606</v>
      </c>
    </row>
    <row r="12355" spans="1:7">
      <c r="A12355" t="s">
        <v>1876</v>
      </c>
      <c r="B12355" t="s">
        <v>385</v>
      </c>
      <c r="C12355" t="s">
        <v>1933</v>
      </c>
      <c r="D12355">
        <v>9601.1</v>
      </c>
      <c r="E12355">
        <v>9436.4</v>
      </c>
      <c r="F12355">
        <v>9415.6</v>
      </c>
      <c r="G12355">
        <v>9447.5</v>
      </c>
    </row>
    <row r="12356" spans="1:7">
      <c r="A12356" t="s">
        <v>1876</v>
      </c>
      <c r="B12356" t="s">
        <v>385</v>
      </c>
      <c r="C12356" t="s">
        <v>223</v>
      </c>
      <c r="D12356">
        <v>2252</v>
      </c>
      <c r="E12356">
        <v>2941</v>
      </c>
      <c r="F12356">
        <v>2346</v>
      </c>
      <c r="G12356">
        <v>2685</v>
      </c>
    </row>
    <row r="12357" spans="1:7">
      <c r="A12357" t="s">
        <v>1876</v>
      </c>
      <c r="B12357" t="s">
        <v>385</v>
      </c>
      <c r="C12357" t="s">
        <v>224</v>
      </c>
      <c r="D12357">
        <v>204628</v>
      </c>
      <c r="E12357">
        <v>206730</v>
      </c>
      <c r="F12357">
        <v>193397</v>
      </c>
      <c r="G12357">
        <v>209144</v>
      </c>
    </row>
    <row r="12358" spans="1:7">
      <c r="A12358" t="s">
        <v>1876</v>
      </c>
      <c r="B12358" t="s">
        <v>385</v>
      </c>
      <c r="C12358" t="s">
        <v>225</v>
      </c>
      <c r="D12358">
        <v>276612</v>
      </c>
      <c r="E12358">
        <v>282624</v>
      </c>
      <c r="F12358">
        <v>270884</v>
      </c>
      <c r="G12358">
        <v>264931</v>
      </c>
    </row>
    <row r="12359" spans="1:7">
      <c r="A12359" t="s">
        <v>1876</v>
      </c>
      <c r="B12359" t="s">
        <v>385</v>
      </c>
      <c r="C12359" t="s">
        <v>226</v>
      </c>
      <c r="D12359">
        <v>309504</v>
      </c>
      <c r="E12359">
        <v>313343</v>
      </c>
      <c r="F12359">
        <v>282665</v>
      </c>
      <c r="G12359">
        <v>294456</v>
      </c>
    </row>
    <row r="12360" spans="1:7">
      <c r="A12360" t="s">
        <v>1876</v>
      </c>
      <c r="B12360" t="s">
        <v>385</v>
      </c>
      <c r="C12360" t="s">
        <v>227</v>
      </c>
      <c r="D12360">
        <v>792996</v>
      </c>
      <c r="E12360">
        <v>805639</v>
      </c>
      <c r="F12360">
        <v>749292</v>
      </c>
      <c r="G12360">
        <v>771215</v>
      </c>
    </row>
    <row r="12361" spans="1:7">
      <c r="A12361" t="s">
        <v>1876</v>
      </c>
      <c r="B12361" t="s">
        <v>385</v>
      </c>
      <c r="C12361" t="s">
        <v>228</v>
      </c>
      <c r="D12361">
        <v>792996</v>
      </c>
      <c r="E12361">
        <v>805639</v>
      </c>
      <c r="F12361">
        <v>749292</v>
      </c>
      <c r="G12361">
        <v>771215</v>
      </c>
    </row>
    <row r="12362" spans="1:7">
      <c r="A12362" t="s">
        <v>1876</v>
      </c>
      <c r="B12362" t="s">
        <v>385</v>
      </c>
      <c r="C12362" t="s">
        <v>229</v>
      </c>
      <c r="D12362">
        <v>3962</v>
      </c>
      <c r="E12362">
        <v>4206</v>
      </c>
      <c r="F12362">
        <v>2995</v>
      </c>
      <c r="G12362">
        <v>2885</v>
      </c>
    </row>
    <row r="12363" spans="1:7">
      <c r="A12363" t="s">
        <v>1876</v>
      </c>
      <c r="B12363" t="s">
        <v>385</v>
      </c>
      <c r="C12363" t="s">
        <v>230</v>
      </c>
      <c r="D12363">
        <v>4527</v>
      </c>
      <c r="E12363">
        <v>4693</v>
      </c>
      <c r="F12363">
        <v>3618</v>
      </c>
      <c r="G12363">
        <v>3256</v>
      </c>
    </row>
    <row r="12364" spans="1:7">
      <c r="A12364" t="s">
        <v>1876</v>
      </c>
      <c r="B12364" t="s">
        <v>385</v>
      </c>
      <c r="C12364" t="s">
        <v>231</v>
      </c>
      <c r="D12364">
        <v>8490</v>
      </c>
      <c r="E12364">
        <v>8899</v>
      </c>
      <c r="F12364">
        <v>6613</v>
      </c>
      <c r="G12364">
        <v>6140</v>
      </c>
    </row>
    <row r="12365" spans="1:7">
      <c r="A12365" t="s">
        <v>1876</v>
      </c>
      <c r="B12365" t="s">
        <v>385</v>
      </c>
      <c r="C12365" t="s">
        <v>232</v>
      </c>
      <c r="D12365">
        <v>8490</v>
      </c>
      <c r="E12365">
        <v>8899</v>
      </c>
      <c r="F12365">
        <v>6613</v>
      </c>
      <c r="G12365">
        <v>6140</v>
      </c>
    </row>
    <row r="12366" spans="1:7">
      <c r="A12366" t="s">
        <v>1876</v>
      </c>
      <c r="B12366" t="s">
        <v>385</v>
      </c>
      <c r="C12366" t="s">
        <v>233</v>
      </c>
      <c r="D12366">
        <v>0</v>
      </c>
      <c r="E12366">
        <v>0</v>
      </c>
      <c r="F12366">
        <v>0</v>
      </c>
      <c r="G12366">
        <v>0</v>
      </c>
    </row>
    <row r="12367" spans="1:7">
      <c r="A12367" t="s">
        <v>1876</v>
      </c>
      <c r="B12367" t="s">
        <v>385</v>
      </c>
      <c r="C12367" t="s">
        <v>234</v>
      </c>
      <c r="D12367">
        <v>519615</v>
      </c>
      <c r="E12367">
        <v>509622</v>
      </c>
      <c r="F12367">
        <v>508007</v>
      </c>
      <c r="G12367">
        <v>513130</v>
      </c>
    </row>
    <row r="12368" spans="1:7">
      <c r="A12368" t="s">
        <v>1876</v>
      </c>
      <c r="B12368" t="s">
        <v>385</v>
      </c>
      <c r="C12368" t="s">
        <v>235</v>
      </c>
      <c r="D12368">
        <v>14910</v>
      </c>
      <c r="E12368">
        <v>15329</v>
      </c>
      <c r="F12368">
        <v>15361</v>
      </c>
      <c r="G12368">
        <v>11844</v>
      </c>
    </row>
    <row r="12369" spans="1:7">
      <c r="A12369" t="s">
        <v>1876</v>
      </c>
      <c r="B12369" t="s">
        <v>385</v>
      </c>
      <c r="C12369" t="s">
        <v>236</v>
      </c>
      <c r="D12369">
        <v>7648</v>
      </c>
      <c r="E12369">
        <v>8022</v>
      </c>
      <c r="F12369">
        <v>8073</v>
      </c>
      <c r="G12369">
        <v>7468</v>
      </c>
    </row>
    <row r="12370" spans="1:7">
      <c r="A12370" t="s">
        <v>1876</v>
      </c>
      <c r="B12370" t="s">
        <v>385</v>
      </c>
      <c r="C12370" t="s">
        <v>237</v>
      </c>
      <c r="D12370">
        <v>542173</v>
      </c>
      <c r="E12370">
        <v>532973</v>
      </c>
      <c r="F12370">
        <v>531441</v>
      </c>
      <c r="G12370">
        <v>532443</v>
      </c>
    </row>
    <row r="12371" spans="1:7">
      <c r="A12371" t="s">
        <v>1876</v>
      </c>
      <c r="B12371" t="s">
        <v>385</v>
      </c>
      <c r="C12371" t="s">
        <v>238</v>
      </c>
      <c r="D12371">
        <v>542173</v>
      </c>
      <c r="E12371">
        <v>532973</v>
      </c>
      <c r="F12371">
        <v>531441</v>
      </c>
      <c r="G12371">
        <v>532443</v>
      </c>
    </row>
    <row r="12372" spans="1:7">
      <c r="A12372" t="s">
        <v>1876</v>
      </c>
      <c r="B12372" t="s">
        <v>385</v>
      </c>
      <c r="C12372" t="s">
        <v>1934</v>
      </c>
      <c r="D12372">
        <v>483183</v>
      </c>
      <c r="E12372">
        <v>473724</v>
      </c>
      <c r="F12372">
        <v>472384</v>
      </c>
      <c r="G12372">
        <v>477219</v>
      </c>
    </row>
    <row r="12373" spans="1:7">
      <c r="A12373" t="s">
        <v>1876</v>
      </c>
      <c r="B12373" t="s">
        <v>385</v>
      </c>
      <c r="C12373" t="s">
        <v>1935</v>
      </c>
      <c r="D12373">
        <v>13865</v>
      </c>
      <c r="E12373">
        <v>14249</v>
      </c>
      <c r="F12373">
        <v>14284</v>
      </c>
      <c r="G12373">
        <v>11015</v>
      </c>
    </row>
    <row r="12374" spans="1:7">
      <c r="A12374" t="s">
        <v>1876</v>
      </c>
      <c r="B12374" t="s">
        <v>385</v>
      </c>
      <c r="C12374" t="s">
        <v>1936</v>
      </c>
      <c r="D12374">
        <v>7112</v>
      </c>
      <c r="E12374">
        <v>7457</v>
      </c>
      <c r="F12374">
        <v>7507</v>
      </c>
      <c r="G12374">
        <v>6945</v>
      </c>
    </row>
    <row r="12375" spans="1:7">
      <c r="A12375" t="s">
        <v>1876</v>
      </c>
      <c r="B12375" t="s">
        <v>385</v>
      </c>
      <c r="C12375" t="s">
        <v>239</v>
      </c>
      <c r="D12375">
        <v>504160</v>
      </c>
      <c r="E12375">
        <v>495430</v>
      </c>
      <c r="F12375">
        <v>494176</v>
      </c>
      <c r="G12375">
        <v>495180</v>
      </c>
    </row>
    <row r="12376" spans="1:7">
      <c r="A12376" t="s">
        <v>1876</v>
      </c>
      <c r="B12376" t="s">
        <v>385</v>
      </c>
      <c r="C12376" t="s">
        <v>240</v>
      </c>
      <c r="D12376">
        <v>2227</v>
      </c>
      <c r="E12376">
        <v>3069</v>
      </c>
      <c r="F12376">
        <v>2949</v>
      </c>
      <c r="G12376">
        <v>2887</v>
      </c>
    </row>
    <row r="12377" spans="1:7">
      <c r="A12377" t="s">
        <v>1876</v>
      </c>
      <c r="B12377" t="s">
        <v>385</v>
      </c>
      <c r="C12377" t="s">
        <v>241</v>
      </c>
      <c r="D12377">
        <v>0</v>
      </c>
      <c r="E12377">
        <v>0</v>
      </c>
      <c r="F12377">
        <v>0</v>
      </c>
      <c r="G12377">
        <v>0</v>
      </c>
    </row>
    <row r="12378" spans="1:7">
      <c r="A12378" t="s">
        <v>1876</v>
      </c>
      <c r="B12378" t="s">
        <v>385</v>
      </c>
      <c r="C12378" t="s">
        <v>242</v>
      </c>
      <c r="D12378">
        <v>55405</v>
      </c>
      <c r="E12378">
        <v>60364</v>
      </c>
      <c r="F12378">
        <v>54020</v>
      </c>
      <c r="G12378">
        <v>52469</v>
      </c>
    </row>
    <row r="12379" spans="1:7">
      <c r="A12379" t="s">
        <v>1876</v>
      </c>
      <c r="B12379" t="s">
        <v>385</v>
      </c>
      <c r="C12379" t="s">
        <v>243</v>
      </c>
      <c r="D12379">
        <v>160399</v>
      </c>
      <c r="E12379">
        <v>173203</v>
      </c>
      <c r="F12379">
        <v>159323</v>
      </c>
      <c r="G12379">
        <v>163959</v>
      </c>
    </row>
    <row r="12380" spans="1:7">
      <c r="A12380" t="s">
        <v>1876</v>
      </c>
      <c r="B12380" t="s">
        <v>385</v>
      </c>
      <c r="C12380" t="s">
        <v>244</v>
      </c>
      <c r="D12380">
        <v>882142</v>
      </c>
      <c r="E12380">
        <v>915384</v>
      </c>
      <c r="F12380">
        <v>983230</v>
      </c>
      <c r="G12380">
        <v>1032211</v>
      </c>
    </row>
    <row r="12381" spans="1:7">
      <c r="A12381" t="s">
        <v>1876</v>
      </c>
      <c r="B12381" t="s">
        <v>385</v>
      </c>
      <c r="C12381" t="s">
        <v>1709</v>
      </c>
      <c r="D12381">
        <v>24469</v>
      </c>
      <c r="E12381">
        <v>25961</v>
      </c>
      <c r="F12381">
        <v>26857</v>
      </c>
      <c r="G12381">
        <v>26823</v>
      </c>
    </row>
    <row r="12382" spans="1:7">
      <c r="A12382" t="s">
        <v>1876</v>
      </c>
      <c r="B12382" t="s">
        <v>385</v>
      </c>
      <c r="C12382" t="s">
        <v>245</v>
      </c>
      <c r="D12382">
        <v>534970</v>
      </c>
      <c r="E12382">
        <v>542829</v>
      </c>
      <c r="F12382">
        <v>529297</v>
      </c>
      <c r="G12382">
        <v>522118</v>
      </c>
    </row>
    <row r="12383" spans="1:7">
      <c r="A12383" t="s">
        <v>1876</v>
      </c>
      <c r="B12383" t="s">
        <v>385</v>
      </c>
      <c r="C12383" t="s">
        <v>246</v>
      </c>
      <c r="D12383">
        <v>235221</v>
      </c>
      <c r="E12383">
        <v>246528</v>
      </c>
      <c r="F12383">
        <v>215031</v>
      </c>
      <c r="G12383">
        <v>219681</v>
      </c>
    </row>
    <row r="12384" spans="1:7">
      <c r="A12384" t="s">
        <v>1876</v>
      </c>
      <c r="B12384" t="s">
        <v>385</v>
      </c>
      <c r="C12384" t="s">
        <v>247</v>
      </c>
      <c r="D12384">
        <v>1868138</v>
      </c>
      <c r="E12384">
        <v>1938312</v>
      </c>
      <c r="F12384">
        <v>1940902</v>
      </c>
      <c r="G12384">
        <v>1990438</v>
      </c>
    </row>
    <row r="12385" spans="1:7">
      <c r="A12385" t="s">
        <v>1876</v>
      </c>
      <c r="B12385" t="s">
        <v>385</v>
      </c>
      <c r="C12385" t="s">
        <v>248</v>
      </c>
      <c r="D12385">
        <v>143.5</v>
      </c>
      <c r="E12385">
        <v>149.30000000000001</v>
      </c>
      <c r="F12385">
        <v>149.19999999999999</v>
      </c>
      <c r="G12385">
        <v>152.6</v>
      </c>
    </row>
    <row r="12386" spans="1:7">
      <c r="A12386" t="s">
        <v>1876</v>
      </c>
      <c r="B12386" t="s">
        <v>385</v>
      </c>
      <c r="C12386" t="s">
        <v>249</v>
      </c>
      <c r="D12386">
        <v>985995</v>
      </c>
      <c r="E12386">
        <v>1022924</v>
      </c>
      <c r="F12386">
        <v>957671</v>
      </c>
      <c r="G12386">
        <v>958226</v>
      </c>
    </row>
    <row r="12387" spans="1:7">
      <c r="A12387" t="s">
        <v>1876</v>
      </c>
      <c r="B12387" t="s">
        <v>385</v>
      </c>
      <c r="C12387" t="s">
        <v>250</v>
      </c>
      <c r="D12387">
        <v>1868137</v>
      </c>
      <c r="E12387">
        <v>1936985</v>
      </c>
      <c r="F12387">
        <v>1934868</v>
      </c>
      <c r="G12387">
        <v>1983988</v>
      </c>
    </row>
    <row r="12388" spans="1:7">
      <c r="A12388" t="s">
        <v>1876</v>
      </c>
      <c r="B12388" t="s">
        <v>385</v>
      </c>
      <c r="C12388" t="s">
        <v>1937</v>
      </c>
      <c r="D12388">
        <v>21.9</v>
      </c>
      <c r="E12388">
        <v>24</v>
      </c>
      <c r="F12388">
        <v>24.1</v>
      </c>
      <c r="G12388">
        <v>21.4</v>
      </c>
    </row>
    <row r="12389" spans="1:7">
      <c r="A12389" t="s">
        <v>1876</v>
      </c>
      <c r="B12389" t="s">
        <v>385</v>
      </c>
      <c r="C12389" t="s">
        <v>1938</v>
      </c>
      <c r="D12389">
        <v>95.3</v>
      </c>
      <c r="E12389">
        <v>95.6</v>
      </c>
      <c r="F12389">
        <v>94.5</v>
      </c>
      <c r="G12389">
        <v>86.7</v>
      </c>
    </row>
    <row r="12390" spans="1:7">
      <c r="A12390" t="s">
        <v>1876</v>
      </c>
      <c r="B12390" t="s">
        <v>385</v>
      </c>
      <c r="C12390" t="s">
        <v>251</v>
      </c>
      <c r="D12390">
        <v>791587</v>
      </c>
      <c r="E12390">
        <v>795783</v>
      </c>
      <c r="F12390">
        <v>787083</v>
      </c>
      <c r="G12390">
        <v>787449</v>
      </c>
    </row>
    <row r="12391" spans="1:7">
      <c r="A12391" t="s">
        <v>1876</v>
      </c>
      <c r="B12391" t="s">
        <v>385</v>
      </c>
      <c r="C12391" t="s">
        <v>252</v>
      </c>
      <c r="D12391">
        <v>791587</v>
      </c>
      <c r="E12391">
        <v>795783</v>
      </c>
      <c r="F12391">
        <v>787083</v>
      </c>
      <c r="G12391">
        <v>787449</v>
      </c>
    </row>
    <row r="12392" spans="1:7">
      <c r="A12392" t="s">
        <v>1876</v>
      </c>
      <c r="B12392" t="s">
        <v>385</v>
      </c>
      <c r="C12392" t="s">
        <v>1710</v>
      </c>
      <c r="D12392">
        <v>9093</v>
      </c>
      <c r="E12392">
        <v>9093</v>
      </c>
      <c r="F12392">
        <v>9093</v>
      </c>
      <c r="G12392">
        <v>9093</v>
      </c>
    </row>
    <row r="12393" spans="1:7">
      <c r="A12393" t="s">
        <v>1876</v>
      </c>
      <c r="B12393" t="s">
        <v>385</v>
      </c>
      <c r="C12393" t="s">
        <v>1939</v>
      </c>
      <c r="D12393">
        <v>5.5</v>
      </c>
      <c r="E12393">
        <v>13.8</v>
      </c>
      <c r="F12393">
        <v>13.1</v>
      </c>
      <c r="G12393">
        <v>20.7</v>
      </c>
    </row>
    <row r="12394" spans="1:7">
      <c r="A12394" t="s">
        <v>1876</v>
      </c>
      <c r="B12394" t="s">
        <v>385</v>
      </c>
      <c r="C12394" t="s">
        <v>253</v>
      </c>
      <c r="D12394">
        <v>19169</v>
      </c>
      <c r="E12394">
        <v>67944</v>
      </c>
      <c r="F12394">
        <v>114439</v>
      </c>
      <c r="G12394">
        <v>107090</v>
      </c>
    </row>
    <row r="12395" spans="1:7">
      <c r="A12395" t="s">
        <v>1876</v>
      </c>
      <c r="B12395" t="s">
        <v>385</v>
      </c>
      <c r="C12395" t="s">
        <v>1711</v>
      </c>
      <c r="D12395">
        <v>86</v>
      </c>
      <c r="E12395">
        <v>86</v>
      </c>
      <c r="F12395">
        <v>86</v>
      </c>
      <c r="G12395">
        <v>86</v>
      </c>
    </row>
    <row r="12396" spans="1:7">
      <c r="A12396" t="s">
        <v>1876</v>
      </c>
      <c r="B12396" t="s">
        <v>385</v>
      </c>
      <c r="C12396" t="s">
        <v>1712</v>
      </c>
      <c r="D12396">
        <v>31828</v>
      </c>
      <c r="E12396">
        <v>32284</v>
      </c>
      <c r="F12396">
        <v>28832</v>
      </c>
      <c r="G12396">
        <v>30093</v>
      </c>
    </row>
    <row r="12397" spans="1:7">
      <c r="A12397" t="s">
        <v>1876</v>
      </c>
      <c r="B12397" t="s">
        <v>385</v>
      </c>
      <c r="C12397" t="s">
        <v>1713</v>
      </c>
      <c r="D12397">
        <v>2931</v>
      </c>
      <c r="E12397">
        <v>2822</v>
      </c>
      <c r="F12397">
        <v>3995</v>
      </c>
      <c r="G12397">
        <v>4189</v>
      </c>
    </row>
    <row r="12398" spans="1:7">
      <c r="A12398" t="s">
        <v>1876</v>
      </c>
      <c r="B12398" t="s">
        <v>385</v>
      </c>
      <c r="C12398" t="s">
        <v>1940</v>
      </c>
      <c r="D12398">
        <v>0</v>
      </c>
      <c r="E12398">
        <v>0</v>
      </c>
      <c r="F12398">
        <v>0</v>
      </c>
      <c r="G12398">
        <v>0</v>
      </c>
    </row>
    <row r="12399" spans="1:7">
      <c r="A12399" t="s">
        <v>1876</v>
      </c>
      <c r="B12399" t="s">
        <v>385</v>
      </c>
      <c r="C12399" t="s">
        <v>1941</v>
      </c>
      <c r="D12399">
        <v>0</v>
      </c>
      <c r="E12399">
        <v>0</v>
      </c>
      <c r="F12399">
        <v>0</v>
      </c>
      <c r="G12399">
        <v>0</v>
      </c>
    </row>
    <row r="12400" spans="1:7">
      <c r="A12400" t="s">
        <v>1876</v>
      </c>
      <c r="B12400" t="s">
        <v>385</v>
      </c>
      <c r="C12400" t="s">
        <v>254</v>
      </c>
      <c r="D12400">
        <v>31828</v>
      </c>
      <c r="E12400">
        <v>32284</v>
      </c>
      <c r="F12400">
        <v>28832</v>
      </c>
      <c r="G12400">
        <v>30093</v>
      </c>
    </row>
    <row r="12401" spans="1:7">
      <c r="A12401" t="s">
        <v>1876</v>
      </c>
      <c r="B12401" t="s">
        <v>385</v>
      </c>
      <c r="C12401" t="s">
        <v>1942</v>
      </c>
      <c r="D12401">
        <v>0</v>
      </c>
      <c r="E12401">
        <v>0</v>
      </c>
      <c r="F12401">
        <v>0</v>
      </c>
      <c r="G12401">
        <v>0</v>
      </c>
    </row>
    <row r="12402" spans="1:7">
      <c r="A12402" t="s">
        <v>1876</v>
      </c>
      <c r="B12402" t="s">
        <v>385</v>
      </c>
      <c r="C12402" t="s">
        <v>255</v>
      </c>
      <c r="D12402">
        <v>34758</v>
      </c>
      <c r="E12402">
        <v>35106</v>
      </c>
      <c r="F12402">
        <v>32827</v>
      </c>
      <c r="G12402">
        <v>34282</v>
      </c>
    </row>
    <row r="12403" spans="1:7">
      <c r="A12403" t="s">
        <v>1876</v>
      </c>
      <c r="B12403" t="s">
        <v>385</v>
      </c>
      <c r="C12403" t="s">
        <v>256</v>
      </c>
      <c r="D12403">
        <v>34758</v>
      </c>
      <c r="E12403">
        <v>35106</v>
      </c>
      <c r="F12403">
        <v>32827</v>
      </c>
      <c r="G12403">
        <v>34282</v>
      </c>
    </row>
    <row r="12404" spans="1:7">
      <c r="A12404" t="s">
        <v>1876</v>
      </c>
      <c r="B12404" t="s">
        <v>385</v>
      </c>
      <c r="C12404" t="s">
        <v>1714</v>
      </c>
      <c r="D12404">
        <v>20</v>
      </c>
      <c r="E12404">
        <v>20</v>
      </c>
      <c r="F12404">
        <v>20</v>
      </c>
      <c r="G12404">
        <v>20</v>
      </c>
    </row>
    <row r="12405" spans="1:7">
      <c r="A12405" t="s">
        <v>1876</v>
      </c>
      <c r="B12405" t="s">
        <v>385</v>
      </c>
      <c r="C12405" t="s">
        <v>257</v>
      </c>
      <c r="D12405">
        <v>86874</v>
      </c>
      <c r="E12405">
        <v>92090</v>
      </c>
      <c r="F12405">
        <v>84387</v>
      </c>
      <c r="G12405">
        <v>76256</v>
      </c>
    </row>
    <row r="12406" spans="1:7">
      <c r="A12406" t="s">
        <v>1876</v>
      </c>
      <c r="B12406" t="s">
        <v>385</v>
      </c>
      <c r="C12406" t="s">
        <v>258</v>
      </c>
      <c r="D12406">
        <v>95379</v>
      </c>
      <c r="E12406">
        <v>100653</v>
      </c>
      <c r="F12406">
        <v>93712</v>
      </c>
      <c r="G12406">
        <v>85242</v>
      </c>
    </row>
    <row r="12407" spans="1:7">
      <c r="A12407" t="s">
        <v>1876</v>
      </c>
      <c r="B12407" t="s">
        <v>385</v>
      </c>
      <c r="C12407" t="s">
        <v>259</v>
      </c>
      <c r="D12407">
        <v>95379</v>
      </c>
      <c r="E12407">
        <v>100653</v>
      </c>
      <c r="F12407">
        <v>93712</v>
      </c>
      <c r="G12407">
        <v>85242</v>
      </c>
    </row>
    <row r="12408" spans="1:7">
      <c r="A12408" t="s">
        <v>1876</v>
      </c>
      <c r="B12408" t="s">
        <v>385</v>
      </c>
      <c r="C12408" t="s">
        <v>260</v>
      </c>
      <c r="D12408">
        <v>788868</v>
      </c>
      <c r="E12408">
        <v>788198</v>
      </c>
      <c r="F12408">
        <v>782969</v>
      </c>
      <c r="G12408">
        <v>785270</v>
      </c>
    </row>
    <row r="12409" spans="1:7">
      <c r="A12409" t="s">
        <v>1876</v>
      </c>
      <c r="B12409" t="s">
        <v>385</v>
      </c>
      <c r="C12409" t="s">
        <v>1943</v>
      </c>
      <c r="D12409">
        <v>0.2</v>
      </c>
      <c r="E12409">
        <v>0.6</v>
      </c>
      <c r="F12409">
        <v>0.1</v>
      </c>
      <c r="G12409">
        <v>0.1</v>
      </c>
    </row>
    <row r="12410" spans="1:7">
      <c r="A12410" t="s">
        <v>1876</v>
      </c>
      <c r="B12410" t="s">
        <v>385</v>
      </c>
      <c r="C12410" t="s">
        <v>261</v>
      </c>
      <c r="D12410">
        <v>41663</v>
      </c>
      <c r="E12410">
        <v>42349</v>
      </c>
      <c r="F12410">
        <v>40581</v>
      </c>
      <c r="G12410">
        <v>37429</v>
      </c>
    </row>
    <row r="12411" spans="1:7">
      <c r="A12411" t="s">
        <v>1876</v>
      </c>
      <c r="B12411" t="s">
        <v>385</v>
      </c>
      <c r="C12411" t="s">
        <v>262</v>
      </c>
      <c r="D12411">
        <v>1410</v>
      </c>
      <c r="E12411">
        <v>3339</v>
      </c>
      <c r="F12411">
        <v>729</v>
      </c>
      <c r="G12411">
        <v>998</v>
      </c>
    </row>
    <row r="12412" spans="1:7">
      <c r="A12412" t="s">
        <v>1876</v>
      </c>
      <c r="B12412" t="s">
        <v>385</v>
      </c>
      <c r="C12412" t="s">
        <v>1715</v>
      </c>
      <c r="D12412">
        <v>1548</v>
      </c>
      <c r="E12412">
        <v>1319</v>
      </c>
      <c r="F12412">
        <v>1340</v>
      </c>
      <c r="G12412">
        <v>1334</v>
      </c>
    </row>
    <row r="12413" spans="1:7">
      <c r="A12413" t="s">
        <v>1876</v>
      </c>
      <c r="B12413" t="s">
        <v>385</v>
      </c>
      <c r="C12413" t="s">
        <v>263</v>
      </c>
      <c r="D12413">
        <v>163716</v>
      </c>
      <c r="E12413">
        <v>218477</v>
      </c>
      <c r="F12413">
        <v>255490</v>
      </c>
      <c r="G12413">
        <v>237975</v>
      </c>
    </row>
    <row r="12414" spans="1:7">
      <c r="A12414" t="s">
        <v>1876</v>
      </c>
      <c r="B12414" t="s">
        <v>385</v>
      </c>
      <c r="C12414" t="s">
        <v>264</v>
      </c>
      <c r="D12414">
        <v>94936</v>
      </c>
      <c r="E12414">
        <v>98071</v>
      </c>
      <c r="F12414">
        <v>92644</v>
      </c>
      <c r="G12414">
        <v>89662</v>
      </c>
    </row>
    <row r="12415" spans="1:7">
      <c r="A12415" t="s">
        <v>1876</v>
      </c>
      <c r="B12415" t="s">
        <v>385</v>
      </c>
      <c r="C12415" t="s">
        <v>265</v>
      </c>
      <c r="D12415">
        <v>1090592</v>
      </c>
      <c r="E12415">
        <v>1150433</v>
      </c>
      <c r="F12415">
        <v>1172413</v>
      </c>
      <c r="G12415">
        <v>1151333</v>
      </c>
    </row>
    <row r="12416" spans="1:7">
      <c r="A12416" t="s">
        <v>1876</v>
      </c>
      <c r="B12416" t="s">
        <v>385</v>
      </c>
      <c r="C12416" t="s">
        <v>266</v>
      </c>
      <c r="D12416">
        <v>83.8</v>
      </c>
      <c r="E12416">
        <v>88.6</v>
      </c>
      <c r="F12416">
        <v>90.1</v>
      </c>
      <c r="G12416">
        <v>88.3</v>
      </c>
    </row>
    <row r="12417" spans="1:7">
      <c r="A12417" t="s">
        <v>1876</v>
      </c>
      <c r="B12417" t="s">
        <v>385</v>
      </c>
      <c r="C12417" t="s">
        <v>267</v>
      </c>
      <c r="D12417">
        <v>1089183</v>
      </c>
      <c r="E12417">
        <v>1147094</v>
      </c>
      <c r="F12417">
        <v>1171684</v>
      </c>
      <c r="G12417">
        <v>1150335</v>
      </c>
    </row>
    <row r="12418" spans="1:7">
      <c r="A12418" t="s">
        <v>1876</v>
      </c>
      <c r="B12418" t="s">
        <v>385</v>
      </c>
      <c r="C12418" t="s">
        <v>268</v>
      </c>
      <c r="D12418">
        <v>0</v>
      </c>
      <c r="E12418">
        <v>0</v>
      </c>
      <c r="F12418">
        <v>0</v>
      </c>
      <c r="G12418">
        <v>0</v>
      </c>
    </row>
    <row r="12419" spans="1:7">
      <c r="A12419" t="s">
        <v>1876</v>
      </c>
      <c r="B12419" t="s">
        <v>385</v>
      </c>
      <c r="C12419" t="s">
        <v>269</v>
      </c>
      <c r="D12419">
        <v>0</v>
      </c>
      <c r="E12419">
        <v>0</v>
      </c>
      <c r="F12419">
        <v>0</v>
      </c>
      <c r="G12419">
        <v>0</v>
      </c>
    </row>
    <row r="12420" spans="1:7">
      <c r="A12420" t="s">
        <v>1876</v>
      </c>
      <c r="B12420" t="s">
        <v>385</v>
      </c>
      <c r="C12420" t="s">
        <v>270</v>
      </c>
      <c r="D12420">
        <v>8299</v>
      </c>
      <c r="E12420">
        <v>8255</v>
      </c>
      <c r="F12420">
        <v>6985</v>
      </c>
      <c r="G12420">
        <v>2175</v>
      </c>
    </row>
    <row r="12421" spans="1:7">
      <c r="A12421" t="s">
        <v>1876</v>
      </c>
      <c r="B12421" t="s">
        <v>385</v>
      </c>
      <c r="C12421" t="s">
        <v>271</v>
      </c>
      <c r="D12421">
        <v>8299</v>
      </c>
      <c r="E12421">
        <v>8255</v>
      </c>
      <c r="F12421">
        <v>6985</v>
      </c>
      <c r="G12421">
        <v>2175</v>
      </c>
    </row>
    <row r="12422" spans="1:7">
      <c r="A12422" t="s">
        <v>1876</v>
      </c>
      <c r="B12422" t="s">
        <v>385</v>
      </c>
      <c r="C12422" t="s">
        <v>272</v>
      </c>
      <c r="D12422">
        <v>8299</v>
      </c>
      <c r="E12422">
        <v>8255</v>
      </c>
      <c r="F12422">
        <v>6985</v>
      </c>
      <c r="G12422">
        <v>2175</v>
      </c>
    </row>
    <row r="12423" spans="1:7">
      <c r="A12423" t="s">
        <v>1876</v>
      </c>
      <c r="B12423" t="s">
        <v>385</v>
      </c>
      <c r="C12423" t="s">
        <v>1944</v>
      </c>
      <c r="D12423">
        <v>17.3</v>
      </c>
      <c r="E12423">
        <v>23.5</v>
      </c>
      <c r="F12423">
        <v>34.299999999999997</v>
      </c>
      <c r="G12423">
        <v>45.9</v>
      </c>
    </row>
    <row r="12424" spans="1:7">
      <c r="A12424" t="s">
        <v>1876</v>
      </c>
      <c r="B12424" t="s">
        <v>385</v>
      </c>
      <c r="C12424" t="s">
        <v>1945</v>
      </c>
      <c r="D12424">
        <v>27</v>
      </c>
      <c r="E12424">
        <v>40</v>
      </c>
      <c r="F12424">
        <v>82</v>
      </c>
      <c r="G12424">
        <v>102</v>
      </c>
    </row>
    <row r="12425" spans="1:7">
      <c r="A12425" t="s">
        <v>1876</v>
      </c>
      <c r="B12425" t="s">
        <v>385</v>
      </c>
      <c r="C12425" t="s">
        <v>273</v>
      </c>
      <c r="D12425">
        <v>0</v>
      </c>
      <c r="E12425">
        <v>0</v>
      </c>
      <c r="F12425">
        <v>0</v>
      </c>
      <c r="G12425">
        <v>0</v>
      </c>
    </row>
    <row r="12426" spans="1:7">
      <c r="A12426" t="s">
        <v>1876</v>
      </c>
      <c r="B12426" t="s">
        <v>385</v>
      </c>
      <c r="C12426" t="s">
        <v>1946</v>
      </c>
      <c r="D12426">
        <v>747335</v>
      </c>
      <c r="E12426">
        <v>747486</v>
      </c>
      <c r="F12426">
        <v>740997</v>
      </c>
      <c r="G12426">
        <v>742905</v>
      </c>
    </row>
    <row r="12427" spans="1:7">
      <c r="A12427" t="s">
        <v>1876</v>
      </c>
      <c r="B12427" t="s">
        <v>385</v>
      </c>
      <c r="C12427" t="s">
        <v>1947</v>
      </c>
      <c r="D12427">
        <v>40618</v>
      </c>
      <c r="E12427">
        <v>41269</v>
      </c>
      <c r="F12427">
        <v>39504</v>
      </c>
      <c r="G12427">
        <v>36600</v>
      </c>
    </row>
    <row r="12428" spans="1:7">
      <c r="A12428" t="s">
        <v>1876</v>
      </c>
      <c r="B12428" t="s">
        <v>385</v>
      </c>
      <c r="C12428" t="s">
        <v>1948</v>
      </c>
      <c r="D12428">
        <v>1410</v>
      </c>
      <c r="E12428">
        <v>3339</v>
      </c>
      <c r="F12428">
        <v>729</v>
      </c>
      <c r="G12428">
        <v>998</v>
      </c>
    </row>
    <row r="12429" spans="1:7">
      <c r="A12429" t="s">
        <v>1876</v>
      </c>
      <c r="B12429" t="s">
        <v>385</v>
      </c>
      <c r="C12429" t="s">
        <v>1949</v>
      </c>
      <c r="D12429">
        <v>163179</v>
      </c>
      <c r="E12429">
        <v>217912</v>
      </c>
      <c r="F12429">
        <v>254924</v>
      </c>
      <c r="G12429">
        <v>237453</v>
      </c>
    </row>
    <row r="12430" spans="1:7">
      <c r="A12430" t="s">
        <v>1876</v>
      </c>
      <c r="B12430" t="s">
        <v>385</v>
      </c>
      <c r="C12430" t="s">
        <v>1950</v>
      </c>
      <c r="D12430">
        <v>94936</v>
      </c>
      <c r="E12430">
        <v>98071</v>
      </c>
      <c r="F12430">
        <v>92644</v>
      </c>
      <c r="G12430">
        <v>89662</v>
      </c>
    </row>
    <row r="12431" spans="1:7">
      <c r="A12431" t="s">
        <v>1876</v>
      </c>
      <c r="B12431" t="s">
        <v>385</v>
      </c>
      <c r="C12431" t="s">
        <v>274</v>
      </c>
      <c r="D12431">
        <v>1047477</v>
      </c>
      <c r="E12431">
        <v>1108077</v>
      </c>
      <c r="F12431">
        <v>1128797</v>
      </c>
      <c r="G12431">
        <v>1107618</v>
      </c>
    </row>
    <row r="12432" spans="1:7">
      <c r="A12432" t="s">
        <v>1876</v>
      </c>
      <c r="B12432" t="s">
        <v>385</v>
      </c>
      <c r="C12432" t="s">
        <v>275</v>
      </c>
      <c r="D12432">
        <v>0</v>
      </c>
      <c r="E12432">
        <v>0</v>
      </c>
      <c r="F12432">
        <v>0</v>
      </c>
      <c r="G12432">
        <v>0</v>
      </c>
    </row>
    <row r="12433" spans="1:7">
      <c r="A12433" t="s">
        <v>1876</v>
      </c>
      <c r="B12433" t="s">
        <v>385</v>
      </c>
      <c r="C12433" t="s">
        <v>276</v>
      </c>
      <c r="D12433">
        <v>0</v>
      </c>
      <c r="E12433">
        <v>0</v>
      </c>
      <c r="F12433">
        <v>0</v>
      </c>
      <c r="G12433">
        <v>0</v>
      </c>
    </row>
    <row r="12434" spans="1:7">
      <c r="A12434" t="s">
        <v>1876</v>
      </c>
      <c r="B12434" t="s">
        <v>385</v>
      </c>
      <c r="C12434" t="s">
        <v>277</v>
      </c>
      <c r="D12434">
        <v>398</v>
      </c>
      <c r="E12434">
        <v>631</v>
      </c>
      <c r="F12434">
        <v>554</v>
      </c>
      <c r="G12434">
        <v>546</v>
      </c>
    </row>
    <row r="12435" spans="1:7">
      <c r="A12435" t="s">
        <v>1876</v>
      </c>
      <c r="B12435" t="s">
        <v>385</v>
      </c>
      <c r="C12435" t="s">
        <v>278</v>
      </c>
      <c r="D12435">
        <v>8367</v>
      </c>
      <c r="E12435">
        <v>8099</v>
      </c>
      <c r="F12435">
        <v>7274</v>
      </c>
      <c r="G12435">
        <v>7911</v>
      </c>
    </row>
    <row r="12436" spans="1:7">
      <c r="A12436" t="s">
        <v>1876</v>
      </c>
      <c r="B12436" t="s">
        <v>385</v>
      </c>
      <c r="C12436" t="s">
        <v>279</v>
      </c>
      <c r="D12436">
        <v>6519</v>
      </c>
      <c r="E12436">
        <v>6433</v>
      </c>
      <c r="F12436">
        <v>5742</v>
      </c>
      <c r="G12436">
        <v>5527</v>
      </c>
    </row>
    <row r="12437" spans="1:7">
      <c r="A12437" t="s">
        <v>1876</v>
      </c>
      <c r="B12437" t="s">
        <v>385</v>
      </c>
      <c r="C12437" t="s">
        <v>280</v>
      </c>
      <c r="D12437">
        <v>18812</v>
      </c>
      <c r="E12437">
        <v>18766</v>
      </c>
      <c r="F12437">
        <v>17188</v>
      </c>
      <c r="G12437">
        <v>17075</v>
      </c>
    </row>
    <row r="12438" spans="1:7">
      <c r="A12438" t="s">
        <v>1876</v>
      </c>
      <c r="B12438" t="s">
        <v>385</v>
      </c>
      <c r="C12438" t="s">
        <v>281</v>
      </c>
      <c r="D12438">
        <v>34096</v>
      </c>
      <c r="E12438">
        <v>33929</v>
      </c>
      <c r="F12438">
        <v>30757</v>
      </c>
      <c r="G12438">
        <v>31059</v>
      </c>
    </row>
    <row r="12439" spans="1:7">
      <c r="A12439" t="s">
        <v>1876</v>
      </c>
      <c r="B12439" t="s">
        <v>385</v>
      </c>
      <c r="C12439" t="s">
        <v>282</v>
      </c>
      <c r="D12439">
        <v>34096</v>
      </c>
      <c r="E12439">
        <v>33929</v>
      </c>
      <c r="F12439">
        <v>30757</v>
      </c>
      <c r="G12439">
        <v>31059</v>
      </c>
    </row>
    <row r="12440" spans="1:7">
      <c r="A12440" t="s">
        <v>1876</v>
      </c>
      <c r="B12440" t="s">
        <v>385</v>
      </c>
      <c r="C12440" t="s">
        <v>283</v>
      </c>
      <c r="D12440">
        <v>19169</v>
      </c>
      <c r="E12440">
        <v>19169</v>
      </c>
      <c r="F12440">
        <v>16854</v>
      </c>
      <c r="G12440">
        <v>9909</v>
      </c>
    </row>
    <row r="12441" spans="1:7">
      <c r="A12441" t="s">
        <v>1876</v>
      </c>
      <c r="B12441" t="s">
        <v>385</v>
      </c>
      <c r="C12441" t="s">
        <v>284</v>
      </c>
      <c r="D12441">
        <v>19169</v>
      </c>
      <c r="E12441">
        <v>19169</v>
      </c>
      <c r="F12441">
        <v>16854</v>
      </c>
      <c r="G12441">
        <v>9909</v>
      </c>
    </row>
    <row r="12442" spans="1:7">
      <c r="A12442" t="s">
        <v>1876</v>
      </c>
      <c r="B12442" t="s">
        <v>385</v>
      </c>
      <c r="C12442" t="s">
        <v>1716</v>
      </c>
      <c r="D12442">
        <v>41533</v>
      </c>
      <c r="E12442">
        <v>40712</v>
      </c>
      <c r="F12442">
        <v>41972</v>
      </c>
      <c r="G12442">
        <v>42364</v>
      </c>
    </row>
    <row r="12443" spans="1:7">
      <c r="A12443" t="s">
        <v>1876</v>
      </c>
      <c r="B12443" t="s">
        <v>385</v>
      </c>
      <c r="C12443" t="s">
        <v>1717</v>
      </c>
      <c r="D12443">
        <v>9823</v>
      </c>
      <c r="E12443">
        <v>11668</v>
      </c>
      <c r="F12443">
        <v>11722</v>
      </c>
      <c r="G12443">
        <v>11585</v>
      </c>
    </row>
    <row r="12444" spans="1:7">
      <c r="A12444" t="s">
        <v>1876</v>
      </c>
      <c r="B12444" t="s">
        <v>385</v>
      </c>
      <c r="C12444" t="s">
        <v>1718</v>
      </c>
      <c r="D12444">
        <v>43146</v>
      </c>
      <c r="E12444">
        <v>38545</v>
      </c>
      <c r="F12444">
        <v>38318</v>
      </c>
      <c r="G12444">
        <v>39875</v>
      </c>
    </row>
    <row r="12445" spans="1:7">
      <c r="A12445" t="s">
        <v>1876</v>
      </c>
      <c r="B12445" t="s">
        <v>385</v>
      </c>
      <c r="C12445" t="s">
        <v>1719</v>
      </c>
      <c r="D12445">
        <v>2994</v>
      </c>
      <c r="E12445">
        <v>3015</v>
      </c>
      <c r="F12445">
        <v>3595</v>
      </c>
      <c r="G12445">
        <v>3788</v>
      </c>
    </row>
    <row r="12446" spans="1:7">
      <c r="A12446" t="s">
        <v>1876</v>
      </c>
      <c r="B12446" t="s">
        <v>385</v>
      </c>
      <c r="C12446" t="s">
        <v>1720</v>
      </c>
      <c r="D12446">
        <v>54962</v>
      </c>
      <c r="E12446">
        <v>58726</v>
      </c>
      <c r="F12446">
        <v>57900</v>
      </c>
      <c r="G12446">
        <v>56274</v>
      </c>
    </row>
    <row r="12447" spans="1:7">
      <c r="A12447" t="s">
        <v>1876</v>
      </c>
      <c r="B12447" t="s">
        <v>385</v>
      </c>
      <c r="C12447" t="s">
        <v>1721</v>
      </c>
      <c r="D12447">
        <v>30107</v>
      </c>
      <c r="E12447">
        <v>37468</v>
      </c>
      <c r="F12447">
        <v>33012</v>
      </c>
      <c r="G12447">
        <v>31153</v>
      </c>
    </row>
    <row r="12448" spans="1:7">
      <c r="A12448" t="s">
        <v>1876</v>
      </c>
      <c r="B12448" t="s">
        <v>385</v>
      </c>
      <c r="C12448" t="s">
        <v>285</v>
      </c>
      <c r="D12448">
        <v>179571</v>
      </c>
      <c r="E12448">
        <v>187119</v>
      </c>
      <c r="F12448">
        <v>182924</v>
      </c>
      <c r="G12448">
        <v>181251</v>
      </c>
    </row>
    <row r="12449" spans="1:7">
      <c r="A12449" t="s">
        <v>1876</v>
      </c>
      <c r="B12449" t="s">
        <v>385</v>
      </c>
      <c r="C12449" t="s">
        <v>1951</v>
      </c>
      <c r="D12449">
        <v>5</v>
      </c>
      <c r="E12449">
        <v>5</v>
      </c>
      <c r="F12449">
        <v>5.0999999999999996</v>
      </c>
      <c r="G12449">
        <v>5</v>
      </c>
    </row>
    <row r="12450" spans="1:7">
      <c r="A12450" t="s">
        <v>1876</v>
      </c>
      <c r="B12450" t="s">
        <v>385</v>
      </c>
      <c r="C12450" t="s">
        <v>286</v>
      </c>
      <c r="D12450">
        <v>1440</v>
      </c>
      <c r="E12450">
        <v>1475</v>
      </c>
      <c r="F12450">
        <v>1225</v>
      </c>
      <c r="G12450">
        <v>1326</v>
      </c>
    </row>
    <row r="12451" spans="1:7">
      <c r="A12451" t="s">
        <v>1876</v>
      </c>
      <c r="B12451" t="s">
        <v>385</v>
      </c>
      <c r="C12451" t="s">
        <v>287</v>
      </c>
      <c r="D12451">
        <v>3</v>
      </c>
      <c r="E12451">
        <v>3</v>
      </c>
      <c r="F12451">
        <v>2</v>
      </c>
      <c r="G12451">
        <v>3</v>
      </c>
    </row>
    <row r="12452" spans="1:7">
      <c r="A12452" t="s">
        <v>1876</v>
      </c>
      <c r="B12452" t="s">
        <v>385</v>
      </c>
      <c r="C12452" t="s">
        <v>288</v>
      </c>
      <c r="D12452">
        <v>21</v>
      </c>
      <c r="E12452">
        <v>147</v>
      </c>
      <c r="F12452">
        <v>38</v>
      </c>
      <c r="G12452">
        <v>331</v>
      </c>
    </row>
    <row r="12453" spans="1:7">
      <c r="A12453" t="s">
        <v>1876</v>
      </c>
      <c r="B12453" t="s">
        <v>385</v>
      </c>
      <c r="C12453" t="s">
        <v>289</v>
      </c>
      <c r="D12453">
        <v>564</v>
      </c>
      <c r="E12453">
        <v>578</v>
      </c>
      <c r="F12453">
        <v>480</v>
      </c>
      <c r="G12453">
        <v>519</v>
      </c>
    </row>
    <row r="12454" spans="1:7">
      <c r="A12454" t="s">
        <v>1876</v>
      </c>
      <c r="B12454" t="s">
        <v>385</v>
      </c>
      <c r="C12454" t="s">
        <v>290</v>
      </c>
      <c r="D12454">
        <v>2028</v>
      </c>
      <c r="E12454">
        <v>2204</v>
      </c>
      <c r="F12454">
        <v>1745</v>
      </c>
      <c r="G12454">
        <v>2179</v>
      </c>
    </row>
    <row r="12455" spans="1:7">
      <c r="A12455" t="s">
        <v>1876</v>
      </c>
      <c r="B12455" t="s">
        <v>385</v>
      </c>
      <c r="C12455" t="s">
        <v>291</v>
      </c>
      <c r="D12455">
        <v>2007</v>
      </c>
      <c r="E12455">
        <v>2057</v>
      </c>
      <c r="F12455">
        <v>1707</v>
      </c>
      <c r="G12455">
        <v>1848</v>
      </c>
    </row>
    <row r="12456" spans="1:7">
      <c r="A12456" t="s">
        <v>1876</v>
      </c>
      <c r="B12456" t="s">
        <v>385</v>
      </c>
      <c r="C12456" t="s">
        <v>292</v>
      </c>
      <c r="D12456">
        <v>0</v>
      </c>
      <c r="E12456">
        <v>144</v>
      </c>
      <c r="F12456">
        <v>599</v>
      </c>
      <c r="G12456">
        <v>636</v>
      </c>
    </row>
    <row r="12457" spans="1:7">
      <c r="A12457" t="s">
        <v>1876</v>
      </c>
      <c r="B12457" t="s">
        <v>385</v>
      </c>
      <c r="C12457" t="s">
        <v>293</v>
      </c>
      <c r="D12457">
        <v>0</v>
      </c>
      <c r="E12457">
        <v>760</v>
      </c>
      <c r="F12457">
        <v>3696</v>
      </c>
      <c r="G12457">
        <v>4007</v>
      </c>
    </row>
    <row r="12458" spans="1:7">
      <c r="A12458" t="s">
        <v>1876</v>
      </c>
      <c r="B12458" t="s">
        <v>385</v>
      </c>
      <c r="C12458" t="s">
        <v>294</v>
      </c>
      <c r="D12458">
        <v>0</v>
      </c>
      <c r="E12458">
        <v>218</v>
      </c>
      <c r="F12458">
        <v>931</v>
      </c>
      <c r="G12458">
        <v>954</v>
      </c>
    </row>
    <row r="12459" spans="1:7">
      <c r="A12459" t="s">
        <v>1876</v>
      </c>
      <c r="B12459" t="s">
        <v>385</v>
      </c>
      <c r="C12459" t="s">
        <v>295</v>
      </c>
      <c r="D12459">
        <v>0</v>
      </c>
      <c r="E12459">
        <v>205</v>
      </c>
      <c r="F12459">
        <v>808</v>
      </c>
      <c r="G12459">
        <v>853</v>
      </c>
    </row>
    <row r="12460" spans="1:7">
      <c r="A12460" t="s">
        <v>1876</v>
      </c>
      <c r="B12460" t="s">
        <v>385</v>
      </c>
      <c r="C12460" t="s">
        <v>296</v>
      </c>
      <c r="D12460">
        <v>0</v>
      </c>
      <c r="E12460">
        <v>1327</v>
      </c>
      <c r="F12460">
        <v>6034</v>
      </c>
      <c r="G12460">
        <v>6450</v>
      </c>
    </row>
    <row r="12461" spans="1:7">
      <c r="A12461" t="s">
        <v>1876</v>
      </c>
      <c r="B12461" t="s">
        <v>385</v>
      </c>
      <c r="C12461" t="s">
        <v>297</v>
      </c>
      <c r="D12461">
        <v>22566</v>
      </c>
      <c r="E12461">
        <v>22670</v>
      </c>
      <c r="F12461">
        <v>19578</v>
      </c>
      <c r="G12461">
        <v>21501</v>
      </c>
    </row>
    <row r="12462" spans="1:7">
      <c r="A12462" t="s">
        <v>1876</v>
      </c>
      <c r="B12462" t="s">
        <v>385</v>
      </c>
      <c r="C12462" t="s">
        <v>1952</v>
      </c>
      <c r="D12462">
        <v>0</v>
      </c>
      <c r="E12462">
        <v>0</v>
      </c>
      <c r="F12462">
        <v>0</v>
      </c>
      <c r="G12462">
        <v>0</v>
      </c>
    </row>
    <row r="12463" spans="1:7">
      <c r="A12463" t="s">
        <v>1876</v>
      </c>
      <c r="B12463" t="s">
        <v>385</v>
      </c>
      <c r="C12463" t="s">
        <v>298</v>
      </c>
      <c r="D12463">
        <v>5572</v>
      </c>
      <c r="E12463">
        <v>5747</v>
      </c>
      <c r="F12463">
        <v>5753</v>
      </c>
      <c r="G12463">
        <v>5031</v>
      </c>
    </row>
    <row r="12464" spans="1:7">
      <c r="A12464" t="s">
        <v>1876</v>
      </c>
      <c r="B12464" t="s">
        <v>385</v>
      </c>
      <c r="C12464" t="s">
        <v>299</v>
      </c>
      <c r="D12464">
        <v>731</v>
      </c>
      <c r="E12464">
        <v>815</v>
      </c>
      <c r="F12464">
        <v>918</v>
      </c>
      <c r="G12464">
        <v>893</v>
      </c>
    </row>
    <row r="12465" spans="1:7">
      <c r="A12465" t="s">
        <v>1876</v>
      </c>
      <c r="B12465" t="s">
        <v>385</v>
      </c>
      <c r="C12465" t="s">
        <v>300</v>
      </c>
      <c r="D12465">
        <v>723</v>
      </c>
      <c r="E12465">
        <v>758</v>
      </c>
      <c r="F12465">
        <v>1182</v>
      </c>
      <c r="G12465">
        <v>3688</v>
      </c>
    </row>
    <row r="12466" spans="1:7">
      <c r="A12466" t="s">
        <v>1876</v>
      </c>
      <c r="B12466" t="s">
        <v>385</v>
      </c>
      <c r="C12466" t="s">
        <v>1722</v>
      </c>
      <c r="D12466">
        <v>155</v>
      </c>
      <c r="E12466">
        <v>176</v>
      </c>
      <c r="F12466">
        <v>690</v>
      </c>
      <c r="G12466">
        <v>874</v>
      </c>
    </row>
    <row r="12467" spans="1:7">
      <c r="A12467" t="s">
        <v>1876</v>
      </c>
      <c r="B12467" t="s">
        <v>385</v>
      </c>
      <c r="C12467" t="s">
        <v>301</v>
      </c>
      <c r="D12467">
        <v>262</v>
      </c>
      <c r="E12467">
        <v>289</v>
      </c>
      <c r="F12467">
        <v>327</v>
      </c>
      <c r="G12467">
        <v>242</v>
      </c>
    </row>
    <row r="12468" spans="1:7">
      <c r="A12468" t="s">
        <v>1876</v>
      </c>
      <c r="B12468" t="s">
        <v>385</v>
      </c>
      <c r="C12468" t="s">
        <v>302</v>
      </c>
      <c r="D12468">
        <v>2035</v>
      </c>
      <c r="E12468">
        <v>2451</v>
      </c>
      <c r="F12468">
        <v>3041</v>
      </c>
      <c r="G12468">
        <v>2974</v>
      </c>
    </row>
    <row r="12469" spans="1:7">
      <c r="A12469" t="s">
        <v>1876</v>
      </c>
      <c r="B12469" t="s">
        <v>385</v>
      </c>
      <c r="C12469" t="s">
        <v>303</v>
      </c>
      <c r="D12469">
        <v>3750</v>
      </c>
      <c r="E12469">
        <v>4312</v>
      </c>
      <c r="F12469">
        <v>5469</v>
      </c>
      <c r="G12469">
        <v>7797</v>
      </c>
    </row>
    <row r="12470" spans="1:7">
      <c r="A12470" t="s">
        <v>1876</v>
      </c>
      <c r="B12470" t="s">
        <v>385</v>
      </c>
      <c r="C12470" t="s">
        <v>304</v>
      </c>
      <c r="D12470">
        <v>3027</v>
      </c>
      <c r="E12470">
        <v>3554</v>
      </c>
      <c r="F12470">
        <v>4286</v>
      </c>
      <c r="G12470">
        <v>4109</v>
      </c>
    </row>
    <row r="12471" spans="1:7">
      <c r="A12471" t="s">
        <v>1876</v>
      </c>
      <c r="B12471" t="s">
        <v>385</v>
      </c>
      <c r="C12471" t="s">
        <v>1953</v>
      </c>
      <c r="D12471">
        <v>16.899999999999999</v>
      </c>
      <c r="E12471">
        <v>17.3</v>
      </c>
      <c r="F12471">
        <v>17</v>
      </c>
      <c r="G12471">
        <v>15.9</v>
      </c>
    </row>
    <row r="12472" spans="1:7">
      <c r="A12472" t="s">
        <v>1876</v>
      </c>
      <c r="B12472" t="s">
        <v>385</v>
      </c>
      <c r="C12472" t="s">
        <v>305</v>
      </c>
      <c r="D12472">
        <v>847914</v>
      </c>
      <c r="E12472">
        <v>853310</v>
      </c>
      <c r="F12472">
        <v>840817</v>
      </c>
      <c r="G12472">
        <v>842111</v>
      </c>
    </row>
    <row r="12473" spans="1:7">
      <c r="A12473" t="s">
        <v>1876</v>
      </c>
      <c r="B12473" t="s">
        <v>385</v>
      </c>
      <c r="C12473" t="s">
        <v>306</v>
      </c>
      <c r="D12473">
        <v>65.099999999999994</v>
      </c>
      <c r="E12473">
        <v>65.7</v>
      </c>
      <c r="F12473">
        <v>64.599999999999994</v>
      </c>
      <c r="G12473">
        <v>64.599999999999994</v>
      </c>
    </row>
    <row r="12474" spans="1:7">
      <c r="A12474" t="s">
        <v>1876</v>
      </c>
      <c r="B12474" t="s">
        <v>385</v>
      </c>
      <c r="C12474" t="s">
        <v>307</v>
      </c>
      <c r="D12474">
        <v>541842</v>
      </c>
      <c r="E12474">
        <v>559796</v>
      </c>
      <c r="F12474">
        <v>525553</v>
      </c>
      <c r="G12474">
        <v>552237</v>
      </c>
    </row>
    <row r="12475" spans="1:7">
      <c r="A12475" t="s">
        <v>1876</v>
      </c>
      <c r="B12475" t="s">
        <v>385</v>
      </c>
      <c r="C12475" t="s">
        <v>308</v>
      </c>
      <c r="D12475">
        <v>41.6</v>
      </c>
      <c r="E12475">
        <v>43.1</v>
      </c>
      <c r="F12475">
        <v>40.4</v>
      </c>
      <c r="G12475">
        <v>42.3</v>
      </c>
    </row>
    <row r="12476" spans="1:7">
      <c r="A12476" t="s">
        <v>1876</v>
      </c>
      <c r="B12476" t="s">
        <v>385</v>
      </c>
      <c r="C12476" t="s">
        <v>309</v>
      </c>
      <c r="D12476">
        <v>2038711</v>
      </c>
      <c r="E12476">
        <v>2020039</v>
      </c>
      <c r="F12476">
        <v>1957786</v>
      </c>
      <c r="G12476">
        <v>2005857</v>
      </c>
    </row>
    <row r="12477" spans="1:7">
      <c r="A12477" t="s">
        <v>1876</v>
      </c>
      <c r="B12477" t="s">
        <v>385</v>
      </c>
      <c r="C12477" t="s">
        <v>310</v>
      </c>
      <c r="D12477">
        <v>1364918</v>
      </c>
      <c r="E12477">
        <v>1443198</v>
      </c>
      <c r="F12477">
        <v>1438609</v>
      </c>
      <c r="G12477">
        <v>1398640</v>
      </c>
    </row>
    <row r="12478" spans="1:7">
      <c r="A12478" t="s">
        <v>1876</v>
      </c>
      <c r="B12478" t="s">
        <v>385</v>
      </c>
      <c r="C12478" t="s">
        <v>311</v>
      </c>
      <c r="D12478">
        <v>104.9</v>
      </c>
      <c r="E12478">
        <v>111.1</v>
      </c>
      <c r="F12478">
        <v>110.6</v>
      </c>
      <c r="G12478">
        <v>107.2</v>
      </c>
    </row>
    <row r="12479" spans="1:7">
      <c r="A12479" t="s">
        <v>1876</v>
      </c>
      <c r="B12479" t="s">
        <v>385</v>
      </c>
      <c r="C12479" t="s">
        <v>312</v>
      </c>
      <c r="D12479">
        <v>860653</v>
      </c>
      <c r="E12479">
        <v>887686</v>
      </c>
      <c r="F12479">
        <v>801084</v>
      </c>
      <c r="G12479">
        <v>819276</v>
      </c>
    </row>
    <row r="12480" spans="1:7">
      <c r="A12480" t="s">
        <v>1876</v>
      </c>
      <c r="B12480" t="s">
        <v>385</v>
      </c>
      <c r="C12480" t="s">
        <v>313</v>
      </c>
      <c r="D12480">
        <v>66.099999999999994</v>
      </c>
      <c r="E12480">
        <v>68.400000000000006</v>
      </c>
      <c r="F12480">
        <v>61.6</v>
      </c>
      <c r="G12480">
        <v>62.8</v>
      </c>
    </row>
    <row r="12481" spans="1:7">
      <c r="A12481" t="s">
        <v>1876</v>
      </c>
      <c r="B12481" t="s">
        <v>385</v>
      </c>
      <c r="C12481" t="s">
        <v>314</v>
      </c>
      <c r="D12481">
        <v>3615328</v>
      </c>
      <c r="E12481">
        <v>3743995</v>
      </c>
      <c r="F12481">
        <v>3606065</v>
      </c>
      <c r="G12481">
        <v>3612264</v>
      </c>
    </row>
    <row r="12482" spans="1:7">
      <c r="A12482" t="s">
        <v>1876</v>
      </c>
      <c r="B12482" t="s">
        <v>385</v>
      </c>
      <c r="C12482" t="s">
        <v>315</v>
      </c>
      <c r="D12482">
        <v>4.72</v>
      </c>
      <c r="E12482">
        <v>4.82</v>
      </c>
      <c r="F12482">
        <v>4.57</v>
      </c>
      <c r="G12482">
        <v>4.5</v>
      </c>
    </row>
    <row r="12483" spans="1:7">
      <c r="A12483" t="s">
        <v>1876</v>
      </c>
      <c r="B12483" t="s">
        <v>385</v>
      </c>
      <c r="C12483" t="s">
        <v>316</v>
      </c>
      <c r="D12483">
        <v>277.7</v>
      </c>
      <c r="E12483">
        <v>288.3</v>
      </c>
      <c r="F12483">
        <v>277.2</v>
      </c>
      <c r="G12483">
        <v>276.89999999999998</v>
      </c>
    </row>
    <row r="12484" spans="1:7">
      <c r="A12484" t="s">
        <v>1876</v>
      </c>
      <c r="B12484" t="s">
        <v>385</v>
      </c>
      <c r="C12484" t="s">
        <v>317</v>
      </c>
      <c r="D12484">
        <v>3615327</v>
      </c>
      <c r="E12484">
        <v>3743991</v>
      </c>
      <c r="F12484">
        <v>3606064</v>
      </c>
      <c r="G12484">
        <v>3612264</v>
      </c>
    </row>
    <row r="12485" spans="1:7">
      <c r="A12485" t="s">
        <v>1876</v>
      </c>
      <c r="B12485" t="s">
        <v>385</v>
      </c>
      <c r="C12485" t="s">
        <v>318</v>
      </c>
      <c r="D12485">
        <v>845662</v>
      </c>
      <c r="E12485">
        <v>850369</v>
      </c>
      <c r="F12485">
        <v>838471</v>
      </c>
      <c r="G12485">
        <v>839426</v>
      </c>
    </row>
    <row r="12486" spans="1:7">
      <c r="A12486" t="s">
        <v>1876</v>
      </c>
      <c r="B12486" t="s">
        <v>385</v>
      </c>
      <c r="C12486" t="s">
        <v>319</v>
      </c>
      <c r="D12486">
        <v>337214</v>
      </c>
      <c r="E12486">
        <v>353066</v>
      </c>
      <c r="F12486">
        <v>332156</v>
      </c>
      <c r="G12486">
        <v>343093</v>
      </c>
    </row>
    <row r="12487" spans="1:7">
      <c r="A12487" t="s">
        <v>1876</v>
      </c>
      <c r="B12487" t="s">
        <v>385</v>
      </c>
      <c r="C12487" t="s">
        <v>320</v>
      </c>
      <c r="D12487">
        <v>1088306</v>
      </c>
      <c r="E12487">
        <v>1160574</v>
      </c>
      <c r="F12487">
        <v>1167725</v>
      </c>
      <c r="G12487">
        <v>1133709</v>
      </c>
    </row>
    <row r="12488" spans="1:7">
      <c r="A12488" t="s">
        <v>1876</v>
      </c>
      <c r="B12488" t="s">
        <v>385</v>
      </c>
      <c r="C12488" t="s">
        <v>321</v>
      </c>
      <c r="D12488">
        <v>551149</v>
      </c>
      <c r="E12488">
        <v>574343</v>
      </c>
      <c r="F12488">
        <v>518420</v>
      </c>
      <c r="G12488">
        <v>524821</v>
      </c>
    </row>
    <row r="12489" spans="1:7">
      <c r="A12489" t="s">
        <v>1876</v>
      </c>
      <c r="B12489" t="s">
        <v>385</v>
      </c>
      <c r="C12489" t="s">
        <v>1954</v>
      </c>
      <c r="D12489">
        <v>2822331</v>
      </c>
      <c r="E12489">
        <v>2938352</v>
      </c>
      <c r="F12489">
        <v>2856772</v>
      </c>
      <c r="G12489">
        <v>2841049</v>
      </c>
    </row>
    <row r="12490" spans="1:7">
      <c r="A12490" t="s">
        <v>1876</v>
      </c>
      <c r="B12490" t="s">
        <v>385</v>
      </c>
      <c r="C12490" t="s">
        <v>323</v>
      </c>
      <c r="D12490">
        <v>13017</v>
      </c>
      <c r="E12490">
        <v>12985</v>
      </c>
      <c r="F12490">
        <v>13009</v>
      </c>
      <c r="G12490">
        <v>13046</v>
      </c>
    </row>
    <row r="12491" spans="1:7">
      <c r="A12491" t="s">
        <v>1876</v>
      </c>
      <c r="B12491" t="s">
        <v>385</v>
      </c>
      <c r="C12491" t="s">
        <v>324</v>
      </c>
      <c r="D12491">
        <v>749</v>
      </c>
      <c r="E12491">
        <v>0</v>
      </c>
      <c r="F12491">
        <v>0</v>
      </c>
      <c r="G12491">
        <v>0</v>
      </c>
    </row>
    <row r="12492" spans="1:7">
      <c r="A12492" t="s">
        <v>1876</v>
      </c>
      <c r="B12492" t="s">
        <v>385</v>
      </c>
      <c r="C12492" t="s">
        <v>325</v>
      </c>
      <c r="D12492">
        <v>0</v>
      </c>
      <c r="E12492">
        <v>0</v>
      </c>
      <c r="F12492">
        <v>0</v>
      </c>
      <c r="G12492">
        <v>0</v>
      </c>
    </row>
    <row r="12493" spans="1:7">
      <c r="A12493" t="s">
        <v>1876</v>
      </c>
      <c r="B12493" t="s">
        <v>385</v>
      </c>
      <c r="C12493" t="s">
        <v>326</v>
      </c>
      <c r="D12493">
        <v>5144</v>
      </c>
      <c r="E12493">
        <v>5144</v>
      </c>
      <c r="F12493">
        <v>5144</v>
      </c>
      <c r="G12493">
        <v>5144</v>
      </c>
    </row>
    <row r="12494" spans="1:7">
      <c r="A12494" t="s">
        <v>1876</v>
      </c>
      <c r="B12494" t="s">
        <v>385</v>
      </c>
      <c r="C12494" t="s">
        <v>327</v>
      </c>
      <c r="D12494">
        <v>3</v>
      </c>
      <c r="E12494">
        <v>4</v>
      </c>
      <c r="F12494">
        <v>5</v>
      </c>
      <c r="G12494">
        <v>3</v>
      </c>
    </row>
    <row r="12495" spans="1:7">
      <c r="A12495" t="s">
        <v>1876</v>
      </c>
      <c r="B12495" t="s">
        <v>385</v>
      </c>
      <c r="C12495" t="s">
        <v>1723</v>
      </c>
      <c r="D12495">
        <v>80</v>
      </c>
      <c r="E12495">
        <v>80</v>
      </c>
      <c r="F12495">
        <v>80</v>
      </c>
      <c r="G12495">
        <v>80</v>
      </c>
    </row>
    <row r="12496" spans="1:7">
      <c r="A12496" t="s">
        <v>1876</v>
      </c>
      <c r="B12496" t="s">
        <v>385</v>
      </c>
      <c r="C12496" t="s">
        <v>328</v>
      </c>
      <c r="D12496">
        <v>38836</v>
      </c>
      <c r="E12496">
        <v>36464</v>
      </c>
      <c r="F12496">
        <v>35361</v>
      </c>
      <c r="G12496">
        <v>34998</v>
      </c>
    </row>
    <row r="12497" spans="1:7">
      <c r="A12497" t="s">
        <v>1876</v>
      </c>
      <c r="B12497" t="s">
        <v>385</v>
      </c>
      <c r="C12497" t="s">
        <v>329</v>
      </c>
      <c r="D12497">
        <v>26726</v>
      </c>
      <c r="E12497">
        <v>33671</v>
      </c>
      <c r="F12497">
        <v>28624</v>
      </c>
      <c r="G12497">
        <v>26833</v>
      </c>
    </row>
    <row r="12498" spans="1:7">
      <c r="A12498" t="s">
        <v>1876</v>
      </c>
      <c r="B12498" t="s">
        <v>385</v>
      </c>
      <c r="C12498" t="s">
        <v>330</v>
      </c>
      <c r="D12498">
        <v>70710</v>
      </c>
      <c r="E12498">
        <v>75282</v>
      </c>
      <c r="F12498">
        <v>69135</v>
      </c>
      <c r="G12498">
        <v>66979</v>
      </c>
    </row>
    <row r="12499" spans="1:7">
      <c r="A12499" t="s">
        <v>1876</v>
      </c>
      <c r="B12499" t="s">
        <v>385</v>
      </c>
      <c r="C12499" t="s">
        <v>331</v>
      </c>
      <c r="D12499">
        <v>2087</v>
      </c>
      <c r="E12499">
        <v>3813</v>
      </c>
      <c r="F12499">
        <v>3767</v>
      </c>
      <c r="G12499">
        <v>3904</v>
      </c>
    </row>
    <row r="12500" spans="1:7">
      <c r="A12500" t="s">
        <v>1876</v>
      </c>
      <c r="B12500" t="s">
        <v>385</v>
      </c>
      <c r="C12500" t="s">
        <v>332</v>
      </c>
      <c r="D12500">
        <v>19935</v>
      </c>
      <c r="E12500">
        <v>16544</v>
      </c>
      <c r="F12500">
        <v>16516</v>
      </c>
      <c r="G12500">
        <v>15789</v>
      </c>
    </row>
    <row r="12501" spans="1:7">
      <c r="A12501" t="s">
        <v>1876</v>
      </c>
      <c r="B12501" t="s">
        <v>385</v>
      </c>
      <c r="C12501" t="s">
        <v>1724</v>
      </c>
      <c r="D12501">
        <v>370</v>
      </c>
      <c r="E12501">
        <v>370</v>
      </c>
      <c r="F12501">
        <v>343</v>
      </c>
      <c r="G12501">
        <v>352</v>
      </c>
    </row>
    <row r="12502" spans="1:7">
      <c r="A12502" t="s">
        <v>1876</v>
      </c>
      <c r="B12502" t="s">
        <v>385</v>
      </c>
      <c r="C12502" t="s">
        <v>333</v>
      </c>
      <c r="D12502">
        <v>9012</v>
      </c>
      <c r="E12502">
        <v>15155</v>
      </c>
      <c r="F12502">
        <v>15269</v>
      </c>
      <c r="G12502">
        <v>14176</v>
      </c>
    </row>
    <row r="12503" spans="1:7">
      <c r="A12503" t="s">
        <v>1876</v>
      </c>
      <c r="B12503" t="s">
        <v>385</v>
      </c>
      <c r="C12503" t="s">
        <v>334</v>
      </c>
      <c r="D12503">
        <v>31034</v>
      </c>
      <c r="E12503">
        <v>35512</v>
      </c>
      <c r="F12503">
        <v>35552</v>
      </c>
      <c r="G12503">
        <v>33869</v>
      </c>
    </row>
    <row r="12504" spans="1:7">
      <c r="A12504" t="s">
        <v>1876</v>
      </c>
      <c r="B12504" t="s">
        <v>385</v>
      </c>
      <c r="C12504" t="s">
        <v>335</v>
      </c>
      <c r="D12504">
        <v>7232</v>
      </c>
      <c r="E12504">
        <v>8958</v>
      </c>
      <c r="F12504">
        <v>8912</v>
      </c>
      <c r="G12504">
        <v>9048</v>
      </c>
    </row>
    <row r="12505" spans="1:7">
      <c r="A12505" t="s">
        <v>1876</v>
      </c>
      <c r="B12505" t="s">
        <v>385</v>
      </c>
      <c r="C12505" t="s">
        <v>336</v>
      </c>
      <c r="D12505">
        <v>19938</v>
      </c>
      <c r="E12505">
        <v>16547</v>
      </c>
      <c r="F12505">
        <v>16521</v>
      </c>
      <c r="G12505">
        <v>15792</v>
      </c>
    </row>
    <row r="12506" spans="1:7">
      <c r="A12506" t="s">
        <v>1876</v>
      </c>
      <c r="B12506" t="s">
        <v>385</v>
      </c>
      <c r="C12506" t="s">
        <v>337</v>
      </c>
      <c r="D12506">
        <v>47848</v>
      </c>
      <c r="E12506">
        <v>51618</v>
      </c>
      <c r="F12506">
        <v>50630</v>
      </c>
      <c r="G12506">
        <v>49175</v>
      </c>
    </row>
    <row r="12507" spans="1:7">
      <c r="A12507" t="s">
        <v>1876</v>
      </c>
      <c r="B12507" t="s">
        <v>385</v>
      </c>
      <c r="C12507" t="s">
        <v>338</v>
      </c>
      <c r="D12507">
        <v>101743</v>
      </c>
      <c r="E12507">
        <v>110794</v>
      </c>
      <c r="F12507">
        <v>104687</v>
      </c>
      <c r="G12507">
        <v>100847</v>
      </c>
    </row>
    <row r="12508" spans="1:7">
      <c r="A12508" t="s">
        <v>1876</v>
      </c>
      <c r="B12508" t="s">
        <v>385</v>
      </c>
      <c r="C12508" t="s">
        <v>339</v>
      </c>
      <c r="D12508">
        <v>81806</v>
      </c>
      <c r="E12508">
        <v>94247</v>
      </c>
      <c r="F12508">
        <v>88165</v>
      </c>
      <c r="G12508">
        <v>85055</v>
      </c>
    </row>
    <row r="12509" spans="1:7">
      <c r="A12509" t="s">
        <v>1876</v>
      </c>
      <c r="B12509" t="s">
        <v>385</v>
      </c>
      <c r="C12509" t="s">
        <v>340</v>
      </c>
      <c r="D12509">
        <v>725</v>
      </c>
      <c r="E12509">
        <v>808</v>
      </c>
      <c r="F12509">
        <v>561</v>
      </c>
      <c r="G12509">
        <v>690</v>
      </c>
    </row>
    <row r="12510" spans="1:7">
      <c r="A12510" t="s">
        <v>1876</v>
      </c>
      <c r="B12510" t="s">
        <v>385</v>
      </c>
      <c r="C12510" t="s">
        <v>1955</v>
      </c>
      <c r="D12510">
        <v>27</v>
      </c>
      <c r="E12510">
        <v>27.9</v>
      </c>
      <c r="F12510">
        <v>25</v>
      </c>
      <c r="G12510">
        <v>23.9</v>
      </c>
    </row>
    <row r="12511" spans="1:7">
      <c r="A12511" t="s">
        <v>1876</v>
      </c>
      <c r="B12511" t="s">
        <v>385</v>
      </c>
      <c r="C12511" t="s">
        <v>341</v>
      </c>
      <c r="D12511">
        <v>0</v>
      </c>
      <c r="E12511">
        <v>0</v>
      </c>
      <c r="F12511">
        <v>0</v>
      </c>
      <c r="G12511">
        <v>0</v>
      </c>
    </row>
    <row r="12512" spans="1:7">
      <c r="A12512" t="s">
        <v>1876</v>
      </c>
      <c r="B12512" t="s">
        <v>385</v>
      </c>
      <c r="C12512" t="s">
        <v>342</v>
      </c>
      <c r="D12512">
        <v>11789</v>
      </c>
      <c r="E12512">
        <v>12188</v>
      </c>
      <c r="F12512">
        <v>11117</v>
      </c>
      <c r="G12512">
        <v>11111</v>
      </c>
    </row>
    <row r="12513" spans="1:7">
      <c r="A12513" t="s">
        <v>1876</v>
      </c>
      <c r="B12513" t="s">
        <v>385</v>
      </c>
      <c r="C12513" t="s">
        <v>1725</v>
      </c>
      <c r="D12513">
        <v>1460</v>
      </c>
      <c r="E12513">
        <v>1460</v>
      </c>
      <c r="F12513">
        <v>1553</v>
      </c>
      <c r="G12513">
        <v>1553</v>
      </c>
    </row>
    <row r="12514" spans="1:7">
      <c r="A12514" t="s">
        <v>1876</v>
      </c>
      <c r="B12514" t="s">
        <v>385</v>
      </c>
      <c r="C12514" t="s">
        <v>343</v>
      </c>
      <c r="D12514">
        <v>0</v>
      </c>
      <c r="E12514">
        <v>0</v>
      </c>
      <c r="F12514">
        <v>0</v>
      </c>
      <c r="G12514">
        <v>0</v>
      </c>
    </row>
    <row r="12515" spans="1:7">
      <c r="A12515" t="s">
        <v>1876</v>
      </c>
      <c r="B12515" t="s">
        <v>385</v>
      </c>
      <c r="C12515" t="s">
        <v>344</v>
      </c>
      <c r="D12515">
        <v>11789</v>
      </c>
      <c r="E12515">
        <v>12188</v>
      </c>
      <c r="F12515">
        <v>11117</v>
      </c>
      <c r="G12515">
        <v>11111</v>
      </c>
    </row>
    <row r="12516" spans="1:7">
      <c r="A12516" t="s">
        <v>1876</v>
      </c>
      <c r="B12516" t="s">
        <v>385</v>
      </c>
      <c r="C12516" t="s">
        <v>345</v>
      </c>
      <c r="D12516">
        <v>0</v>
      </c>
      <c r="E12516">
        <v>0</v>
      </c>
      <c r="F12516">
        <v>0</v>
      </c>
      <c r="G12516">
        <v>0</v>
      </c>
    </row>
    <row r="12517" spans="1:7">
      <c r="A12517" t="s">
        <v>1876</v>
      </c>
      <c r="B12517" t="s">
        <v>385</v>
      </c>
      <c r="C12517" t="s">
        <v>1956</v>
      </c>
      <c r="D12517">
        <v>19935</v>
      </c>
      <c r="E12517">
        <v>16544</v>
      </c>
      <c r="F12517">
        <v>16516</v>
      </c>
      <c r="G12517">
        <v>15789</v>
      </c>
    </row>
    <row r="12518" spans="1:7">
      <c r="A12518" t="s">
        <v>1876</v>
      </c>
      <c r="B12518" t="s">
        <v>385</v>
      </c>
      <c r="C12518" t="s">
        <v>1957</v>
      </c>
      <c r="D12518">
        <v>31034</v>
      </c>
      <c r="E12518">
        <v>35512</v>
      </c>
      <c r="F12518">
        <v>35552</v>
      </c>
      <c r="G12518">
        <v>33869</v>
      </c>
    </row>
    <row r="12519" spans="1:7">
      <c r="A12519" t="s">
        <v>1876</v>
      </c>
      <c r="B12519" t="s">
        <v>385</v>
      </c>
      <c r="C12519" t="s">
        <v>346</v>
      </c>
      <c r="D12519">
        <v>844</v>
      </c>
      <c r="E12519">
        <v>809</v>
      </c>
      <c r="F12519">
        <v>656</v>
      </c>
      <c r="G12519">
        <v>865</v>
      </c>
    </row>
    <row r="12520" spans="1:7">
      <c r="A12520" t="s">
        <v>1876</v>
      </c>
      <c r="B12520" t="s">
        <v>385</v>
      </c>
      <c r="C12520" t="s">
        <v>347</v>
      </c>
      <c r="D12520">
        <v>5231</v>
      </c>
      <c r="E12520">
        <v>5707</v>
      </c>
      <c r="F12520">
        <v>4952</v>
      </c>
      <c r="G12520">
        <v>4988</v>
      </c>
    </row>
    <row r="12521" spans="1:7">
      <c r="A12521" t="s">
        <v>1876</v>
      </c>
      <c r="B12521" t="s">
        <v>386</v>
      </c>
      <c r="C12521" t="s">
        <v>133</v>
      </c>
      <c r="D12521">
        <v>0</v>
      </c>
      <c r="E12521">
        <v>0</v>
      </c>
      <c r="F12521">
        <v>0</v>
      </c>
      <c r="G12521">
        <v>0</v>
      </c>
    </row>
    <row r="12522" spans="1:7">
      <c r="A12522" t="s">
        <v>1876</v>
      </c>
      <c r="B12522" t="s">
        <v>386</v>
      </c>
      <c r="C12522" t="s">
        <v>134</v>
      </c>
      <c r="D12522">
        <v>5764</v>
      </c>
      <c r="E12522">
        <v>5779</v>
      </c>
      <c r="F12522">
        <v>4861</v>
      </c>
      <c r="G12522">
        <v>5369</v>
      </c>
    </row>
    <row r="12523" spans="1:7">
      <c r="A12523" t="s">
        <v>1876</v>
      </c>
      <c r="B12523" t="s">
        <v>386</v>
      </c>
      <c r="C12523" t="s">
        <v>135</v>
      </c>
      <c r="D12523">
        <v>5764</v>
      </c>
      <c r="E12523">
        <v>5779</v>
      </c>
      <c r="F12523">
        <v>4861</v>
      </c>
      <c r="G12523">
        <v>5369</v>
      </c>
    </row>
    <row r="12524" spans="1:7">
      <c r="A12524" t="s">
        <v>1876</v>
      </c>
      <c r="B12524" t="s">
        <v>386</v>
      </c>
      <c r="C12524" t="s">
        <v>136</v>
      </c>
      <c r="D12524">
        <v>5764</v>
      </c>
      <c r="E12524">
        <v>5779</v>
      </c>
      <c r="F12524">
        <v>4861</v>
      </c>
      <c r="G12524">
        <v>5369</v>
      </c>
    </row>
    <row r="12525" spans="1:7">
      <c r="A12525" t="s">
        <v>1876</v>
      </c>
      <c r="B12525" t="s">
        <v>386</v>
      </c>
      <c r="C12525" t="s">
        <v>137</v>
      </c>
      <c r="D12525">
        <v>40</v>
      </c>
      <c r="E12525">
        <v>41</v>
      </c>
      <c r="F12525">
        <v>39</v>
      </c>
      <c r="G12525">
        <v>42</v>
      </c>
    </row>
    <row r="12526" spans="1:7">
      <c r="A12526" t="s">
        <v>1876</v>
      </c>
      <c r="B12526" t="s">
        <v>386</v>
      </c>
      <c r="C12526" t="s">
        <v>138</v>
      </c>
      <c r="D12526">
        <v>40</v>
      </c>
      <c r="E12526">
        <v>41</v>
      </c>
      <c r="F12526">
        <v>39</v>
      </c>
      <c r="G12526">
        <v>42</v>
      </c>
    </row>
    <row r="12527" spans="1:7">
      <c r="A12527" t="s">
        <v>1876</v>
      </c>
      <c r="B12527" t="s">
        <v>386</v>
      </c>
      <c r="C12527" t="s">
        <v>139</v>
      </c>
      <c r="D12527">
        <v>40</v>
      </c>
      <c r="E12527">
        <v>41</v>
      </c>
      <c r="F12527">
        <v>39</v>
      </c>
      <c r="G12527">
        <v>42</v>
      </c>
    </row>
    <row r="12528" spans="1:7">
      <c r="A12528" t="s">
        <v>1876</v>
      </c>
      <c r="B12528" t="s">
        <v>386</v>
      </c>
      <c r="C12528" t="s">
        <v>1877</v>
      </c>
      <c r="D12528">
        <v>0</v>
      </c>
      <c r="E12528">
        <v>0</v>
      </c>
      <c r="F12528">
        <v>0</v>
      </c>
      <c r="G12528">
        <v>0</v>
      </c>
    </row>
    <row r="12529" spans="1:7">
      <c r="A12529" t="s">
        <v>1876</v>
      </c>
      <c r="B12529" t="s">
        <v>386</v>
      </c>
      <c r="C12529" t="s">
        <v>1700</v>
      </c>
      <c r="D12529">
        <v>0</v>
      </c>
      <c r="E12529">
        <v>0</v>
      </c>
      <c r="F12529">
        <v>0</v>
      </c>
      <c r="G12529">
        <v>0</v>
      </c>
    </row>
    <row r="12530" spans="1:7">
      <c r="A12530" t="s">
        <v>1876</v>
      </c>
      <c r="B12530" t="s">
        <v>386</v>
      </c>
      <c r="C12530" t="s">
        <v>1878</v>
      </c>
      <c r="D12530">
        <v>0</v>
      </c>
      <c r="E12530">
        <v>0</v>
      </c>
      <c r="F12530">
        <v>0</v>
      </c>
      <c r="G12530">
        <v>0</v>
      </c>
    </row>
    <row r="12531" spans="1:7">
      <c r="A12531" t="s">
        <v>1876</v>
      </c>
      <c r="B12531" t="s">
        <v>386</v>
      </c>
      <c r="C12531" t="s">
        <v>1879</v>
      </c>
      <c r="D12531">
        <v>0</v>
      </c>
      <c r="E12531">
        <v>0</v>
      </c>
      <c r="F12531">
        <v>0</v>
      </c>
      <c r="G12531">
        <v>0</v>
      </c>
    </row>
    <row r="12532" spans="1:7">
      <c r="A12532" t="s">
        <v>1876</v>
      </c>
      <c r="B12532" t="s">
        <v>386</v>
      </c>
      <c r="C12532" t="s">
        <v>1701</v>
      </c>
      <c r="D12532">
        <v>0</v>
      </c>
      <c r="E12532">
        <v>0</v>
      </c>
      <c r="F12532">
        <v>0</v>
      </c>
      <c r="G12532">
        <v>0</v>
      </c>
    </row>
    <row r="12533" spans="1:7">
      <c r="A12533" t="s">
        <v>1876</v>
      </c>
      <c r="B12533" t="s">
        <v>386</v>
      </c>
      <c r="C12533" t="s">
        <v>1880</v>
      </c>
      <c r="D12533">
        <v>107</v>
      </c>
      <c r="E12533">
        <v>100</v>
      </c>
      <c r="F12533">
        <v>128</v>
      </c>
      <c r="G12533">
        <v>142</v>
      </c>
    </row>
    <row r="12534" spans="1:7">
      <c r="A12534" t="s">
        <v>1876</v>
      </c>
      <c r="B12534" t="s">
        <v>386</v>
      </c>
      <c r="C12534" t="s">
        <v>140</v>
      </c>
      <c r="D12534">
        <v>252</v>
      </c>
      <c r="E12534">
        <v>241</v>
      </c>
      <c r="F12534">
        <v>346</v>
      </c>
      <c r="G12534">
        <v>406</v>
      </c>
    </row>
    <row r="12535" spans="1:7">
      <c r="A12535" t="s">
        <v>1876</v>
      </c>
      <c r="B12535" t="s">
        <v>386</v>
      </c>
      <c r="C12535" t="s">
        <v>1881</v>
      </c>
      <c r="D12535">
        <v>145</v>
      </c>
      <c r="E12535">
        <v>141</v>
      </c>
      <c r="F12535">
        <v>218</v>
      </c>
      <c r="G12535">
        <v>264</v>
      </c>
    </row>
    <row r="12536" spans="1:7">
      <c r="A12536" t="s">
        <v>1876</v>
      </c>
      <c r="B12536" t="s">
        <v>386</v>
      </c>
      <c r="C12536" t="s">
        <v>1882</v>
      </c>
      <c r="D12536">
        <v>94</v>
      </c>
      <c r="E12536">
        <v>91</v>
      </c>
      <c r="F12536">
        <v>76</v>
      </c>
      <c r="G12536">
        <v>128</v>
      </c>
    </row>
    <row r="12537" spans="1:7">
      <c r="A12537" t="s">
        <v>1876</v>
      </c>
      <c r="B12537" t="s">
        <v>386</v>
      </c>
      <c r="C12537" t="s">
        <v>1883</v>
      </c>
      <c r="D12537">
        <v>222</v>
      </c>
      <c r="E12537">
        <v>220</v>
      </c>
      <c r="F12537">
        <v>204</v>
      </c>
      <c r="G12537">
        <v>364</v>
      </c>
    </row>
    <row r="12538" spans="1:7">
      <c r="A12538" t="s">
        <v>1876</v>
      </c>
      <c r="B12538" t="s">
        <v>386</v>
      </c>
      <c r="C12538" t="s">
        <v>1884</v>
      </c>
      <c r="D12538">
        <v>128</v>
      </c>
      <c r="E12538">
        <v>129</v>
      </c>
      <c r="F12538">
        <v>128</v>
      </c>
      <c r="G12538">
        <v>236</v>
      </c>
    </row>
    <row r="12539" spans="1:7">
      <c r="A12539" t="s">
        <v>1876</v>
      </c>
      <c r="B12539" t="s">
        <v>386</v>
      </c>
      <c r="C12539" t="s">
        <v>1885</v>
      </c>
      <c r="D12539">
        <v>0</v>
      </c>
      <c r="E12539">
        <v>0</v>
      </c>
      <c r="F12539">
        <v>0</v>
      </c>
      <c r="G12539">
        <v>0</v>
      </c>
    </row>
    <row r="12540" spans="1:7">
      <c r="A12540" t="s">
        <v>1876</v>
      </c>
      <c r="B12540" t="s">
        <v>386</v>
      </c>
      <c r="C12540" t="s">
        <v>1886</v>
      </c>
      <c r="D12540">
        <v>0</v>
      </c>
      <c r="E12540">
        <v>0</v>
      </c>
      <c r="F12540">
        <v>0</v>
      </c>
      <c r="G12540">
        <v>0</v>
      </c>
    </row>
    <row r="12541" spans="1:7">
      <c r="A12541" t="s">
        <v>1876</v>
      </c>
      <c r="B12541" t="s">
        <v>386</v>
      </c>
      <c r="C12541" t="s">
        <v>141</v>
      </c>
      <c r="D12541">
        <v>9</v>
      </c>
      <c r="E12541">
        <v>1</v>
      </c>
      <c r="F12541">
        <v>0</v>
      </c>
      <c r="G12541">
        <v>0</v>
      </c>
    </row>
    <row r="12542" spans="1:7">
      <c r="A12542" t="s">
        <v>1876</v>
      </c>
      <c r="B12542" t="s">
        <v>386</v>
      </c>
      <c r="C12542" t="s">
        <v>1887</v>
      </c>
      <c r="D12542">
        <v>469</v>
      </c>
      <c r="E12542">
        <v>459</v>
      </c>
      <c r="F12542">
        <v>381</v>
      </c>
      <c r="G12542">
        <v>628</v>
      </c>
    </row>
    <row r="12543" spans="1:7">
      <c r="A12543" t="s">
        <v>1876</v>
      </c>
      <c r="B12543" t="s">
        <v>386</v>
      </c>
      <c r="C12543" t="s">
        <v>1888</v>
      </c>
      <c r="D12543">
        <v>1102</v>
      </c>
      <c r="E12543">
        <v>1109</v>
      </c>
      <c r="F12543">
        <v>1026</v>
      </c>
      <c r="G12543">
        <v>1790</v>
      </c>
    </row>
    <row r="12544" spans="1:7">
      <c r="A12544" t="s">
        <v>1876</v>
      </c>
      <c r="B12544" t="s">
        <v>386</v>
      </c>
      <c r="C12544" t="s">
        <v>1889</v>
      </c>
      <c r="D12544">
        <v>671</v>
      </c>
      <c r="E12544">
        <v>649</v>
      </c>
      <c r="F12544">
        <v>585</v>
      </c>
      <c r="G12544">
        <v>898</v>
      </c>
    </row>
    <row r="12545" spans="1:7">
      <c r="A12545" t="s">
        <v>1876</v>
      </c>
      <c r="B12545" t="s">
        <v>386</v>
      </c>
      <c r="C12545" t="s">
        <v>1890</v>
      </c>
      <c r="D12545">
        <v>633</v>
      </c>
      <c r="E12545">
        <v>650</v>
      </c>
      <c r="F12545">
        <v>646</v>
      </c>
      <c r="G12545">
        <v>1162</v>
      </c>
    </row>
    <row r="12546" spans="1:7">
      <c r="A12546" t="s">
        <v>1876</v>
      </c>
      <c r="B12546" t="s">
        <v>386</v>
      </c>
      <c r="C12546" t="s">
        <v>1891</v>
      </c>
    </row>
    <row r="12547" spans="1:7">
      <c r="A12547" t="s">
        <v>1876</v>
      </c>
      <c r="B12547" t="s">
        <v>386</v>
      </c>
      <c r="C12547" t="s">
        <v>1892</v>
      </c>
      <c r="D12547">
        <v>906</v>
      </c>
      <c r="E12547">
        <v>920</v>
      </c>
      <c r="F12547">
        <v>992</v>
      </c>
      <c r="G12547">
        <v>1662</v>
      </c>
    </row>
    <row r="12548" spans="1:7">
      <c r="A12548" t="s">
        <v>1876</v>
      </c>
      <c r="B12548" t="s">
        <v>386</v>
      </c>
      <c r="C12548" t="s">
        <v>142</v>
      </c>
      <c r="D12548">
        <v>1577</v>
      </c>
      <c r="E12548">
        <v>1569</v>
      </c>
      <c r="F12548">
        <v>1577</v>
      </c>
      <c r="G12548">
        <v>2561</v>
      </c>
    </row>
    <row r="12549" spans="1:7">
      <c r="A12549" t="s">
        <v>1876</v>
      </c>
      <c r="B12549" t="s">
        <v>386</v>
      </c>
      <c r="C12549" t="s">
        <v>1893</v>
      </c>
      <c r="D12549">
        <v>1577</v>
      </c>
      <c r="E12549">
        <v>1569</v>
      </c>
      <c r="F12549">
        <v>1577</v>
      </c>
      <c r="G12549">
        <v>2561</v>
      </c>
    </row>
    <row r="12550" spans="1:7">
      <c r="A12550" t="s">
        <v>1876</v>
      </c>
      <c r="B12550" t="s">
        <v>386</v>
      </c>
      <c r="C12550" t="s">
        <v>1894</v>
      </c>
      <c r="D12550">
        <v>906</v>
      </c>
      <c r="E12550">
        <v>920</v>
      </c>
      <c r="F12550">
        <v>992</v>
      </c>
      <c r="G12550">
        <v>1662</v>
      </c>
    </row>
    <row r="12551" spans="1:7">
      <c r="A12551" t="s">
        <v>1876</v>
      </c>
      <c r="B12551" t="s">
        <v>386</v>
      </c>
      <c r="C12551" t="s">
        <v>143</v>
      </c>
      <c r="D12551">
        <v>9</v>
      </c>
      <c r="E12551">
        <v>1</v>
      </c>
      <c r="F12551">
        <v>0</v>
      </c>
      <c r="G12551">
        <v>0</v>
      </c>
    </row>
    <row r="12552" spans="1:7">
      <c r="A12552" t="s">
        <v>1876</v>
      </c>
      <c r="B12552" t="s">
        <v>386</v>
      </c>
      <c r="C12552" t="s">
        <v>144</v>
      </c>
      <c r="D12552">
        <v>4656</v>
      </c>
      <c r="E12552">
        <v>4714</v>
      </c>
      <c r="F12552">
        <v>4737</v>
      </c>
      <c r="G12552">
        <v>5810</v>
      </c>
    </row>
    <row r="12553" spans="1:7">
      <c r="A12553" t="s">
        <v>1876</v>
      </c>
      <c r="B12553" t="s">
        <v>386</v>
      </c>
      <c r="C12553" t="s">
        <v>1895</v>
      </c>
      <c r="D12553">
        <v>59.3</v>
      </c>
      <c r="E12553">
        <v>62.2</v>
      </c>
      <c r="F12553">
        <v>70.3</v>
      </c>
      <c r="G12553">
        <v>55.8</v>
      </c>
    </row>
    <row r="12554" spans="1:7">
      <c r="A12554" t="s">
        <v>1876</v>
      </c>
      <c r="B12554" t="s">
        <v>386</v>
      </c>
      <c r="C12554" t="s">
        <v>145</v>
      </c>
      <c r="D12554">
        <v>8808</v>
      </c>
      <c r="E12554">
        <v>9424</v>
      </c>
      <c r="F12554">
        <v>9426</v>
      </c>
      <c r="G12554">
        <v>10016</v>
      </c>
    </row>
    <row r="12555" spans="1:7">
      <c r="A12555" t="s">
        <v>1876</v>
      </c>
      <c r="B12555" t="s">
        <v>386</v>
      </c>
      <c r="C12555" t="s">
        <v>146</v>
      </c>
      <c r="D12555">
        <v>0</v>
      </c>
      <c r="E12555">
        <v>0</v>
      </c>
      <c r="F12555">
        <v>0</v>
      </c>
      <c r="G12555">
        <v>0</v>
      </c>
    </row>
    <row r="12556" spans="1:7">
      <c r="A12556" t="s">
        <v>1876</v>
      </c>
      <c r="B12556" t="s">
        <v>386</v>
      </c>
      <c r="C12556" t="s">
        <v>147</v>
      </c>
      <c r="D12556">
        <v>0</v>
      </c>
      <c r="E12556">
        <v>0</v>
      </c>
      <c r="F12556">
        <v>0</v>
      </c>
      <c r="G12556">
        <v>0</v>
      </c>
    </row>
    <row r="12557" spans="1:7">
      <c r="A12557" t="s">
        <v>1876</v>
      </c>
      <c r="B12557" t="s">
        <v>386</v>
      </c>
      <c r="C12557" t="s">
        <v>1896</v>
      </c>
      <c r="D12557">
        <v>0</v>
      </c>
      <c r="E12557">
        <v>72.900000000000006</v>
      </c>
      <c r="F12557">
        <v>3.7</v>
      </c>
      <c r="G12557">
        <v>4.5</v>
      </c>
    </row>
    <row r="12558" spans="1:7">
      <c r="A12558" t="s">
        <v>1876</v>
      </c>
      <c r="B12558" t="s">
        <v>386</v>
      </c>
      <c r="C12558" t="s">
        <v>1702</v>
      </c>
      <c r="D12558">
        <v>0</v>
      </c>
      <c r="E12558">
        <v>3</v>
      </c>
      <c r="F12558">
        <v>3</v>
      </c>
      <c r="G12558">
        <v>3</v>
      </c>
    </row>
    <row r="12559" spans="1:7">
      <c r="A12559" t="s">
        <v>1876</v>
      </c>
      <c r="B12559" t="s">
        <v>386</v>
      </c>
      <c r="C12559" t="s">
        <v>1897</v>
      </c>
      <c r="D12559">
        <v>2.4</v>
      </c>
      <c r="E12559">
        <v>3.6</v>
      </c>
      <c r="F12559">
        <v>6.1</v>
      </c>
      <c r="G12559">
        <v>8</v>
      </c>
    </row>
    <row r="12560" spans="1:7">
      <c r="A12560" t="s">
        <v>1876</v>
      </c>
      <c r="B12560" t="s">
        <v>386</v>
      </c>
      <c r="C12560" t="s">
        <v>1898</v>
      </c>
      <c r="D12560">
        <v>4</v>
      </c>
      <c r="E12560">
        <v>6</v>
      </c>
      <c r="F12560">
        <v>19</v>
      </c>
      <c r="G12560">
        <v>28</v>
      </c>
    </row>
    <row r="12561" spans="1:7">
      <c r="A12561" t="s">
        <v>1876</v>
      </c>
      <c r="B12561" t="s">
        <v>386</v>
      </c>
      <c r="C12561" t="s">
        <v>1899</v>
      </c>
      <c r="D12561">
        <v>906</v>
      </c>
      <c r="E12561">
        <v>920</v>
      </c>
      <c r="F12561">
        <v>992</v>
      </c>
      <c r="G12561">
        <v>1662</v>
      </c>
    </row>
    <row r="12562" spans="1:7">
      <c r="A12562" t="s">
        <v>1876</v>
      </c>
      <c r="B12562" t="s">
        <v>386</v>
      </c>
      <c r="C12562" t="s">
        <v>148</v>
      </c>
      <c r="D12562">
        <v>0</v>
      </c>
      <c r="E12562">
        <v>0</v>
      </c>
      <c r="F12562">
        <v>0</v>
      </c>
      <c r="G12562">
        <v>0</v>
      </c>
    </row>
    <row r="12563" spans="1:7">
      <c r="A12563" t="s">
        <v>1876</v>
      </c>
      <c r="B12563" t="s">
        <v>386</v>
      </c>
      <c r="C12563" t="s">
        <v>149</v>
      </c>
      <c r="D12563">
        <v>0</v>
      </c>
      <c r="E12563">
        <v>0</v>
      </c>
      <c r="F12563">
        <v>0</v>
      </c>
      <c r="G12563">
        <v>0</v>
      </c>
    </row>
    <row r="12564" spans="1:7">
      <c r="A12564" t="s">
        <v>1876</v>
      </c>
      <c r="B12564" t="s">
        <v>386</v>
      </c>
      <c r="C12564" t="s">
        <v>150</v>
      </c>
      <c r="D12564">
        <v>0</v>
      </c>
      <c r="E12564">
        <v>0</v>
      </c>
      <c r="F12564">
        <v>0</v>
      </c>
      <c r="G12564">
        <v>0</v>
      </c>
    </row>
    <row r="12565" spans="1:7">
      <c r="A12565" t="s">
        <v>1876</v>
      </c>
      <c r="B12565" t="s">
        <v>386</v>
      </c>
      <c r="C12565" t="s">
        <v>1900</v>
      </c>
      <c r="D12565">
        <v>0</v>
      </c>
      <c r="E12565">
        <v>0</v>
      </c>
      <c r="F12565">
        <v>0</v>
      </c>
      <c r="G12565">
        <v>0</v>
      </c>
    </row>
    <row r="12566" spans="1:7">
      <c r="A12566" t="s">
        <v>1876</v>
      </c>
      <c r="B12566" t="s">
        <v>386</v>
      </c>
      <c r="C12566" t="s">
        <v>151</v>
      </c>
      <c r="D12566">
        <v>0</v>
      </c>
      <c r="E12566">
        <v>0</v>
      </c>
      <c r="F12566">
        <v>0</v>
      </c>
      <c r="G12566">
        <v>0</v>
      </c>
    </row>
    <row r="12567" spans="1:7">
      <c r="A12567" t="s">
        <v>1876</v>
      </c>
      <c r="B12567" t="s">
        <v>386</v>
      </c>
      <c r="C12567" t="s">
        <v>152</v>
      </c>
      <c r="D12567">
        <v>0</v>
      </c>
      <c r="E12567">
        <v>0</v>
      </c>
      <c r="F12567">
        <v>0</v>
      </c>
      <c r="G12567">
        <v>0</v>
      </c>
    </row>
    <row r="12568" spans="1:7">
      <c r="A12568" t="s">
        <v>1876</v>
      </c>
      <c r="B12568" t="s">
        <v>386</v>
      </c>
      <c r="C12568" t="s">
        <v>1703</v>
      </c>
      <c r="D12568">
        <v>0</v>
      </c>
      <c r="E12568">
        <v>0</v>
      </c>
      <c r="F12568">
        <v>0</v>
      </c>
      <c r="G12568">
        <v>0</v>
      </c>
    </row>
    <row r="12569" spans="1:7">
      <c r="A12569" t="s">
        <v>1876</v>
      </c>
      <c r="B12569" t="s">
        <v>386</v>
      </c>
      <c r="C12569" t="s">
        <v>153</v>
      </c>
      <c r="D12569">
        <v>0</v>
      </c>
      <c r="E12569">
        <v>0</v>
      </c>
      <c r="F12569">
        <v>0</v>
      </c>
      <c r="G12569">
        <v>0</v>
      </c>
    </row>
    <row r="12570" spans="1:7">
      <c r="A12570" t="s">
        <v>1876</v>
      </c>
      <c r="B12570" t="s">
        <v>386</v>
      </c>
      <c r="C12570" t="s">
        <v>154</v>
      </c>
      <c r="D12570">
        <v>0</v>
      </c>
      <c r="E12570">
        <v>0</v>
      </c>
      <c r="F12570">
        <v>0</v>
      </c>
      <c r="G12570">
        <v>0</v>
      </c>
    </row>
    <row r="12571" spans="1:7">
      <c r="A12571" t="s">
        <v>1876</v>
      </c>
      <c r="B12571" t="s">
        <v>386</v>
      </c>
      <c r="C12571" t="s">
        <v>155</v>
      </c>
      <c r="D12571">
        <v>0</v>
      </c>
      <c r="E12571">
        <v>0</v>
      </c>
      <c r="F12571">
        <v>0</v>
      </c>
      <c r="G12571">
        <v>0</v>
      </c>
    </row>
    <row r="12572" spans="1:7">
      <c r="A12572" t="s">
        <v>1876</v>
      </c>
      <c r="B12572" t="s">
        <v>386</v>
      </c>
      <c r="C12572" t="s">
        <v>156</v>
      </c>
      <c r="D12572">
        <v>0</v>
      </c>
      <c r="E12572">
        <v>0</v>
      </c>
      <c r="F12572">
        <v>0</v>
      </c>
      <c r="G12572">
        <v>0</v>
      </c>
    </row>
    <row r="12573" spans="1:7">
      <c r="A12573" t="s">
        <v>1876</v>
      </c>
      <c r="B12573" t="s">
        <v>386</v>
      </c>
      <c r="C12573" t="s">
        <v>157</v>
      </c>
      <c r="D12573">
        <v>0</v>
      </c>
      <c r="E12573">
        <v>0</v>
      </c>
      <c r="F12573">
        <v>0</v>
      </c>
      <c r="G12573">
        <v>0</v>
      </c>
    </row>
    <row r="12574" spans="1:7">
      <c r="A12574" t="s">
        <v>1876</v>
      </c>
      <c r="B12574" t="s">
        <v>386</v>
      </c>
      <c r="C12574" t="s">
        <v>158</v>
      </c>
      <c r="D12574">
        <v>0</v>
      </c>
      <c r="E12574">
        <v>0</v>
      </c>
      <c r="F12574">
        <v>0</v>
      </c>
      <c r="G12574">
        <v>0</v>
      </c>
    </row>
    <row r="12575" spans="1:7">
      <c r="A12575" t="s">
        <v>1876</v>
      </c>
      <c r="B12575" t="s">
        <v>386</v>
      </c>
      <c r="C12575" t="s">
        <v>159</v>
      </c>
      <c r="D12575">
        <v>0</v>
      </c>
      <c r="E12575">
        <v>0</v>
      </c>
      <c r="F12575">
        <v>0</v>
      </c>
      <c r="G12575">
        <v>0</v>
      </c>
    </row>
    <row r="12576" spans="1:7">
      <c r="A12576" t="s">
        <v>1876</v>
      </c>
      <c r="B12576" t="s">
        <v>386</v>
      </c>
      <c r="C12576" t="s">
        <v>1901</v>
      </c>
      <c r="D12576">
        <v>55.3</v>
      </c>
      <c r="E12576">
        <v>44.9</v>
      </c>
      <c r="F12576">
        <v>61.7</v>
      </c>
      <c r="G12576">
        <v>56.5</v>
      </c>
    </row>
    <row r="12577" spans="1:7">
      <c r="A12577" t="s">
        <v>1876</v>
      </c>
      <c r="B12577" t="s">
        <v>386</v>
      </c>
      <c r="C12577" t="s">
        <v>1902</v>
      </c>
      <c r="D12577">
        <v>10417</v>
      </c>
      <c r="E12577">
        <v>10742</v>
      </c>
      <c r="F12577">
        <v>11287</v>
      </c>
      <c r="G12577">
        <v>12637</v>
      </c>
    </row>
    <row r="12578" spans="1:7">
      <c r="A12578" t="s">
        <v>1876</v>
      </c>
      <c r="B12578" t="s">
        <v>386</v>
      </c>
      <c r="C12578" t="s">
        <v>1903</v>
      </c>
      <c r="D12578">
        <v>2870</v>
      </c>
      <c r="E12578">
        <v>2814</v>
      </c>
      <c r="F12578">
        <v>2864</v>
      </c>
      <c r="G12578">
        <v>2992</v>
      </c>
    </row>
    <row r="12579" spans="1:7">
      <c r="A12579" t="s">
        <v>1876</v>
      </c>
      <c r="B12579" t="s">
        <v>386</v>
      </c>
      <c r="C12579" t="s">
        <v>1904</v>
      </c>
      <c r="D12579">
        <v>95</v>
      </c>
      <c r="E12579">
        <v>554</v>
      </c>
      <c r="F12579">
        <v>249</v>
      </c>
      <c r="G12579">
        <v>58</v>
      </c>
    </row>
    <row r="12580" spans="1:7">
      <c r="A12580" t="s">
        <v>1876</v>
      </c>
      <c r="B12580" t="s">
        <v>386</v>
      </c>
      <c r="C12580" t="s">
        <v>1905</v>
      </c>
      <c r="D12580">
        <v>856</v>
      </c>
      <c r="E12580">
        <v>865</v>
      </c>
      <c r="F12580">
        <v>844</v>
      </c>
      <c r="G12580">
        <v>819</v>
      </c>
    </row>
    <row r="12581" spans="1:7">
      <c r="A12581" t="s">
        <v>1876</v>
      </c>
      <c r="B12581" t="s">
        <v>386</v>
      </c>
      <c r="C12581" t="s">
        <v>1906</v>
      </c>
      <c r="D12581">
        <v>14246</v>
      </c>
      <c r="E12581">
        <v>14152</v>
      </c>
      <c r="F12581">
        <v>14398</v>
      </c>
      <c r="G12581">
        <v>14710</v>
      </c>
    </row>
    <row r="12582" spans="1:7">
      <c r="A12582" t="s">
        <v>1876</v>
      </c>
      <c r="B12582" t="s">
        <v>386</v>
      </c>
      <c r="C12582" t="s">
        <v>1907</v>
      </c>
      <c r="D12582">
        <v>28484</v>
      </c>
      <c r="E12582">
        <v>29127</v>
      </c>
      <c r="F12582">
        <v>29641</v>
      </c>
      <c r="G12582">
        <v>31216</v>
      </c>
    </row>
    <row r="12583" spans="1:7">
      <c r="A12583" t="s">
        <v>1876</v>
      </c>
      <c r="B12583" t="s">
        <v>386</v>
      </c>
      <c r="C12583" t="s">
        <v>160</v>
      </c>
      <c r="D12583">
        <v>10272</v>
      </c>
      <c r="E12583">
        <v>10601</v>
      </c>
      <c r="F12583">
        <v>11069</v>
      </c>
      <c r="G12583">
        <v>12373</v>
      </c>
    </row>
    <row r="12584" spans="1:7">
      <c r="A12584" t="s">
        <v>1876</v>
      </c>
      <c r="B12584" t="s">
        <v>386</v>
      </c>
      <c r="C12584" t="s">
        <v>161</v>
      </c>
      <c r="D12584">
        <v>2742</v>
      </c>
      <c r="E12584">
        <v>2685</v>
      </c>
      <c r="F12584">
        <v>2736</v>
      </c>
      <c r="G12584">
        <v>2755</v>
      </c>
    </row>
    <row r="12585" spans="1:7">
      <c r="A12585" t="s">
        <v>1876</v>
      </c>
      <c r="B12585" t="s">
        <v>386</v>
      </c>
      <c r="C12585" t="s">
        <v>162</v>
      </c>
      <c r="D12585">
        <v>95</v>
      </c>
      <c r="E12585">
        <v>554</v>
      </c>
      <c r="F12585">
        <v>249</v>
      </c>
      <c r="G12585">
        <v>58</v>
      </c>
    </row>
    <row r="12586" spans="1:7">
      <c r="A12586" t="s">
        <v>1876</v>
      </c>
      <c r="B12586" t="s">
        <v>386</v>
      </c>
      <c r="C12586" t="s">
        <v>163</v>
      </c>
      <c r="D12586">
        <v>856</v>
      </c>
      <c r="E12586">
        <v>865</v>
      </c>
      <c r="F12586">
        <v>844</v>
      </c>
      <c r="G12586">
        <v>819</v>
      </c>
    </row>
    <row r="12587" spans="1:7">
      <c r="A12587" t="s">
        <v>1876</v>
      </c>
      <c r="B12587" t="s">
        <v>386</v>
      </c>
      <c r="C12587" t="s">
        <v>164</v>
      </c>
      <c r="D12587">
        <v>13613</v>
      </c>
      <c r="E12587">
        <v>13502</v>
      </c>
      <c r="F12587">
        <v>13752</v>
      </c>
      <c r="G12587">
        <v>13548</v>
      </c>
    </row>
    <row r="12588" spans="1:7">
      <c r="A12588" t="s">
        <v>1876</v>
      </c>
      <c r="B12588" t="s">
        <v>386</v>
      </c>
      <c r="C12588" t="s">
        <v>165</v>
      </c>
      <c r="D12588">
        <v>27578</v>
      </c>
      <c r="E12588">
        <v>28207</v>
      </c>
      <c r="F12588">
        <v>28649</v>
      </c>
      <c r="G12588">
        <v>29553</v>
      </c>
    </row>
    <row r="12589" spans="1:7">
      <c r="A12589" t="s">
        <v>1876</v>
      </c>
      <c r="B12589" t="s">
        <v>386</v>
      </c>
      <c r="C12589" t="s">
        <v>166</v>
      </c>
      <c r="D12589">
        <v>27483</v>
      </c>
      <c r="E12589">
        <v>27653</v>
      </c>
      <c r="F12589">
        <v>28400</v>
      </c>
      <c r="G12589">
        <v>29496</v>
      </c>
    </row>
    <row r="12590" spans="1:7">
      <c r="A12590" t="s">
        <v>1876</v>
      </c>
      <c r="B12590" t="s">
        <v>386</v>
      </c>
      <c r="C12590" t="s">
        <v>167</v>
      </c>
      <c r="D12590">
        <v>95</v>
      </c>
      <c r="E12590">
        <v>554</v>
      </c>
      <c r="F12590">
        <v>249</v>
      </c>
      <c r="G12590">
        <v>58</v>
      </c>
    </row>
    <row r="12591" spans="1:7">
      <c r="A12591" t="s">
        <v>1876</v>
      </c>
      <c r="B12591" t="s">
        <v>386</v>
      </c>
      <c r="C12591" t="s">
        <v>1908</v>
      </c>
      <c r="D12591">
        <v>10165</v>
      </c>
      <c r="E12591">
        <v>10501</v>
      </c>
      <c r="F12591">
        <v>10940</v>
      </c>
      <c r="G12591">
        <v>12231</v>
      </c>
    </row>
    <row r="12592" spans="1:7">
      <c r="A12592" t="s">
        <v>1876</v>
      </c>
      <c r="B12592" t="s">
        <v>386</v>
      </c>
      <c r="C12592" t="s">
        <v>1909</v>
      </c>
      <c r="D12592">
        <v>2648</v>
      </c>
      <c r="E12592">
        <v>2594</v>
      </c>
      <c r="F12592">
        <v>2660</v>
      </c>
      <c r="G12592">
        <v>2628</v>
      </c>
    </row>
    <row r="12593" spans="1:7">
      <c r="A12593" t="s">
        <v>1876</v>
      </c>
      <c r="B12593" t="s">
        <v>386</v>
      </c>
      <c r="C12593" t="s">
        <v>1910</v>
      </c>
      <c r="D12593">
        <v>95</v>
      </c>
      <c r="E12593">
        <v>554</v>
      </c>
      <c r="F12593">
        <v>249</v>
      </c>
      <c r="G12593">
        <v>58</v>
      </c>
    </row>
    <row r="12594" spans="1:7">
      <c r="A12594" t="s">
        <v>1876</v>
      </c>
      <c r="B12594" t="s">
        <v>386</v>
      </c>
      <c r="C12594" t="s">
        <v>1911</v>
      </c>
      <c r="D12594">
        <v>856</v>
      </c>
      <c r="E12594">
        <v>865</v>
      </c>
      <c r="F12594">
        <v>844</v>
      </c>
      <c r="G12594">
        <v>819</v>
      </c>
    </row>
    <row r="12595" spans="1:7">
      <c r="A12595" t="s">
        <v>1876</v>
      </c>
      <c r="B12595" t="s">
        <v>386</v>
      </c>
      <c r="C12595" t="s">
        <v>1912</v>
      </c>
      <c r="D12595">
        <v>13144</v>
      </c>
      <c r="E12595">
        <v>13043</v>
      </c>
      <c r="F12595">
        <v>13371</v>
      </c>
      <c r="G12595">
        <v>12920</v>
      </c>
    </row>
    <row r="12596" spans="1:7">
      <c r="A12596" t="s">
        <v>1876</v>
      </c>
      <c r="B12596" t="s">
        <v>386</v>
      </c>
      <c r="C12596" t="s">
        <v>168</v>
      </c>
      <c r="D12596">
        <v>26907</v>
      </c>
      <c r="E12596">
        <v>27557</v>
      </c>
      <c r="F12596">
        <v>28064</v>
      </c>
      <c r="G12596">
        <v>28655</v>
      </c>
    </row>
    <row r="12597" spans="1:7">
      <c r="A12597" t="s">
        <v>1876</v>
      </c>
      <c r="B12597" t="s">
        <v>386</v>
      </c>
      <c r="C12597" t="s">
        <v>169</v>
      </c>
      <c r="D12597">
        <v>0</v>
      </c>
      <c r="E12597">
        <v>0</v>
      </c>
      <c r="F12597">
        <v>0</v>
      </c>
      <c r="G12597">
        <v>0</v>
      </c>
    </row>
    <row r="12598" spans="1:7">
      <c r="A12598" t="s">
        <v>1876</v>
      </c>
      <c r="B12598" t="s">
        <v>386</v>
      </c>
      <c r="C12598" t="s">
        <v>1704</v>
      </c>
      <c r="D12598">
        <v>2131</v>
      </c>
      <c r="E12598">
        <v>2162</v>
      </c>
      <c r="F12598">
        <v>2289</v>
      </c>
      <c r="G12598">
        <v>2322</v>
      </c>
    </row>
    <row r="12599" spans="1:7">
      <c r="A12599" t="s">
        <v>1876</v>
      </c>
      <c r="B12599" t="s">
        <v>386</v>
      </c>
      <c r="C12599" t="s">
        <v>170</v>
      </c>
      <c r="D12599">
        <v>0</v>
      </c>
      <c r="E12599">
        <v>0</v>
      </c>
      <c r="F12599">
        <v>0</v>
      </c>
      <c r="G12599">
        <v>0</v>
      </c>
    </row>
    <row r="12600" spans="1:7">
      <c r="A12600" t="s">
        <v>1876</v>
      </c>
      <c r="B12600" t="s">
        <v>386</v>
      </c>
      <c r="C12600" t="s">
        <v>171</v>
      </c>
      <c r="D12600">
        <v>-10276</v>
      </c>
      <c r="E12600">
        <v>2918</v>
      </c>
      <c r="F12600">
        <v>-19971</v>
      </c>
      <c r="G12600">
        <v>-13759</v>
      </c>
    </row>
    <row r="12601" spans="1:7">
      <c r="A12601" t="s">
        <v>1876</v>
      </c>
      <c r="B12601" t="s">
        <v>386</v>
      </c>
      <c r="C12601" t="s">
        <v>172</v>
      </c>
      <c r="D12601">
        <v>0</v>
      </c>
      <c r="E12601">
        <v>0</v>
      </c>
      <c r="F12601">
        <v>0</v>
      </c>
      <c r="G12601">
        <v>0</v>
      </c>
    </row>
    <row r="12602" spans="1:7">
      <c r="A12602" t="s">
        <v>1876</v>
      </c>
      <c r="B12602" t="s">
        <v>386</v>
      </c>
      <c r="C12602" t="s">
        <v>1913</v>
      </c>
      <c r="D12602">
        <v>4.8</v>
      </c>
      <c r="E12602">
        <v>6.8</v>
      </c>
      <c r="F12602">
        <v>10.6</v>
      </c>
      <c r="G12602">
        <v>13.8</v>
      </c>
    </row>
    <row r="12603" spans="1:7">
      <c r="A12603" t="s">
        <v>1876</v>
      </c>
      <c r="B12603" t="s">
        <v>386</v>
      </c>
      <c r="C12603" t="s">
        <v>1914</v>
      </c>
      <c r="D12603">
        <v>0.6</v>
      </c>
      <c r="E12603">
        <v>0.8</v>
      </c>
      <c r="F12603">
        <v>1.3</v>
      </c>
      <c r="G12603">
        <v>1.7</v>
      </c>
    </row>
    <row r="12604" spans="1:7">
      <c r="A12604" t="s">
        <v>1876</v>
      </c>
      <c r="B12604" t="s">
        <v>386</v>
      </c>
      <c r="C12604" t="s">
        <v>173</v>
      </c>
      <c r="D12604">
        <v>2945</v>
      </c>
      <c r="E12604">
        <v>3015</v>
      </c>
      <c r="F12604">
        <v>3031</v>
      </c>
      <c r="G12604">
        <v>3153</v>
      </c>
    </row>
    <row r="12605" spans="1:7">
      <c r="A12605" t="s">
        <v>1876</v>
      </c>
      <c r="B12605" t="s">
        <v>386</v>
      </c>
      <c r="C12605" t="s">
        <v>174</v>
      </c>
      <c r="D12605">
        <v>79</v>
      </c>
      <c r="E12605">
        <v>80</v>
      </c>
      <c r="F12605">
        <v>81</v>
      </c>
      <c r="G12605">
        <v>54</v>
      </c>
    </row>
    <row r="12606" spans="1:7">
      <c r="A12606" t="s">
        <v>1876</v>
      </c>
      <c r="B12606" t="s">
        <v>386</v>
      </c>
      <c r="C12606" t="s">
        <v>175</v>
      </c>
      <c r="D12606">
        <v>46</v>
      </c>
      <c r="E12606">
        <v>48</v>
      </c>
      <c r="F12606">
        <v>48</v>
      </c>
      <c r="G12606">
        <v>42</v>
      </c>
    </row>
    <row r="12607" spans="1:7">
      <c r="A12607" t="s">
        <v>1876</v>
      </c>
      <c r="B12607" t="s">
        <v>386</v>
      </c>
      <c r="C12607" t="s">
        <v>176</v>
      </c>
      <c r="D12607">
        <v>0</v>
      </c>
      <c r="E12607">
        <v>0</v>
      </c>
      <c r="F12607">
        <v>0</v>
      </c>
      <c r="G12607">
        <v>0</v>
      </c>
    </row>
    <row r="12608" spans="1:7">
      <c r="A12608" t="s">
        <v>1876</v>
      </c>
      <c r="B12608" t="s">
        <v>386</v>
      </c>
      <c r="C12608" t="s">
        <v>177</v>
      </c>
      <c r="D12608">
        <v>3070</v>
      </c>
      <c r="E12608">
        <v>3144</v>
      </c>
      <c r="F12608">
        <v>3160</v>
      </c>
      <c r="G12608">
        <v>3250</v>
      </c>
    </row>
    <row r="12609" spans="1:7">
      <c r="A12609" t="s">
        <v>1876</v>
      </c>
      <c r="B12609" t="s">
        <v>386</v>
      </c>
      <c r="C12609" t="s">
        <v>178</v>
      </c>
      <c r="D12609">
        <v>0</v>
      </c>
      <c r="E12609">
        <v>0</v>
      </c>
      <c r="F12609">
        <v>0</v>
      </c>
      <c r="G12609">
        <v>0</v>
      </c>
    </row>
    <row r="12610" spans="1:7">
      <c r="A12610" t="s">
        <v>1876</v>
      </c>
      <c r="B12610" t="s">
        <v>386</v>
      </c>
      <c r="C12610" t="s">
        <v>179</v>
      </c>
      <c r="D12610">
        <v>0</v>
      </c>
      <c r="E12610">
        <v>0</v>
      </c>
      <c r="F12610">
        <v>0</v>
      </c>
      <c r="G12610">
        <v>0</v>
      </c>
    </row>
    <row r="12611" spans="1:7">
      <c r="A12611" t="s">
        <v>1876</v>
      </c>
      <c r="B12611" t="s">
        <v>386</v>
      </c>
      <c r="C12611" t="s">
        <v>180</v>
      </c>
      <c r="D12611">
        <v>62</v>
      </c>
      <c r="E12611">
        <v>78</v>
      </c>
      <c r="F12611">
        <v>89</v>
      </c>
      <c r="G12611">
        <v>75</v>
      </c>
    </row>
    <row r="12612" spans="1:7">
      <c r="A12612" t="s">
        <v>1876</v>
      </c>
      <c r="B12612" t="s">
        <v>386</v>
      </c>
      <c r="C12612" t="s">
        <v>181</v>
      </c>
      <c r="D12612">
        <v>12299</v>
      </c>
      <c r="E12612">
        <v>12780</v>
      </c>
      <c r="F12612">
        <v>12456</v>
      </c>
      <c r="G12612">
        <v>12509</v>
      </c>
    </row>
    <row r="12613" spans="1:7">
      <c r="A12613" t="s">
        <v>1876</v>
      </c>
      <c r="B12613" t="s">
        <v>386</v>
      </c>
      <c r="C12613" t="s">
        <v>182</v>
      </c>
      <c r="D12613">
        <v>2197</v>
      </c>
      <c r="E12613">
        <v>2181</v>
      </c>
      <c r="F12613">
        <v>2146</v>
      </c>
      <c r="G12613">
        <v>2097</v>
      </c>
    </row>
    <row r="12614" spans="1:7">
      <c r="A12614" t="s">
        <v>1876</v>
      </c>
      <c r="B12614" t="s">
        <v>386</v>
      </c>
      <c r="C12614" t="s">
        <v>183</v>
      </c>
      <c r="D12614">
        <v>10685</v>
      </c>
      <c r="E12614">
        <v>10810</v>
      </c>
      <c r="F12614">
        <v>10219</v>
      </c>
      <c r="G12614">
        <v>10616</v>
      </c>
    </row>
    <row r="12615" spans="1:7">
      <c r="A12615" t="s">
        <v>1876</v>
      </c>
      <c r="B12615" t="s">
        <v>386</v>
      </c>
      <c r="C12615" t="s">
        <v>184</v>
      </c>
      <c r="D12615">
        <v>25242</v>
      </c>
      <c r="E12615">
        <v>25850</v>
      </c>
      <c r="F12615">
        <v>24910</v>
      </c>
      <c r="G12615">
        <v>25297</v>
      </c>
    </row>
    <row r="12616" spans="1:7">
      <c r="A12616" t="s">
        <v>1876</v>
      </c>
      <c r="B12616" t="s">
        <v>386</v>
      </c>
      <c r="C12616" t="s">
        <v>185</v>
      </c>
      <c r="D12616">
        <v>25242</v>
      </c>
      <c r="E12616">
        <v>25850</v>
      </c>
      <c r="F12616">
        <v>24910</v>
      </c>
      <c r="G12616">
        <v>25297</v>
      </c>
    </row>
    <row r="12617" spans="1:7">
      <c r="A12617" t="s">
        <v>1876</v>
      </c>
      <c r="B12617" t="s">
        <v>386</v>
      </c>
      <c r="C12617" t="s">
        <v>1915</v>
      </c>
      <c r="D12617">
        <v>7</v>
      </c>
      <c r="E12617">
        <v>11</v>
      </c>
      <c r="F12617">
        <v>30</v>
      </c>
      <c r="G12617">
        <v>41</v>
      </c>
    </row>
    <row r="12618" spans="1:7">
      <c r="A12618" t="s">
        <v>1876</v>
      </c>
      <c r="B12618" t="s">
        <v>386</v>
      </c>
      <c r="C12618" t="s">
        <v>1916</v>
      </c>
      <c r="D12618">
        <v>0</v>
      </c>
      <c r="E12618">
        <v>0</v>
      </c>
      <c r="F12618">
        <v>0</v>
      </c>
      <c r="G12618">
        <v>0</v>
      </c>
    </row>
    <row r="12619" spans="1:7">
      <c r="A12619" t="s">
        <v>1876</v>
      </c>
      <c r="B12619" t="s">
        <v>386</v>
      </c>
      <c r="C12619" t="s">
        <v>1917</v>
      </c>
      <c r="D12619">
        <v>82</v>
      </c>
      <c r="E12619">
        <v>82</v>
      </c>
      <c r="F12619">
        <v>82</v>
      </c>
      <c r="G12619">
        <v>82</v>
      </c>
    </row>
    <row r="12620" spans="1:7">
      <c r="A12620" t="s">
        <v>1876</v>
      </c>
      <c r="B12620" t="s">
        <v>386</v>
      </c>
      <c r="C12620" t="s">
        <v>1918</v>
      </c>
      <c r="D12620">
        <v>542</v>
      </c>
      <c r="E12620">
        <v>695</v>
      </c>
      <c r="F12620">
        <v>739</v>
      </c>
      <c r="G12620">
        <v>805</v>
      </c>
    </row>
    <row r="12621" spans="1:7">
      <c r="A12621" t="s">
        <v>1876</v>
      </c>
      <c r="B12621" t="s">
        <v>386</v>
      </c>
      <c r="C12621" t="s">
        <v>1919</v>
      </c>
      <c r="D12621">
        <v>2.4500000000000002</v>
      </c>
      <c r="E12621">
        <v>2.54</v>
      </c>
      <c r="F12621">
        <v>2.4700000000000002</v>
      </c>
      <c r="G12621">
        <v>2.4500000000000002</v>
      </c>
    </row>
    <row r="12622" spans="1:7">
      <c r="A12622" t="s">
        <v>1876</v>
      </c>
      <c r="B12622" t="s">
        <v>386</v>
      </c>
      <c r="C12622" t="s">
        <v>1920</v>
      </c>
      <c r="D12622">
        <v>670</v>
      </c>
      <c r="E12622">
        <v>858</v>
      </c>
      <c r="F12622">
        <v>915</v>
      </c>
      <c r="G12622">
        <v>1016</v>
      </c>
    </row>
    <row r="12623" spans="1:7">
      <c r="A12623" t="s">
        <v>1876</v>
      </c>
      <c r="B12623" t="s">
        <v>386</v>
      </c>
      <c r="C12623" t="s">
        <v>1921</v>
      </c>
      <c r="D12623">
        <v>245</v>
      </c>
      <c r="E12623">
        <v>307</v>
      </c>
      <c r="F12623">
        <v>334</v>
      </c>
      <c r="G12623">
        <v>374</v>
      </c>
    </row>
    <row r="12624" spans="1:7">
      <c r="A12624" t="s">
        <v>1876</v>
      </c>
      <c r="B12624" t="s">
        <v>386</v>
      </c>
      <c r="C12624" t="s">
        <v>1922</v>
      </c>
      <c r="D12624">
        <v>46</v>
      </c>
      <c r="E12624">
        <v>81</v>
      </c>
      <c r="F12624">
        <v>94</v>
      </c>
      <c r="G12624">
        <v>129</v>
      </c>
    </row>
    <row r="12625" spans="1:7">
      <c r="A12625" t="s">
        <v>1876</v>
      </c>
      <c r="B12625" t="s">
        <v>386</v>
      </c>
      <c r="C12625" t="s">
        <v>1923</v>
      </c>
      <c r="D12625">
        <v>1.7</v>
      </c>
      <c r="E12625">
        <v>2.13</v>
      </c>
      <c r="F12625">
        <v>2.41</v>
      </c>
      <c r="G12625">
        <v>2.58</v>
      </c>
    </row>
    <row r="12626" spans="1:7">
      <c r="A12626" t="s">
        <v>1876</v>
      </c>
      <c r="B12626" t="s">
        <v>386</v>
      </c>
      <c r="C12626" t="s">
        <v>1924</v>
      </c>
      <c r="D12626">
        <v>2</v>
      </c>
      <c r="E12626">
        <v>0</v>
      </c>
      <c r="F12626">
        <v>0</v>
      </c>
      <c r="G12626">
        <v>0</v>
      </c>
    </row>
    <row r="12627" spans="1:7">
      <c r="A12627" t="s">
        <v>1876</v>
      </c>
      <c r="B12627" t="s">
        <v>386</v>
      </c>
      <c r="C12627" t="s">
        <v>1925</v>
      </c>
      <c r="D12627">
        <v>17</v>
      </c>
      <c r="E12627">
        <v>34</v>
      </c>
      <c r="F12627">
        <v>33</v>
      </c>
      <c r="G12627">
        <v>33</v>
      </c>
    </row>
    <row r="12628" spans="1:7">
      <c r="A12628" t="s">
        <v>1876</v>
      </c>
      <c r="B12628" t="s">
        <v>386</v>
      </c>
      <c r="C12628" t="s">
        <v>1926</v>
      </c>
      <c r="D12628">
        <v>226</v>
      </c>
      <c r="E12628">
        <v>273</v>
      </c>
      <c r="F12628">
        <v>301</v>
      </c>
      <c r="G12628">
        <v>341</v>
      </c>
    </row>
    <row r="12629" spans="1:7">
      <c r="A12629" t="s">
        <v>1876</v>
      </c>
      <c r="B12629" t="s">
        <v>386</v>
      </c>
      <c r="C12629" t="s">
        <v>1927</v>
      </c>
      <c r="D12629">
        <v>4</v>
      </c>
      <c r="E12629">
        <v>8</v>
      </c>
      <c r="F12629">
        <v>8</v>
      </c>
      <c r="G12629">
        <v>4</v>
      </c>
    </row>
    <row r="12630" spans="1:7">
      <c r="A12630" t="s">
        <v>1876</v>
      </c>
      <c r="B12630" t="s">
        <v>386</v>
      </c>
      <c r="C12630" t="s">
        <v>1928</v>
      </c>
      <c r="D12630">
        <v>228</v>
      </c>
      <c r="E12630">
        <v>281</v>
      </c>
      <c r="F12630">
        <v>308</v>
      </c>
      <c r="G12630">
        <v>348</v>
      </c>
    </row>
    <row r="12631" spans="1:7">
      <c r="A12631" t="s">
        <v>1876</v>
      </c>
      <c r="B12631" t="s">
        <v>386</v>
      </c>
      <c r="C12631" t="s">
        <v>1929</v>
      </c>
      <c r="D12631">
        <v>13</v>
      </c>
      <c r="E12631">
        <v>18</v>
      </c>
      <c r="F12631">
        <v>18</v>
      </c>
      <c r="G12631">
        <v>22</v>
      </c>
    </row>
    <row r="12632" spans="1:7">
      <c r="A12632" t="s">
        <v>1876</v>
      </c>
      <c r="B12632" t="s">
        <v>386</v>
      </c>
      <c r="C12632" t="s">
        <v>186</v>
      </c>
      <c r="D12632">
        <v>0</v>
      </c>
      <c r="E12632">
        <v>0</v>
      </c>
      <c r="F12632">
        <v>0</v>
      </c>
      <c r="G12632">
        <v>0</v>
      </c>
    </row>
    <row r="12633" spans="1:7">
      <c r="A12633" t="s">
        <v>1876</v>
      </c>
      <c r="B12633" t="s">
        <v>386</v>
      </c>
      <c r="C12633" t="s">
        <v>187</v>
      </c>
      <c r="D12633">
        <v>0</v>
      </c>
      <c r="E12633">
        <v>0</v>
      </c>
      <c r="F12633">
        <v>0</v>
      </c>
      <c r="G12633">
        <v>0</v>
      </c>
    </row>
    <row r="12634" spans="1:7">
      <c r="A12634" t="s">
        <v>1876</v>
      </c>
      <c r="B12634" t="s">
        <v>386</v>
      </c>
      <c r="C12634" t="s">
        <v>1705</v>
      </c>
      <c r="D12634">
        <v>1780</v>
      </c>
      <c r="E12634">
        <v>1780</v>
      </c>
      <c r="F12634">
        <v>1780</v>
      </c>
      <c r="G12634">
        <v>1780</v>
      </c>
    </row>
    <row r="12635" spans="1:7">
      <c r="A12635" t="s">
        <v>1876</v>
      </c>
      <c r="B12635" t="s">
        <v>386</v>
      </c>
      <c r="C12635" t="s">
        <v>188</v>
      </c>
      <c r="D12635">
        <v>181939</v>
      </c>
      <c r="E12635">
        <v>172090</v>
      </c>
      <c r="F12635">
        <v>190315</v>
      </c>
      <c r="G12635">
        <v>187879</v>
      </c>
    </row>
    <row r="12636" spans="1:7">
      <c r="A12636" t="s">
        <v>1876</v>
      </c>
      <c r="B12636" t="s">
        <v>386</v>
      </c>
      <c r="C12636" t="s">
        <v>189</v>
      </c>
      <c r="D12636">
        <v>0</v>
      </c>
      <c r="E12636">
        <v>0</v>
      </c>
      <c r="F12636">
        <v>0</v>
      </c>
      <c r="G12636">
        <v>0</v>
      </c>
    </row>
    <row r="12637" spans="1:7">
      <c r="A12637" t="s">
        <v>1876</v>
      </c>
      <c r="B12637" t="s">
        <v>386</v>
      </c>
      <c r="C12637" t="s">
        <v>190</v>
      </c>
      <c r="D12637">
        <v>0</v>
      </c>
      <c r="E12637">
        <v>0</v>
      </c>
      <c r="F12637">
        <v>0</v>
      </c>
      <c r="G12637">
        <v>0</v>
      </c>
    </row>
    <row r="12638" spans="1:7">
      <c r="A12638" t="s">
        <v>1876</v>
      </c>
      <c r="B12638" t="s">
        <v>386</v>
      </c>
      <c r="C12638" t="s">
        <v>191</v>
      </c>
      <c r="D12638">
        <v>0</v>
      </c>
      <c r="E12638">
        <v>0</v>
      </c>
      <c r="F12638">
        <v>0</v>
      </c>
      <c r="G12638">
        <v>0</v>
      </c>
    </row>
    <row r="12639" spans="1:7">
      <c r="A12639" t="s">
        <v>1876</v>
      </c>
      <c r="B12639" t="s">
        <v>386</v>
      </c>
      <c r="C12639" t="s">
        <v>192</v>
      </c>
      <c r="D12639">
        <v>67060</v>
      </c>
      <c r="E12639">
        <v>71978.2</v>
      </c>
      <c r="F12639">
        <v>76313.5</v>
      </c>
      <c r="G12639">
        <v>80381.100000000006</v>
      </c>
    </row>
    <row r="12640" spans="1:7">
      <c r="A12640" t="s">
        <v>1876</v>
      </c>
      <c r="B12640" t="s">
        <v>386</v>
      </c>
      <c r="C12640" t="s">
        <v>193</v>
      </c>
      <c r="D12640">
        <v>60660</v>
      </c>
      <c r="E12640">
        <v>61517.3</v>
      </c>
      <c r="F12640">
        <v>62119.3</v>
      </c>
      <c r="G12640">
        <v>63459.1</v>
      </c>
    </row>
    <row r="12641" spans="1:7">
      <c r="A12641" t="s">
        <v>1876</v>
      </c>
      <c r="B12641" t="s">
        <v>386</v>
      </c>
      <c r="C12641" t="s">
        <v>1930</v>
      </c>
      <c r="D12641">
        <v>0</v>
      </c>
      <c r="E12641">
        <v>0</v>
      </c>
      <c r="F12641">
        <v>0</v>
      </c>
      <c r="G12641">
        <v>0</v>
      </c>
    </row>
    <row r="12642" spans="1:7">
      <c r="A12642" t="s">
        <v>1876</v>
      </c>
      <c r="B12642" t="s">
        <v>386</v>
      </c>
      <c r="C12642" t="s">
        <v>194</v>
      </c>
      <c r="D12642">
        <v>0</v>
      </c>
      <c r="E12642">
        <v>0</v>
      </c>
      <c r="F12642">
        <v>0</v>
      </c>
      <c r="G12642">
        <v>0</v>
      </c>
    </row>
    <row r="12643" spans="1:7">
      <c r="A12643" t="s">
        <v>1876</v>
      </c>
      <c r="B12643" t="s">
        <v>386</v>
      </c>
      <c r="C12643" t="s">
        <v>195</v>
      </c>
      <c r="D12643">
        <v>0</v>
      </c>
      <c r="E12643">
        <v>0</v>
      </c>
      <c r="F12643">
        <v>0</v>
      </c>
      <c r="G12643">
        <v>0</v>
      </c>
    </row>
    <row r="12644" spans="1:7">
      <c r="A12644" t="s">
        <v>1876</v>
      </c>
      <c r="B12644" t="s">
        <v>386</v>
      </c>
      <c r="C12644" t="s">
        <v>1706</v>
      </c>
      <c r="D12644">
        <v>0</v>
      </c>
      <c r="E12644">
        <v>0</v>
      </c>
      <c r="F12644">
        <v>0</v>
      </c>
      <c r="G12644">
        <v>0</v>
      </c>
    </row>
    <row r="12645" spans="1:7">
      <c r="A12645" t="s">
        <v>1876</v>
      </c>
      <c r="B12645" t="s">
        <v>386</v>
      </c>
      <c r="C12645" t="s">
        <v>196</v>
      </c>
      <c r="D12645">
        <v>0</v>
      </c>
      <c r="E12645">
        <v>0</v>
      </c>
      <c r="F12645">
        <v>0</v>
      </c>
      <c r="G12645">
        <v>0</v>
      </c>
    </row>
    <row r="12646" spans="1:7">
      <c r="A12646" t="s">
        <v>1876</v>
      </c>
      <c r="B12646" t="s">
        <v>386</v>
      </c>
      <c r="C12646" t="s">
        <v>197</v>
      </c>
      <c r="D12646">
        <v>57</v>
      </c>
      <c r="E12646">
        <v>57</v>
      </c>
      <c r="F12646">
        <v>57</v>
      </c>
      <c r="G12646">
        <v>57</v>
      </c>
    </row>
    <row r="12647" spans="1:7">
      <c r="A12647" t="s">
        <v>1876</v>
      </c>
      <c r="B12647" t="s">
        <v>386</v>
      </c>
      <c r="C12647" t="s">
        <v>198</v>
      </c>
      <c r="D12647">
        <v>57</v>
      </c>
      <c r="E12647">
        <v>57</v>
      </c>
      <c r="F12647">
        <v>57</v>
      </c>
      <c r="G12647">
        <v>57</v>
      </c>
    </row>
    <row r="12648" spans="1:7">
      <c r="A12648" t="s">
        <v>1876</v>
      </c>
      <c r="B12648" t="s">
        <v>386</v>
      </c>
      <c r="C12648" t="s">
        <v>199</v>
      </c>
      <c r="D12648">
        <v>57</v>
      </c>
      <c r="E12648">
        <v>57</v>
      </c>
      <c r="F12648">
        <v>57</v>
      </c>
      <c r="G12648">
        <v>57</v>
      </c>
    </row>
    <row r="12649" spans="1:7">
      <c r="A12649" t="s">
        <v>1876</v>
      </c>
      <c r="B12649" t="s">
        <v>386</v>
      </c>
      <c r="C12649" t="s">
        <v>200</v>
      </c>
      <c r="D12649">
        <v>0</v>
      </c>
      <c r="E12649">
        <v>4</v>
      </c>
      <c r="F12649">
        <v>0</v>
      </c>
      <c r="G12649">
        <v>1</v>
      </c>
    </row>
    <row r="12650" spans="1:7">
      <c r="A12650" t="s">
        <v>1876</v>
      </c>
      <c r="B12650" t="s">
        <v>386</v>
      </c>
      <c r="C12650" t="s">
        <v>201</v>
      </c>
      <c r="D12650">
        <v>769</v>
      </c>
      <c r="E12650">
        <v>684</v>
      </c>
      <c r="F12650">
        <v>575</v>
      </c>
      <c r="G12650">
        <v>801</v>
      </c>
    </row>
    <row r="12651" spans="1:7">
      <c r="A12651" t="s">
        <v>1876</v>
      </c>
      <c r="B12651" t="s">
        <v>386</v>
      </c>
      <c r="C12651" t="s">
        <v>202</v>
      </c>
      <c r="D12651">
        <v>106</v>
      </c>
      <c r="E12651">
        <v>185</v>
      </c>
      <c r="F12651">
        <v>114</v>
      </c>
      <c r="G12651">
        <v>125</v>
      </c>
    </row>
    <row r="12652" spans="1:7">
      <c r="A12652" t="s">
        <v>1876</v>
      </c>
      <c r="B12652" t="s">
        <v>386</v>
      </c>
      <c r="C12652" t="s">
        <v>203</v>
      </c>
      <c r="D12652">
        <v>1656</v>
      </c>
      <c r="E12652">
        <v>1627</v>
      </c>
      <c r="F12652">
        <v>1558</v>
      </c>
      <c r="G12652">
        <v>1387</v>
      </c>
    </row>
    <row r="12653" spans="1:7">
      <c r="A12653" t="s">
        <v>1876</v>
      </c>
      <c r="B12653" t="s">
        <v>386</v>
      </c>
      <c r="C12653" t="s">
        <v>204</v>
      </c>
      <c r="D12653">
        <v>2531</v>
      </c>
      <c r="E12653">
        <v>2501</v>
      </c>
      <c r="F12653">
        <v>2246</v>
      </c>
      <c r="G12653">
        <v>2314</v>
      </c>
    </row>
    <row r="12654" spans="1:7">
      <c r="A12654" t="s">
        <v>1876</v>
      </c>
      <c r="B12654" t="s">
        <v>386</v>
      </c>
      <c r="C12654" t="s">
        <v>205</v>
      </c>
      <c r="D12654">
        <v>2531</v>
      </c>
      <c r="E12654">
        <v>2501</v>
      </c>
      <c r="F12654">
        <v>2246</v>
      </c>
      <c r="G12654">
        <v>2314</v>
      </c>
    </row>
    <row r="12655" spans="1:7">
      <c r="A12655" t="s">
        <v>1876</v>
      </c>
      <c r="B12655" t="s">
        <v>386</v>
      </c>
      <c r="C12655" t="s">
        <v>1931</v>
      </c>
      <c r="D12655">
        <v>0</v>
      </c>
      <c r="E12655">
        <v>0</v>
      </c>
      <c r="F12655">
        <v>0</v>
      </c>
      <c r="G12655">
        <v>0</v>
      </c>
    </row>
    <row r="12656" spans="1:7">
      <c r="A12656" t="s">
        <v>1876</v>
      </c>
      <c r="B12656" t="s">
        <v>386</v>
      </c>
      <c r="C12656" t="s">
        <v>1707</v>
      </c>
      <c r="D12656">
        <v>0</v>
      </c>
      <c r="E12656">
        <v>0</v>
      </c>
      <c r="F12656">
        <v>0</v>
      </c>
      <c r="G12656">
        <v>0</v>
      </c>
    </row>
    <row r="12657" spans="1:7">
      <c r="A12657" t="s">
        <v>1876</v>
      </c>
      <c r="B12657" t="s">
        <v>386</v>
      </c>
      <c r="C12657" t="s">
        <v>1932</v>
      </c>
      <c r="D12657">
        <v>18.899999999999999</v>
      </c>
      <c r="E12657">
        <v>31.2</v>
      </c>
      <c r="F12657">
        <v>31.9</v>
      </c>
      <c r="G12657">
        <v>11.5</v>
      </c>
    </row>
    <row r="12658" spans="1:7">
      <c r="A12658" t="s">
        <v>1876</v>
      </c>
      <c r="B12658" t="s">
        <v>386</v>
      </c>
      <c r="C12658" t="s">
        <v>1708</v>
      </c>
      <c r="D12658">
        <v>3</v>
      </c>
      <c r="E12658">
        <v>3</v>
      </c>
      <c r="F12658">
        <v>3</v>
      </c>
      <c r="G12658">
        <v>3</v>
      </c>
    </row>
    <row r="12659" spans="1:7">
      <c r="A12659" t="s">
        <v>1876</v>
      </c>
      <c r="B12659" t="s">
        <v>386</v>
      </c>
      <c r="C12659" t="s">
        <v>206</v>
      </c>
      <c r="D12659">
        <v>0</v>
      </c>
      <c r="E12659">
        <v>0</v>
      </c>
      <c r="F12659">
        <v>0</v>
      </c>
      <c r="G12659">
        <v>0</v>
      </c>
    </row>
    <row r="12660" spans="1:7">
      <c r="A12660" t="s">
        <v>1876</v>
      </c>
      <c r="B12660" t="s">
        <v>386</v>
      </c>
      <c r="C12660" t="s">
        <v>207</v>
      </c>
      <c r="D12660">
        <v>15</v>
      </c>
      <c r="E12660">
        <v>25</v>
      </c>
      <c r="F12660">
        <v>26</v>
      </c>
      <c r="G12660">
        <v>9</v>
      </c>
    </row>
    <row r="12661" spans="1:7">
      <c r="A12661" t="s">
        <v>1876</v>
      </c>
      <c r="B12661" t="s">
        <v>386</v>
      </c>
      <c r="C12661" t="s">
        <v>208</v>
      </c>
      <c r="D12661">
        <v>0</v>
      </c>
      <c r="E12661">
        <v>0</v>
      </c>
      <c r="F12661">
        <v>0</v>
      </c>
      <c r="G12661">
        <v>0</v>
      </c>
    </row>
    <row r="12662" spans="1:7">
      <c r="A12662" t="s">
        <v>1876</v>
      </c>
      <c r="B12662" t="s">
        <v>386</v>
      </c>
      <c r="C12662" t="s">
        <v>209</v>
      </c>
      <c r="D12662">
        <v>15</v>
      </c>
      <c r="E12662">
        <v>25</v>
      </c>
      <c r="F12662">
        <v>26</v>
      </c>
      <c r="G12662">
        <v>9</v>
      </c>
    </row>
    <row r="12663" spans="1:7">
      <c r="A12663" t="s">
        <v>1876</v>
      </c>
      <c r="B12663" t="s">
        <v>386</v>
      </c>
      <c r="C12663" t="s">
        <v>210</v>
      </c>
      <c r="D12663">
        <v>0</v>
      </c>
      <c r="E12663">
        <v>0</v>
      </c>
      <c r="F12663">
        <v>0</v>
      </c>
      <c r="G12663">
        <v>0</v>
      </c>
    </row>
    <row r="12664" spans="1:7">
      <c r="A12664" t="s">
        <v>1876</v>
      </c>
      <c r="B12664" t="s">
        <v>386</v>
      </c>
      <c r="C12664" t="s">
        <v>211</v>
      </c>
      <c r="D12664">
        <v>0</v>
      </c>
      <c r="E12664">
        <v>0</v>
      </c>
      <c r="F12664">
        <v>0</v>
      </c>
      <c r="G12664">
        <v>0</v>
      </c>
    </row>
    <row r="12665" spans="1:7">
      <c r="A12665" t="s">
        <v>1876</v>
      </c>
      <c r="B12665" t="s">
        <v>386</v>
      </c>
      <c r="C12665" t="s">
        <v>212</v>
      </c>
      <c r="D12665">
        <v>0</v>
      </c>
      <c r="E12665">
        <v>0</v>
      </c>
      <c r="F12665">
        <v>0</v>
      </c>
      <c r="G12665">
        <v>0</v>
      </c>
    </row>
    <row r="12666" spans="1:7">
      <c r="A12666" t="s">
        <v>1876</v>
      </c>
      <c r="B12666" t="s">
        <v>386</v>
      </c>
      <c r="C12666" t="s">
        <v>213</v>
      </c>
      <c r="D12666">
        <v>0</v>
      </c>
      <c r="E12666">
        <v>0</v>
      </c>
      <c r="F12666">
        <v>0</v>
      </c>
      <c r="G12666">
        <v>0</v>
      </c>
    </row>
    <row r="12667" spans="1:7">
      <c r="A12667" t="s">
        <v>1876</v>
      </c>
      <c r="B12667" t="s">
        <v>386</v>
      </c>
      <c r="C12667" t="s">
        <v>214</v>
      </c>
      <c r="D12667">
        <v>0</v>
      </c>
      <c r="E12667">
        <v>0</v>
      </c>
      <c r="F12667">
        <v>0</v>
      </c>
      <c r="G12667">
        <v>0</v>
      </c>
    </row>
    <row r="12668" spans="1:7">
      <c r="A12668" t="s">
        <v>1876</v>
      </c>
      <c r="B12668" t="s">
        <v>386</v>
      </c>
      <c r="C12668" t="s">
        <v>215</v>
      </c>
      <c r="D12668">
        <v>1511</v>
      </c>
      <c r="E12668">
        <v>2110</v>
      </c>
      <c r="F12668">
        <v>2240</v>
      </c>
      <c r="G12668">
        <v>2411</v>
      </c>
    </row>
    <row r="12669" spans="1:7">
      <c r="A12669" t="s">
        <v>1876</v>
      </c>
      <c r="B12669" t="s">
        <v>386</v>
      </c>
      <c r="C12669" t="s">
        <v>216</v>
      </c>
      <c r="D12669">
        <v>1511</v>
      </c>
      <c r="E12669">
        <v>2110</v>
      </c>
      <c r="F12669">
        <v>2240</v>
      </c>
      <c r="G12669">
        <v>2411</v>
      </c>
    </row>
    <row r="12670" spans="1:7">
      <c r="A12670" t="s">
        <v>1876</v>
      </c>
      <c r="B12670" t="s">
        <v>386</v>
      </c>
      <c r="C12670" t="s">
        <v>217</v>
      </c>
      <c r="D12670">
        <v>1511</v>
      </c>
      <c r="E12670">
        <v>2110</v>
      </c>
      <c r="F12670">
        <v>2240</v>
      </c>
      <c r="G12670">
        <v>2411</v>
      </c>
    </row>
    <row r="12671" spans="1:7">
      <c r="A12671" t="s">
        <v>1876</v>
      </c>
      <c r="B12671" t="s">
        <v>386</v>
      </c>
      <c r="C12671" t="s">
        <v>218</v>
      </c>
      <c r="D12671">
        <v>3</v>
      </c>
      <c r="E12671">
        <v>3</v>
      </c>
      <c r="F12671">
        <v>5</v>
      </c>
      <c r="G12671">
        <v>4</v>
      </c>
    </row>
    <row r="12672" spans="1:7">
      <c r="A12672" t="s">
        <v>1876</v>
      </c>
      <c r="B12672" t="s">
        <v>386</v>
      </c>
      <c r="C12672" t="s">
        <v>219</v>
      </c>
      <c r="D12672">
        <v>1</v>
      </c>
      <c r="E12672">
        <v>0</v>
      </c>
      <c r="F12672">
        <v>2</v>
      </c>
      <c r="G12672">
        <v>1</v>
      </c>
    </row>
    <row r="12673" spans="1:7">
      <c r="A12673" t="s">
        <v>1876</v>
      </c>
      <c r="B12673" t="s">
        <v>386</v>
      </c>
      <c r="C12673" t="s">
        <v>220</v>
      </c>
      <c r="D12673">
        <v>20</v>
      </c>
      <c r="E12673">
        <v>18</v>
      </c>
      <c r="F12673">
        <v>33</v>
      </c>
      <c r="G12673">
        <v>26</v>
      </c>
    </row>
    <row r="12674" spans="1:7">
      <c r="A12674" t="s">
        <v>1876</v>
      </c>
      <c r="B12674" t="s">
        <v>386</v>
      </c>
      <c r="C12674" t="s">
        <v>221</v>
      </c>
      <c r="D12674">
        <v>24</v>
      </c>
      <c r="E12674">
        <v>21</v>
      </c>
      <c r="F12674">
        <v>39</v>
      </c>
      <c r="G12674">
        <v>31</v>
      </c>
    </row>
    <row r="12675" spans="1:7">
      <c r="A12675" t="s">
        <v>1876</v>
      </c>
      <c r="B12675" t="s">
        <v>386</v>
      </c>
      <c r="C12675" t="s">
        <v>222</v>
      </c>
      <c r="D12675">
        <v>24</v>
      </c>
      <c r="E12675">
        <v>21</v>
      </c>
      <c r="F12675">
        <v>39</v>
      </c>
      <c r="G12675">
        <v>31</v>
      </c>
    </row>
    <row r="12676" spans="1:7">
      <c r="A12676" t="s">
        <v>1876</v>
      </c>
      <c r="B12676" t="s">
        <v>386</v>
      </c>
      <c r="C12676" t="s">
        <v>1933</v>
      </c>
      <c r="D12676">
        <v>823.6</v>
      </c>
      <c r="E12676">
        <v>809.5</v>
      </c>
      <c r="F12676">
        <v>809.2</v>
      </c>
      <c r="G12676">
        <v>804.2</v>
      </c>
    </row>
    <row r="12677" spans="1:7">
      <c r="A12677" t="s">
        <v>1876</v>
      </c>
      <c r="B12677" t="s">
        <v>386</v>
      </c>
      <c r="C12677" t="s">
        <v>223</v>
      </c>
      <c r="D12677">
        <v>78</v>
      </c>
      <c r="E12677">
        <v>101</v>
      </c>
      <c r="F12677">
        <v>116</v>
      </c>
      <c r="G12677">
        <v>96</v>
      </c>
    </row>
    <row r="12678" spans="1:7">
      <c r="A12678" t="s">
        <v>1876</v>
      </c>
      <c r="B12678" t="s">
        <v>386</v>
      </c>
      <c r="C12678" t="s">
        <v>224</v>
      </c>
      <c r="D12678">
        <v>15530</v>
      </c>
      <c r="E12678">
        <v>16542</v>
      </c>
      <c r="F12678">
        <v>16162</v>
      </c>
      <c r="G12678">
        <v>16055</v>
      </c>
    </row>
    <row r="12679" spans="1:7">
      <c r="A12679" t="s">
        <v>1876</v>
      </c>
      <c r="B12679" t="s">
        <v>386</v>
      </c>
      <c r="C12679" t="s">
        <v>225</v>
      </c>
      <c r="D12679">
        <v>2774</v>
      </c>
      <c r="E12679">
        <v>2824</v>
      </c>
      <c r="F12679">
        <v>2784</v>
      </c>
      <c r="G12679">
        <v>2692</v>
      </c>
    </row>
    <row r="12680" spans="1:7">
      <c r="A12680" t="s">
        <v>1876</v>
      </c>
      <c r="B12680" t="s">
        <v>386</v>
      </c>
      <c r="C12680" t="s">
        <v>226</v>
      </c>
      <c r="D12680">
        <v>13492</v>
      </c>
      <c r="E12680">
        <v>13993</v>
      </c>
      <c r="F12680">
        <v>13261</v>
      </c>
      <c r="G12680">
        <v>13625</v>
      </c>
    </row>
    <row r="12681" spans="1:7">
      <c r="A12681" t="s">
        <v>1876</v>
      </c>
      <c r="B12681" t="s">
        <v>386</v>
      </c>
      <c r="C12681" t="s">
        <v>227</v>
      </c>
      <c r="D12681">
        <v>31874</v>
      </c>
      <c r="E12681">
        <v>33460</v>
      </c>
      <c r="F12681">
        <v>32323</v>
      </c>
      <c r="G12681">
        <v>32467</v>
      </c>
    </row>
    <row r="12682" spans="1:7">
      <c r="A12682" t="s">
        <v>1876</v>
      </c>
      <c r="B12682" t="s">
        <v>386</v>
      </c>
      <c r="C12682" t="s">
        <v>228</v>
      </c>
      <c r="D12682">
        <v>31874</v>
      </c>
      <c r="E12682">
        <v>33460</v>
      </c>
      <c r="F12682">
        <v>32323</v>
      </c>
      <c r="G12682">
        <v>32467</v>
      </c>
    </row>
    <row r="12683" spans="1:7">
      <c r="A12683" t="s">
        <v>1876</v>
      </c>
      <c r="B12683" t="s">
        <v>386</v>
      </c>
      <c r="C12683" t="s">
        <v>229</v>
      </c>
      <c r="D12683">
        <v>253</v>
      </c>
      <c r="E12683">
        <v>273</v>
      </c>
      <c r="F12683">
        <v>204</v>
      </c>
      <c r="G12683">
        <v>212</v>
      </c>
    </row>
    <row r="12684" spans="1:7">
      <c r="A12684" t="s">
        <v>1876</v>
      </c>
      <c r="B12684" t="s">
        <v>386</v>
      </c>
      <c r="C12684" t="s">
        <v>230</v>
      </c>
      <c r="D12684">
        <v>229</v>
      </c>
      <c r="E12684">
        <v>225</v>
      </c>
      <c r="F12684">
        <v>161</v>
      </c>
      <c r="G12684">
        <v>142</v>
      </c>
    </row>
    <row r="12685" spans="1:7">
      <c r="A12685" t="s">
        <v>1876</v>
      </c>
      <c r="B12685" t="s">
        <v>386</v>
      </c>
      <c r="C12685" t="s">
        <v>231</v>
      </c>
      <c r="D12685">
        <v>482</v>
      </c>
      <c r="E12685">
        <v>498</v>
      </c>
      <c r="F12685">
        <v>365</v>
      </c>
      <c r="G12685">
        <v>355</v>
      </c>
    </row>
    <row r="12686" spans="1:7">
      <c r="A12686" t="s">
        <v>1876</v>
      </c>
      <c r="B12686" t="s">
        <v>386</v>
      </c>
      <c r="C12686" t="s">
        <v>232</v>
      </c>
      <c r="D12686">
        <v>482</v>
      </c>
      <c r="E12686">
        <v>498</v>
      </c>
      <c r="F12686">
        <v>365</v>
      </c>
      <c r="G12686">
        <v>355</v>
      </c>
    </row>
    <row r="12687" spans="1:7">
      <c r="A12687" t="s">
        <v>1876</v>
      </c>
      <c r="B12687" t="s">
        <v>386</v>
      </c>
      <c r="C12687" t="s">
        <v>233</v>
      </c>
      <c r="D12687">
        <v>0</v>
      </c>
      <c r="E12687">
        <v>0</v>
      </c>
      <c r="F12687">
        <v>0</v>
      </c>
      <c r="G12687">
        <v>0</v>
      </c>
    </row>
    <row r="12688" spans="1:7">
      <c r="A12688" t="s">
        <v>1876</v>
      </c>
      <c r="B12688" t="s">
        <v>386</v>
      </c>
      <c r="C12688" t="s">
        <v>234</v>
      </c>
      <c r="D12688">
        <v>40042</v>
      </c>
      <c r="E12688">
        <v>40856</v>
      </c>
      <c r="F12688">
        <v>41093</v>
      </c>
      <c r="G12688">
        <v>42916</v>
      </c>
    </row>
    <row r="12689" spans="1:7">
      <c r="A12689" t="s">
        <v>1876</v>
      </c>
      <c r="B12689" t="s">
        <v>386</v>
      </c>
      <c r="C12689" t="s">
        <v>235</v>
      </c>
      <c r="D12689">
        <v>1075</v>
      </c>
      <c r="E12689">
        <v>1090</v>
      </c>
      <c r="F12689">
        <v>1092</v>
      </c>
      <c r="G12689">
        <v>740</v>
      </c>
    </row>
    <row r="12690" spans="1:7">
      <c r="A12690" t="s">
        <v>1876</v>
      </c>
      <c r="B12690" t="s">
        <v>386</v>
      </c>
      <c r="C12690" t="s">
        <v>236</v>
      </c>
      <c r="D12690">
        <v>629</v>
      </c>
      <c r="E12690">
        <v>651</v>
      </c>
      <c r="F12690">
        <v>655</v>
      </c>
      <c r="G12690">
        <v>573</v>
      </c>
    </row>
    <row r="12691" spans="1:7">
      <c r="A12691" t="s">
        <v>1876</v>
      </c>
      <c r="B12691" t="s">
        <v>386</v>
      </c>
      <c r="C12691" t="s">
        <v>237</v>
      </c>
      <c r="D12691">
        <v>41746</v>
      </c>
      <c r="E12691">
        <v>42597</v>
      </c>
      <c r="F12691">
        <v>42839</v>
      </c>
      <c r="G12691">
        <v>44229</v>
      </c>
    </row>
    <row r="12692" spans="1:7">
      <c r="A12692" t="s">
        <v>1876</v>
      </c>
      <c r="B12692" t="s">
        <v>386</v>
      </c>
      <c r="C12692" t="s">
        <v>238</v>
      </c>
      <c r="D12692">
        <v>41746</v>
      </c>
      <c r="E12692">
        <v>42597</v>
      </c>
      <c r="F12692">
        <v>42839</v>
      </c>
      <c r="G12692">
        <v>44229</v>
      </c>
    </row>
    <row r="12693" spans="1:7">
      <c r="A12693" t="s">
        <v>1876</v>
      </c>
      <c r="B12693" t="s">
        <v>386</v>
      </c>
      <c r="C12693" t="s">
        <v>1934</v>
      </c>
      <c r="D12693">
        <v>37097</v>
      </c>
      <c r="E12693">
        <v>37841</v>
      </c>
      <c r="F12693">
        <v>38061</v>
      </c>
      <c r="G12693">
        <v>39763</v>
      </c>
    </row>
    <row r="12694" spans="1:7">
      <c r="A12694" t="s">
        <v>1876</v>
      </c>
      <c r="B12694" t="s">
        <v>386</v>
      </c>
      <c r="C12694" t="s">
        <v>1935</v>
      </c>
      <c r="D12694">
        <v>996</v>
      </c>
      <c r="E12694">
        <v>1009</v>
      </c>
      <c r="F12694">
        <v>1011</v>
      </c>
      <c r="G12694">
        <v>686</v>
      </c>
    </row>
    <row r="12695" spans="1:7">
      <c r="A12695" t="s">
        <v>1876</v>
      </c>
      <c r="B12695" t="s">
        <v>386</v>
      </c>
      <c r="C12695" t="s">
        <v>1936</v>
      </c>
      <c r="D12695">
        <v>583</v>
      </c>
      <c r="E12695">
        <v>603</v>
      </c>
      <c r="F12695">
        <v>606</v>
      </c>
      <c r="G12695">
        <v>531</v>
      </c>
    </row>
    <row r="12696" spans="1:7">
      <c r="A12696" t="s">
        <v>1876</v>
      </c>
      <c r="B12696" t="s">
        <v>386</v>
      </c>
      <c r="C12696" t="s">
        <v>239</v>
      </c>
      <c r="D12696">
        <v>38676</v>
      </c>
      <c r="E12696">
        <v>39453</v>
      </c>
      <c r="F12696">
        <v>39679</v>
      </c>
      <c r="G12696">
        <v>40980</v>
      </c>
    </row>
    <row r="12697" spans="1:7">
      <c r="A12697" t="s">
        <v>1876</v>
      </c>
      <c r="B12697" t="s">
        <v>386</v>
      </c>
      <c r="C12697" t="s">
        <v>240</v>
      </c>
      <c r="D12697">
        <v>24</v>
      </c>
      <c r="E12697">
        <v>0</v>
      </c>
      <c r="F12697">
        <v>0</v>
      </c>
      <c r="G12697">
        <v>0</v>
      </c>
    </row>
    <row r="12698" spans="1:7">
      <c r="A12698" t="s">
        <v>1876</v>
      </c>
      <c r="B12698" t="s">
        <v>386</v>
      </c>
      <c r="C12698" t="s">
        <v>241</v>
      </c>
      <c r="D12698">
        <v>0</v>
      </c>
      <c r="E12698">
        <v>0</v>
      </c>
      <c r="F12698">
        <v>0</v>
      </c>
      <c r="G12698">
        <v>0</v>
      </c>
    </row>
    <row r="12699" spans="1:7">
      <c r="A12699" t="s">
        <v>1876</v>
      </c>
      <c r="B12699" t="s">
        <v>386</v>
      </c>
      <c r="C12699" t="s">
        <v>242</v>
      </c>
      <c r="D12699">
        <v>2375</v>
      </c>
      <c r="E12699">
        <v>3157</v>
      </c>
      <c r="F12699">
        <v>3190</v>
      </c>
      <c r="G12699">
        <v>3395</v>
      </c>
    </row>
    <row r="12700" spans="1:7">
      <c r="A12700" t="s">
        <v>1876</v>
      </c>
      <c r="B12700" t="s">
        <v>386</v>
      </c>
      <c r="C12700" t="s">
        <v>243</v>
      </c>
      <c r="D12700">
        <v>11567</v>
      </c>
      <c r="E12700">
        <v>11484</v>
      </c>
      <c r="F12700">
        <v>10713</v>
      </c>
      <c r="G12700">
        <v>11986</v>
      </c>
    </row>
    <row r="12701" spans="1:7">
      <c r="A12701" t="s">
        <v>1876</v>
      </c>
      <c r="B12701" t="s">
        <v>386</v>
      </c>
      <c r="C12701" t="s">
        <v>244</v>
      </c>
      <c r="D12701">
        <v>63695</v>
      </c>
      <c r="E12701">
        <v>51741</v>
      </c>
      <c r="F12701">
        <v>72494</v>
      </c>
      <c r="G12701">
        <v>66754</v>
      </c>
    </row>
    <row r="12702" spans="1:7">
      <c r="A12702" t="s">
        <v>1876</v>
      </c>
      <c r="B12702" t="s">
        <v>386</v>
      </c>
      <c r="C12702" t="s">
        <v>1709</v>
      </c>
      <c r="D12702">
        <v>1773</v>
      </c>
      <c r="E12702">
        <v>1773</v>
      </c>
      <c r="F12702">
        <v>1773</v>
      </c>
      <c r="G12702">
        <v>1773</v>
      </c>
    </row>
    <row r="12703" spans="1:7">
      <c r="A12703" t="s">
        <v>1876</v>
      </c>
      <c r="B12703" t="s">
        <v>386</v>
      </c>
      <c r="C12703" t="s">
        <v>245</v>
      </c>
      <c r="D12703">
        <v>8707</v>
      </c>
      <c r="E12703">
        <v>8638</v>
      </c>
      <c r="F12703">
        <v>8387</v>
      </c>
      <c r="G12703">
        <v>7186</v>
      </c>
    </row>
    <row r="12704" spans="1:7">
      <c r="A12704" t="s">
        <v>1876</v>
      </c>
      <c r="B12704" t="s">
        <v>386</v>
      </c>
      <c r="C12704" t="s">
        <v>246</v>
      </c>
      <c r="D12704">
        <v>19129</v>
      </c>
      <c r="E12704">
        <v>18809</v>
      </c>
      <c r="F12704">
        <v>17716</v>
      </c>
      <c r="G12704">
        <v>18139</v>
      </c>
    </row>
    <row r="12705" spans="1:7">
      <c r="A12705" t="s">
        <v>1876</v>
      </c>
      <c r="B12705" t="s">
        <v>386</v>
      </c>
      <c r="C12705" t="s">
        <v>247</v>
      </c>
      <c r="D12705">
        <v>105473</v>
      </c>
      <c r="E12705">
        <v>93829</v>
      </c>
      <c r="F12705">
        <v>112499</v>
      </c>
      <c r="G12705">
        <v>107459</v>
      </c>
    </row>
    <row r="12706" spans="1:7">
      <c r="A12706" t="s">
        <v>1876</v>
      </c>
      <c r="B12706" t="s">
        <v>386</v>
      </c>
      <c r="C12706" t="s">
        <v>248</v>
      </c>
      <c r="D12706">
        <v>96.1</v>
      </c>
      <c r="E12706">
        <v>85.4</v>
      </c>
      <c r="F12706">
        <v>102.2</v>
      </c>
      <c r="G12706">
        <v>96.8</v>
      </c>
    </row>
    <row r="12707" spans="1:7">
      <c r="A12707" t="s">
        <v>1876</v>
      </c>
      <c r="B12707" t="s">
        <v>386</v>
      </c>
      <c r="C12707" t="s">
        <v>249</v>
      </c>
      <c r="D12707">
        <v>41778</v>
      </c>
      <c r="E12707">
        <v>42088</v>
      </c>
      <c r="F12707">
        <v>40005</v>
      </c>
      <c r="G12707">
        <v>40705</v>
      </c>
    </row>
    <row r="12708" spans="1:7">
      <c r="A12708" t="s">
        <v>1876</v>
      </c>
      <c r="B12708" t="s">
        <v>386</v>
      </c>
      <c r="C12708" t="s">
        <v>250</v>
      </c>
      <c r="D12708">
        <v>105473</v>
      </c>
      <c r="E12708">
        <v>93829</v>
      </c>
      <c r="F12708">
        <v>112499</v>
      </c>
      <c r="G12708">
        <v>107459</v>
      </c>
    </row>
    <row r="12709" spans="1:7">
      <c r="A12709" t="s">
        <v>1876</v>
      </c>
      <c r="B12709" t="s">
        <v>386</v>
      </c>
      <c r="C12709" t="s">
        <v>1937</v>
      </c>
      <c r="D12709">
        <v>75.3</v>
      </c>
      <c r="E12709">
        <v>69.900000000000006</v>
      </c>
      <c r="F12709">
        <v>68.599999999999994</v>
      </c>
      <c r="G12709">
        <v>65</v>
      </c>
    </row>
    <row r="12710" spans="1:7">
      <c r="A12710" t="s">
        <v>1876</v>
      </c>
      <c r="B12710" t="s">
        <v>386</v>
      </c>
      <c r="C12710" t="s">
        <v>1938</v>
      </c>
      <c r="D12710">
        <v>0</v>
      </c>
      <c r="E12710">
        <v>0</v>
      </c>
      <c r="F12710">
        <v>0</v>
      </c>
      <c r="G12710">
        <v>0</v>
      </c>
    </row>
    <row r="12711" spans="1:7">
      <c r="A12711" t="s">
        <v>1876</v>
      </c>
      <c r="B12711" t="s">
        <v>386</v>
      </c>
      <c r="C12711" t="s">
        <v>251</v>
      </c>
      <c r="D12711">
        <v>0</v>
      </c>
      <c r="E12711">
        <v>0</v>
      </c>
      <c r="F12711">
        <v>0</v>
      </c>
      <c r="G12711">
        <v>0</v>
      </c>
    </row>
    <row r="12712" spans="1:7">
      <c r="A12712" t="s">
        <v>1876</v>
      </c>
      <c r="B12712" t="s">
        <v>386</v>
      </c>
      <c r="C12712" t="s">
        <v>252</v>
      </c>
      <c r="D12712">
        <v>0</v>
      </c>
      <c r="E12712">
        <v>0</v>
      </c>
      <c r="F12712">
        <v>0</v>
      </c>
      <c r="G12712">
        <v>0</v>
      </c>
    </row>
    <row r="12713" spans="1:7">
      <c r="A12713" t="s">
        <v>1876</v>
      </c>
      <c r="B12713" t="s">
        <v>386</v>
      </c>
      <c r="C12713" t="s">
        <v>1710</v>
      </c>
      <c r="D12713">
        <v>0</v>
      </c>
      <c r="E12713">
        <v>0</v>
      </c>
      <c r="F12713">
        <v>0</v>
      </c>
      <c r="G12713">
        <v>0</v>
      </c>
    </row>
    <row r="12714" spans="1:7">
      <c r="A12714" t="s">
        <v>1876</v>
      </c>
      <c r="B12714" t="s">
        <v>386</v>
      </c>
      <c r="C12714" t="s">
        <v>1939</v>
      </c>
      <c r="D12714">
        <v>24.1</v>
      </c>
      <c r="E12714">
        <v>31.1</v>
      </c>
      <c r="F12714">
        <v>27</v>
      </c>
      <c r="G12714">
        <v>16.399999999999999</v>
      </c>
    </row>
    <row r="12715" spans="1:7">
      <c r="A12715" t="s">
        <v>1876</v>
      </c>
      <c r="B12715" t="s">
        <v>386</v>
      </c>
      <c r="C12715" t="s">
        <v>253</v>
      </c>
      <c r="D12715">
        <v>0</v>
      </c>
      <c r="E12715">
        <v>0</v>
      </c>
      <c r="F12715">
        <v>0</v>
      </c>
      <c r="G12715">
        <v>0</v>
      </c>
    </row>
    <row r="12716" spans="1:7">
      <c r="A12716" t="s">
        <v>1876</v>
      </c>
      <c r="B12716" t="s">
        <v>386</v>
      </c>
      <c r="C12716" t="s">
        <v>1711</v>
      </c>
      <c r="D12716">
        <v>0</v>
      </c>
      <c r="E12716">
        <v>0</v>
      </c>
      <c r="F12716">
        <v>0</v>
      </c>
      <c r="G12716">
        <v>0</v>
      </c>
    </row>
    <row r="12717" spans="1:7">
      <c r="A12717" t="s">
        <v>1876</v>
      </c>
      <c r="B12717" t="s">
        <v>386</v>
      </c>
      <c r="C12717" t="s">
        <v>1712</v>
      </c>
      <c r="D12717">
        <v>451</v>
      </c>
      <c r="E12717">
        <v>217</v>
      </c>
      <c r="F12717">
        <v>212</v>
      </c>
      <c r="G12717">
        <v>189</v>
      </c>
    </row>
    <row r="12718" spans="1:7">
      <c r="A12718" t="s">
        <v>1876</v>
      </c>
      <c r="B12718" t="s">
        <v>386</v>
      </c>
      <c r="C12718" t="s">
        <v>1713</v>
      </c>
      <c r="D12718">
        <v>145</v>
      </c>
      <c r="E12718">
        <v>141</v>
      </c>
      <c r="F12718">
        <v>218</v>
      </c>
      <c r="G12718">
        <v>264</v>
      </c>
    </row>
    <row r="12719" spans="1:7">
      <c r="A12719" t="s">
        <v>1876</v>
      </c>
      <c r="B12719" t="s">
        <v>386</v>
      </c>
      <c r="C12719" t="s">
        <v>1940</v>
      </c>
      <c r="D12719">
        <v>128</v>
      </c>
      <c r="E12719">
        <v>129</v>
      </c>
      <c r="F12719">
        <v>128</v>
      </c>
      <c r="G12719">
        <v>236</v>
      </c>
    </row>
    <row r="12720" spans="1:7">
      <c r="A12720" t="s">
        <v>1876</v>
      </c>
      <c r="B12720" t="s">
        <v>386</v>
      </c>
      <c r="C12720" t="s">
        <v>1941</v>
      </c>
      <c r="D12720">
        <v>0</v>
      </c>
      <c r="E12720">
        <v>0</v>
      </c>
      <c r="F12720">
        <v>0</v>
      </c>
      <c r="G12720">
        <v>0</v>
      </c>
    </row>
    <row r="12721" spans="1:7">
      <c r="A12721" t="s">
        <v>1876</v>
      </c>
      <c r="B12721" t="s">
        <v>386</v>
      </c>
      <c r="C12721" t="s">
        <v>254</v>
      </c>
      <c r="D12721">
        <v>451</v>
      </c>
      <c r="E12721">
        <v>217</v>
      </c>
      <c r="F12721">
        <v>212</v>
      </c>
      <c r="G12721">
        <v>189</v>
      </c>
    </row>
    <row r="12722" spans="1:7">
      <c r="A12722" t="s">
        <v>1876</v>
      </c>
      <c r="B12722" t="s">
        <v>386</v>
      </c>
      <c r="C12722" t="s">
        <v>1942</v>
      </c>
      <c r="D12722">
        <v>633</v>
      </c>
      <c r="E12722">
        <v>650</v>
      </c>
      <c r="F12722">
        <v>646</v>
      </c>
      <c r="G12722">
        <v>1162</v>
      </c>
    </row>
    <row r="12723" spans="1:7">
      <c r="A12723" t="s">
        <v>1876</v>
      </c>
      <c r="B12723" t="s">
        <v>386</v>
      </c>
      <c r="C12723" t="s">
        <v>255</v>
      </c>
      <c r="D12723">
        <v>1357</v>
      </c>
      <c r="E12723">
        <v>1137</v>
      </c>
      <c r="F12723">
        <v>1204</v>
      </c>
      <c r="G12723">
        <v>1852</v>
      </c>
    </row>
    <row r="12724" spans="1:7">
      <c r="A12724" t="s">
        <v>1876</v>
      </c>
      <c r="B12724" t="s">
        <v>386</v>
      </c>
      <c r="C12724" t="s">
        <v>256</v>
      </c>
      <c r="D12724">
        <v>1357</v>
      </c>
      <c r="E12724">
        <v>1137</v>
      </c>
      <c r="F12724">
        <v>1204</v>
      </c>
      <c r="G12724">
        <v>1852</v>
      </c>
    </row>
    <row r="12725" spans="1:7">
      <c r="A12725" t="s">
        <v>1876</v>
      </c>
      <c r="B12725" t="s">
        <v>386</v>
      </c>
      <c r="C12725" t="s">
        <v>1714</v>
      </c>
      <c r="D12725">
        <v>0</v>
      </c>
      <c r="E12725">
        <v>0</v>
      </c>
      <c r="F12725">
        <v>0</v>
      </c>
      <c r="G12725">
        <v>0</v>
      </c>
    </row>
    <row r="12726" spans="1:7">
      <c r="A12726" t="s">
        <v>1876</v>
      </c>
      <c r="B12726" t="s">
        <v>386</v>
      </c>
      <c r="C12726" t="s">
        <v>257</v>
      </c>
      <c r="D12726">
        <v>6444</v>
      </c>
      <c r="E12726">
        <v>6221</v>
      </c>
      <c r="F12726">
        <v>5235</v>
      </c>
      <c r="G12726">
        <v>5701</v>
      </c>
    </row>
    <row r="12727" spans="1:7">
      <c r="A12727" t="s">
        <v>1876</v>
      </c>
      <c r="B12727" t="s">
        <v>386</v>
      </c>
      <c r="C12727" t="s">
        <v>258</v>
      </c>
      <c r="D12727">
        <v>7666</v>
      </c>
      <c r="E12727">
        <v>7476</v>
      </c>
      <c r="F12727">
        <v>6509</v>
      </c>
      <c r="G12727">
        <v>7648</v>
      </c>
    </row>
    <row r="12728" spans="1:7">
      <c r="A12728" t="s">
        <v>1876</v>
      </c>
      <c r="B12728" t="s">
        <v>386</v>
      </c>
      <c r="C12728" t="s">
        <v>259</v>
      </c>
      <c r="D12728">
        <v>7666</v>
      </c>
      <c r="E12728">
        <v>7476</v>
      </c>
      <c r="F12728">
        <v>6509</v>
      </c>
      <c r="G12728">
        <v>7648</v>
      </c>
    </row>
    <row r="12729" spans="1:7">
      <c r="A12729" t="s">
        <v>1876</v>
      </c>
      <c r="B12729" t="s">
        <v>386</v>
      </c>
      <c r="C12729" t="s">
        <v>260</v>
      </c>
      <c r="D12729">
        <v>52303</v>
      </c>
      <c r="E12729">
        <v>54068</v>
      </c>
      <c r="F12729">
        <v>54898</v>
      </c>
      <c r="G12729">
        <v>58257</v>
      </c>
    </row>
    <row r="12730" spans="1:7">
      <c r="A12730" t="s">
        <v>1876</v>
      </c>
      <c r="B12730" t="s">
        <v>386</v>
      </c>
      <c r="C12730" t="s">
        <v>1943</v>
      </c>
      <c r="D12730">
        <v>0</v>
      </c>
      <c r="E12730">
        <v>0.6</v>
      </c>
      <c r="F12730">
        <v>0.1</v>
      </c>
      <c r="G12730">
        <v>0.2</v>
      </c>
    </row>
    <row r="12731" spans="1:7">
      <c r="A12731" t="s">
        <v>1876</v>
      </c>
      <c r="B12731" t="s">
        <v>386</v>
      </c>
      <c r="C12731" t="s">
        <v>261</v>
      </c>
      <c r="D12731">
        <v>4719</v>
      </c>
      <c r="E12731">
        <v>4593</v>
      </c>
      <c r="F12731">
        <v>4537</v>
      </c>
      <c r="G12731">
        <v>4539</v>
      </c>
    </row>
    <row r="12732" spans="1:7">
      <c r="A12732" t="s">
        <v>1876</v>
      </c>
      <c r="B12732" t="s">
        <v>386</v>
      </c>
      <c r="C12732" t="s">
        <v>262</v>
      </c>
      <c r="D12732">
        <v>95</v>
      </c>
      <c r="E12732">
        <v>554</v>
      </c>
      <c r="F12732">
        <v>249</v>
      </c>
      <c r="G12732">
        <v>58</v>
      </c>
    </row>
    <row r="12733" spans="1:7">
      <c r="A12733" t="s">
        <v>1876</v>
      </c>
      <c r="B12733" t="s">
        <v>386</v>
      </c>
      <c r="C12733" t="s">
        <v>1715</v>
      </c>
      <c r="D12733">
        <v>7</v>
      </c>
      <c r="E12733">
        <v>7</v>
      </c>
      <c r="F12733">
        <v>7</v>
      </c>
      <c r="G12733">
        <v>7</v>
      </c>
    </row>
    <row r="12734" spans="1:7">
      <c r="A12734" t="s">
        <v>1876</v>
      </c>
      <c r="B12734" t="s">
        <v>386</v>
      </c>
      <c r="C12734" t="s">
        <v>263</v>
      </c>
      <c r="D12734">
        <v>8072</v>
      </c>
      <c r="E12734">
        <v>7961</v>
      </c>
      <c r="F12734">
        <v>6880</v>
      </c>
      <c r="G12734">
        <v>7253</v>
      </c>
    </row>
    <row r="12735" spans="1:7">
      <c r="A12735" t="s">
        <v>1876</v>
      </c>
      <c r="B12735" t="s">
        <v>386</v>
      </c>
      <c r="C12735" t="s">
        <v>264</v>
      </c>
      <c r="D12735">
        <v>15923</v>
      </c>
      <c r="E12735">
        <v>15797</v>
      </c>
      <c r="F12735">
        <v>15988</v>
      </c>
      <c r="G12735">
        <v>16123</v>
      </c>
    </row>
    <row r="12736" spans="1:7">
      <c r="A12736" t="s">
        <v>1876</v>
      </c>
      <c r="B12736" t="s">
        <v>386</v>
      </c>
      <c r="C12736" t="s">
        <v>265</v>
      </c>
      <c r="D12736">
        <v>81113</v>
      </c>
      <c r="E12736">
        <v>82974</v>
      </c>
      <c r="F12736">
        <v>82553</v>
      </c>
      <c r="G12736">
        <v>86230</v>
      </c>
    </row>
    <row r="12737" spans="1:7">
      <c r="A12737" t="s">
        <v>1876</v>
      </c>
      <c r="B12737" t="s">
        <v>386</v>
      </c>
      <c r="C12737" t="s">
        <v>266</v>
      </c>
      <c r="D12737">
        <v>73.900000000000006</v>
      </c>
      <c r="E12737">
        <v>75.5</v>
      </c>
      <c r="F12737">
        <v>75</v>
      </c>
      <c r="G12737">
        <v>77.7</v>
      </c>
    </row>
    <row r="12738" spans="1:7">
      <c r="A12738" t="s">
        <v>1876</v>
      </c>
      <c r="B12738" t="s">
        <v>386</v>
      </c>
      <c r="C12738" t="s">
        <v>267</v>
      </c>
      <c r="D12738">
        <v>81018</v>
      </c>
      <c r="E12738">
        <v>82420</v>
      </c>
      <c r="F12738">
        <v>82304</v>
      </c>
      <c r="G12738">
        <v>86172</v>
      </c>
    </row>
    <row r="12739" spans="1:7">
      <c r="A12739" t="s">
        <v>1876</v>
      </c>
      <c r="B12739" t="s">
        <v>386</v>
      </c>
      <c r="C12739" t="s">
        <v>268</v>
      </c>
      <c r="D12739">
        <v>0</v>
      </c>
      <c r="E12739">
        <v>0</v>
      </c>
      <c r="F12739">
        <v>0</v>
      </c>
      <c r="G12739">
        <v>0</v>
      </c>
    </row>
    <row r="12740" spans="1:7">
      <c r="A12740" t="s">
        <v>1876</v>
      </c>
      <c r="B12740" t="s">
        <v>386</v>
      </c>
      <c r="C12740" t="s">
        <v>269</v>
      </c>
      <c r="D12740">
        <v>0</v>
      </c>
      <c r="E12740">
        <v>0</v>
      </c>
      <c r="F12740">
        <v>0</v>
      </c>
      <c r="G12740">
        <v>0</v>
      </c>
    </row>
    <row r="12741" spans="1:7">
      <c r="A12741" t="s">
        <v>1876</v>
      </c>
      <c r="B12741" t="s">
        <v>386</v>
      </c>
      <c r="C12741" t="s">
        <v>270</v>
      </c>
      <c r="D12741">
        <v>0</v>
      </c>
      <c r="E12741">
        <v>0</v>
      </c>
      <c r="F12741">
        <v>0</v>
      </c>
      <c r="G12741">
        <v>0</v>
      </c>
    </row>
    <row r="12742" spans="1:7">
      <c r="A12742" t="s">
        <v>1876</v>
      </c>
      <c r="B12742" t="s">
        <v>386</v>
      </c>
      <c r="C12742" t="s">
        <v>271</v>
      </c>
      <c r="D12742">
        <v>0</v>
      </c>
      <c r="E12742">
        <v>0</v>
      </c>
      <c r="F12742">
        <v>0</v>
      </c>
      <c r="G12742">
        <v>0</v>
      </c>
    </row>
    <row r="12743" spans="1:7">
      <c r="A12743" t="s">
        <v>1876</v>
      </c>
      <c r="B12743" t="s">
        <v>386</v>
      </c>
      <c r="C12743" t="s">
        <v>272</v>
      </c>
      <c r="D12743">
        <v>0</v>
      </c>
      <c r="E12743">
        <v>0</v>
      </c>
      <c r="F12743">
        <v>0</v>
      </c>
      <c r="G12743">
        <v>0</v>
      </c>
    </row>
    <row r="12744" spans="1:7">
      <c r="A12744" t="s">
        <v>1876</v>
      </c>
      <c r="B12744" t="s">
        <v>386</v>
      </c>
      <c r="C12744" t="s">
        <v>1944</v>
      </c>
      <c r="D12744">
        <v>2.2999999999999998</v>
      </c>
      <c r="E12744">
        <v>3.1</v>
      </c>
      <c r="F12744">
        <v>4.5</v>
      </c>
      <c r="G12744">
        <v>5.8</v>
      </c>
    </row>
    <row r="12745" spans="1:7">
      <c r="A12745" t="s">
        <v>1876</v>
      </c>
      <c r="B12745" t="s">
        <v>386</v>
      </c>
      <c r="C12745" t="s">
        <v>1945</v>
      </c>
      <c r="D12745">
        <v>3</v>
      </c>
      <c r="E12745">
        <v>5</v>
      </c>
      <c r="F12745">
        <v>11</v>
      </c>
      <c r="G12745">
        <v>14</v>
      </c>
    </row>
    <row r="12746" spans="1:7">
      <c r="A12746" t="s">
        <v>1876</v>
      </c>
      <c r="B12746" t="s">
        <v>386</v>
      </c>
      <c r="C12746" t="s">
        <v>273</v>
      </c>
      <c r="D12746">
        <v>0</v>
      </c>
      <c r="E12746">
        <v>0</v>
      </c>
      <c r="F12746">
        <v>0</v>
      </c>
      <c r="G12746">
        <v>0</v>
      </c>
    </row>
    <row r="12747" spans="1:7">
      <c r="A12747" t="s">
        <v>1876</v>
      </c>
      <c r="B12747" t="s">
        <v>386</v>
      </c>
      <c r="C12747" t="s">
        <v>1946</v>
      </c>
      <c r="D12747">
        <v>49106</v>
      </c>
      <c r="E12747">
        <v>50812</v>
      </c>
      <c r="F12747">
        <v>51520</v>
      </c>
      <c r="G12747">
        <v>54698</v>
      </c>
    </row>
    <row r="12748" spans="1:7">
      <c r="A12748" t="s">
        <v>1876</v>
      </c>
      <c r="B12748" t="s">
        <v>386</v>
      </c>
      <c r="C12748" t="s">
        <v>1947</v>
      </c>
      <c r="D12748">
        <v>4418</v>
      </c>
      <c r="E12748">
        <v>4292</v>
      </c>
      <c r="F12748">
        <v>4253</v>
      </c>
      <c r="G12748">
        <v>4121</v>
      </c>
    </row>
    <row r="12749" spans="1:7">
      <c r="A12749" t="s">
        <v>1876</v>
      </c>
      <c r="B12749" t="s">
        <v>386</v>
      </c>
      <c r="C12749" t="s">
        <v>1948</v>
      </c>
      <c r="D12749">
        <v>95</v>
      </c>
      <c r="E12749">
        <v>554</v>
      </c>
      <c r="F12749">
        <v>249</v>
      </c>
      <c r="G12749">
        <v>58</v>
      </c>
    </row>
    <row r="12750" spans="1:7">
      <c r="A12750" t="s">
        <v>1876</v>
      </c>
      <c r="B12750" t="s">
        <v>386</v>
      </c>
      <c r="C12750" t="s">
        <v>1949</v>
      </c>
      <c r="D12750">
        <v>8026</v>
      </c>
      <c r="E12750">
        <v>7913</v>
      </c>
      <c r="F12750">
        <v>6832</v>
      </c>
      <c r="G12750">
        <v>7211</v>
      </c>
    </row>
    <row r="12751" spans="1:7">
      <c r="A12751" t="s">
        <v>1876</v>
      </c>
      <c r="B12751" t="s">
        <v>386</v>
      </c>
      <c r="C12751" t="s">
        <v>1950</v>
      </c>
      <c r="D12751">
        <v>14820</v>
      </c>
      <c r="E12751">
        <v>14688</v>
      </c>
      <c r="F12751">
        <v>14962</v>
      </c>
      <c r="G12751">
        <v>14332</v>
      </c>
    </row>
    <row r="12752" spans="1:7">
      <c r="A12752" t="s">
        <v>1876</v>
      </c>
      <c r="B12752" t="s">
        <v>386</v>
      </c>
      <c r="C12752" t="s">
        <v>274</v>
      </c>
      <c r="D12752">
        <v>76466</v>
      </c>
      <c r="E12752">
        <v>78260</v>
      </c>
      <c r="F12752">
        <v>77816</v>
      </c>
      <c r="G12752">
        <v>80419</v>
      </c>
    </row>
    <row r="12753" spans="1:7">
      <c r="A12753" t="s">
        <v>1876</v>
      </c>
      <c r="B12753" t="s">
        <v>386</v>
      </c>
      <c r="C12753" t="s">
        <v>275</v>
      </c>
      <c r="D12753">
        <v>0</v>
      </c>
      <c r="E12753">
        <v>0</v>
      </c>
      <c r="F12753">
        <v>0</v>
      </c>
      <c r="G12753">
        <v>0</v>
      </c>
    </row>
    <row r="12754" spans="1:7">
      <c r="A12754" t="s">
        <v>1876</v>
      </c>
      <c r="B12754" t="s">
        <v>386</v>
      </c>
      <c r="C12754" t="s">
        <v>276</v>
      </c>
      <c r="D12754">
        <v>0</v>
      </c>
      <c r="E12754">
        <v>0</v>
      </c>
      <c r="F12754">
        <v>0</v>
      </c>
      <c r="G12754">
        <v>0</v>
      </c>
    </row>
    <row r="12755" spans="1:7">
      <c r="A12755" t="s">
        <v>1876</v>
      </c>
      <c r="B12755" t="s">
        <v>386</v>
      </c>
      <c r="C12755" t="s">
        <v>277</v>
      </c>
      <c r="D12755">
        <v>0</v>
      </c>
      <c r="E12755">
        <v>4</v>
      </c>
      <c r="F12755">
        <v>0</v>
      </c>
      <c r="G12755">
        <v>1</v>
      </c>
    </row>
    <row r="12756" spans="1:7">
      <c r="A12756" t="s">
        <v>1876</v>
      </c>
      <c r="B12756" t="s">
        <v>386</v>
      </c>
      <c r="C12756" t="s">
        <v>278</v>
      </c>
      <c r="D12756">
        <v>769</v>
      </c>
      <c r="E12756">
        <v>684</v>
      </c>
      <c r="F12756">
        <v>575</v>
      </c>
      <c r="G12756">
        <v>801</v>
      </c>
    </row>
    <row r="12757" spans="1:7">
      <c r="A12757" t="s">
        <v>1876</v>
      </c>
      <c r="B12757" t="s">
        <v>386</v>
      </c>
      <c r="C12757" t="s">
        <v>279</v>
      </c>
      <c r="D12757">
        <v>106</v>
      </c>
      <c r="E12757">
        <v>185</v>
      </c>
      <c r="F12757">
        <v>114</v>
      </c>
      <c r="G12757">
        <v>125</v>
      </c>
    </row>
    <row r="12758" spans="1:7">
      <c r="A12758" t="s">
        <v>1876</v>
      </c>
      <c r="B12758" t="s">
        <v>386</v>
      </c>
      <c r="C12758" t="s">
        <v>280</v>
      </c>
      <c r="D12758">
        <v>1656</v>
      </c>
      <c r="E12758">
        <v>1627</v>
      </c>
      <c r="F12758">
        <v>1558</v>
      </c>
      <c r="G12758">
        <v>1387</v>
      </c>
    </row>
    <row r="12759" spans="1:7">
      <c r="A12759" t="s">
        <v>1876</v>
      </c>
      <c r="B12759" t="s">
        <v>386</v>
      </c>
      <c r="C12759" t="s">
        <v>281</v>
      </c>
      <c r="D12759">
        <v>2531</v>
      </c>
      <c r="E12759">
        <v>2501</v>
      </c>
      <c r="F12759">
        <v>2246</v>
      </c>
      <c r="G12759">
        <v>2314</v>
      </c>
    </row>
    <row r="12760" spans="1:7">
      <c r="A12760" t="s">
        <v>1876</v>
      </c>
      <c r="B12760" t="s">
        <v>386</v>
      </c>
      <c r="C12760" t="s">
        <v>282</v>
      </c>
      <c r="D12760">
        <v>2531</v>
      </c>
      <c r="E12760">
        <v>2501</v>
      </c>
      <c r="F12760">
        <v>2246</v>
      </c>
      <c r="G12760">
        <v>2314</v>
      </c>
    </row>
    <row r="12761" spans="1:7">
      <c r="A12761" t="s">
        <v>1876</v>
      </c>
      <c r="B12761" t="s">
        <v>386</v>
      </c>
      <c r="C12761" t="s">
        <v>283</v>
      </c>
      <c r="D12761">
        <v>0</v>
      </c>
      <c r="E12761">
        <v>0</v>
      </c>
      <c r="F12761">
        <v>0</v>
      </c>
      <c r="G12761">
        <v>0</v>
      </c>
    </row>
    <row r="12762" spans="1:7">
      <c r="A12762" t="s">
        <v>1876</v>
      </c>
      <c r="B12762" t="s">
        <v>386</v>
      </c>
      <c r="C12762" t="s">
        <v>284</v>
      </c>
      <c r="D12762">
        <v>0</v>
      </c>
      <c r="E12762">
        <v>0</v>
      </c>
      <c r="F12762">
        <v>0</v>
      </c>
      <c r="G12762">
        <v>0</v>
      </c>
    </row>
    <row r="12763" spans="1:7">
      <c r="A12763" t="s">
        <v>1876</v>
      </c>
      <c r="B12763" t="s">
        <v>386</v>
      </c>
      <c r="C12763" t="s">
        <v>1716</v>
      </c>
      <c r="D12763">
        <v>3197</v>
      </c>
      <c r="E12763">
        <v>3256</v>
      </c>
      <c r="F12763">
        <v>3378</v>
      </c>
      <c r="G12763">
        <v>3559</v>
      </c>
    </row>
    <row r="12764" spans="1:7">
      <c r="A12764" t="s">
        <v>1876</v>
      </c>
      <c r="B12764" t="s">
        <v>386</v>
      </c>
      <c r="C12764" t="s">
        <v>1717</v>
      </c>
      <c r="D12764">
        <v>1615</v>
      </c>
      <c r="E12764">
        <v>1981</v>
      </c>
      <c r="F12764">
        <v>2027</v>
      </c>
      <c r="G12764">
        <v>941</v>
      </c>
    </row>
    <row r="12765" spans="1:7">
      <c r="A12765" t="s">
        <v>1876</v>
      </c>
      <c r="B12765" t="s">
        <v>386</v>
      </c>
      <c r="C12765" t="s">
        <v>1718</v>
      </c>
      <c r="D12765">
        <v>3602</v>
      </c>
      <c r="E12765">
        <v>4096</v>
      </c>
      <c r="F12765">
        <v>4462</v>
      </c>
      <c r="G12765">
        <v>4712</v>
      </c>
    </row>
    <row r="12766" spans="1:7">
      <c r="A12766" t="s">
        <v>1876</v>
      </c>
      <c r="B12766" t="s">
        <v>386</v>
      </c>
      <c r="C12766" t="s">
        <v>1719</v>
      </c>
      <c r="D12766">
        <v>351</v>
      </c>
      <c r="E12766">
        <v>379</v>
      </c>
      <c r="F12766">
        <v>505</v>
      </c>
      <c r="G12766">
        <v>539</v>
      </c>
    </row>
    <row r="12767" spans="1:7">
      <c r="A12767" t="s">
        <v>1876</v>
      </c>
      <c r="B12767" t="s">
        <v>386</v>
      </c>
      <c r="C12767" t="s">
        <v>1720</v>
      </c>
      <c r="D12767">
        <v>216</v>
      </c>
      <c r="E12767">
        <v>257</v>
      </c>
      <c r="F12767">
        <v>268</v>
      </c>
      <c r="G12767">
        <v>263</v>
      </c>
    </row>
    <row r="12768" spans="1:7">
      <c r="A12768" t="s">
        <v>1876</v>
      </c>
      <c r="B12768" t="s">
        <v>386</v>
      </c>
      <c r="C12768" t="s">
        <v>1721</v>
      </c>
      <c r="D12768">
        <v>3167</v>
      </c>
      <c r="E12768">
        <v>3704</v>
      </c>
      <c r="F12768">
        <v>3494</v>
      </c>
      <c r="G12768">
        <v>4265</v>
      </c>
    </row>
    <row r="12769" spans="1:7">
      <c r="A12769" t="s">
        <v>1876</v>
      </c>
      <c r="B12769" t="s">
        <v>386</v>
      </c>
      <c r="C12769" t="s">
        <v>285</v>
      </c>
      <c r="D12769">
        <v>11797</v>
      </c>
      <c r="E12769">
        <v>13293</v>
      </c>
      <c r="F12769">
        <v>13628</v>
      </c>
      <c r="G12769">
        <v>13739</v>
      </c>
    </row>
    <row r="12770" spans="1:7">
      <c r="A12770" t="s">
        <v>1876</v>
      </c>
      <c r="B12770" t="s">
        <v>386</v>
      </c>
      <c r="C12770" t="s">
        <v>1951</v>
      </c>
      <c r="D12770">
        <v>6.4</v>
      </c>
      <c r="E12770">
        <v>7.1</v>
      </c>
      <c r="F12770">
        <v>7.4</v>
      </c>
      <c r="G12770">
        <v>7.3</v>
      </c>
    </row>
    <row r="12771" spans="1:7">
      <c r="A12771" t="s">
        <v>1876</v>
      </c>
      <c r="B12771" t="s">
        <v>386</v>
      </c>
      <c r="C12771" t="s">
        <v>286</v>
      </c>
      <c r="D12771">
        <v>41</v>
      </c>
      <c r="E12771">
        <v>42</v>
      </c>
      <c r="F12771">
        <v>35</v>
      </c>
      <c r="G12771">
        <v>38</v>
      </c>
    </row>
    <row r="12772" spans="1:7">
      <c r="A12772" t="s">
        <v>1876</v>
      </c>
      <c r="B12772" t="s">
        <v>386</v>
      </c>
      <c r="C12772" t="s">
        <v>287</v>
      </c>
      <c r="D12772">
        <v>2</v>
      </c>
      <c r="E12772">
        <v>3</v>
      </c>
      <c r="F12772">
        <v>2</v>
      </c>
      <c r="G12772">
        <v>2</v>
      </c>
    </row>
    <row r="12773" spans="1:7">
      <c r="A12773" t="s">
        <v>1876</v>
      </c>
      <c r="B12773" t="s">
        <v>386</v>
      </c>
      <c r="C12773" t="s">
        <v>288</v>
      </c>
      <c r="D12773">
        <v>0</v>
      </c>
      <c r="E12773">
        <v>0</v>
      </c>
      <c r="F12773">
        <v>0</v>
      </c>
      <c r="G12773">
        <v>0</v>
      </c>
    </row>
    <row r="12774" spans="1:7">
      <c r="A12774" t="s">
        <v>1876</v>
      </c>
      <c r="B12774" t="s">
        <v>386</v>
      </c>
      <c r="C12774" t="s">
        <v>289</v>
      </c>
      <c r="D12774">
        <v>38</v>
      </c>
      <c r="E12774">
        <v>39</v>
      </c>
      <c r="F12774">
        <v>32</v>
      </c>
      <c r="G12774">
        <v>35</v>
      </c>
    </row>
    <row r="12775" spans="1:7">
      <c r="A12775" t="s">
        <v>1876</v>
      </c>
      <c r="B12775" t="s">
        <v>386</v>
      </c>
      <c r="C12775" t="s">
        <v>290</v>
      </c>
      <c r="D12775">
        <v>81</v>
      </c>
      <c r="E12775">
        <v>83</v>
      </c>
      <c r="F12775">
        <v>69</v>
      </c>
      <c r="G12775">
        <v>75</v>
      </c>
    </row>
    <row r="12776" spans="1:7">
      <c r="A12776" t="s">
        <v>1876</v>
      </c>
      <c r="B12776" t="s">
        <v>386</v>
      </c>
      <c r="C12776" t="s">
        <v>291</v>
      </c>
      <c r="D12776">
        <v>81</v>
      </c>
      <c r="E12776">
        <v>83</v>
      </c>
      <c r="F12776">
        <v>69</v>
      </c>
      <c r="G12776">
        <v>75</v>
      </c>
    </row>
    <row r="12777" spans="1:7">
      <c r="A12777" t="s">
        <v>1876</v>
      </c>
      <c r="B12777" t="s">
        <v>386</v>
      </c>
      <c r="C12777" t="s">
        <v>292</v>
      </c>
      <c r="D12777">
        <v>0</v>
      </c>
      <c r="E12777">
        <v>0</v>
      </c>
      <c r="F12777">
        <v>0</v>
      </c>
      <c r="G12777">
        <v>0</v>
      </c>
    </row>
    <row r="12778" spans="1:7">
      <c r="A12778" t="s">
        <v>1876</v>
      </c>
      <c r="B12778" t="s">
        <v>386</v>
      </c>
      <c r="C12778" t="s">
        <v>293</v>
      </c>
      <c r="D12778">
        <v>0</v>
      </c>
      <c r="E12778">
        <v>0</v>
      </c>
      <c r="F12778">
        <v>0</v>
      </c>
      <c r="G12778">
        <v>0</v>
      </c>
    </row>
    <row r="12779" spans="1:7">
      <c r="A12779" t="s">
        <v>1876</v>
      </c>
      <c r="B12779" t="s">
        <v>386</v>
      </c>
      <c r="C12779" t="s">
        <v>294</v>
      </c>
      <c r="D12779">
        <v>0</v>
      </c>
      <c r="E12779">
        <v>0</v>
      </c>
      <c r="F12779">
        <v>0</v>
      </c>
      <c r="G12779">
        <v>0</v>
      </c>
    </row>
    <row r="12780" spans="1:7">
      <c r="A12780" t="s">
        <v>1876</v>
      </c>
      <c r="B12780" t="s">
        <v>386</v>
      </c>
      <c r="C12780" t="s">
        <v>295</v>
      </c>
      <c r="D12780">
        <v>0</v>
      </c>
      <c r="E12780">
        <v>0</v>
      </c>
      <c r="F12780">
        <v>0</v>
      </c>
      <c r="G12780">
        <v>0</v>
      </c>
    </row>
    <row r="12781" spans="1:7">
      <c r="A12781" t="s">
        <v>1876</v>
      </c>
      <c r="B12781" t="s">
        <v>386</v>
      </c>
      <c r="C12781" t="s">
        <v>296</v>
      </c>
      <c r="D12781">
        <v>0</v>
      </c>
      <c r="E12781">
        <v>0</v>
      </c>
      <c r="F12781">
        <v>0</v>
      </c>
      <c r="G12781">
        <v>0</v>
      </c>
    </row>
    <row r="12782" spans="1:7">
      <c r="A12782" t="s">
        <v>1876</v>
      </c>
      <c r="B12782" t="s">
        <v>386</v>
      </c>
      <c r="C12782" t="s">
        <v>297</v>
      </c>
      <c r="D12782">
        <v>0</v>
      </c>
      <c r="E12782">
        <v>0</v>
      </c>
      <c r="F12782">
        <v>0</v>
      </c>
      <c r="G12782">
        <v>0</v>
      </c>
    </row>
    <row r="12783" spans="1:7">
      <c r="A12783" t="s">
        <v>1876</v>
      </c>
      <c r="B12783" t="s">
        <v>386</v>
      </c>
      <c r="C12783" t="s">
        <v>1952</v>
      </c>
      <c r="D12783">
        <v>0</v>
      </c>
      <c r="E12783">
        <v>0</v>
      </c>
      <c r="F12783">
        <v>0</v>
      </c>
      <c r="G12783">
        <v>0</v>
      </c>
    </row>
    <row r="12784" spans="1:7">
      <c r="A12784" t="s">
        <v>1876</v>
      </c>
      <c r="B12784" t="s">
        <v>386</v>
      </c>
      <c r="C12784" t="s">
        <v>298</v>
      </c>
      <c r="D12784">
        <v>401</v>
      </c>
      <c r="E12784">
        <v>202</v>
      </c>
      <c r="F12784">
        <v>202</v>
      </c>
      <c r="G12784">
        <v>177</v>
      </c>
    </row>
    <row r="12785" spans="1:7">
      <c r="A12785" t="s">
        <v>1876</v>
      </c>
      <c r="B12785" t="s">
        <v>386</v>
      </c>
      <c r="C12785" t="s">
        <v>299</v>
      </c>
      <c r="D12785">
        <v>977</v>
      </c>
      <c r="E12785">
        <v>1341</v>
      </c>
      <c r="F12785">
        <v>1409</v>
      </c>
      <c r="G12785">
        <v>189</v>
      </c>
    </row>
    <row r="12786" spans="1:7">
      <c r="A12786" t="s">
        <v>1876</v>
      </c>
      <c r="B12786" t="s">
        <v>386</v>
      </c>
      <c r="C12786" t="s">
        <v>300</v>
      </c>
      <c r="D12786">
        <v>969</v>
      </c>
      <c r="E12786">
        <v>1234</v>
      </c>
      <c r="F12786">
        <v>1445</v>
      </c>
      <c r="G12786">
        <v>2048</v>
      </c>
    </row>
    <row r="12787" spans="1:7">
      <c r="A12787" t="s">
        <v>1876</v>
      </c>
      <c r="B12787" t="s">
        <v>386</v>
      </c>
      <c r="C12787" t="s">
        <v>1722</v>
      </c>
      <c r="D12787">
        <v>231</v>
      </c>
      <c r="E12787">
        <v>259</v>
      </c>
      <c r="F12787">
        <v>385</v>
      </c>
      <c r="G12787">
        <v>419</v>
      </c>
    </row>
    <row r="12788" spans="1:7">
      <c r="A12788" t="s">
        <v>1876</v>
      </c>
      <c r="B12788" t="s">
        <v>386</v>
      </c>
      <c r="C12788" t="s">
        <v>301</v>
      </c>
      <c r="D12788">
        <v>5</v>
      </c>
      <c r="E12788">
        <v>11</v>
      </c>
      <c r="F12788">
        <v>23</v>
      </c>
      <c r="G12788">
        <v>30</v>
      </c>
    </row>
    <row r="12789" spans="1:7">
      <c r="A12789" t="s">
        <v>1876</v>
      </c>
      <c r="B12789" t="s">
        <v>386</v>
      </c>
      <c r="C12789" t="s">
        <v>302</v>
      </c>
      <c r="D12789">
        <v>379</v>
      </c>
      <c r="E12789">
        <v>487</v>
      </c>
      <c r="F12789">
        <v>667</v>
      </c>
      <c r="G12789">
        <v>783</v>
      </c>
    </row>
    <row r="12790" spans="1:7">
      <c r="A12790" t="s">
        <v>1876</v>
      </c>
      <c r="B12790" t="s">
        <v>386</v>
      </c>
      <c r="C12790" t="s">
        <v>303</v>
      </c>
      <c r="D12790">
        <v>2330</v>
      </c>
      <c r="E12790">
        <v>3073</v>
      </c>
      <c r="F12790">
        <v>3544</v>
      </c>
      <c r="G12790">
        <v>3050</v>
      </c>
    </row>
    <row r="12791" spans="1:7">
      <c r="A12791" t="s">
        <v>1876</v>
      </c>
      <c r="B12791" t="s">
        <v>386</v>
      </c>
      <c r="C12791" t="s">
        <v>304</v>
      </c>
      <c r="D12791">
        <v>1361</v>
      </c>
      <c r="E12791">
        <v>1839</v>
      </c>
      <c r="F12791">
        <v>2099</v>
      </c>
      <c r="G12791">
        <v>1002</v>
      </c>
    </row>
    <row r="12792" spans="1:7">
      <c r="A12792" t="s">
        <v>1876</v>
      </c>
      <c r="B12792" t="s">
        <v>386</v>
      </c>
      <c r="C12792" t="s">
        <v>1953</v>
      </c>
      <c r="D12792">
        <v>17.5</v>
      </c>
      <c r="E12792">
        <v>17</v>
      </c>
      <c r="F12792">
        <v>16.399999999999999</v>
      </c>
      <c r="G12792">
        <v>17.3</v>
      </c>
    </row>
    <row r="12793" spans="1:7">
      <c r="A12793" t="s">
        <v>1876</v>
      </c>
      <c r="B12793" t="s">
        <v>386</v>
      </c>
      <c r="C12793" t="s">
        <v>305</v>
      </c>
      <c r="D12793">
        <v>54819</v>
      </c>
      <c r="E12793">
        <v>57405</v>
      </c>
      <c r="F12793">
        <v>58293</v>
      </c>
      <c r="G12793">
        <v>61823</v>
      </c>
    </row>
    <row r="12794" spans="1:7">
      <c r="A12794" t="s">
        <v>1876</v>
      </c>
      <c r="B12794" t="s">
        <v>386</v>
      </c>
      <c r="C12794" t="s">
        <v>306</v>
      </c>
      <c r="D12794">
        <v>50</v>
      </c>
      <c r="E12794">
        <v>52.3</v>
      </c>
      <c r="F12794">
        <v>52.9</v>
      </c>
      <c r="G12794">
        <v>55.7</v>
      </c>
    </row>
    <row r="12795" spans="1:7">
      <c r="A12795" t="s">
        <v>1876</v>
      </c>
      <c r="B12795" t="s">
        <v>386</v>
      </c>
      <c r="C12795" t="s">
        <v>307</v>
      </c>
      <c r="D12795">
        <v>45429</v>
      </c>
      <c r="E12795">
        <v>47079</v>
      </c>
      <c r="F12795">
        <v>45610</v>
      </c>
      <c r="G12795">
        <v>45612</v>
      </c>
    </row>
    <row r="12796" spans="1:7">
      <c r="A12796" t="s">
        <v>1876</v>
      </c>
      <c r="B12796" t="s">
        <v>386</v>
      </c>
      <c r="C12796" t="s">
        <v>308</v>
      </c>
      <c r="D12796">
        <v>41.4</v>
      </c>
      <c r="E12796">
        <v>42.9</v>
      </c>
      <c r="F12796">
        <v>41.4</v>
      </c>
      <c r="G12796">
        <v>41.1</v>
      </c>
    </row>
    <row r="12797" spans="1:7">
      <c r="A12797" t="s">
        <v>1876</v>
      </c>
      <c r="B12797" t="s">
        <v>386</v>
      </c>
      <c r="C12797" t="s">
        <v>309</v>
      </c>
      <c r="D12797">
        <v>67391</v>
      </c>
      <c r="E12797">
        <v>56392</v>
      </c>
      <c r="F12797">
        <v>77205</v>
      </c>
      <c r="G12797">
        <v>71524</v>
      </c>
    </row>
    <row r="12798" spans="1:7">
      <c r="A12798" t="s">
        <v>1876</v>
      </c>
      <c r="B12798" t="s">
        <v>386</v>
      </c>
      <c r="C12798" t="s">
        <v>310</v>
      </c>
      <c r="D12798">
        <v>21920</v>
      </c>
      <c r="E12798">
        <v>21813</v>
      </c>
      <c r="F12798">
        <v>20416</v>
      </c>
      <c r="G12798">
        <v>19448</v>
      </c>
    </row>
    <row r="12799" spans="1:7">
      <c r="A12799" t="s">
        <v>1876</v>
      </c>
      <c r="B12799" t="s">
        <v>386</v>
      </c>
      <c r="C12799" t="s">
        <v>311</v>
      </c>
      <c r="D12799">
        <v>20</v>
      </c>
      <c r="E12799">
        <v>19.899999999999999</v>
      </c>
      <c r="F12799">
        <v>18.5</v>
      </c>
      <c r="G12799">
        <v>17.5</v>
      </c>
    </row>
    <row r="12800" spans="1:7">
      <c r="A12800" t="s">
        <v>1876</v>
      </c>
      <c r="B12800" t="s">
        <v>386</v>
      </c>
      <c r="C12800" t="s">
        <v>312</v>
      </c>
      <c r="D12800">
        <v>61292</v>
      </c>
      <c r="E12800">
        <v>62004</v>
      </c>
      <c r="F12800">
        <v>59652</v>
      </c>
      <c r="G12800">
        <v>60977</v>
      </c>
    </row>
    <row r="12801" spans="1:7">
      <c r="A12801" t="s">
        <v>1876</v>
      </c>
      <c r="B12801" t="s">
        <v>386</v>
      </c>
      <c r="C12801" t="s">
        <v>313</v>
      </c>
      <c r="D12801">
        <v>55.9</v>
      </c>
      <c r="E12801">
        <v>56.5</v>
      </c>
      <c r="F12801">
        <v>54.2</v>
      </c>
      <c r="G12801">
        <v>54.9</v>
      </c>
    </row>
    <row r="12802" spans="1:7">
      <c r="A12802" t="s">
        <v>1876</v>
      </c>
      <c r="B12802" t="s">
        <v>386</v>
      </c>
      <c r="C12802" t="s">
        <v>314</v>
      </c>
      <c r="D12802">
        <v>183460</v>
      </c>
      <c r="E12802">
        <v>188301</v>
      </c>
      <c r="F12802">
        <v>183971</v>
      </c>
      <c r="G12802">
        <v>187859</v>
      </c>
    </row>
    <row r="12803" spans="1:7">
      <c r="A12803" t="s">
        <v>1876</v>
      </c>
      <c r="B12803" t="s">
        <v>386</v>
      </c>
      <c r="C12803" t="s">
        <v>315</v>
      </c>
      <c r="D12803">
        <v>3.02</v>
      </c>
      <c r="E12803">
        <v>3.06</v>
      </c>
      <c r="F12803">
        <v>2.96</v>
      </c>
      <c r="G12803">
        <v>2.96</v>
      </c>
    </row>
    <row r="12804" spans="1:7">
      <c r="A12804" t="s">
        <v>1876</v>
      </c>
      <c r="B12804" t="s">
        <v>386</v>
      </c>
      <c r="C12804" t="s">
        <v>316</v>
      </c>
      <c r="D12804">
        <v>167.2</v>
      </c>
      <c r="E12804">
        <v>171.5</v>
      </c>
      <c r="F12804">
        <v>167.1</v>
      </c>
      <c r="G12804">
        <v>169.2</v>
      </c>
    </row>
    <row r="12805" spans="1:7">
      <c r="A12805" t="s">
        <v>1876</v>
      </c>
      <c r="B12805" t="s">
        <v>386</v>
      </c>
      <c r="C12805" t="s">
        <v>317</v>
      </c>
      <c r="D12805">
        <v>183460</v>
      </c>
      <c r="E12805">
        <v>188301</v>
      </c>
      <c r="F12805">
        <v>183972</v>
      </c>
      <c r="G12805">
        <v>187859</v>
      </c>
    </row>
    <row r="12806" spans="1:7">
      <c r="A12806" t="s">
        <v>1876</v>
      </c>
      <c r="B12806" t="s">
        <v>386</v>
      </c>
      <c r="C12806" t="s">
        <v>318</v>
      </c>
      <c r="D12806">
        <v>54741</v>
      </c>
      <c r="E12806">
        <v>57304</v>
      </c>
      <c r="F12806">
        <v>58177</v>
      </c>
      <c r="G12806">
        <v>61727</v>
      </c>
    </row>
    <row r="12807" spans="1:7">
      <c r="A12807" t="s">
        <v>1876</v>
      </c>
      <c r="B12807" t="s">
        <v>386</v>
      </c>
      <c r="C12807" t="s">
        <v>319</v>
      </c>
      <c r="D12807">
        <v>29899</v>
      </c>
      <c r="E12807">
        <v>30537</v>
      </c>
      <c r="F12807">
        <v>29448</v>
      </c>
      <c r="G12807">
        <v>29557</v>
      </c>
    </row>
    <row r="12808" spans="1:7">
      <c r="A12808" t="s">
        <v>1876</v>
      </c>
      <c r="B12808" t="s">
        <v>386</v>
      </c>
      <c r="C12808" t="s">
        <v>320</v>
      </c>
      <c r="D12808">
        <v>19146</v>
      </c>
      <c r="E12808">
        <v>18989</v>
      </c>
      <c r="F12808">
        <v>17632</v>
      </c>
      <c r="G12808">
        <v>16757</v>
      </c>
    </row>
    <row r="12809" spans="1:7">
      <c r="A12809" t="s">
        <v>1876</v>
      </c>
      <c r="B12809" t="s">
        <v>386</v>
      </c>
      <c r="C12809" t="s">
        <v>321</v>
      </c>
      <c r="D12809">
        <v>47801</v>
      </c>
      <c r="E12809">
        <v>48011</v>
      </c>
      <c r="F12809">
        <v>46391</v>
      </c>
      <c r="G12809">
        <v>47352</v>
      </c>
    </row>
    <row r="12810" spans="1:7">
      <c r="A12810" t="s">
        <v>1876</v>
      </c>
      <c r="B12810" t="s">
        <v>386</v>
      </c>
      <c r="C12810" t="s">
        <v>1954</v>
      </c>
      <c r="D12810">
        <v>151586</v>
      </c>
      <c r="E12810">
        <v>154841</v>
      </c>
      <c r="F12810">
        <v>151648</v>
      </c>
      <c r="G12810">
        <v>155392</v>
      </c>
    </row>
    <row r="12811" spans="1:7">
      <c r="A12811" t="s">
        <v>1876</v>
      </c>
      <c r="B12811" t="s">
        <v>386</v>
      </c>
      <c r="C12811" t="s">
        <v>323</v>
      </c>
      <c r="D12811">
        <v>1097</v>
      </c>
      <c r="E12811">
        <v>1098</v>
      </c>
      <c r="F12811">
        <v>1101</v>
      </c>
      <c r="G12811">
        <v>1110</v>
      </c>
    </row>
    <row r="12812" spans="1:7">
      <c r="A12812" t="s">
        <v>1876</v>
      </c>
      <c r="B12812" t="s">
        <v>386</v>
      </c>
      <c r="C12812" t="s">
        <v>324</v>
      </c>
      <c r="D12812">
        <v>0</v>
      </c>
      <c r="E12812">
        <v>0</v>
      </c>
      <c r="F12812">
        <v>0</v>
      </c>
      <c r="G12812">
        <v>0</v>
      </c>
    </row>
    <row r="12813" spans="1:7">
      <c r="A12813" t="s">
        <v>1876</v>
      </c>
      <c r="B12813" t="s">
        <v>386</v>
      </c>
      <c r="C12813" t="s">
        <v>325</v>
      </c>
      <c r="D12813">
        <v>0</v>
      </c>
      <c r="E12813">
        <v>0</v>
      </c>
      <c r="F12813">
        <v>0</v>
      </c>
      <c r="G12813">
        <v>0</v>
      </c>
    </row>
    <row r="12814" spans="1:7">
      <c r="A12814" t="s">
        <v>1876</v>
      </c>
      <c r="B12814" t="s">
        <v>386</v>
      </c>
      <c r="C12814" t="s">
        <v>326</v>
      </c>
      <c r="D12814">
        <v>314</v>
      </c>
      <c r="E12814">
        <v>314</v>
      </c>
      <c r="F12814">
        <v>314</v>
      </c>
      <c r="G12814">
        <v>314</v>
      </c>
    </row>
    <row r="12815" spans="1:7">
      <c r="A12815" t="s">
        <v>1876</v>
      </c>
      <c r="B12815" t="s">
        <v>386</v>
      </c>
      <c r="C12815" t="s">
        <v>327</v>
      </c>
      <c r="D12815">
        <v>0</v>
      </c>
      <c r="E12815">
        <v>0</v>
      </c>
      <c r="F12815">
        <v>0</v>
      </c>
      <c r="G12815">
        <v>0</v>
      </c>
    </row>
    <row r="12816" spans="1:7">
      <c r="A12816" t="s">
        <v>1876</v>
      </c>
      <c r="B12816" t="s">
        <v>386</v>
      </c>
      <c r="C12816" t="s">
        <v>1723</v>
      </c>
      <c r="D12816">
        <v>0</v>
      </c>
      <c r="E12816">
        <v>0</v>
      </c>
      <c r="F12816">
        <v>0</v>
      </c>
      <c r="G12816">
        <v>0</v>
      </c>
    </row>
    <row r="12817" spans="1:7">
      <c r="A12817" t="s">
        <v>1876</v>
      </c>
      <c r="B12817" t="s">
        <v>386</v>
      </c>
      <c r="C12817" t="s">
        <v>328</v>
      </c>
      <c r="D12817">
        <v>75</v>
      </c>
      <c r="E12817">
        <v>122</v>
      </c>
      <c r="F12817">
        <v>122</v>
      </c>
      <c r="G12817">
        <v>122</v>
      </c>
    </row>
    <row r="12818" spans="1:7">
      <c r="A12818" t="s">
        <v>1876</v>
      </c>
      <c r="B12818" t="s">
        <v>386</v>
      </c>
      <c r="C12818" t="s">
        <v>329</v>
      </c>
      <c r="D12818">
        <v>1629</v>
      </c>
      <c r="E12818">
        <v>2052</v>
      </c>
      <c r="F12818">
        <v>1744</v>
      </c>
      <c r="G12818">
        <v>1635</v>
      </c>
    </row>
    <row r="12819" spans="1:7">
      <c r="A12819" t="s">
        <v>1876</v>
      </c>
      <c r="B12819" t="s">
        <v>386</v>
      </c>
      <c r="C12819" t="s">
        <v>330</v>
      </c>
      <c r="D12819">
        <v>2017</v>
      </c>
      <c r="E12819">
        <v>2487</v>
      </c>
      <c r="F12819">
        <v>2180</v>
      </c>
      <c r="G12819">
        <v>2070</v>
      </c>
    </row>
    <row r="12820" spans="1:7">
      <c r="A12820" t="s">
        <v>1876</v>
      </c>
      <c r="B12820" t="s">
        <v>386</v>
      </c>
      <c r="C12820" t="s">
        <v>331</v>
      </c>
      <c r="D12820">
        <v>0</v>
      </c>
      <c r="E12820">
        <v>0</v>
      </c>
      <c r="F12820">
        <v>0</v>
      </c>
      <c r="G12820">
        <v>0</v>
      </c>
    </row>
    <row r="12821" spans="1:7">
      <c r="A12821" t="s">
        <v>1876</v>
      </c>
      <c r="B12821" t="s">
        <v>386</v>
      </c>
      <c r="C12821" t="s">
        <v>332</v>
      </c>
      <c r="D12821">
        <v>2053</v>
      </c>
      <c r="E12821">
        <v>2148</v>
      </c>
      <c r="F12821">
        <v>2435</v>
      </c>
      <c r="G12821">
        <v>2067</v>
      </c>
    </row>
    <row r="12822" spans="1:7">
      <c r="A12822" t="s">
        <v>1876</v>
      </c>
      <c r="B12822" t="s">
        <v>386</v>
      </c>
      <c r="C12822" t="s">
        <v>1724</v>
      </c>
      <c r="D12822">
        <v>40</v>
      </c>
      <c r="E12822">
        <v>40</v>
      </c>
      <c r="F12822">
        <v>40</v>
      </c>
      <c r="G12822">
        <v>40</v>
      </c>
    </row>
    <row r="12823" spans="1:7">
      <c r="A12823" t="s">
        <v>1876</v>
      </c>
      <c r="B12823" t="s">
        <v>386</v>
      </c>
      <c r="C12823" t="s">
        <v>333</v>
      </c>
      <c r="D12823">
        <v>81</v>
      </c>
      <c r="E12823">
        <v>75</v>
      </c>
      <c r="F12823">
        <v>74</v>
      </c>
      <c r="G12823">
        <v>69</v>
      </c>
    </row>
    <row r="12824" spans="1:7">
      <c r="A12824" t="s">
        <v>1876</v>
      </c>
      <c r="B12824" t="s">
        <v>386</v>
      </c>
      <c r="C12824" t="s">
        <v>334</v>
      </c>
      <c r="D12824">
        <v>2135</v>
      </c>
      <c r="E12824">
        <v>2223</v>
      </c>
      <c r="F12824">
        <v>2509</v>
      </c>
      <c r="G12824">
        <v>2135</v>
      </c>
    </row>
    <row r="12825" spans="1:7">
      <c r="A12825" t="s">
        <v>1876</v>
      </c>
      <c r="B12825" t="s">
        <v>386</v>
      </c>
      <c r="C12825" t="s">
        <v>335</v>
      </c>
      <c r="D12825">
        <v>314</v>
      </c>
      <c r="E12825">
        <v>314</v>
      </c>
      <c r="F12825">
        <v>314</v>
      </c>
      <c r="G12825">
        <v>314</v>
      </c>
    </row>
    <row r="12826" spans="1:7">
      <c r="A12826" t="s">
        <v>1876</v>
      </c>
      <c r="B12826" t="s">
        <v>386</v>
      </c>
      <c r="C12826" t="s">
        <v>336</v>
      </c>
      <c r="D12826">
        <v>2053</v>
      </c>
      <c r="E12826">
        <v>2148</v>
      </c>
      <c r="F12826">
        <v>2435</v>
      </c>
      <c r="G12826">
        <v>2067</v>
      </c>
    </row>
    <row r="12827" spans="1:7">
      <c r="A12827" t="s">
        <v>1876</v>
      </c>
      <c r="B12827" t="s">
        <v>386</v>
      </c>
      <c r="C12827" t="s">
        <v>337</v>
      </c>
      <c r="D12827">
        <v>156</v>
      </c>
      <c r="E12827">
        <v>197</v>
      </c>
      <c r="F12827">
        <v>196</v>
      </c>
      <c r="G12827">
        <v>190</v>
      </c>
    </row>
    <row r="12828" spans="1:7">
      <c r="A12828" t="s">
        <v>1876</v>
      </c>
      <c r="B12828" t="s">
        <v>386</v>
      </c>
      <c r="C12828" t="s">
        <v>338</v>
      </c>
      <c r="D12828">
        <v>4152</v>
      </c>
      <c r="E12828">
        <v>4710</v>
      </c>
      <c r="F12828">
        <v>4689</v>
      </c>
      <c r="G12828">
        <v>4206</v>
      </c>
    </row>
    <row r="12829" spans="1:7">
      <c r="A12829" t="s">
        <v>1876</v>
      </c>
      <c r="B12829" t="s">
        <v>386</v>
      </c>
      <c r="C12829" t="s">
        <v>339</v>
      </c>
      <c r="D12829">
        <v>2099</v>
      </c>
      <c r="E12829">
        <v>2562</v>
      </c>
      <c r="F12829">
        <v>2254</v>
      </c>
      <c r="G12829">
        <v>2139</v>
      </c>
    </row>
    <row r="12830" spans="1:7">
      <c r="A12830" t="s">
        <v>1876</v>
      </c>
      <c r="B12830" t="s">
        <v>386</v>
      </c>
      <c r="C12830" t="s">
        <v>340</v>
      </c>
      <c r="D12830">
        <v>26</v>
      </c>
      <c r="E12830">
        <v>15</v>
      </c>
      <c r="F12830">
        <v>10</v>
      </c>
      <c r="G12830">
        <v>13</v>
      </c>
    </row>
    <row r="12831" spans="1:7">
      <c r="A12831" t="s">
        <v>1876</v>
      </c>
      <c r="B12831" t="s">
        <v>386</v>
      </c>
      <c r="C12831" t="s">
        <v>1955</v>
      </c>
      <c r="D12831">
        <v>27</v>
      </c>
      <c r="E12831">
        <v>30.9</v>
      </c>
      <c r="F12831">
        <v>24.9</v>
      </c>
      <c r="G12831">
        <v>26.2</v>
      </c>
    </row>
    <row r="12832" spans="1:7">
      <c r="A12832" t="s">
        <v>1876</v>
      </c>
      <c r="B12832" t="s">
        <v>386</v>
      </c>
      <c r="C12832" t="s">
        <v>341</v>
      </c>
      <c r="D12832">
        <v>24</v>
      </c>
      <c r="E12832">
        <v>25</v>
      </c>
      <c r="F12832">
        <v>20</v>
      </c>
      <c r="G12832">
        <v>20</v>
      </c>
    </row>
    <row r="12833" spans="1:7">
      <c r="A12833" t="s">
        <v>1876</v>
      </c>
      <c r="B12833" t="s">
        <v>386</v>
      </c>
      <c r="C12833" t="s">
        <v>342</v>
      </c>
      <c r="D12833">
        <v>564</v>
      </c>
      <c r="E12833">
        <v>689</v>
      </c>
      <c r="F12833">
        <v>556</v>
      </c>
      <c r="G12833">
        <v>588</v>
      </c>
    </row>
    <row r="12834" spans="1:7">
      <c r="A12834" t="s">
        <v>1876</v>
      </c>
      <c r="B12834" t="s">
        <v>386</v>
      </c>
      <c r="C12834" t="s">
        <v>1725</v>
      </c>
      <c r="D12834">
        <v>77</v>
      </c>
      <c r="E12834">
        <v>77</v>
      </c>
      <c r="F12834">
        <v>77</v>
      </c>
      <c r="G12834">
        <v>77</v>
      </c>
    </row>
    <row r="12835" spans="1:7">
      <c r="A12835" t="s">
        <v>1876</v>
      </c>
      <c r="B12835" t="s">
        <v>386</v>
      </c>
      <c r="C12835" t="s">
        <v>343</v>
      </c>
      <c r="D12835">
        <v>0</v>
      </c>
      <c r="E12835">
        <v>0</v>
      </c>
      <c r="F12835">
        <v>0</v>
      </c>
      <c r="G12835">
        <v>0</v>
      </c>
    </row>
    <row r="12836" spans="1:7">
      <c r="A12836" t="s">
        <v>1876</v>
      </c>
      <c r="B12836" t="s">
        <v>386</v>
      </c>
      <c r="C12836" t="s">
        <v>344</v>
      </c>
      <c r="D12836">
        <v>587</v>
      </c>
      <c r="E12836">
        <v>714</v>
      </c>
      <c r="F12836">
        <v>576</v>
      </c>
      <c r="G12836">
        <v>608</v>
      </c>
    </row>
    <row r="12837" spans="1:7">
      <c r="A12837" t="s">
        <v>1876</v>
      </c>
      <c r="B12837" t="s">
        <v>386</v>
      </c>
      <c r="C12837" t="s">
        <v>345</v>
      </c>
      <c r="D12837">
        <v>24</v>
      </c>
      <c r="E12837">
        <v>25</v>
      </c>
      <c r="F12837">
        <v>20</v>
      </c>
      <c r="G12837">
        <v>20</v>
      </c>
    </row>
    <row r="12838" spans="1:7">
      <c r="A12838" t="s">
        <v>1876</v>
      </c>
      <c r="B12838" t="s">
        <v>386</v>
      </c>
      <c r="C12838" t="s">
        <v>1956</v>
      </c>
      <c r="D12838">
        <v>2053</v>
      </c>
      <c r="E12838">
        <v>2148</v>
      </c>
      <c r="F12838">
        <v>2435</v>
      </c>
      <c r="G12838">
        <v>2067</v>
      </c>
    </row>
    <row r="12839" spans="1:7">
      <c r="A12839" t="s">
        <v>1876</v>
      </c>
      <c r="B12839" t="s">
        <v>386</v>
      </c>
      <c r="C12839" t="s">
        <v>1957</v>
      </c>
      <c r="D12839">
        <v>2135</v>
      </c>
      <c r="E12839">
        <v>2223</v>
      </c>
      <c r="F12839">
        <v>2509</v>
      </c>
      <c r="G12839">
        <v>2135</v>
      </c>
    </row>
    <row r="12840" spans="1:7">
      <c r="A12840" t="s">
        <v>1876</v>
      </c>
      <c r="B12840" t="s">
        <v>386</v>
      </c>
      <c r="C12840" t="s">
        <v>346</v>
      </c>
      <c r="D12840">
        <v>708</v>
      </c>
      <c r="E12840">
        <v>731</v>
      </c>
      <c r="F12840">
        <v>566</v>
      </c>
      <c r="G12840">
        <v>633</v>
      </c>
    </row>
    <row r="12841" spans="1:7">
      <c r="A12841" t="s">
        <v>1876</v>
      </c>
      <c r="B12841" t="s">
        <v>386</v>
      </c>
      <c r="C12841" t="s">
        <v>347</v>
      </c>
      <c r="D12841">
        <v>5220</v>
      </c>
      <c r="E12841">
        <v>5413</v>
      </c>
      <c r="F12841">
        <v>5077</v>
      </c>
      <c r="G12841">
        <v>5246</v>
      </c>
    </row>
    <row r="12842" spans="1:7">
      <c r="A12842" t="s">
        <v>1876</v>
      </c>
      <c r="B12842" t="s">
        <v>387</v>
      </c>
      <c r="C12842" t="s">
        <v>133</v>
      </c>
      <c r="D12842">
        <v>0</v>
      </c>
      <c r="E12842">
        <v>0</v>
      </c>
      <c r="F12842">
        <v>0</v>
      </c>
      <c r="G12842">
        <v>0</v>
      </c>
    </row>
    <row r="12843" spans="1:7">
      <c r="A12843" t="s">
        <v>1876</v>
      </c>
      <c r="B12843" t="s">
        <v>387</v>
      </c>
      <c r="C12843" t="s">
        <v>134</v>
      </c>
      <c r="D12843">
        <v>13875</v>
      </c>
      <c r="E12843">
        <v>14980</v>
      </c>
      <c r="F12843">
        <v>15616</v>
      </c>
      <c r="G12843">
        <v>16669</v>
      </c>
    </row>
    <row r="12844" spans="1:7">
      <c r="A12844" t="s">
        <v>1876</v>
      </c>
      <c r="B12844" t="s">
        <v>387</v>
      </c>
      <c r="C12844" t="s">
        <v>135</v>
      </c>
      <c r="D12844">
        <v>13875</v>
      </c>
      <c r="E12844">
        <v>14980</v>
      </c>
      <c r="F12844">
        <v>15616</v>
      </c>
      <c r="G12844">
        <v>16669</v>
      </c>
    </row>
    <row r="12845" spans="1:7">
      <c r="A12845" t="s">
        <v>1876</v>
      </c>
      <c r="B12845" t="s">
        <v>387</v>
      </c>
      <c r="C12845" t="s">
        <v>136</v>
      </c>
      <c r="D12845">
        <v>13875</v>
      </c>
      <c r="E12845">
        <v>14980</v>
      </c>
      <c r="F12845">
        <v>15616</v>
      </c>
      <c r="G12845">
        <v>16669</v>
      </c>
    </row>
    <row r="12846" spans="1:7">
      <c r="A12846" t="s">
        <v>1876</v>
      </c>
      <c r="B12846" t="s">
        <v>387</v>
      </c>
      <c r="C12846" t="s">
        <v>137</v>
      </c>
      <c r="D12846">
        <v>337</v>
      </c>
      <c r="E12846">
        <v>349</v>
      </c>
      <c r="F12846">
        <v>331</v>
      </c>
      <c r="G12846">
        <v>356</v>
      </c>
    </row>
    <row r="12847" spans="1:7">
      <c r="A12847" t="s">
        <v>1876</v>
      </c>
      <c r="B12847" t="s">
        <v>387</v>
      </c>
      <c r="C12847" t="s">
        <v>138</v>
      </c>
      <c r="D12847">
        <v>337</v>
      </c>
      <c r="E12847">
        <v>349</v>
      </c>
      <c r="F12847">
        <v>331</v>
      </c>
      <c r="G12847">
        <v>356</v>
      </c>
    </row>
    <row r="12848" spans="1:7">
      <c r="A12848" t="s">
        <v>1876</v>
      </c>
      <c r="B12848" t="s">
        <v>387</v>
      </c>
      <c r="C12848" t="s">
        <v>139</v>
      </c>
      <c r="D12848">
        <v>337</v>
      </c>
      <c r="E12848">
        <v>349</v>
      </c>
      <c r="F12848">
        <v>331</v>
      </c>
      <c r="G12848">
        <v>356</v>
      </c>
    </row>
    <row r="12849" spans="1:7">
      <c r="A12849" t="s">
        <v>1876</v>
      </c>
      <c r="B12849" t="s">
        <v>387</v>
      </c>
      <c r="C12849" t="s">
        <v>1877</v>
      </c>
      <c r="D12849">
        <v>0</v>
      </c>
      <c r="E12849">
        <v>0</v>
      </c>
      <c r="F12849">
        <v>0</v>
      </c>
      <c r="G12849">
        <v>0</v>
      </c>
    </row>
    <row r="12850" spans="1:7">
      <c r="A12850" t="s">
        <v>1876</v>
      </c>
      <c r="B12850" t="s">
        <v>387</v>
      </c>
      <c r="C12850" t="s">
        <v>1700</v>
      </c>
      <c r="D12850">
        <v>0</v>
      </c>
      <c r="E12850">
        <v>0</v>
      </c>
      <c r="F12850">
        <v>0</v>
      </c>
      <c r="G12850">
        <v>0</v>
      </c>
    </row>
    <row r="12851" spans="1:7">
      <c r="A12851" t="s">
        <v>1876</v>
      </c>
      <c r="B12851" t="s">
        <v>387</v>
      </c>
      <c r="C12851" t="s">
        <v>1878</v>
      </c>
      <c r="D12851">
        <v>0</v>
      </c>
      <c r="E12851">
        <v>0</v>
      </c>
      <c r="F12851">
        <v>0</v>
      </c>
      <c r="G12851">
        <v>0</v>
      </c>
    </row>
    <row r="12852" spans="1:7">
      <c r="A12852" t="s">
        <v>1876</v>
      </c>
      <c r="B12852" t="s">
        <v>387</v>
      </c>
      <c r="C12852" t="s">
        <v>1879</v>
      </c>
      <c r="D12852">
        <v>0</v>
      </c>
      <c r="E12852">
        <v>0</v>
      </c>
      <c r="F12852">
        <v>0</v>
      </c>
      <c r="G12852">
        <v>0</v>
      </c>
    </row>
    <row r="12853" spans="1:7">
      <c r="A12853" t="s">
        <v>1876</v>
      </c>
      <c r="B12853" t="s">
        <v>387</v>
      </c>
      <c r="C12853" t="s">
        <v>1701</v>
      </c>
      <c r="D12853">
        <v>0</v>
      </c>
      <c r="E12853">
        <v>0</v>
      </c>
      <c r="F12853">
        <v>0</v>
      </c>
      <c r="G12853">
        <v>0</v>
      </c>
    </row>
    <row r="12854" spans="1:7">
      <c r="A12854" t="s">
        <v>1876</v>
      </c>
      <c r="B12854" t="s">
        <v>387</v>
      </c>
      <c r="C12854" t="s">
        <v>1880</v>
      </c>
      <c r="D12854">
        <v>1250</v>
      </c>
      <c r="E12854">
        <v>1092</v>
      </c>
      <c r="F12854">
        <v>1329</v>
      </c>
      <c r="G12854">
        <v>1304</v>
      </c>
    </row>
    <row r="12855" spans="1:7">
      <c r="A12855" t="s">
        <v>1876</v>
      </c>
      <c r="B12855" t="s">
        <v>387</v>
      </c>
      <c r="C12855" t="s">
        <v>140</v>
      </c>
      <c r="D12855">
        <v>2938</v>
      </c>
      <c r="E12855">
        <v>2639</v>
      </c>
      <c r="F12855">
        <v>3584</v>
      </c>
      <c r="G12855">
        <v>3716</v>
      </c>
    </row>
    <row r="12856" spans="1:7">
      <c r="A12856" t="s">
        <v>1876</v>
      </c>
      <c r="B12856" t="s">
        <v>387</v>
      </c>
      <c r="C12856" t="s">
        <v>1881</v>
      </c>
      <c r="D12856">
        <v>1688</v>
      </c>
      <c r="E12856">
        <v>1547</v>
      </c>
      <c r="F12856">
        <v>2255</v>
      </c>
      <c r="G12856">
        <v>2412</v>
      </c>
    </row>
    <row r="12857" spans="1:7">
      <c r="A12857" t="s">
        <v>1876</v>
      </c>
      <c r="B12857" t="s">
        <v>387</v>
      </c>
      <c r="C12857" t="s">
        <v>1882</v>
      </c>
      <c r="D12857">
        <v>0</v>
      </c>
      <c r="E12857">
        <v>0</v>
      </c>
      <c r="F12857">
        <v>0</v>
      </c>
      <c r="G12857">
        <v>0</v>
      </c>
    </row>
    <row r="12858" spans="1:7">
      <c r="A12858" t="s">
        <v>1876</v>
      </c>
      <c r="B12858" t="s">
        <v>387</v>
      </c>
      <c r="C12858" t="s">
        <v>1883</v>
      </c>
      <c r="D12858">
        <v>0</v>
      </c>
      <c r="E12858">
        <v>0</v>
      </c>
      <c r="F12858">
        <v>0</v>
      </c>
      <c r="G12858">
        <v>0</v>
      </c>
    </row>
    <row r="12859" spans="1:7">
      <c r="A12859" t="s">
        <v>1876</v>
      </c>
      <c r="B12859" t="s">
        <v>387</v>
      </c>
      <c r="C12859" t="s">
        <v>1884</v>
      </c>
      <c r="D12859">
        <v>0</v>
      </c>
      <c r="E12859">
        <v>0</v>
      </c>
      <c r="F12859">
        <v>0</v>
      </c>
      <c r="G12859">
        <v>0</v>
      </c>
    </row>
    <row r="12860" spans="1:7">
      <c r="A12860" t="s">
        <v>1876</v>
      </c>
      <c r="B12860" t="s">
        <v>387</v>
      </c>
      <c r="C12860" t="s">
        <v>1885</v>
      </c>
      <c r="D12860">
        <v>0</v>
      </c>
      <c r="E12860">
        <v>0</v>
      </c>
      <c r="F12860">
        <v>0</v>
      </c>
      <c r="G12860">
        <v>0</v>
      </c>
    </row>
    <row r="12861" spans="1:7">
      <c r="A12861" t="s">
        <v>1876</v>
      </c>
      <c r="B12861" t="s">
        <v>387</v>
      </c>
      <c r="C12861" t="s">
        <v>1886</v>
      </c>
      <c r="D12861">
        <v>0</v>
      </c>
      <c r="E12861">
        <v>0</v>
      </c>
      <c r="F12861">
        <v>0</v>
      </c>
      <c r="G12861">
        <v>0</v>
      </c>
    </row>
    <row r="12862" spans="1:7">
      <c r="A12862" t="s">
        <v>1876</v>
      </c>
      <c r="B12862" t="s">
        <v>387</v>
      </c>
      <c r="C12862" t="s">
        <v>141</v>
      </c>
      <c r="D12862">
        <v>0</v>
      </c>
      <c r="E12862">
        <v>0</v>
      </c>
      <c r="F12862">
        <v>0</v>
      </c>
      <c r="G12862">
        <v>0</v>
      </c>
    </row>
    <row r="12863" spans="1:7">
      <c r="A12863" t="s">
        <v>1876</v>
      </c>
      <c r="B12863" t="s">
        <v>387</v>
      </c>
      <c r="C12863" t="s">
        <v>1887</v>
      </c>
      <c r="D12863">
        <v>0</v>
      </c>
      <c r="E12863">
        <v>0</v>
      </c>
      <c r="F12863">
        <v>0</v>
      </c>
      <c r="G12863">
        <v>0</v>
      </c>
    </row>
    <row r="12864" spans="1:7">
      <c r="A12864" t="s">
        <v>1876</v>
      </c>
      <c r="B12864" t="s">
        <v>387</v>
      </c>
      <c r="C12864" t="s">
        <v>1888</v>
      </c>
      <c r="D12864">
        <v>0</v>
      </c>
      <c r="E12864">
        <v>0</v>
      </c>
      <c r="F12864">
        <v>0</v>
      </c>
      <c r="G12864">
        <v>0</v>
      </c>
    </row>
    <row r="12865" spans="1:7">
      <c r="A12865" t="s">
        <v>1876</v>
      </c>
      <c r="B12865" t="s">
        <v>387</v>
      </c>
      <c r="C12865" t="s">
        <v>1889</v>
      </c>
      <c r="D12865">
        <v>1250</v>
      </c>
      <c r="E12865">
        <v>1092</v>
      </c>
      <c r="F12865">
        <v>1329</v>
      </c>
      <c r="G12865">
        <v>1304</v>
      </c>
    </row>
    <row r="12866" spans="1:7">
      <c r="A12866" t="s">
        <v>1876</v>
      </c>
      <c r="B12866" t="s">
        <v>387</v>
      </c>
      <c r="C12866" t="s">
        <v>1890</v>
      </c>
      <c r="D12866">
        <v>0</v>
      </c>
      <c r="E12866">
        <v>0</v>
      </c>
      <c r="F12866">
        <v>0</v>
      </c>
      <c r="G12866">
        <v>0</v>
      </c>
    </row>
    <row r="12867" spans="1:7">
      <c r="A12867" t="s">
        <v>1876</v>
      </c>
      <c r="B12867" t="s">
        <v>387</v>
      </c>
      <c r="C12867" t="s">
        <v>1891</v>
      </c>
    </row>
    <row r="12868" spans="1:7">
      <c r="A12868" t="s">
        <v>1876</v>
      </c>
      <c r="B12868" t="s">
        <v>387</v>
      </c>
      <c r="C12868" t="s">
        <v>1892</v>
      </c>
      <c r="D12868">
        <v>1688</v>
      </c>
      <c r="E12868">
        <v>1547</v>
      </c>
      <c r="F12868">
        <v>2255</v>
      </c>
      <c r="G12868">
        <v>2412</v>
      </c>
    </row>
    <row r="12869" spans="1:7">
      <c r="A12869" t="s">
        <v>1876</v>
      </c>
      <c r="B12869" t="s">
        <v>387</v>
      </c>
      <c r="C12869" t="s">
        <v>142</v>
      </c>
      <c r="D12869">
        <v>2938</v>
      </c>
      <c r="E12869">
        <v>2639</v>
      </c>
      <c r="F12869">
        <v>3584</v>
      </c>
      <c r="G12869">
        <v>3716</v>
      </c>
    </row>
    <row r="12870" spans="1:7">
      <c r="A12870" t="s">
        <v>1876</v>
      </c>
      <c r="B12870" t="s">
        <v>387</v>
      </c>
      <c r="C12870" t="s">
        <v>1893</v>
      </c>
      <c r="D12870">
        <v>2938</v>
      </c>
      <c r="E12870">
        <v>2639</v>
      </c>
      <c r="F12870">
        <v>3584</v>
      </c>
      <c r="G12870">
        <v>3716</v>
      </c>
    </row>
    <row r="12871" spans="1:7">
      <c r="A12871" t="s">
        <v>1876</v>
      </c>
      <c r="B12871" t="s">
        <v>387</v>
      </c>
      <c r="C12871" t="s">
        <v>1894</v>
      </c>
      <c r="D12871">
        <v>1688</v>
      </c>
      <c r="E12871">
        <v>1547</v>
      </c>
      <c r="F12871">
        <v>2255</v>
      </c>
      <c r="G12871">
        <v>2412</v>
      </c>
    </row>
    <row r="12872" spans="1:7">
      <c r="A12872" t="s">
        <v>1876</v>
      </c>
      <c r="B12872" t="s">
        <v>387</v>
      </c>
      <c r="C12872" t="s">
        <v>143</v>
      </c>
      <c r="D12872">
        <v>0</v>
      </c>
      <c r="E12872">
        <v>0</v>
      </c>
      <c r="F12872">
        <v>0</v>
      </c>
      <c r="G12872">
        <v>0</v>
      </c>
    </row>
    <row r="12873" spans="1:7">
      <c r="A12873" t="s">
        <v>1876</v>
      </c>
      <c r="B12873" t="s">
        <v>387</v>
      </c>
      <c r="C12873" t="s">
        <v>144</v>
      </c>
      <c r="D12873">
        <v>25755</v>
      </c>
      <c r="E12873">
        <v>25128</v>
      </c>
      <c r="F12873">
        <v>26705</v>
      </c>
      <c r="G12873">
        <v>27038</v>
      </c>
    </row>
    <row r="12874" spans="1:7">
      <c r="A12874" t="s">
        <v>1876</v>
      </c>
      <c r="B12874" t="s">
        <v>387</v>
      </c>
      <c r="C12874" t="s">
        <v>1895</v>
      </c>
      <c r="D12874">
        <v>49.4</v>
      </c>
      <c r="E12874">
        <v>46.8</v>
      </c>
      <c r="F12874">
        <v>45.6</v>
      </c>
      <c r="G12874">
        <v>49.7</v>
      </c>
    </row>
    <row r="12875" spans="1:7">
      <c r="A12875" t="s">
        <v>1876</v>
      </c>
      <c r="B12875" t="s">
        <v>387</v>
      </c>
      <c r="C12875" t="s">
        <v>145</v>
      </c>
      <c r="D12875">
        <v>125195</v>
      </c>
      <c r="E12875">
        <v>133612</v>
      </c>
      <c r="F12875">
        <v>129309</v>
      </c>
      <c r="G12875">
        <v>126417</v>
      </c>
    </row>
    <row r="12876" spans="1:7">
      <c r="A12876" t="s">
        <v>1876</v>
      </c>
      <c r="B12876" t="s">
        <v>387</v>
      </c>
      <c r="C12876" t="s">
        <v>146</v>
      </c>
      <c r="D12876">
        <v>0</v>
      </c>
      <c r="E12876">
        <v>0</v>
      </c>
      <c r="F12876">
        <v>0</v>
      </c>
      <c r="G12876">
        <v>0</v>
      </c>
    </row>
    <row r="12877" spans="1:7">
      <c r="A12877" t="s">
        <v>1876</v>
      </c>
      <c r="B12877" t="s">
        <v>387</v>
      </c>
      <c r="C12877" t="s">
        <v>147</v>
      </c>
      <c r="D12877">
        <v>0</v>
      </c>
      <c r="E12877">
        <v>0</v>
      </c>
      <c r="F12877">
        <v>0</v>
      </c>
      <c r="G12877">
        <v>0</v>
      </c>
    </row>
    <row r="12878" spans="1:7">
      <c r="A12878" t="s">
        <v>1876</v>
      </c>
      <c r="B12878" t="s">
        <v>387</v>
      </c>
      <c r="C12878" t="s">
        <v>1896</v>
      </c>
      <c r="D12878">
        <v>4.4000000000000004</v>
      </c>
      <c r="E12878">
        <v>1.3</v>
      </c>
      <c r="F12878">
        <v>0.4</v>
      </c>
      <c r="G12878">
        <v>0.4</v>
      </c>
    </row>
    <row r="12879" spans="1:7">
      <c r="A12879" t="s">
        <v>1876</v>
      </c>
      <c r="B12879" t="s">
        <v>387</v>
      </c>
      <c r="C12879" t="s">
        <v>1702</v>
      </c>
      <c r="D12879">
        <v>4</v>
      </c>
      <c r="E12879">
        <v>4</v>
      </c>
      <c r="F12879">
        <v>22</v>
      </c>
      <c r="G12879">
        <v>88</v>
      </c>
    </row>
    <row r="12880" spans="1:7">
      <c r="A12880" t="s">
        <v>1876</v>
      </c>
      <c r="B12880" t="s">
        <v>387</v>
      </c>
      <c r="C12880" t="s">
        <v>1897</v>
      </c>
      <c r="D12880">
        <v>7.2</v>
      </c>
      <c r="E12880">
        <v>11.3</v>
      </c>
      <c r="F12880">
        <v>20</v>
      </c>
      <c r="G12880">
        <v>25.9</v>
      </c>
    </row>
    <row r="12881" spans="1:7">
      <c r="A12881" t="s">
        <v>1876</v>
      </c>
      <c r="B12881" t="s">
        <v>387</v>
      </c>
      <c r="C12881" t="s">
        <v>1898</v>
      </c>
      <c r="D12881">
        <v>10</v>
      </c>
      <c r="E12881">
        <v>18</v>
      </c>
      <c r="F12881">
        <v>54</v>
      </c>
      <c r="G12881">
        <v>79</v>
      </c>
    </row>
    <row r="12882" spans="1:7">
      <c r="A12882" t="s">
        <v>1876</v>
      </c>
      <c r="B12882" t="s">
        <v>387</v>
      </c>
      <c r="C12882" t="s">
        <v>1899</v>
      </c>
      <c r="D12882">
        <v>1688</v>
      </c>
      <c r="E12882">
        <v>1547</v>
      </c>
      <c r="F12882">
        <v>2255</v>
      </c>
      <c r="G12882">
        <v>2412</v>
      </c>
    </row>
    <row r="12883" spans="1:7">
      <c r="A12883" t="s">
        <v>1876</v>
      </c>
      <c r="B12883" t="s">
        <v>387</v>
      </c>
      <c r="C12883" t="s">
        <v>148</v>
      </c>
      <c r="D12883">
        <v>0</v>
      </c>
      <c r="E12883">
        <v>0</v>
      </c>
      <c r="F12883">
        <v>0</v>
      </c>
      <c r="G12883">
        <v>0</v>
      </c>
    </row>
    <row r="12884" spans="1:7">
      <c r="A12884" t="s">
        <v>1876</v>
      </c>
      <c r="B12884" t="s">
        <v>387</v>
      </c>
      <c r="C12884" t="s">
        <v>149</v>
      </c>
      <c r="D12884">
        <v>0</v>
      </c>
      <c r="E12884">
        <v>0</v>
      </c>
      <c r="F12884">
        <v>0</v>
      </c>
      <c r="G12884">
        <v>0</v>
      </c>
    </row>
    <row r="12885" spans="1:7">
      <c r="A12885" t="s">
        <v>1876</v>
      </c>
      <c r="B12885" t="s">
        <v>387</v>
      </c>
      <c r="C12885" t="s">
        <v>150</v>
      </c>
      <c r="D12885">
        <v>0</v>
      </c>
      <c r="E12885">
        <v>0</v>
      </c>
      <c r="F12885">
        <v>0</v>
      </c>
      <c r="G12885">
        <v>0</v>
      </c>
    </row>
    <row r="12886" spans="1:7">
      <c r="A12886" t="s">
        <v>1876</v>
      </c>
      <c r="B12886" t="s">
        <v>387</v>
      </c>
      <c r="C12886" t="s">
        <v>1900</v>
      </c>
      <c r="D12886">
        <v>34.4</v>
      </c>
      <c r="E12886">
        <v>32.299999999999997</v>
      </c>
      <c r="F12886">
        <v>35.700000000000003</v>
      </c>
      <c r="G12886">
        <v>39.1</v>
      </c>
    </row>
    <row r="12887" spans="1:7">
      <c r="A12887" t="s">
        <v>1876</v>
      </c>
      <c r="B12887" t="s">
        <v>387</v>
      </c>
      <c r="C12887" t="s">
        <v>151</v>
      </c>
      <c r="D12887">
        <v>0</v>
      </c>
      <c r="E12887">
        <v>0</v>
      </c>
      <c r="F12887">
        <v>0</v>
      </c>
      <c r="G12887">
        <v>0</v>
      </c>
    </row>
    <row r="12888" spans="1:7">
      <c r="A12888" t="s">
        <v>1876</v>
      </c>
      <c r="B12888" t="s">
        <v>387</v>
      </c>
      <c r="C12888" t="s">
        <v>152</v>
      </c>
      <c r="D12888">
        <v>159246</v>
      </c>
      <c r="E12888">
        <v>148579</v>
      </c>
      <c r="F12888">
        <v>160422</v>
      </c>
      <c r="G12888">
        <v>178533</v>
      </c>
    </row>
    <row r="12889" spans="1:7">
      <c r="A12889" t="s">
        <v>1876</v>
      </c>
      <c r="B12889" t="s">
        <v>387</v>
      </c>
      <c r="C12889" t="s">
        <v>1703</v>
      </c>
      <c r="D12889">
        <v>4789</v>
      </c>
      <c r="E12889">
        <v>4789</v>
      </c>
      <c r="F12889">
        <v>4749</v>
      </c>
      <c r="G12889">
        <v>4754</v>
      </c>
    </row>
    <row r="12890" spans="1:7">
      <c r="A12890" t="s">
        <v>1876</v>
      </c>
      <c r="B12890" t="s">
        <v>387</v>
      </c>
      <c r="C12890" t="s">
        <v>153</v>
      </c>
      <c r="D12890">
        <v>3382</v>
      </c>
      <c r="E12890">
        <v>2394</v>
      </c>
      <c r="F12890">
        <v>1901</v>
      </c>
      <c r="G12890">
        <v>1888</v>
      </c>
    </row>
    <row r="12891" spans="1:7">
      <c r="A12891" t="s">
        <v>1876</v>
      </c>
      <c r="B12891" t="s">
        <v>387</v>
      </c>
      <c r="C12891" t="s">
        <v>154</v>
      </c>
      <c r="D12891">
        <v>0</v>
      </c>
      <c r="E12891">
        <v>0</v>
      </c>
      <c r="F12891">
        <v>0</v>
      </c>
      <c r="G12891">
        <v>0</v>
      </c>
    </row>
    <row r="12892" spans="1:7">
      <c r="A12892" t="s">
        <v>1876</v>
      </c>
      <c r="B12892" t="s">
        <v>387</v>
      </c>
      <c r="C12892" t="s">
        <v>155</v>
      </c>
      <c r="D12892">
        <v>3382</v>
      </c>
      <c r="E12892">
        <v>2394</v>
      </c>
      <c r="F12892">
        <v>1901</v>
      </c>
      <c r="G12892">
        <v>1888</v>
      </c>
    </row>
    <row r="12893" spans="1:7">
      <c r="A12893" t="s">
        <v>1876</v>
      </c>
      <c r="B12893" t="s">
        <v>387</v>
      </c>
      <c r="C12893" t="s">
        <v>156</v>
      </c>
      <c r="D12893">
        <v>0</v>
      </c>
      <c r="E12893">
        <v>0</v>
      </c>
      <c r="F12893">
        <v>0</v>
      </c>
      <c r="G12893">
        <v>0</v>
      </c>
    </row>
    <row r="12894" spans="1:7">
      <c r="A12894" t="s">
        <v>1876</v>
      </c>
      <c r="B12894" t="s">
        <v>387</v>
      </c>
      <c r="C12894" t="s">
        <v>157</v>
      </c>
      <c r="D12894">
        <v>162628</v>
      </c>
      <c r="E12894">
        <v>150973</v>
      </c>
      <c r="F12894">
        <v>162323</v>
      </c>
      <c r="G12894">
        <v>180421</v>
      </c>
    </row>
    <row r="12895" spans="1:7">
      <c r="A12895" t="s">
        <v>1876</v>
      </c>
      <c r="B12895" t="s">
        <v>387</v>
      </c>
      <c r="C12895" t="s">
        <v>158</v>
      </c>
      <c r="D12895">
        <v>3382</v>
      </c>
      <c r="E12895">
        <v>2394</v>
      </c>
      <c r="F12895">
        <v>1901</v>
      </c>
      <c r="G12895">
        <v>1888</v>
      </c>
    </row>
    <row r="12896" spans="1:7">
      <c r="A12896" t="s">
        <v>1876</v>
      </c>
      <c r="B12896" t="s">
        <v>387</v>
      </c>
      <c r="C12896" t="s">
        <v>159</v>
      </c>
      <c r="D12896">
        <v>0</v>
      </c>
      <c r="E12896">
        <v>0</v>
      </c>
      <c r="F12896">
        <v>0</v>
      </c>
      <c r="G12896">
        <v>0</v>
      </c>
    </row>
    <row r="12897" spans="1:7">
      <c r="A12897" t="s">
        <v>1876</v>
      </c>
      <c r="B12897" t="s">
        <v>387</v>
      </c>
      <c r="C12897" t="s">
        <v>1901</v>
      </c>
      <c r="D12897">
        <v>68.5</v>
      </c>
      <c r="E12897">
        <v>66.400000000000006</v>
      </c>
      <c r="F12897">
        <v>66.5</v>
      </c>
      <c r="G12897">
        <v>64.2</v>
      </c>
    </row>
    <row r="12898" spans="1:7">
      <c r="A12898" t="s">
        <v>1876</v>
      </c>
      <c r="B12898" t="s">
        <v>387</v>
      </c>
      <c r="C12898" t="s">
        <v>1902</v>
      </c>
      <c r="D12898">
        <v>121227</v>
      </c>
      <c r="E12898">
        <v>117855</v>
      </c>
      <c r="F12898">
        <v>116747</v>
      </c>
      <c r="G12898">
        <v>115638</v>
      </c>
    </row>
    <row r="12899" spans="1:7">
      <c r="A12899" t="s">
        <v>1876</v>
      </c>
      <c r="B12899" t="s">
        <v>387</v>
      </c>
      <c r="C12899" t="s">
        <v>1903</v>
      </c>
      <c r="D12899">
        <v>3052</v>
      </c>
      <c r="E12899">
        <v>3021</v>
      </c>
      <c r="F12899">
        <v>2827</v>
      </c>
      <c r="G12899">
        <v>2898</v>
      </c>
    </row>
    <row r="12900" spans="1:7">
      <c r="A12900" t="s">
        <v>1876</v>
      </c>
      <c r="B12900" t="s">
        <v>387</v>
      </c>
      <c r="C12900" t="s">
        <v>1904</v>
      </c>
      <c r="D12900">
        <v>889</v>
      </c>
      <c r="E12900">
        <v>2003</v>
      </c>
      <c r="F12900">
        <v>957</v>
      </c>
      <c r="G12900">
        <v>1000</v>
      </c>
    </row>
    <row r="12901" spans="1:7">
      <c r="A12901" t="s">
        <v>1876</v>
      </c>
      <c r="B12901" t="s">
        <v>387</v>
      </c>
      <c r="C12901" t="s">
        <v>1905</v>
      </c>
      <c r="D12901">
        <v>10769</v>
      </c>
      <c r="E12901">
        <v>10886</v>
      </c>
      <c r="F12901">
        <v>10625</v>
      </c>
      <c r="G12901">
        <v>10311</v>
      </c>
    </row>
    <row r="12902" spans="1:7">
      <c r="A12902" t="s">
        <v>1876</v>
      </c>
      <c r="B12902" t="s">
        <v>387</v>
      </c>
      <c r="C12902" t="s">
        <v>1906</v>
      </c>
      <c r="D12902">
        <v>480</v>
      </c>
      <c r="E12902">
        <v>482</v>
      </c>
      <c r="F12902">
        <v>450</v>
      </c>
      <c r="G12902">
        <v>452</v>
      </c>
    </row>
    <row r="12903" spans="1:7">
      <c r="A12903" t="s">
        <v>1876</v>
      </c>
      <c r="B12903" t="s">
        <v>387</v>
      </c>
      <c r="C12903" t="s">
        <v>1907</v>
      </c>
      <c r="D12903">
        <v>136417</v>
      </c>
      <c r="E12903">
        <v>134246</v>
      </c>
      <c r="F12903">
        <v>131607</v>
      </c>
      <c r="G12903">
        <v>130298</v>
      </c>
    </row>
    <row r="12904" spans="1:7">
      <c r="A12904" t="s">
        <v>1876</v>
      </c>
      <c r="B12904" t="s">
        <v>387</v>
      </c>
      <c r="C12904" t="s">
        <v>160</v>
      </c>
      <c r="D12904">
        <v>119539</v>
      </c>
      <c r="E12904">
        <v>116308</v>
      </c>
      <c r="F12904">
        <v>114492</v>
      </c>
      <c r="G12904">
        <v>113226</v>
      </c>
    </row>
    <row r="12905" spans="1:7">
      <c r="A12905" t="s">
        <v>1876</v>
      </c>
      <c r="B12905" t="s">
        <v>387</v>
      </c>
      <c r="C12905" t="s">
        <v>161</v>
      </c>
      <c r="D12905">
        <v>3052</v>
      </c>
      <c r="E12905">
        <v>3021</v>
      </c>
      <c r="F12905">
        <v>2827</v>
      </c>
      <c r="G12905">
        <v>2898</v>
      </c>
    </row>
    <row r="12906" spans="1:7">
      <c r="A12906" t="s">
        <v>1876</v>
      </c>
      <c r="B12906" t="s">
        <v>387</v>
      </c>
      <c r="C12906" t="s">
        <v>162</v>
      </c>
      <c r="D12906">
        <v>889</v>
      </c>
      <c r="E12906">
        <v>2003</v>
      </c>
      <c r="F12906">
        <v>957</v>
      </c>
      <c r="G12906">
        <v>1000</v>
      </c>
    </row>
    <row r="12907" spans="1:7">
      <c r="A12907" t="s">
        <v>1876</v>
      </c>
      <c r="B12907" t="s">
        <v>387</v>
      </c>
      <c r="C12907" t="s">
        <v>163</v>
      </c>
      <c r="D12907">
        <v>10769</v>
      </c>
      <c r="E12907">
        <v>10886</v>
      </c>
      <c r="F12907">
        <v>10625</v>
      </c>
      <c r="G12907">
        <v>10311</v>
      </c>
    </row>
    <row r="12908" spans="1:7">
      <c r="A12908" t="s">
        <v>1876</v>
      </c>
      <c r="B12908" t="s">
        <v>387</v>
      </c>
      <c r="C12908" t="s">
        <v>164</v>
      </c>
      <c r="D12908">
        <v>480</v>
      </c>
      <c r="E12908">
        <v>482</v>
      </c>
      <c r="F12908">
        <v>450</v>
      </c>
      <c r="G12908">
        <v>452</v>
      </c>
    </row>
    <row r="12909" spans="1:7">
      <c r="A12909" t="s">
        <v>1876</v>
      </c>
      <c r="B12909" t="s">
        <v>387</v>
      </c>
      <c r="C12909" t="s">
        <v>165</v>
      </c>
      <c r="D12909">
        <v>134729</v>
      </c>
      <c r="E12909">
        <v>132700</v>
      </c>
      <c r="F12909">
        <v>129352</v>
      </c>
      <c r="G12909">
        <v>127886</v>
      </c>
    </row>
    <row r="12910" spans="1:7">
      <c r="A12910" t="s">
        <v>1876</v>
      </c>
      <c r="B12910" t="s">
        <v>387</v>
      </c>
      <c r="C12910" t="s">
        <v>166</v>
      </c>
      <c r="D12910">
        <v>133840</v>
      </c>
      <c r="E12910">
        <v>130697</v>
      </c>
      <c r="F12910">
        <v>128394</v>
      </c>
      <c r="G12910">
        <v>126886</v>
      </c>
    </row>
    <row r="12911" spans="1:7">
      <c r="A12911" t="s">
        <v>1876</v>
      </c>
      <c r="B12911" t="s">
        <v>387</v>
      </c>
      <c r="C12911" t="s">
        <v>167</v>
      </c>
      <c r="D12911">
        <v>889</v>
      </c>
      <c r="E12911">
        <v>2003</v>
      </c>
      <c r="F12911">
        <v>957</v>
      </c>
      <c r="G12911">
        <v>1000</v>
      </c>
    </row>
    <row r="12912" spans="1:7">
      <c r="A12912" t="s">
        <v>1876</v>
      </c>
      <c r="B12912" t="s">
        <v>387</v>
      </c>
      <c r="C12912" t="s">
        <v>1908</v>
      </c>
      <c r="D12912">
        <v>118289</v>
      </c>
      <c r="E12912">
        <v>115216</v>
      </c>
      <c r="F12912">
        <v>113163</v>
      </c>
      <c r="G12912">
        <v>111922</v>
      </c>
    </row>
    <row r="12913" spans="1:7">
      <c r="A12913" t="s">
        <v>1876</v>
      </c>
      <c r="B12913" t="s">
        <v>387</v>
      </c>
      <c r="C12913" t="s">
        <v>1909</v>
      </c>
      <c r="D12913">
        <v>3052</v>
      </c>
      <c r="E12913">
        <v>3021</v>
      </c>
      <c r="F12913">
        <v>2827</v>
      </c>
      <c r="G12913">
        <v>2898</v>
      </c>
    </row>
    <row r="12914" spans="1:7">
      <c r="A12914" t="s">
        <v>1876</v>
      </c>
      <c r="B12914" t="s">
        <v>387</v>
      </c>
      <c r="C12914" t="s">
        <v>1910</v>
      </c>
      <c r="D12914">
        <v>889</v>
      </c>
      <c r="E12914">
        <v>2003</v>
      </c>
      <c r="F12914">
        <v>957</v>
      </c>
      <c r="G12914">
        <v>1000</v>
      </c>
    </row>
    <row r="12915" spans="1:7">
      <c r="A12915" t="s">
        <v>1876</v>
      </c>
      <c r="B12915" t="s">
        <v>387</v>
      </c>
      <c r="C12915" t="s">
        <v>1911</v>
      </c>
      <c r="D12915">
        <v>10769</v>
      </c>
      <c r="E12915">
        <v>10886</v>
      </c>
      <c r="F12915">
        <v>10625</v>
      </c>
      <c r="G12915">
        <v>10311</v>
      </c>
    </row>
    <row r="12916" spans="1:7">
      <c r="A12916" t="s">
        <v>1876</v>
      </c>
      <c r="B12916" t="s">
        <v>387</v>
      </c>
      <c r="C12916" t="s">
        <v>1912</v>
      </c>
      <c r="D12916">
        <v>480</v>
      </c>
      <c r="E12916">
        <v>482</v>
      </c>
      <c r="F12916">
        <v>450</v>
      </c>
      <c r="G12916">
        <v>452</v>
      </c>
    </row>
    <row r="12917" spans="1:7">
      <c r="A12917" t="s">
        <v>1876</v>
      </c>
      <c r="B12917" t="s">
        <v>387</v>
      </c>
      <c r="C12917" t="s">
        <v>168</v>
      </c>
      <c r="D12917">
        <v>133479</v>
      </c>
      <c r="E12917">
        <v>131608</v>
      </c>
      <c r="F12917">
        <v>128023</v>
      </c>
      <c r="G12917">
        <v>126582</v>
      </c>
    </row>
    <row r="12918" spans="1:7">
      <c r="A12918" t="s">
        <v>1876</v>
      </c>
      <c r="B12918" t="s">
        <v>387</v>
      </c>
      <c r="C12918" t="s">
        <v>169</v>
      </c>
      <c r="D12918">
        <v>0</v>
      </c>
      <c r="E12918">
        <v>0</v>
      </c>
      <c r="F12918">
        <v>0</v>
      </c>
      <c r="G12918">
        <v>0</v>
      </c>
    </row>
    <row r="12919" spans="1:7">
      <c r="A12919" t="s">
        <v>1876</v>
      </c>
      <c r="B12919" t="s">
        <v>387</v>
      </c>
      <c r="C12919" t="s">
        <v>1704</v>
      </c>
      <c r="D12919">
        <v>24268</v>
      </c>
      <c r="E12919">
        <v>24286</v>
      </c>
      <c r="F12919">
        <v>24422</v>
      </c>
      <c r="G12919">
        <v>24706</v>
      </c>
    </row>
    <row r="12920" spans="1:7">
      <c r="A12920" t="s">
        <v>1876</v>
      </c>
      <c r="B12920" t="s">
        <v>387</v>
      </c>
      <c r="C12920" t="s">
        <v>170</v>
      </c>
      <c r="D12920">
        <v>0</v>
      </c>
      <c r="E12920">
        <v>0</v>
      </c>
      <c r="F12920">
        <v>0</v>
      </c>
      <c r="G12920">
        <v>0</v>
      </c>
    </row>
    <row r="12921" spans="1:7">
      <c r="A12921" t="s">
        <v>1876</v>
      </c>
      <c r="B12921" t="s">
        <v>387</v>
      </c>
      <c r="C12921" t="s">
        <v>171</v>
      </c>
      <c r="D12921">
        <v>-121257</v>
      </c>
      <c r="E12921">
        <v>-93187</v>
      </c>
      <c r="F12921">
        <v>-136255</v>
      </c>
      <c r="G12921">
        <v>-101635</v>
      </c>
    </row>
    <row r="12922" spans="1:7">
      <c r="A12922" t="s">
        <v>1876</v>
      </c>
      <c r="B12922" t="s">
        <v>387</v>
      </c>
      <c r="C12922" t="s">
        <v>172</v>
      </c>
      <c r="D12922">
        <v>0</v>
      </c>
      <c r="E12922">
        <v>0</v>
      </c>
      <c r="F12922">
        <v>0</v>
      </c>
      <c r="G12922">
        <v>0</v>
      </c>
    </row>
    <row r="12923" spans="1:7">
      <c r="A12923" t="s">
        <v>1876</v>
      </c>
      <c r="B12923" t="s">
        <v>387</v>
      </c>
      <c r="C12923" t="s">
        <v>1913</v>
      </c>
      <c r="D12923">
        <v>11.7</v>
      </c>
      <c r="E12923">
        <v>17.5</v>
      </c>
      <c r="F12923">
        <v>27.9</v>
      </c>
      <c r="G12923">
        <v>36.6</v>
      </c>
    </row>
    <row r="12924" spans="1:7">
      <c r="A12924" t="s">
        <v>1876</v>
      </c>
      <c r="B12924" t="s">
        <v>387</v>
      </c>
      <c r="C12924" t="s">
        <v>1914</v>
      </c>
      <c r="D12924">
        <v>0.3</v>
      </c>
      <c r="E12924">
        <v>0.4</v>
      </c>
      <c r="F12924">
        <v>0.6</v>
      </c>
      <c r="G12924">
        <v>0.8</v>
      </c>
    </row>
    <row r="12925" spans="1:7">
      <c r="A12925" t="s">
        <v>1876</v>
      </c>
      <c r="B12925" t="s">
        <v>387</v>
      </c>
      <c r="C12925" t="s">
        <v>173</v>
      </c>
      <c r="D12925">
        <v>22147</v>
      </c>
      <c r="E12925">
        <v>21750</v>
      </c>
      <c r="F12925">
        <v>22374</v>
      </c>
      <c r="G12925">
        <v>22644</v>
      </c>
    </row>
    <row r="12926" spans="1:7">
      <c r="A12926" t="s">
        <v>1876</v>
      </c>
      <c r="B12926" t="s">
        <v>387</v>
      </c>
      <c r="C12926" t="s">
        <v>174</v>
      </c>
      <c r="D12926">
        <v>456</v>
      </c>
      <c r="E12926">
        <v>514</v>
      </c>
      <c r="F12926">
        <v>519</v>
      </c>
      <c r="G12926">
        <v>479</v>
      </c>
    </row>
    <row r="12927" spans="1:7">
      <c r="A12927" t="s">
        <v>1876</v>
      </c>
      <c r="B12927" t="s">
        <v>387</v>
      </c>
      <c r="C12927" t="s">
        <v>175</v>
      </c>
      <c r="D12927">
        <v>214</v>
      </c>
      <c r="E12927">
        <v>225</v>
      </c>
      <c r="F12927">
        <v>227</v>
      </c>
      <c r="G12927">
        <v>200</v>
      </c>
    </row>
    <row r="12928" spans="1:7">
      <c r="A12928" t="s">
        <v>1876</v>
      </c>
      <c r="B12928" t="s">
        <v>387</v>
      </c>
      <c r="C12928" t="s">
        <v>176</v>
      </c>
      <c r="D12928">
        <v>0</v>
      </c>
      <c r="E12928">
        <v>0</v>
      </c>
      <c r="F12928">
        <v>0</v>
      </c>
      <c r="G12928">
        <v>0</v>
      </c>
    </row>
    <row r="12929" spans="1:7">
      <c r="A12929" t="s">
        <v>1876</v>
      </c>
      <c r="B12929" t="s">
        <v>387</v>
      </c>
      <c r="C12929" t="s">
        <v>177</v>
      </c>
      <c r="D12929">
        <v>22817</v>
      </c>
      <c r="E12929">
        <v>22490</v>
      </c>
      <c r="F12929">
        <v>23121</v>
      </c>
      <c r="G12929">
        <v>23322</v>
      </c>
    </row>
    <row r="12930" spans="1:7">
      <c r="A12930" t="s">
        <v>1876</v>
      </c>
      <c r="B12930" t="s">
        <v>387</v>
      </c>
      <c r="C12930" t="s">
        <v>178</v>
      </c>
      <c r="D12930">
        <v>0</v>
      </c>
      <c r="E12930">
        <v>0</v>
      </c>
      <c r="F12930">
        <v>0</v>
      </c>
      <c r="G12930">
        <v>0</v>
      </c>
    </row>
    <row r="12931" spans="1:7">
      <c r="A12931" t="s">
        <v>1876</v>
      </c>
      <c r="B12931" t="s">
        <v>387</v>
      </c>
      <c r="C12931" t="s">
        <v>179</v>
      </c>
      <c r="D12931">
        <v>0</v>
      </c>
      <c r="E12931">
        <v>0</v>
      </c>
      <c r="F12931">
        <v>0</v>
      </c>
      <c r="G12931">
        <v>0</v>
      </c>
    </row>
    <row r="12932" spans="1:7">
      <c r="A12932" t="s">
        <v>1876</v>
      </c>
      <c r="B12932" t="s">
        <v>387</v>
      </c>
      <c r="C12932" t="s">
        <v>180</v>
      </c>
      <c r="D12932">
        <v>0</v>
      </c>
      <c r="E12932">
        <v>0</v>
      </c>
      <c r="F12932">
        <v>0</v>
      </c>
      <c r="G12932">
        <v>0</v>
      </c>
    </row>
    <row r="12933" spans="1:7">
      <c r="A12933" t="s">
        <v>1876</v>
      </c>
      <c r="B12933" t="s">
        <v>387</v>
      </c>
      <c r="C12933" t="s">
        <v>181</v>
      </c>
      <c r="D12933">
        <v>72042</v>
      </c>
      <c r="E12933">
        <v>82334</v>
      </c>
      <c r="F12933">
        <v>85961</v>
      </c>
      <c r="G12933">
        <v>89757</v>
      </c>
    </row>
    <row r="12934" spans="1:7">
      <c r="A12934" t="s">
        <v>1876</v>
      </c>
      <c r="B12934" t="s">
        <v>387</v>
      </c>
      <c r="C12934" t="s">
        <v>182</v>
      </c>
      <c r="D12934">
        <v>93120</v>
      </c>
      <c r="E12934">
        <v>89875</v>
      </c>
      <c r="F12934">
        <v>85675</v>
      </c>
      <c r="G12934">
        <v>85677</v>
      </c>
    </row>
    <row r="12935" spans="1:7">
      <c r="A12935" t="s">
        <v>1876</v>
      </c>
      <c r="B12935" t="s">
        <v>387</v>
      </c>
      <c r="C12935" t="s">
        <v>183</v>
      </c>
      <c r="D12935">
        <v>107088</v>
      </c>
      <c r="E12935">
        <v>110163</v>
      </c>
      <c r="F12935">
        <v>105425</v>
      </c>
      <c r="G12935">
        <v>111043</v>
      </c>
    </row>
    <row r="12936" spans="1:7">
      <c r="A12936" t="s">
        <v>1876</v>
      </c>
      <c r="B12936" t="s">
        <v>387</v>
      </c>
      <c r="C12936" t="s">
        <v>184</v>
      </c>
      <c r="D12936">
        <v>272251</v>
      </c>
      <c r="E12936">
        <v>282372</v>
      </c>
      <c r="F12936">
        <v>277062</v>
      </c>
      <c r="G12936">
        <v>286476</v>
      </c>
    </row>
    <row r="12937" spans="1:7">
      <c r="A12937" t="s">
        <v>1876</v>
      </c>
      <c r="B12937" t="s">
        <v>387</v>
      </c>
      <c r="C12937" t="s">
        <v>185</v>
      </c>
      <c r="D12937">
        <v>272251</v>
      </c>
      <c r="E12937">
        <v>282372</v>
      </c>
      <c r="F12937">
        <v>277062</v>
      </c>
      <c r="G12937">
        <v>286476</v>
      </c>
    </row>
    <row r="12938" spans="1:7">
      <c r="A12938" t="s">
        <v>1876</v>
      </c>
      <c r="B12938" t="s">
        <v>387</v>
      </c>
      <c r="C12938" t="s">
        <v>1915</v>
      </c>
      <c r="D12938">
        <v>17</v>
      </c>
      <c r="E12938">
        <v>28</v>
      </c>
      <c r="F12938">
        <v>74</v>
      </c>
      <c r="G12938">
        <v>104</v>
      </c>
    </row>
    <row r="12939" spans="1:7">
      <c r="A12939" t="s">
        <v>1876</v>
      </c>
      <c r="B12939" t="s">
        <v>387</v>
      </c>
      <c r="C12939" t="s">
        <v>1916</v>
      </c>
      <c r="D12939">
        <v>0</v>
      </c>
      <c r="E12939">
        <v>0</v>
      </c>
      <c r="F12939">
        <v>0</v>
      </c>
      <c r="G12939">
        <v>0</v>
      </c>
    </row>
    <row r="12940" spans="1:7">
      <c r="A12940" t="s">
        <v>1876</v>
      </c>
      <c r="B12940" t="s">
        <v>387</v>
      </c>
      <c r="C12940" t="s">
        <v>1917</v>
      </c>
      <c r="D12940">
        <v>21</v>
      </c>
      <c r="E12940">
        <v>20</v>
      </c>
      <c r="F12940">
        <v>17</v>
      </c>
      <c r="G12940">
        <v>17</v>
      </c>
    </row>
    <row r="12941" spans="1:7">
      <c r="A12941" t="s">
        <v>1876</v>
      </c>
      <c r="B12941" t="s">
        <v>387</v>
      </c>
      <c r="C12941" t="s">
        <v>1918</v>
      </c>
      <c r="D12941">
        <v>815</v>
      </c>
      <c r="E12941">
        <v>942</v>
      </c>
      <c r="F12941">
        <v>1143</v>
      </c>
      <c r="G12941">
        <v>1407</v>
      </c>
    </row>
    <row r="12942" spans="1:7">
      <c r="A12942" t="s">
        <v>1876</v>
      </c>
      <c r="B12942" t="s">
        <v>387</v>
      </c>
      <c r="C12942" t="s">
        <v>1919</v>
      </c>
      <c r="D12942">
        <v>2.36</v>
      </c>
      <c r="E12942">
        <v>2.4</v>
      </c>
      <c r="F12942">
        <v>2.41</v>
      </c>
      <c r="G12942">
        <v>2.57</v>
      </c>
    </row>
    <row r="12943" spans="1:7">
      <c r="A12943" t="s">
        <v>1876</v>
      </c>
      <c r="B12943" t="s">
        <v>387</v>
      </c>
      <c r="C12943" t="s">
        <v>1920</v>
      </c>
      <c r="D12943">
        <v>1031</v>
      </c>
      <c r="E12943">
        <v>1242</v>
      </c>
      <c r="F12943">
        <v>1652</v>
      </c>
      <c r="G12943">
        <v>1989</v>
      </c>
    </row>
    <row r="12944" spans="1:7">
      <c r="A12944" t="s">
        <v>1876</v>
      </c>
      <c r="B12944" t="s">
        <v>387</v>
      </c>
      <c r="C12944" t="s">
        <v>1921</v>
      </c>
      <c r="D12944">
        <v>385</v>
      </c>
      <c r="E12944">
        <v>445</v>
      </c>
      <c r="F12944">
        <v>569</v>
      </c>
      <c r="G12944">
        <v>664</v>
      </c>
    </row>
    <row r="12945" spans="1:7">
      <c r="A12945" t="s">
        <v>1876</v>
      </c>
      <c r="B12945" t="s">
        <v>387</v>
      </c>
      <c r="C12945" t="s">
        <v>1922</v>
      </c>
      <c r="D12945">
        <v>195</v>
      </c>
      <c r="E12945">
        <v>280</v>
      </c>
      <c r="F12945">
        <v>492</v>
      </c>
      <c r="G12945">
        <v>565</v>
      </c>
    </row>
    <row r="12946" spans="1:7">
      <c r="A12946" t="s">
        <v>1876</v>
      </c>
      <c r="B12946" t="s">
        <v>387</v>
      </c>
      <c r="C12946" t="s">
        <v>1923</v>
      </c>
      <c r="D12946">
        <v>4.24</v>
      </c>
      <c r="E12946">
        <v>4.67</v>
      </c>
      <c r="F12946">
        <v>4.87</v>
      </c>
      <c r="G12946">
        <v>4.4800000000000004</v>
      </c>
    </row>
    <row r="12947" spans="1:7">
      <c r="A12947" t="s">
        <v>1876</v>
      </c>
      <c r="B12947" t="s">
        <v>387</v>
      </c>
      <c r="C12947" t="s">
        <v>1924</v>
      </c>
      <c r="D12947">
        <v>34</v>
      </c>
      <c r="E12947">
        <v>6</v>
      </c>
      <c r="F12947">
        <v>9</v>
      </c>
      <c r="G12947">
        <v>6</v>
      </c>
    </row>
    <row r="12948" spans="1:7">
      <c r="A12948" t="s">
        <v>1876</v>
      </c>
      <c r="B12948" t="s">
        <v>387</v>
      </c>
      <c r="C12948" t="s">
        <v>1925</v>
      </c>
      <c r="D12948">
        <v>148</v>
      </c>
      <c r="E12948">
        <v>184</v>
      </c>
      <c r="F12948">
        <v>186</v>
      </c>
      <c r="G12948">
        <v>191</v>
      </c>
    </row>
    <row r="12949" spans="1:7">
      <c r="A12949" t="s">
        <v>1876</v>
      </c>
      <c r="B12949" t="s">
        <v>387</v>
      </c>
      <c r="C12949" t="s">
        <v>1926</v>
      </c>
      <c r="D12949">
        <v>203</v>
      </c>
      <c r="E12949">
        <v>255</v>
      </c>
      <c r="F12949">
        <v>374</v>
      </c>
      <c r="G12949">
        <v>467</v>
      </c>
    </row>
    <row r="12950" spans="1:7">
      <c r="A12950" t="s">
        <v>1876</v>
      </c>
      <c r="B12950" t="s">
        <v>387</v>
      </c>
      <c r="C12950" t="s">
        <v>1927</v>
      </c>
      <c r="D12950">
        <v>23</v>
      </c>
      <c r="E12950">
        <v>27</v>
      </c>
      <c r="F12950">
        <v>24</v>
      </c>
      <c r="G12950">
        <v>23</v>
      </c>
    </row>
    <row r="12951" spans="1:7">
      <c r="A12951" t="s">
        <v>1876</v>
      </c>
      <c r="B12951" t="s">
        <v>387</v>
      </c>
      <c r="C12951" t="s">
        <v>1928</v>
      </c>
      <c r="D12951">
        <v>332</v>
      </c>
      <c r="E12951">
        <v>381</v>
      </c>
      <c r="F12951">
        <v>503</v>
      </c>
      <c r="G12951">
        <v>599</v>
      </c>
    </row>
    <row r="12952" spans="1:7">
      <c r="A12952" t="s">
        <v>1876</v>
      </c>
      <c r="B12952" t="s">
        <v>387</v>
      </c>
      <c r="C12952" t="s">
        <v>1929</v>
      </c>
      <c r="D12952">
        <v>30</v>
      </c>
      <c r="E12952">
        <v>37</v>
      </c>
      <c r="F12952">
        <v>42</v>
      </c>
      <c r="G12952">
        <v>42</v>
      </c>
    </row>
    <row r="12953" spans="1:7">
      <c r="A12953" t="s">
        <v>1876</v>
      </c>
      <c r="B12953" t="s">
        <v>387</v>
      </c>
      <c r="C12953" t="s">
        <v>186</v>
      </c>
      <c r="D12953">
        <v>0</v>
      </c>
      <c r="E12953">
        <v>0</v>
      </c>
      <c r="F12953">
        <v>0</v>
      </c>
      <c r="G12953">
        <v>0</v>
      </c>
    </row>
    <row r="12954" spans="1:7">
      <c r="A12954" t="s">
        <v>1876</v>
      </c>
      <c r="B12954" t="s">
        <v>387</v>
      </c>
      <c r="C12954" t="s">
        <v>187</v>
      </c>
      <c r="D12954">
        <v>0</v>
      </c>
      <c r="E12954">
        <v>0</v>
      </c>
      <c r="F12954">
        <v>0</v>
      </c>
      <c r="G12954">
        <v>0</v>
      </c>
    </row>
    <row r="12955" spans="1:7">
      <c r="A12955" t="s">
        <v>1876</v>
      </c>
      <c r="B12955" t="s">
        <v>387</v>
      </c>
      <c r="C12955" t="s">
        <v>1705</v>
      </c>
      <c r="D12955">
        <v>11788</v>
      </c>
      <c r="E12955">
        <v>11711</v>
      </c>
      <c r="F12955">
        <v>11526</v>
      </c>
      <c r="G12955">
        <v>11578</v>
      </c>
    </row>
    <row r="12956" spans="1:7">
      <c r="A12956" t="s">
        <v>1876</v>
      </c>
      <c r="B12956" t="s">
        <v>387</v>
      </c>
      <c r="C12956" t="s">
        <v>188</v>
      </c>
      <c r="D12956">
        <v>1021233</v>
      </c>
      <c r="E12956">
        <v>1009455</v>
      </c>
      <c r="F12956">
        <v>1019270</v>
      </c>
      <c r="G12956">
        <v>1037707</v>
      </c>
    </row>
    <row r="12957" spans="1:7">
      <c r="A12957" t="s">
        <v>1876</v>
      </c>
      <c r="B12957" t="s">
        <v>387</v>
      </c>
      <c r="C12957" t="s">
        <v>189</v>
      </c>
      <c r="D12957">
        <v>0</v>
      </c>
      <c r="E12957">
        <v>0</v>
      </c>
      <c r="F12957">
        <v>0</v>
      </c>
      <c r="G12957">
        <v>0</v>
      </c>
    </row>
    <row r="12958" spans="1:7">
      <c r="A12958" t="s">
        <v>1876</v>
      </c>
      <c r="B12958" t="s">
        <v>387</v>
      </c>
      <c r="C12958" t="s">
        <v>190</v>
      </c>
      <c r="D12958">
        <v>0</v>
      </c>
      <c r="E12958">
        <v>0</v>
      </c>
      <c r="F12958">
        <v>0</v>
      </c>
      <c r="G12958">
        <v>0</v>
      </c>
    </row>
    <row r="12959" spans="1:7">
      <c r="A12959" t="s">
        <v>1876</v>
      </c>
      <c r="B12959" t="s">
        <v>387</v>
      </c>
      <c r="C12959" t="s">
        <v>191</v>
      </c>
      <c r="D12959">
        <v>0</v>
      </c>
      <c r="E12959">
        <v>0</v>
      </c>
      <c r="F12959">
        <v>0</v>
      </c>
      <c r="G12959">
        <v>0</v>
      </c>
    </row>
    <row r="12960" spans="1:7">
      <c r="A12960" t="s">
        <v>1876</v>
      </c>
      <c r="B12960" t="s">
        <v>387</v>
      </c>
      <c r="C12960" t="s">
        <v>192</v>
      </c>
      <c r="D12960">
        <v>272464.90000000002</v>
      </c>
      <c r="E12960">
        <v>305070</v>
      </c>
      <c r="F12960">
        <v>332946.8</v>
      </c>
      <c r="G12960">
        <v>357074.4</v>
      </c>
    </row>
    <row r="12961" spans="1:7">
      <c r="A12961" t="s">
        <v>1876</v>
      </c>
      <c r="B12961" t="s">
        <v>387</v>
      </c>
      <c r="C12961" t="s">
        <v>193</v>
      </c>
      <c r="D12961">
        <v>245812</v>
      </c>
      <c r="E12961">
        <v>256608.5</v>
      </c>
      <c r="F12961">
        <v>266037.8</v>
      </c>
      <c r="G12961">
        <v>278032.8</v>
      </c>
    </row>
    <row r="12962" spans="1:7">
      <c r="A12962" t="s">
        <v>1876</v>
      </c>
      <c r="B12962" t="s">
        <v>387</v>
      </c>
      <c r="C12962" t="s">
        <v>1930</v>
      </c>
      <c r="D12962">
        <v>0</v>
      </c>
      <c r="E12962">
        <v>0</v>
      </c>
      <c r="F12962">
        <v>0</v>
      </c>
      <c r="G12962">
        <v>0</v>
      </c>
    </row>
    <row r="12963" spans="1:7">
      <c r="A12963" t="s">
        <v>1876</v>
      </c>
      <c r="B12963" t="s">
        <v>387</v>
      </c>
      <c r="C12963" t="s">
        <v>194</v>
      </c>
      <c r="D12963">
        <v>0</v>
      </c>
      <c r="E12963">
        <v>0</v>
      </c>
      <c r="F12963">
        <v>0</v>
      </c>
      <c r="G12963">
        <v>0</v>
      </c>
    </row>
    <row r="12964" spans="1:7">
      <c r="A12964" t="s">
        <v>1876</v>
      </c>
      <c r="B12964" t="s">
        <v>387</v>
      </c>
      <c r="C12964" t="s">
        <v>195</v>
      </c>
      <c r="D12964">
        <v>0</v>
      </c>
      <c r="E12964">
        <v>0</v>
      </c>
      <c r="F12964">
        <v>0</v>
      </c>
      <c r="G12964">
        <v>0</v>
      </c>
    </row>
    <row r="12965" spans="1:7">
      <c r="A12965" t="s">
        <v>1876</v>
      </c>
      <c r="B12965" t="s">
        <v>387</v>
      </c>
      <c r="C12965" t="s">
        <v>1706</v>
      </c>
      <c r="D12965">
        <v>0</v>
      </c>
      <c r="E12965">
        <v>0</v>
      </c>
      <c r="F12965">
        <v>0</v>
      </c>
      <c r="G12965">
        <v>0</v>
      </c>
    </row>
    <row r="12966" spans="1:7">
      <c r="A12966" t="s">
        <v>1876</v>
      </c>
      <c r="B12966" t="s">
        <v>387</v>
      </c>
      <c r="C12966" t="s">
        <v>196</v>
      </c>
      <c r="D12966">
        <v>0</v>
      </c>
      <c r="E12966">
        <v>0</v>
      </c>
      <c r="F12966">
        <v>0</v>
      </c>
      <c r="G12966">
        <v>0</v>
      </c>
    </row>
    <row r="12967" spans="1:7">
      <c r="A12967" t="s">
        <v>1876</v>
      </c>
      <c r="B12967" t="s">
        <v>387</v>
      </c>
      <c r="C12967" t="s">
        <v>197</v>
      </c>
      <c r="D12967">
        <v>648</v>
      </c>
      <c r="E12967">
        <v>648</v>
      </c>
      <c r="F12967">
        <v>648</v>
      </c>
      <c r="G12967">
        <v>648</v>
      </c>
    </row>
    <row r="12968" spans="1:7">
      <c r="A12968" t="s">
        <v>1876</v>
      </c>
      <c r="B12968" t="s">
        <v>387</v>
      </c>
      <c r="C12968" t="s">
        <v>198</v>
      </c>
      <c r="D12968">
        <v>648</v>
      </c>
      <c r="E12968">
        <v>648</v>
      </c>
      <c r="F12968">
        <v>648</v>
      </c>
      <c r="G12968">
        <v>648</v>
      </c>
    </row>
    <row r="12969" spans="1:7">
      <c r="A12969" t="s">
        <v>1876</v>
      </c>
      <c r="B12969" t="s">
        <v>387</v>
      </c>
      <c r="C12969" t="s">
        <v>199</v>
      </c>
      <c r="D12969">
        <v>648</v>
      </c>
      <c r="E12969">
        <v>648</v>
      </c>
      <c r="F12969">
        <v>648</v>
      </c>
      <c r="G12969">
        <v>648</v>
      </c>
    </row>
    <row r="12970" spans="1:7">
      <c r="A12970" t="s">
        <v>1876</v>
      </c>
      <c r="B12970" t="s">
        <v>387</v>
      </c>
      <c r="C12970" t="s">
        <v>200</v>
      </c>
      <c r="D12970">
        <v>195</v>
      </c>
      <c r="E12970">
        <v>274</v>
      </c>
      <c r="F12970">
        <v>280</v>
      </c>
      <c r="G12970">
        <v>298</v>
      </c>
    </row>
    <row r="12971" spans="1:7">
      <c r="A12971" t="s">
        <v>1876</v>
      </c>
      <c r="B12971" t="s">
        <v>387</v>
      </c>
      <c r="C12971" t="s">
        <v>201</v>
      </c>
      <c r="D12971">
        <v>2891</v>
      </c>
      <c r="E12971">
        <v>2894</v>
      </c>
      <c r="F12971">
        <v>2683</v>
      </c>
      <c r="G12971">
        <v>2581</v>
      </c>
    </row>
    <row r="12972" spans="1:7">
      <c r="A12972" t="s">
        <v>1876</v>
      </c>
      <c r="B12972" t="s">
        <v>387</v>
      </c>
      <c r="C12972" t="s">
        <v>202</v>
      </c>
      <c r="D12972">
        <v>2307</v>
      </c>
      <c r="E12972">
        <v>2623</v>
      </c>
      <c r="F12972">
        <v>1925</v>
      </c>
      <c r="G12972">
        <v>2026</v>
      </c>
    </row>
    <row r="12973" spans="1:7">
      <c r="A12973" t="s">
        <v>1876</v>
      </c>
      <c r="B12973" t="s">
        <v>387</v>
      </c>
      <c r="C12973" t="s">
        <v>203</v>
      </c>
      <c r="D12973">
        <v>4363</v>
      </c>
      <c r="E12973">
        <v>4144</v>
      </c>
      <c r="F12973">
        <v>3743</v>
      </c>
      <c r="G12973">
        <v>3876</v>
      </c>
    </row>
    <row r="12974" spans="1:7">
      <c r="A12974" t="s">
        <v>1876</v>
      </c>
      <c r="B12974" t="s">
        <v>387</v>
      </c>
      <c r="C12974" t="s">
        <v>204</v>
      </c>
      <c r="D12974">
        <v>9756</v>
      </c>
      <c r="E12974">
        <v>9934</v>
      </c>
      <c r="F12974">
        <v>8631</v>
      </c>
      <c r="G12974">
        <v>8781</v>
      </c>
    </row>
    <row r="12975" spans="1:7">
      <c r="A12975" t="s">
        <v>1876</v>
      </c>
      <c r="B12975" t="s">
        <v>387</v>
      </c>
      <c r="C12975" t="s">
        <v>205</v>
      </c>
      <c r="D12975">
        <v>9756</v>
      </c>
      <c r="E12975">
        <v>9934</v>
      </c>
      <c r="F12975">
        <v>8631</v>
      </c>
      <c r="G12975">
        <v>8781</v>
      </c>
    </row>
    <row r="12976" spans="1:7">
      <c r="A12976" t="s">
        <v>1876</v>
      </c>
      <c r="B12976" t="s">
        <v>387</v>
      </c>
      <c r="C12976" t="s">
        <v>1931</v>
      </c>
      <c r="D12976">
        <v>12.9</v>
      </c>
      <c r="E12976">
        <v>14.3</v>
      </c>
      <c r="F12976">
        <v>13.2</v>
      </c>
      <c r="G12976">
        <v>14.3</v>
      </c>
    </row>
    <row r="12977" spans="1:7">
      <c r="A12977" t="s">
        <v>1876</v>
      </c>
      <c r="B12977" t="s">
        <v>387</v>
      </c>
      <c r="C12977" t="s">
        <v>1707</v>
      </c>
      <c r="D12977">
        <v>2876</v>
      </c>
      <c r="E12977">
        <v>2876</v>
      </c>
      <c r="F12977">
        <v>2956</v>
      </c>
      <c r="G12977">
        <v>3036</v>
      </c>
    </row>
    <row r="12978" spans="1:7">
      <c r="A12978" t="s">
        <v>1876</v>
      </c>
      <c r="B12978" t="s">
        <v>387</v>
      </c>
      <c r="C12978" t="s">
        <v>1932</v>
      </c>
      <c r="D12978">
        <v>22.1</v>
      </c>
      <c r="E12978">
        <v>18.7</v>
      </c>
      <c r="F12978">
        <v>19.399999999999999</v>
      </c>
      <c r="G12978">
        <v>21.2</v>
      </c>
    </row>
    <row r="12979" spans="1:7">
      <c r="A12979" t="s">
        <v>1876</v>
      </c>
      <c r="B12979" t="s">
        <v>387</v>
      </c>
      <c r="C12979" t="s">
        <v>1708</v>
      </c>
      <c r="D12979">
        <v>1312</v>
      </c>
      <c r="E12979">
        <v>1305</v>
      </c>
      <c r="F12979">
        <v>1294</v>
      </c>
      <c r="G12979">
        <v>1294</v>
      </c>
    </row>
    <row r="12980" spans="1:7">
      <c r="A12980" t="s">
        <v>1876</v>
      </c>
      <c r="B12980" t="s">
        <v>387</v>
      </c>
      <c r="C12980" t="s">
        <v>206</v>
      </c>
      <c r="D12980">
        <v>7</v>
      </c>
      <c r="E12980">
        <v>2</v>
      </c>
      <c r="F12980">
        <v>6</v>
      </c>
      <c r="G12980">
        <v>8</v>
      </c>
    </row>
    <row r="12981" spans="1:7">
      <c r="A12981" t="s">
        <v>1876</v>
      </c>
      <c r="B12981" t="s">
        <v>387</v>
      </c>
      <c r="C12981" t="s">
        <v>207</v>
      </c>
      <c r="D12981">
        <v>8672</v>
      </c>
      <c r="E12981">
        <v>7438</v>
      </c>
      <c r="F12981">
        <v>7498</v>
      </c>
      <c r="G12981">
        <v>8220</v>
      </c>
    </row>
    <row r="12982" spans="1:7">
      <c r="A12982" t="s">
        <v>1876</v>
      </c>
      <c r="B12982" t="s">
        <v>387</v>
      </c>
      <c r="C12982" t="s">
        <v>208</v>
      </c>
      <c r="D12982">
        <v>0</v>
      </c>
      <c r="E12982">
        <v>0</v>
      </c>
      <c r="F12982">
        <v>0</v>
      </c>
      <c r="G12982">
        <v>0</v>
      </c>
    </row>
    <row r="12983" spans="1:7">
      <c r="A12983" t="s">
        <v>1876</v>
      </c>
      <c r="B12983" t="s">
        <v>387</v>
      </c>
      <c r="C12983" t="s">
        <v>209</v>
      </c>
      <c r="D12983">
        <v>8679</v>
      </c>
      <c r="E12983">
        <v>7440</v>
      </c>
      <c r="F12983">
        <v>7504</v>
      </c>
      <c r="G12983">
        <v>8229</v>
      </c>
    </row>
    <row r="12984" spans="1:7">
      <c r="A12984" t="s">
        <v>1876</v>
      </c>
      <c r="B12984" t="s">
        <v>387</v>
      </c>
      <c r="C12984" t="s">
        <v>210</v>
      </c>
      <c r="D12984">
        <v>7</v>
      </c>
      <c r="E12984">
        <v>2</v>
      </c>
      <c r="F12984">
        <v>6</v>
      </c>
      <c r="G12984">
        <v>8</v>
      </c>
    </row>
    <row r="12985" spans="1:7">
      <c r="A12985" t="s">
        <v>1876</v>
      </c>
      <c r="B12985" t="s">
        <v>387</v>
      </c>
      <c r="C12985" t="s">
        <v>211</v>
      </c>
      <c r="D12985">
        <v>0</v>
      </c>
      <c r="E12985">
        <v>0</v>
      </c>
      <c r="F12985">
        <v>0</v>
      </c>
      <c r="G12985">
        <v>0</v>
      </c>
    </row>
    <row r="12986" spans="1:7">
      <c r="A12986" t="s">
        <v>1876</v>
      </c>
      <c r="B12986" t="s">
        <v>387</v>
      </c>
      <c r="C12986" t="s">
        <v>212</v>
      </c>
      <c r="D12986">
        <v>0</v>
      </c>
      <c r="E12986">
        <v>0</v>
      </c>
      <c r="F12986">
        <v>0</v>
      </c>
      <c r="G12986">
        <v>0</v>
      </c>
    </row>
    <row r="12987" spans="1:7">
      <c r="A12987" t="s">
        <v>1876</v>
      </c>
      <c r="B12987" t="s">
        <v>387</v>
      </c>
      <c r="C12987" t="s">
        <v>213</v>
      </c>
      <c r="D12987">
        <v>0</v>
      </c>
      <c r="E12987">
        <v>0</v>
      </c>
      <c r="F12987">
        <v>0</v>
      </c>
      <c r="G12987">
        <v>0</v>
      </c>
    </row>
    <row r="12988" spans="1:7">
      <c r="A12988" t="s">
        <v>1876</v>
      </c>
      <c r="B12988" t="s">
        <v>387</v>
      </c>
      <c r="C12988" t="s">
        <v>214</v>
      </c>
      <c r="D12988">
        <v>0</v>
      </c>
      <c r="E12988">
        <v>0</v>
      </c>
      <c r="F12988">
        <v>0</v>
      </c>
      <c r="G12988">
        <v>0</v>
      </c>
    </row>
    <row r="12989" spans="1:7">
      <c r="A12989" t="s">
        <v>1876</v>
      </c>
      <c r="B12989" t="s">
        <v>387</v>
      </c>
      <c r="C12989" t="s">
        <v>215</v>
      </c>
      <c r="D12989">
        <v>19056</v>
      </c>
      <c r="E12989">
        <v>19283</v>
      </c>
      <c r="F12989">
        <v>20085</v>
      </c>
      <c r="G12989">
        <v>19390</v>
      </c>
    </row>
    <row r="12990" spans="1:7">
      <c r="A12990" t="s">
        <v>1876</v>
      </c>
      <c r="B12990" t="s">
        <v>387</v>
      </c>
      <c r="C12990" t="s">
        <v>216</v>
      </c>
      <c r="D12990">
        <v>19056</v>
      </c>
      <c r="E12990">
        <v>19283</v>
      </c>
      <c r="F12990">
        <v>20085</v>
      </c>
      <c r="G12990">
        <v>19390</v>
      </c>
    </row>
    <row r="12991" spans="1:7">
      <c r="A12991" t="s">
        <v>1876</v>
      </c>
      <c r="B12991" t="s">
        <v>387</v>
      </c>
      <c r="C12991" t="s">
        <v>217</v>
      </c>
      <c r="D12991">
        <v>19056</v>
      </c>
      <c r="E12991">
        <v>19283</v>
      </c>
      <c r="F12991">
        <v>20085</v>
      </c>
      <c r="G12991">
        <v>19390</v>
      </c>
    </row>
    <row r="12992" spans="1:7">
      <c r="A12992" t="s">
        <v>1876</v>
      </c>
      <c r="B12992" t="s">
        <v>387</v>
      </c>
      <c r="C12992" t="s">
        <v>218</v>
      </c>
      <c r="D12992">
        <v>10</v>
      </c>
      <c r="E12992">
        <v>9</v>
      </c>
      <c r="F12992">
        <v>15</v>
      </c>
      <c r="G12992">
        <v>12</v>
      </c>
    </row>
    <row r="12993" spans="1:7">
      <c r="A12993" t="s">
        <v>1876</v>
      </c>
      <c r="B12993" t="s">
        <v>387</v>
      </c>
      <c r="C12993" t="s">
        <v>219</v>
      </c>
      <c r="D12993">
        <v>1</v>
      </c>
      <c r="E12993">
        <v>1</v>
      </c>
      <c r="F12993">
        <v>4</v>
      </c>
      <c r="G12993">
        <v>2</v>
      </c>
    </row>
    <row r="12994" spans="1:7">
      <c r="A12994" t="s">
        <v>1876</v>
      </c>
      <c r="B12994" t="s">
        <v>387</v>
      </c>
      <c r="C12994" t="s">
        <v>220</v>
      </c>
      <c r="D12994">
        <v>144</v>
      </c>
      <c r="E12994">
        <v>128</v>
      </c>
      <c r="F12994">
        <v>221</v>
      </c>
      <c r="G12994">
        <v>175</v>
      </c>
    </row>
    <row r="12995" spans="1:7">
      <c r="A12995" t="s">
        <v>1876</v>
      </c>
      <c r="B12995" t="s">
        <v>387</v>
      </c>
      <c r="C12995" t="s">
        <v>221</v>
      </c>
      <c r="D12995">
        <v>155</v>
      </c>
      <c r="E12995">
        <v>138</v>
      </c>
      <c r="F12995">
        <v>241</v>
      </c>
      <c r="G12995">
        <v>189</v>
      </c>
    </row>
    <row r="12996" spans="1:7">
      <c r="A12996" t="s">
        <v>1876</v>
      </c>
      <c r="B12996" t="s">
        <v>387</v>
      </c>
      <c r="C12996" t="s">
        <v>222</v>
      </c>
      <c r="D12996">
        <v>155</v>
      </c>
      <c r="E12996">
        <v>138</v>
      </c>
      <c r="F12996">
        <v>241</v>
      </c>
      <c r="G12996">
        <v>189</v>
      </c>
    </row>
    <row r="12997" spans="1:7">
      <c r="A12997" t="s">
        <v>1876</v>
      </c>
      <c r="B12997" t="s">
        <v>387</v>
      </c>
      <c r="C12997" t="s">
        <v>1933</v>
      </c>
      <c r="D12997">
        <v>4545.3</v>
      </c>
      <c r="E12997">
        <v>4590.2</v>
      </c>
      <c r="F12997">
        <v>4649.6000000000004</v>
      </c>
      <c r="G12997">
        <v>4716.3</v>
      </c>
    </row>
    <row r="12998" spans="1:7">
      <c r="A12998" t="s">
        <v>1876</v>
      </c>
      <c r="B12998" t="s">
        <v>387</v>
      </c>
      <c r="C12998" t="s">
        <v>223</v>
      </c>
      <c r="D12998">
        <v>0</v>
      </c>
      <c r="E12998">
        <v>0</v>
      </c>
      <c r="F12998">
        <v>0</v>
      </c>
      <c r="G12998">
        <v>0</v>
      </c>
    </row>
    <row r="12999" spans="1:7">
      <c r="A12999" t="s">
        <v>1876</v>
      </c>
      <c r="B12999" t="s">
        <v>387</v>
      </c>
      <c r="C12999" t="s">
        <v>224</v>
      </c>
      <c r="D12999">
        <v>143379</v>
      </c>
      <c r="E12999">
        <v>165972</v>
      </c>
      <c r="F12999">
        <v>169852</v>
      </c>
      <c r="G12999">
        <v>175559</v>
      </c>
    </row>
    <row r="13000" spans="1:7">
      <c r="A13000" t="s">
        <v>1876</v>
      </c>
      <c r="B13000" t="s">
        <v>387</v>
      </c>
      <c r="C13000" t="s">
        <v>225</v>
      </c>
      <c r="D13000">
        <v>185329</v>
      </c>
      <c r="E13000">
        <v>181173</v>
      </c>
      <c r="F13000">
        <v>169288</v>
      </c>
      <c r="G13000">
        <v>167578</v>
      </c>
    </row>
    <row r="13001" spans="1:7">
      <c r="A13001" t="s">
        <v>1876</v>
      </c>
      <c r="B13001" t="s">
        <v>387</v>
      </c>
      <c r="C13001" t="s">
        <v>226</v>
      </c>
      <c r="D13001">
        <v>213128</v>
      </c>
      <c r="E13001">
        <v>222073</v>
      </c>
      <c r="F13001">
        <v>208311</v>
      </c>
      <c r="G13001">
        <v>217193</v>
      </c>
    </row>
    <row r="13002" spans="1:7">
      <c r="A13002" t="s">
        <v>1876</v>
      </c>
      <c r="B13002" t="s">
        <v>387</v>
      </c>
      <c r="C13002" t="s">
        <v>227</v>
      </c>
      <c r="D13002">
        <v>541835</v>
      </c>
      <c r="E13002">
        <v>569218</v>
      </c>
      <c r="F13002">
        <v>547451</v>
      </c>
      <c r="G13002">
        <v>560330</v>
      </c>
    </row>
    <row r="13003" spans="1:7">
      <c r="A13003" t="s">
        <v>1876</v>
      </c>
      <c r="B13003" t="s">
        <v>387</v>
      </c>
      <c r="C13003" t="s">
        <v>228</v>
      </c>
      <c r="D13003">
        <v>541835</v>
      </c>
      <c r="E13003">
        <v>569218</v>
      </c>
      <c r="F13003">
        <v>547451</v>
      </c>
      <c r="G13003">
        <v>560330</v>
      </c>
    </row>
    <row r="13004" spans="1:7">
      <c r="A13004" t="s">
        <v>1876</v>
      </c>
      <c r="B13004" t="s">
        <v>387</v>
      </c>
      <c r="C13004" t="s">
        <v>229</v>
      </c>
      <c r="D13004">
        <v>2443</v>
      </c>
      <c r="E13004">
        <v>2508</v>
      </c>
      <c r="F13004">
        <v>1850</v>
      </c>
      <c r="G13004">
        <v>1801</v>
      </c>
    </row>
    <row r="13005" spans="1:7">
      <c r="A13005" t="s">
        <v>1876</v>
      </c>
      <c r="B13005" t="s">
        <v>387</v>
      </c>
      <c r="C13005" t="s">
        <v>230</v>
      </c>
      <c r="D13005">
        <v>1250</v>
      </c>
      <c r="E13005">
        <v>1367</v>
      </c>
      <c r="F13005">
        <v>1020</v>
      </c>
      <c r="G13005">
        <v>981</v>
      </c>
    </row>
    <row r="13006" spans="1:7">
      <c r="A13006" t="s">
        <v>1876</v>
      </c>
      <c r="B13006" t="s">
        <v>387</v>
      </c>
      <c r="C13006" t="s">
        <v>231</v>
      </c>
      <c r="D13006">
        <v>3692</v>
      </c>
      <c r="E13006">
        <v>3875</v>
      </c>
      <c r="F13006">
        <v>2869</v>
      </c>
      <c r="G13006">
        <v>2783</v>
      </c>
    </row>
    <row r="13007" spans="1:7">
      <c r="A13007" t="s">
        <v>1876</v>
      </c>
      <c r="B13007" t="s">
        <v>387</v>
      </c>
      <c r="C13007" t="s">
        <v>232</v>
      </c>
      <c r="D13007">
        <v>3692</v>
      </c>
      <c r="E13007">
        <v>3875</v>
      </c>
      <c r="F13007">
        <v>2869</v>
      </c>
      <c r="G13007">
        <v>2783</v>
      </c>
    </row>
    <row r="13008" spans="1:7">
      <c r="A13008" t="s">
        <v>1876</v>
      </c>
      <c r="B13008" t="s">
        <v>387</v>
      </c>
      <c r="C13008" t="s">
        <v>233</v>
      </c>
      <c r="D13008">
        <v>0</v>
      </c>
      <c r="E13008">
        <v>0</v>
      </c>
      <c r="F13008">
        <v>0</v>
      </c>
      <c r="G13008">
        <v>0</v>
      </c>
    </row>
    <row r="13009" spans="1:7">
      <c r="A13009" t="s">
        <v>1876</v>
      </c>
      <c r="B13009" t="s">
        <v>387</v>
      </c>
      <c r="C13009" t="s">
        <v>234</v>
      </c>
      <c r="D13009">
        <v>321845</v>
      </c>
      <c r="E13009">
        <v>313085</v>
      </c>
      <c r="F13009">
        <v>323771</v>
      </c>
      <c r="G13009">
        <v>328209</v>
      </c>
    </row>
    <row r="13010" spans="1:7">
      <c r="A13010" t="s">
        <v>1876</v>
      </c>
      <c r="B13010" t="s">
        <v>387</v>
      </c>
      <c r="C13010" t="s">
        <v>235</v>
      </c>
      <c r="D13010">
        <v>6630</v>
      </c>
      <c r="E13010">
        <v>7400</v>
      </c>
      <c r="F13010">
        <v>7516</v>
      </c>
      <c r="G13010">
        <v>6940</v>
      </c>
    </row>
    <row r="13011" spans="1:7">
      <c r="A13011" t="s">
        <v>1876</v>
      </c>
      <c r="B13011" t="s">
        <v>387</v>
      </c>
      <c r="C13011" t="s">
        <v>236</v>
      </c>
      <c r="D13011">
        <v>3111</v>
      </c>
      <c r="E13011">
        <v>3240</v>
      </c>
      <c r="F13011">
        <v>3291</v>
      </c>
      <c r="G13011">
        <v>2897</v>
      </c>
    </row>
    <row r="13012" spans="1:7">
      <c r="A13012" t="s">
        <v>1876</v>
      </c>
      <c r="B13012" t="s">
        <v>387</v>
      </c>
      <c r="C13012" t="s">
        <v>237</v>
      </c>
      <c r="D13012">
        <v>331586</v>
      </c>
      <c r="E13012">
        <v>323725</v>
      </c>
      <c r="F13012">
        <v>334578</v>
      </c>
      <c r="G13012">
        <v>338047</v>
      </c>
    </row>
    <row r="13013" spans="1:7">
      <c r="A13013" t="s">
        <v>1876</v>
      </c>
      <c r="B13013" t="s">
        <v>387</v>
      </c>
      <c r="C13013" t="s">
        <v>238</v>
      </c>
      <c r="D13013">
        <v>331586</v>
      </c>
      <c r="E13013">
        <v>323725</v>
      </c>
      <c r="F13013">
        <v>334578</v>
      </c>
      <c r="G13013">
        <v>338047</v>
      </c>
    </row>
    <row r="13014" spans="1:7">
      <c r="A13014" t="s">
        <v>1876</v>
      </c>
      <c r="B13014" t="s">
        <v>387</v>
      </c>
      <c r="C13014" t="s">
        <v>1934</v>
      </c>
      <c r="D13014">
        <v>299698</v>
      </c>
      <c r="E13014">
        <v>291335</v>
      </c>
      <c r="F13014">
        <v>301396</v>
      </c>
      <c r="G13014">
        <v>305566</v>
      </c>
    </row>
    <row r="13015" spans="1:7">
      <c r="A13015" t="s">
        <v>1876</v>
      </c>
      <c r="B13015" t="s">
        <v>387</v>
      </c>
      <c r="C13015" t="s">
        <v>1935</v>
      </c>
      <c r="D13015">
        <v>6174</v>
      </c>
      <c r="E13015">
        <v>6886</v>
      </c>
      <c r="F13015">
        <v>6997</v>
      </c>
      <c r="G13015">
        <v>6462</v>
      </c>
    </row>
    <row r="13016" spans="1:7">
      <c r="A13016" t="s">
        <v>1876</v>
      </c>
      <c r="B13016" t="s">
        <v>387</v>
      </c>
      <c r="C13016" t="s">
        <v>1936</v>
      </c>
      <c r="D13016">
        <v>2897</v>
      </c>
      <c r="E13016">
        <v>3015</v>
      </c>
      <c r="F13016">
        <v>3064</v>
      </c>
      <c r="G13016">
        <v>2697</v>
      </c>
    </row>
    <row r="13017" spans="1:7">
      <c r="A13017" t="s">
        <v>1876</v>
      </c>
      <c r="B13017" t="s">
        <v>387</v>
      </c>
      <c r="C13017" t="s">
        <v>239</v>
      </c>
      <c r="D13017">
        <v>308769</v>
      </c>
      <c r="E13017">
        <v>301235</v>
      </c>
      <c r="F13017">
        <v>311457</v>
      </c>
      <c r="G13017">
        <v>314724</v>
      </c>
    </row>
    <row r="13018" spans="1:7">
      <c r="A13018" t="s">
        <v>1876</v>
      </c>
      <c r="B13018" t="s">
        <v>387</v>
      </c>
      <c r="C13018" t="s">
        <v>240</v>
      </c>
      <c r="D13018">
        <v>2329</v>
      </c>
      <c r="E13018">
        <v>2340</v>
      </c>
      <c r="F13018">
        <v>2249</v>
      </c>
      <c r="G13018">
        <v>2202</v>
      </c>
    </row>
    <row r="13019" spans="1:7">
      <c r="A13019" t="s">
        <v>1876</v>
      </c>
      <c r="B13019" t="s">
        <v>387</v>
      </c>
      <c r="C13019" t="s">
        <v>241</v>
      </c>
      <c r="D13019">
        <v>0</v>
      </c>
      <c r="E13019">
        <v>0</v>
      </c>
      <c r="F13019">
        <v>0</v>
      </c>
      <c r="G13019">
        <v>0</v>
      </c>
    </row>
    <row r="13020" spans="1:7">
      <c r="A13020" t="s">
        <v>1876</v>
      </c>
      <c r="B13020" t="s">
        <v>387</v>
      </c>
      <c r="C13020" t="s">
        <v>242</v>
      </c>
      <c r="D13020">
        <v>2771</v>
      </c>
      <c r="E13020">
        <v>2689</v>
      </c>
      <c r="F13020">
        <v>2420</v>
      </c>
      <c r="G13020">
        <v>2605</v>
      </c>
    </row>
    <row r="13021" spans="1:7">
      <c r="A13021" t="s">
        <v>1876</v>
      </c>
      <c r="B13021" t="s">
        <v>387</v>
      </c>
      <c r="C13021" t="s">
        <v>243</v>
      </c>
      <c r="D13021">
        <v>26664</v>
      </c>
      <c r="E13021">
        <v>26779</v>
      </c>
      <c r="F13021">
        <v>25901</v>
      </c>
      <c r="G13021">
        <v>27276</v>
      </c>
    </row>
    <row r="13022" spans="1:7">
      <c r="A13022" t="s">
        <v>1876</v>
      </c>
      <c r="B13022" t="s">
        <v>387</v>
      </c>
      <c r="C13022" t="s">
        <v>244</v>
      </c>
      <c r="D13022">
        <v>183388</v>
      </c>
      <c r="E13022">
        <v>195086</v>
      </c>
      <c r="F13022">
        <v>189108</v>
      </c>
      <c r="G13022">
        <v>182011</v>
      </c>
    </row>
    <row r="13023" spans="1:7">
      <c r="A13023" t="s">
        <v>1876</v>
      </c>
      <c r="B13023" t="s">
        <v>387</v>
      </c>
      <c r="C13023" t="s">
        <v>1709</v>
      </c>
      <c r="D13023">
        <v>6771</v>
      </c>
      <c r="E13023">
        <v>6617</v>
      </c>
      <c r="F13023">
        <v>6561</v>
      </c>
      <c r="G13023">
        <v>6581</v>
      </c>
    </row>
    <row r="13024" spans="1:7">
      <c r="A13024" t="s">
        <v>1876</v>
      </c>
      <c r="B13024" t="s">
        <v>387</v>
      </c>
      <c r="C13024" t="s">
        <v>245</v>
      </c>
      <c r="D13024">
        <v>102921</v>
      </c>
      <c r="E13024">
        <v>102214</v>
      </c>
      <c r="F13024">
        <v>98167</v>
      </c>
      <c r="G13024">
        <v>98409</v>
      </c>
    </row>
    <row r="13025" spans="1:7">
      <c r="A13025" t="s">
        <v>1876</v>
      </c>
      <c r="B13025" t="s">
        <v>387</v>
      </c>
      <c r="C13025" t="s">
        <v>246</v>
      </c>
      <c r="D13025">
        <v>34246</v>
      </c>
      <c r="E13025">
        <v>34481</v>
      </c>
      <c r="F13025">
        <v>31450</v>
      </c>
      <c r="G13025">
        <v>34471</v>
      </c>
    </row>
    <row r="13026" spans="1:7">
      <c r="A13026" t="s">
        <v>1876</v>
      </c>
      <c r="B13026" t="s">
        <v>387</v>
      </c>
      <c r="C13026" t="s">
        <v>247</v>
      </c>
      <c r="D13026">
        <v>349990</v>
      </c>
      <c r="E13026">
        <v>361250</v>
      </c>
      <c r="F13026">
        <v>347045</v>
      </c>
      <c r="G13026">
        <v>344773</v>
      </c>
    </row>
    <row r="13027" spans="1:7">
      <c r="A13027" t="s">
        <v>1876</v>
      </c>
      <c r="B13027" t="s">
        <v>387</v>
      </c>
      <c r="C13027" t="s">
        <v>248</v>
      </c>
      <c r="D13027">
        <v>67.400000000000006</v>
      </c>
      <c r="E13027">
        <v>68.3</v>
      </c>
      <c r="F13027">
        <v>64.400000000000006</v>
      </c>
      <c r="G13027">
        <v>62.8</v>
      </c>
    </row>
    <row r="13028" spans="1:7">
      <c r="A13028" t="s">
        <v>1876</v>
      </c>
      <c r="B13028" t="s">
        <v>387</v>
      </c>
      <c r="C13028" t="s">
        <v>249</v>
      </c>
      <c r="D13028">
        <v>166602</v>
      </c>
      <c r="E13028">
        <v>166164</v>
      </c>
      <c r="F13028">
        <v>157937</v>
      </c>
      <c r="G13028">
        <v>162762</v>
      </c>
    </row>
    <row r="13029" spans="1:7">
      <c r="A13029" t="s">
        <v>1876</v>
      </c>
      <c r="B13029" t="s">
        <v>387</v>
      </c>
      <c r="C13029" t="s">
        <v>250</v>
      </c>
      <c r="D13029">
        <v>349990</v>
      </c>
      <c r="E13029">
        <v>361249</v>
      </c>
      <c r="F13029">
        <v>346881</v>
      </c>
      <c r="G13029">
        <v>344545</v>
      </c>
    </row>
    <row r="13030" spans="1:7">
      <c r="A13030" t="s">
        <v>1876</v>
      </c>
      <c r="B13030" t="s">
        <v>387</v>
      </c>
      <c r="C13030" t="s">
        <v>1937</v>
      </c>
      <c r="D13030">
        <v>8.6999999999999993</v>
      </c>
      <c r="E13030">
        <v>15.8</v>
      </c>
      <c r="F13030">
        <v>12.3</v>
      </c>
      <c r="G13030">
        <v>10.9</v>
      </c>
    </row>
    <row r="13031" spans="1:7">
      <c r="A13031" t="s">
        <v>1876</v>
      </c>
      <c r="B13031" t="s">
        <v>387</v>
      </c>
      <c r="C13031" t="s">
        <v>1938</v>
      </c>
      <c r="D13031">
        <v>93</v>
      </c>
      <c r="E13031">
        <v>94</v>
      </c>
      <c r="F13031">
        <v>96.2</v>
      </c>
      <c r="G13031">
        <v>92.7</v>
      </c>
    </row>
    <row r="13032" spans="1:7">
      <c r="A13032" t="s">
        <v>1876</v>
      </c>
      <c r="B13032" t="s">
        <v>387</v>
      </c>
      <c r="C13032" t="s">
        <v>251</v>
      </c>
      <c r="D13032">
        <v>560782</v>
      </c>
      <c r="E13032">
        <v>568055</v>
      </c>
      <c r="F13032">
        <v>581365</v>
      </c>
      <c r="G13032">
        <v>561524</v>
      </c>
    </row>
    <row r="13033" spans="1:7">
      <c r="A13033" t="s">
        <v>1876</v>
      </c>
      <c r="B13033" t="s">
        <v>387</v>
      </c>
      <c r="C13033" t="s">
        <v>252</v>
      </c>
      <c r="D13033">
        <v>560782</v>
      </c>
      <c r="E13033">
        <v>568055</v>
      </c>
      <c r="F13033">
        <v>581365</v>
      </c>
      <c r="G13033">
        <v>561524</v>
      </c>
    </row>
    <row r="13034" spans="1:7">
      <c r="A13034" t="s">
        <v>1876</v>
      </c>
      <c r="B13034" t="s">
        <v>387</v>
      </c>
      <c r="C13034" t="s">
        <v>1710</v>
      </c>
      <c r="D13034">
        <v>6600</v>
      </c>
      <c r="E13034">
        <v>6600</v>
      </c>
      <c r="F13034">
        <v>6600</v>
      </c>
      <c r="G13034">
        <v>6600</v>
      </c>
    </row>
    <row r="13035" spans="1:7">
      <c r="A13035" t="s">
        <v>1876</v>
      </c>
      <c r="B13035" t="s">
        <v>387</v>
      </c>
      <c r="C13035" t="s">
        <v>1939</v>
      </c>
      <c r="D13035">
        <v>31.4</v>
      </c>
      <c r="E13035">
        <v>38.4</v>
      </c>
      <c r="F13035">
        <v>32.700000000000003</v>
      </c>
      <c r="G13035">
        <v>37.4</v>
      </c>
    </row>
    <row r="13036" spans="1:7">
      <c r="A13036" t="s">
        <v>1876</v>
      </c>
      <c r="B13036" t="s">
        <v>387</v>
      </c>
      <c r="C13036" t="s">
        <v>253</v>
      </c>
      <c r="D13036">
        <v>0</v>
      </c>
      <c r="E13036">
        <v>0</v>
      </c>
      <c r="F13036">
        <v>0</v>
      </c>
      <c r="G13036">
        <v>0</v>
      </c>
    </row>
    <row r="13037" spans="1:7">
      <c r="A13037" t="s">
        <v>1876</v>
      </c>
      <c r="B13037" t="s">
        <v>387</v>
      </c>
      <c r="C13037" t="s">
        <v>1711</v>
      </c>
      <c r="D13037">
        <v>0</v>
      </c>
      <c r="E13037">
        <v>0</v>
      </c>
      <c r="F13037">
        <v>0</v>
      </c>
      <c r="G13037">
        <v>0</v>
      </c>
    </row>
    <row r="13038" spans="1:7">
      <c r="A13038" t="s">
        <v>1876</v>
      </c>
      <c r="B13038" t="s">
        <v>387</v>
      </c>
      <c r="C13038" t="s">
        <v>1712</v>
      </c>
      <c r="D13038">
        <v>3146</v>
      </c>
      <c r="E13038">
        <v>3095</v>
      </c>
      <c r="F13038">
        <v>2932</v>
      </c>
      <c r="G13038">
        <v>2858</v>
      </c>
    </row>
    <row r="13039" spans="1:7">
      <c r="A13039" t="s">
        <v>1876</v>
      </c>
      <c r="B13039" t="s">
        <v>387</v>
      </c>
      <c r="C13039" t="s">
        <v>1713</v>
      </c>
      <c r="D13039">
        <v>1688</v>
      </c>
      <c r="E13039">
        <v>1547</v>
      </c>
      <c r="F13039">
        <v>2255</v>
      </c>
      <c r="G13039">
        <v>2412</v>
      </c>
    </row>
    <row r="13040" spans="1:7">
      <c r="A13040" t="s">
        <v>1876</v>
      </c>
      <c r="B13040" t="s">
        <v>387</v>
      </c>
      <c r="C13040" t="s">
        <v>1940</v>
      </c>
      <c r="D13040">
        <v>0</v>
      </c>
      <c r="E13040">
        <v>0</v>
      </c>
      <c r="F13040">
        <v>0</v>
      </c>
      <c r="G13040">
        <v>0</v>
      </c>
    </row>
    <row r="13041" spans="1:7">
      <c r="A13041" t="s">
        <v>1876</v>
      </c>
      <c r="B13041" t="s">
        <v>387</v>
      </c>
      <c r="C13041" t="s">
        <v>1941</v>
      </c>
      <c r="D13041">
        <v>0</v>
      </c>
      <c r="E13041">
        <v>0</v>
      </c>
      <c r="F13041">
        <v>0</v>
      </c>
      <c r="G13041">
        <v>0</v>
      </c>
    </row>
    <row r="13042" spans="1:7">
      <c r="A13042" t="s">
        <v>1876</v>
      </c>
      <c r="B13042" t="s">
        <v>387</v>
      </c>
      <c r="C13042" t="s">
        <v>254</v>
      </c>
      <c r="D13042">
        <v>3146</v>
      </c>
      <c r="E13042">
        <v>3095</v>
      </c>
      <c r="F13042">
        <v>2932</v>
      </c>
      <c r="G13042">
        <v>2858</v>
      </c>
    </row>
    <row r="13043" spans="1:7">
      <c r="A13043" t="s">
        <v>1876</v>
      </c>
      <c r="B13043" t="s">
        <v>387</v>
      </c>
      <c r="C13043" t="s">
        <v>1942</v>
      </c>
      <c r="D13043">
        <v>0</v>
      </c>
      <c r="E13043">
        <v>0</v>
      </c>
      <c r="F13043">
        <v>0</v>
      </c>
      <c r="G13043">
        <v>0</v>
      </c>
    </row>
    <row r="13044" spans="1:7">
      <c r="A13044" t="s">
        <v>1876</v>
      </c>
      <c r="B13044" t="s">
        <v>387</v>
      </c>
      <c r="C13044" t="s">
        <v>255</v>
      </c>
      <c r="D13044">
        <v>4834</v>
      </c>
      <c r="E13044">
        <v>4642</v>
      </c>
      <c r="F13044">
        <v>5187</v>
      </c>
      <c r="G13044">
        <v>5270</v>
      </c>
    </row>
    <row r="13045" spans="1:7">
      <c r="A13045" t="s">
        <v>1876</v>
      </c>
      <c r="B13045" t="s">
        <v>387</v>
      </c>
      <c r="C13045" t="s">
        <v>256</v>
      </c>
      <c r="D13045">
        <v>4834</v>
      </c>
      <c r="E13045">
        <v>4642</v>
      </c>
      <c r="F13045">
        <v>5187</v>
      </c>
      <c r="G13045">
        <v>5270</v>
      </c>
    </row>
    <row r="13046" spans="1:7">
      <c r="A13046" t="s">
        <v>1876</v>
      </c>
      <c r="B13046" t="s">
        <v>387</v>
      </c>
      <c r="C13046" t="s">
        <v>1714</v>
      </c>
      <c r="D13046">
        <v>0</v>
      </c>
      <c r="E13046">
        <v>0</v>
      </c>
      <c r="F13046">
        <v>0</v>
      </c>
      <c r="G13046">
        <v>0</v>
      </c>
    </row>
    <row r="13047" spans="1:7">
      <c r="A13047" t="s">
        <v>1876</v>
      </c>
      <c r="B13047" t="s">
        <v>387</v>
      </c>
      <c r="C13047" t="s">
        <v>257</v>
      </c>
      <c r="D13047">
        <v>23415</v>
      </c>
      <c r="E13047">
        <v>20694</v>
      </c>
      <c r="F13047">
        <v>29920</v>
      </c>
      <c r="G13047">
        <v>30601</v>
      </c>
    </row>
    <row r="13048" spans="1:7">
      <c r="A13048" t="s">
        <v>1876</v>
      </c>
      <c r="B13048" t="s">
        <v>387</v>
      </c>
      <c r="C13048" t="s">
        <v>258</v>
      </c>
      <c r="D13048">
        <v>28036</v>
      </c>
      <c r="E13048">
        <v>25236</v>
      </c>
      <c r="F13048">
        <v>34593</v>
      </c>
      <c r="G13048">
        <v>35357</v>
      </c>
    </row>
    <row r="13049" spans="1:7">
      <c r="A13049" t="s">
        <v>1876</v>
      </c>
      <c r="B13049" t="s">
        <v>387</v>
      </c>
      <c r="C13049" t="s">
        <v>259</v>
      </c>
      <c r="D13049">
        <v>28036</v>
      </c>
      <c r="E13049">
        <v>25236</v>
      </c>
      <c r="F13049">
        <v>34593</v>
      </c>
      <c r="G13049">
        <v>35357</v>
      </c>
    </row>
    <row r="13050" spans="1:7">
      <c r="A13050" t="s">
        <v>1876</v>
      </c>
      <c r="B13050" t="s">
        <v>387</v>
      </c>
      <c r="C13050" t="s">
        <v>260</v>
      </c>
      <c r="D13050">
        <v>475673</v>
      </c>
      <c r="E13050">
        <v>464186</v>
      </c>
      <c r="F13050">
        <v>472055</v>
      </c>
      <c r="G13050">
        <v>475426</v>
      </c>
    </row>
    <row r="13051" spans="1:7">
      <c r="A13051" t="s">
        <v>1876</v>
      </c>
      <c r="B13051" t="s">
        <v>387</v>
      </c>
      <c r="C13051" t="s">
        <v>1943</v>
      </c>
      <c r="D13051">
        <v>0.1</v>
      </c>
      <c r="E13051">
        <v>0.5</v>
      </c>
      <c r="F13051">
        <v>0.1</v>
      </c>
      <c r="G13051">
        <v>0.1</v>
      </c>
    </row>
    <row r="13052" spans="1:7">
      <c r="A13052" t="s">
        <v>1876</v>
      </c>
      <c r="B13052" t="s">
        <v>387</v>
      </c>
      <c r="C13052" t="s">
        <v>261</v>
      </c>
      <c r="D13052">
        <v>12657</v>
      </c>
      <c r="E13052">
        <v>13400</v>
      </c>
      <c r="F13052">
        <v>13104</v>
      </c>
      <c r="G13052">
        <v>12500</v>
      </c>
    </row>
    <row r="13053" spans="1:7">
      <c r="A13053" t="s">
        <v>1876</v>
      </c>
      <c r="B13053" t="s">
        <v>387</v>
      </c>
      <c r="C13053" t="s">
        <v>262</v>
      </c>
      <c r="D13053">
        <v>889</v>
      </c>
      <c r="E13053">
        <v>2003</v>
      </c>
      <c r="F13053">
        <v>957</v>
      </c>
      <c r="G13053">
        <v>1000</v>
      </c>
    </row>
    <row r="13054" spans="1:7">
      <c r="A13054" t="s">
        <v>1876</v>
      </c>
      <c r="B13054" t="s">
        <v>387</v>
      </c>
      <c r="C13054" t="s">
        <v>1715</v>
      </c>
      <c r="D13054">
        <v>228</v>
      </c>
      <c r="E13054">
        <v>305</v>
      </c>
      <c r="F13054">
        <v>217</v>
      </c>
      <c r="G13054">
        <v>244</v>
      </c>
    </row>
    <row r="13055" spans="1:7">
      <c r="A13055" t="s">
        <v>1876</v>
      </c>
      <c r="B13055" t="s">
        <v>387</v>
      </c>
      <c r="C13055" t="s">
        <v>263</v>
      </c>
      <c r="D13055">
        <v>40163</v>
      </c>
      <c r="E13055">
        <v>38018</v>
      </c>
      <c r="F13055">
        <v>46239</v>
      </c>
      <c r="G13055">
        <v>46351</v>
      </c>
    </row>
    <row r="13056" spans="1:7">
      <c r="A13056" t="s">
        <v>1876</v>
      </c>
      <c r="B13056" t="s">
        <v>387</v>
      </c>
      <c r="C13056" t="s">
        <v>264</v>
      </c>
      <c r="D13056">
        <v>4988</v>
      </c>
      <c r="E13056">
        <v>4754</v>
      </c>
      <c r="F13056">
        <v>4415</v>
      </c>
      <c r="G13056">
        <v>4503</v>
      </c>
    </row>
    <row r="13057" spans="1:7">
      <c r="A13057" t="s">
        <v>1876</v>
      </c>
      <c r="B13057" t="s">
        <v>387</v>
      </c>
      <c r="C13057" t="s">
        <v>265</v>
      </c>
      <c r="D13057">
        <v>534370</v>
      </c>
      <c r="E13057">
        <v>522361</v>
      </c>
      <c r="F13057">
        <v>536770</v>
      </c>
      <c r="G13057">
        <v>539779</v>
      </c>
    </row>
    <row r="13058" spans="1:7">
      <c r="A13058" t="s">
        <v>1876</v>
      </c>
      <c r="B13058" t="s">
        <v>387</v>
      </c>
      <c r="C13058" t="s">
        <v>266</v>
      </c>
      <c r="D13058">
        <v>102.9</v>
      </c>
      <c r="E13058">
        <v>98.8</v>
      </c>
      <c r="F13058">
        <v>99.6</v>
      </c>
      <c r="G13058">
        <v>98.3</v>
      </c>
    </row>
    <row r="13059" spans="1:7">
      <c r="A13059" t="s">
        <v>1876</v>
      </c>
      <c r="B13059" t="s">
        <v>387</v>
      </c>
      <c r="C13059" t="s">
        <v>267</v>
      </c>
      <c r="D13059">
        <v>533481</v>
      </c>
      <c r="E13059">
        <v>520358</v>
      </c>
      <c r="F13059">
        <v>535813</v>
      </c>
      <c r="G13059">
        <v>538780</v>
      </c>
    </row>
    <row r="13060" spans="1:7">
      <c r="A13060" t="s">
        <v>1876</v>
      </c>
      <c r="B13060" t="s">
        <v>387</v>
      </c>
      <c r="C13060" t="s">
        <v>268</v>
      </c>
      <c r="D13060">
        <v>0</v>
      </c>
      <c r="E13060">
        <v>0</v>
      </c>
      <c r="F13060">
        <v>0</v>
      </c>
      <c r="G13060">
        <v>0</v>
      </c>
    </row>
    <row r="13061" spans="1:7">
      <c r="A13061" t="s">
        <v>1876</v>
      </c>
      <c r="B13061" t="s">
        <v>387</v>
      </c>
      <c r="C13061" t="s">
        <v>269</v>
      </c>
      <c r="D13061">
        <v>0</v>
      </c>
      <c r="E13061">
        <v>0</v>
      </c>
      <c r="F13061">
        <v>0</v>
      </c>
      <c r="G13061">
        <v>0</v>
      </c>
    </row>
    <row r="13062" spans="1:7">
      <c r="A13062" t="s">
        <v>1876</v>
      </c>
      <c r="B13062" t="s">
        <v>387</v>
      </c>
      <c r="C13062" t="s">
        <v>270</v>
      </c>
      <c r="D13062">
        <v>5143</v>
      </c>
      <c r="E13062">
        <v>1251</v>
      </c>
      <c r="F13062">
        <v>10349</v>
      </c>
      <c r="G13062">
        <v>10090</v>
      </c>
    </row>
    <row r="13063" spans="1:7">
      <c r="A13063" t="s">
        <v>1876</v>
      </c>
      <c r="B13063" t="s">
        <v>387</v>
      </c>
      <c r="C13063" t="s">
        <v>271</v>
      </c>
      <c r="D13063">
        <v>5143</v>
      </c>
      <c r="E13063">
        <v>1251</v>
      </c>
      <c r="F13063">
        <v>10349</v>
      </c>
      <c r="G13063">
        <v>10090</v>
      </c>
    </row>
    <row r="13064" spans="1:7">
      <c r="A13064" t="s">
        <v>1876</v>
      </c>
      <c r="B13064" t="s">
        <v>387</v>
      </c>
      <c r="C13064" t="s">
        <v>272</v>
      </c>
      <c r="D13064">
        <v>5143</v>
      </c>
      <c r="E13064">
        <v>1251</v>
      </c>
      <c r="F13064">
        <v>10349</v>
      </c>
      <c r="G13064">
        <v>10090</v>
      </c>
    </row>
    <row r="13065" spans="1:7">
      <c r="A13065" t="s">
        <v>1876</v>
      </c>
      <c r="B13065" t="s">
        <v>387</v>
      </c>
      <c r="C13065" t="s">
        <v>1944</v>
      </c>
      <c r="D13065">
        <v>4.5999999999999996</v>
      </c>
      <c r="E13065">
        <v>6.2</v>
      </c>
      <c r="F13065">
        <v>7.9</v>
      </c>
      <c r="G13065">
        <v>10.7</v>
      </c>
    </row>
    <row r="13066" spans="1:7">
      <c r="A13066" t="s">
        <v>1876</v>
      </c>
      <c r="B13066" t="s">
        <v>387</v>
      </c>
      <c r="C13066" t="s">
        <v>1945</v>
      </c>
      <c r="D13066">
        <v>7</v>
      </c>
      <c r="E13066">
        <v>10</v>
      </c>
      <c r="F13066">
        <v>20</v>
      </c>
      <c r="G13066">
        <v>25</v>
      </c>
    </row>
    <row r="13067" spans="1:7">
      <c r="A13067" t="s">
        <v>1876</v>
      </c>
      <c r="B13067" t="s">
        <v>387</v>
      </c>
      <c r="C13067" t="s">
        <v>273</v>
      </c>
      <c r="D13067">
        <v>0</v>
      </c>
      <c r="E13067">
        <v>0</v>
      </c>
      <c r="F13067">
        <v>0</v>
      </c>
      <c r="G13067">
        <v>0</v>
      </c>
    </row>
    <row r="13068" spans="1:7">
      <c r="A13068" t="s">
        <v>1876</v>
      </c>
      <c r="B13068" t="s">
        <v>387</v>
      </c>
      <c r="C13068" t="s">
        <v>1946</v>
      </c>
      <c r="D13068">
        <v>450588</v>
      </c>
      <c r="E13068">
        <v>439797</v>
      </c>
      <c r="F13068">
        <v>446097</v>
      </c>
      <c r="G13068">
        <v>449066</v>
      </c>
    </row>
    <row r="13069" spans="1:7">
      <c r="A13069" t="s">
        <v>1876</v>
      </c>
      <c r="B13069" t="s">
        <v>387</v>
      </c>
      <c r="C13069" t="s">
        <v>1947</v>
      </c>
      <c r="D13069">
        <v>12201</v>
      </c>
      <c r="E13069">
        <v>12886</v>
      </c>
      <c r="F13069">
        <v>12585</v>
      </c>
      <c r="G13069">
        <v>12021</v>
      </c>
    </row>
    <row r="13070" spans="1:7">
      <c r="A13070" t="s">
        <v>1876</v>
      </c>
      <c r="B13070" t="s">
        <v>387</v>
      </c>
      <c r="C13070" t="s">
        <v>1948</v>
      </c>
      <c r="D13070">
        <v>889</v>
      </c>
      <c r="E13070">
        <v>2003</v>
      </c>
      <c r="F13070">
        <v>957</v>
      </c>
      <c r="G13070">
        <v>1000</v>
      </c>
    </row>
    <row r="13071" spans="1:7">
      <c r="A13071" t="s">
        <v>1876</v>
      </c>
      <c r="B13071" t="s">
        <v>387</v>
      </c>
      <c r="C13071" t="s">
        <v>1949</v>
      </c>
      <c r="D13071">
        <v>39949</v>
      </c>
      <c r="E13071">
        <v>37793</v>
      </c>
      <c r="F13071">
        <v>46011</v>
      </c>
      <c r="G13071">
        <v>46151</v>
      </c>
    </row>
    <row r="13072" spans="1:7">
      <c r="A13072" t="s">
        <v>1876</v>
      </c>
      <c r="B13072" t="s">
        <v>387</v>
      </c>
      <c r="C13072" t="s">
        <v>1950</v>
      </c>
      <c r="D13072">
        <v>4988</v>
      </c>
      <c r="E13072">
        <v>4754</v>
      </c>
      <c r="F13072">
        <v>4415</v>
      </c>
      <c r="G13072">
        <v>4503</v>
      </c>
    </row>
    <row r="13073" spans="1:7">
      <c r="A13073" t="s">
        <v>1876</v>
      </c>
      <c r="B13073" t="s">
        <v>387</v>
      </c>
      <c r="C13073" t="s">
        <v>274</v>
      </c>
      <c r="D13073">
        <v>508615</v>
      </c>
      <c r="E13073">
        <v>497233</v>
      </c>
      <c r="F13073">
        <v>510065</v>
      </c>
      <c r="G13073">
        <v>512741</v>
      </c>
    </row>
    <row r="13074" spans="1:7">
      <c r="A13074" t="s">
        <v>1876</v>
      </c>
      <c r="B13074" t="s">
        <v>387</v>
      </c>
      <c r="C13074" t="s">
        <v>275</v>
      </c>
      <c r="D13074">
        <v>0</v>
      </c>
      <c r="E13074">
        <v>0</v>
      </c>
      <c r="F13074">
        <v>0</v>
      </c>
      <c r="G13074">
        <v>0</v>
      </c>
    </row>
    <row r="13075" spans="1:7">
      <c r="A13075" t="s">
        <v>1876</v>
      </c>
      <c r="B13075" t="s">
        <v>387</v>
      </c>
      <c r="C13075" t="s">
        <v>276</v>
      </c>
      <c r="D13075">
        <v>0</v>
      </c>
      <c r="E13075">
        <v>0</v>
      </c>
      <c r="F13075">
        <v>0</v>
      </c>
      <c r="G13075">
        <v>0</v>
      </c>
    </row>
    <row r="13076" spans="1:7">
      <c r="A13076" t="s">
        <v>1876</v>
      </c>
      <c r="B13076" t="s">
        <v>387</v>
      </c>
      <c r="C13076" t="s">
        <v>277</v>
      </c>
      <c r="D13076">
        <v>195</v>
      </c>
      <c r="E13076">
        <v>274</v>
      </c>
      <c r="F13076">
        <v>280</v>
      </c>
      <c r="G13076">
        <v>298</v>
      </c>
    </row>
    <row r="13077" spans="1:7">
      <c r="A13077" t="s">
        <v>1876</v>
      </c>
      <c r="B13077" t="s">
        <v>387</v>
      </c>
      <c r="C13077" t="s">
        <v>278</v>
      </c>
      <c r="D13077">
        <v>2891</v>
      </c>
      <c r="E13077">
        <v>2894</v>
      </c>
      <c r="F13077">
        <v>2683</v>
      </c>
      <c r="G13077">
        <v>2581</v>
      </c>
    </row>
    <row r="13078" spans="1:7">
      <c r="A13078" t="s">
        <v>1876</v>
      </c>
      <c r="B13078" t="s">
        <v>387</v>
      </c>
      <c r="C13078" t="s">
        <v>279</v>
      </c>
      <c r="D13078">
        <v>2307</v>
      </c>
      <c r="E13078">
        <v>2623</v>
      </c>
      <c r="F13078">
        <v>1925</v>
      </c>
      <c r="G13078">
        <v>2026</v>
      </c>
    </row>
    <row r="13079" spans="1:7">
      <c r="A13079" t="s">
        <v>1876</v>
      </c>
      <c r="B13079" t="s">
        <v>387</v>
      </c>
      <c r="C13079" t="s">
        <v>280</v>
      </c>
      <c r="D13079">
        <v>4363</v>
      </c>
      <c r="E13079">
        <v>4144</v>
      </c>
      <c r="F13079">
        <v>3743</v>
      </c>
      <c r="G13079">
        <v>3876</v>
      </c>
    </row>
    <row r="13080" spans="1:7">
      <c r="A13080" t="s">
        <v>1876</v>
      </c>
      <c r="B13080" t="s">
        <v>387</v>
      </c>
      <c r="C13080" t="s">
        <v>281</v>
      </c>
      <c r="D13080">
        <v>9756</v>
      </c>
      <c r="E13080">
        <v>9934</v>
      </c>
      <c r="F13080">
        <v>8631</v>
      </c>
      <c r="G13080">
        <v>8781</v>
      </c>
    </row>
    <row r="13081" spans="1:7">
      <c r="A13081" t="s">
        <v>1876</v>
      </c>
      <c r="B13081" t="s">
        <v>387</v>
      </c>
      <c r="C13081" t="s">
        <v>282</v>
      </c>
      <c r="D13081">
        <v>9756</v>
      </c>
      <c r="E13081">
        <v>9934</v>
      </c>
      <c r="F13081">
        <v>8631</v>
      </c>
      <c r="G13081">
        <v>8781</v>
      </c>
    </row>
    <row r="13082" spans="1:7">
      <c r="A13082" t="s">
        <v>1876</v>
      </c>
      <c r="B13082" t="s">
        <v>387</v>
      </c>
      <c r="C13082" t="s">
        <v>283</v>
      </c>
      <c r="D13082">
        <v>0</v>
      </c>
      <c r="E13082">
        <v>0</v>
      </c>
      <c r="F13082">
        <v>0</v>
      </c>
      <c r="G13082">
        <v>0</v>
      </c>
    </row>
    <row r="13083" spans="1:7">
      <c r="A13083" t="s">
        <v>1876</v>
      </c>
      <c r="B13083" t="s">
        <v>387</v>
      </c>
      <c r="C13083" t="s">
        <v>284</v>
      </c>
      <c r="D13083">
        <v>0</v>
      </c>
      <c r="E13083">
        <v>0</v>
      </c>
      <c r="F13083">
        <v>0</v>
      </c>
      <c r="G13083">
        <v>0</v>
      </c>
    </row>
    <row r="13084" spans="1:7">
      <c r="A13084" t="s">
        <v>1876</v>
      </c>
      <c r="B13084" t="s">
        <v>387</v>
      </c>
      <c r="C13084" t="s">
        <v>1716</v>
      </c>
      <c r="D13084">
        <v>25085</v>
      </c>
      <c r="E13084">
        <v>24389</v>
      </c>
      <c r="F13084">
        <v>25958</v>
      </c>
      <c r="G13084">
        <v>26359</v>
      </c>
    </row>
    <row r="13085" spans="1:7">
      <c r="A13085" t="s">
        <v>1876</v>
      </c>
      <c r="B13085" t="s">
        <v>387</v>
      </c>
      <c r="C13085" t="s">
        <v>1717</v>
      </c>
      <c r="D13085">
        <v>985</v>
      </c>
      <c r="E13085">
        <v>1083</v>
      </c>
      <c r="F13085">
        <v>1076</v>
      </c>
      <c r="G13085">
        <v>1135</v>
      </c>
    </row>
    <row r="13086" spans="1:7">
      <c r="A13086" t="s">
        <v>1876</v>
      </c>
      <c r="B13086" t="s">
        <v>387</v>
      </c>
      <c r="C13086" t="s">
        <v>1718</v>
      </c>
      <c r="D13086">
        <v>31038</v>
      </c>
      <c r="E13086">
        <v>31054</v>
      </c>
      <c r="F13086">
        <v>29006</v>
      </c>
      <c r="G13086">
        <v>25494</v>
      </c>
    </row>
    <row r="13087" spans="1:7">
      <c r="A13087" t="s">
        <v>1876</v>
      </c>
      <c r="B13087" t="s">
        <v>387</v>
      </c>
      <c r="C13087" t="s">
        <v>1719</v>
      </c>
      <c r="D13087">
        <v>3000</v>
      </c>
      <c r="E13087">
        <v>3095</v>
      </c>
      <c r="F13087">
        <v>3317</v>
      </c>
      <c r="G13087">
        <v>3403</v>
      </c>
    </row>
    <row r="13088" spans="1:7">
      <c r="A13088" t="s">
        <v>1876</v>
      </c>
      <c r="B13088" t="s">
        <v>387</v>
      </c>
      <c r="C13088" t="s">
        <v>1720</v>
      </c>
      <c r="D13088">
        <v>83749</v>
      </c>
      <c r="E13088">
        <v>91759</v>
      </c>
      <c r="F13088">
        <v>89804</v>
      </c>
      <c r="G13088">
        <v>90970</v>
      </c>
    </row>
    <row r="13089" spans="1:7">
      <c r="A13089" t="s">
        <v>1876</v>
      </c>
      <c r="B13089" t="s">
        <v>387</v>
      </c>
      <c r="C13089" t="s">
        <v>1721</v>
      </c>
      <c r="D13089">
        <v>2939</v>
      </c>
      <c r="E13089">
        <v>3488</v>
      </c>
      <c r="F13089">
        <v>3086</v>
      </c>
      <c r="G13089">
        <v>3525</v>
      </c>
    </row>
    <row r="13090" spans="1:7">
      <c r="A13090" t="s">
        <v>1876</v>
      </c>
      <c r="B13090" t="s">
        <v>387</v>
      </c>
      <c r="C13090" t="s">
        <v>285</v>
      </c>
      <c r="D13090">
        <v>143795</v>
      </c>
      <c r="E13090">
        <v>151773</v>
      </c>
      <c r="F13090">
        <v>148930</v>
      </c>
      <c r="G13090">
        <v>147484</v>
      </c>
    </row>
    <row r="13091" spans="1:7">
      <c r="A13091" t="s">
        <v>1876</v>
      </c>
      <c r="B13091" t="s">
        <v>387</v>
      </c>
      <c r="C13091" t="s">
        <v>1951</v>
      </c>
      <c r="D13091">
        <v>9</v>
      </c>
      <c r="E13091">
        <v>9.3000000000000007</v>
      </c>
      <c r="F13091">
        <v>9.1999999999999993</v>
      </c>
      <c r="G13091">
        <v>9</v>
      </c>
    </row>
    <row r="13092" spans="1:7">
      <c r="A13092" t="s">
        <v>1876</v>
      </c>
      <c r="B13092" t="s">
        <v>387</v>
      </c>
      <c r="C13092" t="s">
        <v>286</v>
      </c>
      <c r="D13092">
        <v>10571</v>
      </c>
      <c r="E13092">
        <v>10832</v>
      </c>
      <c r="F13092">
        <v>8992</v>
      </c>
      <c r="G13092">
        <v>9733</v>
      </c>
    </row>
    <row r="13093" spans="1:7">
      <c r="A13093" t="s">
        <v>1876</v>
      </c>
      <c r="B13093" t="s">
        <v>387</v>
      </c>
      <c r="C13093" t="s">
        <v>287</v>
      </c>
      <c r="D13093">
        <v>75</v>
      </c>
      <c r="E13093">
        <v>76</v>
      </c>
      <c r="F13093">
        <v>63</v>
      </c>
      <c r="G13093">
        <v>69</v>
      </c>
    </row>
    <row r="13094" spans="1:7">
      <c r="A13094" t="s">
        <v>1876</v>
      </c>
      <c r="B13094" t="s">
        <v>387</v>
      </c>
      <c r="C13094" t="s">
        <v>288</v>
      </c>
      <c r="D13094">
        <v>0</v>
      </c>
      <c r="E13094">
        <v>0</v>
      </c>
      <c r="F13094">
        <v>0</v>
      </c>
      <c r="G13094">
        <v>0</v>
      </c>
    </row>
    <row r="13095" spans="1:7">
      <c r="A13095" t="s">
        <v>1876</v>
      </c>
      <c r="B13095" t="s">
        <v>387</v>
      </c>
      <c r="C13095" t="s">
        <v>289</v>
      </c>
      <c r="D13095">
        <v>561</v>
      </c>
      <c r="E13095">
        <v>575</v>
      </c>
      <c r="F13095">
        <v>477</v>
      </c>
      <c r="G13095">
        <v>516</v>
      </c>
    </row>
    <row r="13096" spans="1:7">
      <c r="A13096" t="s">
        <v>1876</v>
      </c>
      <c r="B13096" t="s">
        <v>387</v>
      </c>
      <c r="C13096" t="s">
        <v>290</v>
      </c>
      <c r="D13096">
        <v>11206</v>
      </c>
      <c r="E13096">
        <v>11483</v>
      </c>
      <c r="F13096">
        <v>9532</v>
      </c>
      <c r="G13096">
        <v>10318</v>
      </c>
    </row>
    <row r="13097" spans="1:7">
      <c r="A13097" t="s">
        <v>1876</v>
      </c>
      <c r="B13097" t="s">
        <v>387</v>
      </c>
      <c r="C13097" t="s">
        <v>291</v>
      </c>
      <c r="D13097">
        <v>11206</v>
      </c>
      <c r="E13097">
        <v>11483</v>
      </c>
      <c r="F13097">
        <v>9532</v>
      </c>
      <c r="G13097">
        <v>10318</v>
      </c>
    </row>
    <row r="13098" spans="1:7">
      <c r="A13098" t="s">
        <v>1876</v>
      </c>
      <c r="B13098" t="s">
        <v>387</v>
      </c>
      <c r="C13098" t="s">
        <v>292</v>
      </c>
      <c r="D13098">
        <v>0</v>
      </c>
      <c r="E13098">
        <v>0</v>
      </c>
      <c r="F13098">
        <v>12</v>
      </c>
      <c r="G13098">
        <v>18</v>
      </c>
    </row>
    <row r="13099" spans="1:7">
      <c r="A13099" t="s">
        <v>1876</v>
      </c>
      <c r="B13099" t="s">
        <v>387</v>
      </c>
      <c r="C13099" t="s">
        <v>293</v>
      </c>
      <c r="D13099">
        <v>0</v>
      </c>
      <c r="E13099">
        <v>0</v>
      </c>
      <c r="F13099">
        <v>90</v>
      </c>
      <c r="G13099">
        <v>121</v>
      </c>
    </row>
    <row r="13100" spans="1:7">
      <c r="A13100" t="s">
        <v>1876</v>
      </c>
      <c r="B13100" t="s">
        <v>387</v>
      </c>
      <c r="C13100" t="s">
        <v>294</v>
      </c>
      <c r="D13100">
        <v>0</v>
      </c>
      <c r="E13100">
        <v>0</v>
      </c>
      <c r="F13100">
        <v>47</v>
      </c>
      <c r="G13100">
        <v>65</v>
      </c>
    </row>
    <row r="13101" spans="1:7">
      <c r="A13101" t="s">
        <v>1876</v>
      </c>
      <c r="B13101" t="s">
        <v>387</v>
      </c>
      <c r="C13101" t="s">
        <v>295</v>
      </c>
      <c r="D13101">
        <v>0</v>
      </c>
      <c r="E13101">
        <v>0</v>
      </c>
      <c r="F13101">
        <v>15</v>
      </c>
      <c r="G13101">
        <v>23</v>
      </c>
    </row>
    <row r="13102" spans="1:7">
      <c r="A13102" t="s">
        <v>1876</v>
      </c>
      <c r="B13102" t="s">
        <v>387</v>
      </c>
      <c r="C13102" t="s">
        <v>296</v>
      </c>
      <c r="D13102">
        <v>0</v>
      </c>
      <c r="E13102">
        <v>0</v>
      </c>
      <c r="F13102">
        <v>164</v>
      </c>
      <c r="G13102">
        <v>227</v>
      </c>
    </row>
    <row r="13103" spans="1:7">
      <c r="A13103" t="s">
        <v>1876</v>
      </c>
      <c r="B13103" t="s">
        <v>387</v>
      </c>
      <c r="C13103" t="s">
        <v>297</v>
      </c>
      <c r="D13103">
        <v>0</v>
      </c>
      <c r="E13103">
        <v>0</v>
      </c>
      <c r="F13103">
        <v>0</v>
      </c>
      <c r="G13103">
        <v>0</v>
      </c>
    </row>
    <row r="13104" spans="1:7">
      <c r="A13104" t="s">
        <v>1876</v>
      </c>
      <c r="B13104" t="s">
        <v>387</v>
      </c>
      <c r="C13104" t="s">
        <v>1952</v>
      </c>
      <c r="D13104">
        <v>0</v>
      </c>
      <c r="E13104">
        <v>0</v>
      </c>
      <c r="F13104">
        <v>0</v>
      </c>
      <c r="G13104">
        <v>0</v>
      </c>
    </row>
    <row r="13105" spans="1:7">
      <c r="A13105" t="s">
        <v>1876</v>
      </c>
      <c r="B13105" t="s">
        <v>387</v>
      </c>
      <c r="C13105" t="s">
        <v>298</v>
      </c>
      <c r="D13105">
        <v>601</v>
      </c>
      <c r="E13105">
        <v>517</v>
      </c>
      <c r="F13105">
        <v>517</v>
      </c>
      <c r="G13105">
        <v>453</v>
      </c>
    </row>
    <row r="13106" spans="1:7">
      <c r="A13106" t="s">
        <v>1876</v>
      </c>
      <c r="B13106" t="s">
        <v>387</v>
      </c>
      <c r="C13106" t="s">
        <v>299</v>
      </c>
      <c r="D13106">
        <v>285</v>
      </c>
      <c r="E13106">
        <v>337</v>
      </c>
      <c r="F13106">
        <v>385</v>
      </c>
      <c r="G13106">
        <v>413</v>
      </c>
    </row>
    <row r="13107" spans="1:7">
      <c r="A13107" t="s">
        <v>1876</v>
      </c>
      <c r="B13107" t="s">
        <v>387</v>
      </c>
      <c r="C13107" t="s">
        <v>300</v>
      </c>
      <c r="D13107">
        <v>7765</v>
      </c>
      <c r="E13107">
        <v>8243</v>
      </c>
      <c r="F13107">
        <v>9407</v>
      </c>
      <c r="G13107">
        <v>9965</v>
      </c>
    </row>
    <row r="13108" spans="1:7">
      <c r="A13108" t="s">
        <v>1876</v>
      </c>
      <c r="B13108" t="s">
        <v>387</v>
      </c>
      <c r="C13108" t="s">
        <v>1722</v>
      </c>
      <c r="D13108">
        <v>1134</v>
      </c>
      <c r="E13108">
        <v>1339</v>
      </c>
      <c r="F13108">
        <v>1558</v>
      </c>
      <c r="G13108">
        <v>1647</v>
      </c>
    </row>
    <row r="13109" spans="1:7">
      <c r="A13109" t="s">
        <v>1876</v>
      </c>
      <c r="B13109" t="s">
        <v>387</v>
      </c>
      <c r="C13109" t="s">
        <v>301</v>
      </c>
      <c r="D13109">
        <v>160</v>
      </c>
      <c r="E13109">
        <v>158</v>
      </c>
      <c r="F13109">
        <v>159</v>
      </c>
      <c r="G13109">
        <v>163</v>
      </c>
    </row>
    <row r="13110" spans="1:7">
      <c r="A13110" t="s">
        <v>1876</v>
      </c>
      <c r="B13110" t="s">
        <v>387</v>
      </c>
      <c r="C13110" t="s">
        <v>302</v>
      </c>
      <c r="D13110">
        <v>1062</v>
      </c>
      <c r="E13110">
        <v>1335</v>
      </c>
      <c r="F13110">
        <v>1518</v>
      </c>
      <c r="G13110">
        <v>1650</v>
      </c>
    </row>
    <row r="13111" spans="1:7">
      <c r="A13111" t="s">
        <v>1876</v>
      </c>
      <c r="B13111" t="s">
        <v>387</v>
      </c>
      <c r="C13111" t="s">
        <v>303</v>
      </c>
      <c r="D13111">
        <v>9273</v>
      </c>
      <c r="E13111">
        <v>10073</v>
      </c>
      <c r="F13111">
        <v>11469</v>
      </c>
      <c r="G13111">
        <v>12190</v>
      </c>
    </row>
    <row r="13112" spans="1:7">
      <c r="A13112" t="s">
        <v>1876</v>
      </c>
      <c r="B13112" t="s">
        <v>387</v>
      </c>
      <c r="C13112" t="s">
        <v>304</v>
      </c>
      <c r="D13112">
        <v>1508</v>
      </c>
      <c r="E13112">
        <v>1830</v>
      </c>
      <c r="F13112">
        <v>2062</v>
      </c>
      <c r="G13112">
        <v>2225</v>
      </c>
    </row>
    <row r="13113" spans="1:7">
      <c r="A13113" t="s">
        <v>1876</v>
      </c>
      <c r="B13113" t="s">
        <v>387</v>
      </c>
      <c r="C13113" t="s">
        <v>1953</v>
      </c>
      <c r="D13113">
        <v>23.4</v>
      </c>
      <c r="E13113">
        <v>22.9</v>
      </c>
      <c r="F13113">
        <v>21.3</v>
      </c>
      <c r="G13113">
        <v>21.1</v>
      </c>
    </row>
    <row r="13114" spans="1:7">
      <c r="A13114" t="s">
        <v>1876</v>
      </c>
      <c r="B13114" t="s">
        <v>387</v>
      </c>
      <c r="C13114" t="s">
        <v>305</v>
      </c>
      <c r="D13114">
        <v>478443</v>
      </c>
      <c r="E13114">
        <v>466876</v>
      </c>
      <c r="F13114">
        <v>474476</v>
      </c>
      <c r="G13114">
        <v>478031</v>
      </c>
    </row>
    <row r="13115" spans="1:7">
      <c r="A13115" t="s">
        <v>1876</v>
      </c>
      <c r="B13115" t="s">
        <v>387</v>
      </c>
      <c r="C13115" t="s">
        <v>306</v>
      </c>
      <c r="D13115">
        <v>92.1</v>
      </c>
      <c r="E13115">
        <v>88.3</v>
      </c>
      <c r="F13115">
        <v>88</v>
      </c>
      <c r="G13115">
        <v>87.1</v>
      </c>
    </row>
    <row r="13116" spans="1:7">
      <c r="A13116" t="s">
        <v>1876</v>
      </c>
      <c r="B13116" t="s">
        <v>387</v>
      </c>
      <c r="C13116" t="s">
        <v>307</v>
      </c>
      <c r="D13116">
        <v>255270</v>
      </c>
      <c r="E13116">
        <v>289054</v>
      </c>
      <c r="F13116">
        <v>295363</v>
      </c>
      <c r="G13116">
        <v>305730</v>
      </c>
    </row>
    <row r="13117" spans="1:7">
      <c r="A13117" t="s">
        <v>1876</v>
      </c>
      <c r="B13117" t="s">
        <v>387</v>
      </c>
      <c r="C13117" t="s">
        <v>308</v>
      </c>
      <c r="D13117">
        <v>49.1</v>
      </c>
      <c r="E13117">
        <v>54.7</v>
      </c>
      <c r="F13117">
        <v>54.8</v>
      </c>
      <c r="G13117">
        <v>55.7</v>
      </c>
    </row>
    <row r="13118" spans="1:7">
      <c r="A13118" t="s">
        <v>1876</v>
      </c>
      <c r="B13118" t="s">
        <v>387</v>
      </c>
      <c r="C13118" t="s">
        <v>309</v>
      </c>
      <c r="D13118">
        <v>935343</v>
      </c>
      <c r="E13118">
        <v>944776</v>
      </c>
      <c r="F13118">
        <v>960768</v>
      </c>
      <c r="G13118">
        <v>948441</v>
      </c>
    </row>
    <row r="13119" spans="1:7">
      <c r="A13119" t="s">
        <v>1876</v>
      </c>
      <c r="B13119" t="s">
        <v>387</v>
      </c>
      <c r="C13119" t="s">
        <v>310</v>
      </c>
      <c r="D13119">
        <v>508450</v>
      </c>
      <c r="E13119">
        <v>505207</v>
      </c>
      <c r="F13119">
        <v>490799</v>
      </c>
      <c r="G13119">
        <v>490608</v>
      </c>
    </row>
    <row r="13120" spans="1:7">
      <c r="A13120" t="s">
        <v>1876</v>
      </c>
      <c r="B13120" t="s">
        <v>387</v>
      </c>
      <c r="C13120" t="s">
        <v>311</v>
      </c>
      <c r="D13120">
        <v>97.9</v>
      </c>
      <c r="E13120">
        <v>95.5</v>
      </c>
      <c r="F13120">
        <v>91</v>
      </c>
      <c r="G13120">
        <v>89.4</v>
      </c>
    </row>
    <row r="13121" spans="1:7">
      <c r="A13121" t="s">
        <v>1876</v>
      </c>
      <c r="B13121" t="s">
        <v>387</v>
      </c>
      <c r="C13121" t="s">
        <v>312</v>
      </c>
      <c r="D13121">
        <v>362389</v>
      </c>
      <c r="E13121">
        <v>374959</v>
      </c>
      <c r="F13121">
        <v>352672</v>
      </c>
      <c r="G13121">
        <v>370712</v>
      </c>
    </row>
    <row r="13122" spans="1:7">
      <c r="A13122" t="s">
        <v>1876</v>
      </c>
      <c r="B13122" t="s">
        <v>387</v>
      </c>
      <c r="C13122" t="s">
        <v>313</v>
      </c>
      <c r="D13122">
        <v>69.8</v>
      </c>
      <c r="E13122">
        <v>70.900000000000006</v>
      </c>
      <c r="F13122">
        <v>65.400000000000006</v>
      </c>
      <c r="G13122">
        <v>67.5</v>
      </c>
    </row>
    <row r="13123" spans="1:7">
      <c r="A13123" t="s">
        <v>1876</v>
      </c>
      <c r="B13123" t="s">
        <v>387</v>
      </c>
      <c r="C13123" t="s">
        <v>314</v>
      </c>
      <c r="D13123">
        <v>1604553</v>
      </c>
      <c r="E13123">
        <v>1636096</v>
      </c>
      <c r="F13123">
        <v>1613309</v>
      </c>
      <c r="G13123">
        <v>1645081</v>
      </c>
    </row>
    <row r="13124" spans="1:7">
      <c r="A13124" t="s">
        <v>1876</v>
      </c>
      <c r="B13124" t="s">
        <v>387</v>
      </c>
      <c r="C13124" t="s">
        <v>315</v>
      </c>
      <c r="D13124">
        <v>6.53</v>
      </c>
      <c r="E13124">
        <v>6.38</v>
      </c>
      <c r="F13124">
        <v>6.06</v>
      </c>
      <c r="G13124">
        <v>5.92</v>
      </c>
    </row>
    <row r="13125" spans="1:7">
      <c r="A13125" t="s">
        <v>1876</v>
      </c>
      <c r="B13125" t="s">
        <v>387</v>
      </c>
      <c r="C13125" t="s">
        <v>316</v>
      </c>
      <c r="D13125">
        <v>308.89999999999998</v>
      </c>
      <c r="E13125">
        <v>309.3</v>
      </c>
      <c r="F13125">
        <v>299.3</v>
      </c>
      <c r="G13125">
        <v>299.60000000000002</v>
      </c>
    </row>
    <row r="13126" spans="1:7">
      <c r="A13126" t="s">
        <v>1876</v>
      </c>
      <c r="B13126" t="s">
        <v>387</v>
      </c>
      <c r="C13126" t="s">
        <v>317</v>
      </c>
      <c r="D13126">
        <v>1604553</v>
      </c>
      <c r="E13126">
        <v>1636097</v>
      </c>
      <c r="F13126">
        <v>1613310</v>
      </c>
      <c r="G13126">
        <v>1645081</v>
      </c>
    </row>
    <row r="13127" spans="1:7">
      <c r="A13127" t="s">
        <v>1876</v>
      </c>
      <c r="B13127" t="s">
        <v>387</v>
      </c>
      <c r="C13127" t="s">
        <v>318</v>
      </c>
      <c r="D13127">
        <v>478443</v>
      </c>
      <c r="E13127">
        <v>466876</v>
      </c>
      <c r="F13127">
        <v>474476</v>
      </c>
      <c r="G13127">
        <v>478031</v>
      </c>
    </row>
    <row r="13128" spans="1:7">
      <c r="A13128" t="s">
        <v>1876</v>
      </c>
      <c r="B13128" t="s">
        <v>387</v>
      </c>
      <c r="C13128" t="s">
        <v>319</v>
      </c>
      <c r="D13128">
        <v>111892</v>
      </c>
      <c r="E13128">
        <v>123082</v>
      </c>
      <c r="F13128">
        <v>125510</v>
      </c>
      <c r="G13128">
        <v>130171</v>
      </c>
    </row>
    <row r="13129" spans="1:7">
      <c r="A13129" t="s">
        <v>1876</v>
      </c>
      <c r="B13129" t="s">
        <v>387</v>
      </c>
      <c r="C13129" t="s">
        <v>320</v>
      </c>
      <c r="D13129">
        <v>323121</v>
      </c>
      <c r="E13129">
        <v>324034</v>
      </c>
      <c r="F13129">
        <v>321512</v>
      </c>
      <c r="G13129">
        <v>323030</v>
      </c>
    </row>
    <row r="13130" spans="1:7">
      <c r="A13130" t="s">
        <v>1876</v>
      </c>
      <c r="B13130" t="s">
        <v>387</v>
      </c>
      <c r="C13130" t="s">
        <v>321</v>
      </c>
      <c r="D13130">
        <v>149261</v>
      </c>
      <c r="E13130">
        <v>152887</v>
      </c>
      <c r="F13130">
        <v>144361</v>
      </c>
      <c r="G13130">
        <v>153519</v>
      </c>
    </row>
    <row r="13131" spans="1:7">
      <c r="A13131" t="s">
        <v>1876</v>
      </c>
      <c r="B13131" t="s">
        <v>387</v>
      </c>
      <c r="C13131" t="s">
        <v>1954</v>
      </c>
      <c r="D13131">
        <v>1062718</v>
      </c>
      <c r="E13131">
        <v>1066879</v>
      </c>
      <c r="F13131">
        <v>1065858</v>
      </c>
      <c r="G13131">
        <v>1084751</v>
      </c>
    </row>
    <row r="13132" spans="1:7">
      <c r="A13132" t="s">
        <v>1876</v>
      </c>
      <c r="B13132" t="s">
        <v>387</v>
      </c>
      <c r="C13132" t="s">
        <v>323</v>
      </c>
      <c r="D13132">
        <v>5194</v>
      </c>
      <c r="E13132">
        <v>5289</v>
      </c>
      <c r="F13132">
        <v>5391</v>
      </c>
      <c r="G13132">
        <v>5490</v>
      </c>
    </row>
    <row r="13133" spans="1:7">
      <c r="A13133" t="s">
        <v>1876</v>
      </c>
      <c r="B13133" t="s">
        <v>387</v>
      </c>
      <c r="C13133" t="s">
        <v>324</v>
      </c>
      <c r="D13133">
        <v>0</v>
      </c>
      <c r="E13133">
        <v>0</v>
      </c>
      <c r="F13133">
        <v>0</v>
      </c>
      <c r="G13133">
        <v>0</v>
      </c>
    </row>
    <row r="13134" spans="1:7">
      <c r="A13134" t="s">
        <v>1876</v>
      </c>
      <c r="B13134" t="s">
        <v>387</v>
      </c>
      <c r="C13134" t="s">
        <v>325</v>
      </c>
      <c r="D13134">
        <v>0</v>
      </c>
      <c r="E13134">
        <v>0</v>
      </c>
      <c r="F13134">
        <v>0</v>
      </c>
      <c r="G13134">
        <v>0</v>
      </c>
    </row>
    <row r="13135" spans="1:7">
      <c r="A13135" t="s">
        <v>1876</v>
      </c>
      <c r="B13135" t="s">
        <v>387</v>
      </c>
      <c r="C13135" t="s">
        <v>326</v>
      </c>
      <c r="D13135">
        <v>236</v>
      </c>
      <c r="E13135">
        <v>230</v>
      </c>
      <c r="F13135">
        <v>165</v>
      </c>
      <c r="G13135">
        <v>235</v>
      </c>
    </row>
    <row r="13136" spans="1:7">
      <c r="A13136" t="s">
        <v>1876</v>
      </c>
      <c r="B13136" t="s">
        <v>387</v>
      </c>
      <c r="C13136" t="s">
        <v>327</v>
      </c>
      <c r="D13136">
        <v>13539</v>
      </c>
      <c r="E13136">
        <v>14546</v>
      </c>
      <c r="F13136">
        <v>11205</v>
      </c>
      <c r="G13136">
        <v>6651</v>
      </c>
    </row>
    <row r="13137" spans="1:7">
      <c r="A13137" t="s">
        <v>1876</v>
      </c>
      <c r="B13137" t="s">
        <v>387</v>
      </c>
      <c r="C13137" t="s">
        <v>1723</v>
      </c>
      <c r="D13137">
        <v>508</v>
      </c>
      <c r="E13137">
        <v>405</v>
      </c>
      <c r="F13137">
        <v>423</v>
      </c>
      <c r="G13137">
        <v>422</v>
      </c>
    </row>
    <row r="13138" spans="1:7">
      <c r="A13138" t="s">
        <v>1876</v>
      </c>
      <c r="B13138" t="s">
        <v>387</v>
      </c>
      <c r="C13138" t="s">
        <v>328</v>
      </c>
      <c r="D13138">
        <v>80599</v>
      </c>
      <c r="E13138">
        <v>89312</v>
      </c>
      <c r="F13138">
        <v>87462</v>
      </c>
      <c r="G13138">
        <v>88809</v>
      </c>
    </row>
    <row r="13139" spans="1:7">
      <c r="A13139" t="s">
        <v>1876</v>
      </c>
      <c r="B13139" t="s">
        <v>387</v>
      </c>
      <c r="C13139" t="s">
        <v>329</v>
      </c>
      <c r="D13139">
        <v>1228</v>
      </c>
      <c r="E13139">
        <v>1505</v>
      </c>
      <c r="F13139">
        <v>920</v>
      </c>
      <c r="G13139">
        <v>1227</v>
      </c>
    </row>
    <row r="13140" spans="1:7">
      <c r="A13140" t="s">
        <v>1876</v>
      </c>
      <c r="B13140" t="s">
        <v>387</v>
      </c>
      <c r="C13140" t="s">
        <v>330</v>
      </c>
      <c r="D13140">
        <v>95602</v>
      </c>
      <c r="E13140">
        <v>105593</v>
      </c>
      <c r="F13140">
        <v>99753</v>
      </c>
      <c r="G13140">
        <v>96922</v>
      </c>
    </row>
    <row r="13141" spans="1:7">
      <c r="A13141" t="s">
        <v>1876</v>
      </c>
      <c r="B13141" t="s">
        <v>387</v>
      </c>
      <c r="C13141" t="s">
        <v>331</v>
      </c>
      <c r="D13141">
        <v>0</v>
      </c>
      <c r="E13141">
        <v>0</v>
      </c>
      <c r="F13141">
        <v>0</v>
      </c>
      <c r="G13141">
        <v>0</v>
      </c>
    </row>
    <row r="13142" spans="1:7">
      <c r="A13142" t="s">
        <v>1876</v>
      </c>
      <c r="B13142" t="s">
        <v>387</v>
      </c>
      <c r="C13142" t="s">
        <v>332</v>
      </c>
      <c r="D13142">
        <v>1062</v>
      </c>
      <c r="E13142">
        <v>827</v>
      </c>
      <c r="F13142">
        <v>896</v>
      </c>
      <c r="G13142">
        <v>658</v>
      </c>
    </row>
    <row r="13143" spans="1:7">
      <c r="A13143" t="s">
        <v>1876</v>
      </c>
      <c r="B13143" t="s">
        <v>387</v>
      </c>
      <c r="C13143" t="s">
        <v>1724</v>
      </c>
      <c r="D13143">
        <v>46</v>
      </c>
      <c r="E13143">
        <v>46</v>
      </c>
      <c r="F13143">
        <v>43</v>
      </c>
      <c r="G13143">
        <v>40</v>
      </c>
    </row>
    <row r="13144" spans="1:7">
      <c r="A13144" t="s">
        <v>1876</v>
      </c>
      <c r="B13144" t="s">
        <v>387</v>
      </c>
      <c r="C13144" t="s">
        <v>333</v>
      </c>
      <c r="D13144">
        <v>2775</v>
      </c>
      <c r="E13144">
        <v>2064</v>
      </c>
      <c r="F13144">
        <v>1955</v>
      </c>
      <c r="G13144">
        <v>1799</v>
      </c>
    </row>
    <row r="13145" spans="1:7">
      <c r="A13145" t="s">
        <v>1876</v>
      </c>
      <c r="B13145" t="s">
        <v>387</v>
      </c>
      <c r="C13145" t="s">
        <v>334</v>
      </c>
      <c r="D13145">
        <v>3837</v>
      </c>
      <c r="E13145">
        <v>2890</v>
      </c>
      <c r="F13145">
        <v>2851</v>
      </c>
      <c r="G13145">
        <v>2457</v>
      </c>
    </row>
    <row r="13146" spans="1:7">
      <c r="A13146" t="s">
        <v>1876</v>
      </c>
      <c r="B13146" t="s">
        <v>387</v>
      </c>
      <c r="C13146" t="s">
        <v>335</v>
      </c>
      <c r="D13146">
        <v>236</v>
      </c>
      <c r="E13146">
        <v>230</v>
      </c>
      <c r="F13146">
        <v>165</v>
      </c>
      <c r="G13146">
        <v>235</v>
      </c>
    </row>
    <row r="13147" spans="1:7">
      <c r="A13147" t="s">
        <v>1876</v>
      </c>
      <c r="B13147" t="s">
        <v>387</v>
      </c>
      <c r="C13147" t="s">
        <v>336</v>
      </c>
      <c r="D13147">
        <v>14601</v>
      </c>
      <c r="E13147">
        <v>15373</v>
      </c>
      <c r="F13147">
        <v>12101</v>
      </c>
      <c r="G13147">
        <v>7309</v>
      </c>
    </row>
    <row r="13148" spans="1:7">
      <c r="A13148" t="s">
        <v>1876</v>
      </c>
      <c r="B13148" t="s">
        <v>387</v>
      </c>
      <c r="C13148" t="s">
        <v>337</v>
      </c>
      <c r="D13148">
        <v>83374</v>
      </c>
      <c r="E13148">
        <v>91375</v>
      </c>
      <c r="F13148">
        <v>89418</v>
      </c>
      <c r="G13148">
        <v>90608</v>
      </c>
    </row>
    <row r="13149" spans="1:7">
      <c r="A13149" t="s">
        <v>1876</v>
      </c>
      <c r="B13149" t="s">
        <v>387</v>
      </c>
      <c r="C13149" t="s">
        <v>338</v>
      </c>
      <c r="D13149">
        <v>99440</v>
      </c>
      <c r="E13149">
        <v>108483</v>
      </c>
      <c r="F13149">
        <v>102603</v>
      </c>
      <c r="G13149">
        <v>99379</v>
      </c>
    </row>
    <row r="13150" spans="1:7">
      <c r="A13150" t="s">
        <v>1876</v>
      </c>
      <c r="B13150" t="s">
        <v>387</v>
      </c>
      <c r="C13150" t="s">
        <v>339</v>
      </c>
      <c r="D13150">
        <v>84839</v>
      </c>
      <c r="E13150">
        <v>93110</v>
      </c>
      <c r="F13150">
        <v>90502</v>
      </c>
      <c r="G13150">
        <v>92070</v>
      </c>
    </row>
    <row r="13151" spans="1:7">
      <c r="A13151" t="s">
        <v>1876</v>
      </c>
      <c r="B13151" t="s">
        <v>387</v>
      </c>
      <c r="C13151" t="s">
        <v>340</v>
      </c>
      <c r="D13151">
        <v>216</v>
      </c>
      <c r="E13151">
        <v>238</v>
      </c>
      <c r="F13151">
        <v>165</v>
      </c>
      <c r="G13151">
        <v>203</v>
      </c>
    </row>
    <row r="13152" spans="1:7">
      <c r="A13152" t="s">
        <v>1876</v>
      </c>
      <c r="B13152" t="s">
        <v>387</v>
      </c>
      <c r="C13152" t="s">
        <v>1955</v>
      </c>
      <c r="D13152">
        <v>0</v>
      </c>
      <c r="E13152">
        <v>0</v>
      </c>
      <c r="F13152">
        <v>0</v>
      </c>
      <c r="G13152">
        <v>0</v>
      </c>
    </row>
    <row r="13153" spans="1:7">
      <c r="A13153" t="s">
        <v>1876</v>
      </c>
      <c r="B13153" t="s">
        <v>387</v>
      </c>
      <c r="C13153" t="s">
        <v>341</v>
      </c>
      <c r="D13153">
        <v>0</v>
      </c>
      <c r="E13153">
        <v>0</v>
      </c>
      <c r="F13153">
        <v>0</v>
      </c>
      <c r="G13153">
        <v>0</v>
      </c>
    </row>
    <row r="13154" spans="1:7">
      <c r="A13154" t="s">
        <v>1876</v>
      </c>
      <c r="B13154" t="s">
        <v>387</v>
      </c>
      <c r="C13154" t="s">
        <v>342</v>
      </c>
      <c r="D13154">
        <v>0</v>
      </c>
      <c r="E13154">
        <v>0</v>
      </c>
      <c r="F13154">
        <v>0</v>
      </c>
      <c r="G13154">
        <v>0</v>
      </c>
    </row>
    <row r="13155" spans="1:7">
      <c r="A13155" t="s">
        <v>1876</v>
      </c>
      <c r="B13155" t="s">
        <v>387</v>
      </c>
      <c r="C13155" t="s">
        <v>1725</v>
      </c>
      <c r="D13155">
        <v>0</v>
      </c>
      <c r="E13155">
        <v>0</v>
      </c>
      <c r="F13155">
        <v>0</v>
      </c>
      <c r="G13155">
        <v>0</v>
      </c>
    </row>
    <row r="13156" spans="1:7">
      <c r="A13156" t="s">
        <v>1876</v>
      </c>
      <c r="B13156" t="s">
        <v>387</v>
      </c>
      <c r="C13156" t="s">
        <v>343</v>
      </c>
      <c r="D13156">
        <v>0</v>
      </c>
      <c r="E13156">
        <v>0</v>
      </c>
      <c r="F13156">
        <v>0</v>
      </c>
      <c r="G13156">
        <v>0</v>
      </c>
    </row>
    <row r="13157" spans="1:7">
      <c r="A13157" t="s">
        <v>1876</v>
      </c>
      <c r="B13157" t="s">
        <v>387</v>
      </c>
      <c r="C13157" t="s">
        <v>344</v>
      </c>
      <c r="D13157">
        <v>0</v>
      </c>
      <c r="E13157">
        <v>0</v>
      </c>
      <c r="F13157">
        <v>0</v>
      </c>
      <c r="G13157">
        <v>0</v>
      </c>
    </row>
    <row r="13158" spans="1:7">
      <c r="A13158" t="s">
        <v>1876</v>
      </c>
      <c r="B13158" t="s">
        <v>387</v>
      </c>
      <c r="C13158" t="s">
        <v>345</v>
      </c>
      <c r="D13158">
        <v>0</v>
      </c>
      <c r="E13158">
        <v>0</v>
      </c>
      <c r="F13158">
        <v>0</v>
      </c>
      <c r="G13158">
        <v>0</v>
      </c>
    </row>
    <row r="13159" spans="1:7">
      <c r="A13159" t="s">
        <v>1876</v>
      </c>
      <c r="B13159" t="s">
        <v>387</v>
      </c>
      <c r="C13159" t="s">
        <v>1956</v>
      </c>
      <c r="D13159">
        <v>1062</v>
      </c>
      <c r="E13159">
        <v>827</v>
      </c>
      <c r="F13159">
        <v>896</v>
      </c>
      <c r="G13159">
        <v>658</v>
      </c>
    </row>
    <row r="13160" spans="1:7">
      <c r="A13160" t="s">
        <v>1876</v>
      </c>
      <c r="B13160" t="s">
        <v>387</v>
      </c>
      <c r="C13160" t="s">
        <v>1957</v>
      </c>
      <c r="D13160">
        <v>3837</v>
      </c>
      <c r="E13160">
        <v>2890</v>
      </c>
      <c r="F13160">
        <v>2851</v>
      </c>
      <c r="G13160">
        <v>2457</v>
      </c>
    </row>
    <row r="13161" spans="1:7">
      <c r="A13161" t="s">
        <v>1876</v>
      </c>
      <c r="B13161" t="s">
        <v>387</v>
      </c>
      <c r="C13161" t="s">
        <v>346</v>
      </c>
      <c r="D13161">
        <v>1868</v>
      </c>
      <c r="E13161">
        <v>1991</v>
      </c>
      <c r="F13161">
        <v>1825</v>
      </c>
      <c r="G13161">
        <v>2137</v>
      </c>
    </row>
    <row r="13162" spans="1:7">
      <c r="A13162" t="s">
        <v>1876</v>
      </c>
      <c r="B13162" t="s">
        <v>387</v>
      </c>
      <c r="C13162" t="s">
        <v>347</v>
      </c>
      <c r="D13162">
        <v>2373</v>
      </c>
      <c r="E13162">
        <v>2502</v>
      </c>
      <c r="F13162">
        <v>2144</v>
      </c>
      <c r="G13162">
        <v>2222</v>
      </c>
    </row>
    <row r="13163" spans="1:7">
      <c r="A13163" t="s">
        <v>1876</v>
      </c>
      <c r="B13163" t="s">
        <v>388</v>
      </c>
      <c r="C13163" t="s">
        <v>133</v>
      </c>
      <c r="D13163">
        <v>0</v>
      </c>
      <c r="E13163">
        <v>0</v>
      </c>
      <c r="F13163">
        <v>0</v>
      </c>
      <c r="G13163">
        <v>0</v>
      </c>
    </row>
    <row r="13164" spans="1:7">
      <c r="A13164" t="s">
        <v>1876</v>
      </c>
      <c r="B13164" t="s">
        <v>388</v>
      </c>
      <c r="C13164" t="s">
        <v>134</v>
      </c>
      <c r="D13164">
        <v>6198</v>
      </c>
      <c r="E13164">
        <v>6024</v>
      </c>
      <c r="F13164">
        <v>5338</v>
      </c>
      <c r="G13164">
        <v>4014</v>
      </c>
    </row>
    <row r="13165" spans="1:7">
      <c r="A13165" t="s">
        <v>1876</v>
      </c>
      <c r="B13165" t="s">
        <v>388</v>
      </c>
      <c r="C13165" t="s">
        <v>135</v>
      </c>
      <c r="D13165">
        <v>6198</v>
      </c>
      <c r="E13165">
        <v>6024</v>
      </c>
      <c r="F13165">
        <v>5338</v>
      </c>
      <c r="G13165">
        <v>4014</v>
      </c>
    </row>
    <row r="13166" spans="1:7">
      <c r="A13166" t="s">
        <v>1876</v>
      </c>
      <c r="B13166" t="s">
        <v>388</v>
      </c>
      <c r="C13166" t="s">
        <v>136</v>
      </c>
      <c r="D13166">
        <v>6198</v>
      </c>
      <c r="E13166">
        <v>6024</v>
      </c>
      <c r="F13166">
        <v>5338</v>
      </c>
      <c r="G13166">
        <v>4014</v>
      </c>
    </row>
    <row r="13167" spans="1:7">
      <c r="A13167" t="s">
        <v>1876</v>
      </c>
      <c r="B13167" t="s">
        <v>388</v>
      </c>
      <c r="C13167" t="s">
        <v>137</v>
      </c>
      <c r="D13167">
        <v>121</v>
      </c>
      <c r="E13167">
        <v>125</v>
      </c>
      <c r="F13167">
        <v>119</v>
      </c>
      <c r="G13167">
        <v>128</v>
      </c>
    </row>
    <row r="13168" spans="1:7">
      <c r="A13168" t="s">
        <v>1876</v>
      </c>
      <c r="B13168" t="s">
        <v>388</v>
      </c>
      <c r="C13168" t="s">
        <v>138</v>
      </c>
      <c r="D13168">
        <v>121</v>
      </c>
      <c r="E13168">
        <v>125</v>
      </c>
      <c r="F13168">
        <v>119</v>
      </c>
      <c r="G13168">
        <v>128</v>
      </c>
    </row>
    <row r="13169" spans="1:7">
      <c r="A13169" t="s">
        <v>1876</v>
      </c>
      <c r="B13169" t="s">
        <v>388</v>
      </c>
      <c r="C13169" t="s">
        <v>139</v>
      </c>
      <c r="D13169">
        <v>121</v>
      </c>
      <c r="E13169">
        <v>125</v>
      </c>
      <c r="F13169">
        <v>119</v>
      </c>
      <c r="G13169">
        <v>128</v>
      </c>
    </row>
    <row r="13170" spans="1:7">
      <c r="A13170" t="s">
        <v>1876</v>
      </c>
      <c r="B13170" t="s">
        <v>388</v>
      </c>
      <c r="C13170" t="s">
        <v>1877</v>
      </c>
      <c r="D13170">
        <v>0</v>
      </c>
      <c r="E13170">
        <v>0</v>
      </c>
      <c r="F13170">
        <v>0</v>
      </c>
      <c r="G13170">
        <v>0</v>
      </c>
    </row>
    <row r="13171" spans="1:7">
      <c r="A13171" t="s">
        <v>1876</v>
      </c>
      <c r="B13171" t="s">
        <v>388</v>
      </c>
      <c r="C13171" t="s">
        <v>1700</v>
      </c>
      <c r="D13171">
        <v>0</v>
      </c>
      <c r="E13171">
        <v>0</v>
      </c>
      <c r="F13171">
        <v>0</v>
      </c>
      <c r="G13171">
        <v>0</v>
      </c>
    </row>
    <row r="13172" spans="1:7">
      <c r="A13172" t="s">
        <v>1876</v>
      </c>
      <c r="B13172" t="s">
        <v>388</v>
      </c>
      <c r="C13172" t="s">
        <v>1878</v>
      </c>
      <c r="D13172">
        <v>0</v>
      </c>
      <c r="E13172">
        <v>0</v>
      </c>
      <c r="F13172">
        <v>0</v>
      </c>
      <c r="G13172">
        <v>0</v>
      </c>
    </row>
    <row r="13173" spans="1:7">
      <c r="A13173" t="s">
        <v>1876</v>
      </c>
      <c r="B13173" t="s">
        <v>388</v>
      </c>
      <c r="C13173" t="s">
        <v>1879</v>
      </c>
      <c r="D13173">
        <v>0</v>
      </c>
      <c r="E13173">
        <v>0</v>
      </c>
      <c r="F13173">
        <v>0</v>
      </c>
      <c r="G13173">
        <v>0</v>
      </c>
    </row>
    <row r="13174" spans="1:7">
      <c r="A13174" t="s">
        <v>1876</v>
      </c>
      <c r="B13174" t="s">
        <v>388</v>
      </c>
      <c r="C13174" t="s">
        <v>1701</v>
      </c>
      <c r="D13174">
        <v>0</v>
      </c>
      <c r="E13174">
        <v>0</v>
      </c>
      <c r="F13174">
        <v>0</v>
      </c>
      <c r="G13174">
        <v>0</v>
      </c>
    </row>
    <row r="13175" spans="1:7">
      <c r="A13175" t="s">
        <v>1876</v>
      </c>
      <c r="B13175" t="s">
        <v>388</v>
      </c>
      <c r="C13175" t="s">
        <v>1880</v>
      </c>
      <c r="D13175">
        <v>352</v>
      </c>
      <c r="E13175">
        <v>318</v>
      </c>
      <c r="F13175">
        <v>380</v>
      </c>
      <c r="G13175">
        <v>372</v>
      </c>
    </row>
    <row r="13176" spans="1:7">
      <c r="A13176" t="s">
        <v>1876</v>
      </c>
      <c r="B13176" t="s">
        <v>388</v>
      </c>
      <c r="C13176" t="s">
        <v>140</v>
      </c>
      <c r="D13176">
        <v>826</v>
      </c>
      <c r="E13176">
        <v>768</v>
      </c>
      <c r="F13176">
        <v>1024</v>
      </c>
      <c r="G13176">
        <v>1060</v>
      </c>
    </row>
    <row r="13177" spans="1:7">
      <c r="A13177" t="s">
        <v>1876</v>
      </c>
      <c r="B13177" t="s">
        <v>388</v>
      </c>
      <c r="C13177" t="s">
        <v>1881</v>
      </c>
      <c r="D13177">
        <v>475</v>
      </c>
      <c r="E13177">
        <v>450</v>
      </c>
      <c r="F13177">
        <v>645</v>
      </c>
      <c r="G13177">
        <v>688</v>
      </c>
    </row>
    <row r="13178" spans="1:7">
      <c r="A13178" t="s">
        <v>1876</v>
      </c>
      <c r="B13178" t="s">
        <v>388</v>
      </c>
      <c r="C13178" t="s">
        <v>1882</v>
      </c>
      <c r="D13178">
        <v>0</v>
      </c>
      <c r="E13178">
        <v>0</v>
      </c>
      <c r="F13178">
        <v>0</v>
      </c>
      <c r="G13178">
        <v>0</v>
      </c>
    </row>
    <row r="13179" spans="1:7">
      <c r="A13179" t="s">
        <v>1876</v>
      </c>
      <c r="B13179" t="s">
        <v>388</v>
      </c>
      <c r="C13179" t="s">
        <v>1883</v>
      </c>
      <c r="D13179">
        <v>0</v>
      </c>
      <c r="E13179">
        <v>0</v>
      </c>
      <c r="F13179">
        <v>0</v>
      </c>
      <c r="G13179">
        <v>0</v>
      </c>
    </row>
    <row r="13180" spans="1:7">
      <c r="A13180" t="s">
        <v>1876</v>
      </c>
      <c r="B13180" t="s">
        <v>388</v>
      </c>
      <c r="C13180" t="s">
        <v>1884</v>
      </c>
      <c r="D13180">
        <v>0</v>
      </c>
      <c r="E13180">
        <v>0</v>
      </c>
      <c r="F13180">
        <v>0</v>
      </c>
      <c r="G13180">
        <v>0</v>
      </c>
    </row>
    <row r="13181" spans="1:7">
      <c r="A13181" t="s">
        <v>1876</v>
      </c>
      <c r="B13181" t="s">
        <v>388</v>
      </c>
      <c r="C13181" t="s">
        <v>1885</v>
      </c>
      <c r="D13181">
        <v>0</v>
      </c>
      <c r="E13181">
        <v>0</v>
      </c>
      <c r="F13181">
        <v>0</v>
      </c>
      <c r="G13181">
        <v>0</v>
      </c>
    </row>
    <row r="13182" spans="1:7">
      <c r="A13182" t="s">
        <v>1876</v>
      </c>
      <c r="B13182" t="s">
        <v>388</v>
      </c>
      <c r="C13182" t="s">
        <v>1886</v>
      </c>
      <c r="D13182">
        <v>0</v>
      </c>
      <c r="E13182">
        <v>0</v>
      </c>
      <c r="F13182">
        <v>0</v>
      </c>
      <c r="G13182">
        <v>0</v>
      </c>
    </row>
    <row r="13183" spans="1:7">
      <c r="A13183" t="s">
        <v>1876</v>
      </c>
      <c r="B13183" t="s">
        <v>388</v>
      </c>
      <c r="C13183" t="s">
        <v>141</v>
      </c>
      <c r="D13183">
        <v>0</v>
      </c>
      <c r="E13183">
        <v>0</v>
      </c>
      <c r="F13183">
        <v>0</v>
      </c>
      <c r="G13183">
        <v>0</v>
      </c>
    </row>
    <row r="13184" spans="1:7">
      <c r="A13184" t="s">
        <v>1876</v>
      </c>
      <c r="B13184" t="s">
        <v>388</v>
      </c>
      <c r="C13184" t="s">
        <v>1887</v>
      </c>
      <c r="D13184">
        <v>0</v>
      </c>
      <c r="E13184">
        <v>0</v>
      </c>
      <c r="F13184">
        <v>0</v>
      </c>
      <c r="G13184">
        <v>0</v>
      </c>
    </row>
    <row r="13185" spans="1:7">
      <c r="A13185" t="s">
        <v>1876</v>
      </c>
      <c r="B13185" t="s">
        <v>388</v>
      </c>
      <c r="C13185" t="s">
        <v>1888</v>
      </c>
      <c r="D13185">
        <v>0</v>
      </c>
      <c r="E13185">
        <v>0</v>
      </c>
      <c r="F13185">
        <v>0</v>
      </c>
      <c r="G13185">
        <v>0</v>
      </c>
    </row>
    <row r="13186" spans="1:7">
      <c r="A13186" t="s">
        <v>1876</v>
      </c>
      <c r="B13186" t="s">
        <v>388</v>
      </c>
      <c r="C13186" t="s">
        <v>1889</v>
      </c>
      <c r="D13186">
        <v>352</v>
      </c>
      <c r="E13186">
        <v>318</v>
      </c>
      <c r="F13186">
        <v>380</v>
      </c>
      <c r="G13186">
        <v>372</v>
      </c>
    </row>
    <row r="13187" spans="1:7">
      <c r="A13187" t="s">
        <v>1876</v>
      </c>
      <c r="B13187" t="s">
        <v>388</v>
      </c>
      <c r="C13187" t="s">
        <v>1890</v>
      </c>
      <c r="D13187">
        <v>0</v>
      </c>
      <c r="E13187">
        <v>0</v>
      </c>
      <c r="F13187">
        <v>0</v>
      </c>
      <c r="G13187">
        <v>0</v>
      </c>
    </row>
    <row r="13188" spans="1:7">
      <c r="A13188" t="s">
        <v>1876</v>
      </c>
      <c r="B13188" t="s">
        <v>388</v>
      </c>
      <c r="C13188" t="s">
        <v>1891</v>
      </c>
    </row>
    <row r="13189" spans="1:7">
      <c r="A13189" t="s">
        <v>1876</v>
      </c>
      <c r="B13189" t="s">
        <v>388</v>
      </c>
      <c r="C13189" t="s">
        <v>1892</v>
      </c>
      <c r="D13189">
        <v>475</v>
      </c>
      <c r="E13189">
        <v>450</v>
      </c>
      <c r="F13189">
        <v>645</v>
      </c>
      <c r="G13189">
        <v>688</v>
      </c>
    </row>
    <row r="13190" spans="1:7">
      <c r="A13190" t="s">
        <v>1876</v>
      </c>
      <c r="B13190" t="s">
        <v>388</v>
      </c>
      <c r="C13190" t="s">
        <v>142</v>
      </c>
      <c r="D13190">
        <v>826</v>
      </c>
      <c r="E13190">
        <v>768</v>
      </c>
      <c r="F13190">
        <v>1024</v>
      </c>
      <c r="G13190">
        <v>1060</v>
      </c>
    </row>
    <row r="13191" spans="1:7">
      <c r="A13191" t="s">
        <v>1876</v>
      </c>
      <c r="B13191" t="s">
        <v>388</v>
      </c>
      <c r="C13191" t="s">
        <v>1893</v>
      </c>
      <c r="D13191">
        <v>826</v>
      </c>
      <c r="E13191">
        <v>768</v>
      </c>
      <c r="F13191">
        <v>1024</v>
      </c>
      <c r="G13191">
        <v>1060</v>
      </c>
    </row>
    <row r="13192" spans="1:7">
      <c r="A13192" t="s">
        <v>1876</v>
      </c>
      <c r="B13192" t="s">
        <v>388</v>
      </c>
      <c r="C13192" t="s">
        <v>1894</v>
      </c>
      <c r="D13192">
        <v>475</v>
      </c>
      <c r="E13192">
        <v>450</v>
      </c>
      <c r="F13192">
        <v>645</v>
      </c>
      <c r="G13192">
        <v>688</v>
      </c>
    </row>
    <row r="13193" spans="1:7">
      <c r="A13193" t="s">
        <v>1876</v>
      </c>
      <c r="B13193" t="s">
        <v>388</v>
      </c>
      <c r="C13193" t="s">
        <v>143</v>
      </c>
      <c r="D13193">
        <v>68287</v>
      </c>
      <c r="E13193">
        <v>69252</v>
      </c>
      <c r="F13193">
        <v>69157</v>
      </c>
      <c r="G13193">
        <v>72244</v>
      </c>
    </row>
    <row r="13194" spans="1:7">
      <c r="A13194" t="s">
        <v>1876</v>
      </c>
      <c r="B13194" t="s">
        <v>388</v>
      </c>
      <c r="C13194" t="s">
        <v>144</v>
      </c>
      <c r="D13194">
        <v>73396</v>
      </c>
      <c r="E13194">
        <v>74276</v>
      </c>
      <c r="F13194">
        <v>74398</v>
      </c>
      <c r="G13194">
        <v>77574</v>
      </c>
    </row>
    <row r="13195" spans="1:7">
      <c r="A13195" t="s">
        <v>1876</v>
      </c>
      <c r="B13195" t="s">
        <v>388</v>
      </c>
      <c r="C13195" t="s">
        <v>1895</v>
      </c>
      <c r="D13195">
        <v>67.900000000000006</v>
      </c>
      <c r="E13195">
        <v>67.099999999999994</v>
      </c>
      <c r="F13195">
        <v>49.4</v>
      </c>
      <c r="G13195">
        <v>58.3</v>
      </c>
    </row>
    <row r="13196" spans="1:7">
      <c r="A13196" t="s">
        <v>1876</v>
      </c>
      <c r="B13196" t="s">
        <v>388</v>
      </c>
      <c r="C13196" t="s">
        <v>145</v>
      </c>
      <c r="D13196">
        <v>76673</v>
      </c>
      <c r="E13196">
        <v>78527</v>
      </c>
      <c r="F13196">
        <v>77930</v>
      </c>
      <c r="G13196">
        <v>81179</v>
      </c>
    </row>
    <row r="13197" spans="1:7">
      <c r="A13197" t="s">
        <v>1876</v>
      </c>
      <c r="B13197" t="s">
        <v>388</v>
      </c>
      <c r="C13197" t="s">
        <v>146</v>
      </c>
      <c r="D13197">
        <v>0</v>
      </c>
      <c r="E13197">
        <v>0</v>
      </c>
      <c r="F13197">
        <v>0</v>
      </c>
      <c r="G13197">
        <v>0</v>
      </c>
    </row>
    <row r="13198" spans="1:7">
      <c r="A13198" t="s">
        <v>1876</v>
      </c>
      <c r="B13198" t="s">
        <v>388</v>
      </c>
      <c r="C13198" t="s">
        <v>147</v>
      </c>
      <c r="D13198">
        <v>0</v>
      </c>
      <c r="E13198">
        <v>0</v>
      </c>
      <c r="F13198">
        <v>0</v>
      </c>
      <c r="G13198">
        <v>0</v>
      </c>
    </row>
    <row r="13199" spans="1:7">
      <c r="A13199" t="s">
        <v>1876</v>
      </c>
      <c r="B13199" t="s">
        <v>388</v>
      </c>
      <c r="C13199" t="s">
        <v>1896</v>
      </c>
      <c r="D13199">
        <v>0</v>
      </c>
      <c r="E13199">
        <v>0</v>
      </c>
      <c r="F13199">
        <v>0</v>
      </c>
      <c r="G13199">
        <v>0</v>
      </c>
    </row>
    <row r="13200" spans="1:7">
      <c r="A13200" t="s">
        <v>1876</v>
      </c>
      <c r="B13200" t="s">
        <v>388</v>
      </c>
      <c r="C13200" t="s">
        <v>1702</v>
      </c>
      <c r="D13200">
        <v>1</v>
      </c>
      <c r="E13200">
        <v>1</v>
      </c>
      <c r="F13200">
        <v>1</v>
      </c>
      <c r="G13200">
        <v>1</v>
      </c>
    </row>
    <row r="13201" spans="1:7">
      <c r="A13201" t="s">
        <v>1876</v>
      </c>
      <c r="B13201" t="s">
        <v>388</v>
      </c>
      <c r="C13201" t="s">
        <v>1897</v>
      </c>
      <c r="D13201">
        <v>0.7</v>
      </c>
      <c r="E13201">
        <v>1</v>
      </c>
      <c r="F13201">
        <v>1.6</v>
      </c>
      <c r="G13201">
        <v>2.2000000000000002</v>
      </c>
    </row>
    <row r="13202" spans="1:7">
      <c r="A13202" t="s">
        <v>1876</v>
      </c>
      <c r="B13202" t="s">
        <v>388</v>
      </c>
      <c r="C13202" t="s">
        <v>1898</v>
      </c>
      <c r="D13202">
        <v>1</v>
      </c>
      <c r="E13202">
        <v>2</v>
      </c>
      <c r="F13202">
        <v>6</v>
      </c>
      <c r="G13202">
        <v>8</v>
      </c>
    </row>
    <row r="13203" spans="1:7">
      <c r="A13203" t="s">
        <v>1876</v>
      </c>
      <c r="B13203" t="s">
        <v>388</v>
      </c>
      <c r="C13203" t="s">
        <v>1899</v>
      </c>
      <c r="D13203">
        <v>475</v>
      </c>
      <c r="E13203">
        <v>450</v>
      </c>
      <c r="F13203">
        <v>645</v>
      </c>
      <c r="G13203">
        <v>688</v>
      </c>
    </row>
    <row r="13204" spans="1:7">
      <c r="A13204" t="s">
        <v>1876</v>
      </c>
      <c r="B13204" t="s">
        <v>388</v>
      </c>
      <c r="C13204" t="s">
        <v>148</v>
      </c>
      <c r="D13204">
        <v>0</v>
      </c>
      <c r="E13204">
        <v>0</v>
      </c>
      <c r="F13204">
        <v>0</v>
      </c>
      <c r="G13204">
        <v>0</v>
      </c>
    </row>
    <row r="13205" spans="1:7">
      <c r="A13205" t="s">
        <v>1876</v>
      </c>
      <c r="B13205" t="s">
        <v>388</v>
      </c>
      <c r="C13205" t="s">
        <v>149</v>
      </c>
      <c r="D13205">
        <v>0</v>
      </c>
      <c r="E13205">
        <v>0</v>
      </c>
      <c r="F13205">
        <v>0</v>
      </c>
      <c r="G13205">
        <v>0</v>
      </c>
    </row>
    <row r="13206" spans="1:7">
      <c r="A13206" t="s">
        <v>1876</v>
      </c>
      <c r="B13206" t="s">
        <v>388</v>
      </c>
      <c r="C13206" t="s">
        <v>150</v>
      </c>
      <c r="D13206">
        <v>0</v>
      </c>
      <c r="E13206">
        <v>0</v>
      </c>
      <c r="F13206">
        <v>0</v>
      </c>
      <c r="G13206">
        <v>0</v>
      </c>
    </row>
    <row r="13207" spans="1:7">
      <c r="A13207" t="s">
        <v>1876</v>
      </c>
      <c r="B13207" t="s">
        <v>388</v>
      </c>
      <c r="C13207" t="s">
        <v>1900</v>
      </c>
      <c r="D13207">
        <v>39.5</v>
      </c>
      <c r="E13207">
        <v>45.1</v>
      </c>
      <c r="F13207">
        <v>37.700000000000003</v>
      </c>
      <c r="G13207">
        <v>37.299999999999997</v>
      </c>
    </row>
    <row r="13208" spans="1:7">
      <c r="A13208" t="s">
        <v>1876</v>
      </c>
      <c r="B13208" t="s">
        <v>388</v>
      </c>
      <c r="C13208" t="s">
        <v>151</v>
      </c>
      <c r="D13208">
        <v>0</v>
      </c>
      <c r="E13208">
        <v>0</v>
      </c>
      <c r="F13208">
        <v>0</v>
      </c>
      <c r="G13208">
        <v>0</v>
      </c>
    </row>
    <row r="13209" spans="1:7">
      <c r="A13209" t="s">
        <v>1876</v>
      </c>
      <c r="B13209" t="s">
        <v>388</v>
      </c>
      <c r="C13209" t="s">
        <v>152</v>
      </c>
      <c r="D13209">
        <v>17958</v>
      </c>
      <c r="E13209">
        <v>20557</v>
      </c>
      <c r="F13209">
        <v>17958</v>
      </c>
      <c r="G13209">
        <v>18126</v>
      </c>
    </row>
    <row r="13210" spans="1:7">
      <c r="A13210" t="s">
        <v>1876</v>
      </c>
      <c r="B13210" t="s">
        <v>388</v>
      </c>
      <c r="C13210" t="s">
        <v>1703</v>
      </c>
      <c r="D13210">
        <v>474</v>
      </c>
      <c r="E13210">
        <v>475</v>
      </c>
      <c r="F13210">
        <v>475</v>
      </c>
      <c r="G13210">
        <v>477</v>
      </c>
    </row>
    <row r="13211" spans="1:7">
      <c r="A13211" t="s">
        <v>1876</v>
      </c>
      <c r="B13211" t="s">
        <v>388</v>
      </c>
      <c r="C13211" t="s">
        <v>153</v>
      </c>
      <c r="D13211">
        <v>3631</v>
      </c>
      <c r="E13211">
        <v>4211</v>
      </c>
      <c r="F13211">
        <v>4288</v>
      </c>
      <c r="G13211">
        <v>3756</v>
      </c>
    </row>
    <row r="13212" spans="1:7">
      <c r="A13212" t="s">
        <v>1876</v>
      </c>
      <c r="B13212" t="s">
        <v>388</v>
      </c>
      <c r="C13212" t="s">
        <v>154</v>
      </c>
      <c r="D13212">
        <v>0</v>
      </c>
      <c r="E13212">
        <v>0</v>
      </c>
      <c r="F13212">
        <v>0</v>
      </c>
      <c r="G13212">
        <v>0</v>
      </c>
    </row>
    <row r="13213" spans="1:7">
      <c r="A13213" t="s">
        <v>1876</v>
      </c>
      <c r="B13213" t="s">
        <v>388</v>
      </c>
      <c r="C13213" t="s">
        <v>155</v>
      </c>
      <c r="D13213">
        <v>3631</v>
      </c>
      <c r="E13213">
        <v>4211</v>
      </c>
      <c r="F13213">
        <v>4288</v>
      </c>
      <c r="G13213">
        <v>3756</v>
      </c>
    </row>
    <row r="13214" spans="1:7">
      <c r="A13214" t="s">
        <v>1876</v>
      </c>
      <c r="B13214" t="s">
        <v>388</v>
      </c>
      <c r="C13214" t="s">
        <v>156</v>
      </c>
      <c r="D13214">
        <v>0</v>
      </c>
      <c r="E13214">
        <v>0</v>
      </c>
      <c r="F13214">
        <v>0</v>
      </c>
      <c r="G13214">
        <v>0</v>
      </c>
    </row>
    <row r="13215" spans="1:7">
      <c r="A13215" t="s">
        <v>1876</v>
      </c>
      <c r="B13215" t="s">
        <v>388</v>
      </c>
      <c r="C13215" t="s">
        <v>157</v>
      </c>
      <c r="D13215">
        <v>21589</v>
      </c>
      <c r="E13215">
        <v>24769</v>
      </c>
      <c r="F13215">
        <v>22246</v>
      </c>
      <c r="G13215">
        <v>21882</v>
      </c>
    </row>
    <row r="13216" spans="1:7">
      <c r="A13216" t="s">
        <v>1876</v>
      </c>
      <c r="B13216" t="s">
        <v>388</v>
      </c>
      <c r="C13216" t="s">
        <v>158</v>
      </c>
      <c r="D13216">
        <v>3631</v>
      </c>
      <c r="E13216">
        <v>4211</v>
      </c>
      <c r="F13216">
        <v>4288</v>
      </c>
      <c r="G13216">
        <v>3756</v>
      </c>
    </row>
    <row r="13217" spans="1:7">
      <c r="A13217" t="s">
        <v>1876</v>
      </c>
      <c r="B13217" t="s">
        <v>388</v>
      </c>
      <c r="C13217" t="s">
        <v>159</v>
      </c>
      <c r="D13217">
        <v>0</v>
      </c>
      <c r="E13217">
        <v>0</v>
      </c>
      <c r="F13217">
        <v>0</v>
      </c>
      <c r="G13217">
        <v>0</v>
      </c>
    </row>
    <row r="13218" spans="1:7">
      <c r="A13218" t="s">
        <v>1876</v>
      </c>
      <c r="B13218" t="s">
        <v>388</v>
      </c>
      <c r="C13218" t="s">
        <v>1901</v>
      </c>
      <c r="D13218">
        <v>22.7</v>
      </c>
      <c r="E13218">
        <v>29.7</v>
      </c>
      <c r="F13218">
        <v>41.1</v>
      </c>
      <c r="G13218">
        <v>43.7</v>
      </c>
    </row>
    <row r="13219" spans="1:7">
      <c r="A13219" t="s">
        <v>1876</v>
      </c>
      <c r="B13219" t="s">
        <v>388</v>
      </c>
      <c r="C13219" t="s">
        <v>1902</v>
      </c>
      <c r="D13219">
        <v>34097</v>
      </c>
      <c r="E13219">
        <v>34296</v>
      </c>
      <c r="F13219">
        <v>33367</v>
      </c>
      <c r="G13219">
        <v>32976</v>
      </c>
    </row>
    <row r="13220" spans="1:7">
      <c r="A13220" t="s">
        <v>1876</v>
      </c>
      <c r="B13220" t="s">
        <v>388</v>
      </c>
      <c r="C13220" t="s">
        <v>1903</v>
      </c>
      <c r="D13220">
        <v>818</v>
      </c>
      <c r="E13220">
        <v>872</v>
      </c>
      <c r="F13220">
        <v>878</v>
      </c>
      <c r="G13220">
        <v>794</v>
      </c>
    </row>
    <row r="13221" spans="1:7">
      <c r="A13221" t="s">
        <v>1876</v>
      </c>
      <c r="B13221" t="s">
        <v>388</v>
      </c>
      <c r="C13221" t="s">
        <v>1904</v>
      </c>
      <c r="D13221">
        <v>489</v>
      </c>
      <c r="E13221">
        <v>257</v>
      </c>
      <c r="F13221">
        <v>313</v>
      </c>
      <c r="G13221">
        <v>309</v>
      </c>
    </row>
    <row r="13222" spans="1:7">
      <c r="A13222" t="s">
        <v>1876</v>
      </c>
      <c r="B13222" t="s">
        <v>388</v>
      </c>
      <c r="C13222" t="s">
        <v>1905</v>
      </c>
      <c r="D13222">
        <v>10677</v>
      </c>
      <c r="E13222">
        <v>10793</v>
      </c>
      <c r="F13222">
        <v>10535</v>
      </c>
      <c r="G13222">
        <v>10223</v>
      </c>
    </row>
    <row r="13223" spans="1:7">
      <c r="A13223" t="s">
        <v>1876</v>
      </c>
      <c r="B13223" t="s">
        <v>388</v>
      </c>
      <c r="C13223" t="s">
        <v>1906</v>
      </c>
      <c r="D13223">
        <v>514</v>
      </c>
      <c r="E13223">
        <v>556</v>
      </c>
      <c r="F13223">
        <v>559</v>
      </c>
      <c r="G13223">
        <v>494</v>
      </c>
    </row>
    <row r="13224" spans="1:7">
      <c r="A13224" t="s">
        <v>1876</v>
      </c>
      <c r="B13224" t="s">
        <v>388</v>
      </c>
      <c r="C13224" t="s">
        <v>1907</v>
      </c>
      <c r="D13224">
        <v>46595</v>
      </c>
      <c r="E13224">
        <v>46774</v>
      </c>
      <c r="F13224">
        <v>45652</v>
      </c>
      <c r="G13224">
        <v>44796</v>
      </c>
    </row>
    <row r="13225" spans="1:7">
      <c r="A13225" t="s">
        <v>1876</v>
      </c>
      <c r="B13225" t="s">
        <v>388</v>
      </c>
      <c r="C13225" t="s">
        <v>160</v>
      </c>
      <c r="D13225">
        <v>33623</v>
      </c>
      <c r="E13225">
        <v>33846</v>
      </c>
      <c r="F13225">
        <v>32722</v>
      </c>
      <c r="G13225">
        <v>32288</v>
      </c>
    </row>
    <row r="13226" spans="1:7">
      <c r="A13226" t="s">
        <v>1876</v>
      </c>
      <c r="B13226" t="s">
        <v>388</v>
      </c>
      <c r="C13226" t="s">
        <v>161</v>
      </c>
      <c r="D13226">
        <v>818</v>
      </c>
      <c r="E13226">
        <v>872</v>
      </c>
      <c r="F13226">
        <v>878</v>
      </c>
      <c r="G13226">
        <v>794</v>
      </c>
    </row>
    <row r="13227" spans="1:7">
      <c r="A13227" t="s">
        <v>1876</v>
      </c>
      <c r="B13227" t="s">
        <v>388</v>
      </c>
      <c r="C13227" t="s">
        <v>162</v>
      </c>
      <c r="D13227">
        <v>489</v>
      </c>
      <c r="E13227">
        <v>257</v>
      </c>
      <c r="F13227">
        <v>313</v>
      </c>
      <c r="G13227">
        <v>309</v>
      </c>
    </row>
    <row r="13228" spans="1:7">
      <c r="A13228" t="s">
        <v>1876</v>
      </c>
      <c r="B13228" t="s">
        <v>388</v>
      </c>
      <c r="C13228" t="s">
        <v>163</v>
      </c>
      <c r="D13228">
        <v>10677</v>
      </c>
      <c r="E13228">
        <v>10793</v>
      </c>
      <c r="F13228">
        <v>10535</v>
      </c>
      <c r="G13228">
        <v>10223</v>
      </c>
    </row>
    <row r="13229" spans="1:7">
      <c r="A13229" t="s">
        <v>1876</v>
      </c>
      <c r="B13229" t="s">
        <v>388</v>
      </c>
      <c r="C13229" t="s">
        <v>164</v>
      </c>
      <c r="D13229">
        <v>514</v>
      </c>
      <c r="E13229">
        <v>556</v>
      </c>
      <c r="F13229">
        <v>559</v>
      </c>
      <c r="G13229">
        <v>494</v>
      </c>
    </row>
    <row r="13230" spans="1:7">
      <c r="A13230" t="s">
        <v>1876</v>
      </c>
      <c r="B13230" t="s">
        <v>388</v>
      </c>
      <c r="C13230" t="s">
        <v>165</v>
      </c>
      <c r="D13230">
        <v>46121</v>
      </c>
      <c r="E13230">
        <v>46324</v>
      </c>
      <c r="F13230">
        <v>45007</v>
      </c>
      <c r="G13230">
        <v>44108</v>
      </c>
    </row>
    <row r="13231" spans="1:7">
      <c r="A13231" t="s">
        <v>1876</v>
      </c>
      <c r="B13231" t="s">
        <v>388</v>
      </c>
      <c r="C13231" t="s">
        <v>166</v>
      </c>
      <c r="D13231">
        <v>45632</v>
      </c>
      <c r="E13231">
        <v>46067</v>
      </c>
      <c r="F13231">
        <v>44694</v>
      </c>
      <c r="G13231">
        <v>43799</v>
      </c>
    </row>
    <row r="13232" spans="1:7">
      <c r="A13232" t="s">
        <v>1876</v>
      </c>
      <c r="B13232" t="s">
        <v>388</v>
      </c>
      <c r="C13232" t="s">
        <v>167</v>
      </c>
      <c r="D13232">
        <v>489</v>
      </c>
      <c r="E13232">
        <v>257</v>
      </c>
      <c r="F13232">
        <v>313</v>
      </c>
      <c r="G13232">
        <v>309</v>
      </c>
    </row>
    <row r="13233" spans="1:7">
      <c r="A13233" t="s">
        <v>1876</v>
      </c>
      <c r="B13233" t="s">
        <v>388</v>
      </c>
      <c r="C13233" t="s">
        <v>1908</v>
      </c>
      <c r="D13233">
        <v>33271</v>
      </c>
      <c r="E13233">
        <v>33529</v>
      </c>
      <c r="F13233">
        <v>32342</v>
      </c>
      <c r="G13233">
        <v>31916</v>
      </c>
    </row>
    <row r="13234" spans="1:7">
      <c r="A13234" t="s">
        <v>1876</v>
      </c>
      <c r="B13234" t="s">
        <v>388</v>
      </c>
      <c r="C13234" t="s">
        <v>1909</v>
      </c>
      <c r="D13234">
        <v>818</v>
      </c>
      <c r="E13234">
        <v>872</v>
      </c>
      <c r="F13234">
        <v>878</v>
      </c>
      <c r="G13234">
        <v>794</v>
      </c>
    </row>
    <row r="13235" spans="1:7">
      <c r="A13235" t="s">
        <v>1876</v>
      </c>
      <c r="B13235" t="s">
        <v>388</v>
      </c>
      <c r="C13235" t="s">
        <v>1910</v>
      </c>
      <c r="D13235">
        <v>489</v>
      </c>
      <c r="E13235">
        <v>257</v>
      </c>
      <c r="F13235">
        <v>313</v>
      </c>
      <c r="G13235">
        <v>309</v>
      </c>
    </row>
    <row r="13236" spans="1:7">
      <c r="A13236" t="s">
        <v>1876</v>
      </c>
      <c r="B13236" t="s">
        <v>388</v>
      </c>
      <c r="C13236" t="s">
        <v>1911</v>
      </c>
      <c r="D13236">
        <v>10677</v>
      </c>
      <c r="E13236">
        <v>10793</v>
      </c>
      <c r="F13236">
        <v>10535</v>
      </c>
      <c r="G13236">
        <v>10223</v>
      </c>
    </row>
    <row r="13237" spans="1:7">
      <c r="A13237" t="s">
        <v>1876</v>
      </c>
      <c r="B13237" t="s">
        <v>388</v>
      </c>
      <c r="C13237" t="s">
        <v>1912</v>
      </c>
      <c r="D13237">
        <v>514</v>
      </c>
      <c r="E13237">
        <v>556</v>
      </c>
      <c r="F13237">
        <v>559</v>
      </c>
      <c r="G13237">
        <v>494</v>
      </c>
    </row>
    <row r="13238" spans="1:7">
      <c r="A13238" t="s">
        <v>1876</v>
      </c>
      <c r="B13238" t="s">
        <v>388</v>
      </c>
      <c r="C13238" t="s">
        <v>168</v>
      </c>
      <c r="D13238">
        <v>45769</v>
      </c>
      <c r="E13238">
        <v>46007</v>
      </c>
      <c r="F13238">
        <v>44628</v>
      </c>
      <c r="G13238">
        <v>43736</v>
      </c>
    </row>
    <row r="13239" spans="1:7">
      <c r="A13239" t="s">
        <v>1876</v>
      </c>
      <c r="B13239" t="s">
        <v>388</v>
      </c>
      <c r="C13239" t="s">
        <v>169</v>
      </c>
      <c r="D13239">
        <v>0</v>
      </c>
      <c r="E13239">
        <v>0</v>
      </c>
      <c r="F13239">
        <v>0</v>
      </c>
      <c r="G13239">
        <v>0</v>
      </c>
    </row>
    <row r="13240" spans="1:7">
      <c r="A13240" t="s">
        <v>1876</v>
      </c>
      <c r="B13240" t="s">
        <v>388</v>
      </c>
      <c r="C13240" t="s">
        <v>1704</v>
      </c>
      <c r="D13240">
        <v>6280</v>
      </c>
      <c r="E13240">
        <v>6324</v>
      </c>
      <c r="F13240">
        <v>6799</v>
      </c>
      <c r="G13240">
        <v>7226</v>
      </c>
    </row>
    <row r="13241" spans="1:7">
      <c r="A13241" t="s">
        <v>1876</v>
      </c>
      <c r="B13241" t="s">
        <v>388</v>
      </c>
      <c r="C13241" t="s">
        <v>170</v>
      </c>
      <c r="D13241">
        <v>0</v>
      </c>
      <c r="E13241">
        <v>0</v>
      </c>
      <c r="F13241">
        <v>0</v>
      </c>
      <c r="G13241">
        <v>0</v>
      </c>
    </row>
    <row r="13242" spans="1:7">
      <c r="A13242" t="s">
        <v>1876</v>
      </c>
      <c r="B13242" t="s">
        <v>388</v>
      </c>
      <c r="C13242" t="s">
        <v>171</v>
      </c>
      <c r="D13242">
        <v>-16903</v>
      </c>
      <c r="E13242">
        <v>-17767</v>
      </c>
      <c r="F13242">
        <v>-16099</v>
      </c>
      <c r="G13242">
        <v>-30983</v>
      </c>
    </row>
    <row r="13243" spans="1:7">
      <c r="A13243" t="s">
        <v>1876</v>
      </c>
      <c r="B13243" t="s">
        <v>388</v>
      </c>
      <c r="C13243" t="s">
        <v>172</v>
      </c>
      <c r="D13243">
        <v>0</v>
      </c>
      <c r="E13243">
        <v>0</v>
      </c>
      <c r="F13243">
        <v>0</v>
      </c>
      <c r="G13243">
        <v>0</v>
      </c>
    </row>
    <row r="13244" spans="1:7">
      <c r="A13244" t="s">
        <v>1876</v>
      </c>
      <c r="B13244" t="s">
        <v>388</v>
      </c>
      <c r="C13244" t="s">
        <v>1913</v>
      </c>
      <c r="D13244">
        <v>1.4</v>
      </c>
      <c r="E13244">
        <v>1.9</v>
      </c>
      <c r="F13244">
        <v>2.8</v>
      </c>
      <c r="G13244">
        <v>3.9</v>
      </c>
    </row>
    <row r="13245" spans="1:7">
      <c r="A13245" t="s">
        <v>1876</v>
      </c>
      <c r="B13245" t="s">
        <v>388</v>
      </c>
      <c r="C13245" t="s">
        <v>1914</v>
      </c>
      <c r="D13245">
        <v>0.2</v>
      </c>
      <c r="E13245">
        <v>0.2</v>
      </c>
      <c r="F13245">
        <v>0.3</v>
      </c>
      <c r="G13245">
        <v>0.4</v>
      </c>
    </row>
    <row r="13246" spans="1:7">
      <c r="A13246" t="s">
        <v>1876</v>
      </c>
      <c r="B13246" t="s">
        <v>388</v>
      </c>
      <c r="C13246" t="s">
        <v>173</v>
      </c>
      <c r="D13246">
        <v>4140</v>
      </c>
      <c r="E13246">
        <v>4102</v>
      </c>
      <c r="F13246">
        <v>4053</v>
      </c>
      <c r="G13246">
        <v>4098</v>
      </c>
    </row>
    <row r="13247" spans="1:7">
      <c r="A13247" t="s">
        <v>1876</v>
      </c>
      <c r="B13247" t="s">
        <v>388</v>
      </c>
      <c r="C13247" t="s">
        <v>174</v>
      </c>
      <c r="D13247">
        <v>49</v>
      </c>
      <c r="E13247">
        <v>55</v>
      </c>
      <c r="F13247">
        <v>56</v>
      </c>
      <c r="G13247">
        <v>53</v>
      </c>
    </row>
    <row r="13248" spans="1:7">
      <c r="A13248" t="s">
        <v>1876</v>
      </c>
      <c r="B13248" t="s">
        <v>388</v>
      </c>
      <c r="C13248" t="s">
        <v>175</v>
      </c>
      <c r="D13248">
        <v>94</v>
      </c>
      <c r="E13248">
        <v>98</v>
      </c>
      <c r="F13248">
        <v>106</v>
      </c>
      <c r="G13248">
        <v>119</v>
      </c>
    </row>
    <row r="13249" spans="1:7">
      <c r="A13249" t="s">
        <v>1876</v>
      </c>
      <c r="B13249" t="s">
        <v>388</v>
      </c>
      <c r="C13249" t="s">
        <v>176</v>
      </c>
      <c r="D13249">
        <v>68287</v>
      </c>
      <c r="E13249">
        <v>69252</v>
      </c>
      <c r="F13249">
        <v>69157</v>
      </c>
      <c r="G13249">
        <v>72244</v>
      </c>
    </row>
    <row r="13250" spans="1:7">
      <c r="A13250" t="s">
        <v>1876</v>
      </c>
      <c r="B13250" t="s">
        <v>388</v>
      </c>
      <c r="C13250" t="s">
        <v>177</v>
      </c>
      <c r="D13250">
        <v>4283</v>
      </c>
      <c r="E13250">
        <v>4256</v>
      </c>
      <c r="F13250">
        <v>4216</v>
      </c>
      <c r="G13250">
        <v>4270</v>
      </c>
    </row>
    <row r="13251" spans="1:7">
      <c r="A13251" t="s">
        <v>1876</v>
      </c>
      <c r="B13251" t="s">
        <v>388</v>
      </c>
      <c r="C13251" t="s">
        <v>178</v>
      </c>
      <c r="D13251">
        <v>0</v>
      </c>
      <c r="E13251">
        <v>0</v>
      </c>
      <c r="F13251">
        <v>0</v>
      </c>
      <c r="G13251">
        <v>0</v>
      </c>
    </row>
    <row r="13252" spans="1:7">
      <c r="A13252" t="s">
        <v>1876</v>
      </c>
      <c r="B13252" t="s">
        <v>388</v>
      </c>
      <c r="C13252" t="s">
        <v>179</v>
      </c>
      <c r="D13252">
        <v>0</v>
      </c>
      <c r="E13252">
        <v>0</v>
      </c>
      <c r="F13252">
        <v>0</v>
      </c>
      <c r="G13252">
        <v>0</v>
      </c>
    </row>
    <row r="13253" spans="1:7">
      <c r="A13253" t="s">
        <v>1876</v>
      </c>
      <c r="B13253" t="s">
        <v>388</v>
      </c>
      <c r="C13253" t="s">
        <v>180</v>
      </c>
      <c r="D13253">
        <v>0</v>
      </c>
      <c r="E13253">
        <v>0</v>
      </c>
      <c r="F13253">
        <v>0</v>
      </c>
      <c r="G13253">
        <v>0</v>
      </c>
    </row>
    <row r="13254" spans="1:7">
      <c r="A13254" t="s">
        <v>1876</v>
      </c>
      <c r="B13254" t="s">
        <v>388</v>
      </c>
      <c r="C13254" t="s">
        <v>181</v>
      </c>
      <c r="D13254">
        <v>16349</v>
      </c>
      <c r="E13254">
        <v>16842</v>
      </c>
      <c r="F13254">
        <v>17172</v>
      </c>
      <c r="G13254">
        <v>17440</v>
      </c>
    </row>
    <row r="13255" spans="1:7">
      <c r="A13255" t="s">
        <v>1876</v>
      </c>
      <c r="B13255" t="s">
        <v>388</v>
      </c>
      <c r="C13255" t="s">
        <v>182</v>
      </c>
      <c r="D13255">
        <v>10938</v>
      </c>
      <c r="E13255">
        <v>10946</v>
      </c>
      <c r="F13255">
        <v>11012</v>
      </c>
      <c r="G13255">
        <v>11450</v>
      </c>
    </row>
    <row r="13256" spans="1:7">
      <c r="A13256" t="s">
        <v>1876</v>
      </c>
      <c r="B13256" t="s">
        <v>388</v>
      </c>
      <c r="C13256" t="s">
        <v>183</v>
      </c>
      <c r="D13256">
        <v>17210</v>
      </c>
      <c r="E13256">
        <v>18162</v>
      </c>
      <c r="F13256">
        <v>17899</v>
      </c>
      <c r="G13256">
        <v>17640</v>
      </c>
    </row>
    <row r="13257" spans="1:7">
      <c r="A13257" t="s">
        <v>1876</v>
      </c>
      <c r="B13257" t="s">
        <v>388</v>
      </c>
      <c r="C13257" t="s">
        <v>184</v>
      </c>
      <c r="D13257">
        <v>44497</v>
      </c>
      <c r="E13257">
        <v>45950</v>
      </c>
      <c r="F13257">
        <v>46082</v>
      </c>
      <c r="G13257">
        <v>46530</v>
      </c>
    </row>
    <row r="13258" spans="1:7">
      <c r="A13258" t="s">
        <v>1876</v>
      </c>
      <c r="B13258" t="s">
        <v>388</v>
      </c>
      <c r="C13258" t="s">
        <v>185</v>
      </c>
      <c r="D13258">
        <v>44497</v>
      </c>
      <c r="E13258">
        <v>45950</v>
      </c>
      <c r="F13258">
        <v>46082</v>
      </c>
      <c r="G13258">
        <v>46530</v>
      </c>
    </row>
    <row r="13259" spans="1:7">
      <c r="A13259" t="s">
        <v>1876</v>
      </c>
      <c r="B13259" t="s">
        <v>388</v>
      </c>
      <c r="C13259" t="s">
        <v>1915</v>
      </c>
      <c r="D13259">
        <v>2</v>
      </c>
      <c r="E13259">
        <v>4</v>
      </c>
      <c r="F13259">
        <v>9</v>
      </c>
      <c r="G13259">
        <v>12</v>
      </c>
    </row>
    <row r="13260" spans="1:7">
      <c r="A13260" t="s">
        <v>1876</v>
      </c>
      <c r="B13260" t="s">
        <v>388</v>
      </c>
      <c r="C13260" t="s">
        <v>1916</v>
      </c>
      <c r="D13260">
        <v>0</v>
      </c>
      <c r="E13260">
        <v>0</v>
      </c>
      <c r="F13260">
        <v>0</v>
      </c>
      <c r="G13260">
        <v>0</v>
      </c>
    </row>
    <row r="13261" spans="1:7">
      <c r="A13261" t="s">
        <v>1876</v>
      </c>
      <c r="B13261" t="s">
        <v>388</v>
      </c>
      <c r="C13261" t="s">
        <v>1917</v>
      </c>
      <c r="D13261">
        <v>2</v>
      </c>
      <c r="E13261">
        <v>2</v>
      </c>
      <c r="F13261">
        <v>2</v>
      </c>
      <c r="G13261">
        <v>2</v>
      </c>
    </row>
    <row r="13262" spans="1:7">
      <c r="A13262" t="s">
        <v>1876</v>
      </c>
      <c r="B13262" t="s">
        <v>388</v>
      </c>
      <c r="C13262" t="s">
        <v>1918</v>
      </c>
      <c r="D13262">
        <v>103</v>
      </c>
      <c r="E13262">
        <v>119</v>
      </c>
      <c r="F13262">
        <v>139</v>
      </c>
      <c r="G13262">
        <v>181</v>
      </c>
    </row>
    <row r="13263" spans="1:7">
      <c r="A13263" t="s">
        <v>1876</v>
      </c>
      <c r="B13263" t="s">
        <v>388</v>
      </c>
      <c r="C13263" t="s">
        <v>1919</v>
      </c>
      <c r="D13263">
        <v>2.58</v>
      </c>
      <c r="E13263">
        <v>2.48</v>
      </c>
      <c r="F13263">
        <v>2.17</v>
      </c>
      <c r="G13263">
        <v>2.3199999999999998</v>
      </c>
    </row>
    <row r="13264" spans="1:7">
      <c r="A13264" t="s">
        <v>1876</v>
      </c>
      <c r="B13264" t="s">
        <v>388</v>
      </c>
      <c r="C13264" t="s">
        <v>1920</v>
      </c>
      <c r="D13264">
        <v>175</v>
      </c>
      <c r="E13264">
        <v>201</v>
      </c>
      <c r="F13264">
        <v>260</v>
      </c>
      <c r="G13264">
        <v>334</v>
      </c>
    </row>
    <row r="13265" spans="1:7">
      <c r="A13265" t="s">
        <v>1876</v>
      </c>
      <c r="B13265" t="s">
        <v>388</v>
      </c>
      <c r="C13265" t="s">
        <v>1921</v>
      </c>
      <c r="D13265">
        <v>56</v>
      </c>
      <c r="E13265">
        <v>70</v>
      </c>
      <c r="F13265">
        <v>98</v>
      </c>
      <c r="G13265">
        <v>120</v>
      </c>
    </row>
    <row r="13266" spans="1:7">
      <c r="A13266" t="s">
        <v>1876</v>
      </c>
      <c r="B13266" t="s">
        <v>388</v>
      </c>
      <c r="C13266" t="s">
        <v>1922</v>
      </c>
      <c r="D13266">
        <v>70</v>
      </c>
      <c r="E13266">
        <v>80</v>
      </c>
      <c r="F13266">
        <v>119</v>
      </c>
      <c r="G13266">
        <v>151</v>
      </c>
    </row>
    <row r="13267" spans="1:7">
      <c r="A13267" t="s">
        <v>1876</v>
      </c>
      <c r="B13267" t="s">
        <v>388</v>
      </c>
      <c r="C13267" t="s">
        <v>1923</v>
      </c>
      <c r="D13267">
        <v>4.67</v>
      </c>
      <c r="E13267">
        <v>3.81</v>
      </c>
      <c r="F13267">
        <v>3.22</v>
      </c>
      <c r="G13267">
        <v>3.21</v>
      </c>
    </row>
    <row r="13268" spans="1:7">
      <c r="A13268" t="s">
        <v>1876</v>
      </c>
      <c r="B13268" t="s">
        <v>388</v>
      </c>
      <c r="C13268" t="s">
        <v>1924</v>
      </c>
      <c r="D13268">
        <v>12</v>
      </c>
      <c r="E13268">
        <v>1</v>
      </c>
      <c r="F13268">
        <v>1</v>
      </c>
      <c r="G13268">
        <v>1</v>
      </c>
    </row>
    <row r="13269" spans="1:7">
      <c r="A13269" t="s">
        <v>1876</v>
      </c>
      <c r="B13269" t="s">
        <v>388</v>
      </c>
      <c r="C13269" t="s">
        <v>1925</v>
      </c>
      <c r="D13269">
        <v>8</v>
      </c>
      <c r="E13269">
        <v>10</v>
      </c>
      <c r="F13269">
        <v>11</v>
      </c>
      <c r="G13269">
        <v>13</v>
      </c>
    </row>
    <row r="13270" spans="1:7">
      <c r="A13270" t="s">
        <v>1876</v>
      </c>
      <c r="B13270" t="s">
        <v>388</v>
      </c>
      <c r="C13270" t="s">
        <v>1926</v>
      </c>
      <c r="D13270">
        <v>36</v>
      </c>
      <c r="E13270">
        <v>59</v>
      </c>
      <c r="F13270">
        <v>86</v>
      </c>
      <c r="G13270">
        <v>106</v>
      </c>
    </row>
    <row r="13271" spans="1:7">
      <c r="A13271" t="s">
        <v>1876</v>
      </c>
      <c r="B13271" t="s">
        <v>388</v>
      </c>
      <c r="C13271" t="s">
        <v>1927</v>
      </c>
      <c r="D13271">
        <v>3</v>
      </c>
      <c r="E13271">
        <v>4</v>
      </c>
      <c r="F13271">
        <v>3</v>
      </c>
      <c r="G13271">
        <v>2</v>
      </c>
    </row>
    <row r="13272" spans="1:7">
      <c r="A13272" t="s">
        <v>1876</v>
      </c>
      <c r="B13272" t="s">
        <v>388</v>
      </c>
      <c r="C13272" t="s">
        <v>1928</v>
      </c>
      <c r="D13272">
        <v>51</v>
      </c>
      <c r="E13272">
        <v>64</v>
      </c>
      <c r="F13272">
        <v>93</v>
      </c>
      <c r="G13272">
        <v>116</v>
      </c>
    </row>
    <row r="13273" spans="1:7">
      <c r="A13273" t="s">
        <v>1876</v>
      </c>
      <c r="B13273" t="s">
        <v>388</v>
      </c>
      <c r="C13273" t="s">
        <v>1929</v>
      </c>
      <c r="D13273">
        <v>2</v>
      </c>
      <c r="E13273">
        <v>2</v>
      </c>
      <c r="F13273">
        <v>2</v>
      </c>
      <c r="G13273">
        <v>2</v>
      </c>
    </row>
    <row r="13274" spans="1:7">
      <c r="A13274" t="s">
        <v>1876</v>
      </c>
      <c r="B13274" t="s">
        <v>388</v>
      </c>
      <c r="C13274" t="s">
        <v>186</v>
      </c>
      <c r="D13274">
        <v>0</v>
      </c>
      <c r="E13274">
        <v>0</v>
      </c>
      <c r="F13274">
        <v>0</v>
      </c>
      <c r="G13274">
        <v>0</v>
      </c>
    </row>
    <row r="13275" spans="1:7">
      <c r="A13275" t="s">
        <v>1876</v>
      </c>
      <c r="B13275" t="s">
        <v>388</v>
      </c>
      <c r="C13275" t="s">
        <v>187</v>
      </c>
      <c r="D13275">
        <v>0</v>
      </c>
      <c r="E13275">
        <v>0</v>
      </c>
      <c r="F13275">
        <v>0</v>
      </c>
      <c r="G13275">
        <v>0</v>
      </c>
    </row>
    <row r="13276" spans="1:7">
      <c r="A13276" t="s">
        <v>1876</v>
      </c>
      <c r="B13276" t="s">
        <v>388</v>
      </c>
      <c r="C13276" t="s">
        <v>1705</v>
      </c>
      <c r="D13276">
        <v>1908</v>
      </c>
      <c r="E13276">
        <v>1952</v>
      </c>
      <c r="F13276">
        <v>1949</v>
      </c>
      <c r="G13276">
        <v>1963</v>
      </c>
    </row>
    <row r="13277" spans="1:7">
      <c r="A13277" t="s">
        <v>1876</v>
      </c>
      <c r="B13277" t="s">
        <v>388</v>
      </c>
      <c r="C13277" t="s">
        <v>188</v>
      </c>
      <c r="D13277">
        <v>237980</v>
      </c>
      <c r="E13277">
        <v>241708</v>
      </c>
      <c r="F13277">
        <v>239024</v>
      </c>
      <c r="G13277">
        <v>236671</v>
      </c>
    </row>
    <row r="13278" spans="1:7">
      <c r="A13278" t="s">
        <v>1876</v>
      </c>
      <c r="B13278" t="s">
        <v>388</v>
      </c>
      <c r="C13278" t="s">
        <v>189</v>
      </c>
      <c r="D13278">
        <v>0</v>
      </c>
      <c r="E13278">
        <v>0</v>
      </c>
      <c r="F13278">
        <v>0</v>
      </c>
      <c r="G13278">
        <v>0</v>
      </c>
    </row>
    <row r="13279" spans="1:7">
      <c r="A13279" t="s">
        <v>1876</v>
      </c>
      <c r="B13279" t="s">
        <v>388</v>
      </c>
      <c r="C13279" t="s">
        <v>190</v>
      </c>
      <c r="D13279">
        <v>0</v>
      </c>
      <c r="E13279">
        <v>0</v>
      </c>
      <c r="F13279">
        <v>0</v>
      </c>
      <c r="G13279">
        <v>0</v>
      </c>
    </row>
    <row r="13280" spans="1:7">
      <c r="A13280" t="s">
        <v>1876</v>
      </c>
      <c r="B13280" t="s">
        <v>388</v>
      </c>
      <c r="C13280" t="s">
        <v>191</v>
      </c>
      <c r="D13280">
        <v>0</v>
      </c>
      <c r="E13280">
        <v>0</v>
      </c>
      <c r="F13280">
        <v>0</v>
      </c>
      <c r="G13280">
        <v>0</v>
      </c>
    </row>
    <row r="13281" spans="1:7">
      <c r="A13281" t="s">
        <v>1876</v>
      </c>
      <c r="B13281" t="s">
        <v>388</v>
      </c>
      <c r="C13281" t="s">
        <v>192</v>
      </c>
      <c r="D13281">
        <v>63337.7</v>
      </c>
      <c r="E13281">
        <v>69425.600000000006</v>
      </c>
      <c r="F13281">
        <v>74458.8</v>
      </c>
      <c r="G13281">
        <v>76795.8</v>
      </c>
    </row>
    <row r="13282" spans="1:7">
      <c r="A13282" t="s">
        <v>1876</v>
      </c>
      <c r="B13282" t="s">
        <v>388</v>
      </c>
      <c r="C13282" t="s">
        <v>193</v>
      </c>
      <c r="D13282">
        <v>56015.4</v>
      </c>
      <c r="E13282">
        <v>55257.2</v>
      </c>
      <c r="F13282">
        <v>57253</v>
      </c>
      <c r="G13282">
        <v>57718</v>
      </c>
    </row>
    <row r="13283" spans="1:7">
      <c r="A13283" t="s">
        <v>1876</v>
      </c>
      <c r="B13283" t="s">
        <v>388</v>
      </c>
      <c r="C13283" t="s">
        <v>1930</v>
      </c>
      <c r="D13283">
        <v>0</v>
      </c>
      <c r="E13283">
        <v>0</v>
      </c>
      <c r="F13283">
        <v>0</v>
      </c>
      <c r="G13283">
        <v>0</v>
      </c>
    </row>
    <row r="13284" spans="1:7">
      <c r="A13284" t="s">
        <v>1876</v>
      </c>
      <c r="B13284" t="s">
        <v>388</v>
      </c>
      <c r="C13284" t="s">
        <v>194</v>
      </c>
      <c r="D13284">
        <v>967</v>
      </c>
      <c r="E13284">
        <v>967</v>
      </c>
      <c r="F13284">
        <v>967</v>
      </c>
      <c r="G13284">
        <v>967</v>
      </c>
    </row>
    <row r="13285" spans="1:7">
      <c r="A13285" t="s">
        <v>1876</v>
      </c>
      <c r="B13285" t="s">
        <v>388</v>
      </c>
      <c r="C13285" t="s">
        <v>195</v>
      </c>
      <c r="D13285">
        <v>0</v>
      </c>
      <c r="E13285">
        <v>0</v>
      </c>
      <c r="F13285">
        <v>0</v>
      </c>
      <c r="G13285">
        <v>0</v>
      </c>
    </row>
    <row r="13286" spans="1:7">
      <c r="A13286" t="s">
        <v>1876</v>
      </c>
      <c r="B13286" t="s">
        <v>388</v>
      </c>
      <c r="C13286" t="s">
        <v>1706</v>
      </c>
      <c r="D13286">
        <v>0</v>
      </c>
      <c r="E13286">
        <v>0</v>
      </c>
      <c r="F13286">
        <v>0</v>
      </c>
      <c r="G13286">
        <v>0</v>
      </c>
    </row>
    <row r="13287" spans="1:7">
      <c r="A13287" t="s">
        <v>1876</v>
      </c>
      <c r="B13287" t="s">
        <v>388</v>
      </c>
      <c r="C13287" t="s">
        <v>196</v>
      </c>
      <c r="D13287">
        <v>251</v>
      </c>
      <c r="E13287">
        <v>251</v>
      </c>
      <c r="F13287">
        <v>251</v>
      </c>
      <c r="G13287">
        <v>251</v>
      </c>
    </row>
    <row r="13288" spans="1:7">
      <c r="A13288" t="s">
        <v>1876</v>
      </c>
      <c r="B13288" t="s">
        <v>388</v>
      </c>
      <c r="C13288" t="s">
        <v>197</v>
      </c>
      <c r="D13288">
        <v>650</v>
      </c>
      <c r="E13288">
        <v>650</v>
      </c>
      <c r="F13288">
        <v>650</v>
      </c>
      <c r="G13288">
        <v>650</v>
      </c>
    </row>
    <row r="13289" spans="1:7">
      <c r="A13289" t="s">
        <v>1876</v>
      </c>
      <c r="B13289" t="s">
        <v>388</v>
      </c>
      <c r="C13289" t="s">
        <v>198</v>
      </c>
      <c r="D13289">
        <v>1868</v>
      </c>
      <c r="E13289">
        <v>1868</v>
      </c>
      <c r="F13289">
        <v>1868</v>
      </c>
      <c r="G13289">
        <v>1868</v>
      </c>
    </row>
    <row r="13290" spans="1:7">
      <c r="A13290" t="s">
        <v>1876</v>
      </c>
      <c r="B13290" t="s">
        <v>388</v>
      </c>
      <c r="C13290" t="s">
        <v>199</v>
      </c>
      <c r="D13290">
        <v>1868</v>
      </c>
      <c r="E13290">
        <v>1868</v>
      </c>
      <c r="F13290">
        <v>1868</v>
      </c>
      <c r="G13290">
        <v>1868</v>
      </c>
    </row>
    <row r="13291" spans="1:7">
      <c r="A13291" t="s">
        <v>1876</v>
      </c>
      <c r="B13291" t="s">
        <v>388</v>
      </c>
      <c r="C13291" t="s">
        <v>200</v>
      </c>
      <c r="D13291">
        <v>11</v>
      </c>
      <c r="E13291">
        <v>25</v>
      </c>
      <c r="F13291">
        <v>17</v>
      </c>
      <c r="G13291">
        <v>30</v>
      </c>
    </row>
    <row r="13292" spans="1:7">
      <c r="A13292" t="s">
        <v>1876</v>
      </c>
      <c r="B13292" t="s">
        <v>388</v>
      </c>
      <c r="C13292" t="s">
        <v>201</v>
      </c>
      <c r="D13292">
        <v>714</v>
      </c>
      <c r="E13292">
        <v>633</v>
      </c>
      <c r="F13292">
        <v>625</v>
      </c>
      <c r="G13292">
        <v>637</v>
      </c>
    </row>
    <row r="13293" spans="1:7">
      <c r="A13293" t="s">
        <v>1876</v>
      </c>
      <c r="B13293" t="s">
        <v>388</v>
      </c>
      <c r="C13293" t="s">
        <v>202</v>
      </c>
      <c r="D13293">
        <v>2415</v>
      </c>
      <c r="E13293">
        <v>2300</v>
      </c>
      <c r="F13293">
        <v>1910</v>
      </c>
      <c r="G13293">
        <v>1556</v>
      </c>
    </row>
    <row r="13294" spans="1:7">
      <c r="A13294" t="s">
        <v>1876</v>
      </c>
      <c r="B13294" t="s">
        <v>388</v>
      </c>
      <c r="C13294" t="s">
        <v>203</v>
      </c>
      <c r="D13294">
        <v>4309</v>
      </c>
      <c r="E13294">
        <v>4349</v>
      </c>
      <c r="F13294">
        <v>4066</v>
      </c>
      <c r="G13294">
        <v>3359</v>
      </c>
    </row>
    <row r="13295" spans="1:7">
      <c r="A13295" t="s">
        <v>1876</v>
      </c>
      <c r="B13295" t="s">
        <v>388</v>
      </c>
      <c r="C13295" t="s">
        <v>204</v>
      </c>
      <c r="D13295">
        <v>7449</v>
      </c>
      <c r="E13295">
        <v>7307</v>
      </c>
      <c r="F13295">
        <v>6618</v>
      </c>
      <c r="G13295">
        <v>5583</v>
      </c>
    </row>
    <row r="13296" spans="1:7">
      <c r="A13296" t="s">
        <v>1876</v>
      </c>
      <c r="B13296" t="s">
        <v>388</v>
      </c>
      <c r="C13296" t="s">
        <v>205</v>
      </c>
      <c r="D13296">
        <v>7449</v>
      </c>
      <c r="E13296">
        <v>7307</v>
      </c>
      <c r="F13296">
        <v>6618</v>
      </c>
      <c r="G13296">
        <v>5583</v>
      </c>
    </row>
    <row r="13297" spans="1:7">
      <c r="A13297" t="s">
        <v>1876</v>
      </c>
      <c r="B13297" t="s">
        <v>388</v>
      </c>
      <c r="C13297" t="s">
        <v>1931</v>
      </c>
      <c r="D13297">
        <v>0</v>
      </c>
      <c r="E13297">
        <v>0</v>
      </c>
      <c r="F13297">
        <v>0</v>
      </c>
      <c r="G13297">
        <v>0</v>
      </c>
    </row>
    <row r="13298" spans="1:7">
      <c r="A13298" t="s">
        <v>1876</v>
      </c>
      <c r="B13298" t="s">
        <v>388</v>
      </c>
      <c r="C13298" t="s">
        <v>1707</v>
      </c>
      <c r="D13298">
        <v>0</v>
      </c>
      <c r="E13298">
        <v>0</v>
      </c>
      <c r="F13298">
        <v>0</v>
      </c>
      <c r="G13298">
        <v>0</v>
      </c>
    </row>
    <row r="13299" spans="1:7">
      <c r="A13299" t="s">
        <v>1876</v>
      </c>
      <c r="B13299" t="s">
        <v>388</v>
      </c>
      <c r="C13299" t="s">
        <v>1932</v>
      </c>
      <c r="D13299">
        <v>35.6</v>
      </c>
      <c r="E13299">
        <v>30.4</v>
      </c>
      <c r="F13299">
        <v>30.7</v>
      </c>
      <c r="G13299">
        <v>32.799999999999997</v>
      </c>
    </row>
    <row r="13300" spans="1:7">
      <c r="A13300" t="s">
        <v>1876</v>
      </c>
      <c r="B13300" t="s">
        <v>388</v>
      </c>
      <c r="C13300" t="s">
        <v>1708</v>
      </c>
      <c r="D13300">
        <v>1598</v>
      </c>
      <c r="E13300">
        <v>1598</v>
      </c>
      <c r="F13300">
        <v>1598</v>
      </c>
      <c r="G13300">
        <v>1598</v>
      </c>
    </row>
    <row r="13301" spans="1:7">
      <c r="A13301" t="s">
        <v>1876</v>
      </c>
      <c r="B13301" t="s">
        <v>388</v>
      </c>
      <c r="C13301" t="s">
        <v>206</v>
      </c>
      <c r="D13301">
        <v>0</v>
      </c>
      <c r="E13301">
        <v>0</v>
      </c>
      <c r="F13301">
        <v>0</v>
      </c>
      <c r="G13301">
        <v>0</v>
      </c>
    </row>
    <row r="13302" spans="1:7">
      <c r="A13302" t="s">
        <v>1876</v>
      </c>
      <c r="B13302" t="s">
        <v>388</v>
      </c>
      <c r="C13302" t="s">
        <v>207</v>
      </c>
      <c r="D13302">
        <v>17000</v>
      </c>
      <c r="E13302">
        <v>14530</v>
      </c>
      <c r="F13302">
        <v>14657</v>
      </c>
      <c r="G13302">
        <v>15697</v>
      </c>
    </row>
    <row r="13303" spans="1:7">
      <c r="A13303" t="s">
        <v>1876</v>
      </c>
      <c r="B13303" t="s">
        <v>388</v>
      </c>
      <c r="C13303" t="s">
        <v>208</v>
      </c>
      <c r="D13303">
        <v>0</v>
      </c>
      <c r="E13303">
        <v>0</v>
      </c>
      <c r="F13303">
        <v>0</v>
      </c>
      <c r="G13303">
        <v>0</v>
      </c>
    </row>
    <row r="13304" spans="1:7">
      <c r="A13304" t="s">
        <v>1876</v>
      </c>
      <c r="B13304" t="s">
        <v>388</v>
      </c>
      <c r="C13304" t="s">
        <v>209</v>
      </c>
      <c r="D13304">
        <v>17000</v>
      </c>
      <c r="E13304">
        <v>14530</v>
      </c>
      <c r="F13304">
        <v>14657</v>
      </c>
      <c r="G13304">
        <v>15697</v>
      </c>
    </row>
    <row r="13305" spans="1:7">
      <c r="A13305" t="s">
        <v>1876</v>
      </c>
      <c r="B13305" t="s">
        <v>388</v>
      </c>
      <c r="C13305" t="s">
        <v>210</v>
      </c>
      <c r="D13305">
        <v>0</v>
      </c>
      <c r="E13305">
        <v>0</v>
      </c>
      <c r="F13305">
        <v>0</v>
      </c>
      <c r="G13305">
        <v>0</v>
      </c>
    </row>
    <row r="13306" spans="1:7">
      <c r="A13306" t="s">
        <v>1876</v>
      </c>
      <c r="B13306" t="s">
        <v>388</v>
      </c>
      <c r="C13306" t="s">
        <v>211</v>
      </c>
      <c r="D13306">
        <v>0</v>
      </c>
      <c r="E13306">
        <v>0</v>
      </c>
      <c r="F13306">
        <v>0</v>
      </c>
      <c r="G13306">
        <v>0</v>
      </c>
    </row>
    <row r="13307" spans="1:7">
      <c r="A13307" t="s">
        <v>1876</v>
      </c>
      <c r="B13307" t="s">
        <v>388</v>
      </c>
      <c r="C13307" t="s">
        <v>212</v>
      </c>
      <c r="D13307">
        <v>0</v>
      </c>
      <c r="E13307">
        <v>0</v>
      </c>
      <c r="F13307">
        <v>0</v>
      </c>
      <c r="G13307">
        <v>0</v>
      </c>
    </row>
    <row r="13308" spans="1:7">
      <c r="A13308" t="s">
        <v>1876</v>
      </c>
      <c r="B13308" t="s">
        <v>388</v>
      </c>
      <c r="C13308" t="s">
        <v>213</v>
      </c>
      <c r="D13308">
        <v>0</v>
      </c>
      <c r="E13308">
        <v>0</v>
      </c>
      <c r="F13308">
        <v>0</v>
      </c>
      <c r="G13308">
        <v>0</v>
      </c>
    </row>
    <row r="13309" spans="1:7">
      <c r="A13309" t="s">
        <v>1876</v>
      </c>
      <c r="B13309" t="s">
        <v>388</v>
      </c>
      <c r="C13309" t="s">
        <v>214</v>
      </c>
      <c r="D13309">
        <v>0</v>
      </c>
      <c r="E13309">
        <v>0</v>
      </c>
      <c r="F13309">
        <v>0</v>
      </c>
      <c r="G13309">
        <v>0</v>
      </c>
    </row>
    <row r="13310" spans="1:7">
      <c r="A13310" t="s">
        <v>1876</v>
      </c>
      <c r="B13310" t="s">
        <v>388</v>
      </c>
      <c r="C13310" t="s">
        <v>215</v>
      </c>
      <c r="D13310">
        <v>4132</v>
      </c>
      <c r="E13310">
        <v>4295</v>
      </c>
      <c r="F13310">
        <v>4007</v>
      </c>
      <c r="G13310">
        <v>3824</v>
      </c>
    </row>
    <row r="13311" spans="1:7">
      <c r="A13311" t="s">
        <v>1876</v>
      </c>
      <c r="B13311" t="s">
        <v>388</v>
      </c>
      <c r="C13311" t="s">
        <v>216</v>
      </c>
      <c r="D13311">
        <v>4132</v>
      </c>
      <c r="E13311">
        <v>4295</v>
      </c>
      <c r="F13311">
        <v>4007</v>
      </c>
      <c r="G13311">
        <v>3824</v>
      </c>
    </row>
    <row r="13312" spans="1:7">
      <c r="A13312" t="s">
        <v>1876</v>
      </c>
      <c r="B13312" t="s">
        <v>388</v>
      </c>
      <c r="C13312" t="s">
        <v>217</v>
      </c>
      <c r="D13312">
        <v>4132</v>
      </c>
      <c r="E13312">
        <v>4295</v>
      </c>
      <c r="F13312">
        <v>4007</v>
      </c>
      <c r="G13312">
        <v>3824</v>
      </c>
    </row>
    <row r="13313" spans="1:7">
      <c r="A13313" t="s">
        <v>1876</v>
      </c>
      <c r="B13313" t="s">
        <v>388</v>
      </c>
      <c r="C13313" t="s">
        <v>218</v>
      </c>
      <c r="D13313">
        <v>0</v>
      </c>
      <c r="E13313">
        <v>0</v>
      </c>
      <c r="F13313">
        <v>1</v>
      </c>
      <c r="G13313">
        <v>0</v>
      </c>
    </row>
    <row r="13314" spans="1:7">
      <c r="A13314" t="s">
        <v>1876</v>
      </c>
      <c r="B13314" t="s">
        <v>388</v>
      </c>
      <c r="C13314" t="s">
        <v>219</v>
      </c>
      <c r="D13314">
        <v>1</v>
      </c>
      <c r="E13314">
        <v>1</v>
      </c>
      <c r="F13314">
        <v>2</v>
      </c>
      <c r="G13314">
        <v>1</v>
      </c>
    </row>
    <row r="13315" spans="1:7">
      <c r="A13315" t="s">
        <v>1876</v>
      </c>
      <c r="B13315" t="s">
        <v>388</v>
      </c>
      <c r="C13315" t="s">
        <v>220</v>
      </c>
      <c r="D13315">
        <v>8</v>
      </c>
      <c r="E13315">
        <v>8</v>
      </c>
      <c r="F13315">
        <v>14</v>
      </c>
      <c r="G13315">
        <v>10</v>
      </c>
    </row>
    <row r="13316" spans="1:7">
      <c r="A13316" t="s">
        <v>1876</v>
      </c>
      <c r="B13316" t="s">
        <v>388</v>
      </c>
      <c r="C13316" t="s">
        <v>221</v>
      </c>
      <c r="D13316">
        <v>9</v>
      </c>
      <c r="E13316">
        <v>9</v>
      </c>
      <c r="F13316">
        <v>17</v>
      </c>
      <c r="G13316">
        <v>12</v>
      </c>
    </row>
    <row r="13317" spans="1:7">
      <c r="A13317" t="s">
        <v>1876</v>
      </c>
      <c r="B13317" t="s">
        <v>388</v>
      </c>
      <c r="C13317" t="s">
        <v>222</v>
      </c>
      <c r="D13317">
        <v>9</v>
      </c>
      <c r="E13317">
        <v>9</v>
      </c>
      <c r="F13317">
        <v>17</v>
      </c>
      <c r="G13317">
        <v>12</v>
      </c>
    </row>
    <row r="13318" spans="1:7">
      <c r="A13318" t="s">
        <v>1876</v>
      </c>
      <c r="B13318" t="s">
        <v>388</v>
      </c>
      <c r="C13318" t="s">
        <v>1933</v>
      </c>
      <c r="D13318">
        <v>864.2</v>
      </c>
      <c r="E13318">
        <v>877.3</v>
      </c>
      <c r="F13318">
        <v>846.5</v>
      </c>
      <c r="G13318">
        <v>903.7</v>
      </c>
    </row>
    <row r="13319" spans="1:7">
      <c r="A13319" t="s">
        <v>1876</v>
      </c>
      <c r="B13319" t="s">
        <v>388</v>
      </c>
      <c r="C13319" t="s">
        <v>223</v>
      </c>
      <c r="D13319">
        <v>0</v>
      </c>
      <c r="E13319">
        <v>0</v>
      </c>
      <c r="F13319">
        <v>0</v>
      </c>
      <c r="G13319">
        <v>0</v>
      </c>
    </row>
    <row r="13320" spans="1:7">
      <c r="A13320" t="s">
        <v>1876</v>
      </c>
      <c r="B13320" t="s">
        <v>388</v>
      </c>
      <c r="C13320" t="s">
        <v>224</v>
      </c>
      <c r="D13320">
        <v>6600</v>
      </c>
      <c r="E13320">
        <v>7120</v>
      </c>
      <c r="F13320">
        <v>8113</v>
      </c>
      <c r="G13320">
        <v>7150</v>
      </c>
    </row>
    <row r="13321" spans="1:7">
      <c r="A13321" t="s">
        <v>1876</v>
      </c>
      <c r="B13321" t="s">
        <v>388</v>
      </c>
      <c r="C13321" t="s">
        <v>225</v>
      </c>
      <c r="D13321">
        <v>4416</v>
      </c>
      <c r="E13321">
        <v>4627</v>
      </c>
      <c r="F13321">
        <v>5202</v>
      </c>
      <c r="G13321">
        <v>4694</v>
      </c>
    </row>
    <row r="13322" spans="1:7">
      <c r="A13322" t="s">
        <v>1876</v>
      </c>
      <c r="B13322" t="s">
        <v>388</v>
      </c>
      <c r="C13322" t="s">
        <v>226</v>
      </c>
      <c r="D13322">
        <v>6948</v>
      </c>
      <c r="E13322">
        <v>7678</v>
      </c>
      <c r="F13322">
        <v>8456</v>
      </c>
      <c r="G13322">
        <v>7232</v>
      </c>
    </row>
    <row r="13323" spans="1:7">
      <c r="A13323" t="s">
        <v>1876</v>
      </c>
      <c r="B13323" t="s">
        <v>388</v>
      </c>
      <c r="C13323" t="s">
        <v>227</v>
      </c>
      <c r="D13323">
        <v>17963</v>
      </c>
      <c r="E13323">
        <v>19425</v>
      </c>
      <c r="F13323">
        <v>21771</v>
      </c>
      <c r="G13323">
        <v>19077</v>
      </c>
    </row>
    <row r="13324" spans="1:7">
      <c r="A13324" t="s">
        <v>1876</v>
      </c>
      <c r="B13324" t="s">
        <v>388</v>
      </c>
      <c r="C13324" t="s">
        <v>228</v>
      </c>
      <c r="D13324">
        <v>17963</v>
      </c>
      <c r="E13324">
        <v>19425</v>
      </c>
      <c r="F13324">
        <v>21771</v>
      </c>
      <c r="G13324">
        <v>19077</v>
      </c>
    </row>
    <row r="13325" spans="1:7">
      <c r="A13325" t="s">
        <v>1876</v>
      </c>
      <c r="B13325" t="s">
        <v>388</v>
      </c>
      <c r="C13325" t="s">
        <v>229</v>
      </c>
      <c r="D13325">
        <v>537</v>
      </c>
      <c r="E13325">
        <v>568</v>
      </c>
      <c r="F13325">
        <v>401</v>
      </c>
      <c r="G13325">
        <v>392</v>
      </c>
    </row>
    <row r="13326" spans="1:7">
      <c r="A13326" t="s">
        <v>1876</v>
      </c>
      <c r="B13326" t="s">
        <v>388</v>
      </c>
      <c r="C13326" t="s">
        <v>230</v>
      </c>
      <c r="D13326">
        <v>261</v>
      </c>
      <c r="E13326">
        <v>269</v>
      </c>
      <c r="F13326">
        <v>193</v>
      </c>
      <c r="G13326">
        <v>175</v>
      </c>
    </row>
    <row r="13327" spans="1:7">
      <c r="A13327" t="s">
        <v>1876</v>
      </c>
      <c r="B13327" t="s">
        <v>388</v>
      </c>
      <c r="C13327" t="s">
        <v>231</v>
      </c>
      <c r="D13327">
        <v>798</v>
      </c>
      <c r="E13327">
        <v>837</v>
      </c>
      <c r="F13327">
        <v>594</v>
      </c>
      <c r="G13327">
        <v>566</v>
      </c>
    </row>
    <row r="13328" spans="1:7">
      <c r="A13328" t="s">
        <v>1876</v>
      </c>
      <c r="B13328" t="s">
        <v>388</v>
      </c>
      <c r="C13328" t="s">
        <v>232</v>
      </c>
      <c r="D13328">
        <v>798</v>
      </c>
      <c r="E13328">
        <v>837</v>
      </c>
      <c r="F13328">
        <v>594</v>
      </c>
      <c r="G13328">
        <v>566</v>
      </c>
    </row>
    <row r="13329" spans="1:7">
      <c r="A13329" t="s">
        <v>1876</v>
      </c>
      <c r="B13329" t="s">
        <v>388</v>
      </c>
      <c r="C13329" t="s">
        <v>233</v>
      </c>
      <c r="D13329">
        <v>0</v>
      </c>
      <c r="E13329">
        <v>0</v>
      </c>
      <c r="F13329">
        <v>0</v>
      </c>
      <c r="G13329">
        <v>0</v>
      </c>
    </row>
    <row r="13330" spans="1:7">
      <c r="A13330" t="s">
        <v>1876</v>
      </c>
      <c r="B13330" t="s">
        <v>388</v>
      </c>
      <c r="C13330" t="s">
        <v>234</v>
      </c>
      <c r="D13330">
        <v>57350</v>
      </c>
      <c r="E13330">
        <v>56123</v>
      </c>
      <c r="F13330">
        <v>54943</v>
      </c>
      <c r="G13330">
        <v>55774</v>
      </c>
    </row>
    <row r="13331" spans="1:7">
      <c r="A13331" t="s">
        <v>1876</v>
      </c>
      <c r="B13331" t="s">
        <v>388</v>
      </c>
      <c r="C13331" t="s">
        <v>235</v>
      </c>
      <c r="D13331">
        <v>675</v>
      </c>
      <c r="E13331">
        <v>757</v>
      </c>
      <c r="F13331">
        <v>765</v>
      </c>
      <c r="G13331">
        <v>716</v>
      </c>
    </row>
    <row r="13332" spans="1:7">
      <c r="A13332" t="s">
        <v>1876</v>
      </c>
      <c r="B13332" t="s">
        <v>388</v>
      </c>
      <c r="C13332" t="s">
        <v>236</v>
      </c>
      <c r="D13332">
        <v>1302</v>
      </c>
      <c r="E13332">
        <v>1340</v>
      </c>
      <c r="F13332">
        <v>1437</v>
      </c>
      <c r="G13332">
        <v>1625</v>
      </c>
    </row>
    <row r="13333" spans="1:7">
      <c r="A13333" t="s">
        <v>1876</v>
      </c>
      <c r="B13333" t="s">
        <v>388</v>
      </c>
      <c r="C13333" t="s">
        <v>237</v>
      </c>
      <c r="D13333">
        <v>59326</v>
      </c>
      <c r="E13333">
        <v>58219</v>
      </c>
      <c r="F13333">
        <v>57145</v>
      </c>
      <c r="G13333">
        <v>58115</v>
      </c>
    </row>
    <row r="13334" spans="1:7">
      <c r="A13334" t="s">
        <v>1876</v>
      </c>
      <c r="B13334" t="s">
        <v>388</v>
      </c>
      <c r="C13334" t="s">
        <v>238</v>
      </c>
      <c r="D13334">
        <v>59326</v>
      </c>
      <c r="E13334">
        <v>58219</v>
      </c>
      <c r="F13334">
        <v>57145</v>
      </c>
      <c r="G13334">
        <v>58115</v>
      </c>
    </row>
    <row r="13335" spans="1:7">
      <c r="A13335" t="s">
        <v>1876</v>
      </c>
      <c r="B13335" t="s">
        <v>388</v>
      </c>
      <c r="C13335" t="s">
        <v>1934</v>
      </c>
      <c r="D13335">
        <v>53210</v>
      </c>
      <c r="E13335">
        <v>52020</v>
      </c>
      <c r="F13335">
        <v>50890</v>
      </c>
      <c r="G13335">
        <v>51676</v>
      </c>
    </row>
    <row r="13336" spans="1:7">
      <c r="A13336" t="s">
        <v>1876</v>
      </c>
      <c r="B13336" t="s">
        <v>388</v>
      </c>
      <c r="C13336" t="s">
        <v>1935</v>
      </c>
      <c r="D13336">
        <v>626</v>
      </c>
      <c r="E13336">
        <v>701</v>
      </c>
      <c r="F13336">
        <v>708</v>
      </c>
      <c r="G13336">
        <v>663</v>
      </c>
    </row>
    <row r="13337" spans="1:7">
      <c r="A13337" t="s">
        <v>1876</v>
      </c>
      <c r="B13337" t="s">
        <v>388</v>
      </c>
      <c r="C13337" t="s">
        <v>1936</v>
      </c>
      <c r="D13337">
        <v>1208</v>
      </c>
      <c r="E13337">
        <v>1242</v>
      </c>
      <c r="F13337">
        <v>1331</v>
      </c>
      <c r="G13337">
        <v>1506</v>
      </c>
    </row>
    <row r="13338" spans="1:7">
      <c r="A13338" t="s">
        <v>1876</v>
      </c>
      <c r="B13338" t="s">
        <v>388</v>
      </c>
      <c r="C13338" t="s">
        <v>239</v>
      </c>
      <c r="D13338">
        <v>55044</v>
      </c>
      <c r="E13338">
        <v>53964</v>
      </c>
      <c r="F13338">
        <v>52929</v>
      </c>
      <c r="G13338">
        <v>53845</v>
      </c>
    </row>
    <row r="13339" spans="1:7">
      <c r="A13339" t="s">
        <v>1876</v>
      </c>
      <c r="B13339" t="s">
        <v>388</v>
      </c>
      <c r="C13339" t="s">
        <v>240</v>
      </c>
      <c r="D13339">
        <v>0</v>
      </c>
      <c r="E13339">
        <v>0</v>
      </c>
      <c r="F13339">
        <v>0</v>
      </c>
      <c r="G13339">
        <v>0</v>
      </c>
    </row>
    <row r="13340" spans="1:7">
      <c r="A13340" t="s">
        <v>1876</v>
      </c>
      <c r="B13340" t="s">
        <v>388</v>
      </c>
      <c r="C13340" t="s">
        <v>241</v>
      </c>
      <c r="D13340">
        <v>0</v>
      </c>
      <c r="E13340">
        <v>0</v>
      </c>
      <c r="F13340">
        <v>0</v>
      </c>
      <c r="G13340">
        <v>0</v>
      </c>
    </row>
    <row r="13341" spans="1:7">
      <c r="A13341" t="s">
        <v>1876</v>
      </c>
      <c r="B13341" t="s">
        <v>388</v>
      </c>
      <c r="C13341" t="s">
        <v>242</v>
      </c>
      <c r="D13341">
        <v>6249</v>
      </c>
      <c r="E13341">
        <v>6708</v>
      </c>
      <c r="F13341">
        <v>6096</v>
      </c>
      <c r="G13341">
        <v>6583</v>
      </c>
    </row>
    <row r="13342" spans="1:7">
      <c r="A13342" t="s">
        <v>1876</v>
      </c>
      <c r="B13342" t="s">
        <v>388</v>
      </c>
      <c r="C13342" t="s">
        <v>243</v>
      </c>
      <c r="D13342">
        <v>12377</v>
      </c>
      <c r="E13342">
        <v>14172</v>
      </c>
      <c r="F13342">
        <v>13571</v>
      </c>
      <c r="G13342">
        <v>12841</v>
      </c>
    </row>
    <row r="13343" spans="1:7">
      <c r="A13343" t="s">
        <v>1876</v>
      </c>
      <c r="B13343" t="s">
        <v>388</v>
      </c>
      <c r="C13343" t="s">
        <v>244</v>
      </c>
      <c r="D13343">
        <v>12087</v>
      </c>
      <c r="E13343">
        <v>12663</v>
      </c>
      <c r="F13343">
        <v>18917</v>
      </c>
      <c r="G13343">
        <v>20179</v>
      </c>
    </row>
    <row r="13344" spans="1:7">
      <c r="A13344" t="s">
        <v>1876</v>
      </c>
      <c r="B13344" t="s">
        <v>388</v>
      </c>
      <c r="C13344" t="s">
        <v>1709</v>
      </c>
      <c r="D13344">
        <v>1219</v>
      </c>
      <c r="E13344">
        <v>1262</v>
      </c>
      <c r="F13344">
        <v>1260</v>
      </c>
      <c r="G13344">
        <v>1276</v>
      </c>
    </row>
    <row r="13345" spans="1:7">
      <c r="A13345" t="s">
        <v>1876</v>
      </c>
      <c r="B13345" t="s">
        <v>388</v>
      </c>
      <c r="C13345" t="s">
        <v>245</v>
      </c>
      <c r="D13345">
        <v>52632</v>
      </c>
      <c r="E13345">
        <v>49056</v>
      </c>
      <c r="F13345">
        <v>49541</v>
      </c>
      <c r="G13345">
        <v>50404</v>
      </c>
    </row>
    <row r="13346" spans="1:7">
      <c r="A13346" t="s">
        <v>1876</v>
      </c>
      <c r="B13346" t="s">
        <v>388</v>
      </c>
      <c r="C13346" t="s">
        <v>246</v>
      </c>
      <c r="D13346">
        <v>13441</v>
      </c>
      <c r="E13346">
        <v>15690</v>
      </c>
      <c r="F13346">
        <v>14542</v>
      </c>
      <c r="G13346">
        <v>13343</v>
      </c>
    </row>
    <row r="13347" spans="1:7">
      <c r="A13347" t="s">
        <v>1876</v>
      </c>
      <c r="B13347" t="s">
        <v>388</v>
      </c>
      <c r="C13347" t="s">
        <v>247</v>
      </c>
      <c r="D13347">
        <v>96787</v>
      </c>
      <c r="E13347">
        <v>98288</v>
      </c>
      <c r="F13347">
        <v>102667</v>
      </c>
      <c r="G13347">
        <v>103349</v>
      </c>
    </row>
    <row r="13348" spans="1:7">
      <c r="A13348" t="s">
        <v>1876</v>
      </c>
      <c r="B13348" t="s">
        <v>388</v>
      </c>
      <c r="C13348" t="s">
        <v>248</v>
      </c>
      <c r="D13348">
        <v>108</v>
      </c>
      <c r="E13348">
        <v>108.1</v>
      </c>
      <c r="F13348">
        <v>111.9</v>
      </c>
      <c r="G13348">
        <v>111.5</v>
      </c>
    </row>
    <row r="13349" spans="1:7">
      <c r="A13349" t="s">
        <v>1876</v>
      </c>
      <c r="B13349" t="s">
        <v>388</v>
      </c>
      <c r="C13349" t="s">
        <v>249</v>
      </c>
      <c r="D13349">
        <v>84699</v>
      </c>
      <c r="E13349">
        <v>85626</v>
      </c>
      <c r="F13349">
        <v>83751</v>
      </c>
      <c r="G13349">
        <v>83170</v>
      </c>
    </row>
    <row r="13350" spans="1:7">
      <c r="A13350" t="s">
        <v>1876</v>
      </c>
      <c r="B13350" t="s">
        <v>388</v>
      </c>
      <c r="C13350" t="s">
        <v>250</v>
      </c>
      <c r="D13350">
        <v>96787</v>
      </c>
      <c r="E13350">
        <v>98288</v>
      </c>
      <c r="F13350">
        <v>102464</v>
      </c>
      <c r="G13350">
        <v>103006</v>
      </c>
    </row>
    <row r="13351" spans="1:7">
      <c r="A13351" t="s">
        <v>1876</v>
      </c>
      <c r="B13351" t="s">
        <v>388</v>
      </c>
      <c r="C13351" t="s">
        <v>1937</v>
      </c>
      <c r="D13351">
        <v>9.4</v>
      </c>
      <c r="E13351">
        <v>7.1</v>
      </c>
      <c r="F13351">
        <v>11.6</v>
      </c>
      <c r="G13351">
        <v>12.2</v>
      </c>
    </row>
    <row r="13352" spans="1:7">
      <c r="A13352" t="s">
        <v>1876</v>
      </c>
      <c r="B13352" t="s">
        <v>388</v>
      </c>
      <c r="C13352" t="s">
        <v>1938</v>
      </c>
      <c r="D13352">
        <v>0</v>
      </c>
      <c r="E13352">
        <v>0</v>
      </c>
      <c r="F13352">
        <v>0</v>
      </c>
      <c r="G13352">
        <v>0</v>
      </c>
    </row>
    <row r="13353" spans="1:7">
      <c r="A13353" t="s">
        <v>1876</v>
      </c>
      <c r="B13353" t="s">
        <v>388</v>
      </c>
      <c r="C13353" t="s">
        <v>251</v>
      </c>
      <c r="D13353">
        <v>0</v>
      </c>
      <c r="E13353">
        <v>0</v>
      </c>
      <c r="F13353">
        <v>0</v>
      </c>
      <c r="G13353">
        <v>0</v>
      </c>
    </row>
    <row r="13354" spans="1:7">
      <c r="A13354" t="s">
        <v>1876</v>
      </c>
      <c r="B13354" t="s">
        <v>388</v>
      </c>
      <c r="C13354" t="s">
        <v>252</v>
      </c>
      <c r="D13354">
        <v>0</v>
      </c>
      <c r="E13354">
        <v>0</v>
      </c>
      <c r="F13354">
        <v>0</v>
      </c>
      <c r="G13354">
        <v>0</v>
      </c>
    </row>
    <row r="13355" spans="1:7">
      <c r="A13355" t="s">
        <v>1876</v>
      </c>
      <c r="B13355" t="s">
        <v>388</v>
      </c>
      <c r="C13355" t="s">
        <v>1710</v>
      </c>
      <c r="D13355">
        <v>0</v>
      </c>
      <c r="E13355">
        <v>0</v>
      </c>
      <c r="F13355">
        <v>0</v>
      </c>
      <c r="G13355">
        <v>0</v>
      </c>
    </row>
    <row r="13356" spans="1:7">
      <c r="A13356" t="s">
        <v>1876</v>
      </c>
      <c r="B13356" t="s">
        <v>388</v>
      </c>
      <c r="C13356" t="s">
        <v>1939</v>
      </c>
      <c r="D13356">
        <v>55.8</v>
      </c>
      <c r="E13356">
        <v>57.2</v>
      </c>
      <c r="F13356">
        <v>53.4</v>
      </c>
      <c r="G13356">
        <v>56.2</v>
      </c>
    </row>
    <row r="13357" spans="1:7">
      <c r="A13357" t="s">
        <v>1876</v>
      </c>
      <c r="B13357" t="s">
        <v>388</v>
      </c>
      <c r="C13357" t="s">
        <v>253</v>
      </c>
      <c r="D13357">
        <v>0</v>
      </c>
      <c r="E13357">
        <v>0</v>
      </c>
      <c r="F13357">
        <v>0</v>
      </c>
      <c r="G13357">
        <v>0</v>
      </c>
    </row>
    <row r="13358" spans="1:7">
      <c r="A13358" t="s">
        <v>1876</v>
      </c>
      <c r="B13358" t="s">
        <v>388</v>
      </c>
      <c r="C13358" t="s">
        <v>1711</v>
      </c>
      <c r="D13358">
        <v>0</v>
      </c>
      <c r="E13358">
        <v>0</v>
      </c>
      <c r="F13358">
        <v>0</v>
      </c>
      <c r="G13358">
        <v>0</v>
      </c>
    </row>
    <row r="13359" spans="1:7">
      <c r="A13359" t="s">
        <v>1876</v>
      </c>
      <c r="B13359" t="s">
        <v>388</v>
      </c>
      <c r="C13359" t="s">
        <v>1712</v>
      </c>
      <c r="D13359">
        <v>26</v>
      </c>
      <c r="E13359">
        <v>27</v>
      </c>
      <c r="F13359">
        <v>18</v>
      </c>
      <c r="G13359">
        <v>23</v>
      </c>
    </row>
    <row r="13360" spans="1:7">
      <c r="A13360" t="s">
        <v>1876</v>
      </c>
      <c r="B13360" t="s">
        <v>388</v>
      </c>
      <c r="C13360" t="s">
        <v>1713</v>
      </c>
      <c r="D13360">
        <v>475</v>
      </c>
      <c r="E13360">
        <v>450</v>
      </c>
      <c r="F13360">
        <v>645</v>
      </c>
      <c r="G13360">
        <v>688</v>
      </c>
    </row>
    <row r="13361" spans="1:7">
      <c r="A13361" t="s">
        <v>1876</v>
      </c>
      <c r="B13361" t="s">
        <v>388</v>
      </c>
      <c r="C13361" t="s">
        <v>1940</v>
      </c>
      <c r="D13361">
        <v>0</v>
      </c>
      <c r="E13361">
        <v>0</v>
      </c>
      <c r="F13361">
        <v>0</v>
      </c>
      <c r="G13361">
        <v>0</v>
      </c>
    </row>
    <row r="13362" spans="1:7">
      <c r="A13362" t="s">
        <v>1876</v>
      </c>
      <c r="B13362" t="s">
        <v>388</v>
      </c>
      <c r="C13362" t="s">
        <v>1941</v>
      </c>
      <c r="D13362">
        <v>0</v>
      </c>
      <c r="E13362">
        <v>0</v>
      </c>
      <c r="F13362">
        <v>0</v>
      </c>
      <c r="G13362">
        <v>0</v>
      </c>
    </row>
    <row r="13363" spans="1:7">
      <c r="A13363" t="s">
        <v>1876</v>
      </c>
      <c r="B13363" t="s">
        <v>388</v>
      </c>
      <c r="C13363" t="s">
        <v>254</v>
      </c>
      <c r="D13363">
        <v>26</v>
      </c>
      <c r="E13363">
        <v>27</v>
      </c>
      <c r="F13363">
        <v>18</v>
      </c>
      <c r="G13363">
        <v>23</v>
      </c>
    </row>
    <row r="13364" spans="1:7">
      <c r="A13364" t="s">
        <v>1876</v>
      </c>
      <c r="B13364" t="s">
        <v>388</v>
      </c>
      <c r="C13364" t="s">
        <v>1942</v>
      </c>
      <c r="D13364">
        <v>0</v>
      </c>
      <c r="E13364">
        <v>0</v>
      </c>
      <c r="F13364">
        <v>0</v>
      </c>
      <c r="G13364">
        <v>0</v>
      </c>
    </row>
    <row r="13365" spans="1:7">
      <c r="A13365" t="s">
        <v>1876</v>
      </c>
      <c r="B13365" t="s">
        <v>388</v>
      </c>
      <c r="C13365" t="s">
        <v>255</v>
      </c>
      <c r="D13365">
        <v>501</v>
      </c>
      <c r="E13365">
        <v>477</v>
      </c>
      <c r="F13365">
        <v>663</v>
      </c>
      <c r="G13365">
        <v>711</v>
      </c>
    </row>
    <row r="13366" spans="1:7">
      <c r="A13366" t="s">
        <v>1876</v>
      </c>
      <c r="B13366" t="s">
        <v>388</v>
      </c>
      <c r="C13366" t="s">
        <v>256</v>
      </c>
      <c r="D13366">
        <v>501</v>
      </c>
      <c r="E13366">
        <v>477</v>
      </c>
      <c r="F13366">
        <v>663</v>
      </c>
      <c r="G13366">
        <v>711</v>
      </c>
    </row>
    <row r="13367" spans="1:7">
      <c r="A13367" t="s">
        <v>1876</v>
      </c>
      <c r="B13367" t="s">
        <v>388</v>
      </c>
      <c r="C13367" t="s">
        <v>1714</v>
      </c>
      <c r="D13367">
        <v>0</v>
      </c>
      <c r="E13367">
        <v>0</v>
      </c>
      <c r="F13367">
        <v>0</v>
      </c>
      <c r="G13367">
        <v>0</v>
      </c>
    </row>
    <row r="13368" spans="1:7">
      <c r="A13368" t="s">
        <v>1876</v>
      </c>
      <c r="B13368" t="s">
        <v>388</v>
      </c>
      <c r="C13368" t="s">
        <v>257</v>
      </c>
      <c r="D13368">
        <v>6486</v>
      </c>
      <c r="E13368">
        <v>6320</v>
      </c>
      <c r="F13368">
        <v>5551</v>
      </c>
      <c r="G13368">
        <v>4212</v>
      </c>
    </row>
    <row r="13369" spans="1:7">
      <c r="A13369" t="s">
        <v>1876</v>
      </c>
      <c r="B13369" t="s">
        <v>388</v>
      </c>
      <c r="C13369" t="s">
        <v>258</v>
      </c>
      <c r="D13369">
        <v>7627</v>
      </c>
      <c r="E13369">
        <v>7471</v>
      </c>
      <c r="F13369">
        <v>6731</v>
      </c>
      <c r="G13369">
        <v>5430</v>
      </c>
    </row>
    <row r="13370" spans="1:7">
      <c r="A13370" t="s">
        <v>1876</v>
      </c>
      <c r="B13370" t="s">
        <v>388</v>
      </c>
      <c r="C13370" t="s">
        <v>259</v>
      </c>
      <c r="D13370">
        <v>7627</v>
      </c>
      <c r="E13370">
        <v>7471</v>
      </c>
      <c r="F13370">
        <v>6731</v>
      </c>
      <c r="G13370">
        <v>5430</v>
      </c>
    </row>
    <row r="13371" spans="1:7">
      <c r="A13371" t="s">
        <v>1876</v>
      </c>
      <c r="B13371" t="s">
        <v>388</v>
      </c>
      <c r="C13371" t="s">
        <v>260</v>
      </c>
      <c r="D13371">
        <v>96249</v>
      </c>
      <c r="E13371">
        <v>95433</v>
      </c>
      <c r="F13371">
        <v>92854</v>
      </c>
      <c r="G13371">
        <v>93124</v>
      </c>
    </row>
    <row r="13372" spans="1:7">
      <c r="A13372" t="s">
        <v>1876</v>
      </c>
      <c r="B13372" t="s">
        <v>388</v>
      </c>
      <c r="C13372" t="s">
        <v>1943</v>
      </c>
      <c r="D13372">
        <v>1.8</v>
      </c>
      <c r="E13372">
        <v>1.5</v>
      </c>
      <c r="F13372">
        <v>1.4</v>
      </c>
      <c r="G13372">
        <v>1</v>
      </c>
    </row>
    <row r="13373" spans="1:7">
      <c r="A13373" t="s">
        <v>1876</v>
      </c>
      <c r="B13373" t="s">
        <v>388</v>
      </c>
      <c r="C13373" t="s">
        <v>261</v>
      </c>
      <c r="D13373">
        <v>2246</v>
      </c>
      <c r="E13373">
        <v>2302</v>
      </c>
      <c r="F13373">
        <v>2301</v>
      </c>
      <c r="G13373">
        <v>2183</v>
      </c>
    </row>
    <row r="13374" spans="1:7">
      <c r="A13374" t="s">
        <v>1876</v>
      </c>
      <c r="B13374" t="s">
        <v>388</v>
      </c>
      <c r="C13374" t="s">
        <v>262</v>
      </c>
      <c r="D13374">
        <v>489</v>
      </c>
      <c r="E13374">
        <v>257</v>
      </c>
      <c r="F13374">
        <v>313</v>
      </c>
      <c r="G13374">
        <v>309</v>
      </c>
    </row>
    <row r="13375" spans="1:7">
      <c r="A13375" t="s">
        <v>1876</v>
      </c>
      <c r="B13375" t="s">
        <v>388</v>
      </c>
      <c r="C13375" t="s">
        <v>1715</v>
      </c>
      <c r="D13375">
        <v>215</v>
      </c>
      <c r="E13375">
        <v>215</v>
      </c>
      <c r="F13375">
        <v>214</v>
      </c>
      <c r="G13375">
        <v>209</v>
      </c>
    </row>
    <row r="13376" spans="1:7">
      <c r="A13376" t="s">
        <v>1876</v>
      </c>
      <c r="B13376" t="s">
        <v>388</v>
      </c>
      <c r="C13376" t="s">
        <v>263</v>
      </c>
      <c r="D13376">
        <v>20898</v>
      </c>
      <c r="E13376">
        <v>20771</v>
      </c>
      <c r="F13376">
        <v>19448</v>
      </c>
      <c r="G13376">
        <v>17633</v>
      </c>
    </row>
    <row r="13377" spans="1:7">
      <c r="A13377" t="s">
        <v>1876</v>
      </c>
      <c r="B13377" t="s">
        <v>388</v>
      </c>
      <c r="C13377" t="s">
        <v>264</v>
      </c>
      <c r="D13377">
        <v>4831</v>
      </c>
      <c r="E13377">
        <v>4912</v>
      </c>
      <c r="F13377">
        <v>4639</v>
      </c>
      <c r="G13377">
        <v>3863</v>
      </c>
    </row>
    <row r="13378" spans="1:7">
      <c r="A13378" t="s">
        <v>1876</v>
      </c>
      <c r="B13378" t="s">
        <v>388</v>
      </c>
      <c r="C13378" t="s">
        <v>265</v>
      </c>
      <c r="D13378">
        <v>124713</v>
      </c>
      <c r="E13378">
        <v>123674</v>
      </c>
      <c r="F13378">
        <v>119555</v>
      </c>
      <c r="G13378">
        <v>117112</v>
      </c>
    </row>
    <row r="13379" spans="1:7">
      <c r="A13379" t="s">
        <v>1876</v>
      </c>
      <c r="B13379" t="s">
        <v>388</v>
      </c>
      <c r="C13379" t="s">
        <v>266</v>
      </c>
      <c r="D13379">
        <v>139.1</v>
      </c>
      <c r="E13379">
        <v>136</v>
      </c>
      <c r="F13379">
        <v>130.30000000000001</v>
      </c>
      <c r="G13379">
        <v>126.3</v>
      </c>
    </row>
    <row r="13380" spans="1:7">
      <c r="A13380" t="s">
        <v>1876</v>
      </c>
      <c r="B13380" t="s">
        <v>388</v>
      </c>
      <c r="C13380" t="s">
        <v>267</v>
      </c>
      <c r="D13380">
        <v>124224</v>
      </c>
      <c r="E13380">
        <v>123417</v>
      </c>
      <c r="F13380">
        <v>119242</v>
      </c>
      <c r="G13380">
        <v>116803</v>
      </c>
    </row>
    <row r="13381" spans="1:7">
      <c r="A13381" t="s">
        <v>1876</v>
      </c>
      <c r="B13381" t="s">
        <v>388</v>
      </c>
      <c r="C13381" t="s">
        <v>268</v>
      </c>
      <c r="D13381">
        <v>0</v>
      </c>
      <c r="E13381">
        <v>0</v>
      </c>
      <c r="F13381">
        <v>0</v>
      </c>
      <c r="G13381">
        <v>0</v>
      </c>
    </row>
    <row r="13382" spans="1:7">
      <c r="A13382" t="s">
        <v>1876</v>
      </c>
      <c r="B13382" t="s">
        <v>388</v>
      </c>
      <c r="C13382" t="s">
        <v>269</v>
      </c>
      <c r="D13382">
        <v>0</v>
      </c>
      <c r="E13382">
        <v>0</v>
      </c>
      <c r="F13382">
        <v>0</v>
      </c>
      <c r="G13382">
        <v>0</v>
      </c>
    </row>
    <row r="13383" spans="1:7">
      <c r="A13383" t="s">
        <v>1876</v>
      </c>
      <c r="B13383" t="s">
        <v>388</v>
      </c>
      <c r="C13383" t="s">
        <v>270</v>
      </c>
      <c r="D13383">
        <v>0</v>
      </c>
      <c r="E13383">
        <v>0</v>
      </c>
      <c r="F13383">
        <v>0</v>
      </c>
      <c r="G13383">
        <v>0</v>
      </c>
    </row>
    <row r="13384" spans="1:7">
      <c r="A13384" t="s">
        <v>1876</v>
      </c>
      <c r="B13384" t="s">
        <v>388</v>
      </c>
      <c r="C13384" t="s">
        <v>271</v>
      </c>
      <c r="D13384">
        <v>0</v>
      </c>
      <c r="E13384">
        <v>0</v>
      </c>
      <c r="F13384">
        <v>0</v>
      </c>
      <c r="G13384">
        <v>0</v>
      </c>
    </row>
    <row r="13385" spans="1:7">
      <c r="A13385" t="s">
        <v>1876</v>
      </c>
      <c r="B13385" t="s">
        <v>388</v>
      </c>
      <c r="C13385" t="s">
        <v>272</v>
      </c>
      <c r="D13385">
        <v>0</v>
      </c>
      <c r="E13385">
        <v>0</v>
      </c>
      <c r="F13385">
        <v>0</v>
      </c>
      <c r="G13385">
        <v>0</v>
      </c>
    </row>
    <row r="13386" spans="1:7">
      <c r="A13386" t="s">
        <v>1876</v>
      </c>
      <c r="B13386" t="s">
        <v>388</v>
      </c>
      <c r="C13386" t="s">
        <v>1944</v>
      </c>
      <c r="D13386">
        <v>0.7</v>
      </c>
      <c r="E13386">
        <v>0.9</v>
      </c>
      <c r="F13386">
        <v>1.1000000000000001</v>
      </c>
      <c r="G13386">
        <v>1.6</v>
      </c>
    </row>
    <row r="13387" spans="1:7">
      <c r="A13387" t="s">
        <v>1876</v>
      </c>
      <c r="B13387" t="s">
        <v>388</v>
      </c>
      <c r="C13387" t="s">
        <v>1945</v>
      </c>
      <c r="D13387">
        <v>1</v>
      </c>
      <c r="E13387">
        <v>2</v>
      </c>
      <c r="F13387">
        <v>3</v>
      </c>
      <c r="G13387">
        <v>5</v>
      </c>
    </row>
    <row r="13388" spans="1:7">
      <c r="A13388" t="s">
        <v>1876</v>
      </c>
      <c r="B13388" t="s">
        <v>388</v>
      </c>
      <c r="C13388" t="s">
        <v>273</v>
      </c>
      <c r="D13388">
        <v>0</v>
      </c>
      <c r="E13388">
        <v>0</v>
      </c>
      <c r="F13388">
        <v>0</v>
      </c>
      <c r="G13388">
        <v>0</v>
      </c>
    </row>
    <row r="13389" spans="1:7">
      <c r="A13389" t="s">
        <v>1876</v>
      </c>
      <c r="B13389" t="s">
        <v>388</v>
      </c>
      <c r="C13389" t="s">
        <v>1946</v>
      </c>
      <c r="D13389">
        <v>91283</v>
      </c>
      <c r="E13389">
        <v>90562</v>
      </c>
      <c r="F13389">
        <v>87776</v>
      </c>
      <c r="G13389">
        <v>87966</v>
      </c>
    </row>
    <row r="13390" spans="1:7">
      <c r="A13390" t="s">
        <v>1876</v>
      </c>
      <c r="B13390" t="s">
        <v>388</v>
      </c>
      <c r="C13390" t="s">
        <v>1947</v>
      </c>
      <c r="D13390">
        <v>2197</v>
      </c>
      <c r="E13390">
        <v>2246</v>
      </c>
      <c r="F13390">
        <v>2245</v>
      </c>
      <c r="G13390">
        <v>2130</v>
      </c>
    </row>
    <row r="13391" spans="1:7">
      <c r="A13391" t="s">
        <v>1876</v>
      </c>
      <c r="B13391" t="s">
        <v>388</v>
      </c>
      <c r="C13391" t="s">
        <v>1948</v>
      </c>
      <c r="D13391">
        <v>489</v>
      </c>
      <c r="E13391">
        <v>257</v>
      </c>
      <c r="F13391">
        <v>313</v>
      </c>
      <c r="G13391">
        <v>309</v>
      </c>
    </row>
    <row r="13392" spans="1:7">
      <c r="A13392" t="s">
        <v>1876</v>
      </c>
      <c r="B13392" t="s">
        <v>388</v>
      </c>
      <c r="C13392" t="s">
        <v>1949</v>
      </c>
      <c r="D13392">
        <v>20804</v>
      </c>
      <c r="E13392">
        <v>20673</v>
      </c>
      <c r="F13392">
        <v>19342</v>
      </c>
      <c r="G13392">
        <v>17514</v>
      </c>
    </row>
    <row r="13393" spans="1:7">
      <c r="A13393" t="s">
        <v>1876</v>
      </c>
      <c r="B13393" t="s">
        <v>388</v>
      </c>
      <c r="C13393" t="s">
        <v>1950</v>
      </c>
      <c r="D13393">
        <v>4831</v>
      </c>
      <c r="E13393">
        <v>4912</v>
      </c>
      <c r="F13393">
        <v>4639</v>
      </c>
      <c r="G13393">
        <v>3863</v>
      </c>
    </row>
    <row r="13394" spans="1:7">
      <c r="A13394" t="s">
        <v>1876</v>
      </c>
      <c r="B13394" t="s">
        <v>388</v>
      </c>
      <c r="C13394" t="s">
        <v>274</v>
      </c>
      <c r="D13394">
        <v>119604</v>
      </c>
      <c r="E13394">
        <v>118651</v>
      </c>
      <c r="F13394">
        <v>114315</v>
      </c>
      <c r="G13394">
        <v>111782</v>
      </c>
    </row>
    <row r="13395" spans="1:7">
      <c r="A13395" t="s">
        <v>1876</v>
      </c>
      <c r="B13395" t="s">
        <v>388</v>
      </c>
      <c r="C13395" t="s">
        <v>275</v>
      </c>
      <c r="D13395">
        <v>0</v>
      </c>
      <c r="E13395">
        <v>0</v>
      </c>
      <c r="F13395">
        <v>0</v>
      </c>
      <c r="G13395">
        <v>0</v>
      </c>
    </row>
    <row r="13396" spans="1:7">
      <c r="A13396" t="s">
        <v>1876</v>
      </c>
      <c r="B13396" t="s">
        <v>388</v>
      </c>
      <c r="C13396" t="s">
        <v>276</v>
      </c>
      <c r="D13396">
        <v>0</v>
      </c>
      <c r="E13396">
        <v>0</v>
      </c>
      <c r="F13396">
        <v>0</v>
      </c>
      <c r="G13396">
        <v>0</v>
      </c>
    </row>
    <row r="13397" spans="1:7">
      <c r="A13397" t="s">
        <v>1876</v>
      </c>
      <c r="B13397" t="s">
        <v>388</v>
      </c>
      <c r="C13397" t="s">
        <v>277</v>
      </c>
      <c r="D13397">
        <v>11</v>
      </c>
      <c r="E13397">
        <v>25</v>
      </c>
      <c r="F13397">
        <v>17</v>
      </c>
      <c r="G13397">
        <v>30</v>
      </c>
    </row>
    <row r="13398" spans="1:7">
      <c r="A13398" t="s">
        <v>1876</v>
      </c>
      <c r="B13398" t="s">
        <v>388</v>
      </c>
      <c r="C13398" t="s">
        <v>278</v>
      </c>
      <c r="D13398">
        <v>714</v>
      </c>
      <c r="E13398">
        <v>633</v>
      </c>
      <c r="F13398">
        <v>625</v>
      </c>
      <c r="G13398">
        <v>637</v>
      </c>
    </row>
    <row r="13399" spans="1:7">
      <c r="A13399" t="s">
        <v>1876</v>
      </c>
      <c r="B13399" t="s">
        <v>388</v>
      </c>
      <c r="C13399" t="s">
        <v>279</v>
      </c>
      <c r="D13399">
        <v>2415</v>
      </c>
      <c r="E13399">
        <v>2300</v>
      </c>
      <c r="F13399">
        <v>1910</v>
      </c>
      <c r="G13399">
        <v>1556</v>
      </c>
    </row>
    <row r="13400" spans="1:7">
      <c r="A13400" t="s">
        <v>1876</v>
      </c>
      <c r="B13400" t="s">
        <v>388</v>
      </c>
      <c r="C13400" t="s">
        <v>280</v>
      </c>
      <c r="D13400">
        <v>4309</v>
      </c>
      <c r="E13400">
        <v>4349</v>
      </c>
      <c r="F13400">
        <v>4066</v>
      </c>
      <c r="G13400">
        <v>3359</v>
      </c>
    </row>
    <row r="13401" spans="1:7">
      <c r="A13401" t="s">
        <v>1876</v>
      </c>
      <c r="B13401" t="s">
        <v>388</v>
      </c>
      <c r="C13401" t="s">
        <v>281</v>
      </c>
      <c r="D13401">
        <v>7449</v>
      </c>
      <c r="E13401">
        <v>7307</v>
      </c>
      <c r="F13401">
        <v>6618</v>
      </c>
      <c r="G13401">
        <v>5583</v>
      </c>
    </row>
    <row r="13402" spans="1:7">
      <c r="A13402" t="s">
        <v>1876</v>
      </c>
      <c r="B13402" t="s">
        <v>388</v>
      </c>
      <c r="C13402" t="s">
        <v>282</v>
      </c>
      <c r="D13402">
        <v>7449</v>
      </c>
      <c r="E13402">
        <v>7307</v>
      </c>
      <c r="F13402">
        <v>6618</v>
      </c>
      <c r="G13402">
        <v>5583</v>
      </c>
    </row>
    <row r="13403" spans="1:7">
      <c r="A13403" t="s">
        <v>1876</v>
      </c>
      <c r="B13403" t="s">
        <v>388</v>
      </c>
      <c r="C13403" t="s">
        <v>283</v>
      </c>
      <c r="D13403">
        <v>0</v>
      </c>
      <c r="E13403">
        <v>0</v>
      </c>
      <c r="F13403">
        <v>0</v>
      </c>
      <c r="G13403">
        <v>0</v>
      </c>
    </row>
    <row r="13404" spans="1:7">
      <c r="A13404" t="s">
        <v>1876</v>
      </c>
      <c r="B13404" t="s">
        <v>388</v>
      </c>
      <c r="C13404" t="s">
        <v>284</v>
      </c>
      <c r="D13404">
        <v>0</v>
      </c>
      <c r="E13404">
        <v>0</v>
      </c>
      <c r="F13404">
        <v>0</v>
      </c>
      <c r="G13404">
        <v>0</v>
      </c>
    </row>
    <row r="13405" spans="1:7">
      <c r="A13405" t="s">
        <v>1876</v>
      </c>
      <c r="B13405" t="s">
        <v>388</v>
      </c>
      <c r="C13405" t="s">
        <v>1716</v>
      </c>
      <c r="D13405">
        <v>4966</v>
      </c>
      <c r="E13405">
        <v>4870</v>
      </c>
      <c r="F13405">
        <v>5078</v>
      </c>
      <c r="G13405">
        <v>5158</v>
      </c>
    </row>
    <row r="13406" spans="1:7">
      <c r="A13406" t="s">
        <v>1876</v>
      </c>
      <c r="B13406" t="s">
        <v>388</v>
      </c>
      <c r="C13406" t="s">
        <v>1717</v>
      </c>
      <c r="D13406">
        <v>1272</v>
      </c>
      <c r="E13406">
        <v>1361</v>
      </c>
      <c r="F13406">
        <v>1333</v>
      </c>
      <c r="G13406">
        <v>1318</v>
      </c>
    </row>
    <row r="13407" spans="1:7">
      <c r="A13407" t="s">
        <v>1876</v>
      </c>
      <c r="B13407" t="s">
        <v>388</v>
      </c>
      <c r="C13407" t="s">
        <v>1718</v>
      </c>
      <c r="D13407">
        <v>48830</v>
      </c>
      <c r="E13407">
        <v>49664</v>
      </c>
      <c r="F13407">
        <v>46806</v>
      </c>
      <c r="G13407">
        <v>58048</v>
      </c>
    </row>
    <row r="13408" spans="1:7">
      <c r="A13408" t="s">
        <v>1876</v>
      </c>
      <c r="B13408" t="s">
        <v>388</v>
      </c>
      <c r="C13408" t="s">
        <v>1719</v>
      </c>
      <c r="D13408">
        <v>4372</v>
      </c>
      <c r="E13408">
        <v>4372</v>
      </c>
      <c r="F13408">
        <v>4849</v>
      </c>
      <c r="G13408">
        <v>5263</v>
      </c>
    </row>
    <row r="13409" spans="1:7">
      <c r="A13409" t="s">
        <v>1876</v>
      </c>
      <c r="B13409" t="s">
        <v>388</v>
      </c>
      <c r="C13409" t="s">
        <v>1720</v>
      </c>
      <c r="D13409">
        <v>70331</v>
      </c>
      <c r="E13409">
        <v>71316</v>
      </c>
      <c r="F13409">
        <v>71039</v>
      </c>
      <c r="G13409">
        <v>74416</v>
      </c>
    </row>
    <row r="13410" spans="1:7">
      <c r="A13410" t="s">
        <v>1876</v>
      </c>
      <c r="B13410" t="s">
        <v>388</v>
      </c>
      <c r="C13410" t="s">
        <v>1721</v>
      </c>
      <c r="D13410">
        <v>1983</v>
      </c>
      <c r="E13410">
        <v>2862</v>
      </c>
      <c r="F13410">
        <v>2367</v>
      </c>
      <c r="G13410">
        <v>2186</v>
      </c>
    </row>
    <row r="13411" spans="1:7">
      <c r="A13411" t="s">
        <v>1876</v>
      </c>
      <c r="B13411" t="s">
        <v>388</v>
      </c>
      <c r="C13411" t="s">
        <v>285</v>
      </c>
      <c r="D13411">
        <v>127382</v>
      </c>
      <c r="E13411">
        <v>130072</v>
      </c>
      <c r="F13411">
        <v>126621</v>
      </c>
      <c r="G13411">
        <v>141125</v>
      </c>
    </row>
    <row r="13412" spans="1:7">
      <c r="A13412" t="s">
        <v>1876</v>
      </c>
      <c r="B13412" t="s">
        <v>388</v>
      </c>
      <c r="C13412" t="s">
        <v>1951</v>
      </c>
      <c r="D13412">
        <v>36.6</v>
      </c>
      <c r="E13412">
        <v>36.700000000000003</v>
      </c>
      <c r="F13412">
        <v>36.200000000000003</v>
      </c>
      <c r="G13412">
        <v>40.700000000000003</v>
      </c>
    </row>
    <row r="13413" spans="1:7">
      <c r="A13413" t="s">
        <v>1876</v>
      </c>
      <c r="B13413" t="s">
        <v>388</v>
      </c>
      <c r="C13413" t="s">
        <v>286</v>
      </c>
      <c r="D13413">
        <v>0</v>
      </c>
      <c r="E13413">
        <v>0</v>
      </c>
      <c r="F13413">
        <v>0</v>
      </c>
      <c r="G13413">
        <v>0</v>
      </c>
    </row>
    <row r="13414" spans="1:7">
      <c r="A13414" t="s">
        <v>1876</v>
      </c>
      <c r="B13414" t="s">
        <v>388</v>
      </c>
      <c r="C13414" t="s">
        <v>287</v>
      </c>
      <c r="D13414">
        <v>38</v>
      </c>
      <c r="E13414">
        <v>39</v>
      </c>
      <c r="F13414">
        <v>33</v>
      </c>
      <c r="G13414">
        <v>35</v>
      </c>
    </row>
    <row r="13415" spans="1:7">
      <c r="A13415" t="s">
        <v>1876</v>
      </c>
      <c r="B13415" t="s">
        <v>388</v>
      </c>
      <c r="C13415" t="s">
        <v>288</v>
      </c>
      <c r="D13415">
        <v>0</v>
      </c>
      <c r="E13415">
        <v>0</v>
      </c>
      <c r="F13415">
        <v>0</v>
      </c>
      <c r="G13415">
        <v>0</v>
      </c>
    </row>
    <row r="13416" spans="1:7">
      <c r="A13416" t="s">
        <v>1876</v>
      </c>
      <c r="B13416" t="s">
        <v>388</v>
      </c>
      <c r="C13416" t="s">
        <v>289</v>
      </c>
      <c r="D13416">
        <v>18</v>
      </c>
      <c r="E13416">
        <v>19</v>
      </c>
      <c r="F13416">
        <v>16</v>
      </c>
      <c r="G13416">
        <v>17</v>
      </c>
    </row>
    <row r="13417" spans="1:7">
      <c r="A13417" t="s">
        <v>1876</v>
      </c>
      <c r="B13417" t="s">
        <v>388</v>
      </c>
      <c r="C13417" t="s">
        <v>290</v>
      </c>
      <c r="D13417">
        <v>57</v>
      </c>
      <c r="E13417">
        <v>58</v>
      </c>
      <c r="F13417">
        <v>48</v>
      </c>
      <c r="G13417">
        <v>52</v>
      </c>
    </row>
    <row r="13418" spans="1:7">
      <c r="A13418" t="s">
        <v>1876</v>
      </c>
      <c r="B13418" t="s">
        <v>388</v>
      </c>
      <c r="C13418" t="s">
        <v>291</v>
      </c>
      <c r="D13418">
        <v>57</v>
      </c>
      <c r="E13418">
        <v>58</v>
      </c>
      <c r="F13418">
        <v>48</v>
      </c>
      <c r="G13418">
        <v>52</v>
      </c>
    </row>
    <row r="13419" spans="1:7">
      <c r="A13419" t="s">
        <v>1876</v>
      </c>
      <c r="B13419" t="s">
        <v>388</v>
      </c>
      <c r="C13419" t="s">
        <v>292</v>
      </c>
      <c r="D13419">
        <v>0</v>
      </c>
      <c r="E13419">
        <v>0</v>
      </c>
      <c r="F13419">
        <v>29</v>
      </c>
      <c r="G13419">
        <v>46</v>
      </c>
    </row>
    <row r="13420" spans="1:7">
      <c r="A13420" t="s">
        <v>1876</v>
      </c>
      <c r="B13420" t="s">
        <v>388</v>
      </c>
      <c r="C13420" t="s">
        <v>293</v>
      </c>
      <c r="D13420">
        <v>0</v>
      </c>
      <c r="E13420">
        <v>0</v>
      </c>
      <c r="F13420">
        <v>40</v>
      </c>
      <c r="G13420">
        <v>72</v>
      </c>
    </row>
    <row r="13421" spans="1:7">
      <c r="A13421" t="s">
        <v>1876</v>
      </c>
      <c r="B13421" t="s">
        <v>388</v>
      </c>
      <c r="C13421" t="s">
        <v>294</v>
      </c>
      <c r="D13421">
        <v>0</v>
      </c>
      <c r="E13421">
        <v>0</v>
      </c>
      <c r="F13421">
        <v>104</v>
      </c>
      <c r="G13421">
        <v>179</v>
      </c>
    </row>
    <row r="13422" spans="1:7">
      <c r="A13422" t="s">
        <v>1876</v>
      </c>
      <c r="B13422" t="s">
        <v>388</v>
      </c>
      <c r="C13422" t="s">
        <v>295</v>
      </c>
      <c r="D13422">
        <v>0</v>
      </c>
      <c r="E13422">
        <v>0</v>
      </c>
      <c r="F13422">
        <v>31</v>
      </c>
      <c r="G13422">
        <v>47</v>
      </c>
    </row>
    <row r="13423" spans="1:7">
      <c r="A13423" t="s">
        <v>1876</v>
      </c>
      <c r="B13423" t="s">
        <v>388</v>
      </c>
      <c r="C13423" t="s">
        <v>296</v>
      </c>
      <c r="D13423">
        <v>0</v>
      </c>
      <c r="E13423">
        <v>0</v>
      </c>
      <c r="F13423">
        <v>204</v>
      </c>
      <c r="G13423">
        <v>343</v>
      </c>
    </row>
    <row r="13424" spans="1:7">
      <c r="A13424" t="s">
        <v>1876</v>
      </c>
      <c r="B13424" t="s">
        <v>388</v>
      </c>
      <c r="C13424" t="s">
        <v>297</v>
      </c>
      <c r="D13424">
        <v>0</v>
      </c>
      <c r="E13424">
        <v>0</v>
      </c>
      <c r="F13424">
        <v>0</v>
      </c>
      <c r="G13424">
        <v>0</v>
      </c>
    </row>
    <row r="13425" spans="1:7">
      <c r="A13425" t="s">
        <v>1876</v>
      </c>
      <c r="B13425" t="s">
        <v>388</v>
      </c>
      <c r="C13425" t="s">
        <v>1952</v>
      </c>
      <c r="D13425">
        <v>0</v>
      </c>
      <c r="E13425">
        <v>0</v>
      </c>
      <c r="F13425">
        <v>0</v>
      </c>
      <c r="G13425">
        <v>0</v>
      </c>
    </row>
    <row r="13426" spans="1:7">
      <c r="A13426" t="s">
        <v>1876</v>
      </c>
      <c r="B13426" t="s">
        <v>388</v>
      </c>
      <c r="C13426" t="s">
        <v>298</v>
      </c>
      <c r="D13426">
        <v>0</v>
      </c>
      <c r="E13426">
        <v>0</v>
      </c>
      <c r="F13426">
        <v>0</v>
      </c>
      <c r="G13426">
        <v>0</v>
      </c>
    </row>
    <row r="13427" spans="1:7">
      <c r="A13427" t="s">
        <v>1876</v>
      </c>
      <c r="B13427" t="s">
        <v>388</v>
      </c>
      <c r="C13427" t="s">
        <v>299</v>
      </c>
      <c r="D13427">
        <v>2</v>
      </c>
      <c r="E13427">
        <v>2</v>
      </c>
      <c r="F13427">
        <v>4</v>
      </c>
      <c r="G13427">
        <v>9</v>
      </c>
    </row>
    <row r="13428" spans="1:7">
      <c r="A13428" t="s">
        <v>1876</v>
      </c>
      <c r="B13428" t="s">
        <v>388</v>
      </c>
      <c r="C13428" t="s">
        <v>300</v>
      </c>
      <c r="D13428">
        <v>7</v>
      </c>
      <c r="E13428">
        <v>7</v>
      </c>
      <c r="F13428">
        <v>159</v>
      </c>
      <c r="G13428">
        <v>1154</v>
      </c>
    </row>
    <row r="13429" spans="1:7">
      <c r="A13429" t="s">
        <v>1876</v>
      </c>
      <c r="B13429" t="s">
        <v>388</v>
      </c>
      <c r="C13429" t="s">
        <v>1722</v>
      </c>
      <c r="D13429">
        <v>1</v>
      </c>
      <c r="E13429">
        <v>1</v>
      </c>
      <c r="F13429">
        <v>81</v>
      </c>
      <c r="G13429">
        <v>209</v>
      </c>
    </row>
    <row r="13430" spans="1:7">
      <c r="A13430" t="s">
        <v>1876</v>
      </c>
      <c r="B13430" t="s">
        <v>388</v>
      </c>
      <c r="C13430" t="s">
        <v>301</v>
      </c>
      <c r="D13430">
        <v>0</v>
      </c>
      <c r="E13430">
        <v>0</v>
      </c>
      <c r="F13430">
        <v>0</v>
      </c>
      <c r="G13430">
        <v>0</v>
      </c>
    </row>
    <row r="13431" spans="1:7">
      <c r="A13431" t="s">
        <v>1876</v>
      </c>
      <c r="B13431" t="s">
        <v>388</v>
      </c>
      <c r="C13431" t="s">
        <v>302</v>
      </c>
      <c r="D13431">
        <v>9</v>
      </c>
      <c r="E13431">
        <v>11</v>
      </c>
      <c r="F13431">
        <v>14</v>
      </c>
      <c r="G13431">
        <v>22</v>
      </c>
    </row>
    <row r="13432" spans="1:7">
      <c r="A13432" t="s">
        <v>1876</v>
      </c>
      <c r="B13432" t="s">
        <v>388</v>
      </c>
      <c r="C13432" t="s">
        <v>303</v>
      </c>
      <c r="D13432">
        <v>19</v>
      </c>
      <c r="E13432">
        <v>20</v>
      </c>
      <c r="F13432">
        <v>177</v>
      </c>
      <c r="G13432">
        <v>1185</v>
      </c>
    </row>
    <row r="13433" spans="1:7">
      <c r="A13433" t="s">
        <v>1876</v>
      </c>
      <c r="B13433" t="s">
        <v>388</v>
      </c>
      <c r="C13433" t="s">
        <v>304</v>
      </c>
      <c r="D13433">
        <v>12</v>
      </c>
      <c r="E13433">
        <v>13</v>
      </c>
      <c r="F13433">
        <v>18</v>
      </c>
      <c r="G13433">
        <v>31</v>
      </c>
    </row>
    <row r="13434" spans="1:7">
      <c r="A13434" t="s">
        <v>1876</v>
      </c>
      <c r="B13434" t="s">
        <v>388</v>
      </c>
      <c r="C13434" t="s">
        <v>1953</v>
      </c>
      <c r="D13434">
        <v>22.9</v>
      </c>
      <c r="E13434">
        <v>23.6</v>
      </c>
      <c r="F13434">
        <v>16.2</v>
      </c>
      <c r="G13434">
        <v>24</v>
      </c>
    </row>
    <row r="13435" spans="1:7">
      <c r="A13435" t="s">
        <v>1876</v>
      </c>
      <c r="B13435" t="s">
        <v>388</v>
      </c>
      <c r="C13435" t="s">
        <v>305</v>
      </c>
      <c r="D13435">
        <v>102498</v>
      </c>
      <c r="E13435">
        <v>102141</v>
      </c>
      <c r="F13435">
        <v>98950</v>
      </c>
      <c r="G13435">
        <v>99707</v>
      </c>
    </row>
    <row r="13436" spans="1:7">
      <c r="A13436" t="s">
        <v>1876</v>
      </c>
      <c r="B13436" t="s">
        <v>388</v>
      </c>
      <c r="C13436" t="s">
        <v>306</v>
      </c>
      <c r="D13436">
        <v>114.4</v>
      </c>
      <c r="E13436">
        <v>112.3</v>
      </c>
      <c r="F13436">
        <v>107.8</v>
      </c>
      <c r="G13436">
        <v>107.5</v>
      </c>
    </row>
    <row r="13437" spans="1:7">
      <c r="A13437" t="s">
        <v>1876</v>
      </c>
      <c r="B13437" t="s">
        <v>388</v>
      </c>
      <c r="C13437" t="s">
        <v>307</v>
      </c>
      <c r="D13437">
        <v>38796</v>
      </c>
      <c r="E13437">
        <v>41741</v>
      </c>
      <c r="F13437">
        <v>42404</v>
      </c>
      <c r="G13437">
        <v>40834</v>
      </c>
    </row>
    <row r="13438" spans="1:7">
      <c r="A13438" t="s">
        <v>1876</v>
      </c>
      <c r="B13438" t="s">
        <v>388</v>
      </c>
      <c r="C13438" t="s">
        <v>308</v>
      </c>
      <c r="D13438">
        <v>43.3</v>
      </c>
      <c r="E13438">
        <v>45.9</v>
      </c>
      <c r="F13438">
        <v>46.2</v>
      </c>
      <c r="G13438">
        <v>44</v>
      </c>
    </row>
    <row r="13439" spans="1:7">
      <c r="A13439" t="s">
        <v>1876</v>
      </c>
      <c r="B13439" t="s">
        <v>388</v>
      </c>
      <c r="C13439" t="s">
        <v>309</v>
      </c>
      <c r="D13439">
        <v>79363</v>
      </c>
      <c r="E13439">
        <v>83141</v>
      </c>
      <c r="F13439">
        <v>83953</v>
      </c>
      <c r="G13439">
        <v>96590</v>
      </c>
    </row>
    <row r="13440" spans="1:7">
      <c r="A13440" t="s">
        <v>1876</v>
      </c>
      <c r="B13440" t="s">
        <v>388</v>
      </c>
      <c r="C13440" t="s">
        <v>310</v>
      </c>
      <c r="D13440">
        <v>162752</v>
      </c>
      <c r="E13440">
        <v>160829</v>
      </c>
      <c r="F13440">
        <v>160320</v>
      </c>
      <c r="G13440">
        <v>162054</v>
      </c>
    </row>
    <row r="13441" spans="1:7">
      <c r="A13441" t="s">
        <v>1876</v>
      </c>
      <c r="B13441" t="s">
        <v>388</v>
      </c>
      <c r="C13441" t="s">
        <v>311</v>
      </c>
      <c r="D13441">
        <v>181.6</v>
      </c>
      <c r="E13441">
        <v>176.9</v>
      </c>
      <c r="F13441">
        <v>174.7</v>
      </c>
      <c r="G13441">
        <v>174.8</v>
      </c>
    </row>
    <row r="13442" spans="1:7">
      <c r="A13442" t="s">
        <v>1876</v>
      </c>
      <c r="B13442" t="s">
        <v>388</v>
      </c>
      <c r="C13442" t="s">
        <v>312</v>
      </c>
      <c r="D13442">
        <v>44413</v>
      </c>
      <c r="E13442">
        <v>49303</v>
      </c>
      <c r="F13442">
        <v>47872</v>
      </c>
      <c r="G13442">
        <v>44217</v>
      </c>
    </row>
    <row r="13443" spans="1:7">
      <c r="A13443" t="s">
        <v>1876</v>
      </c>
      <c r="B13443" t="s">
        <v>388</v>
      </c>
      <c r="C13443" t="s">
        <v>313</v>
      </c>
      <c r="D13443">
        <v>49.6</v>
      </c>
      <c r="E13443">
        <v>54.2</v>
      </c>
      <c r="F13443">
        <v>52.2</v>
      </c>
      <c r="G13443">
        <v>47.7</v>
      </c>
    </row>
    <row r="13444" spans="1:7">
      <c r="A13444" t="s">
        <v>1876</v>
      </c>
      <c r="B13444" t="s">
        <v>388</v>
      </c>
      <c r="C13444" t="s">
        <v>314</v>
      </c>
      <c r="D13444">
        <v>348459</v>
      </c>
      <c r="E13444">
        <v>354014</v>
      </c>
      <c r="F13444">
        <v>349547</v>
      </c>
      <c r="G13444">
        <v>346813</v>
      </c>
    </row>
    <row r="13445" spans="1:7">
      <c r="A13445" t="s">
        <v>1876</v>
      </c>
      <c r="B13445" t="s">
        <v>388</v>
      </c>
      <c r="C13445" t="s">
        <v>315</v>
      </c>
      <c r="D13445">
        <v>6.22</v>
      </c>
      <c r="E13445">
        <v>6.41</v>
      </c>
      <c r="F13445">
        <v>6.11</v>
      </c>
      <c r="G13445">
        <v>6.01</v>
      </c>
    </row>
    <row r="13446" spans="1:7">
      <c r="A13446" t="s">
        <v>1876</v>
      </c>
      <c r="B13446" t="s">
        <v>388</v>
      </c>
      <c r="C13446" t="s">
        <v>316</v>
      </c>
      <c r="D13446">
        <v>388.8</v>
      </c>
      <c r="E13446">
        <v>389.4</v>
      </c>
      <c r="F13446">
        <v>380.9</v>
      </c>
      <c r="G13446">
        <v>374.1</v>
      </c>
    </row>
    <row r="13447" spans="1:7">
      <c r="A13447" t="s">
        <v>1876</v>
      </c>
      <c r="B13447" t="s">
        <v>388</v>
      </c>
      <c r="C13447" t="s">
        <v>317</v>
      </c>
      <c r="D13447">
        <v>348459</v>
      </c>
      <c r="E13447">
        <v>354013</v>
      </c>
      <c r="F13447">
        <v>349547</v>
      </c>
      <c r="G13447">
        <v>346813</v>
      </c>
    </row>
    <row r="13448" spans="1:7">
      <c r="A13448" t="s">
        <v>1876</v>
      </c>
      <c r="B13448" t="s">
        <v>388</v>
      </c>
      <c r="C13448" t="s">
        <v>318</v>
      </c>
      <c r="D13448">
        <v>102498</v>
      </c>
      <c r="E13448">
        <v>102141</v>
      </c>
      <c r="F13448">
        <v>98950</v>
      </c>
      <c r="G13448">
        <v>99707</v>
      </c>
    </row>
    <row r="13449" spans="1:7">
      <c r="A13449" t="s">
        <v>1876</v>
      </c>
      <c r="B13449" t="s">
        <v>388</v>
      </c>
      <c r="C13449" t="s">
        <v>319</v>
      </c>
      <c r="D13449">
        <v>32196</v>
      </c>
      <c r="E13449">
        <v>34621</v>
      </c>
      <c r="F13449">
        <v>34292</v>
      </c>
      <c r="G13449">
        <v>33684</v>
      </c>
    </row>
    <row r="13450" spans="1:7">
      <c r="A13450" t="s">
        <v>1876</v>
      </c>
      <c r="B13450" t="s">
        <v>388</v>
      </c>
      <c r="C13450" t="s">
        <v>320</v>
      </c>
      <c r="D13450">
        <v>158336</v>
      </c>
      <c r="E13450">
        <v>156202</v>
      </c>
      <c r="F13450">
        <v>155118</v>
      </c>
      <c r="G13450">
        <v>157360</v>
      </c>
    </row>
    <row r="13451" spans="1:7">
      <c r="A13451" t="s">
        <v>1876</v>
      </c>
      <c r="B13451" t="s">
        <v>388</v>
      </c>
      <c r="C13451" t="s">
        <v>321</v>
      </c>
      <c r="D13451">
        <v>37465</v>
      </c>
      <c r="E13451">
        <v>41625</v>
      </c>
      <c r="F13451">
        <v>39416</v>
      </c>
      <c r="G13451">
        <v>36985</v>
      </c>
    </row>
    <row r="13452" spans="1:7">
      <c r="A13452" t="s">
        <v>1876</v>
      </c>
      <c r="B13452" t="s">
        <v>388</v>
      </c>
      <c r="C13452" t="s">
        <v>1954</v>
      </c>
      <c r="D13452">
        <v>330496</v>
      </c>
      <c r="E13452">
        <v>334588</v>
      </c>
      <c r="F13452">
        <v>327775</v>
      </c>
      <c r="G13452">
        <v>327736</v>
      </c>
    </row>
    <row r="13453" spans="1:7">
      <c r="A13453" t="s">
        <v>1876</v>
      </c>
      <c r="B13453" t="s">
        <v>388</v>
      </c>
      <c r="C13453" t="s">
        <v>323</v>
      </c>
      <c r="D13453">
        <v>896</v>
      </c>
      <c r="E13453">
        <v>909</v>
      </c>
      <c r="F13453">
        <v>918</v>
      </c>
      <c r="G13453">
        <v>927</v>
      </c>
    </row>
    <row r="13454" spans="1:7">
      <c r="A13454" t="s">
        <v>1876</v>
      </c>
      <c r="B13454" t="s">
        <v>388</v>
      </c>
      <c r="C13454" t="s">
        <v>324</v>
      </c>
      <c r="D13454">
        <v>0</v>
      </c>
      <c r="E13454">
        <v>0</v>
      </c>
      <c r="F13454">
        <v>0</v>
      </c>
      <c r="G13454">
        <v>0</v>
      </c>
    </row>
    <row r="13455" spans="1:7">
      <c r="A13455" t="s">
        <v>1876</v>
      </c>
      <c r="B13455" t="s">
        <v>388</v>
      </c>
      <c r="C13455" t="s">
        <v>325</v>
      </c>
      <c r="D13455">
        <v>0</v>
      </c>
      <c r="E13455">
        <v>0</v>
      </c>
      <c r="F13455">
        <v>0</v>
      </c>
      <c r="G13455">
        <v>0</v>
      </c>
    </row>
    <row r="13456" spans="1:7">
      <c r="A13456" t="s">
        <v>1876</v>
      </c>
      <c r="B13456" t="s">
        <v>388</v>
      </c>
      <c r="C13456" t="s">
        <v>326</v>
      </c>
      <c r="D13456">
        <v>255</v>
      </c>
      <c r="E13456">
        <v>336</v>
      </c>
      <c r="F13456">
        <v>306</v>
      </c>
      <c r="G13456">
        <v>290</v>
      </c>
    </row>
    <row r="13457" spans="1:7">
      <c r="A13457" t="s">
        <v>1876</v>
      </c>
      <c r="B13457" t="s">
        <v>388</v>
      </c>
      <c r="C13457" t="s">
        <v>327</v>
      </c>
      <c r="D13457">
        <v>0</v>
      </c>
      <c r="E13457">
        <v>0</v>
      </c>
      <c r="F13457">
        <v>0</v>
      </c>
      <c r="G13457">
        <v>0</v>
      </c>
    </row>
    <row r="13458" spans="1:7">
      <c r="A13458" t="s">
        <v>1876</v>
      </c>
      <c r="B13458" t="s">
        <v>388</v>
      </c>
      <c r="C13458" t="s">
        <v>1723</v>
      </c>
      <c r="D13458">
        <v>5</v>
      </c>
      <c r="E13458">
        <v>5</v>
      </c>
      <c r="F13458">
        <v>5</v>
      </c>
      <c r="G13458">
        <v>5</v>
      </c>
    </row>
    <row r="13459" spans="1:7">
      <c r="A13459" t="s">
        <v>1876</v>
      </c>
      <c r="B13459" t="s">
        <v>388</v>
      </c>
      <c r="C13459" t="s">
        <v>328</v>
      </c>
      <c r="D13459">
        <v>1396</v>
      </c>
      <c r="E13459">
        <v>1308</v>
      </c>
      <c r="F13459">
        <v>1297</v>
      </c>
      <c r="G13459">
        <v>1581</v>
      </c>
    </row>
    <row r="13460" spans="1:7">
      <c r="A13460" t="s">
        <v>1876</v>
      </c>
      <c r="B13460" t="s">
        <v>388</v>
      </c>
      <c r="C13460" t="s">
        <v>329</v>
      </c>
      <c r="D13460">
        <v>1323</v>
      </c>
      <c r="E13460">
        <v>2201</v>
      </c>
      <c r="F13460">
        <v>1703</v>
      </c>
      <c r="G13460">
        <v>1514</v>
      </c>
    </row>
    <row r="13461" spans="1:7">
      <c r="A13461" t="s">
        <v>1876</v>
      </c>
      <c r="B13461" t="s">
        <v>388</v>
      </c>
      <c r="C13461" t="s">
        <v>330</v>
      </c>
      <c r="D13461">
        <v>2975</v>
      </c>
      <c r="E13461">
        <v>3845</v>
      </c>
      <c r="F13461">
        <v>3306</v>
      </c>
      <c r="G13461">
        <v>3385</v>
      </c>
    </row>
    <row r="13462" spans="1:7">
      <c r="A13462" t="s">
        <v>1876</v>
      </c>
      <c r="B13462" t="s">
        <v>388</v>
      </c>
      <c r="C13462" t="s">
        <v>331</v>
      </c>
      <c r="D13462">
        <v>0</v>
      </c>
      <c r="E13462">
        <v>0</v>
      </c>
      <c r="F13462">
        <v>0</v>
      </c>
      <c r="G13462">
        <v>0</v>
      </c>
    </row>
    <row r="13463" spans="1:7">
      <c r="A13463" t="s">
        <v>1876</v>
      </c>
      <c r="B13463" t="s">
        <v>388</v>
      </c>
      <c r="C13463" t="s">
        <v>332</v>
      </c>
      <c r="D13463">
        <v>0</v>
      </c>
      <c r="E13463">
        <v>0</v>
      </c>
      <c r="F13463">
        <v>0</v>
      </c>
      <c r="G13463">
        <v>0</v>
      </c>
    </row>
    <row r="13464" spans="1:7">
      <c r="A13464" t="s">
        <v>1876</v>
      </c>
      <c r="B13464" t="s">
        <v>388</v>
      </c>
      <c r="C13464" t="s">
        <v>1724</v>
      </c>
      <c r="D13464">
        <v>0</v>
      </c>
      <c r="E13464">
        <v>0</v>
      </c>
      <c r="F13464">
        <v>0</v>
      </c>
      <c r="G13464">
        <v>0</v>
      </c>
    </row>
    <row r="13465" spans="1:7">
      <c r="A13465" t="s">
        <v>1876</v>
      </c>
      <c r="B13465" t="s">
        <v>388</v>
      </c>
      <c r="C13465" t="s">
        <v>333</v>
      </c>
      <c r="D13465">
        <v>302</v>
      </c>
      <c r="E13465">
        <v>406</v>
      </c>
      <c r="F13465">
        <v>227</v>
      </c>
      <c r="G13465">
        <v>220</v>
      </c>
    </row>
    <row r="13466" spans="1:7">
      <c r="A13466" t="s">
        <v>1876</v>
      </c>
      <c r="B13466" t="s">
        <v>388</v>
      </c>
      <c r="C13466" t="s">
        <v>334</v>
      </c>
      <c r="D13466">
        <v>302</v>
      </c>
      <c r="E13466">
        <v>406</v>
      </c>
      <c r="F13466">
        <v>227</v>
      </c>
      <c r="G13466">
        <v>220</v>
      </c>
    </row>
    <row r="13467" spans="1:7">
      <c r="A13467" t="s">
        <v>1876</v>
      </c>
      <c r="B13467" t="s">
        <v>388</v>
      </c>
      <c r="C13467" t="s">
        <v>335</v>
      </c>
      <c r="D13467">
        <v>255</v>
      </c>
      <c r="E13467">
        <v>336</v>
      </c>
      <c r="F13467">
        <v>306</v>
      </c>
      <c r="G13467">
        <v>290</v>
      </c>
    </row>
    <row r="13468" spans="1:7">
      <c r="A13468" t="s">
        <v>1876</v>
      </c>
      <c r="B13468" t="s">
        <v>388</v>
      </c>
      <c r="C13468" t="s">
        <v>336</v>
      </c>
      <c r="D13468">
        <v>0</v>
      </c>
      <c r="E13468">
        <v>0</v>
      </c>
      <c r="F13468">
        <v>0</v>
      </c>
      <c r="G13468">
        <v>0</v>
      </c>
    </row>
    <row r="13469" spans="1:7">
      <c r="A13469" t="s">
        <v>1876</v>
      </c>
      <c r="B13469" t="s">
        <v>388</v>
      </c>
      <c r="C13469" t="s">
        <v>337</v>
      </c>
      <c r="D13469">
        <v>1698</v>
      </c>
      <c r="E13469">
        <v>1714</v>
      </c>
      <c r="F13469">
        <v>1524</v>
      </c>
      <c r="G13469">
        <v>1801</v>
      </c>
    </row>
    <row r="13470" spans="1:7">
      <c r="A13470" t="s">
        <v>1876</v>
      </c>
      <c r="B13470" t="s">
        <v>388</v>
      </c>
      <c r="C13470" t="s">
        <v>338</v>
      </c>
      <c r="D13470">
        <v>3276</v>
      </c>
      <c r="E13470">
        <v>4252</v>
      </c>
      <c r="F13470">
        <v>3533</v>
      </c>
      <c r="G13470">
        <v>3605</v>
      </c>
    </row>
    <row r="13471" spans="1:7">
      <c r="A13471" t="s">
        <v>1876</v>
      </c>
      <c r="B13471" t="s">
        <v>388</v>
      </c>
      <c r="C13471" t="s">
        <v>339</v>
      </c>
      <c r="D13471">
        <v>3276</v>
      </c>
      <c r="E13471">
        <v>4252</v>
      </c>
      <c r="F13471">
        <v>3533</v>
      </c>
      <c r="G13471">
        <v>3605</v>
      </c>
    </row>
    <row r="13472" spans="1:7">
      <c r="A13472" t="s">
        <v>1876</v>
      </c>
      <c r="B13472" t="s">
        <v>388</v>
      </c>
      <c r="C13472" t="s">
        <v>340</v>
      </c>
      <c r="D13472">
        <v>26</v>
      </c>
      <c r="E13472">
        <v>27</v>
      </c>
      <c r="F13472">
        <v>18</v>
      </c>
      <c r="G13472">
        <v>23</v>
      </c>
    </row>
    <row r="13473" spans="1:7">
      <c r="A13473" t="s">
        <v>1876</v>
      </c>
      <c r="B13473" t="s">
        <v>388</v>
      </c>
      <c r="C13473" t="s">
        <v>1955</v>
      </c>
      <c r="D13473">
        <v>39.700000000000003</v>
      </c>
      <c r="E13473">
        <v>42.5</v>
      </c>
      <c r="F13473">
        <v>37.9</v>
      </c>
      <c r="G13473">
        <v>39.799999999999997</v>
      </c>
    </row>
    <row r="13474" spans="1:7">
      <c r="A13474" t="s">
        <v>1876</v>
      </c>
      <c r="B13474" t="s">
        <v>388</v>
      </c>
      <c r="C13474" t="s">
        <v>341</v>
      </c>
      <c r="D13474">
        <v>0</v>
      </c>
      <c r="E13474">
        <v>0</v>
      </c>
      <c r="F13474">
        <v>0</v>
      </c>
      <c r="G13474">
        <v>0</v>
      </c>
    </row>
    <row r="13475" spans="1:7">
      <c r="A13475" t="s">
        <v>1876</v>
      </c>
      <c r="B13475" t="s">
        <v>388</v>
      </c>
      <c r="C13475" t="s">
        <v>342</v>
      </c>
      <c r="D13475">
        <v>31822</v>
      </c>
      <c r="E13475">
        <v>35127</v>
      </c>
      <c r="F13475">
        <v>31989</v>
      </c>
      <c r="G13475">
        <v>41196</v>
      </c>
    </row>
    <row r="13476" spans="1:7">
      <c r="A13476" t="s">
        <v>1876</v>
      </c>
      <c r="B13476" t="s">
        <v>388</v>
      </c>
      <c r="C13476" t="s">
        <v>1725</v>
      </c>
      <c r="D13476">
        <v>2767</v>
      </c>
      <c r="E13476">
        <v>2767</v>
      </c>
      <c r="F13476">
        <v>3165</v>
      </c>
      <c r="G13476">
        <v>3450</v>
      </c>
    </row>
    <row r="13477" spans="1:7">
      <c r="A13477" t="s">
        <v>1876</v>
      </c>
      <c r="B13477" t="s">
        <v>388</v>
      </c>
      <c r="C13477" t="s">
        <v>343</v>
      </c>
      <c r="D13477">
        <v>0</v>
      </c>
      <c r="E13477">
        <v>0</v>
      </c>
      <c r="F13477">
        <v>0</v>
      </c>
      <c r="G13477">
        <v>0</v>
      </c>
    </row>
    <row r="13478" spans="1:7">
      <c r="A13478" t="s">
        <v>1876</v>
      </c>
      <c r="B13478" t="s">
        <v>388</v>
      </c>
      <c r="C13478" t="s">
        <v>344</v>
      </c>
      <c r="D13478">
        <v>31822</v>
      </c>
      <c r="E13478">
        <v>35127</v>
      </c>
      <c r="F13478">
        <v>31989</v>
      </c>
      <c r="G13478">
        <v>41196</v>
      </c>
    </row>
    <row r="13479" spans="1:7">
      <c r="A13479" t="s">
        <v>1876</v>
      </c>
      <c r="B13479" t="s">
        <v>388</v>
      </c>
      <c r="C13479" t="s">
        <v>345</v>
      </c>
      <c r="D13479">
        <v>0</v>
      </c>
      <c r="E13479">
        <v>0</v>
      </c>
      <c r="F13479">
        <v>0</v>
      </c>
      <c r="G13479">
        <v>0</v>
      </c>
    </row>
    <row r="13480" spans="1:7">
      <c r="A13480" t="s">
        <v>1876</v>
      </c>
      <c r="B13480" t="s">
        <v>388</v>
      </c>
      <c r="C13480" t="s">
        <v>1956</v>
      </c>
      <c r="D13480">
        <v>0</v>
      </c>
      <c r="E13480">
        <v>0</v>
      </c>
      <c r="F13480">
        <v>0</v>
      </c>
      <c r="G13480">
        <v>0</v>
      </c>
    </row>
    <row r="13481" spans="1:7">
      <c r="A13481" t="s">
        <v>1876</v>
      </c>
      <c r="B13481" t="s">
        <v>388</v>
      </c>
      <c r="C13481" t="s">
        <v>1957</v>
      </c>
      <c r="D13481">
        <v>302</v>
      </c>
      <c r="E13481">
        <v>406</v>
      </c>
      <c r="F13481">
        <v>227</v>
      </c>
      <c r="G13481">
        <v>220</v>
      </c>
    </row>
    <row r="13482" spans="1:7">
      <c r="A13482" t="s">
        <v>1876</v>
      </c>
      <c r="B13482" t="s">
        <v>388</v>
      </c>
      <c r="C13482" t="s">
        <v>346</v>
      </c>
      <c r="D13482">
        <v>910</v>
      </c>
      <c r="E13482">
        <v>840</v>
      </c>
      <c r="F13482">
        <v>806</v>
      </c>
      <c r="G13482">
        <v>759</v>
      </c>
    </row>
    <row r="13483" spans="1:7">
      <c r="A13483" t="s">
        <v>1876</v>
      </c>
      <c r="B13483" t="s">
        <v>388</v>
      </c>
      <c r="C13483" t="s">
        <v>347</v>
      </c>
      <c r="D13483">
        <v>7036</v>
      </c>
      <c r="E13483">
        <v>7954</v>
      </c>
      <c r="F13483">
        <v>7369</v>
      </c>
      <c r="G13483">
        <v>6803</v>
      </c>
    </row>
    <row r="13484" spans="1:7">
      <c r="A13484" t="s">
        <v>1876</v>
      </c>
      <c r="B13484" t="s">
        <v>389</v>
      </c>
      <c r="C13484" t="s">
        <v>133</v>
      </c>
      <c r="D13484">
        <v>-8</v>
      </c>
      <c r="E13484">
        <v>-6</v>
      </c>
      <c r="F13484">
        <v>-6</v>
      </c>
      <c r="G13484">
        <v>-10</v>
      </c>
    </row>
    <row r="13485" spans="1:7">
      <c r="A13485" t="s">
        <v>1876</v>
      </c>
      <c r="B13485" t="s">
        <v>389</v>
      </c>
      <c r="C13485" t="s">
        <v>134</v>
      </c>
      <c r="D13485">
        <v>20278</v>
      </c>
      <c r="E13485">
        <v>19260</v>
      </c>
      <c r="F13485">
        <v>20561</v>
      </c>
      <c r="G13485">
        <v>21617</v>
      </c>
    </row>
    <row r="13486" spans="1:7">
      <c r="A13486" t="s">
        <v>1876</v>
      </c>
      <c r="B13486" t="s">
        <v>389</v>
      </c>
      <c r="C13486" t="s">
        <v>135</v>
      </c>
      <c r="D13486">
        <v>20278</v>
      </c>
      <c r="E13486">
        <v>19260</v>
      </c>
      <c r="F13486">
        <v>20561</v>
      </c>
      <c r="G13486">
        <v>21617</v>
      </c>
    </row>
    <row r="13487" spans="1:7">
      <c r="A13487" t="s">
        <v>1876</v>
      </c>
      <c r="B13487" t="s">
        <v>389</v>
      </c>
      <c r="C13487" t="s">
        <v>136</v>
      </c>
      <c r="D13487">
        <v>20278</v>
      </c>
      <c r="E13487">
        <v>19260</v>
      </c>
      <c r="F13487">
        <v>20561</v>
      </c>
      <c r="G13487">
        <v>21617</v>
      </c>
    </row>
    <row r="13488" spans="1:7">
      <c r="A13488" t="s">
        <v>1876</v>
      </c>
      <c r="B13488" t="s">
        <v>389</v>
      </c>
      <c r="C13488" t="s">
        <v>137</v>
      </c>
      <c r="D13488">
        <v>503</v>
      </c>
      <c r="E13488">
        <v>520</v>
      </c>
      <c r="F13488">
        <v>494</v>
      </c>
      <c r="G13488">
        <v>531</v>
      </c>
    </row>
    <row r="13489" spans="1:7">
      <c r="A13489" t="s">
        <v>1876</v>
      </c>
      <c r="B13489" t="s">
        <v>389</v>
      </c>
      <c r="C13489" t="s">
        <v>138</v>
      </c>
      <c r="D13489">
        <v>503</v>
      </c>
      <c r="E13489">
        <v>520</v>
      </c>
      <c r="F13489">
        <v>494</v>
      </c>
      <c r="G13489">
        <v>531</v>
      </c>
    </row>
    <row r="13490" spans="1:7">
      <c r="A13490" t="s">
        <v>1876</v>
      </c>
      <c r="B13490" t="s">
        <v>389</v>
      </c>
      <c r="C13490" t="s">
        <v>139</v>
      </c>
      <c r="D13490">
        <v>503</v>
      </c>
      <c r="E13490">
        <v>520</v>
      </c>
      <c r="F13490">
        <v>494</v>
      </c>
      <c r="G13490">
        <v>531</v>
      </c>
    </row>
    <row r="13491" spans="1:7">
      <c r="A13491" t="s">
        <v>1876</v>
      </c>
      <c r="B13491" t="s">
        <v>389</v>
      </c>
      <c r="C13491" t="s">
        <v>1877</v>
      </c>
      <c r="D13491">
        <v>0</v>
      </c>
      <c r="E13491">
        <v>0</v>
      </c>
      <c r="F13491">
        <v>0</v>
      </c>
      <c r="G13491">
        <v>0</v>
      </c>
    </row>
    <row r="13492" spans="1:7">
      <c r="A13492" t="s">
        <v>1876</v>
      </c>
      <c r="B13492" t="s">
        <v>389</v>
      </c>
      <c r="C13492" t="s">
        <v>1700</v>
      </c>
      <c r="D13492">
        <v>0</v>
      </c>
      <c r="E13492">
        <v>0</v>
      </c>
      <c r="F13492">
        <v>0</v>
      </c>
      <c r="G13492">
        <v>0</v>
      </c>
    </row>
    <row r="13493" spans="1:7">
      <c r="A13493" t="s">
        <v>1876</v>
      </c>
      <c r="B13493" t="s">
        <v>389</v>
      </c>
      <c r="C13493" t="s">
        <v>1878</v>
      </c>
      <c r="D13493">
        <v>0</v>
      </c>
      <c r="E13493">
        <v>0</v>
      </c>
      <c r="F13493">
        <v>0</v>
      </c>
      <c r="G13493">
        <v>0</v>
      </c>
    </row>
    <row r="13494" spans="1:7">
      <c r="A13494" t="s">
        <v>1876</v>
      </c>
      <c r="B13494" t="s">
        <v>389</v>
      </c>
      <c r="C13494" t="s">
        <v>1879</v>
      </c>
      <c r="D13494">
        <v>0</v>
      </c>
      <c r="E13494">
        <v>0</v>
      </c>
      <c r="F13494">
        <v>0</v>
      </c>
      <c r="G13494">
        <v>0</v>
      </c>
    </row>
    <row r="13495" spans="1:7">
      <c r="A13495" t="s">
        <v>1876</v>
      </c>
      <c r="B13495" t="s">
        <v>389</v>
      </c>
      <c r="C13495" t="s">
        <v>1701</v>
      </c>
      <c r="D13495">
        <v>0</v>
      </c>
      <c r="E13495">
        <v>0</v>
      </c>
      <c r="F13495">
        <v>0</v>
      </c>
      <c r="G13495">
        <v>0</v>
      </c>
    </row>
    <row r="13496" spans="1:7">
      <c r="A13496" t="s">
        <v>1876</v>
      </c>
      <c r="B13496" t="s">
        <v>389</v>
      </c>
      <c r="C13496" t="s">
        <v>1880</v>
      </c>
      <c r="D13496">
        <v>1664</v>
      </c>
      <c r="E13496">
        <v>1517</v>
      </c>
      <c r="F13496">
        <v>1812</v>
      </c>
      <c r="G13496">
        <v>1728</v>
      </c>
    </row>
    <row r="13497" spans="1:7">
      <c r="A13497" t="s">
        <v>1876</v>
      </c>
      <c r="B13497" t="s">
        <v>389</v>
      </c>
      <c r="C13497" t="s">
        <v>140</v>
      </c>
      <c r="D13497">
        <v>3909</v>
      </c>
      <c r="E13497">
        <v>3666</v>
      </c>
      <c r="F13497">
        <v>4888</v>
      </c>
      <c r="G13497">
        <v>4927</v>
      </c>
    </row>
    <row r="13498" spans="1:7">
      <c r="A13498" t="s">
        <v>1876</v>
      </c>
      <c r="B13498" t="s">
        <v>389</v>
      </c>
      <c r="C13498" t="s">
        <v>1881</v>
      </c>
      <c r="D13498">
        <v>2246</v>
      </c>
      <c r="E13498">
        <v>2149</v>
      </c>
      <c r="F13498">
        <v>3076</v>
      </c>
      <c r="G13498">
        <v>3198</v>
      </c>
    </row>
    <row r="13499" spans="1:7">
      <c r="A13499" t="s">
        <v>1876</v>
      </c>
      <c r="B13499" t="s">
        <v>389</v>
      </c>
      <c r="C13499" t="s">
        <v>1882</v>
      </c>
      <c r="D13499">
        <v>0</v>
      </c>
      <c r="E13499">
        <v>0</v>
      </c>
      <c r="F13499">
        <v>0</v>
      </c>
      <c r="G13499">
        <v>0</v>
      </c>
    </row>
    <row r="13500" spans="1:7">
      <c r="A13500" t="s">
        <v>1876</v>
      </c>
      <c r="B13500" t="s">
        <v>389</v>
      </c>
      <c r="C13500" t="s">
        <v>1883</v>
      </c>
      <c r="D13500">
        <v>0</v>
      </c>
      <c r="E13500">
        <v>0</v>
      </c>
      <c r="F13500">
        <v>0</v>
      </c>
      <c r="G13500">
        <v>0</v>
      </c>
    </row>
    <row r="13501" spans="1:7">
      <c r="A13501" t="s">
        <v>1876</v>
      </c>
      <c r="B13501" t="s">
        <v>389</v>
      </c>
      <c r="C13501" t="s">
        <v>1884</v>
      </c>
      <c r="D13501">
        <v>0</v>
      </c>
      <c r="E13501">
        <v>0</v>
      </c>
      <c r="F13501">
        <v>0</v>
      </c>
      <c r="G13501">
        <v>0</v>
      </c>
    </row>
    <row r="13502" spans="1:7">
      <c r="A13502" t="s">
        <v>1876</v>
      </c>
      <c r="B13502" t="s">
        <v>389</v>
      </c>
      <c r="C13502" t="s">
        <v>1885</v>
      </c>
      <c r="D13502">
        <v>0</v>
      </c>
      <c r="E13502">
        <v>0</v>
      </c>
      <c r="F13502">
        <v>0</v>
      </c>
      <c r="G13502">
        <v>0</v>
      </c>
    </row>
    <row r="13503" spans="1:7">
      <c r="A13503" t="s">
        <v>1876</v>
      </c>
      <c r="B13503" t="s">
        <v>389</v>
      </c>
      <c r="C13503" t="s">
        <v>1886</v>
      </c>
      <c r="D13503">
        <v>0</v>
      </c>
      <c r="E13503">
        <v>0</v>
      </c>
      <c r="F13503">
        <v>0</v>
      </c>
      <c r="G13503">
        <v>0</v>
      </c>
    </row>
    <row r="13504" spans="1:7">
      <c r="A13504" t="s">
        <v>1876</v>
      </c>
      <c r="B13504" t="s">
        <v>389</v>
      </c>
      <c r="C13504" t="s">
        <v>141</v>
      </c>
      <c r="D13504">
        <v>57</v>
      </c>
      <c r="E13504">
        <v>56</v>
      </c>
      <c r="F13504">
        <v>56</v>
      </c>
      <c r="G13504">
        <v>56</v>
      </c>
    </row>
    <row r="13505" spans="1:7">
      <c r="A13505" t="s">
        <v>1876</v>
      </c>
      <c r="B13505" t="s">
        <v>389</v>
      </c>
      <c r="C13505" t="s">
        <v>1887</v>
      </c>
      <c r="D13505">
        <v>0</v>
      </c>
      <c r="E13505">
        <v>0</v>
      </c>
      <c r="F13505">
        <v>0</v>
      </c>
      <c r="G13505">
        <v>0</v>
      </c>
    </row>
    <row r="13506" spans="1:7">
      <c r="A13506" t="s">
        <v>1876</v>
      </c>
      <c r="B13506" t="s">
        <v>389</v>
      </c>
      <c r="C13506" t="s">
        <v>1888</v>
      </c>
      <c r="D13506">
        <v>0</v>
      </c>
      <c r="E13506">
        <v>0</v>
      </c>
      <c r="F13506">
        <v>0</v>
      </c>
      <c r="G13506">
        <v>0</v>
      </c>
    </row>
    <row r="13507" spans="1:7">
      <c r="A13507" t="s">
        <v>1876</v>
      </c>
      <c r="B13507" t="s">
        <v>389</v>
      </c>
      <c r="C13507" t="s">
        <v>1889</v>
      </c>
      <c r="D13507">
        <v>1664</v>
      </c>
      <c r="E13507">
        <v>1517</v>
      </c>
      <c r="F13507">
        <v>1812</v>
      </c>
      <c r="G13507">
        <v>1728</v>
      </c>
    </row>
    <row r="13508" spans="1:7">
      <c r="A13508" t="s">
        <v>1876</v>
      </c>
      <c r="B13508" t="s">
        <v>389</v>
      </c>
      <c r="C13508" t="s">
        <v>1890</v>
      </c>
      <c r="D13508">
        <v>0</v>
      </c>
      <c r="E13508">
        <v>0</v>
      </c>
      <c r="F13508">
        <v>0</v>
      </c>
      <c r="G13508">
        <v>0</v>
      </c>
    </row>
    <row r="13509" spans="1:7">
      <c r="A13509" t="s">
        <v>1876</v>
      </c>
      <c r="B13509" t="s">
        <v>389</v>
      </c>
      <c r="C13509" t="s">
        <v>1891</v>
      </c>
    </row>
    <row r="13510" spans="1:7">
      <c r="A13510" t="s">
        <v>1876</v>
      </c>
      <c r="B13510" t="s">
        <v>389</v>
      </c>
      <c r="C13510" t="s">
        <v>1892</v>
      </c>
      <c r="D13510">
        <v>2246</v>
      </c>
      <c r="E13510">
        <v>2149</v>
      </c>
      <c r="F13510">
        <v>3076</v>
      </c>
      <c r="G13510">
        <v>3198</v>
      </c>
    </row>
    <row r="13511" spans="1:7">
      <c r="A13511" t="s">
        <v>1876</v>
      </c>
      <c r="B13511" t="s">
        <v>389</v>
      </c>
      <c r="C13511" t="s">
        <v>142</v>
      </c>
      <c r="D13511">
        <v>3909</v>
      </c>
      <c r="E13511">
        <v>3666</v>
      </c>
      <c r="F13511">
        <v>4888</v>
      </c>
      <c r="G13511">
        <v>4927</v>
      </c>
    </row>
    <row r="13512" spans="1:7">
      <c r="A13512" t="s">
        <v>1876</v>
      </c>
      <c r="B13512" t="s">
        <v>389</v>
      </c>
      <c r="C13512" t="s">
        <v>1893</v>
      </c>
      <c r="D13512">
        <v>3909</v>
      </c>
      <c r="E13512">
        <v>3666</v>
      </c>
      <c r="F13512">
        <v>4888</v>
      </c>
      <c r="G13512">
        <v>4927</v>
      </c>
    </row>
    <row r="13513" spans="1:7">
      <c r="A13513" t="s">
        <v>1876</v>
      </c>
      <c r="B13513" t="s">
        <v>389</v>
      </c>
      <c r="C13513" t="s">
        <v>1894</v>
      </c>
      <c r="D13513">
        <v>2246</v>
      </c>
      <c r="E13513">
        <v>2149</v>
      </c>
      <c r="F13513">
        <v>3076</v>
      </c>
      <c r="G13513">
        <v>3198</v>
      </c>
    </row>
    <row r="13514" spans="1:7">
      <c r="A13514" t="s">
        <v>1876</v>
      </c>
      <c r="B13514" t="s">
        <v>389</v>
      </c>
      <c r="C13514" t="s">
        <v>143</v>
      </c>
      <c r="D13514">
        <v>9266</v>
      </c>
      <c r="E13514">
        <v>8569</v>
      </c>
      <c r="F13514">
        <v>8430</v>
      </c>
      <c r="G13514">
        <v>8591</v>
      </c>
    </row>
    <row r="13515" spans="1:7">
      <c r="A13515" t="s">
        <v>1876</v>
      </c>
      <c r="B13515" t="s">
        <v>389</v>
      </c>
      <c r="C13515" t="s">
        <v>144</v>
      </c>
      <c r="D13515">
        <v>41088</v>
      </c>
      <c r="E13515">
        <v>40375</v>
      </c>
      <c r="F13515">
        <v>42145</v>
      </c>
      <c r="G13515">
        <v>42206</v>
      </c>
    </row>
    <row r="13516" spans="1:7">
      <c r="A13516" t="s">
        <v>1876</v>
      </c>
      <c r="B13516" t="s">
        <v>389</v>
      </c>
      <c r="C13516" t="s">
        <v>1895</v>
      </c>
      <c r="D13516">
        <v>48.4</v>
      </c>
      <c r="E13516">
        <v>39</v>
      </c>
      <c r="F13516">
        <v>36.700000000000003</v>
      </c>
      <c r="G13516">
        <v>64.400000000000006</v>
      </c>
    </row>
    <row r="13517" spans="1:7">
      <c r="A13517" t="s">
        <v>1876</v>
      </c>
      <c r="B13517" t="s">
        <v>389</v>
      </c>
      <c r="C13517" t="s">
        <v>145</v>
      </c>
      <c r="D13517">
        <v>96952</v>
      </c>
      <c r="E13517">
        <v>85112</v>
      </c>
      <c r="F13517">
        <v>87230</v>
      </c>
      <c r="G13517">
        <v>88806</v>
      </c>
    </row>
    <row r="13518" spans="1:7">
      <c r="A13518" t="s">
        <v>1876</v>
      </c>
      <c r="B13518" t="s">
        <v>389</v>
      </c>
      <c r="C13518" t="s">
        <v>146</v>
      </c>
      <c r="D13518">
        <v>0</v>
      </c>
      <c r="E13518">
        <v>0</v>
      </c>
      <c r="F13518">
        <v>0</v>
      </c>
      <c r="G13518">
        <v>0</v>
      </c>
    </row>
    <row r="13519" spans="1:7">
      <c r="A13519" t="s">
        <v>1876</v>
      </c>
      <c r="B13519" t="s">
        <v>389</v>
      </c>
      <c r="C13519" t="s">
        <v>147</v>
      </c>
      <c r="D13519">
        <v>0</v>
      </c>
      <c r="E13519">
        <v>0</v>
      </c>
      <c r="F13519">
        <v>0</v>
      </c>
      <c r="G13519">
        <v>0</v>
      </c>
    </row>
    <row r="13520" spans="1:7">
      <c r="A13520" t="s">
        <v>1876</v>
      </c>
      <c r="B13520" t="s">
        <v>389</v>
      </c>
      <c r="C13520" t="s">
        <v>1896</v>
      </c>
      <c r="D13520">
        <v>0</v>
      </c>
      <c r="E13520">
        <v>0</v>
      </c>
      <c r="F13520">
        <v>0</v>
      </c>
      <c r="G13520">
        <v>0</v>
      </c>
    </row>
    <row r="13521" spans="1:7">
      <c r="A13521" t="s">
        <v>1876</v>
      </c>
      <c r="B13521" t="s">
        <v>389</v>
      </c>
      <c r="C13521" t="s">
        <v>1702</v>
      </c>
      <c r="D13521">
        <v>0</v>
      </c>
      <c r="E13521">
        <v>0</v>
      </c>
      <c r="F13521">
        <v>0</v>
      </c>
      <c r="G13521">
        <v>0</v>
      </c>
    </row>
    <row r="13522" spans="1:7">
      <c r="A13522" t="s">
        <v>1876</v>
      </c>
      <c r="B13522" t="s">
        <v>389</v>
      </c>
      <c r="C13522" t="s">
        <v>1897</v>
      </c>
      <c r="D13522">
        <v>11.8</v>
      </c>
      <c r="E13522">
        <v>18.5</v>
      </c>
      <c r="F13522">
        <v>31.8</v>
      </c>
      <c r="G13522">
        <v>41.2</v>
      </c>
    </row>
    <row r="13523" spans="1:7">
      <c r="A13523" t="s">
        <v>1876</v>
      </c>
      <c r="B13523" t="s">
        <v>389</v>
      </c>
      <c r="C13523" t="s">
        <v>1898</v>
      </c>
      <c r="D13523">
        <v>20</v>
      </c>
      <c r="E13523">
        <v>34</v>
      </c>
      <c r="F13523">
        <v>98</v>
      </c>
      <c r="G13523">
        <v>145</v>
      </c>
    </row>
    <row r="13524" spans="1:7">
      <c r="A13524" t="s">
        <v>1876</v>
      </c>
      <c r="B13524" t="s">
        <v>389</v>
      </c>
      <c r="C13524" t="s">
        <v>1899</v>
      </c>
      <c r="D13524">
        <v>2246</v>
      </c>
      <c r="E13524">
        <v>2149</v>
      </c>
      <c r="F13524">
        <v>3076</v>
      </c>
      <c r="G13524">
        <v>3198</v>
      </c>
    </row>
    <row r="13525" spans="1:7">
      <c r="A13525" t="s">
        <v>1876</v>
      </c>
      <c r="B13525" t="s">
        <v>389</v>
      </c>
      <c r="C13525" t="s">
        <v>148</v>
      </c>
      <c r="D13525">
        <v>0</v>
      </c>
      <c r="E13525">
        <v>0</v>
      </c>
      <c r="F13525">
        <v>0</v>
      </c>
      <c r="G13525">
        <v>0</v>
      </c>
    </row>
    <row r="13526" spans="1:7">
      <c r="A13526" t="s">
        <v>1876</v>
      </c>
      <c r="B13526" t="s">
        <v>389</v>
      </c>
      <c r="C13526" t="s">
        <v>149</v>
      </c>
      <c r="D13526">
        <v>0</v>
      </c>
      <c r="E13526">
        <v>0</v>
      </c>
      <c r="F13526">
        <v>0</v>
      </c>
      <c r="G13526">
        <v>0</v>
      </c>
    </row>
    <row r="13527" spans="1:7">
      <c r="A13527" t="s">
        <v>1876</v>
      </c>
      <c r="B13527" t="s">
        <v>389</v>
      </c>
      <c r="C13527" t="s">
        <v>150</v>
      </c>
      <c r="D13527">
        <v>0</v>
      </c>
      <c r="E13527">
        <v>0</v>
      </c>
      <c r="F13527">
        <v>0</v>
      </c>
      <c r="G13527">
        <v>0</v>
      </c>
    </row>
    <row r="13528" spans="1:7">
      <c r="A13528" t="s">
        <v>1876</v>
      </c>
      <c r="B13528" t="s">
        <v>389</v>
      </c>
      <c r="C13528" t="s">
        <v>1900</v>
      </c>
      <c r="D13528">
        <v>36.6</v>
      </c>
      <c r="E13528">
        <v>31.8</v>
      </c>
      <c r="F13528">
        <v>33.1</v>
      </c>
      <c r="G13528">
        <v>42.8</v>
      </c>
    </row>
    <row r="13529" spans="1:7">
      <c r="A13529" t="s">
        <v>1876</v>
      </c>
      <c r="B13529" t="s">
        <v>389</v>
      </c>
      <c r="C13529" t="s">
        <v>151</v>
      </c>
      <c r="D13529">
        <v>0</v>
      </c>
      <c r="E13529">
        <v>0</v>
      </c>
      <c r="F13529">
        <v>0</v>
      </c>
      <c r="G13529">
        <v>0</v>
      </c>
    </row>
    <row r="13530" spans="1:7">
      <c r="A13530" t="s">
        <v>1876</v>
      </c>
      <c r="B13530" t="s">
        <v>389</v>
      </c>
      <c r="C13530" t="s">
        <v>152</v>
      </c>
      <c r="D13530">
        <v>195203</v>
      </c>
      <c r="E13530">
        <v>177194</v>
      </c>
      <c r="F13530">
        <v>173392</v>
      </c>
      <c r="G13530">
        <v>182559</v>
      </c>
    </row>
    <row r="13531" spans="1:7">
      <c r="A13531" t="s">
        <v>1876</v>
      </c>
      <c r="B13531" t="s">
        <v>389</v>
      </c>
      <c r="C13531" t="s">
        <v>1703</v>
      </c>
      <c r="D13531">
        <v>5840</v>
      </c>
      <c r="E13531">
        <v>5820</v>
      </c>
      <c r="F13531">
        <v>4955</v>
      </c>
      <c r="G13531">
        <v>4704</v>
      </c>
    </row>
    <row r="13532" spans="1:7">
      <c r="A13532" t="s">
        <v>1876</v>
      </c>
      <c r="B13532" t="s">
        <v>389</v>
      </c>
      <c r="C13532" t="s">
        <v>153</v>
      </c>
      <c r="D13532">
        <v>30581</v>
      </c>
      <c r="E13532">
        <v>27531</v>
      </c>
      <c r="F13532">
        <v>28974</v>
      </c>
      <c r="G13532">
        <v>30159</v>
      </c>
    </row>
    <row r="13533" spans="1:7">
      <c r="A13533" t="s">
        <v>1876</v>
      </c>
      <c r="B13533" t="s">
        <v>389</v>
      </c>
      <c r="C13533" t="s">
        <v>154</v>
      </c>
      <c r="D13533">
        <v>0</v>
      </c>
      <c r="E13533">
        <v>0</v>
      </c>
      <c r="F13533">
        <v>0</v>
      </c>
      <c r="G13533">
        <v>0</v>
      </c>
    </row>
    <row r="13534" spans="1:7">
      <c r="A13534" t="s">
        <v>1876</v>
      </c>
      <c r="B13534" t="s">
        <v>389</v>
      </c>
      <c r="C13534" t="s">
        <v>155</v>
      </c>
      <c r="D13534">
        <v>30581</v>
      </c>
      <c r="E13534">
        <v>27531</v>
      </c>
      <c r="F13534">
        <v>28974</v>
      </c>
      <c r="G13534">
        <v>30159</v>
      </c>
    </row>
    <row r="13535" spans="1:7">
      <c r="A13535" t="s">
        <v>1876</v>
      </c>
      <c r="B13535" t="s">
        <v>389</v>
      </c>
      <c r="C13535" t="s">
        <v>156</v>
      </c>
      <c r="D13535">
        <v>0</v>
      </c>
      <c r="E13535">
        <v>0</v>
      </c>
      <c r="F13535">
        <v>0</v>
      </c>
      <c r="G13535">
        <v>0</v>
      </c>
    </row>
    <row r="13536" spans="1:7">
      <c r="A13536" t="s">
        <v>1876</v>
      </c>
      <c r="B13536" t="s">
        <v>389</v>
      </c>
      <c r="C13536" t="s">
        <v>157</v>
      </c>
      <c r="D13536">
        <v>225784</v>
      </c>
      <c r="E13536">
        <v>204725</v>
      </c>
      <c r="F13536">
        <v>202367</v>
      </c>
      <c r="G13536">
        <v>212717</v>
      </c>
    </row>
    <row r="13537" spans="1:7">
      <c r="A13537" t="s">
        <v>1876</v>
      </c>
      <c r="B13537" t="s">
        <v>389</v>
      </c>
      <c r="C13537" t="s">
        <v>158</v>
      </c>
      <c r="D13537">
        <v>30581</v>
      </c>
      <c r="E13537">
        <v>27531</v>
      </c>
      <c r="F13537">
        <v>28974</v>
      </c>
      <c r="G13537">
        <v>30159</v>
      </c>
    </row>
    <row r="13538" spans="1:7">
      <c r="A13538" t="s">
        <v>1876</v>
      </c>
      <c r="B13538" t="s">
        <v>389</v>
      </c>
      <c r="C13538" t="s">
        <v>159</v>
      </c>
      <c r="D13538">
        <v>0</v>
      </c>
      <c r="E13538">
        <v>0</v>
      </c>
      <c r="F13538">
        <v>0</v>
      </c>
      <c r="G13538">
        <v>0</v>
      </c>
    </row>
    <row r="13539" spans="1:7">
      <c r="A13539" t="s">
        <v>1876</v>
      </c>
      <c r="B13539" t="s">
        <v>389</v>
      </c>
      <c r="C13539" t="s">
        <v>1901</v>
      </c>
      <c r="D13539">
        <v>50.7</v>
      </c>
      <c r="E13539">
        <v>62.7</v>
      </c>
      <c r="F13539">
        <v>60.3</v>
      </c>
      <c r="G13539">
        <v>64.5</v>
      </c>
    </row>
    <row r="13540" spans="1:7">
      <c r="A13540" t="s">
        <v>1876</v>
      </c>
      <c r="B13540" t="s">
        <v>389</v>
      </c>
      <c r="C13540" t="s">
        <v>1902</v>
      </c>
      <c r="D13540">
        <v>161309</v>
      </c>
      <c r="E13540">
        <v>163748</v>
      </c>
      <c r="F13540">
        <v>159219</v>
      </c>
      <c r="G13540">
        <v>153314</v>
      </c>
    </row>
    <row r="13541" spans="1:7">
      <c r="A13541" t="s">
        <v>1876</v>
      </c>
      <c r="B13541" t="s">
        <v>389</v>
      </c>
      <c r="C13541" t="s">
        <v>1903</v>
      </c>
      <c r="D13541">
        <v>5077</v>
      </c>
      <c r="E13541">
        <v>5222</v>
      </c>
      <c r="F13541">
        <v>4683</v>
      </c>
      <c r="G13541">
        <v>4645</v>
      </c>
    </row>
    <row r="13542" spans="1:7">
      <c r="A13542" t="s">
        <v>1876</v>
      </c>
      <c r="B13542" t="s">
        <v>389</v>
      </c>
      <c r="C13542" t="s">
        <v>1904</v>
      </c>
      <c r="D13542">
        <v>1465</v>
      </c>
      <c r="E13542">
        <v>2090</v>
      </c>
      <c r="F13542">
        <v>1361</v>
      </c>
      <c r="G13542">
        <v>1381</v>
      </c>
    </row>
    <row r="13543" spans="1:7">
      <c r="A13543" t="s">
        <v>1876</v>
      </c>
      <c r="B13543" t="s">
        <v>389</v>
      </c>
      <c r="C13543" t="s">
        <v>1905</v>
      </c>
      <c r="D13543">
        <v>12021</v>
      </c>
      <c r="E13543">
        <v>12152</v>
      </c>
      <c r="F13543">
        <v>11861</v>
      </c>
      <c r="G13543">
        <v>11510</v>
      </c>
    </row>
    <row r="13544" spans="1:7">
      <c r="A13544" t="s">
        <v>1876</v>
      </c>
      <c r="B13544" t="s">
        <v>389</v>
      </c>
      <c r="C13544" t="s">
        <v>1906</v>
      </c>
      <c r="D13544">
        <v>283</v>
      </c>
      <c r="E13544">
        <v>295</v>
      </c>
      <c r="F13544">
        <v>265</v>
      </c>
      <c r="G13544">
        <v>257</v>
      </c>
    </row>
    <row r="13545" spans="1:7">
      <c r="A13545" t="s">
        <v>1876</v>
      </c>
      <c r="B13545" t="s">
        <v>389</v>
      </c>
      <c r="C13545" t="s">
        <v>1907</v>
      </c>
      <c r="D13545">
        <v>180156</v>
      </c>
      <c r="E13545">
        <v>183507</v>
      </c>
      <c r="F13545">
        <v>177388</v>
      </c>
      <c r="G13545">
        <v>171107</v>
      </c>
    </row>
    <row r="13546" spans="1:7">
      <c r="A13546" t="s">
        <v>1876</v>
      </c>
      <c r="B13546" t="s">
        <v>389</v>
      </c>
      <c r="C13546" t="s">
        <v>160</v>
      </c>
      <c r="D13546">
        <v>159064</v>
      </c>
      <c r="E13546">
        <v>161598</v>
      </c>
      <c r="F13546">
        <v>156144</v>
      </c>
      <c r="G13546">
        <v>150116</v>
      </c>
    </row>
    <row r="13547" spans="1:7">
      <c r="A13547" t="s">
        <v>1876</v>
      </c>
      <c r="B13547" t="s">
        <v>389</v>
      </c>
      <c r="C13547" t="s">
        <v>161</v>
      </c>
      <c r="D13547">
        <v>5077</v>
      </c>
      <c r="E13547">
        <v>5222</v>
      </c>
      <c r="F13547">
        <v>4683</v>
      </c>
      <c r="G13547">
        <v>4645</v>
      </c>
    </row>
    <row r="13548" spans="1:7">
      <c r="A13548" t="s">
        <v>1876</v>
      </c>
      <c r="B13548" t="s">
        <v>389</v>
      </c>
      <c r="C13548" t="s">
        <v>162</v>
      </c>
      <c r="D13548">
        <v>1465</v>
      </c>
      <c r="E13548">
        <v>2090</v>
      </c>
      <c r="F13548">
        <v>1361</v>
      </c>
      <c r="G13548">
        <v>1381</v>
      </c>
    </row>
    <row r="13549" spans="1:7">
      <c r="A13549" t="s">
        <v>1876</v>
      </c>
      <c r="B13549" t="s">
        <v>389</v>
      </c>
      <c r="C13549" t="s">
        <v>163</v>
      </c>
      <c r="D13549">
        <v>12021</v>
      </c>
      <c r="E13549">
        <v>12152</v>
      </c>
      <c r="F13549">
        <v>11861</v>
      </c>
      <c r="G13549">
        <v>11510</v>
      </c>
    </row>
    <row r="13550" spans="1:7">
      <c r="A13550" t="s">
        <v>1876</v>
      </c>
      <c r="B13550" t="s">
        <v>389</v>
      </c>
      <c r="C13550" t="s">
        <v>164</v>
      </c>
      <c r="D13550">
        <v>283</v>
      </c>
      <c r="E13550">
        <v>295</v>
      </c>
      <c r="F13550">
        <v>265</v>
      </c>
      <c r="G13550">
        <v>257</v>
      </c>
    </row>
    <row r="13551" spans="1:7">
      <c r="A13551" t="s">
        <v>1876</v>
      </c>
      <c r="B13551" t="s">
        <v>389</v>
      </c>
      <c r="C13551" t="s">
        <v>165</v>
      </c>
      <c r="D13551">
        <v>177911</v>
      </c>
      <c r="E13551">
        <v>181358</v>
      </c>
      <c r="F13551">
        <v>174312</v>
      </c>
      <c r="G13551">
        <v>167909</v>
      </c>
    </row>
    <row r="13552" spans="1:7">
      <c r="A13552" t="s">
        <v>1876</v>
      </c>
      <c r="B13552" t="s">
        <v>389</v>
      </c>
      <c r="C13552" t="s">
        <v>166</v>
      </c>
      <c r="D13552">
        <v>176445</v>
      </c>
      <c r="E13552">
        <v>179268</v>
      </c>
      <c r="F13552">
        <v>172952</v>
      </c>
      <c r="G13552">
        <v>166528</v>
      </c>
    </row>
    <row r="13553" spans="1:7">
      <c r="A13553" t="s">
        <v>1876</v>
      </c>
      <c r="B13553" t="s">
        <v>389</v>
      </c>
      <c r="C13553" t="s">
        <v>167</v>
      </c>
      <c r="D13553">
        <v>1465</v>
      </c>
      <c r="E13553">
        <v>2090</v>
      </c>
      <c r="F13553">
        <v>1361</v>
      </c>
      <c r="G13553">
        <v>1381</v>
      </c>
    </row>
    <row r="13554" spans="1:7">
      <c r="A13554" t="s">
        <v>1876</v>
      </c>
      <c r="B13554" t="s">
        <v>389</v>
      </c>
      <c r="C13554" t="s">
        <v>1908</v>
      </c>
      <c r="D13554">
        <v>157400</v>
      </c>
      <c r="E13554">
        <v>160081</v>
      </c>
      <c r="F13554">
        <v>154331</v>
      </c>
      <c r="G13554">
        <v>148387</v>
      </c>
    </row>
    <row r="13555" spans="1:7">
      <c r="A13555" t="s">
        <v>1876</v>
      </c>
      <c r="B13555" t="s">
        <v>389</v>
      </c>
      <c r="C13555" t="s">
        <v>1909</v>
      </c>
      <c r="D13555">
        <v>5077</v>
      </c>
      <c r="E13555">
        <v>5222</v>
      </c>
      <c r="F13555">
        <v>4683</v>
      </c>
      <c r="G13555">
        <v>4645</v>
      </c>
    </row>
    <row r="13556" spans="1:7">
      <c r="A13556" t="s">
        <v>1876</v>
      </c>
      <c r="B13556" t="s">
        <v>389</v>
      </c>
      <c r="C13556" t="s">
        <v>1910</v>
      </c>
      <c r="D13556">
        <v>1465</v>
      </c>
      <c r="E13556">
        <v>2090</v>
      </c>
      <c r="F13556">
        <v>1361</v>
      </c>
      <c r="G13556">
        <v>1381</v>
      </c>
    </row>
    <row r="13557" spans="1:7">
      <c r="A13557" t="s">
        <v>1876</v>
      </c>
      <c r="B13557" t="s">
        <v>389</v>
      </c>
      <c r="C13557" t="s">
        <v>1911</v>
      </c>
      <c r="D13557">
        <v>12021</v>
      </c>
      <c r="E13557">
        <v>12152</v>
      </c>
      <c r="F13557">
        <v>11861</v>
      </c>
      <c r="G13557">
        <v>11510</v>
      </c>
    </row>
    <row r="13558" spans="1:7">
      <c r="A13558" t="s">
        <v>1876</v>
      </c>
      <c r="B13558" t="s">
        <v>389</v>
      </c>
      <c r="C13558" t="s">
        <v>1912</v>
      </c>
      <c r="D13558">
        <v>283</v>
      </c>
      <c r="E13558">
        <v>295</v>
      </c>
      <c r="F13558">
        <v>265</v>
      </c>
      <c r="G13558">
        <v>257</v>
      </c>
    </row>
    <row r="13559" spans="1:7">
      <c r="A13559" t="s">
        <v>1876</v>
      </c>
      <c r="B13559" t="s">
        <v>389</v>
      </c>
      <c r="C13559" t="s">
        <v>168</v>
      </c>
      <c r="D13559">
        <v>176247</v>
      </c>
      <c r="E13559">
        <v>179841</v>
      </c>
      <c r="F13559">
        <v>172500</v>
      </c>
      <c r="G13559">
        <v>166181</v>
      </c>
    </row>
    <row r="13560" spans="1:7">
      <c r="A13560" t="s">
        <v>1876</v>
      </c>
      <c r="B13560" t="s">
        <v>389</v>
      </c>
      <c r="C13560" t="s">
        <v>169</v>
      </c>
      <c r="D13560">
        <v>0</v>
      </c>
      <c r="E13560">
        <v>0</v>
      </c>
      <c r="F13560">
        <v>0</v>
      </c>
      <c r="G13560">
        <v>0</v>
      </c>
    </row>
    <row r="13561" spans="1:7">
      <c r="A13561" t="s">
        <v>1876</v>
      </c>
      <c r="B13561" t="s">
        <v>389</v>
      </c>
      <c r="C13561" t="s">
        <v>1704</v>
      </c>
      <c r="D13561">
        <v>21401</v>
      </c>
      <c r="E13561">
        <v>21567</v>
      </c>
      <c r="F13561">
        <v>20924</v>
      </c>
      <c r="G13561">
        <v>20605</v>
      </c>
    </row>
    <row r="13562" spans="1:7">
      <c r="A13562" t="s">
        <v>1876</v>
      </c>
      <c r="B13562" t="s">
        <v>389</v>
      </c>
      <c r="C13562" t="s">
        <v>170</v>
      </c>
      <c r="D13562">
        <v>0</v>
      </c>
      <c r="E13562">
        <v>0</v>
      </c>
      <c r="F13562">
        <v>0</v>
      </c>
      <c r="G13562">
        <v>0</v>
      </c>
    </row>
    <row r="13563" spans="1:7">
      <c r="A13563" t="s">
        <v>1876</v>
      </c>
      <c r="B13563" t="s">
        <v>389</v>
      </c>
      <c r="C13563" t="s">
        <v>171</v>
      </c>
      <c r="D13563">
        <v>244053</v>
      </c>
      <c r="E13563">
        <v>265584</v>
      </c>
      <c r="F13563">
        <v>243802</v>
      </c>
      <c r="G13563">
        <v>295684</v>
      </c>
    </row>
    <row r="13564" spans="1:7">
      <c r="A13564" t="s">
        <v>1876</v>
      </c>
      <c r="B13564" t="s">
        <v>389</v>
      </c>
      <c r="C13564" t="s">
        <v>172</v>
      </c>
      <c r="D13564">
        <v>0</v>
      </c>
      <c r="E13564">
        <v>0</v>
      </c>
      <c r="F13564">
        <v>0</v>
      </c>
      <c r="G13564">
        <v>0</v>
      </c>
    </row>
    <row r="13565" spans="1:7">
      <c r="A13565" t="s">
        <v>1876</v>
      </c>
      <c r="B13565" t="s">
        <v>389</v>
      </c>
      <c r="C13565" t="s">
        <v>1913</v>
      </c>
      <c r="D13565">
        <v>17.899999999999999</v>
      </c>
      <c r="E13565">
        <v>26.7</v>
      </c>
      <c r="F13565">
        <v>41.5</v>
      </c>
      <c r="G13565">
        <v>53.5</v>
      </c>
    </row>
    <row r="13566" spans="1:7">
      <c r="A13566" t="s">
        <v>1876</v>
      </c>
      <c r="B13566" t="s">
        <v>389</v>
      </c>
      <c r="C13566" t="s">
        <v>1914</v>
      </c>
      <c r="D13566">
        <v>0.3</v>
      </c>
      <c r="E13566">
        <v>0.4</v>
      </c>
      <c r="F13566">
        <v>0.7</v>
      </c>
      <c r="G13566">
        <v>0.9</v>
      </c>
    </row>
    <row r="13567" spans="1:7">
      <c r="A13567" t="s">
        <v>1876</v>
      </c>
      <c r="B13567" t="s">
        <v>389</v>
      </c>
      <c r="C13567" t="s">
        <v>173</v>
      </c>
      <c r="D13567">
        <v>27011</v>
      </c>
      <c r="E13567">
        <v>27206</v>
      </c>
      <c r="F13567">
        <v>27877</v>
      </c>
      <c r="G13567">
        <v>27992</v>
      </c>
    </row>
    <row r="13568" spans="1:7">
      <c r="A13568" t="s">
        <v>1876</v>
      </c>
      <c r="B13568" t="s">
        <v>389</v>
      </c>
      <c r="C13568" t="s">
        <v>174</v>
      </c>
      <c r="D13568">
        <v>494</v>
      </c>
      <c r="E13568">
        <v>501</v>
      </c>
      <c r="F13568">
        <v>509</v>
      </c>
      <c r="G13568">
        <v>399</v>
      </c>
    </row>
    <row r="13569" spans="1:7">
      <c r="A13569" t="s">
        <v>1876</v>
      </c>
      <c r="B13569" t="s">
        <v>389</v>
      </c>
      <c r="C13569" t="s">
        <v>175</v>
      </c>
      <c r="D13569">
        <v>408</v>
      </c>
      <c r="E13569">
        <v>432</v>
      </c>
      <c r="F13569">
        <v>441</v>
      </c>
      <c r="G13569">
        <v>298</v>
      </c>
    </row>
    <row r="13570" spans="1:7">
      <c r="A13570" t="s">
        <v>1876</v>
      </c>
      <c r="B13570" t="s">
        <v>389</v>
      </c>
      <c r="C13570" t="s">
        <v>176</v>
      </c>
      <c r="D13570">
        <v>9209</v>
      </c>
      <c r="E13570">
        <v>8514</v>
      </c>
      <c r="F13570">
        <v>8374</v>
      </c>
      <c r="G13570">
        <v>8535</v>
      </c>
    </row>
    <row r="13571" spans="1:7">
      <c r="A13571" t="s">
        <v>1876</v>
      </c>
      <c r="B13571" t="s">
        <v>389</v>
      </c>
      <c r="C13571" t="s">
        <v>177</v>
      </c>
      <c r="D13571">
        <v>27913</v>
      </c>
      <c r="E13571">
        <v>28139</v>
      </c>
      <c r="F13571">
        <v>28827</v>
      </c>
      <c r="G13571">
        <v>28689</v>
      </c>
    </row>
    <row r="13572" spans="1:7">
      <c r="A13572" t="s">
        <v>1876</v>
      </c>
      <c r="B13572" t="s">
        <v>389</v>
      </c>
      <c r="C13572" t="s">
        <v>178</v>
      </c>
      <c r="D13572">
        <v>0</v>
      </c>
      <c r="E13572">
        <v>0</v>
      </c>
      <c r="F13572">
        <v>0</v>
      </c>
      <c r="G13572">
        <v>0</v>
      </c>
    </row>
    <row r="13573" spans="1:7">
      <c r="A13573" t="s">
        <v>1876</v>
      </c>
      <c r="B13573" t="s">
        <v>389</v>
      </c>
      <c r="C13573" t="s">
        <v>179</v>
      </c>
      <c r="D13573">
        <v>0</v>
      </c>
      <c r="E13573">
        <v>0</v>
      </c>
      <c r="F13573">
        <v>0</v>
      </c>
      <c r="G13573">
        <v>0</v>
      </c>
    </row>
    <row r="13574" spans="1:7">
      <c r="A13574" t="s">
        <v>1876</v>
      </c>
      <c r="B13574" t="s">
        <v>389</v>
      </c>
      <c r="C13574" t="s">
        <v>180</v>
      </c>
      <c r="D13574">
        <v>0</v>
      </c>
      <c r="E13574">
        <v>0</v>
      </c>
      <c r="F13574">
        <v>0</v>
      </c>
      <c r="G13574">
        <v>0</v>
      </c>
    </row>
    <row r="13575" spans="1:7">
      <c r="A13575" t="s">
        <v>1876</v>
      </c>
      <c r="B13575" t="s">
        <v>389</v>
      </c>
      <c r="C13575" t="s">
        <v>181</v>
      </c>
      <c r="D13575">
        <v>118954</v>
      </c>
      <c r="E13575">
        <v>121875</v>
      </c>
      <c r="F13575">
        <v>119742</v>
      </c>
      <c r="G13575">
        <v>122818</v>
      </c>
    </row>
    <row r="13576" spans="1:7">
      <c r="A13576" t="s">
        <v>1876</v>
      </c>
      <c r="B13576" t="s">
        <v>389</v>
      </c>
      <c r="C13576" t="s">
        <v>182</v>
      </c>
      <c r="D13576">
        <v>74782</v>
      </c>
      <c r="E13576">
        <v>77755</v>
      </c>
      <c r="F13576">
        <v>77115</v>
      </c>
      <c r="G13576">
        <v>78950</v>
      </c>
    </row>
    <row r="13577" spans="1:7">
      <c r="A13577" t="s">
        <v>1876</v>
      </c>
      <c r="B13577" t="s">
        <v>389</v>
      </c>
      <c r="C13577" t="s">
        <v>183</v>
      </c>
      <c r="D13577">
        <v>146172</v>
      </c>
      <c r="E13577">
        <v>148777</v>
      </c>
      <c r="F13577">
        <v>141088</v>
      </c>
      <c r="G13577">
        <v>149539</v>
      </c>
    </row>
    <row r="13578" spans="1:7">
      <c r="A13578" t="s">
        <v>1876</v>
      </c>
      <c r="B13578" t="s">
        <v>389</v>
      </c>
      <c r="C13578" t="s">
        <v>184</v>
      </c>
      <c r="D13578">
        <v>339907</v>
      </c>
      <c r="E13578">
        <v>348406</v>
      </c>
      <c r="F13578">
        <v>337945</v>
      </c>
      <c r="G13578">
        <v>351308</v>
      </c>
    </row>
    <row r="13579" spans="1:7">
      <c r="A13579" t="s">
        <v>1876</v>
      </c>
      <c r="B13579" t="s">
        <v>389</v>
      </c>
      <c r="C13579" t="s">
        <v>185</v>
      </c>
      <c r="D13579">
        <v>339907</v>
      </c>
      <c r="E13579">
        <v>348406</v>
      </c>
      <c r="F13579">
        <v>337945</v>
      </c>
      <c r="G13579">
        <v>351308</v>
      </c>
    </row>
    <row r="13580" spans="1:7">
      <c r="A13580" t="s">
        <v>1876</v>
      </c>
      <c r="B13580" t="s">
        <v>389</v>
      </c>
      <c r="C13580" t="s">
        <v>1915</v>
      </c>
      <c r="D13580">
        <v>31</v>
      </c>
      <c r="E13580">
        <v>50</v>
      </c>
      <c r="F13580">
        <v>125</v>
      </c>
      <c r="G13580">
        <v>179</v>
      </c>
    </row>
    <row r="13581" spans="1:7">
      <c r="A13581" t="s">
        <v>1876</v>
      </c>
      <c r="B13581" t="s">
        <v>389</v>
      </c>
      <c r="C13581" t="s">
        <v>1916</v>
      </c>
      <c r="D13581">
        <v>0</v>
      </c>
      <c r="E13581">
        <v>0</v>
      </c>
      <c r="F13581">
        <v>0</v>
      </c>
      <c r="G13581">
        <v>0</v>
      </c>
    </row>
    <row r="13582" spans="1:7">
      <c r="A13582" t="s">
        <v>1876</v>
      </c>
      <c r="B13582" t="s">
        <v>389</v>
      </c>
      <c r="C13582" t="s">
        <v>1917</v>
      </c>
      <c r="D13582">
        <v>43</v>
      </c>
      <c r="E13582">
        <v>37</v>
      </c>
      <c r="F13582">
        <v>37</v>
      </c>
      <c r="G13582">
        <v>35</v>
      </c>
    </row>
    <row r="13583" spans="1:7">
      <c r="A13583" t="s">
        <v>1876</v>
      </c>
      <c r="B13583" t="s">
        <v>389</v>
      </c>
      <c r="C13583" t="s">
        <v>1918</v>
      </c>
      <c r="D13583">
        <v>1503</v>
      </c>
      <c r="E13583">
        <v>1665</v>
      </c>
      <c r="F13583">
        <v>1974</v>
      </c>
      <c r="G13583">
        <v>2218</v>
      </c>
    </row>
    <row r="13584" spans="1:7">
      <c r="A13584" t="s">
        <v>1876</v>
      </c>
      <c r="B13584" t="s">
        <v>389</v>
      </c>
      <c r="C13584" t="s">
        <v>1919</v>
      </c>
      <c r="D13584">
        <v>2.5099999999999998</v>
      </c>
      <c r="E13584">
        <v>2.5499999999999998</v>
      </c>
      <c r="F13584">
        <v>2.4500000000000002</v>
      </c>
      <c r="G13584">
        <v>2.54</v>
      </c>
    </row>
    <row r="13585" spans="1:7">
      <c r="A13585" t="s">
        <v>1876</v>
      </c>
      <c r="B13585" t="s">
        <v>389</v>
      </c>
      <c r="C13585" t="s">
        <v>1920</v>
      </c>
      <c r="D13585">
        <v>1795</v>
      </c>
      <c r="E13585">
        <v>1981</v>
      </c>
      <c r="F13585">
        <v>2515</v>
      </c>
      <c r="G13585">
        <v>3040</v>
      </c>
    </row>
    <row r="13586" spans="1:7">
      <c r="A13586" t="s">
        <v>1876</v>
      </c>
      <c r="B13586" t="s">
        <v>389</v>
      </c>
      <c r="C13586" t="s">
        <v>1921</v>
      </c>
      <c r="D13586">
        <v>653</v>
      </c>
      <c r="E13586">
        <v>719</v>
      </c>
      <c r="F13586">
        <v>920</v>
      </c>
      <c r="G13586">
        <v>1050</v>
      </c>
    </row>
    <row r="13587" spans="1:7">
      <c r="A13587" t="s">
        <v>1876</v>
      </c>
      <c r="B13587" t="s">
        <v>389</v>
      </c>
      <c r="C13587" t="s">
        <v>1922</v>
      </c>
      <c r="D13587">
        <v>249</v>
      </c>
      <c r="E13587">
        <v>279</v>
      </c>
      <c r="F13587">
        <v>504</v>
      </c>
      <c r="G13587">
        <v>787</v>
      </c>
    </row>
    <row r="13588" spans="1:7">
      <c r="A13588" t="s">
        <v>1876</v>
      </c>
      <c r="B13588" t="s">
        <v>389</v>
      </c>
      <c r="C13588" t="s">
        <v>1923</v>
      </c>
      <c r="D13588">
        <v>3.46</v>
      </c>
      <c r="E13588">
        <v>3.32</v>
      </c>
      <c r="F13588">
        <v>3.73</v>
      </c>
      <c r="G13588">
        <v>3.99</v>
      </c>
    </row>
    <row r="13589" spans="1:7">
      <c r="A13589" t="s">
        <v>1876</v>
      </c>
      <c r="B13589" t="s">
        <v>389</v>
      </c>
      <c r="C13589" t="s">
        <v>1924</v>
      </c>
      <c r="D13589">
        <v>39</v>
      </c>
      <c r="E13589">
        <v>3</v>
      </c>
      <c r="F13589">
        <v>3</v>
      </c>
      <c r="G13589">
        <v>4</v>
      </c>
    </row>
    <row r="13590" spans="1:7">
      <c r="A13590" t="s">
        <v>1876</v>
      </c>
      <c r="B13590" t="s">
        <v>389</v>
      </c>
      <c r="C13590" t="s">
        <v>1925</v>
      </c>
      <c r="D13590">
        <v>133</v>
      </c>
      <c r="E13590">
        <v>144</v>
      </c>
      <c r="F13590">
        <v>144</v>
      </c>
      <c r="G13590">
        <v>146</v>
      </c>
    </row>
    <row r="13591" spans="1:7">
      <c r="A13591" t="s">
        <v>1876</v>
      </c>
      <c r="B13591" t="s">
        <v>389</v>
      </c>
      <c r="C13591" t="s">
        <v>1926</v>
      </c>
      <c r="D13591">
        <v>481</v>
      </c>
      <c r="E13591">
        <v>572</v>
      </c>
      <c r="F13591">
        <v>773</v>
      </c>
      <c r="G13591">
        <v>900</v>
      </c>
    </row>
    <row r="13592" spans="1:7">
      <c r="A13592" t="s">
        <v>1876</v>
      </c>
      <c r="B13592" t="s">
        <v>389</v>
      </c>
      <c r="C13592" t="s">
        <v>1927</v>
      </c>
      <c r="D13592">
        <v>32</v>
      </c>
      <c r="E13592">
        <v>35</v>
      </c>
      <c r="F13592">
        <v>28</v>
      </c>
      <c r="G13592">
        <v>28</v>
      </c>
    </row>
    <row r="13593" spans="1:7">
      <c r="A13593" t="s">
        <v>1876</v>
      </c>
      <c r="B13593" t="s">
        <v>389</v>
      </c>
      <c r="C13593" t="s">
        <v>1928</v>
      </c>
      <c r="D13593">
        <v>577</v>
      </c>
      <c r="E13593">
        <v>638</v>
      </c>
      <c r="F13593">
        <v>842</v>
      </c>
      <c r="G13593">
        <v>963</v>
      </c>
    </row>
    <row r="13594" spans="1:7">
      <c r="A13594" t="s">
        <v>1876</v>
      </c>
      <c r="B13594" t="s">
        <v>389</v>
      </c>
      <c r="C13594" t="s">
        <v>1929</v>
      </c>
      <c r="D13594">
        <v>44</v>
      </c>
      <c r="E13594">
        <v>46</v>
      </c>
      <c r="F13594">
        <v>50</v>
      </c>
      <c r="G13594">
        <v>59</v>
      </c>
    </row>
    <row r="13595" spans="1:7">
      <c r="A13595" t="s">
        <v>1876</v>
      </c>
      <c r="B13595" t="s">
        <v>389</v>
      </c>
      <c r="C13595" t="s">
        <v>186</v>
      </c>
      <c r="D13595">
        <v>0</v>
      </c>
      <c r="E13595">
        <v>0</v>
      </c>
      <c r="F13595">
        <v>0</v>
      </c>
      <c r="G13595">
        <v>0</v>
      </c>
    </row>
    <row r="13596" spans="1:7">
      <c r="A13596" t="s">
        <v>1876</v>
      </c>
      <c r="B13596" t="s">
        <v>389</v>
      </c>
      <c r="C13596" t="s">
        <v>187</v>
      </c>
      <c r="D13596">
        <v>0</v>
      </c>
      <c r="E13596">
        <v>0</v>
      </c>
      <c r="F13596">
        <v>0</v>
      </c>
      <c r="G13596">
        <v>0</v>
      </c>
    </row>
    <row r="13597" spans="1:7">
      <c r="A13597" t="s">
        <v>1876</v>
      </c>
      <c r="B13597" t="s">
        <v>389</v>
      </c>
      <c r="C13597" t="s">
        <v>1705</v>
      </c>
      <c r="D13597">
        <v>12237</v>
      </c>
      <c r="E13597">
        <v>12284</v>
      </c>
      <c r="F13597">
        <v>11419</v>
      </c>
      <c r="G13597">
        <v>11168</v>
      </c>
    </row>
    <row r="13598" spans="1:7">
      <c r="A13598" t="s">
        <v>1876</v>
      </c>
      <c r="B13598" t="s">
        <v>389</v>
      </c>
      <c r="C13598" t="s">
        <v>188</v>
      </c>
      <c r="D13598">
        <v>1353330</v>
      </c>
      <c r="E13598">
        <v>1352601</v>
      </c>
      <c r="F13598">
        <v>1298607</v>
      </c>
      <c r="G13598">
        <v>1337021</v>
      </c>
    </row>
    <row r="13599" spans="1:7">
      <c r="A13599" t="s">
        <v>1876</v>
      </c>
      <c r="B13599" t="s">
        <v>389</v>
      </c>
      <c r="C13599" t="s">
        <v>189</v>
      </c>
      <c r="D13599">
        <v>0</v>
      </c>
      <c r="E13599">
        <v>0</v>
      </c>
      <c r="F13599">
        <v>0</v>
      </c>
      <c r="G13599">
        <v>0</v>
      </c>
    </row>
    <row r="13600" spans="1:7">
      <c r="A13600" t="s">
        <v>1876</v>
      </c>
      <c r="B13600" t="s">
        <v>389</v>
      </c>
      <c r="C13600" t="s">
        <v>190</v>
      </c>
      <c r="D13600">
        <v>0</v>
      </c>
      <c r="E13600">
        <v>0</v>
      </c>
      <c r="F13600">
        <v>0</v>
      </c>
      <c r="G13600">
        <v>0</v>
      </c>
    </row>
    <row r="13601" spans="1:7">
      <c r="A13601" t="s">
        <v>1876</v>
      </c>
      <c r="B13601" t="s">
        <v>389</v>
      </c>
      <c r="C13601" t="s">
        <v>191</v>
      </c>
      <c r="D13601">
        <v>0</v>
      </c>
      <c r="E13601">
        <v>0</v>
      </c>
      <c r="F13601">
        <v>0</v>
      </c>
      <c r="G13601">
        <v>0</v>
      </c>
    </row>
    <row r="13602" spans="1:7">
      <c r="A13602" t="s">
        <v>1876</v>
      </c>
      <c r="B13602" t="s">
        <v>389</v>
      </c>
      <c r="C13602" t="s">
        <v>192</v>
      </c>
      <c r="D13602">
        <v>443419.7</v>
      </c>
      <c r="E13602">
        <v>490587</v>
      </c>
      <c r="F13602">
        <v>531246.80000000005</v>
      </c>
      <c r="G13602">
        <v>561201.19999999995</v>
      </c>
    </row>
    <row r="13603" spans="1:7">
      <c r="A13603" t="s">
        <v>1876</v>
      </c>
      <c r="B13603" t="s">
        <v>389</v>
      </c>
      <c r="C13603" t="s">
        <v>193</v>
      </c>
      <c r="D13603">
        <v>401673.7</v>
      </c>
      <c r="E13603">
        <v>415451.6</v>
      </c>
      <c r="F13603">
        <v>428276.1</v>
      </c>
      <c r="G13603">
        <v>440200.2</v>
      </c>
    </row>
    <row r="13604" spans="1:7">
      <c r="A13604" t="s">
        <v>1876</v>
      </c>
      <c r="B13604" t="s">
        <v>389</v>
      </c>
      <c r="C13604" t="s">
        <v>1930</v>
      </c>
      <c r="D13604">
        <v>0</v>
      </c>
      <c r="E13604">
        <v>0</v>
      </c>
      <c r="F13604">
        <v>0</v>
      </c>
      <c r="G13604">
        <v>0</v>
      </c>
    </row>
    <row r="13605" spans="1:7">
      <c r="A13605" t="s">
        <v>1876</v>
      </c>
      <c r="B13605" t="s">
        <v>389</v>
      </c>
      <c r="C13605" t="s">
        <v>194</v>
      </c>
      <c r="D13605">
        <v>0</v>
      </c>
      <c r="E13605">
        <v>0</v>
      </c>
      <c r="F13605">
        <v>0</v>
      </c>
      <c r="G13605">
        <v>0</v>
      </c>
    </row>
    <row r="13606" spans="1:7">
      <c r="A13606" t="s">
        <v>1876</v>
      </c>
      <c r="B13606" t="s">
        <v>389</v>
      </c>
      <c r="C13606" t="s">
        <v>195</v>
      </c>
      <c r="D13606">
        <v>0</v>
      </c>
      <c r="E13606">
        <v>0</v>
      </c>
      <c r="F13606">
        <v>0</v>
      </c>
      <c r="G13606">
        <v>0</v>
      </c>
    </row>
    <row r="13607" spans="1:7">
      <c r="A13607" t="s">
        <v>1876</v>
      </c>
      <c r="B13607" t="s">
        <v>389</v>
      </c>
      <c r="C13607" t="s">
        <v>1706</v>
      </c>
      <c r="D13607">
        <v>0</v>
      </c>
      <c r="E13607">
        <v>0</v>
      </c>
      <c r="F13607">
        <v>0</v>
      </c>
      <c r="G13607">
        <v>0</v>
      </c>
    </row>
    <row r="13608" spans="1:7">
      <c r="A13608" t="s">
        <v>1876</v>
      </c>
      <c r="B13608" t="s">
        <v>389</v>
      </c>
      <c r="C13608" t="s">
        <v>196</v>
      </c>
      <c r="D13608">
        <v>0</v>
      </c>
      <c r="E13608">
        <v>0</v>
      </c>
      <c r="F13608">
        <v>0</v>
      </c>
      <c r="G13608">
        <v>0</v>
      </c>
    </row>
    <row r="13609" spans="1:7">
      <c r="A13609" t="s">
        <v>1876</v>
      </c>
      <c r="B13609" t="s">
        <v>389</v>
      </c>
      <c r="C13609" t="s">
        <v>197</v>
      </c>
      <c r="D13609">
        <v>213</v>
      </c>
      <c r="E13609">
        <v>213</v>
      </c>
      <c r="F13609">
        <v>213</v>
      </c>
      <c r="G13609">
        <v>213</v>
      </c>
    </row>
    <row r="13610" spans="1:7">
      <c r="A13610" t="s">
        <v>1876</v>
      </c>
      <c r="B13610" t="s">
        <v>389</v>
      </c>
      <c r="C13610" t="s">
        <v>198</v>
      </c>
      <c r="D13610">
        <v>213</v>
      </c>
      <c r="E13610">
        <v>213</v>
      </c>
      <c r="F13610">
        <v>213</v>
      </c>
      <c r="G13610">
        <v>213</v>
      </c>
    </row>
    <row r="13611" spans="1:7">
      <c r="A13611" t="s">
        <v>1876</v>
      </c>
      <c r="B13611" t="s">
        <v>389</v>
      </c>
      <c r="C13611" t="s">
        <v>199</v>
      </c>
      <c r="D13611">
        <v>213</v>
      </c>
      <c r="E13611">
        <v>213</v>
      </c>
      <c r="F13611">
        <v>213</v>
      </c>
      <c r="G13611">
        <v>213</v>
      </c>
    </row>
    <row r="13612" spans="1:7">
      <c r="A13612" t="s">
        <v>1876</v>
      </c>
      <c r="B13612" t="s">
        <v>389</v>
      </c>
      <c r="C13612" t="s">
        <v>200</v>
      </c>
      <c r="D13612">
        <v>46</v>
      </c>
      <c r="E13612">
        <v>103</v>
      </c>
      <c r="F13612">
        <v>99</v>
      </c>
      <c r="G13612">
        <v>61</v>
      </c>
    </row>
    <row r="13613" spans="1:7">
      <c r="A13613" t="s">
        <v>1876</v>
      </c>
      <c r="B13613" t="s">
        <v>389</v>
      </c>
      <c r="C13613" t="s">
        <v>201</v>
      </c>
      <c r="D13613">
        <v>2917</v>
      </c>
      <c r="E13613">
        <v>2530</v>
      </c>
      <c r="F13613">
        <v>2258</v>
      </c>
      <c r="G13613">
        <v>2302</v>
      </c>
    </row>
    <row r="13614" spans="1:7">
      <c r="A13614" t="s">
        <v>1876</v>
      </c>
      <c r="B13614" t="s">
        <v>389</v>
      </c>
      <c r="C13614" t="s">
        <v>202</v>
      </c>
      <c r="D13614">
        <v>2197</v>
      </c>
      <c r="E13614">
        <v>2575</v>
      </c>
      <c r="F13614">
        <v>2220</v>
      </c>
      <c r="G13614">
        <v>1834</v>
      </c>
    </row>
    <row r="13615" spans="1:7">
      <c r="A13615" t="s">
        <v>1876</v>
      </c>
      <c r="B13615" t="s">
        <v>389</v>
      </c>
      <c r="C13615" t="s">
        <v>203</v>
      </c>
      <c r="D13615">
        <v>6120</v>
      </c>
      <c r="E13615">
        <v>6705</v>
      </c>
      <c r="F13615">
        <v>5612</v>
      </c>
      <c r="G13615">
        <v>5777</v>
      </c>
    </row>
    <row r="13616" spans="1:7">
      <c r="A13616" t="s">
        <v>1876</v>
      </c>
      <c r="B13616" t="s">
        <v>389</v>
      </c>
      <c r="C13616" t="s">
        <v>204</v>
      </c>
      <c r="D13616">
        <v>11280</v>
      </c>
      <c r="E13616">
        <v>11913</v>
      </c>
      <c r="F13616">
        <v>10189</v>
      </c>
      <c r="G13616">
        <v>9974</v>
      </c>
    </row>
    <row r="13617" spans="1:7">
      <c r="A13617" t="s">
        <v>1876</v>
      </c>
      <c r="B13617" t="s">
        <v>389</v>
      </c>
      <c r="C13617" t="s">
        <v>205</v>
      </c>
      <c r="D13617">
        <v>11280</v>
      </c>
      <c r="E13617">
        <v>11913</v>
      </c>
      <c r="F13617">
        <v>10189</v>
      </c>
      <c r="G13617">
        <v>9974</v>
      </c>
    </row>
    <row r="13618" spans="1:7">
      <c r="A13618" t="s">
        <v>1876</v>
      </c>
      <c r="B13618" t="s">
        <v>389</v>
      </c>
      <c r="C13618" t="s">
        <v>1931</v>
      </c>
      <c r="D13618">
        <v>16.2</v>
      </c>
      <c r="E13618">
        <v>13.6</v>
      </c>
      <c r="F13618">
        <v>15.7</v>
      </c>
      <c r="G13618">
        <v>16.399999999999999</v>
      </c>
    </row>
    <row r="13619" spans="1:7">
      <c r="A13619" t="s">
        <v>1876</v>
      </c>
      <c r="B13619" t="s">
        <v>389</v>
      </c>
      <c r="C13619" t="s">
        <v>1707</v>
      </c>
      <c r="D13619">
        <v>1616</v>
      </c>
      <c r="E13619">
        <v>1616</v>
      </c>
      <c r="F13619">
        <v>1616</v>
      </c>
      <c r="G13619">
        <v>1616</v>
      </c>
    </row>
    <row r="13620" spans="1:7">
      <c r="A13620" t="s">
        <v>1876</v>
      </c>
      <c r="B13620" t="s">
        <v>389</v>
      </c>
      <c r="C13620" t="s">
        <v>1932</v>
      </c>
      <c r="D13620">
        <v>47.6</v>
      </c>
      <c r="E13620">
        <v>40.299999999999997</v>
      </c>
      <c r="F13620">
        <v>35.200000000000003</v>
      </c>
      <c r="G13620">
        <v>38.9</v>
      </c>
    </row>
    <row r="13621" spans="1:7">
      <c r="A13621" t="s">
        <v>1876</v>
      </c>
      <c r="B13621" t="s">
        <v>389</v>
      </c>
      <c r="C13621" t="s">
        <v>1708</v>
      </c>
      <c r="D13621">
        <v>2609</v>
      </c>
      <c r="E13621">
        <v>2609</v>
      </c>
      <c r="F13621">
        <v>2609</v>
      </c>
      <c r="G13621">
        <v>2609</v>
      </c>
    </row>
    <row r="13622" spans="1:7">
      <c r="A13622" t="s">
        <v>1876</v>
      </c>
      <c r="B13622" t="s">
        <v>389</v>
      </c>
      <c r="C13622" t="s">
        <v>206</v>
      </c>
      <c r="D13622">
        <v>0</v>
      </c>
      <c r="E13622">
        <v>0</v>
      </c>
      <c r="F13622">
        <v>0</v>
      </c>
      <c r="G13622">
        <v>0</v>
      </c>
    </row>
    <row r="13623" spans="1:7">
      <c r="A13623" t="s">
        <v>1876</v>
      </c>
      <c r="B13623" t="s">
        <v>389</v>
      </c>
      <c r="C13623" t="s">
        <v>207</v>
      </c>
      <c r="D13623">
        <v>37093</v>
      </c>
      <c r="E13623">
        <v>31384</v>
      </c>
      <c r="F13623">
        <v>27438</v>
      </c>
      <c r="G13623">
        <v>30406</v>
      </c>
    </row>
    <row r="13624" spans="1:7">
      <c r="A13624" t="s">
        <v>1876</v>
      </c>
      <c r="B13624" t="s">
        <v>389</v>
      </c>
      <c r="C13624" t="s">
        <v>208</v>
      </c>
      <c r="D13624">
        <v>0</v>
      </c>
      <c r="E13624">
        <v>0</v>
      </c>
      <c r="F13624">
        <v>0</v>
      </c>
      <c r="G13624">
        <v>0</v>
      </c>
    </row>
    <row r="13625" spans="1:7">
      <c r="A13625" t="s">
        <v>1876</v>
      </c>
      <c r="B13625" t="s">
        <v>389</v>
      </c>
      <c r="C13625" t="s">
        <v>209</v>
      </c>
      <c r="D13625">
        <v>37093</v>
      </c>
      <c r="E13625">
        <v>31384</v>
      </c>
      <c r="F13625">
        <v>27438</v>
      </c>
      <c r="G13625">
        <v>30406</v>
      </c>
    </row>
    <row r="13626" spans="1:7">
      <c r="A13626" t="s">
        <v>1876</v>
      </c>
      <c r="B13626" t="s">
        <v>389</v>
      </c>
      <c r="C13626" t="s">
        <v>210</v>
      </c>
      <c r="D13626">
        <v>0</v>
      </c>
      <c r="E13626">
        <v>0</v>
      </c>
      <c r="F13626">
        <v>0</v>
      </c>
      <c r="G13626">
        <v>0</v>
      </c>
    </row>
    <row r="13627" spans="1:7">
      <c r="A13627" t="s">
        <v>1876</v>
      </c>
      <c r="B13627" t="s">
        <v>389</v>
      </c>
      <c r="C13627" t="s">
        <v>211</v>
      </c>
      <c r="D13627">
        <v>0</v>
      </c>
      <c r="E13627">
        <v>0</v>
      </c>
      <c r="F13627">
        <v>0</v>
      </c>
      <c r="G13627">
        <v>0</v>
      </c>
    </row>
    <row r="13628" spans="1:7">
      <c r="A13628" t="s">
        <v>1876</v>
      </c>
      <c r="B13628" t="s">
        <v>389</v>
      </c>
      <c r="C13628" t="s">
        <v>212</v>
      </c>
      <c r="D13628">
        <v>0</v>
      </c>
      <c r="E13628">
        <v>0</v>
      </c>
      <c r="F13628">
        <v>0</v>
      </c>
      <c r="G13628">
        <v>0</v>
      </c>
    </row>
    <row r="13629" spans="1:7">
      <c r="A13629" t="s">
        <v>1876</v>
      </c>
      <c r="B13629" t="s">
        <v>389</v>
      </c>
      <c r="C13629" t="s">
        <v>213</v>
      </c>
      <c r="D13629">
        <v>0</v>
      </c>
      <c r="E13629">
        <v>0</v>
      </c>
      <c r="F13629">
        <v>0</v>
      </c>
      <c r="G13629">
        <v>0</v>
      </c>
    </row>
    <row r="13630" spans="1:7">
      <c r="A13630" t="s">
        <v>1876</v>
      </c>
      <c r="B13630" t="s">
        <v>389</v>
      </c>
      <c r="C13630" t="s">
        <v>214</v>
      </c>
      <c r="D13630">
        <v>0</v>
      </c>
      <c r="E13630">
        <v>0</v>
      </c>
      <c r="F13630">
        <v>0</v>
      </c>
      <c r="G13630">
        <v>0</v>
      </c>
    </row>
    <row r="13631" spans="1:7">
      <c r="A13631" t="s">
        <v>1876</v>
      </c>
      <c r="B13631" t="s">
        <v>389</v>
      </c>
      <c r="C13631" t="s">
        <v>215</v>
      </c>
      <c r="D13631">
        <v>95538</v>
      </c>
      <c r="E13631">
        <v>86351</v>
      </c>
      <c r="F13631">
        <v>85726</v>
      </c>
      <c r="G13631">
        <v>79205</v>
      </c>
    </row>
    <row r="13632" spans="1:7">
      <c r="A13632" t="s">
        <v>1876</v>
      </c>
      <c r="B13632" t="s">
        <v>389</v>
      </c>
      <c r="C13632" t="s">
        <v>216</v>
      </c>
      <c r="D13632">
        <v>95538</v>
      </c>
      <c r="E13632">
        <v>86351</v>
      </c>
      <c r="F13632">
        <v>85726</v>
      </c>
      <c r="G13632">
        <v>79205</v>
      </c>
    </row>
    <row r="13633" spans="1:7">
      <c r="A13633" t="s">
        <v>1876</v>
      </c>
      <c r="B13633" t="s">
        <v>389</v>
      </c>
      <c r="C13633" t="s">
        <v>217</v>
      </c>
      <c r="D13633">
        <v>95538</v>
      </c>
      <c r="E13633">
        <v>86351</v>
      </c>
      <c r="F13633">
        <v>85726</v>
      </c>
      <c r="G13633">
        <v>79205</v>
      </c>
    </row>
    <row r="13634" spans="1:7">
      <c r="A13634" t="s">
        <v>1876</v>
      </c>
      <c r="B13634" t="s">
        <v>389</v>
      </c>
      <c r="C13634" t="s">
        <v>218</v>
      </c>
      <c r="D13634">
        <v>19</v>
      </c>
      <c r="E13634">
        <v>18</v>
      </c>
      <c r="F13634">
        <v>30</v>
      </c>
      <c r="G13634">
        <v>23</v>
      </c>
    </row>
    <row r="13635" spans="1:7">
      <c r="A13635" t="s">
        <v>1876</v>
      </c>
      <c r="B13635" t="s">
        <v>389</v>
      </c>
      <c r="C13635" t="s">
        <v>219</v>
      </c>
      <c r="D13635">
        <v>31</v>
      </c>
      <c r="E13635">
        <v>23</v>
      </c>
      <c r="F13635">
        <v>93</v>
      </c>
      <c r="G13635">
        <v>51</v>
      </c>
    </row>
    <row r="13636" spans="1:7">
      <c r="A13636" t="s">
        <v>1876</v>
      </c>
      <c r="B13636" t="s">
        <v>389</v>
      </c>
      <c r="C13636" t="s">
        <v>220</v>
      </c>
      <c r="D13636">
        <v>187</v>
      </c>
      <c r="E13636">
        <v>173</v>
      </c>
      <c r="F13636">
        <v>285</v>
      </c>
      <c r="G13636">
        <v>219</v>
      </c>
    </row>
    <row r="13637" spans="1:7">
      <c r="A13637" t="s">
        <v>1876</v>
      </c>
      <c r="B13637" t="s">
        <v>389</v>
      </c>
      <c r="C13637" t="s">
        <v>221</v>
      </c>
      <c r="D13637">
        <v>237</v>
      </c>
      <c r="E13637">
        <v>214</v>
      </c>
      <c r="F13637">
        <v>407</v>
      </c>
      <c r="G13637">
        <v>292</v>
      </c>
    </row>
    <row r="13638" spans="1:7">
      <c r="A13638" t="s">
        <v>1876</v>
      </c>
      <c r="B13638" t="s">
        <v>389</v>
      </c>
      <c r="C13638" t="s">
        <v>222</v>
      </c>
      <c r="D13638">
        <v>237</v>
      </c>
      <c r="E13638">
        <v>214</v>
      </c>
      <c r="F13638">
        <v>407</v>
      </c>
      <c r="G13638">
        <v>292</v>
      </c>
    </row>
    <row r="13639" spans="1:7">
      <c r="A13639" t="s">
        <v>1876</v>
      </c>
      <c r="B13639" t="s">
        <v>389</v>
      </c>
      <c r="C13639" t="s">
        <v>1933</v>
      </c>
      <c r="D13639">
        <v>5824.1</v>
      </c>
      <c r="E13639">
        <v>5962.1</v>
      </c>
      <c r="F13639">
        <v>6029.5</v>
      </c>
      <c r="G13639">
        <v>6086.2</v>
      </c>
    </row>
    <row r="13640" spans="1:7">
      <c r="A13640" t="s">
        <v>1876</v>
      </c>
      <c r="B13640" t="s">
        <v>389</v>
      </c>
      <c r="C13640" t="s">
        <v>223</v>
      </c>
      <c r="D13640">
        <v>0</v>
      </c>
      <c r="E13640">
        <v>0</v>
      </c>
      <c r="F13640">
        <v>0</v>
      </c>
      <c r="G13640">
        <v>0</v>
      </c>
    </row>
    <row r="13641" spans="1:7">
      <c r="A13641" t="s">
        <v>1876</v>
      </c>
      <c r="B13641" t="s">
        <v>389</v>
      </c>
      <c r="C13641" t="s">
        <v>224</v>
      </c>
      <c r="D13641">
        <v>212419</v>
      </c>
      <c r="E13641">
        <v>219169</v>
      </c>
      <c r="F13641">
        <v>216995</v>
      </c>
      <c r="G13641">
        <v>215542</v>
      </c>
    </row>
    <row r="13642" spans="1:7">
      <c r="A13642" t="s">
        <v>1876</v>
      </c>
      <c r="B13642" t="s">
        <v>389</v>
      </c>
      <c r="C13642" t="s">
        <v>225</v>
      </c>
      <c r="D13642">
        <v>133540</v>
      </c>
      <c r="E13642">
        <v>139828</v>
      </c>
      <c r="F13642">
        <v>139746</v>
      </c>
      <c r="G13642">
        <v>138554</v>
      </c>
    </row>
    <row r="13643" spans="1:7">
      <c r="A13643" t="s">
        <v>1876</v>
      </c>
      <c r="B13643" t="s">
        <v>389</v>
      </c>
      <c r="C13643" t="s">
        <v>226</v>
      </c>
      <c r="D13643">
        <v>261022</v>
      </c>
      <c r="E13643">
        <v>267548</v>
      </c>
      <c r="F13643">
        <v>255678</v>
      </c>
      <c r="G13643">
        <v>262436</v>
      </c>
    </row>
    <row r="13644" spans="1:7">
      <c r="A13644" t="s">
        <v>1876</v>
      </c>
      <c r="B13644" t="s">
        <v>389</v>
      </c>
      <c r="C13644" t="s">
        <v>227</v>
      </c>
      <c r="D13644">
        <v>606981</v>
      </c>
      <c r="E13644">
        <v>626545</v>
      </c>
      <c r="F13644">
        <v>612420</v>
      </c>
      <c r="G13644">
        <v>616532</v>
      </c>
    </row>
    <row r="13645" spans="1:7">
      <c r="A13645" t="s">
        <v>1876</v>
      </c>
      <c r="B13645" t="s">
        <v>389</v>
      </c>
      <c r="C13645" t="s">
        <v>228</v>
      </c>
      <c r="D13645">
        <v>606981</v>
      </c>
      <c r="E13645">
        <v>626545</v>
      </c>
      <c r="F13645">
        <v>612420</v>
      </c>
      <c r="G13645">
        <v>616532</v>
      </c>
    </row>
    <row r="13646" spans="1:7">
      <c r="A13646" t="s">
        <v>1876</v>
      </c>
      <c r="B13646" t="s">
        <v>389</v>
      </c>
      <c r="C13646" t="s">
        <v>229</v>
      </c>
      <c r="D13646">
        <v>3015</v>
      </c>
      <c r="E13646">
        <v>3213</v>
      </c>
      <c r="F13646">
        <v>2330</v>
      </c>
      <c r="G13646">
        <v>2245</v>
      </c>
    </row>
    <row r="13647" spans="1:7">
      <c r="A13647" t="s">
        <v>1876</v>
      </c>
      <c r="B13647" t="s">
        <v>389</v>
      </c>
      <c r="C13647" t="s">
        <v>230</v>
      </c>
      <c r="D13647">
        <v>2161</v>
      </c>
      <c r="E13647">
        <v>2284</v>
      </c>
      <c r="F13647">
        <v>1606</v>
      </c>
      <c r="G13647">
        <v>1508</v>
      </c>
    </row>
    <row r="13648" spans="1:7">
      <c r="A13648" t="s">
        <v>1876</v>
      </c>
      <c r="B13648" t="s">
        <v>389</v>
      </c>
      <c r="C13648" t="s">
        <v>231</v>
      </c>
      <c r="D13648">
        <v>5176</v>
      </c>
      <c r="E13648">
        <v>5498</v>
      </c>
      <c r="F13648">
        <v>3936</v>
      </c>
      <c r="G13648">
        <v>3753</v>
      </c>
    </row>
    <row r="13649" spans="1:7">
      <c r="A13649" t="s">
        <v>1876</v>
      </c>
      <c r="B13649" t="s">
        <v>389</v>
      </c>
      <c r="C13649" t="s">
        <v>232</v>
      </c>
      <c r="D13649">
        <v>5176</v>
      </c>
      <c r="E13649">
        <v>5498</v>
      </c>
      <c r="F13649">
        <v>3936</v>
      </c>
      <c r="G13649">
        <v>3753</v>
      </c>
    </row>
    <row r="13650" spans="1:7">
      <c r="A13650" t="s">
        <v>1876</v>
      </c>
      <c r="B13650" t="s">
        <v>389</v>
      </c>
      <c r="C13650" t="s">
        <v>233</v>
      </c>
      <c r="D13650">
        <v>0</v>
      </c>
      <c r="E13650">
        <v>0</v>
      </c>
      <c r="F13650">
        <v>0</v>
      </c>
      <c r="G13650">
        <v>0</v>
      </c>
    </row>
    <row r="13651" spans="1:7">
      <c r="A13651" t="s">
        <v>1876</v>
      </c>
      <c r="B13651" t="s">
        <v>389</v>
      </c>
      <c r="C13651" t="s">
        <v>234</v>
      </c>
      <c r="D13651">
        <v>390122</v>
      </c>
      <c r="E13651">
        <v>392278</v>
      </c>
      <c r="F13651">
        <v>396469</v>
      </c>
      <c r="G13651">
        <v>406002</v>
      </c>
    </row>
    <row r="13652" spans="1:7">
      <c r="A13652" t="s">
        <v>1876</v>
      </c>
      <c r="B13652" t="s">
        <v>389</v>
      </c>
      <c r="C13652" t="s">
        <v>235</v>
      </c>
      <c r="D13652">
        <v>7134</v>
      </c>
      <c r="E13652">
        <v>7228</v>
      </c>
      <c r="F13652">
        <v>7238</v>
      </c>
      <c r="G13652">
        <v>5791</v>
      </c>
    </row>
    <row r="13653" spans="1:7">
      <c r="A13653" t="s">
        <v>1876</v>
      </c>
      <c r="B13653" t="s">
        <v>389</v>
      </c>
      <c r="C13653" t="s">
        <v>236</v>
      </c>
      <c r="D13653">
        <v>5893</v>
      </c>
      <c r="E13653">
        <v>6231</v>
      </c>
      <c r="F13653">
        <v>6269</v>
      </c>
      <c r="G13653">
        <v>4319</v>
      </c>
    </row>
    <row r="13654" spans="1:7">
      <c r="A13654" t="s">
        <v>1876</v>
      </c>
      <c r="B13654" t="s">
        <v>389</v>
      </c>
      <c r="C13654" t="s">
        <v>237</v>
      </c>
      <c r="D13654">
        <v>403149</v>
      </c>
      <c r="E13654">
        <v>405737</v>
      </c>
      <c r="F13654">
        <v>409977</v>
      </c>
      <c r="G13654">
        <v>416112</v>
      </c>
    </row>
    <row r="13655" spans="1:7">
      <c r="A13655" t="s">
        <v>1876</v>
      </c>
      <c r="B13655" t="s">
        <v>389</v>
      </c>
      <c r="C13655" t="s">
        <v>238</v>
      </c>
      <c r="D13655">
        <v>403149</v>
      </c>
      <c r="E13655">
        <v>405737</v>
      </c>
      <c r="F13655">
        <v>409977</v>
      </c>
      <c r="G13655">
        <v>416112</v>
      </c>
    </row>
    <row r="13656" spans="1:7">
      <c r="A13656" t="s">
        <v>1876</v>
      </c>
      <c r="B13656" t="s">
        <v>389</v>
      </c>
      <c r="C13656" t="s">
        <v>1934</v>
      </c>
      <c r="D13656">
        <v>363111</v>
      </c>
      <c r="E13656">
        <v>365072</v>
      </c>
      <c r="F13656">
        <v>368593</v>
      </c>
      <c r="G13656">
        <v>378010</v>
      </c>
    </row>
    <row r="13657" spans="1:7">
      <c r="A13657" t="s">
        <v>1876</v>
      </c>
      <c r="B13657" t="s">
        <v>389</v>
      </c>
      <c r="C13657" t="s">
        <v>1935</v>
      </c>
      <c r="D13657">
        <v>6640</v>
      </c>
      <c r="E13657">
        <v>6727</v>
      </c>
      <c r="F13657">
        <v>6729</v>
      </c>
      <c r="G13657">
        <v>5391</v>
      </c>
    </row>
    <row r="13658" spans="1:7">
      <c r="A13658" t="s">
        <v>1876</v>
      </c>
      <c r="B13658" t="s">
        <v>389</v>
      </c>
      <c r="C13658" t="s">
        <v>1936</v>
      </c>
      <c r="D13658">
        <v>5485</v>
      </c>
      <c r="E13658">
        <v>5799</v>
      </c>
      <c r="F13658">
        <v>5828</v>
      </c>
      <c r="G13658">
        <v>4022</v>
      </c>
    </row>
    <row r="13659" spans="1:7">
      <c r="A13659" t="s">
        <v>1876</v>
      </c>
      <c r="B13659" t="s">
        <v>389</v>
      </c>
      <c r="C13659" t="s">
        <v>239</v>
      </c>
      <c r="D13659">
        <v>375236</v>
      </c>
      <c r="E13659">
        <v>377598</v>
      </c>
      <c r="F13659">
        <v>381150</v>
      </c>
      <c r="G13659">
        <v>387423</v>
      </c>
    </row>
    <row r="13660" spans="1:7">
      <c r="A13660" t="s">
        <v>1876</v>
      </c>
      <c r="B13660" t="s">
        <v>389</v>
      </c>
      <c r="C13660" t="s">
        <v>240</v>
      </c>
      <c r="D13660">
        <v>5328</v>
      </c>
      <c r="E13660">
        <v>3182</v>
      </c>
      <c r="F13660">
        <v>3058</v>
      </c>
      <c r="G13660">
        <v>2994</v>
      </c>
    </row>
    <row r="13661" spans="1:7">
      <c r="A13661" t="s">
        <v>1876</v>
      </c>
      <c r="B13661" t="s">
        <v>389</v>
      </c>
      <c r="C13661" t="s">
        <v>241</v>
      </c>
      <c r="D13661">
        <v>0</v>
      </c>
      <c r="E13661">
        <v>0</v>
      </c>
      <c r="F13661">
        <v>0</v>
      </c>
      <c r="G13661">
        <v>0</v>
      </c>
    </row>
    <row r="13662" spans="1:7">
      <c r="A13662" t="s">
        <v>1876</v>
      </c>
      <c r="B13662" t="s">
        <v>389</v>
      </c>
      <c r="C13662" t="s">
        <v>242</v>
      </c>
      <c r="D13662">
        <v>19163</v>
      </c>
      <c r="E13662">
        <v>19370</v>
      </c>
      <c r="F13662">
        <v>19754</v>
      </c>
      <c r="G13662">
        <v>19442</v>
      </c>
    </row>
    <row r="13663" spans="1:7">
      <c r="A13663" t="s">
        <v>1876</v>
      </c>
      <c r="B13663" t="s">
        <v>389</v>
      </c>
      <c r="C13663" t="s">
        <v>243</v>
      </c>
      <c r="D13663">
        <v>60970</v>
      </c>
      <c r="E13663">
        <v>62951</v>
      </c>
      <c r="F13663">
        <v>55610</v>
      </c>
      <c r="G13663">
        <v>59588</v>
      </c>
    </row>
    <row r="13664" spans="1:7">
      <c r="A13664" t="s">
        <v>1876</v>
      </c>
      <c r="B13664" t="s">
        <v>389</v>
      </c>
      <c r="C13664" t="s">
        <v>244</v>
      </c>
      <c r="D13664">
        <v>98580</v>
      </c>
      <c r="E13664">
        <v>123232</v>
      </c>
      <c r="F13664">
        <v>104416</v>
      </c>
      <c r="G13664">
        <v>117490</v>
      </c>
    </row>
    <row r="13665" spans="1:7">
      <c r="A13665" t="s">
        <v>1876</v>
      </c>
      <c r="B13665" t="s">
        <v>389</v>
      </c>
      <c r="C13665" t="s">
        <v>1709</v>
      </c>
      <c r="D13665">
        <v>6354</v>
      </c>
      <c r="E13665">
        <v>5994</v>
      </c>
      <c r="F13665">
        <v>5994</v>
      </c>
      <c r="G13665">
        <v>5994</v>
      </c>
    </row>
    <row r="13666" spans="1:7">
      <c r="A13666" t="s">
        <v>1876</v>
      </c>
      <c r="B13666" t="s">
        <v>389</v>
      </c>
      <c r="C13666" t="s">
        <v>245</v>
      </c>
      <c r="D13666">
        <v>160179</v>
      </c>
      <c r="E13666">
        <v>158623</v>
      </c>
      <c r="F13666">
        <v>150507</v>
      </c>
      <c r="G13666">
        <v>168648</v>
      </c>
    </row>
    <row r="13667" spans="1:7">
      <c r="A13667" t="s">
        <v>1876</v>
      </c>
      <c r="B13667" t="s">
        <v>389</v>
      </c>
      <c r="C13667" t="s">
        <v>246</v>
      </c>
      <c r="D13667">
        <v>74661</v>
      </c>
      <c r="E13667">
        <v>75847</v>
      </c>
      <c r="F13667">
        <v>65458</v>
      </c>
      <c r="G13667">
        <v>69131</v>
      </c>
    </row>
    <row r="13668" spans="1:7">
      <c r="A13668" t="s">
        <v>1876</v>
      </c>
      <c r="B13668" t="s">
        <v>389</v>
      </c>
      <c r="C13668" t="s">
        <v>247</v>
      </c>
      <c r="D13668">
        <v>413554</v>
      </c>
      <c r="E13668">
        <v>440024</v>
      </c>
      <c r="F13668">
        <v>395744</v>
      </c>
      <c r="G13668">
        <v>434299</v>
      </c>
    </row>
    <row r="13669" spans="1:7">
      <c r="A13669" t="s">
        <v>1876</v>
      </c>
      <c r="B13669" t="s">
        <v>389</v>
      </c>
      <c r="C13669" t="s">
        <v>248</v>
      </c>
      <c r="D13669">
        <v>59.4</v>
      </c>
      <c r="E13669">
        <v>62.3</v>
      </c>
      <c r="F13669">
        <v>55.3</v>
      </c>
      <c r="G13669">
        <v>59.9</v>
      </c>
    </row>
    <row r="13670" spans="1:7">
      <c r="A13670" t="s">
        <v>1876</v>
      </c>
      <c r="B13670" t="s">
        <v>389</v>
      </c>
      <c r="C13670" t="s">
        <v>249</v>
      </c>
      <c r="D13670">
        <v>314973</v>
      </c>
      <c r="E13670">
        <v>316792</v>
      </c>
      <c r="F13670">
        <v>291329</v>
      </c>
      <c r="G13670">
        <v>316810</v>
      </c>
    </row>
    <row r="13671" spans="1:7">
      <c r="A13671" t="s">
        <v>1876</v>
      </c>
      <c r="B13671" t="s">
        <v>389</v>
      </c>
      <c r="C13671" t="s">
        <v>250</v>
      </c>
      <c r="D13671">
        <v>413554</v>
      </c>
      <c r="E13671">
        <v>440017</v>
      </c>
      <c r="F13671">
        <v>394293</v>
      </c>
      <c r="G13671">
        <v>432679</v>
      </c>
    </row>
    <row r="13672" spans="1:7">
      <c r="A13672" t="s">
        <v>1876</v>
      </c>
      <c r="B13672" t="s">
        <v>389</v>
      </c>
      <c r="C13672" t="s">
        <v>1937</v>
      </c>
      <c r="D13672">
        <v>6.7</v>
      </c>
      <c r="E13672">
        <v>7.8</v>
      </c>
      <c r="F13672">
        <v>4.7</v>
      </c>
      <c r="G13672">
        <v>5.9</v>
      </c>
    </row>
    <row r="13673" spans="1:7">
      <c r="A13673" t="s">
        <v>1876</v>
      </c>
      <c r="B13673" t="s">
        <v>389</v>
      </c>
      <c r="C13673" t="s">
        <v>1938</v>
      </c>
      <c r="D13673">
        <v>89.2</v>
      </c>
      <c r="E13673">
        <v>90</v>
      </c>
      <c r="F13673">
        <v>95.8</v>
      </c>
      <c r="G13673">
        <v>81.099999999999994</v>
      </c>
    </row>
    <row r="13674" spans="1:7">
      <c r="A13674" t="s">
        <v>1876</v>
      </c>
      <c r="B13674" t="s">
        <v>389</v>
      </c>
      <c r="C13674" t="s">
        <v>251</v>
      </c>
      <c r="D13674">
        <v>368461</v>
      </c>
      <c r="E13674">
        <v>372319</v>
      </c>
      <c r="F13674">
        <v>396522</v>
      </c>
      <c r="G13674">
        <v>336118</v>
      </c>
    </row>
    <row r="13675" spans="1:7">
      <c r="A13675" t="s">
        <v>1876</v>
      </c>
      <c r="B13675" t="s">
        <v>389</v>
      </c>
      <c r="C13675" t="s">
        <v>252</v>
      </c>
      <c r="D13675">
        <v>368461</v>
      </c>
      <c r="E13675">
        <v>372319</v>
      </c>
      <c r="F13675">
        <v>396522</v>
      </c>
      <c r="G13675">
        <v>336118</v>
      </c>
    </row>
    <row r="13676" spans="1:7">
      <c r="A13676" t="s">
        <v>1876</v>
      </c>
      <c r="B13676" t="s">
        <v>389</v>
      </c>
      <c r="C13676" t="s">
        <v>1710</v>
      </c>
      <c r="D13676">
        <v>4523</v>
      </c>
      <c r="E13676">
        <v>4523</v>
      </c>
      <c r="F13676">
        <v>4523</v>
      </c>
      <c r="G13676">
        <v>4523</v>
      </c>
    </row>
    <row r="13677" spans="1:7">
      <c r="A13677" t="s">
        <v>1876</v>
      </c>
      <c r="B13677" t="s">
        <v>389</v>
      </c>
      <c r="C13677" t="s">
        <v>1939</v>
      </c>
      <c r="D13677">
        <v>74.8</v>
      </c>
      <c r="E13677">
        <v>45.1</v>
      </c>
      <c r="F13677">
        <v>47.8</v>
      </c>
      <c r="G13677">
        <v>59.3</v>
      </c>
    </row>
    <row r="13678" spans="1:7">
      <c r="A13678" t="s">
        <v>1876</v>
      </c>
      <c r="B13678" t="s">
        <v>389</v>
      </c>
      <c r="C13678" t="s">
        <v>253</v>
      </c>
      <c r="D13678">
        <v>0</v>
      </c>
      <c r="E13678">
        <v>0</v>
      </c>
      <c r="F13678">
        <v>0</v>
      </c>
      <c r="G13678">
        <v>0</v>
      </c>
    </row>
    <row r="13679" spans="1:7">
      <c r="A13679" t="s">
        <v>1876</v>
      </c>
      <c r="B13679" t="s">
        <v>389</v>
      </c>
      <c r="C13679" t="s">
        <v>1711</v>
      </c>
      <c r="D13679">
        <v>0</v>
      </c>
      <c r="E13679">
        <v>0</v>
      </c>
      <c r="F13679">
        <v>0</v>
      </c>
      <c r="G13679">
        <v>0</v>
      </c>
    </row>
    <row r="13680" spans="1:7">
      <c r="A13680" t="s">
        <v>1876</v>
      </c>
      <c r="B13680" t="s">
        <v>389</v>
      </c>
      <c r="C13680" t="s">
        <v>1712</v>
      </c>
      <c r="D13680">
        <v>23392</v>
      </c>
      <c r="E13680">
        <v>21005</v>
      </c>
      <c r="F13680">
        <v>21289</v>
      </c>
      <c r="G13680">
        <v>20447</v>
      </c>
    </row>
    <row r="13681" spans="1:7">
      <c r="A13681" t="s">
        <v>1876</v>
      </c>
      <c r="B13681" t="s">
        <v>389</v>
      </c>
      <c r="C13681" t="s">
        <v>1713</v>
      </c>
      <c r="D13681">
        <v>2246</v>
      </c>
      <c r="E13681">
        <v>2149</v>
      </c>
      <c r="F13681">
        <v>3076</v>
      </c>
      <c r="G13681">
        <v>3198</v>
      </c>
    </row>
    <row r="13682" spans="1:7">
      <c r="A13682" t="s">
        <v>1876</v>
      </c>
      <c r="B13682" t="s">
        <v>389</v>
      </c>
      <c r="C13682" t="s">
        <v>1940</v>
      </c>
      <c r="D13682">
        <v>0</v>
      </c>
      <c r="E13682">
        <v>0</v>
      </c>
      <c r="F13682">
        <v>0</v>
      </c>
      <c r="G13682">
        <v>0</v>
      </c>
    </row>
    <row r="13683" spans="1:7">
      <c r="A13683" t="s">
        <v>1876</v>
      </c>
      <c r="B13683" t="s">
        <v>389</v>
      </c>
      <c r="C13683" t="s">
        <v>1941</v>
      </c>
      <c r="D13683">
        <v>0</v>
      </c>
      <c r="E13683">
        <v>0</v>
      </c>
      <c r="F13683">
        <v>0</v>
      </c>
      <c r="G13683">
        <v>0</v>
      </c>
    </row>
    <row r="13684" spans="1:7">
      <c r="A13684" t="s">
        <v>1876</v>
      </c>
      <c r="B13684" t="s">
        <v>389</v>
      </c>
      <c r="C13684" t="s">
        <v>254</v>
      </c>
      <c r="D13684">
        <v>23392</v>
      </c>
      <c r="E13684">
        <v>21005</v>
      </c>
      <c r="F13684">
        <v>21289</v>
      </c>
      <c r="G13684">
        <v>20447</v>
      </c>
    </row>
    <row r="13685" spans="1:7">
      <c r="A13685" t="s">
        <v>1876</v>
      </c>
      <c r="B13685" t="s">
        <v>389</v>
      </c>
      <c r="C13685" t="s">
        <v>1942</v>
      </c>
      <c r="D13685">
        <v>0</v>
      </c>
      <c r="E13685">
        <v>0</v>
      </c>
      <c r="F13685">
        <v>0</v>
      </c>
      <c r="G13685">
        <v>0</v>
      </c>
    </row>
    <row r="13686" spans="1:7">
      <c r="A13686" t="s">
        <v>1876</v>
      </c>
      <c r="B13686" t="s">
        <v>389</v>
      </c>
      <c r="C13686" t="s">
        <v>255</v>
      </c>
      <c r="D13686">
        <v>25638</v>
      </c>
      <c r="E13686">
        <v>23155</v>
      </c>
      <c r="F13686">
        <v>24365</v>
      </c>
      <c r="G13686">
        <v>23646</v>
      </c>
    </row>
    <row r="13687" spans="1:7">
      <c r="A13687" t="s">
        <v>1876</v>
      </c>
      <c r="B13687" t="s">
        <v>389</v>
      </c>
      <c r="C13687" t="s">
        <v>256</v>
      </c>
      <c r="D13687">
        <v>25638</v>
      </c>
      <c r="E13687">
        <v>23155</v>
      </c>
      <c r="F13687">
        <v>24365</v>
      </c>
      <c r="G13687">
        <v>23646</v>
      </c>
    </row>
    <row r="13688" spans="1:7">
      <c r="A13688" t="s">
        <v>1876</v>
      </c>
      <c r="B13688" t="s">
        <v>389</v>
      </c>
      <c r="C13688" t="s">
        <v>1714</v>
      </c>
      <c r="D13688">
        <v>0</v>
      </c>
      <c r="E13688">
        <v>0</v>
      </c>
      <c r="F13688">
        <v>0</v>
      </c>
      <c r="G13688">
        <v>0</v>
      </c>
    </row>
    <row r="13689" spans="1:7">
      <c r="A13689" t="s">
        <v>1876</v>
      </c>
      <c r="B13689" t="s">
        <v>389</v>
      </c>
      <c r="C13689" t="s">
        <v>257</v>
      </c>
      <c r="D13689">
        <v>51672</v>
      </c>
      <c r="E13689">
        <v>47929</v>
      </c>
      <c r="F13689">
        <v>48994</v>
      </c>
      <c r="G13689">
        <v>45553</v>
      </c>
    </row>
    <row r="13690" spans="1:7">
      <c r="A13690" t="s">
        <v>1876</v>
      </c>
      <c r="B13690" t="s">
        <v>389</v>
      </c>
      <c r="C13690" t="s">
        <v>258</v>
      </c>
      <c r="D13690">
        <v>57642</v>
      </c>
      <c r="E13690">
        <v>54002</v>
      </c>
      <c r="F13690">
        <v>55207</v>
      </c>
      <c r="G13690">
        <v>51768</v>
      </c>
    </row>
    <row r="13691" spans="1:7">
      <c r="A13691" t="s">
        <v>1876</v>
      </c>
      <c r="B13691" t="s">
        <v>389</v>
      </c>
      <c r="C13691" t="s">
        <v>259</v>
      </c>
      <c r="D13691">
        <v>57642</v>
      </c>
      <c r="E13691">
        <v>54002</v>
      </c>
      <c r="F13691">
        <v>55207</v>
      </c>
      <c r="G13691">
        <v>51768</v>
      </c>
    </row>
    <row r="13692" spans="1:7">
      <c r="A13692" t="s">
        <v>1876</v>
      </c>
      <c r="B13692" t="s">
        <v>389</v>
      </c>
      <c r="C13692" t="s">
        <v>260</v>
      </c>
      <c r="D13692">
        <v>650591</v>
      </c>
      <c r="E13692">
        <v>646272</v>
      </c>
      <c r="F13692">
        <v>644386</v>
      </c>
      <c r="G13692">
        <v>641411</v>
      </c>
    </row>
    <row r="13693" spans="1:7">
      <c r="A13693" t="s">
        <v>1876</v>
      </c>
      <c r="B13693" t="s">
        <v>389</v>
      </c>
      <c r="C13693" t="s">
        <v>1943</v>
      </c>
      <c r="D13693">
        <v>0.1</v>
      </c>
      <c r="E13693">
        <v>0.2</v>
      </c>
      <c r="F13693">
        <v>0</v>
      </c>
      <c r="G13693">
        <v>0</v>
      </c>
    </row>
    <row r="13694" spans="1:7">
      <c r="A13694" t="s">
        <v>1876</v>
      </c>
      <c r="B13694" t="s">
        <v>389</v>
      </c>
      <c r="C13694" t="s">
        <v>261</v>
      </c>
      <c r="D13694">
        <v>15148</v>
      </c>
      <c r="E13694">
        <v>14998</v>
      </c>
      <c r="F13694">
        <v>14209</v>
      </c>
      <c r="G13694">
        <v>12761</v>
      </c>
    </row>
    <row r="13695" spans="1:7">
      <c r="A13695" t="s">
        <v>1876</v>
      </c>
      <c r="B13695" t="s">
        <v>389</v>
      </c>
      <c r="C13695" t="s">
        <v>262</v>
      </c>
      <c r="D13695">
        <v>1465</v>
      </c>
      <c r="E13695">
        <v>2090</v>
      </c>
      <c r="F13695">
        <v>1361</v>
      </c>
      <c r="G13695">
        <v>1381</v>
      </c>
    </row>
    <row r="13696" spans="1:7">
      <c r="A13696" t="s">
        <v>1876</v>
      </c>
      <c r="B13696" t="s">
        <v>389</v>
      </c>
      <c r="C13696" t="s">
        <v>1715</v>
      </c>
      <c r="D13696">
        <v>43</v>
      </c>
      <c r="E13696">
        <v>470</v>
      </c>
      <c r="F13696">
        <v>470</v>
      </c>
      <c r="G13696">
        <v>470</v>
      </c>
    </row>
    <row r="13697" spans="1:7">
      <c r="A13697" t="s">
        <v>1876</v>
      </c>
      <c r="B13697" t="s">
        <v>389</v>
      </c>
      <c r="C13697" t="s">
        <v>263</v>
      </c>
      <c r="D13697">
        <v>72020</v>
      </c>
      <c r="E13697">
        <v>69131</v>
      </c>
      <c r="F13697">
        <v>69545</v>
      </c>
      <c r="G13697">
        <v>63434</v>
      </c>
    </row>
    <row r="13698" spans="1:7">
      <c r="A13698" t="s">
        <v>1876</v>
      </c>
      <c r="B13698" t="s">
        <v>389</v>
      </c>
      <c r="C13698" t="s">
        <v>264</v>
      </c>
      <c r="D13698">
        <v>6591</v>
      </c>
      <c r="E13698">
        <v>7174</v>
      </c>
      <c r="F13698">
        <v>6161</v>
      </c>
      <c r="G13698">
        <v>6252</v>
      </c>
    </row>
    <row r="13699" spans="1:7">
      <c r="A13699" t="s">
        <v>1876</v>
      </c>
      <c r="B13699" t="s">
        <v>389</v>
      </c>
      <c r="C13699" t="s">
        <v>265</v>
      </c>
      <c r="D13699">
        <v>745815</v>
      </c>
      <c r="E13699">
        <v>739664</v>
      </c>
      <c r="F13699">
        <v>735662</v>
      </c>
      <c r="G13699">
        <v>725240</v>
      </c>
    </row>
    <row r="13700" spans="1:7">
      <c r="A13700" t="s">
        <v>1876</v>
      </c>
      <c r="B13700" t="s">
        <v>389</v>
      </c>
      <c r="C13700" t="s">
        <v>266</v>
      </c>
      <c r="D13700">
        <v>107.1</v>
      </c>
      <c r="E13700">
        <v>104.7</v>
      </c>
      <c r="F13700">
        <v>102.8</v>
      </c>
      <c r="G13700">
        <v>100</v>
      </c>
    </row>
    <row r="13701" spans="1:7">
      <c r="A13701" t="s">
        <v>1876</v>
      </c>
      <c r="B13701" t="s">
        <v>389</v>
      </c>
      <c r="C13701" t="s">
        <v>267</v>
      </c>
      <c r="D13701">
        <v>744350</v>
      </c>
      <c r="E13701">
        <v>737574</v>
      </c>
      <c r="F13701">
        <v>734301</v>
      </c>
      <c r="G13701">
        <v>723859</v>
      </c>
    </row>
    <row r="13702" spans="1:7">
      <c r="A13702" t="s">
        <v>1876</v>
      </c>
      <c r="B13702" t="s">
        <v>389</v>
      </c>
      <c r="C13702" t="s">
        <v>268</v>
      </c>
      <c r="D13702">
        <v>0</v>
      </c>
      <c r="E13702">
        <v>0</v>
      </c>
      <c r="F13702">
        <v>0</v>
      </c>
      <c r="G13702">
        <v>0</v>
      </c>
    </row>
    <row r="13703" spans="1:7">
      <c r="A13703" t="s">
        <v>1876</v>
      </c>
      <c r="B13703" t="s">
        <v>389</v>
      </c>
      <c r="C13703" t="s">
        <v>269</v>
      </c>
      <c r="D13703">
        <v>0</v>
      </c>
      <c r="E13703">
        <v>0</v>
      </c>
      <c r="F13703">
        <v>0</v>
      </c>
      <c r="G13703">
        <v>0</v>
      </c>
    </row>
    <row r="13704" spans="1:7">
      <c r="A13704" t="s">
        <v>1876</v>
      </c>
      <c r="B13704" t="s">
        <v>389</v>
      </c>
      <c r="C13704" t="s">
        <v>270</v>
      </c>
      <c r="D13704">
        <v>5809</v>
      </c>
      <c r="E13704">
        <v>5357</v>
      </c>
      <c r="F13704">
        <v>5445</v>
      </c>
      <c r="G13704">
        <v>1930</v>
      </c>
    </row>
    <row r="13705" spans="1:7">
      <c r="A13705" t="s">
        <v>1876</v>
      </c>
      <c r="B13705" t="s">
        <v>389</v>
      </c>
      <c r="C13705" t="s">
        <v>271</v>
      </c>
      <c r="D13705">
        <v>5809</v>
      </c>
      <c r="E13705">
        <v>5357</v>
      </c>
      <c r="F13705">
        <v>5445</v>
      </c>
      <c r="G13705">
        <v>1930</v>
      </c>
    </row>
    <row r="13706" spans="1:7">
      <c r="A13706" t="s">
        <v>1876</v>
      </c>
      <c r="B13706" t="s">
        <v>389</v>
      </c>
      <c r="C13706" t="s">
        <v>272</v>
      </c>
      <c r="D13706">
        <v>5809</v>
      </c>
      <c r="E13706">
        <v>5357</v>
      </c>
      <c r="F13706">
        <v>5445</v>
      </c>
      <c r="G13706">
        <v>1930</v>
      </c>
    </row>
    <row r="13707" spans="1:7">
      <c r="A13707" t="s">
        <v>1876</v>
      </c>
      <c r="B13707" t="s">
        <v>389</v>
      </c>
      <c r="C13707" t="s">
        <v>1944</v>
      </c>
      <c r="D13707">
        <v>6.1</v>
      </c>
      <c r="E13707">
        <v>8.1999999999999993</v>
      </c>
      <c r="F13707">
        <v>9.6999999999999993</v>
      </c>
      <c r="G13707">
        <v>12.3</v>
      </c>
    </row>
    <row r="13708" spans="1:7">
      <c r="A13708" t="s">
        <v>1876</v>
      </c>
      <c r="B13708" t="s">
        <v>389</v>
      </c>
      <c r="C13708" t="s">
        <v>1945</v>
      </c>
      <c r="D13708">
        <v>10</v>
      </c>
      <c r="E13708">
        <v>16</v>
      </c>
      <c r="F13708">
        <v>27</v>
      </c>
      <c r="G13708">
        <v>34</v>
      </c>
    </row>
    <row r="13709" spans="1:7">
      <c r="A13709" t="s">
        <v>1876</v>
      </c>
      <c r="B13709" t="s">
        <v>389</v>
      </c>
      <c r="C13709" t="s">
        <v>273</v>
      </c>
      <c r="D13709">
        <v>0</v>
      </c>
      <c r="E13709">
        <v>0</v>
      </c>
      <c r="F13709">
        <v>0</v>
      </c>
      <c r="G13709">
        <v>0</v>
      </c>
    </row>
    <row r="13710" spans="1:7">
      <c r="A13710" t="s">
        <v>1876</v>
      </c>
      <c r="B13710" t="s">
        <v>389</v>
      </c>
      <c r="C13710" t="s">
        <v>1946</v>
      </c>
      <c r="D13710">
        <v>619671</v>
      </c>
      <c r="E13710">
        <v>615400</v>
      </c>
      <c r="F13710">
        <v>611621</v>
      </c>
      <c r="G13710">
        <v>608493</v>
      </c>
    </row>
    <row r="13711" spans="1:7">
      <c r="A13711" t="s">
        <v>1876</v>
      </c>
      <c r="B13711" t="s">
        <v>389</v>
      </c>
      <c r="C13711" t="s">
        <v>1947</v>
      </c>
      <c r="D13711">
        <v>14654</v>
      </c>
      <c r="E13711">
        <v>14496</v>
      </c>
      <c r="F13711">
        <v>13700</v>
      </c>
      <c r="G13711">
        <v>12362</v>
      </c>
    </row>
    <row r="13712" spans="1:7">
      <c r="A13712" t="s">
        <v>1876</v>
      </c>
      <c r="B13712" t="s">
        <v>389</v>
      </c>
      <c r="C13712" t="s">
        <v>1948</v>
      </c>
      <c r="D13712">
        <v>1465</v>
      </c>
      <c r="E13712">
        <v>2090</v>
      </c>
      <c r="F13712">
        <v>1361</v>
      </c>
      <c r="G13712">
        <v>1381</v>
      </c>
    </row>
    <row r="13713" spans="1:7">
      <c r="A13713" t="s">
        <v>1876</v>
      </c>
      <c r="B13713" t="s">
        <v>389</v>
      </c>
      <c r="C13713" t="s">
        <v>1949</v>
      </c>
      <c r="D13713">
        <v>71612</v>
      </c>
      <c r="E13713">
        <v>68698</v>
      </c>
      <c r="F13713">
        <v>69105</v>
      </c>
      <c r="G13713">
        <v>63136</v>
      </c>
    </row>
    <row r="13714" spans="1:7">
      <c r="A13714" t="s">
        <v>1876</v>
      </c>
      <c r="B13714" t="s">
        <v>389</v>
      </c>
      <c r="C13714" t="s">
        <v>1950</v>
      </c>
      <c r="D13714">
        <v>6591</v>
      </c>
      <c r="E13714">
        <v>7174</v>
      </c>
      <c r="F13714">
        <v>6161</v>
      </c>
      <c r="G13714">
        <v>6252</v>
      </c>
    </row>
    <row r="13715" spans="1:7">
      <c r="A13715" t="s">
        <v>1876</v>
      </c>
      <c r="B13715" t="s">
        <v>389</v>
      </c>
      <c r="C13715" t="s">
        <v>274</v>
      </c>
      <c r="D13715">
        <v>713992</v>
      </c>
      <c r="E13715">
        <v>707858</v>
      </c>
      <c r="F13715">
        <v>701947</v>
      </c>
      <c r="G13715">
        <v>691624</v>
      </c>
    </row>
    <row r="13716" spans="1:7">
      <c r="A13716" t="s">
        <v>1876</v>
      </c>
      <c r="B13716" t="s">
        <v>389</v>
      </c>
      <c r="C13716" t="s">
        <v>275</v>
      </c>
      <c r="D13716">
        <v>0</v>
      </c>
      <c r="E13716">
        <v>0</v>
      </c>
      <c r="F13716">
        <v>0</v>
      </c>
      <c r="G13716">
        <v>0</v>
      </c>
    </row>
    <row r="13717" spans="1:7">
      <c r="A13717" t="s">
        <v>1876</v>
      </c>
      <c r="B13717" t="s">
        <v>389</v>
      </c>
      <c r="C13717" t="s">
        <v>276</v>
      </c>
      <c r="D13717">
        <v>0</v>
      </c>
      <c r="E13717">
        <v>0</v>
      </c>
      <c r="F13717">
        <v>0</v>
      </c>
      <c r="G13717">
        <v>0</v>
      </c>
    </row>
    <row r="13718" spans="1:7">
      <c r="A13718" t="s">
        <v>1876</v>
      </c>
      <c r="B13718" t="s">
        <v>389</v>
      </c>
      <c r="C13718" t="s">
        <v>277</v>
      </c>
      <c r="D13718">
        <v>46</v>
      </c>
      <c r="E13718">
        <v>103</v>
      </c>
      <c r="F13718">
        <v>99</v>
      </c>
      <c r="G13718">
        <v>61</v>
      </c>
    </row>
    <row r="13719" spans="1:7">
      <c r="A13719" t="s">
        <v>1876</v>
      </c>
      <c r="B13719" t="s">
        <v>389</v>
      </c>
      <c r="C13719" t="s">
        <v>278</v>
      </c>
      <c r="D13719">
        <v>2917</v>
      </c>
      <c r="E13719">
        <v>2530</v>
      </c>
      <c r="F13719">
        <v>2258</v>
      </c>
      <c r="G13719">
        <v>2302</v>
      </c>
    </row>
    <row r="13720" spans="1:7">
      <c r="A13720" t="s">
        <v>1876</v>
      </c>
      <c r="B13720" t="s">
        <v>389</v>
      </c>
      <c r="C13720" t="s">
        <v>279</v>
      </c>
      <c r="D13720">
        <v>2197</v>
      </c>
      <c r="E13720">
        <v>2575</v>
      </c>
      <c r="F13720">
        <v>2220</v>
      </c>
      <c r="G13720">
        <v>1834</v>
      </c>
    </row>
    <row r="13721" spans="1:7">
      <c r="A13721" t="s">
        <v>1876</v>
      </c>
      <c r="B13721" t="s">
        <v>389</v>
      </c>
      <c r="C13721" t="s">
        <v>280</v>
      </c>
      <c r="D13721">
        <v>6120</v>
      </c>
      <c r="E13721">
        <v>6705</v>
      </c>
      <c r="F13721">
        <v>5612</v>
      </c>
      <c r="G13721">
        <v>5777</v>
      </c>
    </row>
    <row r="13722" spans="1:7">
      <c r="A13722" t="s">
        <v>1876</v>
      </c>
      <c r="B13722" t="s">
        <v>389</v>
      </c>
      <c r="C13722" t="s">
        <v>281</v>
      </c>
      <c r="D13722">
        <v>11280</v>
      </c>
      <c r="E13722">
        <v>11913</v>
      </c>
      <c r="F13722">
        <v>10189</v>
      </c>
      <c r="G13722">
        <v>9974</v>
      </c>
    </row>
    <row r="13723" spans="1:7">
      <c r="A13723" t="s">
        <v>1876</v>
      </c>
      <c r="B13723" t="s">
        <v>389</v>
      </c>
      <c r="C13723" t="s">
        <v>282</v>
      </c>
      <c r="D13723">
        <v>11280</v>
      </c>
      <c r="E13723">
        <v>11913</v>
      </c>
      <c r="F13723">
        <v>10189</v>
      </c>
      <c r="G13723">
        <v>9974</v>
      </c>
    </row>
    <row r="13724" spans="1:7">
      <c r="A13724" t="s">
        <v>1876</v>
      </c>
      <c r="B13724" t="s">
        <v>389</v>
      </c>
      <c r="C13724" t="s">
        <v>283</v>
      </c>
      <c r="D13724">
        <v>0</v>
      </c>
      <c r="E13724">
        <v>0</v>
      </c>
      <c r="F13724">
        <v>0</v>
      </c>
      <c r="G13724">
        <v>0</v>
      </c>
    </row>
    <row r="13725" spans="1:7">
      <c r="A13725" t="s">
        <v>1876</v>
      </c>
      <c r="B13725" t="s">
        <v>389</v>
      </c>
      <c r="C13725" t="s">
        <v>284</v>
      </c>
      <c r="D13725">
        <v>0</v>
      </c>
      <c r="E13725">
        <v>0</v>
      </c>
      <c r="F13725">
        <v>0</v>
      </c>
      <c r="G13725">
        <v>0</v>
      </c>
    </row>
    <row r="13726" spans="1:7">
      <c r="A13726" t="s">
        <v>1876</v>
      </c>
      <c r="B13726" t="s">
        <v>389</v>
      </c>
      <c r="C13726" t="s">
        <v>1716</v>
      </c>
      <c r="D13726">
        <v>30920</v>
      </c>
      <c r="E13726">
        <v>30872</v>
      </c>
      <c r="F13726">
        <v>32765</v>
      </c>
      <c r="G13726">
        <v>32918</v>
      </c>
    </row>
    <row r="13727" spans="1:7">
      <c r="A13727" t="s">
        <v>1876</v>
      </c>
      <c r="B13727" t="s">
        <v>389</v>
      </c>
      <c r="C13727" t="s">
        <v>1717</v>
      </c>
      <c r="D13727">
        <v>1599</v>
      </c>
      <c r="E13727">
        <v>1568</v>
      </c>
      <c r="F13727">
        <v>1569</v>
      </c>
      <c r="G13727">
        <v>1493</v>
      </c>
    </row>
    <row r="13728" spans="1:7">
      <c r="A13728" t="s">
        <v>1876</v>
      </c>
      <c r="B13728" t="s">
        <v>389</v>
      </c>
      <c r="C13728" t="s">
        <v>1718</v>
      </c>
      <c r="D13728">
        <v>39127</v>
      </c>
      <c r="E13728">
        <v>34534</v>
      </c>
      <c r="F13728">
        <v>31276</v>
      </c>
      <c r="G13728">
        <v>35068</v>
      </c>
    </row>
    <row r="13729" spans="1:7">
      <c r="A13729" t="s">
        <v>1876</v>
      </c>
      <c r="B13729" t="s">
        <v>389</v>
      </c>
      <c r="C13729" t="s">
        <v>1719</v>
      </c>
      <c r="D13729">
        <v>3025</v>
      </c>
      <c r="E13729">
        <v>3144</v>
      </c>
      <c r="F13729">
        <v>3366</v>
      </c>
      <c r="G13729">
        <v>3298</v>
      </c>
    </row>
    <row r="13730" spans="1:7">
      <c r="A13730" t="s">
        <v>1876</v>
      </c>
      <c r="B13730" t="s">
        <v>389</v>
      </c>
      <c r="C13730" t="s">
        <v>1720</v>
      </c>
      <c r="D13730">
        <v>59274</v>
      </c>
      <c r="E13730">
        <v>46276</v>
      </c>
      <c r="F13730">
        <v>47651</v>
      </c>
      <c r="G13730">
        <v>49142</v>
      </c>
    </row>
    <row r="13731" spans="1:7">
      <c r="A13731" t="s">
        <v>1876</v>
      </c>
      <c r="B13731" t="s">
        <v>389</v>
      </c>
      <c r="C13731" t="s">
        <v>1721</v>
      </c>
      <c r="D13731">
        <v>4920</v>
      </c>
      <c r="E13731">
        <v>6101</v>
      </c>
      <c r="F13731">
        <v>5231</v>
      </c>
      <c r="G13731">
        <v>4939</v>
      </c>
    </row>
    <row r="13732" spans="1:7">
      <c r="A13732" t="s">
        <v>1876</v>
      </c>
      <c r="B13732" t="s">
        <v>389</v>
      </c>
      <c r="C13732" t="s">
        <v>285</v>
      </c>
      <c r="D13732">
        <v>135840</v>
      </c>
      <c r="E13732">
        <v>119352</v>
      </c>
      <c r="F13732">
        <v>118491</v>
      </c>
      <c r="G13732">
        <v>123560</v>
      </c>
    </row>
    <row r="13733" spans="1:7">
      <c r="A13733" t="s">
        <v>1876</v>
      </c>
      <c r="B13733" t="s">
        <v>389</v>
      </c>
      <c r="C13733" t="s">
        <v>1951</v>
      </c>
      <c r="D13733">
        <v>6.5</v>
      </c>
      <c r="E13733">
        <v>5.7</v>
      </c>
      <c r="F13733">
        <v>5.8</v>
      </c>
      <c r="G13733">
        <v>5.9</v>
      </c>
    </row>
    <row r="13734" spans="1:7">
      <c r="A13734" t="s">
        <v>1876</v>
      </c>
      <c r="B13734" t="s">
        <v>389</v>
      </c>
      <c r="C13734" t="s">
        <v>286</v>
      </c>
      <c r="D13734">
        <v>58</v>
      </c>
      <c r="E13734">
        <v>59</v>
      </c>
      <c r="F13734">
        <v>49</v>
      </c>
      <c r="G13734">
        <v>53</v>
      </c>
    </row>
    <row r="13735" spans="1:7">
      <c r="A13735" t="s">
        <v>1876</v>
      </c>
      <c r="B13735" t="s">
        <v>389</v>
      </c>
      <c r="C13735" t="s">
        <v>287</v>
      </c>
      <c r="D13735">
        <v>0</v>
      </c>
      <c r="E13735">
        <v>0</v>
      </c>
      <c r="F13735">
        <v>0</v>
      </c>
      <c r="G13735">
        <v>0</v>
      </c>
    </row>
    <row r="13736" spans="1:7">
      <c r="A13736" t="s">
        <v>1876</v>
      </c>
      <c r="B13736" t="s">
        <v>389</v>
      </c>
      <c r="C13736" t="s">
        <v>288</v>
      </c>
      <c r="D13736">
        <v>0</v>
      </c>
      <c r="E13736">
        <v>0</v>
      </c>
      <c r="F13736">
        <v>0</v>
      </c>
      <c r="G13736">
        <v>0</v>
      </c>
    </row>
    <row r="13737" spans="1:7">
      <c r="A13737" t="s">
        <v>1876</v>
      </c>
      <c r="B13737" t="s">
        <v>389</v>
      </c>
      <c r="C13737" t="s">
        <v>289</v>
      </c>
      <c r="D13737">
        <v>237</v>
      </c>
      <c r="E13737">
        <v>243</v>
      </c>
      <c r="F13737">
        <v>202</v>
      </c>
      <c r="G13737">
        <v>218</v>
      </c>
    </row>
    <row r="13738" spans="1:7">
      <c r="A13738" t="s">
        <v>1876</v>
      </c>
      <c r="B13738" t="s">
        <v>389</v>
      </c>
      <c r="C13738" t="s">
        <v>290</v>
      </c>
      <c r="D13738">
        <v>295</v>
      </c>
      <c r="E13738">
        <v>302</v>
      </c>
      <c r="F13738">
        <v>251</v>
      </c>
      <c r="G13738">
        <v>272</v>
      </c>
    </row>
    <row r="13739" spans="1:7">
      <c r="A13739" t="s">
        <v>1876</v>
      </c>
      <c r="B13739" t="s">
        <v>389</v>
      </c>
      <c r="C13739" t="s">
        <v>291</v>
      </c>
      <c r="D13739">
        <v>295</v>
      </c>
      <c r="E13739">
        <v>302</v>
      </c>
      <c r="F13739">
        <v>251</v>
      </c>
      <c r="G13739">
        <v>272</v>
      </c>
    </row>
    <row r="13740" spans="1:7">
      <c r="A13740" t="s">
        <v>1876</v>
      </c>
      <c r="B13740" t="s">
        <v>389</v>
      </c>
      <c r="C13740" t="s">
        <v>292</v>
      </c>
      <c r="D13740">
        <v>0</v>
      </c>
      <c r="E13740">
        <v>1</v>
      </c>
      <c r="F13740">
        <v>215</v>
      </c>
      <c r="G13740">
        <v>233</v>
      </c>
    </row>
    <row r="13741" spans="1:7">
      <c r="A13741" t="s">
        <v>1876</v>
      </c>
      <c r="B13741" t="s">
        <v>389</v>
      </c>
      <c r="C13741" t="s">
        <v>293</v>
      </c>
      <c r="D13741">
        <v>0</v>
      </c>
      <c r="E13741">
        <v>2</v>
      </c>
      <c r="F13741">
        <v>403</v>
      </c>
      <c r="G13741">
        <v>459</v>
      </c>
    </row>
    <row r="13742" spans="1:7">
      <c r="A13742" t="s">
        <v>1876</v>
      </c>
      <c r="B13742" t="s">
        <v>389</v>
      </c>
      <c r="C13742" t="s">
        <v>294</v>
      </c>
      <c r="D13742">
        <v>0</v>
      </c>
      <c r="E13742">
        <v>3</v>
      </c>
      <c r="F13742">
        <v>580</v>
      </c>
      <c r="G13742">
        <v>658</v>
      </c>
    </row>
    <row r="13743" spans="1:7">
      <c r="A13743" t="s">
        <v>1876</v>
      </c>
      <c r="B13743" t="s">
        <v>389</v>
      </c>
      <c r="C13743" t="s">
        <v>295</v>
      </c>
      <c r="D13743">
        <v>0</v>
      </c>
      <c r="E13743">
        <v>1</v>
      </c>
      <c r="F13743">
        <v>253</v>
      </c>
      <c r="G13743">
        <v>270</v>
      </c>
    </row>
    <row r="13744" spans="1:7">
      <c r="A13744" t="s">
        <v>1876</v>
      </c>
      <c r="B13744" t="s">
        <v>389</v>
      </c>
      <c r="C13744" t="s">
        <v>296</v>
      </c>
      <c r="D13744">
        <v>0</v>
      </c>
      <c r="E13744">
        <v>7</v>
      </c>
      <c r="F13744">
        <v>1451</v>
      </c>
      <c r="G13744">
        <v>1620</v>
      </c>
    </row>
    <row r="13745" spans="1:7">
      <c r="A13745" t="s">
        <v>1876</v>
      </c>
      <c r="B13745" t="s">
        <v>389</v>
      </c>
      <c r="C13745" t="s">
        <v>297</v>
      </c>
      <c r="D13745">
        <v>14846</v>
      </c>
      <c r="E13745">
        <v>14489</v>
      </c>
      <c r="F13745">
        <v>15038</v>
      </c>
      <c r="G13745">
        <v>14549</v>
      </c>
    </row>
    <row r="13746" spans="1:7">
      <c r="A13746" t="s">
        <v>1876</v>
      </c>
      <c r="B13746" t="s">
        <v>389</v>
      </c>
      <c r="C13746" t="s">
        <v>1952</v>
      </c>
      <c r="D13746">
        <v>0</v>
      </c>
      <c r="E13746">
        <v>0</v>
      </c>
      <c r="F13746">
        <v>0</v>
      </c>
      <c r="G13746">
        <v>0</v>
      </c>
    </row>
    <row r="13747" spans="1:7">
      <c r="A13747" t="s">
        <v>1876</v>
      </c>
      <c r="B13747" t="s">
        <v>389</v>
      </c>
      <c r="C13747" t="s">
        <v>298</v>
      </c>
      <c r="D13747">
        <v>2303</v>
      </c>
      <c r="E13747">
        <v>2868</v>
      </c>
      <c r="F13747">
        <v>2871</v>
      </c>
      <c r="G13747">
        <v>2511</v>
      </c>
    </row>
    <row r="13748" spans="1:7">
      <c r="A13748" t="s">
        <v>1876</v>
      </c>
      <c r="B13748" t="s">
        <v>389</v>
      </c>
      <c r="C13748" t="s">
        <v>299</v>
      </c>
      <c r="D13748">
        <v>223</v>
      </c>
      <c r="E13748">
        <v>185</v>
      </c>
      <c r="F13748">
        <v>177</v>
      </c>
      <c r="G13748">
        <v>211</v>
      </c>
    </row>
    <row r="13749" spans="1:7">
      <c r="A13749" t="s">
        <v>1876</v>
      </c>
      <c r="B13749" t="s">
        <v>389</v>
      </c>
      <c r="C13749" t="s">
        <v>300</v>
      </c>
      <c r="D13749">
        <v>1121</v>
      </c>
      <c r="E13749">
        <v>2274</v>
      </c>
      <c r="F13749">
        <v>3250</v>
      </c>
      <c r="G13749">
        <v>3738</v>
      </c>
    </row>
    <row r="13750" spans="1:7">
      <c r="A13750" t="s">
        <v>1876</v>
      </c>
      <c r="B13750" t="s">
        <v>389</v>
      </c>
      <c r="C13750" t="s">
        <v>1722</v>
      </c>
      <c r="D13750">
        <v>191</v>
      </c>
      <c r="E13750">
        <v>362</v>
      </c>
      <c r="F13750">
        <v>584</v>
      </c>
      <c r="G13750">
        <v>601</v>
      </c>
    </row>
    <row r="13751" spans="1:7">
      <c r="A13751" t="s">
        <v>1876</v>
      </c>
      <c r="B13751" t="s">
        <v>389</v>
      </c>
      <c r="C13751" t="s">
        <v>301</v>
      </c>
      <c r="D13751">
        <v>20</v>
      </c>
      <c r="E13751">
        <v>21</v>
      </c>
      <c r="F13751">
        <v>19</v>
      </c>
      <c r="G13751">
        <v>18</v>
      </c>
    </row>
    <row r="13752" spans="1:7">
      <c r="A13752" t="s">
        <v>1876</v>
      </c>
      <c r="B13752" t="s">
        <v>389</v>
      </c>
      <c r="C13752" t="s">
        <v>302</v>
      </c>
      <c r="D13752">
        <v>123</v>
      </c>
      <c r="E13752">
        <v>113</v>
      </c>
      <c r="F13752">
        <v>109</v>
      </c>
      <c r="G13752">
        <v>124</v>
      </c>
    </row>
    <row r="13753" spans="1:7">
      <c r="A13753" t="s">
        <v>1876</v>
      </c>
      <c r="B13753" t="s">
        <v>389</v>
      </c>
      <c r="C13753" t="s">
        <v>303</v>
      </c>
      <c r="D13753">
        <v>1486</v>
      </c>
      <c r="E13753">
        <v>2593</v>
      </c>
      <c r="F13753">
        <v>3556</v>
      </c>
      <c r="G13753">
        <v>4091</v>
      </c>
    </row>
    <row r="13754" spans="1:7">
      <c r="A13754" t="s">
        <v>1876</v>
      </c>
      <c r="B13754" t="s">
        <v>389</v>
      </c>
      <c r="C13754" t="s">
        <v>304</v>
      </c>
      <c r="D13754">
        <v>366</v>
      </c>
      <c r="E13754">
        <v>319</v>
      </c>
      <c r="F13754">
        <v>305</v>
      </c>
      <c r="G13754">
        <v>353</v>
      </c>
    </row>
    <row r="13755" spans="1:7">
      <c r="A13755" t="s">
        <v>1876</v>
      </c>
      <c r="B13755" t="s">
        <v>389</v>
      </c>
      <c r="C13755" t="s">
        <v>1953</v>
      </c>
      <c r="D13755">
        <v>21.2</v>
      </c>
      <c r="E13755">
        <v>24.8</v>
      </c>
      <c r="F13755">
        <v>22.3</v>
      </c>
      <c r="G13755">
        <v>20.9</v>
      </c>
    </row>
    <row r="13756" spans="1:7">
      <c r="A13756" t="s">
        <v>1876</v>
      </c>
      <c r="B13756" t="s">
        <v>389</v>
      </c>
      <c r="C13756" t="s">
        <v>305</v>
      </c>
      <c r="D13756">
        <v>669754</v>
      </c>
      <c r="E13756">
        <v>665643</v>
      </c>
      <c r="F13756">
        <v>664140</v>
      </c>
      <c r="G13756">
        <v>660853</v>
      </c>
    </row>
    <row r="13757" spans="1:7">
      <c r="A13757" t="s">
        <v>1876</v>
      </c>
      <c r="B13757" t="s">
        <v>389</v>
      </c>
      <c r="C13757" t="s">
        <v>306</v>
      </c>
      <c r="D13757">
        <v>96.1</v>
      </c>
      <c r="E13757">
        <v>94.2</v>
      </c>
      <c r="F13757">
        <v>92.8</v>
      </c>
      <c r="G13757">
        <v>91.1</v>
      </c>
    </row>
    <row r="13758" spans="1:7">
      <c r="A13758" t="s">
        <v>1876</v>
      </c>
      <c r="B13758" t="s">
        <v>389</v>
      </c>
      <c r="C13758" t="s">
        <v>307</v>
      </c>
      <c r="D13758">
        <v>408596</v>
      </c>
      <c r="E13758">
        <v>420059</v>
      </c>
      <c r="F13758">
        <v>407401</v>
      </c>
      <c r="G13758">
        <v>411570</v>
      </c>
    </row>
    <row r="13759" spans="1:7">
      <c r="A13759" t="s">
        <v>1876</v>
      </c>
      <c r="B13759" t="s">
        <v>389</v>
      </c>
      <c r="C13759" t="s">
        <v>308</v>
      </c>
      <c r="D13759">
        <v>58.6</v>
      </c>
      <c r="E13759">
        <v>59.5</v>
      </c>
      <c r="F13759">
        <v>57</v>
      </c>
      <c r="G13759">
        <v>56.8</v>
      </c>
    </row>
    <row r="13760" spans="1:7">
      <c r="A13760" t="s">
        <v>1876</v>
      </c>
      <c r="B13760" t="s">
        <v>389</v>
      </c>
      <c r="C13760" t="s">
        <v>309</v>
      </c>
      <c r="D13760">
        <v>702835</v>
      </c>
      <c r="E13760">
        <v>709367</v>
      </c>
      <c r="F13760">
        <v>706563</v>
      </c>
      <c r="G13760">
        <v>672156</v>
      </c>
    </row>
    <row r="13761" spans="1:7">
      <c r="A13761" t="s">
        <v>1876</v>
      </c>
      <c r="B13761" t="s">
        <v>389</v>
      </c>
      <c r="C13761" t="s">
        <v>310</v>
      </c>
      <c r="D13761">
        <v>529968</v>
      </c>
      <c r="E13761">
        <v>518708</v>
      </c>
      <c r="F13761">
        <v>512518</v>
      </c>
      <c r="G13761">
        <v>527932</v>
      </c>
    </row>
    <row r="13762" spans="1:7">
      <c r="A13762" t="s">
        <v>1876</v>
      </c>
      <c r="B13762" t="s">
        <v>389</v>
      </c>
      <c r="C13762" t="s">
        <v>311</v>
      </c>
      <c r="D13762">
        <v>76.099999999999994</v>
      </c>
      <c r="E13762">
        <v>73.400000000000006</v>
      </c>
      <c r="F13762">
        <v>71.7</v>
      </c>
      <c r="G13762">
        <v>72.8</v>
      </c>
    </row>
    <row r="13763" spans="1:7">
      <c r="A13763" t="s">
        <v>1876</v>
      </c>
      <c r="B13763" t="s">
        <v>389</v>
      </c>
      <c r="C13763" t="s">
        <v>312</v>
      </c>
      <c r="D13763">
        <v>493365</v>
      </c>
      <c r="E13763">
        <v>505445</v>
      </c>
      <c r="F13763">
        <v>473364</v>
      </c>
      <c r="G13763">
        <v>492028</v>
      </c>
    </row>
    <row r="13764" spans="1:7">
      <c r="A13764" t="s">
        <v>1876</v>
      </c>
      <c r="B13764" t="s">
        <v>389</v>
      </c>
      <c r="C13764" t="s">
        <v>313</v>
      </c>
      <c r="D13764">
        <v>70.8</v>
      </c>
      <c r="E13764">
        <v>71.599999999999994</v>
      </c>
      <c r="F13764">
        <v>66.2</v>
      </c>
      <c r="G13764">
        <v>67.900000000000006</v>
      </c>
    </row>
    <row r="13765" spans="1:7">
      <c r="A13765" t="s">
        <v>1876</v>
      </c>
      <c r="B13765" t="s">
        <v>389</v>
      </c>
      <c r="C13765" t="s">
        <v>314</v>
      </c>
      <c r="D13765">
        <v>2101684</v>
      </c>
      <c r="E13765">
        <v>2109856</v>
      </c>
      <c r="F13765">
        <v>2057422</v>
      </c>
      <c r="G13765">
        <v>2092383</v>
      </c>
    </row>
    <row r="13766" spans="1:7">
      <c r="A13766" t="s">
        <v>1876</v>
      </c>
      <c r="B13766" t="s">
        <v>389</v>
      </c>
      <c r="C13766" t="s">
        <v>315</v>
      </c>
      <c r="D13766">
        <v>5.23</v>
      </c>
      <c r="E13766">
        <v>5.08</v>
      </c>
      <c r="F13766">
        <v>4.8</v>
      </c>
      <c r="G13766">
        <v>4.75</v>
      </c>
    </row>
    <row r="13767" spans="1:7">
      <c r="A13767" t="s">
        <v>1876</v>
      </c>
      <c r="B13767" t="s">
        <v>389</v>
      </c>
      <c r="C13767" t="s">
        <v>316</v>
      </c>
      <c r="D13767">
        <v>301.7</v>
      </c>
      <c r="E13767">
        <v>298.7</v>
      </c>
      <c r="F13767">
        <v>287.60000000000002</v>
      </c>
      <c r="G13767">
        <v>288.60000000000002</v>
      </c>
    </row>
    <row r="13768" spans="1:7">
      <c r="A13768" t="s">
        <v>1876</v>
      </c>
      <c r="B13768" t="s">
        <v>389</v>
      </c>
      <c r="C13768" t="s">
        <v>317</v>
      </c>
      <c r="D13768">
        <v>2101683</v>
      </c>
      <c r="E13768">
        <v>2109855</v>
      </c>
      <c r="F13768">
        <v>2057423</v>
      </c>
      <c r="G13768">
        <v>2092384</v>
      </c>
    </row>
    <row r="13769" spans="1:7">
      <c r="A13769" t="s">
        <v>1876</v>
      </c>
      <c r="B13769" t="s">
        <v>389</v>
      </c>
      <c r="C13769" t="s">
        <v>318</v>
      </c>
      <c r="D13769">
        <v>669754</v>
      </c>
      <c r="E13769">
        <v>665643</v>
      </c>
      <c r="F13769">
        <v>664140</v>
      </c>
      <c r="G13769">
        <v>660853</v>
      </c>
    </row>
    <row r="13770" spans="1:7">
      <c r="A13770" t="s">
        <v>1876</v>
      </c>
      <c r="B13770" t="s">
        <v>389</v>
      </c>
      <c r="C13770" t="s">
        <v>319</v>
      </c>
      <c r="D13770">
        <v>196177</v>
      </c>
      <c r="E13770">
        <v>200890</v>
      </c>
      <c r="F13770">
        <v>190405</v>
      </c>
      <c r="G13770">
        <v>196029</v>
      </c>
    </row>
    <row r="13771" spans="1:7">
      <c r="A13771" t="s">
        <v>1876</v>
      </c>
      <c r="B13771" t="s">
        <v>389</v>
      </c>
      <c r="C13771" t="s">
        <v>320</v>
      </c>
      <c r="D13771">
        <v>396428</v>
      </c>
      <c r="E13771">
        <v>378881</v>
      </c>
      <c r="F13771">
        <v>372771</v>
      </c>
      <c r="G13771">
        <v>389378</v>
      </c>
    </row>
    <row r="13772" spans="1:7">
      <c r="A13772" t="s">
        <v>1876</v>
      </c>
      <c r="B13772" t="s">
        <v>389</v>
      </c>
      <c r="C13772" t="s">
        <v>321</v>
      </c>
      <c r="D13772">
        <v>232343</v>
      </c>
      <c r="E13772">
        <v>237898</v>
      </c>
      <c r="F13772">
        <v>217686</v>
      </c>
      <c r="G13772">
        <v>229592</v>
      </c>
    </row>
    <row r="13773" spans="1:7">
      <c r="A13773" t="s">
        <v>1876</v>
      </c>
      <c r="B13773" t="s">
        <v>389</v>
      </c>
      <c r="C13773" t="s">
        <v>1954</v>
      </c>
      <c r="D13773">
        <v>1494702</v>
      </c>
      <c r="E13773">
        <v>1483311</v>
      </c>
      <c r="F13773">
        <v>1445003</v>
      </c>
      <c r="G13773">
        <v>1475851</v>
      </c>
    </row>
    <row r="13774" spans="1:7">
      <c r="A13774" t="s">
        <v>1876</v>
      </c>
      <c r="B13774" t="s">
        <v>389</v>
      </c>
      <c r="C13774" t="s">
        <v>323</v>
      </c>
      <c r="D13774">
        <v>6967</v>
      </c>
      <c r="E13774">
        <v>7063</v>
      </c>
      <c r="F13774">
        <v>7153</v>
      </c>
      <c r="G13774">
        <v>7251</v>
      </c>
    </row>
    <row r="13775" spans="1:7">
      <c r="A13775" t="s">
        <v>1876</v>
      </c>
      <c r="B13775" t="s">
        <v>389</v>
      </c>
      <c r="C13775" t="s">
        <v>324</v>
      </c>
      <c r="D13775">
        <v>493</v>
      </c>
      <c r="E13775">
        <v>0</v>
      </c>
      <c r="F13775">
        <v>0</v>
      </c>
      <c r="G13775">
        <v>0</v>
      </c>
    </row>
    <row r="13776" spans="1:7">
      <c r="A13776" t="s">
        <v>1876</v>
      </c>
      <c r="B13776" t="s">
        <v>389</v>
      </c>
      <c r="C13776" t="s">
        <v>325</v>
      </c>
      <c r="D13776">
        <v>0</v>
      </c>
      <c r="E13776">
        <v>0</v>
      </c>
      <c r="F13776">
        <v>0</v>
      </c>
      <c r="G13776">
        <v>0</v>
      </c>
    </row>
    <row r="13777" spans="1:7">
      <c r="A13777" t="s">
        <v>1876</v>
      </c>
      <c r="B13777" t="s">
        <v>389</v>
      </c>
      <c r="C13777" t="s">
        <v>326</v>
      </c>
      <c r="D13777">
        <v>882</v>
      </c>
      <c r="E13777">
        <v>882</v>
      </c>
      <c r="F13777">
        <v>882</v>
      </c>
      <c r="G13777">
        <v>882</v>
      </c>
    </row>
    <row r="13778" spans="1:7">
      <c r="A13778" t="s">
        <v>1876</v>
      </c>
      <c r="B13778" t="s">
        <v>389</v>
      </c>
      <c r="C13778" t="s">
        <v>327</v>
      </c>
      <c r="D13778">
        <v>0</v>
      </c>
      <c r="E13778">
        <v>0</v>
      </c>
      <c r="F13778">
        <v>0</v>
      </c>
      <c r="G13778">
        <v>0</v>
      </c>
    </row>
    <row r="13779" spans="1:7">
      <c r="A13779" t="s">
        <v>1876</v>
      </c>
      <c r="B13779" t="s">
        <v>389</v>
      </c>
      <c r="C13779" t="s">
        <v>1723</v>
      </c>
      <c r="D13779">
        <v>182</v>
      </c>
      <c r="E13779">
        <v>136</v>
      </c>
      <c r="F13779">
        <v>136</v>
      </c>
      <c r="G13779">
        <v>73</v>
      </c>
    </row>
    <row r="13780" spans="1:7">
      <c r="A13780" t="s">
        <v>1876</v>
      </c>
      <c r="B13780" t="s">
        <v>389</v>
      </c>
      <c r="C13780" t="s">
        <v>328</v>
      </c>
      <c r="D13780">
        <v>45737</v>
      </c>
      <c r="E13780">
        <v>31691</v>
      </c>
      <c r="F13780">
        <v>33105</v>
      </c>
      <c r="G13780">
        <v>34820</v>
      </c>
    </row>
    <row r="13781" spans="1:7">
      <c r="A13781" t="s">
        <v>1876</v>
      </c>
      <c r="B13781" t="s">
        <v>389</v>
      </c>
      <c r="C13781" t="s">
        <v>329</v>
      </c>
      <c r="D13781">
        <v>4584</v>
      </c>
      <c r="E13781">
        <v>5776</v>
      </c>
      <c r="F13781">
        <v>4910</v>
      </c>
      <c r="G13781">
        <v>4603</v>
      </c>
    </row>
    <row r="13782" spans="1:7">
      <c r="A13782" t="s">
        <v>1876</v>
      </c>
      <c r="B13782" t="s">
        <v>389</v>
      </c>
      <c r="C13782" t="s">
        <v>330</v>
      </c>
      <c r="D13782">
        <v>51204</v>
      </c>
      <c r="E13782">
        <v>38349</v>
      </c>
      <c r="F13782">
        <v>38897</v>
      </c>
      <c r="G13782">
        <v>40305</v>
      </c>
    </row>
    <row r="13783" spans="1:7">
      <c r="A13783" t="s">
        <v>1876</v>
      </c>
      <c r="B13783" t="s">
        <v>389</v>
      </c>
      <c r="C13783" t="s">
        <v>331</v>
      </c>
      <c r="D13783">
        <v>0</v>
      </c>
      <c r="E13783">
        <v>0</v>
      </c>
      <c r="F13783">
        <v>0</v>
      </c>
      <c r="G13783">
        <v>0</v>
      </c>
    </row>
    <row r="13784" spans="1:7">
      <c r="A13784" t="s">
        <v>1876</v>
      </c>
      <c r="B13784" t="s">
        <v>389</v>
      </c>
      <c r="C13784" t="s">
        <v>332</v>
      </c>
      <c r="D13784">
        <v>816</v>
      </c>
      <c r="E13784">
        <v>826</v>
      </c>
      <c r="F13784">
        <v>532</v>
      </c>
      <c r="G13784">
        <v>879</v>
      </c>
    </row>
    <row r="13785" spans="1:7">
      <c r="A13785" t="s">
        <v>1876</v>
      </c>
      <c r="B13785" t="s">
        <v>389</v>
      </c>
      <c r="C13785" t="s">
        <v>1724</v>
      </c>
      <c r="D13785">
        <v>14</v>
      </c>
      <c r="E13785">
        <v>9</v>
      </c>
      <c r="F13785">
        <v>9</v>
      </c>
      <c r="G13785">
        <v>14</v>
      </c>
    </row>
    <row r="13786" spans="1:7">
      <c r="A13786" t="s">
        <v>1876</v>
      </c>
      <c r="B13786" t="s">
        <v>389</v>
      </c>
      <c r="C13786" t="s">
        <v>333</v>
      </c>
      <c r="D13786">
        <v>3843</v>
      </c>
      <c r="E13786">
        <v>5562</v>
      </c>
      <c r="F13786">
        <v>5656</v>
      </c>
      <c r="G13786">
        <v>5416</v>
      </c>
    </row>
    <row r="13787" spans="1:7">
      <c r="A13787" t="s">
        <v>1876</v>
      </c>
      <c r="B13787" t="s">
        <v>389</v>
      </c>
      <c r="C13787" t="s">
        <v>334</v>
      </c>
      <c r="D13787">
        <v>4659</v>
      </c>
      <c r="E13787">
        <v>6388</v>
      </c>
      <c r="F13787">
        <v>6188</v>
      </c>
      <c r="G13787">
        <v>6295</v>
      </c>
    </row>
    <row r="13788" spans="1:7">
      <c r="A13788" t="s">
        <v>1876</v>
      </c>
      <c r="B13788" t="s">
        <v>389</v>
      </c>
      <c r="C13788" t="s">
        <v>335</v>
      </c>
      <c r="D13788">
        <v>882</v>
      </c>
      <c r="E13788">
        <v>882</v>
      </c>
      <c r="F13788">
        <v>882</v>
      </c>
      <c r="G13788">
        <v>882</v>
      </c>
    </row>
    <row r="13789" spans="1:7">
      <c r="A13789" t="s">
        <v>1876</v>
      </c>
      <c r="B13789" t="s">
        <v>389</v>
      </c>
      <c r="C13789" t="s">
        <v>336</v>
      </c>
      <c r="D13789">
        <v>816</v>
      </c>
      <c r="E13789">
        <v>826</v>
      </c>
      <c r="F13789">
        <v>532</v>
      </c>
      <c r="G13789">
        <v>879</v>
      </c>
    </row>
    <row r="13790" spans="1:7">
      <c r="A13790" t="s">
        <v>1876</v>
      </c>
      <c r="B13790" t="s">
        <v>389</v>
      </c>
      <c r="C13790" t="s">
        <v>337</v>
      </c>
      <c r="D13790">
        <v>49580</v>
      </c>
      <c r="E13790">
        <v>37254</v>
      </c>
      <c r="F13790">
        <v>38760</v>
      </c>
      <c r="G13790">
        <v>40236</v>
      </c>
    </row>
    <row r="13791" spans="1:7">
      <c r="A13791" t="s">
        <v>1876</v>
      </c>
      <c r="B13791" t="s">
        <v>389</v>
      </c>
      <c r="C13791" t="s">
        <v>338</v>
      </c>
      <c r="D13791">
        <v>55863</v>
      </c>
      <c r="E13791">
        <v>44737</v>
      </c>
      <c r="F13791">
        <v>45085</v>
      </c>
      <c r="G13791">
        <v>46600</v>
      </c>
    </row>
    <row r="13792" spans="1:7">
      <c r="A13792" t="s">
        <v>1876</v>
      </c>
      <c r="B13792" t="s">
        <v>389</v>
      </c>
      <c r="C13792" t="s">
        <v>339</v>
      </c>
      <c r="D13792">
        <v>55047</v>
      </c>
      <c r="E13792">
        <v>43912</v>
      </c>
      <c r="F13792">
        <v>44553</v>
      </c>
      <c r="G13792">
        <v>45721</v>
      </c>
    </row>
    <row r="13793" spans="1:7">
      <c r="A13793" t="s">
        <v>1876</v>
      </c>
      <c r="B13793" t="s">
        <v>389</v>
      </c>
      <c r="C13793" t="s">
        <v>340</v>
      </c>
      <c r="D13793">
        <v>430</v>
      </c>
      <c r="E13793">
        <v>473</v>
      </c>
      <c r="F13793">
        <v>328</v>
      </c>
      <c r="G13793">
        <v>404</v>
      </c>
    </row>
    <row r="13794" spans="1:7">
      <c r="A13794" t="s">
        <v>1876</v>
      </c>
      <c r="B13794" t="s">
        <v>389</v>
      </c>
      <c r="C13794" t="s">
        <v>1955</v>
      </c>
      <c r="D13794">
        <v>11.1</v>
      </c>
      <c r="E13794">
        <v>5.8</v>
      </c>
      <c r="F13794">
        <v>6.4</v>
      </c>
      <c r="G13794">
        <v>5.6</v>
      </c>
    </row>
    <row r="13795" spans="1:7">
      <c r="A13795" t="s">
        <v>1876</v>
      </c>
      <c r="B13795" t="s">
        <v>389</v>
      </c>
      <c r="C13795" t="s">
        <v>341</v>
      </c>
      <c r="D13795">
        <v>0</v>
      </c>
      <c r="E13795">
        <v>0</v>
      </c>
      <c r="F13795">
        <v>0</v>
      </c>
      <c r="G13795">
        <v>0</v>
      </c>
    </row>
    <row r="13796" spans="1:7">
      <c r="A13796" t="s">
        <v>1876</v>
      </c>
      <c r="B13796" t="s">
        <v>389</v>
      </c>
      <c r="C13796" t="s">
        <v>342</v>
      </c>
      <c r="D13796">
        <v>96</v>
      </c>
      <c r="E13796">
        <v>51</v>
      </c>
      <c r="F13796">
        <v>55</v>
      </c>
      <c r="G13796">
        <v>45</v>
      </c>
    </row>
    <row r="13797" spans="1:7">
      <c r="A13797" t="s">
        <v>1876</v>
      </c>
      <c r="B13797" t="s">
        <v>389</v>
      </c>
      <c r="C13797" t="s">
        <v>1725</v>
      </c>
      <c r="D13797">
        <v>29</v>
      </c>
      <c r="E13797">
        <v>29</v>
      </c>
      <c r="F13797">
        <v>29</v>
      </c>
      <c r="G13797">
        <v>2</v>
      </c>
    </row>
    <row r="13798" spans="1:7">
      <c r="A13798" t="s">
        <v>1876</v>
      </c>
      <c r="B13798" t="s">
        <v>389</v>
      </c>
      <c r="C13798" t="s">
        <v>343</v>
      </c>
      <c r="D13798">
        <v>0</v>
      </c>
      <c r="E13798">
        <v>0</v>
      </c>
      <c r="F13798">
        <v>0</v>
      </c>
      <c r="G13798">
        <v>0</v>
      </c>
    </row>
    <row r="13799" spans="1:7">
      <c r="A13799" t="s">
        <v>1876</v>
      </c>
      <c r="B13799" t="s">
        <v>389</v>
      </c>
      <c r="C13799" t="s">
        <v>344</v>
      </c>
      <c r="D13799">
        <v>96</v>
      </c>
      <c r="E13799">
        <v>51</v>
      </c>
      <c r="F13799">
        <v>55</v>
      </c>
      <c r="G13799">
        <v>45</v>
      </c>
    </row>
    <row r="13800" spans="1:7">
      <c r="A13800" t="s">
        <v>1876</v>
      </c>
      <c r="B13800" t="s">
        <v>389</v>
      </c>
      <c r="C13800" t="s">
        <v>345</v>
      </c>
      <c r="D13800">
        <v>0</v>
      </c>
      <c r="E13800">
        <v>0</v>
      </c>
      <c r="F13800">
        <v>0</v>
      </c>
      <c r="G13800">
        <v>0</v>
      </c>
    </row>
    <row r="13801" spans="1:7">
      <c r="A13801" t="s">
        <v>1876</v>
      </c>
      <c r="B13801" t="s">
        <v>389</v>
      </c>
      <c r="C13801" t="s">
        <v>1956</v>
      </c>
      <c r="D13801">
        <v>816</v>
      </c>
      <c r="E13801">
        <v>826</v>
      </c>
      <c r="F13801">
        <v>532</v>
      </c>
      <c r="G13801">
        <v>879</v>
      </c>
    </row>
    <row r="13802" spans="1:7">
      <c r="A13802" t="s">
        <v>1876</v>
      </c>
      <c r="B13802" t="s">
        <v>389</v>
      </c>
      <c r="C13802" t="s">
        <v>1957</v>
      </c>
      <c r="D13802">
        <v>4659</v>
      </c>
      <c r="E13802">
        <v>6388</v>
      </c>
      <c r="F13802">
        <v>6188</v>
      </c>
      <c r="G13802">
        <v>6295</v>
      </c>
    </row>
    <row r="13803" spans="1:7">
      <c r="A13803" t="s">
        <v>1876</v>
      </c>
      <c r="B13803" t="s">
        <v>389</v>
      </c>
      <c r="C13803" t="s">
        <v>346</v>
      </c>
      <c r="D13803">
        <v>1399</v>
      </c>
      <c r="E13803">
        <v>1519</v>
      </c>
      <c r="F13803">
        <v>1356</v>
      </c>
      <c r="G13803">
        <v>1606</v>
      </c>
    </row>
    <row r="13804" spans="1:7">
      <c r="A13804" t="s">
        <v>1876</v>
      </c>
      <c r="B13804" t="s">
        <v>389</v>
      </c>
      <c r="C13804" t="s">
        <v>347</v>
      </c>
      <c r="D13804">
        <v>3503</v>
      </c>
      <c r="E13804">
        <v>3820</v>
      </c>
      <c r="F13804">
        <v>3152</v>
      </c>
      <c r="G13804">
        <v>3189</v>
      </c>
    </row>
    <row r="13805" spans="1:7">
      <c r="A13805" t="s">
        <v>1876</v>
      </c>
      <c r="B13805" t="s">
        <v>390</v>
      </c>
      <c r="C13805" t="s">
        <v>133</v>
      </c>
      <c r="D13805">
        <v>-276</v>
      </c>
      <c r="E13805">
        <v>-220</v>
      </c>
      <c r="F13805">
        <v>-221</v>
      </c>
      <c r="G13805">
        <v>-357</v>
      </c>
    </row>
    <row r="13806" spans="1:7">
      <c r="A13806" t="s">
        <v>1876</v>
      </c>
      <c r="B13806" t="s">
        <v>390</v>
      </c>
      <c r="C13806" t="s">
        <v>134</v>
      </c>
      <c r="D13806">
        <v>98457</v>
      </c>
      <c r="E13806">
        <v>112348</v>
      </c>
      <c r="F13806">
        <v>103845</v>
      </c>
      <c r="G13806">
        <v>104960</v>
      </c>
    </row>
    <row r="13807" spans="1:7">
      <c r="A13807" t="s">
        <v>1876</v>
      </c>
      <c r="B13807" t="s">
        <v>390</v>
      </c>
      <c r="C13807" t="s">
        <v>135</v>
      </c>
      <c r="D13807">
        <v>98457</v>
      </c>
      <c r="E13807">
        <v>112348</v>
      </c>
      <c r="F13807">
        <v>103845</v>
      </c>
      <c r="G13807">
        <v>104960</v>
      </c>
    </row>
    <row r="13808" spans="1:7">
      <c r="A13808" t="s">
        <v>1876</v>
      </c>
      <c r="B13808" t="s">
        <v>390</v>
      </c>
      <c r="C13808" t="s">
        <v>136</v>
      </c>
      <c r="D13808">
        <v>98457</v>
      </c>
      <c r="E13808">
        <v>112348</v>
      </c>
      <c r="F13808">
        <v>103845</v>
      </c>
      <c r="G13808">
        <v>104960</v>
      </c>
    </row>
    <row r="13809" spans="1:7">
      <c r="A13809" t="s">
        <v>1876</v>
      </c>
      <c r="B13809" t="s">
        <v>390</v>
      </c>
      <c r="C13809" t="s">
        <v>137</v>
      </c>
      <c r="D13809">
        <v>1941</v>
      </c>
      <c r="E13809">
        <v>2009</v>
      </c>
      <c r="F13809">
        <v>1907</v>
      </c>
      <c r="G13809">
        <v>2051</v>
      </c>
    </row>
    <row r="13810" spans="1:7">
      <c r="A13810" t="s">
        <v>1876</v>
      </c>
      <c r="B13810" t="s">
        <v>390</v>
      </c>
      <c r="C13810" t="s">
        <v>138</v>
      </c>
      <c r="D13810">
        <v>1941</v>
      </c>
      <c r="E13810">
        <v>2009</v>
      </c>
      <c r="F13810">
        <v>1907</v>
      </c>
      <c r="G13810">
        <v>2051</v>
      </c>
    </row>
    <row r="13811" spans="1:7">
      <c r="A13811" t="s">
        <v>1876</v>
      </c>
      <c r="B13811" t="s">
        <v>390</v>
      </c>
      <c r="C13811" t="s">
        <v>139</v>
      </c>
      <c r="D13811">
        <v>1941</v>
      </c>
      <c r="E13811">
        <v>2009</v>
      </c>
      <c r="F13811">
        <v>1907</v>
      </c>
      <c r="G13811">
        <v>2051</v>
      </c>
    </row>
    <row r="13812" spans="1:7">
      <c r="A13812" t="s">
        <v>1876</v>
      </c>
      <c r="B13812" t="s">
        <v>390</v>
      </c>
      <c r="C13812" t="s">
        <v>1877</v>
      </c>
      <c r="D13812">
        <v>0</v>
      </c>
      <c r="E13812">
        <v>0</v>
      </c>
      <c r="F13812">
        <v>0</v>
      </c>
      <c r="G13812">
        <v>0</v>
      </c>
    </row>
    <row r="13813" spans="1:7">
      <c r="A13813" t="s">
        <v>1876</v>
      </c>
      <c r="B13813" t="s">
        <v>390</v>
      </c>
      <c r="C13813" t="s">
        <v>1700</v>
      </c>
      <c r="D13813">
        <v>0</v>
      </c>
      <c r="E13813">
        <v>0</v>
      </c>
      <c r="F13813">
        <v>0</v>
      </c>
      <c r="G13813">
        <v>0</v>
      </c>
    </row>
    <row r="13814" spans="1:7">
      <c r="A13814" t="s">
        <v>1876</v>
      </c>
      <c r="B13814" t="s">
        <v>390</v>
      </c>
      <c r="C13814" t="s">
        <v>1878</v>
      </c>
      <c r="D13814">
        <v>0</v>
      </c>
      <c r="E13814">
        <v>0</v>
      </c>
      <c r="F13814">
        <v>0</v>
      </c>
      <c r="G13814">
        <v>0</v>
      </c>
    </row>
    <row r="13815" spans="1:7">
      <c r="A13815" t="s">
        <v>1876</v>
      </c>
      <c r="B13815" t="s">
        <v>390</v>
      </c>
      <c r="C13815" t="s">
        <v>1879</v>
      </c>
      <c r="D13815">
        <v>0</v>
      </c>
      <c r="E13815">
        <v>0</v>
      </c>
      <c r="F13815">
        <v>0</v>
      </c>
      <c r="G13815">
        <v>0</v>
      </c>
    </row>
    <row r="13816" spans="1:7">
      <c r="A13816" t="s">
        <v>1876</v>
      </c>
      <c r="B13816" t="s">
        <v>390</v>
      </c>
      <c r="C13816" t="s">
        <v>1701</v>
      </c>
      <c r="D13816">
        <v>0</v>
      </c>
      <c r="E13816">
        <v>0</v>
      </c>
      <c r="F13816">
        <v>0</v>
      </c>
      <c r="G13816">
        <v>0</v>
      </c>
    </row>
    <row r="13817" spans="1:7">
      <c r="A13817" t="s">
        <v>1876</v>
      </c>
      <c r="B13817" t="s">
        <v>390</v>
      </c>
      <c r="C13817" t="s">
        <v>1880</v>
      </c>
      <c r="D13817">
        <v>9023</v>
      </c>
      <c r="E13817">
        <v>8367</v>
      </c>
      <c r="F13817">
        <v>10458</v>
      </c>
      <c r="G13817">
        <v>10261</v>
      </c>
    </row>
    <row r="13818" spans="1:7">
      <c r="A13818" t="s">
        <v>1876</v>
      </c>
      <c r="B13818" t="s">
        <v>390</v>
      </c>
      <c r="C13818" t="s">
        <v>140</v>
      </c>
      <c r="D13818">
        <v>21204</v>
      </c>
      <c r="E13818">
        <v>20222</v>
      </c>
      <c r="F13818">
        <v>28206</v>
      </c>
      <c r="G13818">
        <v>29249</v>
      </c>
    </row>
    <row r="13819" spans="1:7">
      <c r="A13819" t="s">
        <v>1876</v>
      </c>
      <c r="B13819" t="s">
        <v>390</v>
      </c>
      <c r="C13819" t="s">
        <v>1881</v>
      </c>
      <c r="D13819">
        <v>12180</v>
      </c>
      <c r="E13819">
        <v>11855</v>
      </c>
      <c r="F13819">
        <v>17748</v>
      </c>
      <c r="G13819">
        <v>18988</v>
      </c>
    </row>
    <row r="13820" spans="1:7">
      <c r="A13820" t="s">
        <v>1876</v>
      </c>
      <c r="B13820" t="s">
        <v>390</v>
      </c>
      <c r="C13820" t="s">
        <v>1882</v>
      </c>
      <c r="D13820">
        <v>0</v>
      </c>
      <c r="E13820">
        <v>0</v>
      </c>
      <c r="F13820">
        <v>0</v>
      </c>
      <c r="G13820">
        <v>0</v>
      </c>
    </row>
    <row r="13821" spans="1:7">
      <c r="A13821" t="s">
        <v>1876</v>
      </c>
      <c r="B13821" t="s">
        <v>390</v>
      </c>
      <c r="C13821" t="s">
        <v>1883</v>
      </c>
      <c r="D13821">
        <v>0</v>
      </c>
      <c r="E13821">
        <v>0</v>
      </c>
      <c r="F13821">
        <v>0</v>
      </c>
      <c r="G13821">
        <v>0</v>
      </c>
    </row>
    <row r="13822" spans="1:7">
      <c r="A13822" t="s">
        <v>1876</v>
      </c>
      <c r="B13822" t="s">
        <v>390</v>
      </c>
      <c r="C13822" t="s">
        <v>1884</v>
      </c>
      <c r="D13822">
        <v>0</v>
      </c>
      <c r="E13822">
        <v>0</v>
      </c>
      <c r="F13822">
        <v>0</v>
      </c>
      <c r="G13822">
        <v>0</v>
      </c>
    </row>
    <row r="13823" spans="1:7">
      <c r="A13823" t="s">
        <v>1876</v>
      </c>
      <c r="B13823" t="s">
        <v>390</v>
      </c>
      <c r="C13823" t="s">
        <v>1885</v>
      </c>
      <c r="D13823">
        <v>0</v>
      </c>
      <c r="E13823">
        <v>0</v>
      </c>
      <c r="F13823">
        <v>0</v>
      </c>
      <c r="G13823">
        <v>0</v>
      </c>
    </row>
    <row r="13824" spans="1:7">
      <c r="A13824" t="s">
        <v>1876</v>
      </c>
      <c r="B13824" t="s">
        <v>390</v>
      </c>
      <c r="C13824" t="s">
        <v>1886</v>
      </c>
      <c r="D13824">
        <v>0</v>
      </c>
      <c r="E13824">
        <v>0</v>
      </c>
      <c r="F13824">
        <v>0</v>
      </c>
      <c r="G13824">
        <v>0</v>
      </c>
    </row>
    <row r="13825" spans="1:7">
      <c r="A13825" t="s">
        <v>1876</v>
      </c>
      <c r="B13825" t="s">
        <v>390</v>
      </c>
      <c r="C13825" t="s">
        <v>141</v>
      </c>
      <c r="D13825">
        <v>299</v>
      </c>
      <c r="E13825">
        <v>242</v>
      </c>
      <c r="F13825">
        <v>251</v>
      </c>
      <c r="G13825">
        <v>224</v>
      </c>
    </row>
    <row r="13826" spans="1:7">
      <c r="A13826" t="s">
        <v>1876</v>
      </c>
      <c r="B13826" t="s">
        <v>390</v>
      </c>
      <c r="C13826" t="s">
        <v>1887</v>
      </c>
      <c r="D13826">
        <v>0</v>
      </c>
      <c r="E13826">
        <v>0</v>
      </c>
      <c r="F13826">
        <v>0</v>
      </c>
      <c r="G13826">
        <v>0</v>
      </c>
    </row>
    <row r="13827" spans="1:7">
      <c r="A13827" t="s">
        <v>1876</v>
      </c>
      <c r="B13827" t="s">
        <v>390</v>
      </c>
      <c r="C13827" t="s">
        <v>1888</v>
      </c>
      <c r="D13827">
        <v>0</v>
      </c>
      <c r="E13827">
        <v>0</v>
      </c>
      <c r="F13827">
        <v>0</v>
      </c>
      <c r="G13827">
        <v>0</v>
      </c>
    </row>
    <row r="13828" spans="1:7">
      <c r="A13828" t="s">
        <v>1876</v>
      </c>
      <c r="B13828" t="s">
        <v>390</v>
      </c>
      <c r="C13828" t="s">
        <v>1889</v>
      </c>
      <c r="D13828">
        <v>9023</v>
      </c>
      <c r="E13828">
        <v>8367</v>
      </c>
      <c r="F13828">
        <v>10458</v>
      </c>
      <c r="G13828">
        <v>10261</v>
      </c>
    </row>
    <row r="13829" spans="1:7">
      <c r="A13829" t="s">
        <v>1876</v>
      </c>
      <c r="B13829" t="s">
        <v>390</v>
      </c>
      <c r="C13829" t="s">
        <v>1890</v>
      </c>
      <c r="D13829">
        <v>0</v>
      </c>
      <c r="E13829">
        <v>0</v>
      </c>
      <c r="F13829">
        <v>0</v>
      </c>
      <c r="G13829">
        <v>0</v>
      </c>
    </row>
    <row r="13830" spans="1:7">
      <c r="A13830" t="s">
        <v>1876</v>
      </c>
      <c r="B13830" t="s">
        <v>390</v>
      </c>
      <c r="C13830" t="s">
        <v>1891</v>
      </c>
    </row>
    <row r="13831" spans="1:7">
      <c r="A13831" t="s">
        <v>1876</v>
      </c>
      <c r="B13831" t="s">
        <v>390</v>
      </c>
      <c r="C13831" t="s">
        <v>1892</v>
      </c>
      <c r="D13831">
        <v>12180</v>
      </c>
      <c r="E13831">
        <v>11855</v>
      </c>
      <c r="F13831">
        <v>17748</v>
      </c>
      <c r="G13831">
        <v>18988</v>
      </c>
    </row>
    <row r="13832" spans="1:7">
      <c r="A13832" t="s">
        <v>1876</v>
      </c>
      <c r="B13832" t="s">
        <v>390</v>
      </c>
      <c r="C13832" t="s">
        <v>142</v>
      </c>
      <c r="D13832">
        <v>21204</v>
      </c>
      <c r="E13832">
        <v>20222</v>
      </c>
      <c r="F13832">
        <v>28206</v>
      </c>
      <c r="G13832">
        <v>29249</v>
      </c>
    </row>
    <row r="13833" spans="1:7">
      <c r="A13833" t="s">
        <v>1876</v>
      </c>
      <c r="B13833" t="s">
        <v>390</v>
      </c>
      <c r="C13833" t="s">
        <v>1893</v>
      </c>
      <c r="D13833">
        <v>21204</v>
      </c>
      <c r="E13833">
        <v>20222</v>
      </c>
      <c r="F13833">
        <v>28206</v>
      </c>
      <c r="G13833">
        <v>29249</v>
      </c>
    </row>
    <row r="13834" spans="1:7">
      <c r="A13834" t="s">
        <v>1876</v>
      </c>
      <c r="B13834" t="s">
        <v>390</v>
      </c>
      <c r="C13834" t="s">
        <v>1894</v>
      </c>
      <c r="D13834">
        <v>12180</v>
      </c>
      <c r="E13834">
        <v>11855</v>
      </c>
      <c r="F13834">
        <v>17748</v>
      </c>
      <c r="G13834">
        <v>18988</v>
      </c>
    </row>
    <row r="13835" spans="1:7">
      <c r="A13835" t="s">
        <v>1876</v>
      </c>
      <c r="B13835" t="s">
        <v>390</v>
      </c>
      <c r="C13835" t="s">
        <v>143</v>
      </c>
      <c r="D13835">
        <v>15641</v>
      </c>
      <c r="E13835">
        <v>18807</v>
      </c>
      <c r="F13835">
        <v>18756</v>
      </c>
      <c r="G13835">
        <v>19748</v>
      </c>
    </row>
    <row r="13836" spans="1:7">
      <c r="A13836" t="s">
        <v>1876</v>
      </c>
      <c r="B13836" t="s">
        <v>390</v>
      </c>
      <c r="C13836" t="s">
        <v>144</v>
      </c>
      <c r="D13836">
        <v>160190</v>
      </c>
      <c r="E13836">
        <v>166504</v>
      </c>
      <c r="F13836">
        <v>176282</v>
      </c>
      <c r="G13836">
        <v>179292</v>
      </c>
    </row>
    <row r="13837" spans="1:7">
      <c r="A13837" t="s">
        <v>1876</v>
      </c>
      <c r="B13837" t="s">
        <v>390</v>
      </c>
      <c r="C13837" t="s">
        <v>1895</v>
      </c>
      <c r="D13837">
        <v>45.7</v>
      </c>
      <c r="E13837">
        <v>51</v>
      </c>
      <c r="F13837">
        <v>46.1</v>
      </c>
      <c r="G13837">
        <v>35.299999999999997</v>
      </c>
    </row>
    <row r="13838" spans="1:7">
      <c r="A13838" t="s">
        <v>1876</v>
      </c>
      <c r="B13838" t="s">
        <v>390</v>
      </c>
      <c r="C13838" t="s">
        <v>145</v>
      </c>
      <c r="D13838">
        <v>249311</v>
      </c>
      <c r="E13838">
        <v>272406</v>
      </c>
      <c r="F13838">
        <v>271573</v>
      </c>
      <c r="G13838">
        <v>259208</v>
      </c>
    </row>
    <row r="13839" spans="1:7">
      <c r="A13839" t="s">
        <v>1876</v>
      </c>
      <c r="B13839" t="s">
        <v>390</v>
      </c>
      <c r="C13839" t="s">
        <v>146</v>
      </c>
      <c r="D13839">
        <v>17879</v>
      </c>
      <c r="E13839">
        <v>59110</v>
      </c>
      <c r="F13839">
        <v>145343</v>
      </c>
      <c r="G13839">
        <v>170765</v>
      </c>
    </row>
    <row r="13840" spans="1:7">
      <c r="A13840" t="s">
        <v>1876</v>
      </c>
      <c r="B13840" t="s">
        <v>390</v>
      </c>
      <c r="C13840" t="s">
        <v>147</v>
      </c>
      <c r="D13840">
        <v>17879</v>
      </c>
      <c r="E13840">
        <v>59110</v>
      </c>
      <c r="F13840">
        <v>145343</v>
      </c>
      <c r="G13840">
        <v>170765</v>
      </c>
    </row>
    <row r="13841" spans="1:7">
      <c r="A13841" t="s">
        <v>1876</v>
      </c>
      <c r="B13841" t="s">
        <v>390</v>
      </c>
      <c r="C13841" t="s">
        <v>1896</v>
      </c>
      <c r="D13841">
        <v>2.6</v>
      </c>
      <c r="E13841">
        <v>2.8</v>
      </c>
      <c r="F13841">
        <v>2.7</v>
      </c>
      <c r="G13841">
        <v>3.6</v>
      </c>
    </row>
    <row r="13842" spans="1:7">
      <c r="A13842" t="s">
        <v>1876</v>
      </c>
      <c r="B13842" t="s">
        <v>390</v>
      </c>
      <c r="C13842" t="s">
        <v>1702</v>
      </c>
      <c r="D13842">
        <v>792</v>
      </c>
      <c r="E13842">
        <v>2077</v>
      </c>
      <c r="F13842">
        <v>3794</v>
      </c>
      <c r="G13842">
        <v>7905</v>
      </c>
    </row>
    <row r="13843" spans="1:7">
      <c r="A13843" t="s">
        <v>1876</v>
      </c>
      <c r="B13843" t="s">
        <v>390</v>
      </c>
      <c r="C13843" t="s">
        <v>1897</v>
      </c>
      <c r="D13843">
        <v>78.2</v>
      </c>
      <c r="E13843">
        <v>125</v>
      </c>
      <c r="F13843">
        <v>220.3</v>
      </c>
      <c r="G13843">
        <v>284.7</v>
      </c>
    </row>
    <row r="13844" spans="1:7">
      <c r="A13844" t="s">
        <v>1876</v>
      </c>
      <c r="B13844" t="s">
        <v>390</v>
      </c>
      <c r="C13844" t="s">
        <v>1898</v>
      </c>
      <c r="D13844">
        <v>112</v>
      </c>
      <c r="E13844">
        <v>201</v>
      </c>
      <c r="F13844">
        <v>649</v>
      </c>
      <c r="G13844">
        <v>945</v>
      </c>
    </row>
    <row r="13845" spans="1:7">
      <c r="A13845" t="s">
        <v>1876</v>
      </c>
      <c r="B13845" t="s">
        <v>390</v>
      </c>
      <c r="C13845" t="s">
        <v>1899</v>
      </c>
      <c r="D13845">
        <v>12180</v>
      </c>
      <c r="E13845">
        <v>11855</v>
      </c>
      <c r="F13845">
        <v>17748</v>
      </c>
      <c r="G13845">
        <v>18988</v>
      </c>
    </row>
    <row r="13846" spans="1:7">
      <c r="A13846" t="s">
        <v>1876</v>
      </c>
      <c r="B13846" t="s">
        <v>390</v>
      </c>
      <c r="C13846" t="s">
        <v>148</v>
      </c>
      <c r="D13846">
        <v>-3805</v>
      </c>
      <c r="E13846">
        <v>-3398</v>
      </c>
      <c r="F13846">
        <v>-1243</v>
      </c>
      <c r="G13846">
        <v>-1184</v>
      </c>
    </row>
    <row r="13847" spans="1:7">
      <c r="A13847" t="s">
        <v>1876</v>
      </c>
      <c r="B13847" t="s">
        <v>390</v>
      </c>
      <c r="C13847" t="s">
        <v>149</v>
      </c>
      <c r="D13847">
        <v>-3805</v>
      </c>
      <c r="E13847">
        <v>-3398</v>
      </c>
      <c r="F13847">
        <v>-1243</v>
      </c>
      <c r="G13847">
        <v>-1184</v>
      </c>
    </row>
    <row r="13848" spans="1:7">
      <c r="A13848" t="s">
        <v>1876</v>
      </c>
      <c r="B13848" t="s">
        <v>390</v>
      </c>
      <c r="C13848" t="s">
        <v>150</v>
      </c>
      <c r="D13848">
        <v>0</v>
      </c>
      <c r="E13848">
        <v>0</v>
      </c>
      <c r="F13848">
        <v>0</v>
      </c>
      <c r="G13848">
        <v>0</v>
      </c>
    </row>
    <row r="13849" spans="1:7">
      <c r="A13849" t="s">
        <v>1876</v>
      </c>
      <c r="B13849" t="s">
        <v>390</v>
      </c>
      <c r="C13849" t="s">
        <v>1900</v>
      </c>
      <c r="D13849">
        <v>56.3</v>
      </c>
      <c r="E13849">
        <v>54</v>
      </c>
      <c r="F13849">
        <v>49.3</v>
      </c>
      <c r="G13849">
        <v>46.4</v>
      </c>
    </row>
    <row r="13850" spans="1:7">
      <c r="A13850" t="s">
        <v>1876</v>
      </c>
      <c r="B13850" t="s">
        <v>390</v>
      </c>
      <c r="C13850" t="s">
        <v>151</v>
      </c>
      <c r="D13850">
        <v>0</v>
      </c>
      <c r="E13850">
        <v>0</v>
      </c>
      <c r="F13850">
        <v>0</v>
      </c>
      <c r="G13850">
        <v>0</v>
      </c>
    </row>
    <row r="13851" spans="1:7">
      <c r="A13851" t="s">
        <v>1876</v>
      </c>
      <c r="B13851" t="s">
        <v>390</v>
      </c>
      <c r="C13851" t="s">
        <v>152</v>
      </c>
      <c r="D13851">
        <v>962426</v>
      </c>
      <c r="E13851">
        <v>926229</v>
      </c>
      <c r="F13851">
        <v>800953</v>
      </c>
      <c r="G13851">
        <v>742503</v>
      </c>
    </row>
    <row r="13852" spans="1:7">
      <c r="A13852" t="s">
        <v>1876</v>
      </c>
      <c r="B13852" t="s">
        <v>390</v>
      </c>
      <c r="C13852" t="s">
        <v>1703</v>
      </c>
      <c r="D13852">
        <v>18142</v>
      </c>
      <c r="E13852">
        <v>18142</v>
      </c>
      <c r="F13852">
        <v>16623</v>
      </c>
      <c r="G13852">
        <v>16284</v>
      </c>
    </row>
    <row r="13853" spans="1:7">
      <c r="A13853" t="s">
        <v>1876</v>
      </c>
      <c r="B13853" t="s">
        <v>390</v>
      </c>
      <c r="C13853" t="s">
        <v>153</v>
      </c>
      <c r="D13853">
        <v>5975</v>
      </c>
      <c r="E13853">
        <v>6340</v>
      </c>
      <c r="F13853">
        <v>4647</v>
      </c>
      <c r="G13853">
        <v>3589</v>
      </c>
    </row>
    <row r="13854" spans="1:7">
      <c r="A13854" t="s">
        <v>1876</v>
      </c>
      <c r="B13854" t="s">
        <v>390</v>
      </c>
      <c r="C13854" t="s">
        <v>154</v>
      </c>
      <c r="D13854">
        <v>0</v>
      </c>
      <c r="E13854">
        <v>0</v>
      </c>
      <c r="F13854">
        <v>0</v>
      </c>
      <c r="G13854">
        <v>0</v>
      </c>
    </row>
    <row r="13855" spans="1:7">
      <c r="A13855" t="s">
        <v>1876</v>
      </c>
      <c r="B13855" t="s">
        <v>390</v>
      </c>
      <c r="C13855" t="s">
        <v>155</v>
      </c>
      <c r="D13855">
        <v>5975</v>
      </c>
      <c r="E13855">
        <v>6340</v>
      </c>
      <c r="F13855">
        <v>4647</v>
      </c>
      <c r="G13855">
        <v>3589</v>
      </c>
    </row>
    <row r="13856" spans="1:7">
      <c r="A13856" t="s">
        <v>1876</v>
      </c>
      <c r="B13856" t="s">
        <v>390</v>
      </c>
      <c r="C13856" t="s">
        <v>156</v>
      </c>
      <c r="D13856">
        <v>0</v>
      </c>
      <c r="E13856">
        <v>0</v>
      </c>
      <c r="F13856">
        <v>0</v>
      </c>
      <c r="G13856">
        <v>0</v>
      </c>
    </row>
    <row r="13857" spans="1:7">
      <c r="A13857" t="s">
        <v>1876</v>
      </c>
      <c r="B13857" t="s">
        <v>390</v>
      </c>
      <c r="C13857" t="s">
        <v>157</v>
      </c>
      <c r="D13857">
        <v>968401</v>
      </c>
      <c r="E13857">
        <v>932569</v>
      </c>
      <c r="F13857">
        <v>805600</v>
      </c>
      <c r="G13857">
        <v>746091</v>
      </c>
    </row>
    <row r="13858" spans="1:7">
      <c r="A13858" t="s">
        <v>1876</v>
      </c>
      <c r="B13858" t="s">
        <v>390</v>
      </c>
      <c r="C13858" t="s">
        <v>158</v>
      </c>
      <c r="D13858">
        <v>5975</v>
      </c>
      <c r="E13858">
        <v>6340</v>
      </c>
      <c r="F13858">
        <v>4647</v>
      </c>
      <c r="G13858">
        <v>3589</v>
      </c>
    </row>
    <row r="13859" spans="1:7">
      <c r="A13859" t="s">
        <v>1876</v>
      </c>
      <c r="B13859" t="s">
        <v>390</v>
      </c>
      <c r="C13859" t="s">
        <v>159</v>
      </c>
      <c r="D13859">
        <v>0</v>
      </c>
      <c r="E13859">
        <v>0</v>
      </c>
      <c r="F13859">
        <v>0</v>
      </c>
      <c r="G13859">
        <v>0</v>
      </c>
    </row>
    <row r="13860" spans="1:7">
      <c r="A13860" t="s">
        <v>1876</v>
      </c>
      <c r="B13860" t="s">
        <v>390</v>
      </c>
      <c r="C13860" t="s">
        <v>1901</v>
      </c>
      <c r="D13860">
        <v>49.7</v>
      </c>
      <c r="E13860">
        <v>54.6</v>
      </c>
      <c r="F13860">
        <v>58.5</v>
      </c>
      <c r="G13860">
        <v>59.5</v>
      </c>
    </row>
    <row r="13861" spans="1:7">
      <c r="A13861" t="s">
        <v>1876</v>
      </c>
      <c r="B13861" t="s">
        <v>390</v>
      </c>
      <c r="C13861" t="s">
        <v>1902</v>
      </c>
      <c r="D13861">
        <v>874929</v>
      </c>
      <c r="E13861">
        <v>903179</v>
      </c>
      <c r="F13861">
        <v>918774</v>
      </c>
      <c r="G13861">
        <v>910225</v>
      </c>
    </row>
    <row r="13862" spans="1:7">
      <c r="A13862" t="s">
        <v>1876</v>
      </c>
      <c r="B13862" t="s">
        <v>390</v>
      </c>
      <c r="C13862" t="s">
        <v>1903</v>
      </c>
      <c r="D13862">
        <v>15914</v>
      </c>
      <c r="E13862">
        <v>17826</v>
      </c>
      <c r="F13862">
        <v>14715</v>
      </c>
      <c r="G13862">
        <v>13661</v>
      </c>
    </row>
    <row r="13863" spans="1:7">
      <c r="A13863" t="s">
        <v>1876</v>
      </c>
      <c r="B13863" t="s">
        <v>390</v>
      </c>
      <c r="C13863" t="s">
        <v>1904</v>
      </c>
      <c r="D13863">
        <v>2318</v>
      </c>
      <c r="E13863">
        <v>3290</v>
      </c>
      <c r="F13863">
        <v>2779</v>
      </c>
      <c r="G13863">
        <v>1972</v>
      </c>
    </row>
    <row r="13864" spans="1:7">
      <c r="A13864" t="s">
        <v>1876</v>
      </c>
      <c r="B13864" t="s">
        <v>390</v>
      </c>
      <c r="C13864" t="s">
        <v>1905</v>
      </c>
      <c r="D13864">
        <v>175971</v>
      </c>
      <c r="E13864">
        <v>177887</v>
      </c>
      <c r="F13864">
        <v>173620</v>
      </c>
      <c r="G13864">
        <v>168483</v>
      </c>
    </row>
    <row r="13865" spans="1:7">
      <c r="A13865" t="s">
        <v>1876</v>
      </c>
      <c r="B13865" t="s">
        <v>390</v>
      </c>
      <c r="C13865" t="s">
        <v>1906</v>
      </c>
      <c r="D13865">
        <v>7</v>
      </c>
      <c r="E13865">
        <v>8</v>
      </c>
      <c r="F13865">
        <v>7</v>
      </c>
      <c r="G13865">
        <v>6</v>
      </c>
    </row>
    <row r="13866" spans="1:7">
      <c r="A13866" t="s">
        <v>1876</v>
      </c>
      <c r="B13866" t="s">
        <v>390</v>
      </c>
      <c r="C13866" t="s">
        <v>1907</v>
      </c>
      <c r="D13866">
        <v>1069139</v>
      </c>
      <c r="E13866">
        <v>1102190</v>
      </c>
      <c r="F13866">
        <v>1109895</v>
      </c>
      <c r="G13866">
        <v>1094347</v>
      </c>
    </row>
    <row r="13867" spans="1:7">
      <c r="A13867" t="s">
        <v>1876</v>
      </c>
      <c r="B13867" t="s">
        <v>390</v>
      </c>
      <c r="C13867" t="s">
        <v>160</v>
      </c>
      <c r="D13867">
        <v>862749</v>
      </c>
      <c r="E13867">
        <v>891324</v>
      </c>
      <c r="F13867">
        <v>901026</v>
      </c>
      <c r="G13867">
        <v>891237</v>
      </c>
    </row>
    <row r="13868" spans="1:7">
      <c r="A13868" t="s">
        <v>1876</v>
      </c>
      <c r="B13868" t="s">
        <v>390</v>
      </c>
      <c r="C13868" t="s">
        <v>161</v>
      </c>
      <c r="D13868">
        <v>15914</v>
      </c>
      <c r="E13868">
        <v>17826</v>
      </c>
      <c r="F13868">
        <v>14715</v>
      </c>
      <c r="G13868">
        <v>13661</v>
      </c>
    </row>
    <row r="13869" spans="1:7">
      <c r="A13869" t="s">
        <v>1876</v>
      </c>
      <c r="B13869" t="s">
        <v>390</v>
      </c>
      <c r="C13869" t="s">
        <v>162</v>
      </c>
      <c r="D13869">
        <v>2318</v>
      </c>
      <c r="E13869">
        <v>3290</v>
      </c>
      <c r="F13869">
        <v>2779</v>
      </c>
      <c r="G13869">
        <v>1972</v>
      </c>
    </row>
    <row r="13870" spans="1:7">
      <c r="A13870" t="s">
        <v>1876</v>
      </c>
      <c r="B13870" t="s">
        <v>390</v>
      </c>
      <c r="C13870" t="s">
        <v>163</v>
      </c>
      <c r="D13870">
        <v>175971</v>
      </c>
      <c r="E13870">
        <v>177887</v>
      </c>
      <c r="F13870">
        <v>173620</v>
      </c>
      <c r="G13870">
        <v>168483</v>
      </c>
    </row>
    <row r="13871" spans="1:7">
      <c r="A13871" t="s">
        <v>1876</v>
      </c>
      <c r="B13871" t="s">
        <v>390</v>
      </c>
      <c r="C13871" t="s">
        <v>164</v>
      </c>
      <c r="D13871">
        <v>7</v>
      </c>
      <c r="E13871">
        <v>8</v>
      </c>
      <c r="F13871">
        <v>7</v>
      </c>
      <c r="G13871">
        <v>6</v>
      </c>
    </row>
    <row r="13872" spans="1:7">
      <c r="A13872" t="s">
        <v>1876</v>
      </c>
      <c r="B13872" t="s">
        <v>390</v>
      </c>
      <c r="C13872" t="s">
        <v>165</v>
      </c>
      <c r="D13872">
        <v>1056959</v>
      </c>
      <c r="E13872">
        <v>1090335</v>
      </c>
      <c r="F13872">
        <v>1092147</v>
      </c>
      <c r="G13872">
        <v>1075358</v>
      </c>
    </row>
    <row r="13873" spans="1:7">
      <c r="A13873" t="s">
        <v>1876</v>
      </c>
      <c r="B13873" t="s">
        <v>390</v>
      </c>
      <c r="C13873" t="s">
        <v>166</v>
      </c>
      <c r="D13873">
        <v>1054641</v>
      </c>
      <c r="E13873">
        <v>1087045</v>
      </c>
      <c r="F13873">
        <v>1089368</v>
      </c>
      <c r="G13873">
        <v>1073387</v>
      </c>
    </row>
    <row r="13874" spans="1:7">
      <c r="A13874" t="s">
        <v>1876</v>
      </c>
      <c r="B13874" t="s">
        <v>390</v>
      </c>
      <c r="C13874" t="s">
        <v>167</v>
      </c>
      <c r="D13874">
        <v>2318</v>
      </c>
      <c r="E13874">
        <v>3290</v>
      </c>
      <c r="F13874">
        <v>2779</v>
      </c>
      <c r="G13874">
        <v>1972</v>
      </c>
    </row>
    <row r="13875" spans="1:7">
      <c r="A13875" t="s">
        <v>1876</v>
      </c>
      <c r="B13875" t="s">
        <v>390</v>
      </c>
      <c r="C13875" t="s">
        <v>1908</v>
      </c>
      <c r="D13875">
        <v>853725</v>
      </c>
      <c r="E13875">
        <v>882957</v>
      </c>
      <c r="F13875">
        <v>890568</v>
      </c>
      <c r="G13875">
        <v>880976</v>
      </c>
    </row>
    <row r="13876" spans="1:7">
      <c r="A13876" t="s">
        <v>1876</v>
      </c>
      <c r="B13876" t="s">
        <v>390</v>
      </c>
      <c r="C13876" t="s">
        <v>1909</v>
      </c>
      <c r="D13876">
        <v>15914</v>
      </c>
      <c r="E13876">
        <v>17826</v>
      </c>
      <c r="F13876">
        <v>14715</v>
      </c>
      <c r="G13876">
        <v>13661</v>
      </c>
    </row>
    <row r="13877" spans="1:7">
      <c r="A13877" t="s">
        <v>1876</v>
      </c>
      <c r="B13877" t="s">
        <v>390</v>
      </c>
      <c r="C13877" t="s">
        <v>1910</v>
      </c>
      <c r="D13877">
        <v>2318</v>
      </c>
      <c r="E13877">
        <v>3290</v>
      </c>
      <c r="F13877">
        <v>2779</v>
      </c>
      <c r="G13877">
        <v>1972</v>
      </c>
    </row>
    <row r="13878" spans="1:7">
      <c r="A13878" t="s">
        <v>1876</v>
      </c>
      <c r="B13878" t="s">
        <v>390</v>
      </c>
      <c r="C13878" t="s">
        <v>1911</v>
      </c>
      <c r="D13878">
        <v>175971</v>
      </c>
      <c r="E13878">
        <v>177887</v>
      </c>
      <c r="F13878">
        <v>173620</v>
      </c>
      <c r="G13878">
        <v>168483</v>
      </c>
    </row>
    <row r="13879" spans="1:7">
      <c r="A13879" t="s">
        <v>1876</v>
      </c>
      <c r="B13879" t="s">
        <v>390</v>
      </c>
      <c r="C13879" t="s">
        <v>1912</v>
      </c>
      <c r="D13879">
        <v>7</v>
      </c>
      <c r="E13879">
        <v>8</v>
      </c>
      <c r="F13879">
        <v>7</v>
      </c>
      <c r="G13879">
        <v>6</v>
      </c>
    </row>
    <row r="13880" spans="1:7">
      <c r="A13880" t="s">
        <v>1876</v>
      </c>
      <c r="B13880" t="s">
        <v>390</v>
      </c>
      <c r="C13880" t="s">
        <v>168</v>
      </c>
      <c r="D13880">
        <v>1047935</v>
      </c>
      <c r="E13880">
        <v>1081967</v>
      </c>
      <c r="F13880">
        <v>1081689</v>
      </c>
      <c r="G13880">
        <v>1065098</v>
      </c>
    </row>
    <row r="13881" spans="1:7">
      <c r="A13881" t="s">
        <v>1876</v>
      </c>
      <c r="B13881" t="s">
        <v>390</v>
      </c>
      <c r="C13881" t="s">
        <v>169</v>
      </c>
      <c r="D13881">
        <v>8703</v>
      </c>
      <c r="E13881">
        <v>12530</v>
      </c>
      <c r="F13881">
        <v>2453</v>
      </c>
      <c r="G13881">
        <v>2039</v>
      </c>
    </row>
    <row r="13882" spans="1:7">
      <c r="A13882" t="s">
        <v>1876</v>
      </c>
      <c r="B13882" t="s">
        <v>390</v>
      </c>
      <c r="C13882" t="s">
        <v>1704</v>
      </c>
      <c r="D13882">
        <v>139751</v>
      </c>
      <c r="E13882">
        <v>148900</v>
      </c>
      <c r="F13882">
        <v>155010</v>
      </c>
      <c r="G13882">
        <v>168317</v>
      </c>
    </row>
    <row r="13883" spans="1:7">
      <c r="A13883" t="s">
        <v>1876</v>
      </c>
      <c r="B13883" t="s">
        <v>390</v>
      </c>
      <c r="C13883" t="s">
        <v>170</v>
      </c>
      <c r="D13883">
        <v>440</v>
      </c>
      <c r="E13883">
        <v>506</v>
      </c>
      <c r="F13883">
        <v>230</v>
      </c>
      <c r="G13883">
        <v>84</v>
      </c>
    </row>
    <row r="13884" spans="1:7">
      <c r="A13884" t="s">
        <v>1876</v>
      </c>
      <c r="B13884" t="s">
        <v>390</v>
      </c>
      <c r="C13884" t="s">
        <v>171</v>
      </c>
      <c r="D13884">
        <v>130702</v>
      </c>
      <c r="E13884">
        <v>133408</v>
      </c>
      <c r="F13884">
        <v>80665</v>
      </c>
      <c r="G13884">
        <v>37362</v>
      </c>
    </row>
    <row r="13885" spans="1:7">
      <c r="A13885" t="s">
        <v>1876</v>
      </c>
      <c r="B13885" t="s">
        <v>390</v>
      </c>
      <c r="C13885" t="s">
        <v>172</v>
      </c>
      <c r="D13885">
        <v>-8262</v>
      </c>
      <c r="E13885">
        <v>-12024</v>
      </c>
      <c r="F13885">
        <v>-2223</v>
      </c>
      <c r="G13885">
        <v>-1955</v>
      </c>
    </row>
    <row r="13886" spans="1:7">
      <c r="A13886" t="s">
        <v>1876</v>
      </c>
      <c r="B13886" t="s">
        <v>390</v>
      </c>
      <c r="C13886" t="s">
        <v>1913</v>
      </c>
      <c r="D13886">
        <v>108</v>
      </c>
      <c r="E13886">
        <v>164.6</v>
      </c>
      <c r="F13886">
        <v>268.89999999999998</v>
      </c>
      <c r="G13886">
        <v>347.1</v>
      </c>
    </row>
    <row r="13887" spans="1:7">
      <c r="A13887" t="s">
        <v>1876</v>
      </c>
      <c r="B13887" t="s">
        <v>390</v>
      </c>
      <c r="C13887" t="s">
        <v>1914</v>
      </c>
      <c r="D13887">
        <v>0.5</v>
      </c>
      <c r="E13887">
        <v>0.7</v>
      </c>
      <c r="F13887">
        <v>1.1000000000000001</v>
      </c>
      <c r="G13887">
        <v>1.4</v>
      </c>
    </row>
    <row r="13888" spans="1:7">
      <c r="A13888" t="s">
        <v>1876</v>
      </c>
      <c r="B13888" t="s">
        <v>390</v>
      </c>
      <c r="C13888" t="s">
        <v>173</v>
      </c>
      <c r="D13888">
        <v>120014</v>
      </c>
      <c r="E13888">
        <v>123952</v>
      </c>
      <c r="F13888">
        <v>125816</v>
      </c>
      <c r="G13888">
        <v>126501</v>
      </c>
    </row>
    <row r="13889" spans="1:7">
      <c r="A13889" t="s">
        <v>1876</v>
      </c>
      <c r="B13889" t="s">
        <v>390</v>
      </c>
      <c r="C13889" t="s">
        <v>174</v>
      </c>
      <c r="D13889">
        <v>1926</v>
      </c>
      <c r="E13889">
        <v>2050</v>
      </c>
      <c r="F13889">
        <v>2005</v>
      </c>
      <c r="G13889">
        <v>1828</v>
      </c>
    </row>
    <row r="13890" spans="1:7">
      <c r="A13890" t="s">
        <v>1876</v>
      </c>
      <c r="B13890" t="s">
        <v>390</v>
      </c>
      <c r="C13890" t="s">
        <v>175</v>
      </c>
      <c r="D13890">
        <v>1405</v>
      </c>
      <c r="E13890">
        <v>1472</v>
      </c>
      <c r="F13890">
        <v>1500</v>
      </c>
      <c r="G13890">
        <v>1966</v>
      </c>
    </row>
    <row r="13891" spans="1:7">
      <c r="A13891" t="s">
        <v>1876</v>
      </c>
      <c r="B13891" t="s">
        <v>390</v>
      </c>
      <c r="C13891" t="s">
        <v>176</v>
      </c>
      <c r="D13891">
        <v>15342</v>
      </c>
      <c r="E13891">
        <v>18565</v>
      </c>
      <c r="F13891">
        <v>18504</v>
      </c>
      <c r="G13891">
        <v>19524</v>
      </c>
    </row>
    <row r="13892" spans="1:7">
      <c r="A13892" t="s">
        <v>1876</v>
      </c>
      <c r="B13892" t="s">
        <v>390</v>
      </c>
      <c r="C13892" t="s">
        <v>177</v>
      </c>
      <c r="D13892">
        <v>123346</v>
      </c>
      <c r="E13892">
        <v>127474</v>
      </c>
      <c r="F13892">
        <v>129321</v>
      </c>
      <c r="G13892">
        <v>130295</v>
      </c>
    </row>
    <row r="13893" spans="1:7">
      <c r="A13893" t="s">
        <v>1876</v>
      </c>
      <c r="B13893" t="s">
        <v>390</v>
      </c>
      <c r="C13893" t="s">
        <v>178</v>
      </c>
      <c r="D13893">
        <v>1299921</v>
      </c>
      <c r="E13893">
        <v>1466976</v>
      </c>
      <c r="F13893">
        <v>1555434</v>
      </c>
      <c r="G13893">
        <v>1783378</v>
      </c>
    </row>
    <row r="13894" spans="1:7">
      <c r="A13894" t="s">
        <v>1876</v>
      </c>
      <c r="B13894" t="s">
        <v>390</v>
      </c>
      <c r="C13894" t="s">
        <v>179</v>
      </c>
      <c r="D13894">
        <v>1299921</v>
      </c>
      <c r="E13894">
        <v>1466976</v>
      </c>
      <c r="F13894">
        <v>1555434</v>
      </c>
      <c r="G13894">
        <v>1783378</v>
      </c>
    </row>
    <row r="13895" spans="1:7">
      <c r="A13895" t="s">
        <v>1876</v>
      </c>
      <c r="B13895" t="s">
        <v>390</v>
      </c>
      <c r="C13895" t="s">
        <v>180</v>
      </c>
      <c r="D13895">
        <v>614</v>
      </c>
      <c r="E13895">
        <v>613</v>
      </c>
      <c r="F13895">
        <v>576</v>
      </c>
      <c r="G13895">
        <v>39</v>
      </c>
    </row>
    <row r="13896" spans="1:7">
      <c r="A13896" t="s">
        <v>1876</v>
      </c>
      <c r="B13896" t="s">
        <v>390</v>
      </c>
      <c r="C13896" t="s">
        <v>181</v>
      </c>
      <c r="D13896">
        <v>504441</v>
      </c>
      <c r="E13896">
        <v>548374</v>
      </c>
      <c r="F13896">
        <v>565682</v>
      </c>
      <c r="G13896">
        <v>560363</v>
      </c>
    </row>
    <row r="13897" spans="1:7">
      <c r="A13897" t="s">
        <v>1876</v>
      </c>
      <c r="B13897" t="s">
        <v>390</v>
      </c>
      <c r="C13897" t="s">
        <v>182</v>
      </c>
      <c r="D13897">
        <v>452191</v>
      </c>
      <c r="E13897">
        <v>491007</v>
      </c>
      <c r="F13897">
        <v>539946</v>
      </c>
      <c r="G13897">
        <v>600973</v>
      </c>
    </row>
    <row r="13898" spans="1:7">
      <c r="A13898" t="s">
        <v>1876</v>
      </c>
      <c r="B13898" t="s">
        <v>390</v>
      </c>
      <c r="C13898" t="s">
        <v>183</v>
      </c>
      <c r="D13898">
        <v>529116</v>
      </c>
      <c r="E13898">
        <v>582075</v>
      </c>
      <c r="F13898">
        <v>575300</v>
      </c>
      <c r="G13898">
        <v>563157</v>
      </c>
    </row>
    <row r="13899" spans="1:7">
      <c r="A13899" t="s">
        <v>1876</v>
      </c>
      <c r="B13899" t="s">
        <v>390</v>
      </c>
      <c r="C13899" t="s">
        <v>184</v>
      </c>
      <c r="D13899">
        <v>1486362</v>
      </c>
      <c r="E13899">
        <v>1622069</v>
      </c>
      <c r="F13899">
        <v>1681503</v>
      </c>
      <c r="G13899">
        <v>1724532</v>
      </c>
    </row>
    <row r="13900" spans="1:7">
      <c r="A13900" t="s">
        <v>1876</v>
      </c>
      <c r="B13900" t="s">
        <v>390</v>
      </c>
      <c r="C13900" t="s">
        <v>185</v>
      </c>
      <c r="D13900">
        <v>1486362</v>
      </c>
      <c r="E13900">
        <v>1622069</v>
      </c>
      <c r="F13900">
        <v>1681503</v>
      </c>
      <c r="G13900">
        <v>1724532</v>
      </c>
    </row>
    <row r="13901" spans="1:7">
      <c r="A13901" t="s">
        <v>1876</v>
      </c>
      <c r="B13901" t="s">
        <v>390</v>
      </c>
      <c r="C13901" t="s">
        <v>1915</v>
      </c>
      <c r="D13901">
        <v>156</v>
      </c>
      <c r="E13901">
        <v>268</v>
      </c>
      <c r="F13901">
        <v>774</v>
      </c>
      <c r="G13901">
        <v>1101</v>
      </c>
    </row>
    <row r="13902" spans="1:7">
      <c r="A13902" t="s">
        <v>1876</v>
      </c>
      <c r="B13902" t="s">
        <v>390</v>
      </c>
      <c r="C13902" t="s">
        <v>1916</v>
      </c>
      <c r="D13902">
        <v>0</v>
      </c>
      <c r="E13902">
        <v>0</v>
      </c>
      <c r="F13902">
        <v>0</v>
      </c>
      <c r="G13902">
        <v>0</v>
      </c>
    </row>
    <row r="13903" spans="1:7">
      <c r="A13903" t="s">
        <v>1876</v>
      </c>
      <c r="B13903" t="s">
        <v>390</v>
      </c>
      <c r="C13903" t="s">
        <v>1917</v>
      </c>
      <c r="D13903">
        <v>118</v>
      </c>
      <c r="E13903">
        <v>99</v>
      </c>
      <c r="F13903">
        <v>86</v>
      </c>
      <c r="G13903">
        <v>89</v>
      </c>
    </row>
    <row r="13904" spans="1:7">
      <c r="A13904" t="s">
        <v>1876</v>
      </c>
      <c r="B13904" t="s">
        <v>390</v>
      </c>
      <c r="C13904" t="s">
        <v>1918</v>
      </c>
      <c r="D13904">
        <v>5721</v>
      </c>
      <c r="E13904">
        <v>7033</v>
      </c>
      <c r="F13904">
        <v>7895</v>
      </c>
      <c r="G13904">
        <v>8677</v>
      </c>
    </row>
    <row r="13905" spans="1:7">
      <c r="A13905" t="s">
        <v>1876</v>
      </c>
      <c r="B13905" t="s">
        <v>390</v>
      </c>
      <c r="C13905" t="s">
        <v>1919</v>
      </c>
      <c r="D13905">
        <v>2.66</v>
      </c>
      <c r="E13905">
        <v>2.76</v>
      </c>
      <c r="F13905">
        <v>2.61</v>
      </c>
      <c r="G13905">
        <v>2.54</v>
      </c>
    </row>
    <row r="13906" spans="1:7">
      <c r="A13906" t="s">
        <v>1876</v>
      </c>
      <c r="B13906" t="s">
        <v>390</v>
      </c>
      <c r="C13906" t="s">
        <v>1920</v>
      </c>
      <c r="D13906">
        <v>6851</v>
      </c>
      <c r="E13906">
        <v>8689</v>
      </c>
      <c r="F13906">
        <v>10435</v>
      </c>
      <c r="G13906">
        <v>12233</v>
      </c>
    </row>
    <row r="13907" spans="1:7">
      <c r="A13907" t="s">
        <v>1876</v>
      </c>
      <c r="B13907" t="s">
        <v>390</v>
      </c>
      <c r="C13907" t="s">
        <v>1921</v>
      </c>
      <c r="D13907">
        <v>2360</v>
      </c>
      <c r="E13907">
        <v>2801</v>
      </c>
      <c r="F13907">
        <v>3424</v>
      </c>
      <c r="G13907">
        <v>4020</v>
      </c>
    </row>
    <row r="13908" spans="1:7">
      <c r="A13908" t="s">
        <v>1876</v>
      </c>
      <c r="B13908" t="s">
        <v>390</v>
      </c>
      <c r="C13908" t="s">
        <v>1922</v>
      </c>
      <c r="D13908">
        <v>1012</v>
      </c>
      <c r="E13908">
        <v>1557</v>
      </c>
      <c r="F13908">
        <v>2454</v>
      </c>
      <c r="G13908">
        <v>3467</v>
      </c>
    </row>
    <row r="13909" spans="1:7">
      <c r="A13909" t="s">
        <v>1876</v>
      </c>
      <c r="B13909" t="s">
        <v>390</v>
      </c>
      <c r="C13909" t="s">
        <v>1923</v>
      </c>
      <c r="D13909">
        <v>3.82</v>
      </c>
      <c r="E13909">
        <v>4.63</v>
      </c>
      <c r="F13909">
        <v>5.16</v>
      </c>
      <c r="G13909">
        <v>5.04</v>
      </c>
    </row>
    <row r="13910" spans="1:7">
      <c r="A13910" t="s">
        <v>1876</v>
      </c>
      <c r="B13910" t="s">
        <v>390</v>
      </c>
      <c r="C13910" t="s">
        <v>1924</v>
      </c>
      <c r="D13910">
        <v>156</v>
      </c>
      <c r="E13910">
        <v>39</v>
      </c>
      <c r="F13910">
        <v>45</v>
      </c>
      <c r="G13910">
        <v>43</v>
      </c>
    </row>
    <row r="13911" spans="1:7">
      <c r="A13911" t="s">
        <v>1876</v>
      </c>
      <c r="B13911" t="s">
        <v>390</v>
      </c>
      <c r="C13911" t="s">
        <v>1925</v>
      </c>
      <c r="D13911">
        <v>198</v>
      </c>
      <c r="E13911">
        <v>244</v>
      </c>
      <c r="F13911">
        <v>245</v>
      </c>
      <c r="G13911">
        <v>259</v>
      </c>
    </row>
    <row r="13912" spans="1:7">
      <c r="A13912" t="s">
        <v>1876</v>
      </c>
      <c r="B13912" t="s">
        <v>390</v>
      </c>
      <c r="C13912" t="s">
        <v>1926</v>
      </c>
      <c r="D13912">
        <v>2006</v>
      </c>
      <c r="E13912">
        <v>2518</v>
      </c>
      <c r="F13912">
        <v>3134</v>
      </c>
      <c r="G13912">
        <v>3718</v>
      </c>
    </row>
    <row r="13913" spans="1:7">
      <c r="A13913" t="s">
        <v>1876</v>
      </c>
      <c r="B13913" t="s">
        <v>390</v>
      </c>
      <c r="C13913" t="s">
        <v>1927</v>
      </c>
      <c r="D13913">
        <v>92</v>
      </c>
      <c r="E13913">
        <v>107</v>
      </c>
      <c r="F13913">
        <v>60</v>
      </c>
      <c r="G13913">
        <v>57</v>
      </c>
    </row>
    <row r="13914" spans="1:7">
      <c r="A13914" t="s">
        <v>1876</v>
      </c>
      <c r="B13914" t="s">
        <v>390</v>
      </c>
      <c r="C13914" t="s">
        <v>1928</v>
      </c>
      <c r="D13914">
        <v>2190</v>
      </c>
      <c r="E13914">
        <v>2610</v>
      </c>
      <c r="F13914">
        <v>3231</v>
      </c>
      <c r="G13914">
        <v>3789</v>
      </c>
    </row>
    <row r="13915" spans="1:7">
      <c r="A13915" t="s">
        <v>1876</v>
      </c>
      <c r="B13915" t="s">
        <v>390</v>
      </c>
      <c r="C13915" t="s">
        <v>1929</v>
      </c>
      <c r="D13915">
        <v>78</v>
      </c>
      <c r="E13915">
        <v>84</v>
      </c>
      <c r="F13915">
        <v>133</v>
      </c>
      <c r="G13915">
        <v>174</v>
      </c>
    </row>
    <row r="13916" spans="1:7">
      <c r="A13916" t="s">
        <v>1876</v>
      </c>
      <c r="B13916" t="s">
        <v>390</v>
      </c>
      <c r="C13916" t="s">
        <v>186</v>
      </c>
      <c r="D13916">
        <v>478</v>
      </c>
      <c r="E13916">
        <v>502</v>
      </c>
      <c r="F13916">
        <v>1101</v>
      </c>
      <c r="G13916">
        <v>-10975</v>
      </c>
    </row>
    <row r="13917" spans="1:7">
      <c r="A13917" t="s">
        <v>1876</v>
      </c>
      <c r="B13917" t="s">
        <v>390</v>
      </c>
      <c r="C13917" t="s">
        <v>187</v>
      </c>
      <c r="D13917">
        <v>478</v>
      </c>
      <c r="E13917">
        <v>502</v>
      </c>
      <c r="F13917">
        <v>1101</v>
      </c>
      <c r="G13917">
        <v>-10975</v>
      </c>
    </row>
    <row r="13918" spans="1:7">
      <c r="A13918" t="s">
        <v>1876</v>
      </c>
      <c r="B13918" t="s">
        <v>390</v>
      </c>
      <c r="C13918" t="s">
        <v>1705</v>
      </c>
      <c r="D13918">
        <v>89466</v>
      </c>
      <c r="E13918">
        <v>89831</v>
      </c>
      <c r="F13918">
        <v>89611</v>
      </c>
      <c r="G13918">
        <v>89807</v>
      </c>
    </row>
    <row r="13919" spans="1:7">
      <c r="A13919" t="s">
        <v>1876</v>
      </c>
      <c r="B13919" t="s">
        <v>390</v>
      </c>
      <c r="C13919" t="s">
        <v>188</v>
      </c>
      <c r="D13919">
        <v>12525704</v>
      </c>
      <c r="E13919">
        <v>12523576</v>
      </c>
      <c r="F13919">
        <v>12849572</v>
      </c>
      <c r="G13919">
        <v>13253990</v>
      </c>
    </row>
    <row r="13920" spans="1:7">
      <c r="A13920" t="s">
        <v>1876</v>
      </c>
      <c r="B13920" t="s">
        <v>390</v>
      </c>
      <c r="C13920" t="s">
        <v>189</v>
      </c>
      <c r="D13920">
        <v>302695</v>
      </c>
      <c r="E13920">
        <v>226508</v>
      </c>
      <c r="F13920">
        <v>231912</v>
      </c>
      <c r="G13920">
        <v>217662</v>
      </c>
    </row>
    <row r="13921" spans="1:7">
      <c r="A13921" t="s">
        <v>1876</v>
      </c>
      <c r="B13921" t="s">
        <v>390</v>
      </c>
      <c r="C13921" t="s">
        <v>190</v>
      </c>
      <c r="D13921">
        <v>0</v>
      </c>
      <c r="E13921">
        <v>0</v>
      </c>
      <c r="F13921">
        <v>0</v>
      </c>
      <c r="G13921">
        <v>0</v>
      </c>
    </row>
    <row r="13922" spans="1:7">
      <c r="A13922" t="s">
        <v>1876</v>
      </c>
      <c r="B13922" t="s">
        <v>390</v>
      </c>
      <c r="C13922" t="s">
        <v>191</v>
      </c>
      <c r="D13922">
        <v>0</v>
      </c>
      <c r="E13922">
        <v>0</v>
      </c>
      <c r="F13922">
        <v>0</v>
      </c>
      <c r="G13922">
        <v>0</v>
      </c>
    </row>
    <row r="13923" spans="1:7">
      <c r="A13923" t="s">
        <v>1876</v>
      </c>
      <c r="B13923" t="s">
        <v>390</v>
      </c>
      <c r="C13923" t="s">
        <v>192</v>
      </c>
      <c r="D13923">
        <v>2117013.7000000002</v>
      </c>
      <c r="E13923">
        <v>2476903.2000000002</v>
      </c>
      <c r="F13923">
        <v>2637237.6</v>
      </c>
      <c r="G13923">
        <v>2769766.2</v>
      </c>
    </row>
    <row r="13924" spans="1:7">
      <c r="A13924" t="s">
        <v>1876</v>
      </c>
      <c r="B13924" t="s">
        <v>390</v>
      </c>
      <c r="C13924" t="s">
        <v>193</v>
      </c>
      <c r="D13924">
        <v>1905512.4</v>
      </c>
      <c r="E13924">
        <v>1975164</v>
      </c>
      <c r="F13924">
        <v>2137536.7000000002</v>
      </c>
      <c r="G13924">
        <v>2221943.2999999998</v>
      </c>
    </row>
    <row r="13925" spans="1:7">
      <c r="A13925" t="s">
        <v>1876</v>
      </c>
      <c r="B13925" t="s">
        <v>390</v>
      </c>
      <c r="C13925" t="s">
        <v>1930</v>
      </c>
      <c r="D13925">
        <v>0</v>
      </c>
      <c r="E13925">
        <v>0</v>
      </c>
      <c r="F13925">
        <v>0</v>
      </c>
      <c r="G13925">
        <v>0</v>
      </c>
    </row>
    <row r="13926" spans="1:7">
      <c r="A13926" t="s">
        <v>1876</v>
      </c>
      <c r="B13926" t="s">
        <v>390</v>
      </c>
      <c r="C13926" t="s">
        <v>194</v>
      </c>
      <c r="D13926">
        <v>890</v>
      </c>
      <c r="E13926">
        <v>890</v>
      </c>
      <c r="F13926">
        <v>890</v>
      </c>
      <c r="G13926">
        <v>890</v>
      </c>
    </row>
    <row r="13927" spans="1:7">
      <c r="A13927" t="s">
        <v>1876</v>
      </c>
      <c r="B13927" t="s">
        <v>390</v>
      </c>
      <c r="C13927" t="s">
        <v>195</v>
      </c>
      <c r="D13927">
        <v>0</v>
      </c>
      <c r="E13927">
        <v>0</v>
      </c>
      <c r="F13927">
        <v>0</v>
      </c>
      <c r="G13927">
        <v>0</v>
      </c>
    </row>
    <row r="13928" spans="1:7">
      <c r="A13928" t="s">
        <v>1876</v>
      </c>
      <c r="B13928" t="s">
        <v>390</v>
      </c>
      <c r="C13928" t="s">
        <v>1706</v>
      </c>
      <c r="D13928">
        <v>0</v>
      </c>
      <c r="E13928">
        <v>0</v>
      </c>
      <c r="F13928">
        <v>0</v>
      </c>
      <c r="G13928">
        <v>0</v>
      </c>
    </row>
    <row r="13929" spans="1:7">
      <c r="A13929" t="s">
        <v>1876</v>
      </c>
      <c r="B13929" t="s">
        <v>390</v>
      </c>
      <c r="C13929" t="s">
        <v>196</v>
      </c>
      <c r="D13929">
        <v>0</v>
      </c>
      <c r="E13929">
        <v>0</v>
      </c>
      <c r="F13929">
        <v>0</v>
      </c>
      <c r="G13929">
        <v>0</v>
      </c>
    </row>
    <row r="13930" spans="1:7">
      <c r="A13930" t="s">
        <v>1876</v>
      </c>
      <c r="B13930" t="s">
        <v>390</v>
      </c>
      <c r="C13930" t="s">
        <v>197</v>
      </c>
      <c r="D13930">
        <v>1588</v>
      </c>
      <c r="E13930">
        <v>1588</v>
      </c>
      <c r="F13930">
        <v>1588</v>
      </c>
      <c r="G13930">
        <v>1588</v>
      </c>
    </row>
    <row r="13931" spans="1:7">
      <c r="A13931" t="s">
        <v>1876</v>
      </c>
      <c r="B13931" t="s">
        <v>390</v>
      </c>
      <c r="C13931" t="s">
        <v>198</v>
      </c>
      <c r="D13931">
        <v>2478</v>
      </c>
      <c r="E13931">
        <v>2478</v>
      </c>
      <c r="F13931">
        <v>2478</v>
      </c>
      <c r="G13931">
        <v>2478</v>
      </c>
    </row>
    <row r="13932" spans="1:7">
      <c r="A13932" t="s">
        <v>1876</v>
      </c>
      <c r="B13932" t="s">
        <v>390</v>
      </c>
      <c r="C13932" t="s">
        <v>199</v>
      </c>
      <c r="D13932">
        <v>2478</v>
      </c>
      <c r="E13932">
        <v>2478</v>
      </c>
      <c r="F13932">
        <v>2478</v>
      </c>
      <c r="G13932">
        <v>2478</v>
      </c>
    </row>
    <row r="13933" spans="1:7">
      <c r="A13933" t="s">
        <v>1876</v>
      </c>
      <c r="B13933" t="s">
        <v>390</v>
      </c>
      <c r="C13933" t="s">
        <v>200</v>
      </c>
      <c r="D13933">
        <v>360</v>
      </c>
      <c r="E13933">
        <v>1179</v>
      </c>
      <c r="F13933">
        <v>1252</v>
      </c>
      <c r="G13933">
        <v>1044</v>
      </c>
    </row>
    <row r="13934" spans="1:7">
      <c r="A13934" t="s">
        <v>1876</v>
      </c>
      <c r="B13934" t="s">
        <v>390</v>
      </c>
      <c r="C13934" t="s">
        <v>201</v>
      </c>
      <c r="D13934">
        <v>21121</v>
      </c>
      <c r="E13934">
        <v>12380</v>
      </c>
      <c r="F13934">
        <v>9988</v>
      </c>
      <c r="G13934">
        <v>11347</v>
      </c>
    </row>
    <row r="13935" spans="1:7">
      <c r="A13935" t="s">
        <v>1876</v>
      </c>
      <c r="B13935" t="s">
        <v>390</v>
      </c>
      <c r="C13935" t="s">
        <v>202</v>
      </c>
      <c r="D13935">
        <v>2532692</v>
      </c>
      <c r="E13935">
        <v>2266465</v>
      </c>
      <c r="F13935">
        <v>2461168</v>
      </c>
      <c r="G13935">
        <v>2750975</v>
      </c>
    </row>
    <row r="13936" spans="1:7">
      <c r="A13936" t="s">
        <v>1876</v>
      </c>
      <c r="B13936" t="s">
        <v>390</v>
      </c>
      <c r="C13936" t="s">
        <v>203</v>
      </c>
      <c r="D13936">
        <v>12855</v>
      </c>
      <c r="E13936">
        <v>19321</v>
      </c>
      <c r="F13936">
        <v>15609</v>
      </c>
      <c r="G13936">
        <v>15224</v>
      </c>
    </row>
    <row r="13937" spans="1:7">
      <c r="A13937" t="s">
        <v>1876</v>
      </c>
      <c r="B13937" t="s">
        <v>390</v>
      </c>
      <c r="C13937" t="s">
        <v>204</v>
      </c>
      <c r="D13937">
        <v>2567028</v>
      </c>
      <c r="E13937">
        <v>2299345</v>
      </c>
      <c r="F13937">
        <v>2488016</v>
      </c>
      <c r="G13937">
        <v>2778590</v>
      </c>
    </row>
    <row r="13938" spans="1:7">
      <c r="A13938" t="s">
        <v>1876</v>
      </c>
      <c r="B13938" t="s">
        <v>390</v>
      </c>
      <c r="C13938" t="s">
        <v>205</v>
      </c>
      <c r="D13938">
        <v>2567028</v>
      </c>
      <c r="E13938">
        <v>2299345</v>
      </c>
      <c r="F13938">
        <v>2488016</v>
      </c>
      <c r="G13938">
        <v>2778590</v>
      </c>
    </row>
    <row r="13939" spans="1:7">
      <c r="A13939" t="s">
        <v>1876</v>
      </c>
      <c r="B13939" t="s">
        <v>390</v>
      </c>
      <c r="C13939" t="s">
        <v>1931</v>
      </c>
      <c r="D13939">
        <v>0</v>
      </c>
      <c r="E13939">
        <v>0</v>
      </c>
      <c r="F13939">
        <v>0</v>
      </c>
      <c r="G13939">
        <v>0</v>
      </c>
    </row>
    <row r="13940" spans="1:7">
      <c r="A13940" t="s">
        <v>1876</v>
      </c>
      <c r="B13940" t="s">
        <v>390</v>
      </c>
      <c r="C13940" t="s">
        <v>1707</v>
      </c>
      <c r="D13940">
        <v>0</v>
      </c>
      <c r="E13940">
        <v>0</v>
      </c>
      <c r="F13940">
        <v>0</v>
      </c>
      <c r="G13940">
        <v>0</v>
      </c>
    </row>
    <row r="13941" spans="1:7">
      <c r="A13941" t="s">
        <v>1876</v>
      </c>
      <c r="B13941" t="s">
        <v>390</v>
      </c>
      <c r="C13941" t="s">
        <v>1932</v>
      </c>
      <c r="D13941">
        <v>17.5</v>
      </c>
      <c r="E13941">
        <v>9.9</v>
      </c>
      <c r="F13941">
        <v>12.1</v>
      </c>
      <c r="G13941">
        <v>12.4</v>
      </c>
    </row>
    <row r="13942" spans="1:7">
      <c r="A13942" t="s">
        <v>1876</v>
      </c>
      <c r="B13942" t="s">
        <v>390</v>
      </c>
      <c r="C13942" t="s">
        <v>1708</v>
      </c>
      <c r="D13942">
        <v>706</v>
      </c>
      <c r="E13942">
        <v>715</v>
      </c>
      <c r="F13942">
        <v>715</v>
      </c>
      <c r="G13942">
        <v>713</v>
      </c>
    </row>
    <row r="13943" spans="1:7">
      <c r="A13943" t="s">
        <v>1876</v>
      </c>
      <c r="B13943" t="s">
        <v>390</v>
      </c>
      <c r="C13943" t="s">
        <v>206</v>
      </c>
      <c r="D13943">
        <v>3</v>
      </c>
      <c r="E13943">
        <v>0</v>
      </c>
      <c r="F13943">
        <v>0</v>
      </c>
      <c r="G13943">
        <v>0</v>
      </c>
    </row>
    <row r="13944" spans="1:7">
      <c r="A13944" t="s">
        <v>1876</v>
      </c>
      <c r="B13944" t="s">
        <v>390</v>
      </c>
      <c r="C13944" t="s">
        <v>207</v>
      </c>
      <c r="D13944">
        <v>3691</v>
      </c>
      <c r="E13944">
        <v>2116</v>
      </c>
      <c r="F13944">
        <v>2586</v>
      </c>
      <c r="G13944">
        <v>2650</v>
      </c>
    </row>
    <row r="13945" spans="1:7">
      <c r="A13945" t="s">
        <v>1876</v>
      </c>
      <c r="B13945" t="s">
        <v>390</v>
      </c>
      <c r="C13945" t="s">
        <v>208</v>
      </c>
      <c r="D13945">
        <v>0</v>
      </c>
      <c r="E13945">
        <v>0</v>
      </c>
      <c r="F13945">
        <v>0</v>
      </c>
      <c r="G13945">
        <v>0</v>
      </c>
    </row>
    <row r="13946" spans="1:7">
      <c r="A13946" t="s">
        <v>1876</v>
      </c>
      <c r="B13946" t="s">
        <v>390</v>
      </c>
      <c r="C13946" t="s">
        <v>209</v>
      </c>
      <c r="D13946">
        <v>3693</v>
      </c>
      <c r="E13946">
        <v>2116</v>
      </c>
      <c r="F13946">
        <v>2586</v>
      </c>
      <c r="G13946">
        <v>2650</v>
      </c>
    </row>
    <row r="13947" spans="1:7">
      <c r="A13947" t="s">
        <v>1876</v>
      </c>
      <c r="B13947" t="s">
        <v>390</v>
      </c>
      <c r="C13947" t="s">
        <v>210</v>
      </c>
      <c r="D13947">
        <v>3</v>
      </c>
      <c r="E13947">
        <v>0</v>
      </c>
      <c r="F13947">
        <v>0</v>
      </c>
      <c r="G13947">
        <v>0</v>
      </c>
    </row>
    <row r="13948" spans="1:7">
      <c r="A13948" t="s">
        <v>1876</v>
      </c>
      <c r="B13948" t="s">
        <v>390</v>
      </c>
      <c r="C13948" t="s">
        <v>211</v>
      </c>
      <c r="D13948">
        <v>337873</v>
      </c>
      <c r="E13948">
        <v>275689</v>
      </c>
      <c r="F13948">
        <v>303744</v>
      </c>
      <c r="G13948">
        <v>301117</v>
      </c>
    </row>
    <row r="13949" spans="1:7">
      <c r="A13949" t="s">
        <v>1876</v>
      </c>
      <c r="B13949" t="s">
        <v>390</v>
      </c>
      <c r="C13949" t="s">
        <v>212</v>
      </c>
      <c r="D13949">
        <v>337873</v>
      </c>
      <c r="E13949">
        <v>275689</v>
      </c>
      <c r="F13949">
        <v>303744</v>
      </c>
      <c r="G13949">
        <v>301117</v>
      </c>
    </row>
    <row r="13950" spans="1:7">
      <c r="A13950" t="s">
        <v>1876</v>
      </c>
      <c r="B13950" t="s">
        <v>390</v>
      </c>
      <c r="C13950" t="s">
        <v>213</v>
      </c>
      <c r="D13950">
        <v>-520</v>
      </c>
      <c r="E13950">
        <v>1048</v>
      </c>
      <c r="F13950">
        <v>453</v>
      </c>
      <c r="G13950">
        <v>1118</v>
      </c>
    </row>
    <row r="13951" spans="1:7">
      <c r="A13951" t="s">
        <v>1876</v>
      </c>
      <c r="B13951" t="s">
        <v>390</v>
      </c>
      <c r="C13951" t="s">
        <v>214</v>
      </c>
      <c r="D13951">
        <v>-520</v>
      </c>
      <c r="E13951">
        <v>1048</v>
      </c>
      <c r="F13951">
        <v>453</v>
      </c>
      <c r="G13951">
        <v>1118</v>
      </c>
    </row>
    <row r="13952" spans="1:7">
      <c r="A13952" t="s">
        <v>1876</v>
      </c>
      <c r="B13952" t="s">
        <v>390</v>
      </c>
      <c r="C13952" t="s">
        <v>215</v>
      </c>
      <c r="D13952">
        <v>251174</v>
      </c>
      <c r="E13952">
        <v>283079</v>
      </c>
      <c r="F13952">
        <v>313822</v>
      </c>
      <c r="G13952">
        <v>314747</v>
      </c>
    </row>
    <row r="13953" spans="1:7">
      <c r="A13953" t="s">
        <v>1876</v>
      </c>
      <c r="B13953" t="s">
        <v>390</v>
      </c>
      <c r="C13953" t="s">
        <v>216</v>
      </c>
      <c r="D13953">
        <v>251174</v>
      </c>
      <c r="E13953">
        <v>283079</v>
      </c>
      <c r="F13953">
        <v>313822</v>
      </c>
      <c r="G13953">
        <v>314747</v>
      </c>
    </row>
    <row r="13954" spans="1:7">
      <c r="A13954" t="s">
        <v>1876</v>
      </c>
      <c r="B13954" t="s">
        <v>390</v>
      </c>
      <c r="C13954" t="s">
        <v>217</v>
      </c>
      <c r="D13954">
        <v>251174</v>
      </c>
      <c r="E13954">
        <v>283079</v>
      </c>
      <c r="F13954">
        <v>313822</v>
      </c>
      <c r="G13954">
        <v>314747</v>
      </c>
    </row>
    <row r="13955" spans="1:7">
      <c r="A13955" t="s">
        <v>1876</v>
      </c>
      <c r="B13955" t="s">
        <v>390</v>
      </c>
      <c r="C13955" t="s">
        <v>218</v>
      </c>
      <c r="D13955">
        <v>36</v>
      </c>
      <c r="E13955">
        <v>36</v>
      </c>
      <c r="F13955">
        <v>55</v>
      </c>
      <c r="G13955">
        <v>40</v>
      </c>
    </row>
    <row r="13956" spans="1:7">
      <c r="A13956" t="s">
        <v>1876</v>
      </c>
      <c r="B13956" t="s">
        <v>390</v>
      </c>
      <c r="C13956" t="s">
        <v>219</v>
      </c>
      <c r="D13956">
        <v>145</v>
      </c>
      <c r="E13956">
        <v>109</v>
      </c>
      <c r="F13956">
        <v>436</v>
      </c>
      <c r="G13956">
        <v>237</v>
      </c>
    </row>
    <row r="13957" spans="1:7">
      <c r="A13957" t="s">
        <v>1876</v>
      </c>
      <c r="B13957" t="s">
        <v>390</v>
      </c>
      <c r="C13957" t="s">
        <v>220</v>
      </c>
      <c r="D13957">
        <v>4</v>
      </c>
      <c r="E13957">
        <v>4</v>
      </c>
      <c r="F13957">
        <v>6</v>
      </c>
      <c r="G13957">
        <v>5</v>
      </c>
    </row>
    <row r="13958" spans="1:7">
      <c r="A13958" t="s">
        <v>1876</v>
      </c>
      <c r="B13958" t="s">
        <v>390</v>
      </c>
      <c r="C13958" t="s">
        <v>221</v>
      </c>
      <c r="D13958">
        <v>185</v>
      </c>
      <c r="E13958">
        <v>149</v>
      </c>
      <c r="F13958">
        <v>497</v>
      </c>
      <c r="G13958">
        <v>281</v>
      </c>
    </row>
    <row r="13959" spans="1:7">
      <c r="A13959" t="s">
        <v>1876</v>
      </c>
      <c r="B13959" t="s">
        <v>390</v>
      </c>
      <c r="C13959" t="s">
        <v>222</v>
      </c>
      <c r="D13959">
        <v>185</v>
      </c>
      <c r="E13959">
        <v>149</v>
      </c>
      <c r="F13959">
        <v>497</v>
      </c>
      <c r="G13959">
        <v>281</v>
      </c>
    </row>
    <row r="13960" spans="1:7">
      <c r="A13960" t="s">
        <v>1876</v>
      </c>
      <c r="B13960" t="s">
        <v>390</v>
      </c>
      <c r="C13960" t="s">
        <v>1933</v>
      </c>
      <c r="D13960">
        <v>23088</v>
      </c>
      <c r="E13960">
        <v>23528.7</v>
      </c>
      <c r="F13960">
        <v>23787.200000000001</v>
      </c>
      <c r="G13960">
        <v>24117.9</v>
      </c>
    </row>
    <row r="13961" spans="1:7">
      <c r="A13961" t="s">
        <v>1876</v>
      </c>
      <c r="B13961" t="s">
        <v>390</v>
      </c>
      <c r="C13961" t="s">
        <v>223</v>
      </c>
      <c r="D13961">
        <v>859</v>
      </c>
      <c r="E13961">
        <v>824</v>
      </c>
      <c r="F13961">
        <v>749</v>
      </c>
      <c r="G13961">
        <v>50</v>
      </c>
    </row>
    <row r="13962" spans="1:7">
      <c r="A13962" t="s">
        <v>1876</v>
      </c>
      <c r="B13962" t="s">
        <v>390</v>
      </c>
      <c r="C13962" t="s">
        <v>224</v>
      </c>
      <c r="D13962">
        <v>706017</v>
      </c>
      <c r="E13962">
        <v>736953</v>
      </c>
      <c r="F13962">
        <v>736114</v>
      </c>
      <c r="G13962">
        <v>707649</v>
      </c>
    </row>
    <row r="13963" spans="1:7">
      <c r="A13963" t="s">
        <v>1876</v>
      </c>
      <c r="B13963" t="s">
        <v>390</v>
      </c>
      <c r="C13963" t="s">
        <v>225</v>
      </c>
      <c r="D13963">
        <v>632887</v>
      </c>
      <c r="E13963">
        <v>659858</v>
      </c>
      <c r="F13963">
        <v>702624</v>
      </c>
      <c r="G13963">
        <v>758933</v>
      </c>
    </row>
    <row r="13964" spans="1:7">
      <c r="A13964" t="s">
        <v>1876</v>
      </c>
      <c r="B13964" t="s">
        <v>390</v>
      </c>
      <c r="C13964" t="s">
        <v>226</v>
      </c>
      <c r="D13964">
        <v>740552</v>
      </c>
      <c r="E13964">
        <v>782243</v>
      </c>
      <c r="F13964">
        <v>748631</v>
      </c>
      <c r="G13964">
        <v>711177</v>
      </c>
    </row>
    <row r="13965" spans="1:7">
      <c r="A13965" t="s">
        <v>1876</v>
      </c>
      <c r="B13965" t="s">
        <v>390</v>
      </c>
      <c r="C13965" t="s">
        <v>227</v>
      </c>
      <c r="D13965">
        <v>2080315</v>
      </c>
      <c r="E13965">
        <v>2179878</v>
      </c>
      <c r="F13965">
        <v>2188119</v>
      </c>
      <c r="G13965">
        <v>2177809</v>
      </c>
    </row>
    <row r="13966" spans="1:7">
      <c r="A13966" t="s">
        <v>1876</v>
      </c>
      <c r="B13966" t="s">
        <v>390</v>
      </c>
      <c r="C13966" t="s">
        <v>228</v>
      </c>
      <c r="D13966">
        <v>2080315</v>
      </c>
      <c r="E13966">
        <v>2179878</v>
      </c>
      <c r="F13966">
        <v>2188119</v>
      </c>
      <c r="G13966">
        <v>2177809</v>
      </c>
    </row>
    <row r="13967" spans="1:7">
      <c r="A13967" t="s">
        <v>1876</v>
      </c>
      <c r="B13967" t="s">
        <v>390</v>
      </c>
      <c r="C13967" t="s">
        <v>229</v>
      </c>
      <c r="D13967">
        <v>15380</v>
      </c>
      <c r="E13967">
        <v>16528</v>
      </c>
      <c r="F13967">
        <v>12275</v>
      </c>
      <c r="G13967">
        <v>11934</v>
      </c>
    </row>
    <row r="13968" spans="1:7">
      <c r="A13968" t="s">
        <v>1876</v>
      </c>
      <c r="B13968" t="s">
        <v>390</v>
      </c>
      <c r="C13968" t="s">
        <v>230</v>
      </c>
      <c r="D13968">
        <v>18631</v>
      </c>
      <c r="E13968">
        <v>20673</v>
      </c>
      <c r="F13968">
        <v>18160</v>
      </c>
      <c r="G13968">
        <v>17684</v>
      </c>
    </row>
    <row r="13969" spans="1:7">
      <c r="A13969" t="s">
        <v>1876</v>
      </c>
      <c r="B13969" t="s">
        <v>390</v>
      </c>
      <c r="C13969" t="s">
        <v>231</v>
      </c>
      <c r="D13969">
        <v>34011</v>
      </c>
      <c r="E13969">
        <v>37202</v>
      </c>
      <c r="F13969">
        <v>30435</v>
      </c>
      <c r="G13969">
        <v>29618</v>
      </c>
    </row>
    <row r="13970" spans="1:7">
      <c r="A13970" t="s">
        <v>1876</v>
      </c>
      <c r="B13970" t="s">
        <v>390</v>
      </c>
      <c r="C13970" t="s">
        <v>232</v>
      </c>
      <c r="D13970">
        <v>34011</v>
      </c>
      <c r="E13970">
        <v>37202</v>
      </c>
      <c r="F13970">
        <v>30435</v>
      </c>
      <c r="G13970">
        <v>29618</v>
      </c>
    </row>
    <row r="13971" spans="1:7">
      <c r="A13971" t="s">
        <v>1876</v>
      </c>
      <c r="B13971" t="s">
        <v>390</v>
      </c>
      <c r="C13971" t="s">
        <v>233</v>
      </c>
      <c r="D13971">
        <v>0</v>
      </c>
      <c r="E13971">
        <v>0</v>
      </c>
      <c r="F13971">
        <v>0</v>
      </c>
      <c r="G13971">
        <v>0</v>
      </c>
    </row>
    <row r="13972" spans="1:7">
      <c r="A13972" t="s">
        <v>1876</v>
      </c>
      <c r="B13972" t="s">
        <v>390</v>
      </c>
      <c r="C13972" t="s">
        <v>234</v>
      </c>
      <c r="D13972">
        <v>1631914</v>
      </c>
      <c r="E13972">
        <v>1679452</v>
      </c>
      <c r="F13972">
        <v>1705547</v>
      </c>
      <c r="G13972">
        <v>1721744</v>
      </c>
    </row>
    <row r="13973" spans="1:7">
      <c r="A13973" t="s">
        <v>1876</v>
      </c>
      <c r="B13973" t="s">
        <v>390</v>
      </c>
      <c r="C13973" t="s">
        <v>235</v>
      </c>
      <c r="D13973">
        <v>26193</v>
      </c>
      <c r="E13973">
        <v>27781</v>
      </c>
      <c r="F13973">
        <v>27186</v>
      </c>
      <c r="G13973">
        <v>24880</v>
      </c>
    </row>
    <row r="13974" spans="1:7">
      <c r="A13974" t="s">
        <v>1876</v>
      </c>
      <c r="B13974" t="s">
        <v>390</v>
      </c>
      <c r="C13974" t="s">
        <v>236</v>
      </c>
      <c r="D13974">
        <v>19109</v>
      </c>
      <c r="E13974">
        <v>19942</v>
      </c>
      <c r="F13974">
        <v>20331</v>
      </c>
      <c r="G13974">
        <v>26761</v>
      </c>
    </row>
    <row r="13975" spans="1:7">
      <c r="A13975" t="s">
        <v>1876</v>
      </c>
      <c r="B13975" t="s">
        <v>390</v>
      </c>
      <c r="C13975" t="s">
        <v>237</v>
      </c>
      <c r="D13975">
        <v>1677215</v>
      </c>
      <c r="E13975">
        <v>1727175</v>
      </c>
      <c r="F13975">
        <v>1753064</v>
      </c>
      <c r="G13975">
        <v>1773386</v>
      </c>
    </row>
    <row r="13976" spans="1:7">
      <c r="A13976" t="s">
        <v>1876</v>
      </c>
      <c r="B13976" t="s">
        <v>390</v>
      </c>
      <c r="C13976" t="s">
        <v>238</v>
      </c>
      <c r="D13976">
        <v>1677215</v>
      </c>
      <c r="E13976">
        <v>1727175</v>
      </c>
      <c r="F13976">
        <v>1753064</v>
      </c>
      <c r="G13976">
        <v>1773386</v>
      </c>
    </row>
    <row r="13977" spans="1:7">
      <c r="A13977" t="s">
        <v>1876</v>
      </c>
      <c r="B13977" t="s">
        <v>390</v>
      </c>
      <c r="C13977" t="s">
        <v>1934</v>
      </c>
      <c r="D13977">
        <v>1511899</v>
      </c>
      <c r="E13977">
        <v>1555500</v>
      </c>
      <c r="F13977">
        <v>1579731</v>
      </c>
      <c r="G13977">
        <v>1595243</v>
      </c>
    </row>
    <row r="13978" spans="1:7">
      <c r="A13978" t="s">
        <v>1876</v>
      </c>
      <c r="B13978" t="s">
        <v>390</v>
      </c>
      <c r="C13978" t="s">
        <v>1935</v>
      </c>
      <c r="D13978">
        <v>24266</v>
      </c>
      <c r="E13978">
        <v>25731</v>
      </c>
      <c r="F13978">
        <v>25180</v>
      </c>
      <c r="G13978">
        <v>23052</v>
      </c>
    </row>
    <row r="13979" spans="1:7">
      <c r="A13979" t="s">
        <v>1876</v>
      </c>
      <c r="B13979" t="s">
        <v>390</v>
      </c>
      <c r="C13979" t="s">
        <v>1936</v>
      </c>
      <c r="D13979">
        <v>17704</v>
      </c>
      <c r="E13979">
        <v>18470</v>
      </c>
      <c r="F13979">
        <v>18832</v>
      </c>
      <c r="G13979">
        <v>24795</v>
      </c>
    </row>
    <row r="13980" spans="1:7">
      <c r="A13980" t="s">
        <v>1876</v>
      </c>
      <c r="B13980" t="s">
        <v>390</v>
      </c>
      <c r="C13980" t="s">
        <v>239</v>
      </c>
      <c r="D13980">
        <v>1553870</v>
      </c>
      <c r="E13980">
        <v>1599700</v>
      </c>
      <c r="F13980">
        <v>1623743</v>
      </c>
      <c r="G13980">
        <v>1643091</v>
      </c>
    </row>
    <row r="13981" spans="1:7">
      <c r="A13981" t="s">
        <v>1876</v>
      </c>
      <c r="B13981" t="s">
        <v>390</v>
      </c>
      <c r="C13981" t="s">
        <v>240</v>
      </c>
      <c r="D13981">
        <v>87380</v>
      </c>
      <c r="E13981">
        <v>88528</v>
      </c>
      <c r="F13981">
        <v>85075</v>
      </c>
      <c r="G13981">
        <v>83299</v>
      </c>
    </row>
    <row r="13982" spans="1:7">
      <c r="A13982" t="s">
        <v>1876</v>
      </c>
      <c r="B13982" t="s">
        <v>390</v>
      </c>
      <c r="C13982" t="s">
        <v>241</v>
      </c>
      <c r="D13982">
        <v>0</v>
      </c>
      <c r="E13982">
        <v>0</v>
      </c>
      <c r="F13982">
        <v>0</v>
      </c>
      <c r="G13982">
        <v>0</v>
      </c>
    </row>
    <row r="13983" spans="1:7">
      <c r="A13983" t="s">
        <v>1876</v>
      </c>
      <c r="B13983" t="s">
        <v>390</v>
      </c>
      <c r="C13983" t="s">
        <v>242</v>
      </c>
      <c r="D13983">
        <v>232680</v>
      </c>
      <c r="E13983">
        <v>258487</v>
      </c>
      <c r="F13983">
        <v>263090</v>
      </c>
      <c r="G13983">
        <v>279218</v>
      </c>
    </row>
    <row r="13984" spans="1:7">
      <c r="A13984" t="s">
        <v>1876</v>
      </c>
      <c r="B13984" t="s">
        <v>390</v>
      </c>
      <c r="C13984" t="s">
        <v>243</v>
      </c>
      <c r="D13984">
        <v>185410</v>
      </c>
      <c r="E13984">
        <v>200651</v>
      </c>
      <c r="F13984">
        <v>198293</v>
      </c>
      <c r="G13984">
        <v>197284</v>
      </c>
    </row>
    <row r="13985" spans="1:7">
      <c r="A13985" t="s">
        <v>1876</v>
      </c>
      <c r="B13985" t="s">
        <v>390</v>
      </c>
      <c r="C13985" t="s">
        <v>244</v>
      </c>
      <c r="D13985">
        <v>1661561</v>
      </c>
      <c r="E13985">
        <v>1839198</v>
      </c>
      <c r="F13985">
        <v>2053455</v>
      </c>
      <c r="G13985">
        <v>2154917</v>
      </c>
    </row>
    <row r="13986" spans="1:7">
      <c r="A13986" t="s">
        <v>1876</v>
      </c>
      <c r="B13986" t="s">
        <v>390</v>
      </c>
      <c r="C13986" t="s">
        <v>1709</v>
      </c>
      <c r="D13986">
        <v>70902</v>
      </c>
      <c r="E13986">
        <v>71026</v>
      </c>
      <c r="F13986">
        <v>72105</v>
      </c>
      <c r="G13986">
        <v>72643</v>
      </c>
    </row>
    <row r="13987" spans="1:7">
      <c r="A13987" t="s">
        <v>1876</v>
      </c>
      <c r="B13987" t="s">
        <v>390</v>
      </c>
      <c r="C13987" t="s">
        <v>245</v>
      </c>
      <c r="D13987">
        <v>2480155</v>
      </c>
      <c r="E13987">
        <v>2476744</v>
      </c>
      <c r="F13987">
        <v>2550695</v>
      </c>
      <c r="G13987">
        <v>2617228</v>
      </c>
    </row>
    <row r="13988" spans="1:7">
      <c r="A13988" t="s">
        <v>1876</v>
      </c>
      <c r="B13988" t="s">
        <v>390</v>
      </c>
      <c r="C13988" t="s">
        <v>246</v>
      </c>
      <c r="D13988">
        <v>215893</v>
      </c>
      <c r="E13988">
        <v>237221</v>
      </c>
      <c r="F13988">
        <v>204199</v>
      </c>
      <c r="G13988">
        <v>200925</v>
      </c>
    </row>
    <row r="13989" spans="1:7">
      <c r="A13989" t="s">
        <v>1876</v>
      </c>
      <c r="B13989" t="s">
        <v>390</v>
      </c>
      <c r="C13989" t="s">
        <v>247</v>
      </c>
      <c r="D13989">
        <v>4775701</v>
      </c>
      <c r="E13989">
        <v>5012302</v>
      </c>
      <c r="F13989">
        <v>5269734</v>
      </c>
      <c r="G13989">
        <v>5449561</v>
      </c>
    </row>
    <row r="13990" spans="1:7">
      <c r="A13990" t="s">
        <v>1876</v>
      </c>
      <c r="B13990" t="s">
        <v>390</v>
      </c>
      <c r="C13990" t="s">
        <v>248</v>
      </c>
      <c r="D13990">
        <v>161.5</v>
      </c>
      <c r="E13990">
        <v>166.4</v>
      </c>
      <c r="F13990">
        <v>171.5</v>
      </c>
      <c r="G13990">
        <v>174</v>
      </c>
    </row>
    <row r="13991" spans="1:7">
      <c r="A13991" t="s">
        <v>1876</v>
      </c>
      <c r="B13991" t="s">
        <v>390</v>
      </c>
      <c r="C13991" t="s">
        <v>249</v>
      </c>
      <c r="D13991">
        <v>3114138</v>
      </c>
      <c r="E13991">
        <v>3173103</v>
      </c>
      <c r="F13991">
        <v>3216278</v>
      </c>
      <c r="G13991">
        <v>3294655</v>
      </c>
    </row>
    <row r="13992" spans="1:7">
      <c r="A13992" t="s">
        <v>1876</v>
      </c>
      <c r="B13992" t="s">
        <v>390</v>
      </c>
      <c r="C13992" t="s">
        <v>250</v>
      </c>
      <c r="D13992">
        <v>4773076</v>
      </c>
      <c r="E13992">
        <v>5007366</v>
      </c>
      <c r="F13992">
        <v>5259050</v>
      </c>
      <c r="G13992">
        <v>5438447</v>
      </c>
    </row>
    <row r="13993" spans="1:7">
      <c r="A13993" t="s">
        <v>1876</v>
      </c>
      <c r="B13993" t="s">
        <v>390</v>
      </c>
      <c r="C13993" t="s">
        <v>1937</v>
      </c>
      <c r="D13993">
        <v>30.3</v>
      </c>
      <c r="E13993">
        <v>31.7</v>
      </c>
      <c r="F13993">
        <v>31.1</v>
      </c>
      <c r="G13993">
        <v>33</v>
      </c>
    </row>
    <row r="13994" spans="1:7">
      <c r="A13994" t="s">
        <v>1876</v>
      </c>
      <c r="B13994" t="s">
        <v>390</v>
      </c>
      <c r="C13994" t="s">
        <v>1938</v>
      </c>
      <c r="D13994">
        <v>92.2</v>
      </c>
      <c r="E13994">
        <v>95.4</v>
      </c>
      <c r="F13994">
        <v>93.2</v>
      </c>
      <c r="G13994">
        <v>88.3</v>
      </c>
    </row>
    <row r="13995" spans="1:7">
      <c r="A13995" t="s">
        <v>1876</v>
      </c>
      <c r="B13995" t="s">
        <v>390</v>
      </c>
      <c r="C13995" t="s">
        <v>251</v>
      </c>
      <c r="D13995">
        <v>419363</v>
      </c>
      <c r="E13995">
        <v>434709</v>
      </c>
      <c r="F13995">
        <v>425186</v>
      </c>
      <c r="G13995">
        <v>403237</v>
      </c>
    </row>
    <row r="13996" spans="1:7">
      <c r="A13996" t="s">
        <v>1876</v>
      </c>
      <c r="B13996" t="s">
        <v>390</v>
      </c>
      <c r="C13996" t="s">
        <v>252</v>
      </c>
      <c r="D13996">
        <v>419363</v>
      </c>
      <c r="E13996">
        <v>434709</v>
      </c>
      <c r="F13996">
        <v>425186</v>
      </c>
      <c r="G13996">
        <v>403237</v>
      </c>
    </row>
    <row r="13997" spans="1:7">
      <c r="A13997" t="s">
        <v>1876</v>
      </c>
      <c r="B13997" t="s">
        <v>390</v>
      </c>
      <c r="C13997" t="s">
        <v>1710</v>
      </c>
      <c r="D13997">
        <v>4980</v>
      </c>
      <c r="E13997">
        <v>4980</v>
      </c>
      <c r="F13997">
        <v>4980</v>
      </c>
      <c r="G13997">
        <v>4980</v>
      </c>
    </row>
    <row r="13998" spans="1:7">
      <c r="A13998" t="s">
        <v>1876</v>
      </c>
      <c r="B13998" t="s">
        <v>390</v>
      </c>
      <c r="C13998" t="s">
        <v>1939</v>
      </c>
      <c r="D13998">
        <v>14.6</v>
      </c>
      <c r="E13998">
        <v>16</v>
      </c>
      <c r="F13998">
        <v>20.2</v>
      </c>
      <c r="G13998">
        <v>22.8</v>
      </c>
    </row>
    <row r="13999" spans="1:7">
      <c r="A13999" t="s">
        <v>1876</v>
      </c>
      <c r="B13999" t="s">
        <v>390</v>
      </c>
      <c r="C13999" t="s">
        <v>253</v>
      </c>
      <c r="D13999">
        <v>2316476</v>
      </c>
      <c r="E13999">
        <v>2059656</v>
      </c>
      <c r="F13999">
        <v>2251553</v>
      </c>
      <c r="G13999">
        <v>2509585</v>
      </c>
    </row>
    <row r="14000" spans="1:7">
      <c r="A14000" t="s">
        <v>1876</v>
      </c>
      <c r="B14000" t="s">
        <v>390</v>
      </c>
      <c r="C14000" t="s">
        <v>1711</v>
      </c>
      <c r="D14000">
        <v>180</v>
      </c>
      <c r="E14000">
        <v>24</v>
      </c>
      <c r="F14000">
        <v>177</v>
      </c>
      <c r="G14000">
        <v>177</v>
      </c>
    </row>
    <row r="14001" spans="1:7">
      <c r="A14001" t="s">
        <v>1876</v>
      </c>
      <c r="B14001" t="s">
        <v>390</v>
      </c>
      <c r="C14001" t="s">
        <v>1712</v>
      </c>
      <c r="D14001">
        <v>904588</v>
      </c>
      <c r="E14001">
        <v>831372</v>
      </c>
      <c r="F14001">
        <v>841950</v>
      </c>
      <c r="G14001">
        <v>816226</v>
      </c>
    </row>
    <row r="14002" spans="1:7">
      <c r="A14002" t="s">
        <v>1876</v>
      </c>
      <c r="B14002" t="s">
        <v>390</v>
      </c>
      <c r="C14002" t="s">
        <v>1713</v>
      </c>
      <c r="D14002">
        <v>12180</v>
      </c>
      <c r="E14002">
        <v>11855</v>
      </c>
      <c r="F14002">
        <v>17748</v>
      </c>
      <c r="G14002">
        <v>18988</v>
      </c>
    </row>
    <row r="14003" spans="1:7">
      <c r="A14003" t="s">
        <v>1876</v>
      </c>
      <c r="B14003" t="s">
        <v>390</v>
      </c>
      <c r="C14003" t="s">
        <v>1940</v>
      </c>
      <c r="D14003">
        <v>0</v>
      </c>
      <c r="E14003">
        <v>0</v>
      </c>
      <c r="F14003">
        <v>0</v>
      </c>
      <c r="G14003">
        <v>0</v>
      </c>
    </row>
    <row r="14004" spans="1:7">
      <c r="A14004" t="s">
        <v>1876</v>
      </c>
      <c r="B14004" t="s">
        <v>390</v>
      </c>
      <c r="C14004" t="s">
        <v>1941</v>
      </c>
      <c r="D14004">
        <v>0</v>
      </c>
      <c r="E14004">
        <v>0</v>
      </c>
      <c r="F14004">
        <v>0</v>
      </c>
      <c r="G14004">
        <v>0</v>
      </c>
    </row>
    <row r="14005" spans="1:7">
      <c r="A14005" t="s">
        <v>1876</v>
      </c>
      <c r="B14005" t="s">
        <v>390</v>
      </c>
      <c r="C14005" t="s">
        <v>254</v>
      </c>
      <c r="D14005">
        <v>904588</v>
      </c>
      <c r="E14005">
        <v>831372</v>
      </c>
      <c r="F14005">
        <v>841950</v>
      </c>
      <c r="G14005">
        <v>816226</v>
      </c>
    </row>
    <row r="14006" spans="1:7">
      <c r="A14006" t="s">
        <v>1876</v>
      </c>
      <c r="B14006" t="s">
        <v>390</v>
      </c>
      <c r="C14006" t="s">
        <v>1942</v>
      </c>
      <c r="D14006">
        <v>0</v>
      </c>
      <c r="E14006">
        <v>0</v>
      </c>
      <c r="F14006">
        <v>0</v>
      </c>
      <c r="G14006">
        <v>0</v>
      </c>
    </row>
    <row r="14007" spans="1:7">
      <c r="A14007" t="s">
        <v>1876</v>
      </c>
      <c r="B14007" t="s">
        <v>390</v>
      </c>
      <c r="C14007" t="s">
        <v>255</v>
      </c>
      <c r="D14007">
        <v>916768</v>
      </c>
      <c r="E14007">
        <v>843228</v>
      </c>
      <c r="F14007">
        <v>859698</v>
      </c>
      <c r="G14007">
        <v>835214</v>
      </c>
    </row>
    <row r="14008" spans="1:7">
      <c r="A14008" t="s">
        <v>1876</v>
      </c>
      <c r="B14008" t="s">
        <v>390</v>
      </c>
      <c r="C14008" t="s">
        <v>256</v>
      </c>
      <c r="D14008">
        <v>916768</v>
      </c>
      <c r="E14008">
        <v>843228</v>
      </c>
      <c r="F14008">
        <v>859698</v>
      </c>
      <c r="G14008">
        <v>835214</v>
      </c>
    </row>
    <row r="14009" spans="1:7">
      <c r="A14009" t="s">
        <v>1876</v>
      </c>
      <c r="B14009" t="s">
        <v>390</v>
      </c>
      <c r="C14009" t="s">
        <v>1714</v>
      </c>
      <c r="D14009">
        <v>224</v>
      </c>
      <c r="E14009">
        <v>224</v>
      </c>
      <c r="F14009">
        <v>224</v>
      </c>
      <c r="G14009">
        <v>224</v>
      </c>
    </row>
    <row r="14010" spans="1:7">
      <c r="A14010" t="s">
        <v>1876</v>
      </c>
      <c r="B14010" t="s">
        <v>390</v>
      </c>
      <c r="C14010" t="s">
        <v>257</v>
      </c>
      <c r="D14010">
        <v>1169643</v>
      </c>
      <c r="E14010">
        <v>1119374</v>
      </c>
      <c r="F14010">
        <v>1112666</v>
      </c>
      <c r="G14010">
        <v>1090722</v>
      </c>
    </row>
    <row r="14011" spans="1:7">
      <c r="A14011" t="s">
        <v>1876</v>
      </c>
      <c r="B14011" t="s">
        <v>390</v>
      </c>
      <c r="C14011" t="s">
        <v>258</v>
      </c>
      <c r="D14011">
        <v>1199185</v>
      </c>
      <c r="E14011">
        <v>1149808</v>
      </c>
      <c r="F14011">
        <v>1144658</v>
      </c>
      <c r="G14011">
        <v>1123740</v>
      </c>
    </row>
    <row r="14012" spans="1:7">
      <c r="A14012" t="s">
        <v>1876</v>
      </c>
      <c r="B14012" t="s">
        <v>390</v>
      </c>
      <c r="C14012" t="s">
        <v>259</v>
      </c>
      <c r="D14012">
        <v>1199185</v>
      </c>
      <c r="E14012">
        <v>1149808</v>
      </c>
      <c r="F14012">
        <v>1144658</v>
      </c>
      <c r="G14012">
        <v>1123740</v>
      </c>
    </row>
    <row r="14013" spans="1:7">
      <c r="A14013" t="s">
        <v>1876</v>
      </c>
      <c r="B14013" t="s">
        <v>390</v>
      </c>
      <c r="C14013" t="s">
        <v>260</v>
      </c>
      <c r="D14013">
        <v>2938230</v>
      </c>
      <c r="E14013">
        <v>3051976</v>
      </c>
      <c r="F14013">
        <v>3091829</v>
      </c>
      <c r="G14013">
        <v>3111400</v>
      </c>
    </row>
    <row r="14014" spans="1:7">
      <c r="A14014" t="s">
        <v>1876</v>
      </c>
      <c r="B14014" t="s">
        <v>390</v>
      </c>
      <c r="C14014" t="s">
        <v>1943</v>
      </c>
      <c r="D14014">
        <v>8.9</v>
      </c>
      <c r="E14014">
        <v>4.0999999999999996</v>
      </c>
      <c r="F14014">
        <v>3.9</v>
      </c>
      <c r="G14014">
        <v>2.6</v>
      </c>
    </row>
    <row r="14015" spans="1:7">
      <c r="A14015" t="s">
        <v>1876</v>
      </c>
      <c r="B14015" t="s">
        <v>390</v>
      </c>
      <c r="C14015" t="s">
        <v>261</v>
      </c>
      <c r="D14015">
        <v>63264</v>
      </c>
      <c r="E14015">
        <v>58023</v>
      </c>
      <c r="F14015">
        <v>51944</v>
      </c>
      <c r="G14015">
        <v>49928</v>
      </c>
    </row>
    <row r="14016" spans="1:7">
      <c r="A14016" t="s">
        <v>1876</v>
      </c>
      <c r="B14016" t="s">
        <v>390</v>
      </c>
      <c r="C14016" t="s">
        <v>262</v>
      </c>
      <c r="D14016">
        <v>2318</v>
      </c>
      <c r="E14016">
        <v>3290</v>
      </c>
      <c r="F14016">
        <v>2779</v>
      </c>
      <c r="G14016">
        <v>1972</v>
      </c>
    </row>
    <row r="14017" spans="1:7">
      <c r="A14017" t="s">
        <v>1876</v>
      </c>
      <c r="B14017" t="s">
        <v>390</v>
      </c>
      <c r="C14017" t="s">
        <v>1715</v>
      </c>
      <c r="D14017">
        <v>243</v>
      </c>
      <c r="E14017">
        <v>640</v>
      </c>
      <c r="F14017">
        <v>705</v>
      </c>
      <c r="G14017">
        <v>704</v>
      </c>
    </row>
    <row r="14018" spans="1:7">
      <c r="A14018" t="s">
        <v>1876</v>
      </c>
      <c r="B14018" t="s">
        <v>390</v>
      </c>
      <c r="C14018" t="s">
        <v>263</v>
      </c>
      <c r="D14018">
        <v>3912099</v>
      </c>
      <c r="E14018">
        <v>3598715</v>
      </c>
      <c r="F14018">
        <v>3780276</v>
      </c>
      <c r="G14018">
        <v>4050462</v>
      </c>
    </row>
    <row r="14019" spans="1:7">
      <c r="A14019" t="s">
        <v>1876</v>
      </c>
      <c r="B14019" t="s">
        <v>390</v>
      </c>
      <c r="C14019" t="s">
        <v>264</v>
      </c>
      <c r="D14019">
        <v>12866</v>
      </c>
      <c r="E14019">
        <v>19333</v>
      </c>
      <c r="F14019">
        <v>15622</v>
      </c>
      <c r="G14019">
        <v>15235</v>
      </c>
    </row>
    <row r="14020" spans="1:7">
      <c r="A14020" t="s">
        <v>1876</v>
      </c>
      <c r="B14020" t="s">
        <v>390</v>
      </c>
      <c r="C14020" t="s">
        <v>265</v>
      </c>
      <c r="D14020">
        <v>6928776</v>
      </c>
      <c r="E14020">
        <v>6731337</v>
      </c>
      <c r="F14020">
        <v>6942450</v>
      </c>
      <c r="G14020">
        <v>7228996</v>
      </c>
    </row>
    <row r="14021" spans="1:7">
      <c r="A14021" t="s">
        <v>1876</v>
      </c>
      <c r="B14021" t="s">
        <v>390</v>
      </c>
      <c r="C14021" t="s">
        <v>266</v>
      </c>
      <c r="D14021">
        <v>234.3</v>
      </c>
      <c r="E14021">
        <v>223.5</v>
      </c>
      <c r="F14021">
        <v>226</v>
      </c>
      <c r="G14021">
        <v>230.8</v>
      </c>
    </row>
    <row r="14022" spans="1:7">
      <c r="A14022" t="s">
        <v>1876</v>
      </c>
      <c r="B14022" t="s">
        <v>390</v>
      </c>
      <c r="C14022" t="s">
        <v>267</v>
      </c>
      <c r="D14022">
        <v>6926458</v>
      </c>
      <c r="E14022">
        <v>6728047</v>
      </c>
      <c r="F14022">
        <v>6939671</v>
      </c>
      <c r="G14022">
        <v>7227024</v>
      </c>
    </row>
    <row r="14023" spans="1:7">
      <c r="A14023" t="s">
        <v>1876</v>
      </c>
      <c r="B14023" t="s">
        <v>390</v>
      </c>
      <c r="C14023" t="s">
        <v>268</v>
      </c>
      <c r="D14023">
        <v>0</v>
      </c>
      <c r="E14023">
        <v>0</v>
      </c>
      <c r="F14023">
        <v>0</v>
      </c>
      <c r="G14023">
        <v>0</v>
      </c>
    </row>
    <row r="14024" spans="1:7">
      <c r="A14024" t="s">
        <v>1876</v>
      </c>
      <c r="B14024" t="s">
        <v>390</v>
      </c>
      <c r="C14024" t="s">
        <v>269</v>
      </c>
      <c r="D14024">
        <v>0</v>
      </c>
      <c r="E14024">
        <v>0</v>
      </c>
      <c r="F14024">
        <v>0</v>
      </c>
      <c r="G14024">
        <v>0</v>
      </c>
    </row>
    <row r="14025" spans="1:7">
      <c r="A14025" t="s">
        <v>1876</v>
      </c>
      <c r="B14025" t="s">
        <v>390</v>
      </c>
      <c r="C14025" t="s">
        <v>270</v>
      </c>
      <c r="D14025">
        <v>147823</v>
      </c>
      <c r="E14025">
        <v>154872</v>
      </c>
      <c r="F14025">
        <v>148275</v>
      </c>
      <c r="G14025">
        <v>151615</v>
      </c>
    </row>
    <row r="14026" spans="1:7">
      <c r="A14026" t="s">
        <v>1876</v>
      </c>
      <c r="B14026" t="s">
        <v>390</v>
      </c>
      <c r="C14026" t="s">
        <v>271</v>
      </c>
      <c r="D14026">
        <v>147823</v>
      </c>
      <c r="E14026">
        <v>154872</v>
      </c>
      <c r="F14026">
        <v>148275</v>
      </c>
      <c r="G14026">
        <v>151615</v>
      </c>
    </row>
    <row r="14027" spans="1:7">
      <c r="A14027" t="s">
        <v>1876</v>
      </c>
      <c r="B14027" t="s">
        <v>390</v>
      </c>
      <c r="C14027" t="s">
        <v>272</v>
      </c>
      <c r="D14027">
        <v>147823</v>
      </c>
      <c r="E14027">
        <v>154872</v>
      </c>
      <c r="F14027">
        <v>148275</v>
      </c>
      <c r="G14027">
        <v>151615</v>
      </c>
    </row>
    <row r="14028" spans="1:7">
      <c r="A14028" t="s">
        <v>1876</v>
      </c>
      <c r="B14028" t="s">
        <v>390</v>
      </c>
      <c r="C14028" t="s">
        <v>1944</v>
      </c>
      <c r="D14028">
        <v>29.8</v>
      </c>
      <c r="E14028">
        <v>39.6</v>
      </c>
      <c r="F14028">
        <v>48.7</v>
      </c>
      <c r="G14028">
        <v>62.4</v>
      </c>
    </row>
    <row r="14029" spans="1:7">
      <c r="A14029" t="s">
        <v>1876</v>
      </c>
      <c r="B14029" t="s">
        <v>390</v>
      </c>
      <c r="C14029" t="s">
        <v>1945</v>
      </c>
      <c r="D14029">
        <v>44</v>
      </c>
      <c r="E14029">
        <v>67</v>
      </c>
      <c r="F14029">
        <v>125</v>
      </c>
      <c r="G14029">
        <v>156</v>
      </c>
    </row>
    <row r="14030" spans="1:7">
      <c r="A14030" t="s">
        <v>1876</v>
      </c>
      <c r="B14030" t="s">
        <v>390</v>
      </c>
      <c r="C14030" t="s">
        <v>273</v>
      </c>
      <c r="D14030">
        <v>0</v>
      </c>
      <c r="E14030">
        <v>0</v>
      </c>
      <c r="F14030">
        <v>0</v>
      </c>
      <c r="G14030">
        <v>0</v>
      </c>
    </row>
    <row r="14031" spans="1:7">
      <c r="A14031" t="s">
        <v>1876</v>
      </c>
      <c r="B14031" t="s">
        <v>390</v>
      </c>
      <c r="C14031" t="s">
        <v>1946</v>
      </c>
      <c r="D14031">
        <v>2797012</v>
      </c>
      <c r="E14031">
        <v>2907802</v>
      </c>
      <c r="F14031">
        <v>2937808</v>
      </c>
      <c r="G14031">
        <v>2955650</v>
      </c>
    </row>
    <row r="14032" spans="1:7">
      <c r="A14032" t="s">
        <v>1876</v>
      </c>
      <c r="B14032" t="s">
        <v>390</v>
      </c>
      <c r="C14032" t="s">
        <v>1947</v>
      </c>
      <c r="D14032">
        <v>61338</v>
      </c>
      <c r="E14032">
        <v>55973</v>
      </c>
      <c r="F14032">
        <v>49938</v>
      </c>
      <c r="G14032">
        <v>48100</v>
      </c>
    </row>
    <row r="14033" spans="1:7">
      <c r="A14033" t="s">
        <v>1876</v>
      </c>
      <c r="B14033" t="s">
        <v>390</v>
      </c>
      <c r="C14033" t="s">
        <v>1948</v>
      </c>
      <c r="D14033">
        <v>2318</v>
      </c>
      <c r="E14033">
        <v>3290</v>
      </c>
      <c r="F14033">
        <v>2779</v>
      </c>
      <c r="G14033">
        <v>1972</v>
      </c>
    </row>
    <row r="14034" spans="1:7">
      <c r="A14034" t="s">
        <v>1876</v>
      </c>
      <c r="B14034" t="s">
        <v>390</v>
      </c>
      <c r="C14034" t="s">
        <v>1949</v>
      </c>
      <c r="D14034">
        <v>3910693</v>
      </c>
      <c r="E14034">
        <v>3597243</v>
      </c>
      <c r="F14034">
        <v>3778777</v>
      </c>
      <c r="G14034">
        <v>4048496</v>
      </c>
    </row>
    <row r="14035" spans="1:7">
      <c r="A14035" t="s">
        <v>1876</v>
      </c>
      <c r="B14035" t="s">
        <v>390</v>
      </c>
      <c r="C14035" t="s">
        <v>1950</v>
      </c>
      <c r="D14035">
        <v>12866</v>
      </c>
      <c r="E14035">
        <v>19333</v>
      </c>
      <c r="F14035">
        <v>15622</v>
      </c>
      <c r="G14035">
        <v>15235</v>
      </c>
    </row>
    <row r="14036" spans="1:7">
      <c r="A14036" t="s">
        <v>1876</v>
      </c>
      <c r="B14036" t="s">
        <v>390</v>
      </c>
      <c r="C14036" t="s">
        <v>274</v>
      </c>
      <c r="D14036">
        <v>6784227</v>
      </c>
      <c r="E14036">
        <v>6583640</v>
      </c>
      <c r="F14036">
        <v>6784923</v>
      </c>
      <c r="G14036">
        <v>7069452</v>
      </c>
    </row>
    <row r="14037" spans="1:7">
      <c r="A14037" t="s">
        <v>1876</v>
      </c>
      <c r="B14037" t="s">
        <v>390</v>
      </c>
      <c r="C14037" t="s">
        <v>275</v>
      </c>
      <c r="D14037">
        <v>371880</v>
      </c>
      <c r="E14037">
        <v>0</v>
      </c>
      <c r="F14037">
        <v>0</v>
      </c>
      <c r="G14037">
        <v>0</v>
      </c>
    </row>
    <row r="14038" spans="1:7">
      <c r="A14038" t="s">
        <v>1876</v>
      </c>
      <c r="B14038" t="s">
        <v>390</v>
      </c>
      <c r="C14038" t="s">
        <v>276</v>
      </c>
      <c r="D14038">
        <v>371880</v>
      </c>
      <c r="E14038">
        <v>0</v>
      </c>
      <c r="F14038">
        <v>0</v>
      </c>
      <c r="G14038">
        <v>0</v>
      </c>
    </row>
    <row r="14039" spans="1:7">
      <c r="A14039" t="s">
        <v>1876</v>
      </c>
      <c r="B14039" t="s">
        <v>390</v>
      </c>
      <c r="C14039" t="s">
        <v>277</v>
      </c>
      <c r="D14039">
        <v>360</v>
      </c>
      <c r="E14039">
        <v>1179</v>
      </c>
      <c r="F14039">
        <v>1252</v>
      </c>
      <c r="G14039">
        <v>1044</v>
      </c>
    </row>
    <row r="14040" spans="1:7">
      <c r="A14040" t="s">
        <v>1876</v>
      </c>
      <c r="B14040" t="s">
        <v>390</v>
      </c>
      <c r="C14040" t="s">
        <v>278</v>
      </c>
      <c r="D14040">
        <v>21121</v>
      </c>
      <c r="E14040">
        <v>12380</v>
      </c>
      <c r="F14040">
        <v>9988</v>
      </c>
      <c r="G14040">
        <v>11347</v>
      </c>
    </row>
    <row r="14041" spans="1:7">
      <c r="A14041" t="s">
        <v>1876</v>
      </c>
      <c r="B14041" t="s">
        <v>390</v>
      </c>
      <c r="C14041" t="s">
        <v>279</v>
      </c>
      <c r="D14041">
        <v>216216</v>
      </c>
      <c r="E14041">
        <v>206808</v>
      </c>
      <c r="F14041">
        <v>209615</v>
      </c>
      <c r="G14041">
        <v>241391</v>
      </c>
    </row>
    <row r="14042" spans="1:7">
      <c r="A14042" t="s">
        <v>1876</v>
      </c>
      <c r="B14042" t="s">
        <v>390</v>
      </c>
      <c r="C14042" t="s">
        <v>280</v>
      </c>
      <c r="D14042">
        <v>12855</v>
      </c>
      <c r="E14042">
        <v>19321</v>
      </c>
      <c r="F14042">
        <v>15609</v>
      </c>
      <c r="G14042">
        <v>15224</v>
      </c>
    </row>
    <row r="14043" spans="1:7">
      <c r="A14043" t="s">
        <v>1876</v>
      </c>
      <c r="B14043" t="s">
        <v>390</v>
      </c>
      <c r="C14043" t="s">
        <v>281</v>
      </c>
      <c r="D14043">
        <v>250552</v>
      </c>
      <c r="E14043">
        <v>239689</v>
      </c>
      <c r="F14043">
        <v>236463</v>
      </c>
      <c r="G14043">
        <v>269005</v>
      </c>
    </row>
    <row r="14044" spans="1:7">
      <c r="A14044" t="s">
        <v>1876</v>
      </c>
      <c r="B14044" t="s">
        <v>390</v>
      </c>
      <c r="C14044" t="s">
        <v>282</v>
      </c>
      <c r="D14044">
        <v>250552</v>
      </c>
      <c r="E14044">
        <v>239689</v>
      </c>
      <c r="F14044">
        <v>236463</v>
      </c>
      <c r="G14044">
        <v>269005</v>
      </c>
    </row>
    <row r="14045" spans="1:7">
      <c r="A14045" t="s">
        <v>1876</v>
      </c>
      <c r="B14045" t="s">
        <v>390</v>
      </c>
      <c r="C14045" t="s">
        <v>283</v>
      </c>
      <c r="D14045">
        <v>292770</v>
      </c>
      <c r="E14045">
        <v>259730</v>
      </c>
      <c r="F14045">
        <v>246721</v>
      </c>
      <c r="G14045">
        <v>265365</v>
      </c>
    </row>
    <row r="14046" spans="1:7">
      <c r="A14046" t="s">
        <v>1876</v>
      </c>
      <c r="B14046" t="s">
        <v>390</v>
      </c>
      <c r="C14046" t="s">
        <v>284</v>
      </c>
      <c r="D14046">
        <v>292770</v>
      </c>
      <c r="E14046">
        <v>259730</v>
      </c>
      <c r="F14046">
        <v>246721</v>
      </c>
      <c r="G14046">
        <v>265365</v>
      </c>
    </row>
    <row r="14047" spans="1:7">
      <c r="A14047" t="s">
        <v>1876</v>
      </c>
      <c r="B14047" t="s">
        <v>390</v>
      </c>
      <c r="C14047" t="s">
        <v>1716</v>
      </c>
      <c r="D14047">
        <v>141218</v>
      </c>
      <c r="E14047">
        <v>144175</v>
      </c>
      <c r="F14047">
        <v>154022</v>
      </c>
      <c r="G14047">
        <v>155750</v>
      </c>
    </row>
    <row r="14048" spans="1:7">
      <c r="A14048" t="s">
        <v>1876</v>
      </c>
      <c r="B14048" t="s">
        <v>390</v>
      </c>
      <c r="C14048" t="s">
        <v>1717</v>
      </c>
      <c r="D14048">
        <v>5629</v>
      </c>
      <c r="E14048">
        <v>5821</v>
      </c>
      <c r="F14048">
        <v>5880</v>
      </c>
      <c r="G14048">
        <v>5830</v>
      </c>
    </row>
    <row r="14049" spans="1:7">
      <c r="A14049" t="s">
        <v>1876</v>
      </c>
      <c r="B14049" t="s">
        <v>390</v>
      </c>
      <c r="C14049" t="s">
        <v>1718</v>
      </c>
      <c r="D14049">
        <v>399643</v>
      </c>
      <c r="E14049">
        <v>479259</v>
      </c>
      <c r="F14049">
        <v>513687</v>
      </c>
      <c r="G14049">
        <v>569483</v>
      </c>
    </row>
    <row r="14050" spans="1:7">
      <c r="A14050" t="s">
        <v>1876</v>
      </c>
      <c r="B14050" t="s">
        <v>390</v>
      </c>
      <c r="C14050" t="s">
        <v>1719</v>
      </c>
      <c r="D14050">
        <v>44289</v>
      </c>
      <c r="E14050">
        <v>51787</v>
      </c>
      <c r="F14050">
        <v>56402</v>
      </c>
      <c r="G14050">
        <v>65400</v>
      </c>
    </row>
    <row r="14051" spans="1:7">
      <c r="A14051" t="s">
        <v>1876</v>
      </c>
      <c r="B14051" t="s">
        <v>390</v>
      </c>
      <c r="C14051" t="s">
        <v>1720</v>
      </c>
      <c r="D14051">
        <v>92473</v>
      </c>
      <c r="E14051">
        <v>107486</v>
      </c>
      <c r="F14051">
        <v>100960</v>
      </c>
      <c r="G14051">
        <v>89218</v>
      </c>
    </row>
    <row r="14052" spans="1:7">
      <c r="A14052" t="s">
        <v>1876</v>
      </c>
      <c r="B14052" t="s">
        <v>390</v>
      </c>
      <c r="C14052" t="s">
        <v>1721</v>
      </c>
      <c r="D14052">
        <v>15222</v>
      </c>
      <c r="E14052">
        <v>19297</v>
      </c>
      <c r="F14052">
        <v>21907</v>
      </c>
      <c r="G14052">
        <v>23975</v>
      </c>
    </row>
    <row r="14053" spans="1:7">
      <c r="A14053" t="s">
        <v>1876</v>
      </c>
      <c r="B14053" t="s">
        <v>390</v>
      </c>
      <c r="C14053" t="s">
        <v>285</v>
      </c>
      <c r="D14053">
        <v>654185</v>
      </c>
      <c r="E14053">
        <v>756037</v>
      </c>
      <c r="F14053">
        <v>796456</v>
      </c>
      <c r="G14053">
        <v>844256</v>
      </c>
    </row>
    <row r="14054" spans="1:7">
      <c r="A14054" t="s">
        <v>1876</v>
      </c>
      <c r="B14054" t="s">
        <v>390</v>
      </c>
      <c r="C14054" t="s">
        <v>1951</v>
      </c>
      <c r="D14054">
        <v>4.8</v>
      </c>
      <c r="E14054">
        <v>5.5</v>
      </c>
      <c r="F14054">
        <v>5.6</v>
      </c>
      <c r="G14054">
        <v>5.8</v>
      </c>
    </row>
    <row r="14055" spans="1:7">
      <c r="A14055" t="s">
        <v>1876</v>
      </c>
      <c r="B14055" t="s">
        <v>390</v>
      </c>
      <c r="C14055" t="s">
        <v>286</v>
      </c>
      <c r="D14055">
        <v>162531</v>
      </c>
      <c r="E14055">
        <v>166548</v>
      </c>
      <c r="F14055">
        <v>138252</v>
      </c>
      <c r="G14055">
        <v>149654</v>
      </c>
    </row>
    <row r="14056" spans="1:7">
      <c r="A14056" t="s">
        <v>1876</v>
      </c>
      <c r="B14056" t="s">
        <v>390</v>
      </c>
      <c r="C14056" t="s">
        <v>287</v>
      </c>
      <c r="D14056">
        <v>0</v>
      </c>
      <c r="E14056">
        <v>0</v>
      </c>
      <c r="F14056">
        <v>0</v>
      </c>
      <c r="G14056">
        <v>0</v>
      </c>
    </row>
    <row r="14057" spans="1:7">
      <c r="A14057" t="s">
        <v>1876</v>
      </c>
      <c r="B14057" t="s">
        <v>390</v>
      </c>
      <c r="C14057" t="s">
        <v>288</v>
      </c>
      <c r="D14057">
        <v>0</v>
      </c>
      <c r="E14057">
        <v>0</v>
      </c>
      <c r="F14057">
        <v>0</v>
      </c>
      <c r="G14057">
        <v>0</v>
      </c>
    </row>
    <row r="14058" spans="1:7">
      <c r="A14058" t="s">
        <v>1876</v>
      </c>
      <c r="B14058" t="s">
        <v>390</v>
      </c>
      <c r="C14058" t="s">
        <v>289</v>
      </c>
      <c r="D14058">
        <v>14684</v>
      </c>
      <c r="E14058">
        <v>15047</v>
      </c>
      <c r="F14058">
        <v>12490</v>
      </c>
      <c r="G14058">
        <v>13521</v>
      </c>
    </row>
    <row r="14059" spans="1:7">
      <c r="A14059" t="s">
        <v>1876</v>
      </c>
      <c r="B14059" t="s">
        <v>390</v>
      </c>
      <c r="C14059" t="s">
        <v>290</v>
      </c>
      <c r="D14059">
        <v>177215</v>
      </c>
      <c r="E14059">
        <v>181595</v>
      </c>
      <c r="F14059">
        <v>150743</v>
      </c>
      <c r="G14059">
        <v>163175</v>
      </c>
    </row>
    <row r="14060" spans="1:7">
      <c r="A14060" t="s">
        <v>1876</v>
      </c>
      <c r="B14060" t="s">
        <v>390</v>
      </c>
      <c r="C14060" t="s">
        <v>291</v>
      </c>
      <c r="D14060">
        <v>177215</v>
      </c>
      <c r="E14060">
        <v>181595</v>
      </c>
      <c r="F14060">
        <v>150743</v>
      </c>
      <c r="G14060">
        <v>163175</v>
      </c>
    </row>
    <row r="14061" spans="1:7">
      <c r="A14061" t="s">
        <v>1876</v>
      </c>
      <c r="B14061" t="s">
        <v>390</v>
      </c>
      <c r="C14061" t="s">
        <v>292</v>
      </c>
      <c r="D14061">
        <v>120</v>
      </c>
      <c r="E14061">
        <v>232</v>
      </c>
      <c r="F14061">
        <v>471</v>
      </c>
      <c r="G14061">
        <v>474</v>
      </c>
    </row>
    <row r="14062" spans="1:7">
      <c r="A14062" t="s">
        <v>1876</v>
      </c>
      <c r="B14062" t="s">
        <v>390</v>
      </c>
      <c r="C14062" t="s">
        <v>293</v>
      </c>
      <c r="D14062">
        <v>1074</v>
      </c>
      <c r="E14062">
        <v>2122</v>
      </c>
      <c r="F14062">
        <v>4879</v>
      </c>
      <c r="G14062">
        <v>5177</v>
      </c>
    </row>
    <row r="14063" spans="1:7">
      <c r="A14063" t="s">
        <v>1876</v>
      </c>
      <c r="B14063" t="s">
        <v>390</v>
      </c>
      <c r="C14063" t="s">
        <v>294</v>
      </c>
      <c r="D14063">
        <v>1292</v>
      </c>
      <c r="E14063">
        <v>2308</v>
      </c>
      <c r="F14063">
        <v>4849</v>
      </c>
      <c r="G14063">
        <v>4980</v>
      </c>
    </row>
    <row r="14064" spans="1:7">
      <c r="A14064" t="s">
        <v>1876</v>
      </c>
      <c r="B14064" t="s">
        <v>390</v>
      </c>
      <c r="C14064" t="s">
        <v>295</v>
      </c>
      <c r="D14064">
        <v>140</v>
      </c>
      <c r="E14064">
        <v>274</v>
      </c>
      <c r="F14064">
        <v>485</v>
      </c>
      <c r="G14064">
        <v>483</v>
      </c>
    </row>
    <row r="14065" spans="1:7">
      <c r="A14065" t="s">
        <v>1876</v>
      </c>
      <c r="B14065" t="s">
        <v>390</v>
      </c>
      <c r="C14065" t="s">
        <v>296</v>
      </c>
      <c r="D14065">
        <v>2625</v>
      </c>
      <c r="E14065">
        <v>4936</v>
      </c>
      <c r="F14065">
        <v>10684</v>
      </c>
      <c r="G14065">
        <v>11114</v>
      </c>
    </row>
    <row r="14066" spans="1:7">
      <c r="A14066" t="s">
        <v>1876</v>
      </c>
      <c r="B14066" t="s">
        <v>390</v>
      </c>
      <c r="C14066" t="s">
        <v>297</v>
      </c>
      <c r="D14066">
        <v>489461</v>
      </c>
      <c r="E14066">
        <v>505968</v>
      </c>
      <c r="F14066">
        <v>514859</v>
      </c>
      <c r="G14066">
        <v>506373</v>
      </c>
    </row>
    <row r="14067" spans="1:7">
      <c r="A14067" t="s">
        <v>1876</v>
      </c>
      <c r="B14067" t="s">
        <v>390</v>
      </c>
      <c r="C14067" t="s">
        <v>1952</v>
      </c>
      <c r="D14067">
        <v>0</v>
      </c>
      <c r="E14067">
        <v>0</v>
      </c>
      <c r="F14067">
        <v>0</v>
      </c>
      <c r="G14067">
        <v>0</v>
      </c>
    </row>
    <row r="14068" spans="1:7">
      <c r="A14068" t="s">
        <v>1876</v>
      </c>
      <c r="B14068" t="s">
        <v>390</v>
      </c>
      <c r="C14068" t="s">
        <v>298</v>
      </c>
      <c r="D14068">
        <v>8255</v>
      </c>
      <c r="E14068">
        <v>9694</v>
      </c>
      <c r="F14068">
        <v>9704</v>
      </c>
      <c r="G14068">
        <v>8486</v>
      </c>
    </row>
    <row r="14069" spans="1:7">
      <c r="A14069" t="s">
        <v>1876</v>
      </c>
      <c r="B14069" t="s">
        <v>390</v>
      </c>
      <c r="C14069" t="s">
        <v>299</v>
      </c>
      <c r="D14069">
        <v>1364</v>
      </c>
      <c r="E14069">
        <v>1447</v>
      </c>
      <c r="F14069">
        <v>1604</v>
      </c>
      <c r="G14069">
        <v>1728</v>
      </c>
    </row>
    <row r="14070" spans="1:7">
      <c r="A14070" t="s">
        <v>1876</v>
      </c>
      <c r="B14070" t="s">
        <v>390</v>
      </c>
      <c r="C14070" t="s">
        <v>300</v>
      </c>
      <c r="D14070">
        <v>50902</v>
      </c>
      <c r="E14070">
        <v>76530</v>
      </c>
      <c r="F14070">
        <v>96007</v>
      </c>
      <c r="G14070">
        <v>138377</v>
      </c>
    </row>
    <row r="14071" spans="1:7">
      <c r="A14071" t="s">
        <v>1876</v>
      </c>
      <c r="B14071" t="s">
        <v>390</v>
      </c>
      <c r="C14071" t="s">
        <v>1722</v>
      </c>
      <c r="D14071">
        <v>8838</v>
      </c>
      <c r="E14071">
        <v>11366</v>
      </c>
      <c r="F14071">
        <v>15006</v>
      </c>
      <c r="G14071">
        <v>22373</v>
      </c>
    </row>
    <row r="14072" spans="1:7">
      <c r="A14072" t="s">
        <v>1876</v>
      </c>
      <c r="B14072" t="s">
        <v>390</v>
      </c>
      <c r="C14072" t="s">
        <v>301</v>
      </c>
      <c r="D14072">
        <v>10</v>
      </c>
      <c r="E14072">
        <v>29</v>
      </c>
      <c r="F14072">
        <v>28</v>
      </c>
      <c r="G14072">
        <v>33</v>
      </c>
    </row>
    <row r="14073" spans="1:7">
      <c r="A14073" t="s">
        <v>1876</v>
      </c>
      <c r="B14073" t="s">
        <v>390</v>
      </c>
      <c r="C14073" t="s">
        <v>302</v>
      </c>
      <c r="D14073">
        <v>7020</v>
      </c>
      <c r="E14073">
        <v>9376</v>
      </c>
      <c r="F14073">
        <v>13235</v>
      </c>
      <c r="G14073">
        <v>15746</v>
      </c>
    </row>
    <row r="14074" spans="1:7">
      <c r="A14074" t="s">
        <v>1876</v>
      </c>
      <c r="B14074" t="s">
        <v>390</v>
      </c>
      <c r="C14074" t="s">
        <v>303</v>
      </c>
      <c r="D14074">
        <v>59296</v>
      </c>
      <c r="E14074">
        <v>87383</v>
      </c>
      <c r="F14074">
        <v>110873</v>
      </c>
      <c r="G14074">
        <v>155884</v>
      </c>
    </row>
    <row r="14075" spans="1:7">
      <c r="A14075" t="s">
        <v>1876</v>
      </c>
      <c r="B14075" t="s">
        <v>390</v>
      </c>
      <c r="C14075" t="s">
        <v>304</v>
      </c>
      <c r="D14075">
        <v>8394</v>
      </c>
      <c r="E14075">
        <v>10853</v>
      </c>
      <c r="F14075">
        <v>14867</v>
      </c>
      <c r="G14075">
        <v>17507</v>
      </c>
    </row>
    <row r="14076" spans="1:7">
      <c r="A14076" t="s">
        <v>1876</v>
      </c>
      <c r="B14076" t="s">
        <v>390</v>
      </c>
      <c r="C14076" t="s">
        <v>1953</v>
      </c>
      <c r="D14076">
        <v>24.9</v>
      </c>
      <c r="E14076">
        <v>25.3</v>
      </c>
      <c r="F14076">
        <v>24.4</v>
      </c>
      <c r="G14076">
        <v>23.4</v>
      </c>
    </row>
    <row r="14077" spans="1:7">
      <c r="A14077" t="s">
        <v>1876</v>
      </c>
      <c r="B14077" t="s">
        <v>390</v>
      </c>
      <c r="C14077" t="s">
        <v>305</v>
      </c>
      <c r="D14077">
        <v>3172383</v>
      </c>
      <c r="E14077">
        <v>3311900</v>
      </c>
      <c r="F14077">
        <v>3356244</v>
      </c>
      <c r="G14077">
        <v>3390708</v>
      </c>
    </row>
    <row r="14078" spans="1:7">
      <c r="A14078" t="s">
        <v>1876</v>
      </c>
      <c r="B14078" t="s">
        <v>390</v>
      </c>
      <c r="C14078" t="s">
        <v>306</v>
      </c>
      <c r="D14078">
        <v>107.3</v>
      </c>
      <c r="E14078">
        <v>110</v>
      </c>
      <c r="F14078">
        <v>109.3</v>
      </c>
      <c r="G14078">
        <v>108.3</v>
      </c>
    </row>
    <row r="14079" spans="1:7">
      <c r="A14079" t="s">
        <v>1876</v>
      </c>
      <c r="B14079" t="s">
        <v>390</v>
      </c>
      <c r="C14079" t="s">
        <v>307</v>
      </c>
      <c r="D14079">
        <v>1462714</v>
      </c>
      <c r="E14079">
        <v>1547539</v>
      </c>
      <c r="F14079">
        <v>1555437</v>
      </c>
      <c r="G14079">
        <v>1518752</v>
      </c>
    </row>
    <row r="14080" spans="1:7">
      <c r="A14080" t="s">
        <v>1876</v>
      </c>
      <c r="B14080" t="s">
        <v>390</v>
      </c>
      <c r="C14080" t="s">
        <v>308</v>
      </c>
      <c r="D14080">
        <v>49.5</v>
      </c>
      <c r="E14080">
        <v>51.4</v>
      </c>
      <c r="F14080">
        <v>50.6</v>
      </c>
      <c r="G14080">
        <v>48.5</v>
      </c>
    </row>
    <row r="14081" spans="1:7">
      <c r="A14081" t="s">
        <v>1876</v>
      </c>
      <c r="B14081" t="s">
        <v>390</v>
      </c>
      <c r="C14081" t="s">
        <v>309</v>
      </c>
      <c r="D14081">
        <v>3435975</v>
      </c>
      <c r="E14081">
        <v>3668539</v>
      </c>
      <c r="F14081">
        <v>3788957</v>
      </c>
      <c r="G14081">
        <v>3864979</v>
      </c>
    </row>
    <row r="14082" spans="1:7">
      <c r="A14082" t="s">
        <v>1876</v>
      </c>
      <c r="B14082" t="s">
        <v>390</v>
      </c>
      <c r="C14082" t="s">
        <v>310</v>
      </c>
      <c r="D14082">
        <v>7573083</v>
      </c>
      <c r="E14082">
        <v>7336369</v>
      </c>
      <c r="F14082">
        <v>7672800</v>
      </c>
      <c r="G14082">
        <v>8113456</v>
      </c>
    </row>
    <row r="14083" spans="1:7">
      <c r="A14083" t="s">
        <v>1876</v>
      </c>
      <c r="B14083" t="s">
        <v>390</v>
      </c>
      <c r="C14083" t="s">
        <v>311</v>
      </c>
      <c r="D14083">
        <v>256.10000000000002</v>
      </c>
      <c r="E14083">
        <v>243.6</v>
      </c>
      <c r="F14083">
        <v>249.8</v>
      </c>
      <c r="G14083">
        <v>259.10000000000002</v>
      </c>
    </row>
    <row r="14084" spans="1:7">
      <c r="A14084" t="s">
        <v>1876</v>
      </c>
      <c r="B14084" t="s">
        <v>390</v>
      </c>
      <c r="C14084" t="s">
        <v>312</v>
      </c>
      <c r="D14084">
        <v>1513510</v>
      </c>
      <c r="E14084">
        <v>1639897</v>
      </c>
      <c r="F14084">
        <v>1565174</v>
      </c>
      <c r="G14084">
        <v>1513986</v>
      </c>
    </row>
    <row r="14085" spans="1:7">
      <c r="A14085" t="s">
        <v>1876</v>
      </c>
      <c r="B14085" t="s">
        <v>390</v>
      </c>
      <c r="C14085" t="s">
        <v>313</v>
      </c>
      <c r="D14085">
        <v>51.2</v>
      </c>
      <c r="E14085">
        <v>54.4</v>
      </c>
      <c r="F14085">
        <v>51</v>
      </c>
      <c r="G14085">
        <v>48.3</v>
      </c>
    </row>
    <row r="14086" spans="1:7">
      <c r="A14086" t="s">
        <v>1876</v>
      </c>
      <c r="B14086" t="s">
        <v>390</v>
      </c>
      <c r="C14086" t="s">
        <v>314</v>
      </c>
      <c r="D14086">
        <v>13721691</v>
      </c>
      <c r="E14086">
        <v>13835706</v>
      </c>
      <c r="F14086">
        <v>14149656</v>
      </c>
      <c r="G14086">
        <v>14536890</v>
      </c>
    </row>
    <row r="14087" spans="1:7">
      <c r="A14087" t="s">
        <v>1876</v>
      </c>
      <c r="B14087" t="s">
        <v>390</v>
      </c>
      <c r="C14087" t="s">
        <v>315</v>
      </c>
      <c r="D14087">
        <v>7.2</v>
      </c>
      <c r="E14087">
        <v>7</v>
      </c>
      <c r="F14087">
        <v>6.62</v>
      </c>
      <c r="G14087">
        <v>6.54</v>
      </c>
    </row>
    <row r="14088" spans="1:7">
      <c r="A14088" t="s">
        <v>1876</v>
      </c>
      <c r="B14088" t="s">
        <v>390</v>
      </c>
      <c r="C14088" t="s">
        <v>316</v>
      </c>
      <c r="D14088">
        <v>464</v>
      </c>
      <c r="E14088">
        <v>459.4</v>
      </c>
      <c r="F14088">
        <v>460.6</v>
      </c>
      <c r="G14088">
        <v>464.2</v>
      </c>
    </row>
    <row r="14089" spans="1:7">
      <c r="A14089" t="s">
        <v>1876</v>
      </c>
      <c r="B14089" t="s">
        <v>390</v>
      </c>
      <c r="C14089" t="s">
        <v>317</v>
      </c>
      <c r="D14089">
        <v>13721690</v>
      </c>
      <c r="E14089">
        <v>13835705</v>
      </c>
      <c r="F14089">
        <v>14149655</v>
      </c>
      <c r="G14089">
        <v>14536901</v>
      </c>
    </row>
    <row r="14090" spans="1:7">
      <c r="A14090" t="s">
        <v>1876</v>
      </c>
      <c r="B14090" t="s">
        <v>390</v>
      </c>
      <c r="C14090" t="s">
        <v>318</v>
      </c>
      <c r="D14090">
        <v>3171524</v>
      </c>
      <c r="E14090">
        <v>3311076</v>
      </c>
      <c r="F14090">
        <v>3355495</v>
      </c>
      <c r="G14090">
        <v>3390658</v>
      </c>
    </row>
    <row r="14091" spans="1:7">
      <c r="A14091" t="s">
        <v>1876</v>
      </c>
      <c r="B14091" t="s">
        <v>390</v>
      </c>
      <c r="C14091" t="s">
        <v>319</v>
      </c>
      <c r="D14091">
        <v>756698</v>
      </c>
      <c r="E14091">
        <v>810587</v>
      </c>
      <c r="F14091">
        <v>819323</v>
      </c>
      <c r="G14091">
        <v>811103</v>
      </c>
    </row>
    <row r="14092" spans="1:7">
      <c r="A14092" t="s">
        <v>1876</v>
      </c>
      <c r="B14092" t="s">
        <v>390</v>
      </c>
      <c r="C14092" t="s">
        <v>320</v>
      </c>
      <c r="D14092">
        <v>6940196</v>
      </c>
      <c r="E14092">
        <v>6676511</v>
      </c>
      <c r="F14092">
        <v>6970176</v>
      </c>
      <c r="G14092">
        <v>7354523</v>
      </c>
    </row>
    <row r="14093" spans="1:7">
      <c r="A14093" t="s">
        <v>1876</v>
      </c>
      <c r="B14093" t="s">
        <v>390</v>
      </c>
      <c r="C14093" t="s">
        <v>321</v>
      </c>
      <c r="D14093">
        <v>772957</v>
      </c>
      <c r="E14093">
        <v>857653</v>
      </c>
      <c r="F14093">
        <v>816543</v>
      </c>
      <c r="G14093">
        <v>802809</v>
      </c>
    </row>
    <row r="14094" spans="1:7">
      <c r="A14094" t="s">
        <v>1876</v>
      </c>
      <c r="B14094" t="s">
        <v>390</v>
      </c>
      <c r="C14094" t="s">
        <v>1954</v>
      </c>
      <c r="D14094">
        <v>11641375</v>
      </c>
      <c r="E14094">
        <v>11655827</v>
      </c>
      <c r="F14094">
        <v>11961537</v>
      </c>
      <c r="G14094">
        <v>12359092</v>
      </c>
    </row>
    <row r="14095" spans="1:7">
      <c r="A14095" t="s">
        <v>1876</v>
      </c>
      <c r="B14095" t="s">
        <v>390</v>
      </c>
      <c r="C14095" t="s">
        <v>323</v>
      </c>
      <c r="D14095">
        <v>29573</v>
      </c>
      <c r="E14095">
        <v>30118</v>
      </c>
      <c r="F14095">
        <v>30719</v>
      </c>
      <c r="G14095">
        <v>31319</v>
      </c>
    </row>
    <row r="14096" spans="1:7">
      <c r="A14096" t="s">
        <v>1876</v>
      </c>
      <c r="B14096" t="s">
        <v>390</v>
      </c>
      <c r="C14096" t="s">
        <v>324</v>
      </c>
      <c r="D14096">
        <v>16254</v>
      </c>
      <c r="E14096">
        <v>0</v>
      </c>
      <c r="F14096">
        <v>0</v>
      </c>
      <c r="G14096">
        <v>0</v>
      </c>
    </row>
    <row r="14097" spans="1:7">
      <c r="A14097" t="s">
        <v>1876</v>
      </c>
      <c r="B14097" t="s">
        <v>390</v>
      </c>
      <c r="C14097" t="s">
        <v>325</v>
      </c>
      <c r="D14097">
        <v>0</v>
      </c>
      <c r="E14097">
        <v>0</v>
      </c>
      <c r="F14097">
        <v>0</v>
      </c>
      <c r="G14097">
        <v>0</v>
      </c>
    </row>
    <row r="14098" spans="1:7">
      <c r="A14098" t="s">
        <v>1876</v>
      </c>
      <c r="B14098" t="s">
        <v>390</v>
      </c>
      <c r="C14098" t="s">
        <v>326</v>
      </c>
      <c r="D14098">
        <v>1273</v>
      </c>
      <c r="E14098">
        <v>1273</v>
      </c>
      <c r="F14098">
        <v>1273</v>
      </c>
      <c r="G14098">
        <v>1273</v>
      </c>
    </row>
    <row r="14099" spans="1:7">
      <c r="A14099" t="s">
        <v>1876</v>
      </c>
      <c r="B14099" t="s">
        <v>390</v>
      </c>
      <c r="C14099" t="s">
        <v>327</v>
      </c>
      <c r="D14099">
        <v>2602</v>
      </c>
      <c r="E14099">
        <v>6224</v>
      </c>
      <c r="F14099">
        <v>4169</v>
      </c>
      <c r="G14099">
        <v>3002</v>
      </c>
    </row>
    <row r="14100" spans="1:7">
      <c r="A14100" t="s">
        <v>1876</v>
      </c>
      <c r="B14100" t="s">
        <v>390</v>
      </c>
      <c r="C14100" t="s">
        <v>1723</v>
      </c>
      <c r="D14100">
        <v>309</v>
      </c>
      <c r="E14100">
        <v>309</v>
      </c>
      <c r="F14100">
        <v>309</v>
      </c>
      <c r="G14100">
        <v>309</v>
      </c>
    </row>
    <row r="14101" spans="1:7">
      <c r="A14101" t="s">
        <v>1876</v>
      </c>
      <c r="B14101" t="s">
        <v>390</v>
      </c>
      <c r="C14101" t="s">
        <v>328</v>
      </c>
      <c r="D14101">
        <v>51595</v>
      </c>
      <c r="E14101">
        <v>60231</v>
      </c>
      <c r="F14101">
        <v>60227</v>
      </c>
      <c r="G14101">
        <v>45202</v>
      </c>
    </row>
    <row r="14102" spans="1:7">
      <c r="A14102" t="s">
        <v>1876</v>
      </c>
      <c r="B14102" t="s">
        <v>390</v>
      </c>
      <c r="C14102" t="s">
        <v>329</v>
      </c>
      <c r="D14102">
        <v>6614</v>
      </c>
      <c r="E14102">
        <v>8333</v>
      </c>
      <c r="F14102">
        <v>7084</v>
      </c>
      <c r="G14102">
        <v>6641</v>
      </c>
    </row>
    <row r="14103" spans="1:7">
      <c r="A14103" t="s">
        <v>1876</v>
      </c>
      <c r="B14103" t="s">
        <v>390</v>
      </c>
      <c r="C14103" t="s">
        <v>330</v>
      </c>
      <c r="D14103">
        <v>62085</v>
      </c>
      <c r="E14103">
        <v>76060</v>
      </c>
      <c r="F14103">
        <v>72753</v>
      </c>
      <c r="G14103">
        <v>56119</v>
      </c>
    </row>
    <row r="14104" spans="1:7">
      <c r="A14104" t="s">
        <v>1876</v>
      </c>
      <c r="B14104" t="s">
        <v>390</v>
      </c>
      <c r="C14104" t="s">
        <v>331</v>
      </c>
      <c r="D14104">
        <v>0</v>
      </c>
      <c r="E14104">
        <v>0</v>
      </c>
      <c r="F14104">
        <v>0</v>
      </c>
      <c r="G14104">
        <v>0</v>
      </c>
    </row>
    <row r="14105" spans="1:7">
      <c r="A14105" t="s">
        <v>1876</v>
      </c>
      <c r="B14105" t="s">
        <v>390</v>
      </c>
      <c r="C14105" t="s">
        <v>332</v>
      </c>
      <c r="D14105">
        <v>3227</v>
      </c>
      <c r="E14105">
        <v>2896</v>
      </c>
      <c r="F14105">
        <v>2086</v>
      </c>
      <c r="G14105">
        <v>1529</v>
      </c>
    </row>
    <row r="14106" spans="1:7">
      <c r="A14106" t="s">
        <v>1876</v>
      </c>
      <c r="B14106" t="s">
        <v>390</v>
      </c>
      <c r="C14106" t="s">
        <v>1724</v>
      </c>
      <c r="D14106">
        <v>66</v>
      </c>
      <c r="E14106">
        <v>54</v>
      </c>
      <c r="F14106">
        <v>44</v>
      </c>
      <c r="G14106">
        <v>26</v>
      </c>
    </row>
    <row r="14107" spans="1:7">
      <c r="A14107" t="s">
        <v>1876</v>
      </c>
      <c r="B14107" t="s">
        <v>390</v>
      </c>
      <c r="C14107" t="s">
        <v>333</v>
      </c>
      <c r="D14107">
        <v>23809</v>
      </c>
      <c r="E14107">
        <v>26947</v>
      </c>
      <c r="F14107">
        <v>20451</v>
      </c>
      <c r="G14107">
        <v>22269</v>
      </c>
    </row>
    <row r="14108" spans="1:7">
      <c r="A14108" t="s">
        <v>1876</v>
      </c>
      <c r="B14108" t="s">
        <v>390</v>
      </c>
      <c r="C14108" t="s">
        <v>334</v>
      </c>
      <c r="D14108">
        <v>27036</v>
      </c>
      <c r="E14108">
        <v>29842</v>
      </c>
      <c r="F14108">
        <v>22538</v>
      </c>
      <c r="G14108">
        <v>23798</v>
      </c>
    </row>
    <row r="14109" spans="1:7">
      <c r="A14109" t="s">
        <v>1876</v>
      </c>
      <c r="B14109" t="s">
        <v>390</v>
      </c>
      <c r="C14109" t="s">
        <v>335</v>
      </c>
      <c r="D14109">
        <v>1273</v>
      </c>
      <c r="E14109">
        <v>1273</v>
      </c>
      <c r="F14109">
        <v>1273</v>
      </c>
      <c r="G14109">
        <v>1273</v>
      </c>
    </row>
    <row r="14110" spans="1:7">
      <c r="A14110" t="s">
        <v>1876</v>
      </c>
      <c r="B14110" t="s">
        <v>390</v>
      </c>
      <c r="C14110" t="s">
        <v>336</v>
      </c>
      <c r="D14110">
        <v>5829</v>
      </c>
      <c r="E14110">
        <v>9120</v>
      </c>
      <c r="F14110">
        <v>6255</v>
      </c>
      <c r="G14110">
        <v>4532</v>
      </c>
    </row>
    <row r="14111" spans="1:7">
      <c r="A14111" t="s">
        <v>1876</v>
      </c>
      <c r="B14111" t="s">
        <v>390</v>
      </c>
      <c r="C14111" t="s">
        <v>337</v>
      </c>
      <c r="D14111">
        <v>75405</v>
      </c>
      <c r="E14111">
        <v>87177</v>
      </c>
      <c r="F14111">
        <v>80678</v>
      </c>
      <c r="G14111">
        <v>67471</v>
      </c>
    </row>
    <row r="14112" spans="1:7">
      <c r="A14112" t="s">
        <v>1876</v>
      </c>
      <c r="B14112" t="s">
        <v>390</v>
      </c>
      <c r="C14112" t="s">
        <v>338</v>
      </c>
      <c r="D14112">
        <v>89121</v>
      </c>
      <c r="E14112">
        <v>105903</v>
      </c>
      <c r="F14112">
        <v>95290</v>
      </c>
      <c r="G14112">
        <v>79917</v>
      </c>
    </row>
    <row r="14113" spans="1:7">
      <c r="A14113" t="s">
        <v>1876</v>
      </c>
      <c r="B14113" t="s">
        <v>390</v>
      </c>
      <c r="C14113" t="s">
        <v>339</v>
      </c>
      <c r="D14113">
        <v>83292</v>
      </c>
      <c r="E14113">
        <v>96783</v>
      </c>
      <c r="F14113">
        <v>89035</v>
      </c>
      <c r="G14113">
        <v>75385</v>
      </c>
    </row>
    <row r="14114" spans="1:7">
      <c r="A14114" t="s">
        <v>1876</v>
      </c>
      <c r="B14114" t="s">
        <v>390</v>
      </c>
      <c r="C14114" t="s">
        <v>340</v>
      </c>
      <c r="D14114">
        <v>819</v>
      </c>
      <c r="E14114">
        <v>895</v>
      </c>
      <c r="F14114">
        <v>621</v>
      </c>
      <c r="G14114">
        <v>763</v>
      </c>
    </row>
    <row r="14115" spans="1:7">
      <c r="A14115" t="s">
        <v>1876</v>
      </c>
      <c r="B14115" t="s">
        <v>390</v>
      </c>
      <c r="C14115" t="s">
        <v>1955</v>
      </c>
      <c r="D14115">
        <v>34.6</v>
      </c>
      <c r="E14115">
        <v>35.200000000000003</v>
      </c>
      <c r="F14115">
        <v>33.799999999999997</v>
      </c>
      <c r="G14115">
        <v>34</v>
      </c>
    </row>
    <row r="14116" spans="1:7">
      <c r="A14116" t="s">
        <v>1876</v>
      </c>
      <c r="B14116" t="s">
        <v>390</v>
      </c>
      <c r="C14116" t="s">
        <v>341</v>
      </c>
      <c r="D14116">
        <v>172</v>
      </c>
      <c r="E14116">
        <v>160</v>
      </c>
      <c r="F14116">
        <v>108</v>
      </c>
      <c r="G14116">
        <v>111</v>
      </c>
    </row>
    <row r="14117" spans="1:7">
      <c r="A14117" t="s">
        <v>1876</v>
      </c>
      <c r="B14117" t="s">
        <v>390</v>
      </c>
      <c r="C14117" t="s">
        <v>342</v>
      </c>
      <c r="D14117">
        <v>339221</v>
      </c>
      <c r="E14117">
        <v>391493</v>
      </c>
      <c r="F14117">
        <v>408839</v>
      </c>
      <c r="G14117">
        <v>423924</v>
      </c>
    </row>
    <row r="14118" spans="1:7">
      <c r="A14118" t="s">
        <v>1876</v>
      </c>
      <c r="B14118" t="s">
        <v>390</v>
      </c>
      <c r="C14118" t="s">
        <v>1725</v>
      </c>
      <c r="D14118">
        <v>34370</v>
      </c>
      <c r="E14118">
        <v>39344</v>
      </c>
      <c r="F14118">
        <v>40327</v>
      </c>
      <c r="G14118">
        <v>41978</v>
      </c>
    </row>
    <row r="14119" spans="1:7">
      <c r="A14119" t="s">
        <v>1876</v>
      </c>
      <c r="B14119" t="s">
        <v>390</v>
      </c>
      <c r="C14119" t="s">
        <v>343</v>
      </c>
      <c r="D14119">
        <v>13</v>
      </c>
      <c r="E14119">
        <v>1</v>
      </c>
      <c r="F14119">
        <v>-1</v>
      </c>
      <c r="G14119">
        <v>0</v>
      </c>
    </row>
    <row r="14120" spans="1:7">
      <c r="A14120" t="s">
        <v>1876</v>
      </c>
      <c r="B14120" t="s">
        <v>390</v>
      </c>
      <c r="C14120" t="s">
        <v>344</v>
      </c>
      <c r="D14120">
        <v>339406</v>
      </c>
      <c r="E14120">
        <v>391653</v>
      </c>
      <c r="F14120">
        <v>408946</v>
      </c>
      <c r="G14120">
        <v>424035</v>
      </c>
    </row>
    <row r="14121" spans="1:7">
      <c r="A14121" t="s">
        <v>1876</v>
      </c>
      <c r="B14121" t="s">
        <v>390</v>
      </c>
      <c r="C14121" t="s">
        <v>345</v>
      </c>
      <c r="D14121">
        <v>185</v>
      </c>
      <c r="E14121">
        <v>160</v>
      </c>
      <c r="F14121">
        <v>107</v>
      </c>
      <c r="G14121">
        <v>111</v>
      </c>
    </row>
    <row r="14122" spans="1:7">
      <c r="A14122" t="s">
        <v>1876</v>
      </c>
      <c r="B14122" t="s">
        <v>390</v>
      </c>
      <c r="C14122" t="s">
        <v>1956</v>
      </c>
      <c r="D14122">
        <v>3227</v>
      </c>
      <c r="E14122">
        <v>2896</v>
      </c>
      <c r="F14122">
        <v>2086</v>
      </c>
      <c r="G14122">
        <v>1529</v>
      </c>
    </row>
    <row r="14123" spans="1:7">
      <c r="A14123" t="s">
        <v>1876</v>
      </c>
      <c r="B14123" t="s">
        <v>390</v>
      </c>
      <c r="C14123" t="s">
        <v>1957</v>
      </c>
      <c r="D14123">
        <v>27036</v>
      </c>
      <c r="E14123">
        <v>29842</v>
      </c>
      <c r="F14123">
        <v>22538</v>
      </c>
      <c r="G14123">
        <v>23798</v>
      </c>
    </row>
    <row r="14124" spans="1:7">
      <c r="A14124" t="s">
        <v>1876</v>
      </c>
      <c r="B14124" t="s">
        <v>390</v>
      </c>
      <c r="C14124" t="s">
        <v>346</v>
      </c>
      <c r="D14124">
        <v>2816</v>
      </c>
      <c r="E14124">
        <v>3224</v>
      </c>
      <c r="F14124">
        <v>3373</v>
      </c>
      <c r="G14124">
        <v>3371</v>
      </c>
    </row>
    <row r="14125" spans="1:7">
      <c r="A14125" t="s">
        <v>1876</v>
      </c>
      <c r="B14125" t="s">
        <v>390</v>
      </c>
      <c r="C14125" t="s">
        <v>347</v>
      </c>
      <c r="D14125">
        <v>1643</v>
      </c>
      <c r="E14125">
        <v>1949</v>
      </c>
      <c r="F14125">
        <v>1482</v>
      </c>
      <c r="G14125">
        <v>1404</v>
      </c>
    </row>
    <row r="14126" spans="1:7">
      <c r="A14126" t="s">
        <v>1876</v>
      </c>
      <c r="B14126" t="s">
        <v>391</v>
      </c>
      <c r="C14126" t="s">
        <v>133</v>
      </c>
      <c r="D14126">
        <v>-833</v>
      </c>
      <c r="E14126">
        <v>-661</v>
      </c>
      <c r="F14126">
        <v>-646</v>
      </c>
      <c r="G14126">
        <v>-1035</v>
      </c>
    </row>
    <row r="14127" spans="1:7">
      <c r="A14127" t="s">
        <v>1876</v>
      </c>
      <c r="B14127" t="s">
        <v>391</v>
      </c>
      <c r="C14127" t="s">
        <v>134</v>
      </c>
      <c r="D14127">
        <v>898083</v>
      </c>
      <c r="E14127">
        <v>916133</v>
      </c>
      <c r="F14127">
        <v>891759</v>
      </c>
      <c r="G14127">
        <v>888295</v>
      </c>
    </row>
    <row r="14128" spans="1:7">
      <c r="A14128" t="s">
        <v>1876</v>
      </c>
      <c r="B14128" t="s">
        <v>391</v>
      </c>
      <c r="C14128" t="s">
        <v>135</v>
      </c>
      <c r="D14128">
        <v>898083</v>
      </c>
      <c r="E14128">
        <v>916133</v>
      </c>
      <c r="F14128">
        <v>891759</v>
      </c>
      <c r="G14128">
        <v>888295</v>
      </c>
    </row>
    <row r="14129" spans="1:7">
      <c r="A14129" t="s">
        <v>1876</v>
      </c>
      <c r="B14129" t="s">
        <v>391</v>
      </c>
      <c r="C14129" t="s">
        <v>136</v>
      </c>
      <c r="D14129">
        <v>898083</v>
      </c>
      <c r="E14129">
        <v>916133</v>
      </c>
      <c r="F14129">
        <v>891759</v>
      </c>
      <c r="G14129">
        <v>888295</v>
      </c>
    </row>
    <row r="14130" spans="1:7">
      <c r="A14130" t="s">
        <v>1876</v>
      </c>
      <c r="B14130" t="s">
        <v>391</v>
      </c>
      <c r="C14130" t="s">
        <v>137</v>
      </c>
      <c r="D14130">
        <v>21550</v>
      </c>
      <c r="E14130">
        <v>22307</v>
      </c>
      <c r="F14130">
        <v>21171</v>
      </c>
      <c r="G14130">
        <v>22772</v>
      </c>
    </row>
    <row r="14131" spans="1:7">
      <c r="A14131" t="s">
        <v>1876</v>
      </c>
      <c r="B14131" t="s">
        <v>391</v>
      </c>
      <c r="C14131" t="s">
        <v>138</v>
      </c>
      <c r="D14131">
        <v>21550</v>
      </c>
      <c r="E14131">
        <v>22307</v>
      </c>
      <c r="F14131">
        <v>21171</v>
      </c>
      <c r="G14131">
        <v>22772</v>
      </c>
    </row>
    <row r="14132" spans="1:7">
      <c r="A14132" t="s">
        <v>1876</v>
      </c>
      <c r="B14132" t="s">
        <v>391</v>
      </c>
      <c r="C14132" t="s">
        <v>139</v>
      </c>
      <c r="D14132">
        <v>21550</v>
      </c>
      <c r="E14132">
        <v>22307</v>
      </c>
      <c r="F14132">
        <v>21171</v>
      </c>
      <c r="G14132">
        <v>22772</v>
      </c>
    </row>
    <row r="14133" spans="1:7">
      <c r="A14133" t="s">
        <v>1876</v>
      </c>
      <c r="B14133" t="s">
        <v>391</v>
      </c>
      <c r="C14133" t="s">
        <v>1877</v>
      </c>
      <c r="D14133">
        <v>21196</v>
      </c>
      <c r="E14133">
        <v>24882</v>
      </c>
      <c r="F14133">
        <v>24020</v>
      </c>
      <c r="G14133">
        <v>22179</v>
      </c>
    </row>
    <row r="14134" spans="1:7">
      <c r="A14134" t="s">
        <v>1876</v>
      </c>
      <c r="B14134" t="s">
        <v>391</v>
      </c>
      <c r="C14134" t="s">
        <v>1700</v>
      </c>
      <c r="D14134">
        <v>158102</v>
      </c>
      <c r="E14134">
        <v>224667</v>
      </c>
      <c r="F14134">
        <v>376036</v>
      </c>
      <c r="G14134">
        <v>480150</v>
      </c>
    </row>
    <row r="14135" spans="1:7">
      <c r="A14135" t="s">
        <v>1876</v>
      </c>
      <c r="B14135" t="s">
        <v>391</v>
      </c>
      <c r="C14135" t="s">
        <v>1878</v>
      </c>
      <c r="D14135">
        <v>136905</v>
      </c>
      <c r="E14135">
        <v>199784</v>
      </c>
      <c r="F14135">
        <v>352017</v>
      </c>
      <c r="G14135">
        <v>457969</v>
      </c>
    </row>
    <row r="14136" spans="1:7">
      <c r="A14136" t="s">
        <v>1876</v>
      </c>
      <c r="B14136" t="s">
        <v>391</v>
      </c>
      <c r="C14136" t="s">
        <v>1879</v>
      </c>
      <c r="D14136">
        <v>21196</v>
      </c>
      <c r="E14136">
        <v>24882</v>
      </c>
      <c r="F14136">
        <v>24020</v>
      </c>
      <c r="G14136">
        <v>22179</v>
      </c>
    </row>
    <row r="14137" spans="1:7">
      <c r="A14137" t="s">
        <v>1876</v>
      </c>
      <c r="B14137" t="s">
        <v>391</v>
      </c>
      <c r="C14137" t="s">
        <v>1701</v>
      </c>
      <c r="D14137">
        <v>158102</v>
      </c>
      <c r="E14137">
        <v>224667</v>
      </c>
      <c r="F14137">
        <v>376036</v>
      </c>
      <c r="G14137">
        <v>480150</v>
      </c>
    </row>
    <row r="14138" spans="1:7">
      <c r="A14138" t="s">
        <v>1876</v>
      </c>
      <c r="B14138" t="s">
        <v>391</v>
      </c>
      <c r="C14138" t="s">
        <v>1880</v>
      </c>
      <c r="D14138">
        <v>88168</v>
      </c>
      <c r="E14138">
        <v>82574</v>
      </c>
      <c r="F14138">
        <v>86493</v>
      </c>
      <c r="G14138">
        <v>81649</v>
      </c>
    </row>
    <row r="14139" spans="1:7">
      <c r="A14139" t="s">
        <v>1876</v>
      </c>
      <c r="B14139" t="s">
        <v>391</v>
      </c>
      <c r="C14139" t="s">
        <v>140</v>
      </c>
      <c r="D14139">
        <v>207178</v>
      </c>
      <c r="E14139">
        <v>199573</v>
      </c>
      <c r="F14139">
        <v>233271</v>
      </c>
      <c r="G14139">
        <v>232750</v>
      </c>
    </row>
    <row r="14140" spans="1:7">
      <c r="A14140" t="s">
        <v>1876</v>
      </c>
      <c r="B14140" t="s">
        <v>391</v>
      </c>
      <c r="C14140" t="s">
        <v>1881</v>
      </c>
      <c r="D14140">
        <v>119012</v>
      </c>
      <c r="E14140">
        <v>116998</v>
      </c>
      <c r="F14140">
        <v>146780</v>
      </c>
      <c r="G14140">
        <v>151102</v>
      </c>
    </row>
    <row r="14141" spans="1:7">
      <c r="A14141" t="s">
        <v>1876</v>
      </c>
      <c r="B14141" t="s">
        <v>391</v>
      </c>
      <c r="C14141" t="s">
        <v>1882</v>
      </c>
      <c r="D14141">
        <v>1040</v>
      </c>
      <c r="E14141">
        <v>1146</v>
      </c>
      <c r="F14141">
        <v>1117</v>
      </c>
      <c r="G14141">
        <v>1118</v>
      </c>
    </row>
    <row r="14142" spans="1:7">
      <c r="A14142" t="s">
        <v>1876</v>
      </c>
      <c r="B14142" t="s">
        <v>391</v>
      </c>
      <c r="C14142" t="s">
        <v>1883</v>
      </c>
      <c r="D14142">
        <v>2445</v>
      </c>
      <c r="E14142">
        <v>2770</v>
      </c>
      <c r="F14142">
        <v>3013</v>
      </c>
      <c r="G14142">
        <v>3186</v>
      </c>
    </row>
    <row r="14143" spans="1:7">
      <c r="A14143" t="s">
        <v>1876</v>
      </c>
      <c r="B14143" t="s">
        <v>391</v>
      </c>
      <c r="C14143" t="s">
        <v>1884</v>
      </c>
      <c r="D14143">
        <v>1404</v>
      </c>
      <c r="E14143">
        <v>1624</v>
      </c>
      <c r="F14143">
        <v>1896</v>
      </c>
      <c r="G14143">
        <v>2068</v>
      </c>
    </row>
    <row r="14144" spans="1:7">
      <c r="A14144" t="s">
        <v>1876</v>
      </c>
      <c r="B14144" t="s">
        <v>391</v>
      </c>
      <c r="C14144" t="s">
        <v>1885</v>
      </c>
      <c r="D14144">
        <v>657</v>
      </c>
      <c r="E14144">
        <v>561</v>
      </c>
      <c r="F14144">
        <v>880</v>
      </c>
      <c r="G14144">
        <v>625</v>
      </c>
    </row>
    <row r="14145" spans="1:7">
      <c r="A14145" t="s">
        <v>1876</v>
      </c>
      <c r="B14145" t="s">
        <v>391</v>
      </c>
      <c r="C14145" t="s">
        <v>1886</v>
      </c>
      <c r="D14145">
        <v>657</v>
      </c>
      <c r="E14145">
        <v>561</v>
      </c>
      <c r="F14145">
        <v>880</v>
      </c>
      <c r="G14145">
        <v>625</v>
      </c>
    </row>
    <row r="14146" spans="1:7">
      <c r="A14146" t="s">
        <v>1876</v>
      </c>
      <c r="B14146" t="s">
        <v>391</v>
      </c>
      <c r="C14146" t="s">
        <v>141</v>
      </c>
      <c r="D14146">
        <v>3011</v>
      </c>
      <c r="E14146">
        <v>2858</v>
      </c>
      <c r="F14146">
        <v>2990</v>
      </c>
      <c r="G14146">
        <v>2945</v>
      </c>
    </row>
    <row r="14147" spans="1:7">
      <c r="A14147" t="s">
        <v>1876</v>
      </c>
      <c r="B14147" t="s">
        <v>391</v>
      </c>
      <c r="C14147" t="s">
        <v>1887</v>
      </c>
      <c r="D14147">
        <v>3363</v>
      </c>
      <c r="E14147">
        <v>3578</v>
      </c>
      <c r="F14147">
        <v>3370</v>
      </c>
      <c r="G14147">
        <v>3454</v>
      </c>
    </row>
    <row r="14148" spans="1:7">
      <c r="A14148" t="s">
        <v>1876</v>
      </c>
      <c r="B14148" t="s">
        <v>391</v>
      </c>
      <c r="C14148" t="s">
        <v>1888</v>
      </c>
      <c r="D14148">
        <v>7903</v>
      </c>
      <c r="E14148">
        <v>8648</v>
      </c>
      <c r="F14148">
        <v>9089</v>
      </c>
      <c r="G14148">
        <v>9845</v>
      </c>
    </row>
    <row r="14149" spans="1:7">
      <c r="A14149" t="s">
        <v>1876</v>
      </c>
      <c r="B14149" t="s">
        <v>391</v>
      </c>
      <c r="C14149" t="s">
        <v>1889</v>
      </c>
      <c r="D14149">
        <v>92571</v>
      </c>
      <c r="E14149">
        <v>87298</v>
      </c>
      <c r="F14149">
        <v>90980</v>
      </c>
      <c r="G14149">
        <v>86221</v>
      </c>
    </row>
    <row r="14150" spans="1:7">
      <c r="A14150" t="s">
        <v>1876</v>
      </c>
      <c r="B14150" t="s">
        <v>391</v>
      </c>
      <c r="C14150" t="s">
        <v>1890</v>
      </c>
      <c r="D14150">
        <v>4540</v>
      </c>
      <c r="E14150">
        <v>5070</v>
      </c>
      <c r="F14150">
        <v>5719</v>
      </c>
      <c r="G14150">
        <v>6392</v>
      </c>
    </row>
    <row r="14151" spans="1:7">
      <c r="A14151" t="s">
        <v>1876</v>
      </c>
      <c r="B14151" t="s">
        <v>391</v>
      </c>
      <c r="C14151" t="s">
        <v>1891</v>
      </c>
    </row>
    <row r="14152" spans="1:7">
      <c r="A14152" t="s">
        <v>1876</v>
      </c>
      <c r="B14152" t="s">
        <v>391</v>
      </c>
      <c r="C14152" t="s">
        <v>1892</v>
      </c>
      <c r="D14152">
        <v>125613</v>
      </c>
      <c r="E14152">
        <v>124252</v>
      </c>
      <c r="F14152">
        <v>155275</v>
      </c>
      <c r="G14152">
        <v>160188</v>
      </c>
    </row>
    <row r="14153" spans="1:7">
      <c r="A14153" t="s">
        <v>1876</v>
      </c>
      <c r="B14153" t="s">
        <v>391</v>
      </c>
      <c r="C14153" t="s">
        <v>142</v>
      </c>
      <c r="D14153">
        <v>218183</v>
      </c>
      <c r="E14153">
        <v>211551</v>
      </c>
      <c r="F14153">
        <v>246253</v>
      </c>
      <c r="G14153">
        <v>246407</v>
      </c>
    </row>
    <row r="14154" spans="1:7">
      <c r="A14154" t="s">
        <v>1876</v>
      </c>
      <c r="B14154" t="s">
        <v>391</v>
      </c>
      <c r="C14154" t="s">
        <v>1893</v>
      </c>
      <c r="D14154">
        <v>217527</v>
      </c>
      <c r="E14154">
        <v>210990</v>
      </c>
      <c r="F14154">
        <v>245373</v>
      </c>
      <c r="G14154">
        <v>245782</v>
      </c>
    </row>
    <row r="14155" spans="1:7">
      <c r="A14155" t="s">
        <v>1876</v>
      </c>
      <c r="B14155" t="s">
        <v>391</v>
      </c>
      <c r="C14155" t="s">
        <v>1894</v>
      </c>
      <c r="D14155">
        <v>124956</v>
      </c>
      <c r="E14155">
        <v>123691</v>
      </c>
      <c r="F14155">
        <v>154395</v>
      </c>
      <c r="G14155">
        <v>159563</v>
      </c>
    </row>
    <row r="14156" spans="1:7">
      <c r="A14156" t="s">
        <v>1876</v>
      </c>
      <c r="B14156" t="s">
        <v>391</v>
      </c>
      <c r="C14156" t="s">
        <v>143</v>
      </c>
      <c r="D14156">
        <v>789495</v>
      </c>
      <c r="E14156">
        <v>808229</v>
      </c>
      <c r="F14156">
        <v>819291</v>
      </c>
      <c r="G14156">
        <v>853944</v>
      </c>
    </row>
    <row r="14157" spans="1:7">
      <c r="A14157" t="s">
        <v>1876</v>
      </c>
      <c r="B14157" t="s">
        <v>391</v>
      </c>
      <c r="C14157" t="s">
        <v>144</v>
      </c>
      <c r="D14157">
        <v>2330837</v>
      </c>
      <c r="E14157">
        <v>2432611</v>
      </c>
      <c r="F14157">
        <v>2658734</v>
      </c>
      <c r="G14157">
        <v>2805492</v>
      </c>
    </row>
    <row r="14158" spans="1:7">
      <c r="A14158" t="s">
        <v>1876</v>
      </c>
      <c r="B14158" t="s">
        <v>391</v>
      </c>
      <c r="C14158" t="s">
        <v>1895</v>
      </c>
      <c r="D14158">
        <v>61.1</v>
      </c>
      <c r="E14158">
        <v>58.7</v>
      </c>
      <c r="F14158">
        <v>55.8</v>
      </c>
      <c r="G14158">
        <v>57.1</v>
      </c>
    </row>
    <row r="14159" spans="1:7">
      <c r="A14159" t="s">
        <v>1876</v>
      </c>
      <c r="B14159" t="s">
        <v>391</v>
      </c>
      <c r="C14159" t="s">
        <v>145</v>
      </c>
      <c r="D14159">
        <v>4752482</v>
      </c>
      <c r="E14159">
        <v>4979549</v>
      </c>
      <c r="F14159">
        <v>5021073</v>
      </c>
      <c r="G14159">
        <v>5111628</v>
      </c>
    </row>
    <row r="14160" spans="1:7">
      <c r="A14160" t="s">
        <v>1876</v>
      </c>
      <c r="B14160" t="s">
        <v>391</v>
      </c>
      <c r="C14160" t="s">
        <v>1958</v>
      </c>
      <c r="D14160">
        <v>9260</v>
      </c>
      <c r="E14160">
        <v>13237</v>
      </c>
      <c r="F14160">
        <v>13424</v>
      </c>
      <c r="G14160">
        <v>10220</v>
      </c>
    </row>
    <row r="14161" spans="1:7">
      <c r="A14161" t="s">
        <v>1876</v>
      </c>
      <c r="B14161" t="s">
        <v>391</v>
      </c>
      <c r="C14161" t="s">
        <v>1726</v>
      </c>
      <c r="D14161">
        <v>10104</v>
      </c>
      <c r="E14161">
        <v>25485</v>
      </c>
      <c r="F14161">
        <v>38189</v>
      </c>
      <c r="G14161">
        <v>43507</v>
      </c>
    </row>
    <row r="14162" spans="1:7">
      <c r="A14162" t="s">
        <v>1876</v>
      </c>
      <c r="B14162" t="s">
        <v>391</v>
      </c>
      <c r="C14162" t="s">
        <v>1959</v>
      </c>
      <c r="D14162">
        <v>841</v>
      </c>
      <c r="E14162">
        <v>12251</v>
      </c>
      <c r="F14162">
        <v>24764</v>
      </c>
      <c r="G14162">
        <v>33285</v>
      </c>
    </row>
    <row r="14163" spans="1:7">
      <c r="A14163" t="s">
        <v>1876</v>
      </c>
      <c r="B14163" t="s">
        <v>391</v>
      </c>
      <c r="C14163" t="s">
        <v>1960</v>
      </c>
      <c r="D14163">
        <v>9260</v>
      </c>
      <c r="E14163">
        <v>13237</v>
      </c>
      <c r="F14163">
        <v>13424</v>
      </c>
      <c r="G14163">
        <v>10220</v>
      </c>
    </row>
    <row r="14164" spans="1:7">
      <c r="A14164" t="s">
        <v>1876</v>
      </c>
      <c r="B14164" t="s">
        <v>391</v>
      </c>
      <c r="C14164" t="s">
        <v>1727</v>
      </c>
      <c r="D14164">
        <v>10104</v>
      </c>
      <c r="E14164">
        <v>25485</v>
      </c>
      <c r="F14164">
        <v>38189</v>
      </c>
      <c r="G14164">
        <v>43507</v>
      </c>
    </row>
    <row r="14165" spans="1:7">
      <c r="A14165" t="s">
        <v>1876</v>
      </c>
      <c r="B14165" t="s">
        <v>391</v>
      </c>
      <c r="C14165" t="s">
        <v>146</v>
      </c>
      <c r="D14165">
        <v>36160</v>
      </c>
      <c r="E14165">
        <v>77392</v>
      </c>
      <c r="F14165">
        <v>163625</v>
      </c>
      <c r="G14165">
        <v>189046</v>
      </c>
    </row>
    <row r="14166" spans="1:7">
      <c r="A14166" t="s">
        <v>1876</v>
      </c>
      <c r="B14166" t="s">
        <v>391</v>
      </c>
      <c r="C14166" t="s">
        <v>147</v>
      </c>
      <c r="D14166">
        <v>36160</v>
      </c>
      <c r="E14166">
        <v>77392</v>
      </c>
      <c r="F14166">
        <v>163625</v>
      </c>
      <c r="G14166">
        <v>189046</v>
      </c>
    </row>
    <row r="14167" spans="1:7">
      <c r="A14167" t="s">
        <v>1876</v>
      </c>
      <c r="B14167" t="s">
        <v>391</v>
      </c>
      <c r="C14167" t="s">
        <v>1896</v>
      </c>
      <c r="D14167">
        <v>6.1</v>
      </c>
      <c r="E14167">
        <v>6.4</v>
      </c>
      <c r="F14167">
        <v>6.6</v>
      </c>
      <c r="G14167">
        <v>8.3000000000000007</v>
      </c>
    </row>
    <row r="14168" spans="1:7">
      <c r="A14168" t="s">
        <v>1876</v>
      </c>
      <c r="B14168" t="s">
        <v>391</v>
      </c>
      <c r="C14168" t="s">
        <v>1702</v>
      </c>
      <c r="D14168">
        <v>4747</v>
      </c>
      <c r="E14168">
        <v>8980</v>
      </c>
      <c r="F14168">
        <v>15995</v>
      </c>
      <c r="G14168">
        <v>27020</v>
      </c>
    </row>
    <row r="14169" spans="1:7">
      <c r="A14169" t="s">
        <v>1876</v>
      </c>
      <c r="B14169" t="s">
        <v>391</v>
      </c>
      <c r="C14169" t="s">
        <v>1897</v>
      </c>
      <c r="D14169">
        <v>1405.8</v>
      </c>
      <c r="E14169">
        <v>2049.6</v>
      </c>
      <c r="F14169">
        <v>3403.7</v>
      </c>
      <c r="G14169">
        <v>4351.3</v>
      </c>
    </row>
    <row r="14170" spans="1:7">
      <c r="A14170" t="s">
        <v>1876</v>
      </c>
      <c r="B14170" t="s">
        <v>391</v>
      </c>
      <c r="C14170" t="s">
        <v>1898</v>
      </c>
      <c r="D14170">
        <v>2276</v>
      </c>
      <c r="E14170">
        <v>3594</v>
      </c>
      <c r="F14170">
        <v>10274</v>
      </c>
      <c r="G14170">
        <v>14290</v>
      </c>
    </row>
    <row r="14171" spans="1:7">
      <c r="A14171" t="s">
        <v>1876</v>
      </c>
      <c r="B14171" t="s">
        <v>391</v>
      </c>
      <c r="C14171" t="s">
        <v>1899</v>
      </c>
      <c r="D14171">
        <v>263359</v>
      </c>
      <c r="E14171">
        <v>336286</v>
      </c>
      <c r="F14171">
        <v>532056</v>
      </c>
      <c r="G14171">
        <v>651441</v>
      </c>
    </row>
    <row r="14172" spans="1:7">
      <c r="A14172" t="s">
        <v>1876</v>
      </c>
      <c r="B14172" t="s">
        <v>391</v>
      </c>
      <c r="C14172" t="s">
        <v>148</v>
      </c>
      <c r="D14172">
        <v>-4460</v>
      </c>
      <c r="E14172">
        <v>-3983</v>
      </c>
      <c r="F14172">
        <v>-1458</v>
      </c>
      <c r="G14172">
        <v>-1388</v>
      </c>
    </row>
    <row r="14173" spans="1:7">
      <c r="A14173" t="s">
        <v>1876</v>
      </c>
      <c r="B14173" t="s">
        <v>391</v>
      </c>
      <c r="C14173" t="s">
        <v>149</v>
      </c>
      <c r="D14173">
        <v>-4460</v>
      </c>
      <c r="E14173">
        <v>-3983</v>
      </c>
      <c r="F14173">
        <v>-1458</v>
      </c>
      <c r="G14173">
        <v>-1388</v>
      </c>
    </row>
    <row r="14174" spans="1:7">
      <c r="A14174" t="s">
        <v>1876</v>
      </c>
      <c r="B14174" t="s">
        <v>391</v>
      </c>
      <c r="C14174" t="s">
        <v>392</v>
      </c>
      <c r="D14174">
        <v>51661</v>
      </c>
      <c r="E14174">
        <v>57497</v>
      </c>
      <c r="F14174">
        <v>37543</v>
      </c>
      <c r="G14174">
        <v>40409</v>
      </c>
    </row>
    <row r="14175" spans="1:7">
      <c r="A14175" t="s">
        <v>1876</v>
      </c>
      <c r="B14175" t="s">
        <v>391</v>
      </c>
      <c r="C14175" t="s">
        <v>393</v>
      </c>
      <c r="D14175">
        <v>2905</v>
      </c>
      <c r="E14175">
        <v>1671</v>
      </c>
      <c r="F14175">
        <v>5106</v>
      </c>
      <c r="G14175">
        <v>3185</v>
      </c>
    </row>
    <row r="14176" spans="1:7">
      <c r="A14176" t="s">
        <v>1876</v>
      </c>
      <c r="B14176" t="s">
        <v>391</v>
      </c>
      <c r="C14176" t="s">
        <v>394</v>
      </c>
      <c r="D14176">
        <v>-48756</v>
      </c>
      <c r="E14176">
        <v>-55826</v>
      </c>
      <c r="F14176">
        <v>-32437</v>
      </c>
      <c r="G14176">
        <v>-37224</v>
      </c>
    </row>
    <row r="14177" spans="1:7">
      <c r="A14177" t="s">
        <v>1876</v>
      </c>
      <c r="B14177" t="s">
        <v>391</v>
      </c>
      <c r="C14177" t="s">
        <v>150</v>
      </c>
      <c r="D14177">
        <v>0</v>
      </c>
      <c r="E14177">
        <v>0</v>
      </c>
      <c r="F14177">
        <v>0</v>
      </c>
      <c r="G14177">
        <v>0</v>
      </c>
    </row>
    <row r="14178" spans="1:7">
      <c r="A14178" t="s">
        <v>1876</v>
      </c>
      <c r="B14178" t="s">
        <v>391</v>
      </c>
      <c r="C14178" t="s">
        <v>1900</v>
      </c>
      <c r="D14178">
        <v>49.1</v>
      </c>
      <c r="E14178">
        <v>48.4</v>
      </c>
      <c r="F14178">
        <v>42.4</v>
      </c>
      <c r="G14178">
        <v>42.6</v>
      </c>
    </row>
    <row r="14179" spans="1:7">
      <c r="A14179" t="s">
        <v>1876</v>
      </c>
      <c r="B14179" t="s">
        <v>391</v>
      </c>
      <c r="C14179" t="s">
        <v>151</v>
      </c>
      <c r="D14179">
        <v>14645</v>
      </c>
      <c r="E14179">
        <v>14512</v>
      </c>
      <c r="F14179">
        <v>11470</v>
      </c>
      <c r="G14179">
        <v>10798</v>
      </c>
    </row>
    <row r="14180" spans="1:7">
      <c r="A14180" t="s">
        <v>1876</v>
      </c>
      <c r="B14180" t="s">
        <v>391</v>
      </c>
      <c r="C14180" t="s">
        <v>152</v>
      </c>
      <c r="D14180">
        <v>9497610</v>
      </c>
      <c r="E14180">
        <v>8885682</v>
      </c>
      <c r="F14180">
        <v>7247229</v>
      </c>
      <c r="G14180">
        <v>7014281</v>
      </c>
    </row>
    <row r="14181" spans="1:7">
      <c r="A14181" t="s">
        <v>1876</v>
      </c>
      <c r="B14181" t="s">
        <v>391</v>
      </c>
      <c r="C14181" t="s">
        <v>1703</v>
      </c>
      <c r="D14181">
        <v>209826</v>
      </c>
      <c r="E14181">
        <v>189316</v>
      </c>
      <c r="F14181">
        <v>178442</v>
      </c>
      <c r="G14181">
        <v>174178</v>
      </c>
    </row>
    <row r="14182" spans="1:7">
      <c r="A14182" t="s">
        <v>1876</v>
      </c>
      <c r="B14182" t="s">
        <v>391</v>
      </c>
      <c r="C14182" t="s">
        <v>153</v>
      </c>
      <c r="D14182">
        <v>1036702</v>
      </c>
      <c r="E14182">
        <v>985500</v>
      </c>
      <c r="F14182">
        <v>910974</v>
      </c>
      <c r="G14182">
        <v>885754</v>
      </c>
    </row>
    <row r="14183" spans="1:7">
      <c r="A14183" t="s">
        <v>1876</v>
      </c>
      <c r="B14183" t="s">
        <v>391</v>
      </c>
      <c r="C14183" t="s">
        <v>154</v>
      </c>
      <c r="D14183">
        <v>504154</v>
      </c>
      <c r="E14183">
        <v>458908</v>
      </c>
      <c r="F14183">
        <v>457364</v>
      </c>
      <c r="G14183">
        <v>448451</v>
      </c>
    </row>
    <row r="14184" spans="1:7">
      <c r="A14184" t="s">
        <v>1876</v>
      </c>
      <c r="B14184" t="s">
        <v>391</v>
      </c>
      <c r="C14184" t="s">
        <v>155</v>
      </c>
      <c r="D14184">
        <v>532548</v>
      </c>
      <c r="E14184">
        <v>526593</v>
      </c>
      <c r="F14184">
        <v>453610</v>
      </c>
      <c r="G14184">
        <v>437303</v>
      </c>
    </row>
    <row r="14185" spans="1:7">
      <c r="A14185" t="s">
        <v>1876</v>
      </c>
      <c r="B14185" t="s">
        <v>391</v>
      </c>
      <c r="C14185" t="s">
        <v>156</v>
      </c>
      <c r="D14185">
        <v>0</v>
      </c>
      <c r="E14185">
        <v>0</v>
      </c>
      <c r="F14185">
        <v>0</v>
      </c>
      <c r="G14185">
        <v>0</v>
      </c>
    </row>
    <row r="14186" spans="1:7">
      <c r="A14186" t="s">
        <v>1876</v>
      </c>
      <c r="B14186" t="s">
        <v>391</v>
      </c>
      <c r="C14186" t="s">
        <v>157</v>
      </c>
      <c r="D14186">
        <v>10548957</v>
      </c>
      <c r="E14186">
        <v>9885694</v>
      </c>
      <c r="F14186">
        <v>8169673</v>
      </c>
      <c r="G14186">
        <v>7910833</v>
      </c>
    </row>
    <row r="14187" spans="1:7">
      <c r="A14187" t="s">
        <v>1876</v>
      </c>
      <c r="B14187" t="s">
        <v>391</v>
      </c>
      <c r="C14187" t="s">
        <v>158</v>
      </c>
      <c r="D14187">
        <v>1051348</v>
      </c>
      <c r="E14187">
        <v>1000012</v>
      </c>
      <c r="F14187">
        <v>922444</v>
      </c>
      <c r="G14187">
        <v>896552</v>
      </c>
    </row>
    <row r="14188" spans="1:7">
      <c r="A14188" t="s">
        <v>1876</v>
      </c>
      <c r="B14188" t="s">
        <v>391</v>
      </c>
      <c r="C14188" t="s">
        <v>159</v>
      </c>
      <c r="D14188">
        <v>0</v>
      </c>
      <c r="E14188">
        <v>0</v>
      </c>
      <c r="F14188">
        <v>0</v>
      </c>
      <c r="G14188">
        <v>0</v>
      </c>
    </row>
    <row r="14189" spans="1:7">
      <c r="A14189" t="s">
        <v>1876</v>
      </c>
      <c r="B14189" t="s">
        <v>391</v>
      </c>
      <c r="C14189" t="s">
        <v>1901</v>
      </c>
      <c r="D14189">
        <v>55</v>
      </c>
      <c r="E14189">
        <v>56.6</v>
      </c>
      <c r="F14189">
        <v>59.7</v>
      </c>
      <c r="G14189">
        <v>60.5</v>
      </c>
    </row>
    <row r="14190" spans="1:7">
      <c r="A14190" t="s">
        <v>1876</v>
      </c>
      <c r="B14190" t="s">
        <v>391</v>
      </c>
      <c r="C14190" t="s">
        <v>1902</v>
      </c>
      <c r="D14190">
        <v>6565122</v>
      </c>
      <c r="E14190">
        <v>6693916</v>
      </c>
      <c r="F14190">
        <v>6723612</v>
      </c>
      <c r="G14190">
        <v>6649929</v>
      </c>
    </row>
    <row r="14191" spans="1:7">
      <c r="A14191" t="s">
        <v>1876</v>
      </c>
      <c r="B14191" t="s">
        <v>391</v>
      </c>
      <c r="C14191" t="s">
        <v>1903</v>
      </c>
      <c r="D14191">
        <v>329696</v>
      </c>
      <c r="E14191">
        <v>333426</v>
      </c>
      <c r="F14191">
        <v>325795</v>
      </c>
      <c r="G14191">
        <v>316382</v>
      </c>
    </row>
    <row r="14192" spans="1:7">
      <c r="A14192" t="s">
        <v>1876</v>
      </c>
      <c r="B14192" t="s">
        <v>391</v>
      </c>
      <c r="C14192" t="s">
        <v>1904</v>
      </c>
      <c r="D14192">
        <v>60366</v>
      </c>
      <c r="E14192">
        <v>83938</v>
      </c>
      <c r="F14192">
        <v>53705</v>
      </c>
      <c r="G14192">
        <v>56509</v>
      </c>
    </row>
    <row r="14193" spans="1:7">
      <c r="A14193" t="s">
        <v>1876</v>
      </c>
      <c r="B14193" t="s">
        <v>391</v>
      </c>
      <c r="C14193" t="s">
        <v>1905</v>
      </c>
      <c r="D14193">
        <v>1185035</v>
      </c>
      <c r="E14193">
        <v>1197940</v>
      </c>
      <c r="F14193">
        <v>1169207</v>
      </c>
      <c r="G14193">
        <v>1134610</v>
      </c>
    </row>
    <row r="14194" spans="1:7">
      <c r="A14194" t="s">
        <v>1876</v>
      </c>
      <c r="B14194" t="s">
        <v>391</v>
      </c>
      <c r="C14194" t="s">
        <v>1906</v>
      </c>
      <c r="D14194">
        <v>478225</v>
      </c>
      <c r="E14194">
        <v>483817</v>
      </c>
      <c r="F14194">
        <v>473073</v>
      </c>
      <c r="G14194">
        <v>459903</v>
      </c>
    </row>
    <row r="14195" spans="1:7">
      <c r="A14195" t="s">
        <v>1876</v>
      </c>
      <c r="B14195" t="s">
        <v>391</v>
      </c>
      <c r="C14195" t="s">
        <v>1907</v>
      </c>
      <c r="D14195">
        <v>8618444</v>
      </c>
      <c r="E14195">
        <v>8793036</v>
      </c>
      <c r="F14195">
        <v>8745393</v>
      </c>
      <c r="G14195">
        <v>8617333</v>
      </c>
    </row>
    <row r="14196" spans="1:7">
      <c r="A14196" t="s">
        <v>1876</v>
      </c>
      <c r="B14196" t="s">
        <v>391</v>
      </c>
      <c r="C14196" t="s">
        <v>160</v>
      </c>
      <c r="D14196">
        <v>6309205</v>
      </c>
      <c r="E14196">
        <v>6377135</v>
      </c>
      <c r="F14196">
        <v>6224815</v>
      </c>
      <c r="G14196">
        <v>6040857</v>
      </c>
    </row>
    <row r="14197" spans="1:7">
      <c r="A14197" t="s">
        <v>1876</v>
      </c>
      <c r="B14197" t="s">
        <v>391</v>
      </c>
      <c r="C14197" t="s">
        <v>161</v>
      </c>
      <c r="D14197">
        <v>328292</v>
      </c>
      <c r="E14197">
        <v>331802</v>
      </c>
      <c r="F14197">
        <v>323900</v>
      </c>
      <c r="G14197">
        <v>314313</v>
      </c>
    </row>
    <row r="14198" spans="1:7">
      <c r="A14198" t="s">
        <v>1876</v>
      </c>
      <c r="B14198" t="s">
        <v>391</v>
      </c>
      <c r="C14198" t="s">
        <v>162</v>
      </c>
      <c r="D14198">
        <v>59709</v>
      </c>
      <c r="E14198">
        <v>83376</v>
      </c>
      <c r="F14198">
        <v>52825</v>
      </c>
      <c r="G14198">
        <v>55884</v>
      </c>
    </row>
    <row r="14199" spans="1:7">
      <c r="A14199" t="s">
        <v>1876</v>
      </c>
      <c r="B14199" t="s">
        <v>391</v>
      </c>
      <c r="C14199" t="s">
        <v>163</v>
      </c>
      <c r="D14199">
        <v>1185035</v>
      </c>
      <c r="E14199">
        <v>1197940</v>
      </c>
      <c r="F14199">
        <v>1169207</v>
      </c>
      <c r="G14199">
        <v>1134610</v>
      </c>
    </row>
    <row r="14200" spans="1:7">
      <c r="A14200" t="s">
        <v>1876</v>
      </c>
      <c r="B14200" t="s">
        <v>391</v>
      </c>
      <c r="C14200" t="s">
        <v>164</v>
      </c>
      <c r="D14200">
        <v>473685</v>
      </c>
      <c r="E14200">
        <v>478747</v>
      </c>
      <c r="F14200">
        <v>467354</v>
      </c>
      <c r="G14200">
        <v>453511</v>
      </c>
    </row>
    <row r="14201" spans="1:7">
      <c r="A14201" t="s">
        <v>1876</v>
      </c>
      <c r="B14201" t="s">
        <v>391</v>
      </c>
      <c r="C14201" t="s">
        <v>165</v>
      </c>
      <c r="D14201">
        <v>8355926</v>
      </c>
      <c r="E14201">
        <v>8469001</v>
      </c>
      <c r="F14201">
        <v>8238101</v>
      </c>
      <c r="G14201">
        <v>7999177</v>
      </c>
    </row>
    <row r="14202" spans="1:7">
      <c r="A14202" t="s">
        <v>1876</v>
      </c>
      <c r="B14202" t="s">
        <v>391</v>
      </c>
      <c r="C14202" t="s">
        <v>166</v>
      </c>
      <c r="D14202">
        <v>8296217</v>
      </c>
      <c r="E14202">
        <v>8385624</v>
      </c>
      <c r="F14202">
        <v>8185276</v>
      </c>
      <c r="G14202">
        <v>7943292</v>
      </c>
    </row>
    <row r="14203" spans="1:7">
      <c r="A14203" t="s">
        <v>1876</v>
      </c>
      <c r="B14203" t="s">
        <v>391</v>
      </c>
      <c r="C14203" t="s">
        <v>167</v>
      </c>
      <c r="D14203">
        <v>59709</v>
      </c>
      <c r="E14203">
        <v>83376</v>
      </c>
      <c r="F14203">
        <v>52825</v>
      </c>
      <c r="G14203">
        <v>55884</v>
      </c>
    </row>
    <row r="14204" spans="1:7">
      <c r="A14204" t="s">
        <v>1876</v>
      </c>
      <c r="B14204" t="s">
        <v>391</v>
      </c>
      <c r="C14204" t="s">
        <v>1908</v>
      </c>
      <c r="D14204">
        <v>6199842</v>
      </c>
      <c r="E14204">
        <v>6269678</v>
      </c>
      <c r="F14204">
        <v>6114303</v>
      </c>
      <c r="G14204">
        <v>5937029</v>
      </c>
    </row>
    <row r="14205" spans="1:7">
      <c r="A14205" t="s">
        <v>1876</v>
      </c>
      <c r="B14205" t="s">
        <v>391</v>
      </c>
      <c r="C14205" t="s">
        <v>1909</v>
      </c>
      <c r="D14205">
        <v>327251</v>
      </c>
      <c r="E14205">
        <v>330656</v>
      </c>
      <c r="F14205">
        <v>322783</v>
      </c>
      <c r="G14205">
        <v>313195</v>
      </c>
    </row>
    <row r="14206" spans="1:7">
      <c r="A14206" t="s">
        <v>1876</v>
      </c>
      <c r="B14206" t="s">
        <v>391</v>
      </c>
      <c r="C14206" t="s">
        <v>1910</v>
      </c>
      <c r="D14206">
        <v>59709</v>
      </c>
      <c r="E14206">
        <v>83376</v>
      </c>
      <c r="F14206">
        <v>52825</v>
      </c>
      <c r="G14206">
        <v>55884</v>
      </c>
    </row>
    <row r="14207" spans="1:7">
      <c r="A14207" t="s">
        <v>1876</v>
      </c>
      <c r="B14207" t="s">
        <v>391</v>
      </c>
      <c r="C14207" t="s">
        <v>1911</v>
      </c>
      <c r="D14207">
        <v>1185035</v>
      </c>
      <c r="E14207">
        <v>1197940</v>
      </c>
      <c r="F14207">
        <v>1169207</v>
      </c>
      <c r="G14207">
        <v>1134610</v>
      </c>
    </row>
    <row r="14208" spans="1:7">
      <c r="A14208" t="s">
        <v>1876</v>
      </c>
      <c r="B14208" t="s">
        <v>391</v>
      </c>
      <c r="C14208" t="s">
        <v>1912</v>
      </c>
      <c r="D14208">
        <v>470322</v>
      </c>
      <c r="E14208">
        <v>475169</v>
      </c>
      <c r="F14208">
        <v>463984</v>
      </c>
      <c r="G14208">
        <v>450058</v>
      </c>
    </row>
    <row r="14209" spans="1:7">
      <c r="A14209" t="s">
        <v>1876</v>
      </c>
      <c r="B14209" t="s">
        <v>391</v>
      </c>
      <c r="C14209" t="s">
        <v>168</v>
      </c>
      <c r="D14209">
        <v>8242159</v>
      </c>
      <c r="E14209">
        <v>8356820</v>
      </c>
      <c r="F14209">
        <v>8123101</v>
      </c>
      <c r="G14209">
        <v>7890776</v>
      </c>
    </row>
    <row r="14210" spans="1:7">
      <c r="A14210" t="s">
        <v>1876</v>
      </c>
      <c r="B14210" t="s">
        <v>391</v>
      </c>
      <c r="C14210" t="s">
        <v>169</v>
      </c>
      <c r="D14210">
        <v>47275</v>
      </c>
      <c r="E14210">
        <v>53767</v>
      </c>
      <c r="F14210">
        <v>68285</v>
      </c>
      <c r="G14210">
        <v>66319</v>
      </c>
    </row>
    <row r="14211" spans="1:7">
      <c r="A14211" t="s">
        <v>1876</v>
      </c>
      <c r="B14211" t="s">
        <v>391</v>
      </c>
      <c r="C14211" t="s">
        <v>1704</v>
      </c>
      <c r="D14211">
        <v>1145857</v>
      </c>
      <c r="E14211">
        <v>1161436</v>
      </c>
      <c r="F14211">
        <v>1187555</v>
      </c>
      <c r="G14211">
        <v>1228843</v>
      </c>
    </row>
    <row r="14212" spans="1:7">
      <c r="A14212" t="s">
        <v>1876</v>
      </c>
      <c r="B14212" t="s">
        <v>391</v>
      </c>
      <c r="C14212" t="s">
        <v>170</v>
      </c>
      <c r="D14212">
        <v>181406</v>
      </c>
      <c r="E14212">
        <v>194383</v>
      </c>
      <c r="F14212">
        <v>132786</v>
      </c>
      <c r="G14212">
        <v>113464</v>
      </c>
    </row>
    <row r="14213" spans="1:7">
      <c r="A14213" t="s">
        <v>1876</v>
      </c>
      <c r="B14213" t="s">
        <v>391</v>
      </c>
      <c r="C14213" t="s">
        <v>171</v>
      </c>
      <c r="D14213">
        <v>0</v>
      </c>
      <c r="E14213">
        <v>0</v>
      </c>
      <c r="F14213">
        <v>0</v>
      </c>
      <c r="G14213">
        <v>0</v>
      </c>
    </row>
    <row r="14214" spans="1:7">
      <c r="A14214" t="s">
        <v>1876</v>
      </c>
      <c r="B14214" t="s">
        <v>391</v>
      </c>
      <c r="C14214" t="s">
        <v>172</v>
      </c>
      <c r="D14214">
        <v>134131</v>
      </c>
      <c r="E14214">
        <v>140615</v>
      </c>
      <c r="F14214">
        <v>64501</v>
      </c>
      <c r="G14214">
        <v>47145</v>
      </c>
    </row>
    <row r="14215" spans="1:7">
      <c r="A14215" t="s">
        <v>1876</v>
      </c>
      <c r="B14215" t="s">
        <v>391</v>
      </c>
      <c r="C14215" t="s">
        <v>1913</v>
      </c>
      <c r="D14215">
        <v>2172.1</v>
      </c>
      <c r="E14215">
        <v>2985.2</v>
      </c>
      <c r="F14215">
        <v>4554.8999999999996</v>
      </c>
      <c r="G14215">
        <v>5816.9</v>
      </c>
    </row>
    <row r="14216" spans="1:7">
      <c r="A14216" t="s">
        <v>1876</v>
      </c>
      <c r="B14216" t="s">
        <v>391</v>
      </c>
      <c r="C14216" t="s">
        <v>1914</v>
      </c>
      <c r="D14216">
        <v>0.8</v>
      </c>
      <c r="E14216">
        <v>1.1000000000000001</v>
      </c>
      <c r="F14216">
        <v>1.7</v>
      </c>
      <c r="G14216">
        <v>2.2000000000000002</v>
      </c>
    </row>
    <row r="14217" spans="1:7">
      <c r="A14217" t="s">
        <v>1876</v>
      </c>
      <c r="B14217" t="s">
        <v>391</v>
      </c>
      <c r="C14217" t="s">
        <v>173</v>
      </c>
      <c r="D14217">
        <v>1109441</v>
      </c>
      <c r="E14217">
        <v>1111277</v>
      </c>
      <c r="F14217">
        <v>1131564</v>
      </c>
      <c r="G14217">
        <v>1138924</v>
      </c>
    </row>
    <row r="14218" spans="1:7">
      <c r="A14218" t="s">
        <v>1876</v>
      </c>
      <c r="B14218" t="s">
        <v>391</v>
      </c>
      <c r="C14218" t="s">
        <v>174</v>
      </c>
      <c r="D14218">
        <v>26690</v>
      </c>
      <c r="E14218">
        <v>31607</v>
      </c>
      <c r="F14218">
        <v>27683</v>
      </c>
      <c r="G14218">
        <v>23138</v>
      </c>
    </row>
    <row r="14219" spans="1:7">
      <c r="A14219" t="s">
        <v>1876</v>
      </c>
      <c r="B14219" t="s">
        <v>391</v>
      </c>
      <c r="C14219" t="s">
        <v>175</v>
      </c>
      <c r="D14219">
        <v>18822</v>
      </c>
      <c r="E14219">
        <v>19795</v>
      </c>
      <c r="F14219">
        <v>19719</v>
      </c>
      <c r="G14219">
        <v>19423</v>
      </c>
    </row>
    <row r="14220" spans="1:7">
      <c r="A14220" t="s">
        <v>1876</v>
      </c>
      <c r="B14220" t="s">
        <v>391</v>
      </c>
      <c r="C14220" t="s">
        <v>176</v>
      </c>
      <c r="D14220">
        <v>786485</v>
      </c>
      <c r="E14220">
        <v>805371</v>
      </c>
      <c r="F14220">
        <v>816301</v>
      </c>
      <c r="G14220">
        <v>850999</v>
      </c>
    </row>
    <row r="14221" spans="1:7">
      <c r="A14221" t="s">
        <v>1876</v>
      </c>
      <c r="B14221" t="s">
        <v>391</v>
      </c>
      <c r="C14221" t="s">
        <v>177</v>
      </c>
      <c r="D14221">
        <v>1154953</v>
      </c>
      <c r="E14221">
        <v>1162680</v>
      </c>
      <c r="F14221">
        <v>1178966</v>
      </c>
      <c r="G14221">
        <v>1181485</v>
      </c>
    </row>
    <row r="14222" spans="1:7">
      <c r="A14222" t="s">
        <v>1876</v>
      </c>
      <c r="B14222" t="s">
        <v>391</v>
      </c>
      <c r="C14222" t="s">
        <v>178</v>
      </c>
      <c r="D14222">
        <v>1835425</v>
      </c>
      <c r="E14222">
        <v>2051238</v>
      </c>
      <c r="F14222">
        <v>2188454</v>
      </c>
      <c r="G14222">
        <v>2418132</v>
      </c>
    </row>
    <row r="14223" spans="1:7">
      <c r="A14223" t="s">
        <v>1876</v>
      </c>
      <c r="B14223" t="s">
        <v>391</v>
      </c>
      <c r="C14223" t="s">
        <v>179</v>
      </c>
      <c r="D14223">
        <v>1835425</v>
      </c>
      <c r="E14223">
        <v>2051238</v>
      </c>
      <c r="F14223">
        <v>2188454</v>
      </c>
      <c r="G14223">
        <v>2418132</v>
      </c>
    </row>
    <row r="14224" spans="1:7">
      <c r="A14224" t="s">
        <v>1876</v>
      </c>
      <c r="B14224" t="s">
        <v>391</v>
      </c>
      <c r="C14224" t="s">
        <v>180</v>
      </c>
      <c r="D14224">
        <v>21613</v>
      </c>
      <c r="E14224">
        <v>22516</v>
      </c>
      <c r="F14224">
        <v>23419</v>
      </c>
      <c r="G14224">
        <v>23825</v>
      </c>
    </row>
    <row r="14225" spans="1:7">
      <c r="A14225" t="s">
        <v>1876</v>
      </c>
      <c r="B14225" t="s">
        <v>391</v>
      </c>
      <c r="C14225" t="s">
        <v>181</v>
      </c>
      <c r="D14225">
        <v>4532636</v>
      </c>
      <c r="E14225">
        <v>4745658</v>
      </c>
      <c r="F14225">
        <v>4804467</v>
      </c>
      <c r="G14225">
        <v>4950611</v>
      </c>
    </row>
    <row r="14226" spans="1:7">
      <c r="A14226" t="s">
        <v>1876</v>
      </c>
      <c r="B14226" t="s">
        <v>391</v>
      </c>
      <c r="C14226" t="s">
        <v>182</v>
      </c>
      <c r="D14226">
        <v>3414093</v>
      </c>
      <c r="E14226">
        <v>3481823</v>
      </c>
      <c r="F14226">
        <v>3443580</v>
      </c>
      <c r="G14226">
        <v>3530001</v>
      </c>
    </row>
    <row r="14227" spans="1:7">
      <c r="A14227" t="s">
        <v>1876</v>
      </c>
      <c r="B14227" t="s">
        <v>391</v>
      </c>
      <c r="C14227" t="s">
        <v>183</v>
      </c>
      <c r="D14227">
        <v>5017301</v>
      </c>
      <c r="E14227">
        <v>5149504</v>
      </c>
      <c r="F14227">
        <v>4947486</v>
      </c>
      <c r="G14227">
        <v>5059565</v>
      </c>
    </row>
    <row r="14228" spans="1:7">
      <c r="A14228" t="s">
        <v>1876</v>
      </c>
      <c r="B14228" t="s">
        <v>391</v>
      </c>
      <c r="C14228" t="s">
        <v>184</v>
      </c>
      <c r="D14228">
        <v>12985643</v>
      </c>
      <c r="E14228">
        <v>13399501</v>
      </c>
      <c r="F14228">
        <v>13218952</v>
      </c>
      <c r="G14228">
        <v>13564003</v>
      </c>
    </row>
    <row r="14229" spans="1:7">
      <c r="A14229" t="s">
        <v>1876</v>
      </c>
      <c r="B14229" t="s">
        <v>391</v>
      </c>
      <c r="C14229" t="s">
        <v>185</v>
      </c>
      <c r="D14229">
        <v>12985643</v>
      </c>
      <c r="E14229">
        <v>13399501</v>
      </c>
      <c r="F14229">
        <v>13218952</v>
      </c>
      <c r="G14229">
        <v>13564003</v>
      </c>
    </row>
    <row r="14230" spans="1:7">
      <c r="A14230" t="s">
        <v>1876</v>
      </c>
      <c r="B14230" t="s">
        <v>391</v>
      </c>
      <c r="C14230" t="s">
        <v>1915</v>
      </c>
      <c r="D14230">
        <v>3519</v>
      </c>
      <c r="E14230">
        <v>5252</v>
      </c>
      <c r="F14230">
        <v>13212</v>
      </c>
      <c r="G14230">
        <v>17800</v>
      </c>
    </row>
    <row r="14231" spans="1:7">
      <c r="A14231" t="s">
        <v>1876</v>
      </c>
      <c r="B14231" t="s">
        <v>391</v>
      </c>
      <c r="C14231" t="s">
        <v>1916</v>
      </c>
      <c r="D14231">
        <v>56</v>
      </c>
      <c r="E14231">
        <v>45</v>
      </c>
      <c r="F14231">
        <v>29</v>
      </c>
      <c r="G14231">
        <v>28</v>
      </c>
    </row>
    <row r="14232" spans="1:7">
      <c r="A14232" t="s">
        <v>1876</v>
      </c>
      <c r="B14232" t="s">
        <v>391</v>
      </c>
      <c r="C14232" t="s">
        <v>1917</v>
      </c>
      <c r="D14232">
        <v>3797</v>
      </c>
      <c r="E14232">
        <v>3415</v>
      </c>
      <c r="F14232">
        <v>3263</v>
      </c>
      <c r="G14232">
        <v>3136</v>
      </c>
    </row>
    <row r="14233" spans="1:7">
      <c r="A14233" t="s">
        <v>1876</v>
      </c>
      <c r="B14233" t="s">
        <v>391</v>
      </c>
      <c r="C14233" t="s">
        <v>1918</v>
      </c>
      <c r="D14233">
        <v>130059</v>
      </c>
      <c r="E14233">
        <v>152306</v>
      </c>
      <c r="F14233">
        <v>170519</v>
      </c>
      <c r="G14233">
        <v>189195</v>
      </c>
    </row>
    <row r="14234" spans="1:7">
      <c r="A14234" t="s">
        <v>1876</v>
      </c>
      <c r="B14234" t="s">
        <v>391</v>
      </c>
      <c r="C14234" t="s">
        <v>1919</v>
      </c>
      <c r="D14234">
        <v>2.92</v>
      </c>
      <c r="E14234">
        <v>2.98</v>
      </c>
      <c r="F14234">
        <v>2.83</v>
      </c>
      <c r="G14234">
        <v>2.84</v>
      </c>
    </row>
    <row r="14235" spans="1:7">
      <c r="A14235" t="s">
        <v>1876</v>
      </c>
      <c r="B14235" t="s">
        <v>391</v>
      </c>
      <c r="C14235" t="s">
        <v>1920</v>
      </c>
      <c r="D14235">
        <v>158487</v>
      </c>
      <c r="E14235">
        <v>185959</v>
      </c>
      <c r="F14235">
        <v>215533</v>
      </c>
      <c r="G14235">
        <v>247087</v>
      </c>
    </row>
    <row r="14236" spans="1:7">
      <c r="A14236" t="s">
        <v>1876</v>
      </c>
      <c r="B14236" t="s">
        <v>391</v>
      </c>
      <c r="C14236" t="s">
        <v>1921</v>
      </c>
      <c r="D14236">
        <v>49620</v>
      </c>
      <c r="E14236">
        <v>57213</v>
      </c>
      <c r="F14236">
        <v>68882</v>
      </c>
      <c r="G14236">
        <v>77923</v>
      </c>
    </row>
    <row r="14237" spans="1:7">
      <c r="A14237" t="s">
        <v>1876</v>
      </c>
      <c r="B14237" t="s">
        <v>391</v>
      </c>
      <c r="C14237" t="s">
        <v>1922</v>
      </c>
      <c r="D14237">
        <v>24575</v>
      </c>
      <c r="E14237">
        <v>30193</v>
      </c>
      <c r="F14237">
        <v>41722</v>
      </c>
      <c r="G14237">
        <v>54728</v>
      </c>
    </row>
    <row r="14238" spans="1:7">
      <c r="A14238" t="s">
        <v>1876</v>
      </c>
      <c r="B14238" t="s">
        <v>391</v>
      </c>
      <c r="C14238" t="s">
        <v>1923</v>
      </c>
      <c r="D14238">
        <v>3.98</v>
      </c>
      <c r="E14238">
        <v>4.07</v>
      </c>
      <c r="F14238">
        <v>4.1399999999999997</v>
      </c>
      <c r="G14238">
        <v>4.2</v>
      </c>
    </row>
    <row r="14239" spans="1:7">
      <c r="A14239" t="s">
        <v>1876</v>
      </c>
      <c r="B14239" t="s">
        <v>391</v>
      </c>
      <c r="C14239" t="s">
        <v>1924</v>
      </c>
      <c r="D14239">
        <v>2827</v>
      </c>
      <c r="E14239">
        <v>504</v>
      </c>
      <c r="F14239">
        <v>688</v>
      </c>
      <c r="G14239">
        <v>625</v>
      </c>
    </row>
    <row r="14240" spans="1:7">
      <c r="A14240" t="s">
        <v>1876</v>
      </c>
      <c r="B14240" t="s">
        <v>391</v>
      </c>
      <c r="C14240" t="s">
        <v>1925</v>
      </c>
      <c r="D14240">
        <v>7212</v>
      </c>
      <c r="E14240">
        <v>8082</v>
      </c>
      <c r="F14240">
        <v>8109</v>
      </c>
      <c r="G14240">
        <v>8122</v>
      </c>
    </row>
    <row r="14241" spans="1:7">
      <c r="A14241" t="s">
        <v>1876</v>
      </c>
      <c r="B14241" t="s">
        <v>391</v>
      </c>
      <c r="C14241" t="s">
        <v>1926</v>
      </c>
      <c r="D14241">
        <v>39581</v>
      </c>
      <c r="E14241">
        <v>48627</v>
      </c>
      <c r="F14241">
        <v>60085</v>
      </c>
      <c r="G14241">
        <v>69176</v>
      </c>
    </row>
    <row r="14242" spans="1:7">
      <c r="A14242" t="s">
        <v>1876</v>
      </c>
      <c r="B14242" t="s">
        <v>391</v>
      </c>
      <c r="C14242" t="s">
        <v>1927</v>
      </c>
      <c r="D14242">
        <v>1577</v>
      </c>
      <c r="E14242">
        <v>1704</v>
      </c>
      <c r="F14242">
        <v>1184</v>
      </c>
      <c r="G14242">
        <v>1047</v>
      </c>
    </row>
    <row r="14243" spans="1:7">
      <c r="A14243" t="s">
        <v>1876</v>
      </c>
      <c r="B14243" t="s">
        <v>391</v>
      </c>
      <c r="C14243" t="s">
        <v>1928</v>
      </c>
      <c r="D14243">
        <v>45583</v>
      </c>
      <c r="E14243">
        <v>52801</v>
      </c>
      <c r="F14243">
        <v>64515</v>
      </c>
      <c r="G14243">
        <v>73083</v>
      </c>
    </row>
    <row r="14244" spans="1:7">
      <c r="A14244" t="s">
        <v>1876</v>
      </c>
      <c r="B14244" t="s">
        <v>391</v>
      </c>
      <c r="C14244" t="s">
        <v>1929</v>
      </c>
      <c r="D14244">
        <v>2460</v>
      </c>
      <c r="E14244">
        <v>2708</v>
      </c>
      <c r="F14244">
        <v>3183</v>
      </c>
      <c r="G14244">
        <v>3793</v>
      </c>
    </row>
    <row r="14245" spans="1:7">
      <c r="A14245" t="s">
        <v>1876</v>
      </c>
      <c r="B14245" t="s">
        <v>391</v>
      </c>
      <c r="C14245" t="s">
        <v>186</v>
      </c>
      <c r="D14245">
        <v>675</v>
      </c>
      <c r="E14245">
        <v>702</v>
      </c>
      <c r="F14245">
        <v>1549</v>
      </c>
      <c r="G14245">
        <v>-14882</v>
      </c>
    </row>
    <row r="14246" spans="1:7">
      <c r="A14246" t="s">
        <v>1876</v>
      </c>
      <c r="B14246" t="s">
        <v>391</v>
      </c>
      <c r="C14246" t="s">
        <v>187</v>
      </c>
      <c r="D14246">
        <v>675</v>
      </c>
      <c r="E14246">
        <v>702</v>
      </c>
      <c r="F14246">
        <v>1549</v>
      </c>
      <c r="G14246">
        <v>-14882</v>
      </c>
    </row>
    <row r="14247" spans="1:7">
      <c r="A14247" t="s">
        <v>1876</v>
      </c>
      <c r="B14247" t="s">
        <v>391</v>
      </c>
      <c r="C14247" t="s">
        <v>1705</v>
      </c>
      <c r="D14247">
        <v>731789</v>
      </c>
      <c r="E14247">
        <v>724217</v>
      </c>
      <c r="F14247">
        <v>717285</v>
      </c>
      <c r="G14247">
        <v>710877</v>
      </c>
    </row>
    <row r="14248" spans="1:7">
      <c r="A14248" t="s">
        <v>1876</v>
      </c>
      <c r="B14248" t="s">
        <v>391</v>
      </c>
      <c r="C14248" t="s">
        <v>188</v>
      </c>
      <c r="D14248">
        <v>77439089</v>
      </c>
      <c r="E14248">
        <v>78522575</v>
      </c>
      <c r="F14248">
        <v>77244538</v>
      </c>
      <c r="G14248">
        <v>77632672</v>
      </c>
    </row>
    <row r="14249" spans="1:7">
      <c r="A14249" t="s">
        <v>1876</v>
      </c>
      <c r="B14249" t="s">
        <v>391</v>
      </c>
      <c r="C14249" t="s">
        <v>189</v>
      </c>
      <c r="D14249">
        <v>354817</v>
      </c>
      <c r="E14249">
        <v>265512</v>
      </c>
      <c r="F14249">
        <v>271846</v>
      </c>
      <c r="G14249">
        <v>255142</v>
      </c>
    </row>
    <row r="14250" spans="1:7">
      <c r="A14250" t="s">
        <v>1876</v>
      </c>
      <c r="B14250" t="s">
        <v>391</v>
      </c>
      <c r="C14250" t="s">
        <v>190</v>
      </c>
      <c r="D14250">
        <v>216894</v>
      </c>
      <c r="E14250">
        <v>127736</v>
      </c>
      <c r="F14250">
        <v>119564</v>
      </c>
      <c r="G14250">
        <v>153582</v>
      </c>
    </row>
    <row r="14251" spans="1:7">
      <c r="A14251" t="s">
        <v>1876</v>
      </c>
      <c r="B14251" t="s">
        <v>391</v>
      </c>
      <c r="C14251" t="s">
        <v>191</v>
      </c>
      <c r="D14251">
        <v>0</v>
      </c>
      <c r="E14251">
        <v>0</v>
      </c>
      <c r="F14251">
        <v>0</v>
      </c>
      <c r="G14251">
        <v>0</v>
      </c>
    </row>
    <row r="14252" spans="1:7">
      <c r="A14252" t="s">
        <v>1876</v>
      </c>
      <c r="B14252" t="s">
        <v>391</v>
      </c>
      <c r="C14252" t="s">
        <v>192</v>
      </c>
      <c r="D14252">
        <v>23725645</v>
      </c>
      <c r="E14252">
        <v>26054614</v>
      </c>
      <c r="F14252">
        <v>27811517</v>
      </c>
      <c r="G14252">
        <v>29298013</v>
      </c>
    </row>
    <row r="14253" spans="1:7">
      <c r="A14253" t="s">
        <v>1876</v>
      </c>
      <c r="B14253" t="s">
        <v>391</v>
      </c>
      <c r="C14253" t="s">
        <v>193</v>
      </c>
      <c r="D14253">
        <v>21532407</v>
      </c>
      <c r="E14253">
        <v>22075931</v>
      </c>
      <c r="F14253">
        <v>22723719</v>
      </c>
      <c r="G14253">
        <v>23358435</v>
      </c>
    </row>
    <row r="14254" spans="1:7">
      <c r="A14254" t="s">
        <v>1876</v>
      </c>
      <c r="B14254" t="s">
        <v>391</v>
      </c>
      <c r="C14254" t="s">
        <v>1930</v>
      </c>
      <c r="D14254">
        <v>69.8</v>
      </c>
      <c r="E14254">
        <v>69</v>
      </c>
      <c r="F14254">
        <v>69.400000000000006</v>
      </c>
      <c r="G14254">
        <v>64.599999999999994</v>
      </c>
    </row>
    <row r="14255" spans="1:7">
      <c r="A14255" t="s">
        <v>1876</v>
      </c>
      <c r="B14255" t="s">
        <v>391</v>
      </c>
      <c r="C14255" t="s">
        <v>194</v>
      </c>
      <c r="D14255">
        <v>19700</v>
      </c>
      <c r="E14255">
        <v>19700</v>
      </c>
      <c r="F14255">
        <v>19700</v>
      </c>
      <c r="G14255">
        <v>19700</v>
      </c>
    </row>
    <row r="14256" spans="1:7">
      <c r="A14256" t="s">
        <v>1876</v>
      </c>
      <c r="B14256" t="s">
        <v>391</v>
      </c>
      <c r="C14256" t="s">
        <v>195</v>
      </c>
      <c r="D14256">
        <v>54507</v>
      </c>
      <c r="E14256">
        <v>54889</v>
      </c>
      <c r="F14256">
        <v>55846</v>
      </c>
      <c r="G14256">
        <v>52569</v>
      </c>
    </row>
    <row r="14257" spans="1:7">
      <c r="A14257" t="s">
        <v>1876</v>
      </c>
      <c r="B14257" t="s">
        <v>391</v>
      </c>
      <c r="C14257" t="s">
        <v>1706</v>
      </c>
      <c r="D14257">
        <v>2597</v>
      </c>
      <c r="E14257">
        <v>2649</v>
      </c>
      <c r="F14257">
        <v>2696</v>
      </c>
      <c r="G14257">
        <v>2696</v>
      </c>
    </row>
    <row r="14258" spans="1:7">
      <c r="A14258" t="s">
        <v>1876</v>
      </c>
      <c r="B14258" t="s">
        <v>391</v>
      </c>
      <c r="C14258" t="s">
        <v>196</v>
      </c>
      <c r="D14258">
        <v>4200</v>
      </c>
      <c r="E14258">
        <v>4200</v>
      </c>
      <c r="F14258">
        <v>4200</v>
      </c>
      <c r="G14258">
        <v>4200</v>
      </c>
    </row>
    <row r="14259" spans="1:7">
      <c r="A14259" t="s">
        <v>1876</v>
      </c>
      <c r="B14259" t="s">
        <v>391</v>
      </c>
      <c r="C14259" t="s">
        <v>197</v>
      </c>
      <c r="D14259">
        <v>39600</v>
      </c>
      <c r="E14259">
        <v>39600</v>
      </c>
      <c r="F14259">
        <v>39600</v>
      </c>
      <c r="G14259">
        <v>39600</v>
      </c>
    </row>
    <row r="14260" spans="1:7">
      <c r="A14260" t="s">
        <v>1876</v>
      </c>
      <c r="B14260" t="s">
        <v>391</v>
      </c>
      <c r="C14260" t="s">
        <v>198</v>
      </c>
      <c r="D14260">
        <v>118007</v>
      </c>
      <c r="E14260">
        <v>118389</v>
      </c>
      <c r="F14260">
        <v>119346</v>
      </c>
      <c r="G14260">
        <v>116069</v>
      </c>
    </row>
    <row r="14261" spans="1:7">
      <c r="A14261" t="s">
        <v>1876</v>
      </c>
      <c r="B14261" t="s">
        <v>391</v>
      </c>
      <c r="C14261" t="s">
        <v>199</v>
      </c>
      <c r="D14261">
        <v>63500</v>
      </c>
      <c r="E14261">
        <v>63500</v>
      </c>
      <c r="F14261">
        <v>63500</v>
      </c>
      <c r="G14261">
        <v>63500</v>
      </c>
    </row>
    <row r="14262" spans="1:7">
      <c r="A14262" t="s">
        <v>1876</v>
      </c>
      <c r="B14262" t="s">
        <v>391</v>
      </c>
      <c r="C14262" t="s">
        <v>200</v>
      </c>
      <c r="D14262">
        <v>9762</v>
      </c>
      <c r="E14262">
        <v>11141</v>
      </c>
      <c r="F14262">
        <v>11729</v>
      </c>
      <c r="G14262">
        <v>11195</v>
      </c>
    </row>
    <row r="14263" spans="1:7">
      <c r="A14263" t="s">
        <v>1876</v>
      </c>
      <c r="B14263" t="s">
        <v>391</v>
      </c>
      <c r="C14263" t="s">
        <v>201</v>
      </c>
      <c r="D14263">
        <v>216971</v>
      </c>
      <c r="E14263">
        <v>201636</v>
      </c>
      <c r="F14263">
        <v>184120</v>
      </c>
      <c r="G14263">
        <v>184164</v>
      </c>
    </row>
    <row r="14264" spans="1:7">
      <c r="A14264" t="s">
        <v>1876</v>
      </c>
      <c r="B14264" t="s">
        <v>391</v>
      </c>
      <c r="C14264" t="s">
        <v>202</v>
      </c>
      <c r="D14264">
        <v>3519413</v>
      </c>
      <c r="E14264">
        <v>3240307</v>
      </c>
      <c r="F14264">
        <v>3455383</v>
      </c>
      <c r="G14264">
        <v>3739961</v>
      </c>
    </row>
    <row r="14265" spans="1:7">
      <c r="A14265" t="s">
        <v>1876</v>
      </c>
      <c r="B14265" t="s">
        <v>391</v>
      </c>
      <c r="C14265" t="s">
        <v>203</v>
      </c>
      <c r="D14265">
        <v>484131</v>
      </c>
      <c r="E14265">
        <v>504305</v>
      </c>
      <c r="F14265">
        <v>472475</v>
      </c>
      <c r="G14265">
        <v>459786</v>
      </c>
    </row>
    <row r="14266" spans="1:7">
      <c r="A14266" t="s">
        <v>1876</v>
      </c>
      <c r="B14266" t="s">
        <v>391</v>
      </c>
      <c r="C14266" t="s">
        <v>204</v>
      </c>
      <c r="D14266">
        <v>4230278</v>
      </c>
      <c r="E14266">
        <v>3957389</v>
      </c>
      <c r="F14266">
        <v>4123707</v>
      </c>
      <c r="G14266">
        <v>4395107</v>
      </c>
    </row>
    <row r="14267" spans="1:7">
      <c r="A14267" t="s">
        <v>1876</v>
      </c>
      <c r="B14267" t="s">
        <v>391</v>
      </c>
      <c r="C14267" t="s">
        <v>205</v>
      </c>
      <c r="D14267">
        <v>4230278</v>
      </c>
      <c r="E14267">
        <v>3957389</v>
      </c>
      <c r="F14267">
        <v>4123707</v>
      </c>
      <c r="G14267">
        <v>4395107</v>
      </c>
    </row>
    <row r="14268" spans="1:7">
      <c r="A14268" t="s">
        <v>1876</v>
      </c>
      <c r="B14268" t="s">
        <v>391</v>
      </c>
      <c r="C14268" t="s">
        <v>1931</v>
      </c>
      <c r="D14268">
        <v>10.199999999999999</v>
      </c>
      <c r="E14268">
        <v>11.1</v>
      </c>
      <c r="F14268">
        <v>10.9</v>
      </c>
      <c r="G14268">
        <v>11.4</v>
      </c>
    </row>
    <row r="14269" spans="1:7">
      <c r="A14269" t="s">
        <v>1876</v>
      </c>
      <c r="B14269" t="s">
        <v>391</v>
      </c>
      <c r="C14269" t="s">
        <v>1707</v>
      </c>
      <c r="D14269">
        <v>23008</v>
      </c>
      <c r="E14269">
        <v>23044</v>
      </c>
      <c r="F14269">
        <v>23147</v>
      </c>
      <c r="G14269">
        <v>23157</v>
      </c>
    </row>
    <row r="14270" spans="1:7">
      <c r="A14270" t="s">
        <v>1876</v>
      </c>
      <c r="B14270" t="s">
        <v>391</v>
      </c>
      <c r="C14270" t="s">
        <v>1932</v>
      </c>
      <c r="D14270">
        <v>36</v>
      </c>
      <c r="E14270">
        <v>36.299999999999997</v>
      </c>
      <c r="F14270">
        <v>35</v>
      </c>
      <c r="G14270">
        <v>34.6</v>
      </c>
    </row>
    <row r="14271" spans="1:7">
      <c r="A14271" t="s">
        <v>1876</v>
      </c>
      <c r="B14271" t="s">
        <v>391</v>
      </c>
      <c r="C14271" t="s">
        <v>1708</v>
      </c>
      <c r="D14271">
        <v>79910</v>
      </c>
      <c r="E14271">
        <v>80068</v>
      </c>
      <c r="F14271">
        <v>79985</v>
      </c>
      <c r="G14271">
        <v>79897</v>
      </c>
    </row>
    <row r="14272" spans="1:7">
      <c r="A14272" t="s">
        <v>1876</v>
      </c>
      <c r="B14272" t="s">
        <v>391</v>
      </c>
      <c r="C14272" t="s">
        <v>206</v>
      </c>
      <c r="D14272">
        <v>879</v>
      </c>
      <c r="E14272">
        <v>898</v>
      </c>
      <c r="F14272">
        <v>999</v>
      </c>
      <c r="G14272">
        <v>1060</v>
      </c>
    </row>
    <row r="14273" spans="1:7">
      <c r="A14273" t="s">
        <v>1876</v>
      </c>
      <c r="B14273" t="s">
        <v>391</v>
      </c>
      <c r="C14273" t="s">
        <v>207</v>
      </c>
      <c r="D14273">
        <v>854334</v>
      </c>
      <c r="E14273">
        <v>865374</v>
      </c>
      <c r="F14273">
        <v>832069</v>
      </c>
      <c r="G14273">
        <v>824936</v>
      </c>
    </row>
    <row r="14274" spans="1:7">
      <c r="A14274" t="s">
        <v>1876</v>
      </c>
      <c r="B14274" t="s">
        <v>391</v>
      </c>
      <c r="C14274" t="s">
        <v>208</v>
      </c>
      <c r="D14274">
        <v>3194</v>
      </c>
      <c r="E14274">
        <v>3067</v>
      </c>
      <c r="F14274">
        <v>2880</v>
      </c>
      <c r="G14274">
        <v>2765</v>
      </c>
    </row>
    <row r="14275" spans="1:7">
      <c r="A14275" t="s">
        <v>1876</v>
      </c>
      <c r="B14275" t="s">
        <v>391</v>
      </c>
      <c r="C14275" t="s">
        <v>209</v>
      </c>
      <c r="D14275">
        <v>858407</v>
      </c>
      <c r="E14275">
        <v>869339</v>
      </c>
      <c r="F14275">
        <v>835948</v>
      </c>
      <c r="G14275">
        <v>828761</v>
      </c>
    </row>
    <row r="14276" spans="1:7">
      <c r="A14276" t="s">
        <v>1876</v>
      </c>
      <c r="B14276" t="s">
        <v>391</v>
      </c>
      <c r="C14276" t="s">
        <v>210</v>
      </c>
      <c r="D14276">
        <v>4073</v>
      </c>
      <c r="E14276">
        <v>3965</v>
      </c>
      <c r="F14276">
        <v>3879</v>
      </c>
      <c r="G14276">
        <v>3825</v>
      </c>
    </row>
    <row r="14277" spans="1:7">
      <c r="A14277" t="s">
        <v>1876</v>
      </c>
      <c r="B14277" t="s">
        <v>391</v>
      </c>
      <c r="C14277" t="s">
        <v>211</v>
      </c>
      <c r="D14277">
        <v>337873</v>
      </c>
      <c r="E14277">
        <v>275689</v>
      </c>
      <c r="F14277">
        <v>303744</v>
      </c>
      <c r="G14277">
        <v>301117</v>
      </c>
    </row>
    <row r="14278" spans="1:7">
      <c r="A14278" t="s">
        <v>1876</v>
      </c>
      <c r="B14278" t="s">
        <v>391</v>
      </c>
      <c r="C14278" t="s">
        <v>212</v>
      </c>
      <c r="D14278">
        <v>337873</v>
      </c>
      <c r="E14278">
        <v>275689</v>
      </c>
      <c r="F14278">
        <v>303744</v>
      </c>
      <c r="G14278">
        <v>301117</v>
      </c>
    </row>
    <row r="14279" spans="1:7">
      <c r="A14279" t="s">
        <v>1876</v>
      </c>
      <c r="B14279" t="s">
        <v>391</v>
      </c>
      <c r="C14279" t="s">
        <v>213</v>
      </c>
      <c r="D14279">
        <v>-610</v>
      </c>
      <c r="E14279">
        <v>1228</v>
      </c>
      <c r="F14279">
        <v>531</v>
      </c>
      <c r="G14279">
        <v>1311</v>
      </c>
    </row>
    <row r="14280" spans="1:7">
      <c r="A14280" t="s">
        <v>1876</v>
      </c>
      <c r="B14280" t="s">
        <v>391</v>
      </c>
      <c r="C14280" t="s">
        <v>214</v>
      </c>
      <c r="D14280">
        <v>-610</v>
      </c>
      <c r="E14280">
        <v>1228</v>
      </c>
      <c r="F14280">
        <v>531</v>
      </c>
      <c r="G14280">
        <v>1311</v>
      </c>
    </row>
    <row r="14281" spans="1:7">
      <c r="A14281" t="s">
        <v>1876</v>
      </c>
      <c r="B14281" t="s">
        <v>391</v>
      </c>
      <c r="C14281" t="s">
        <v>215</v>
      </c>
      <c r="D14281">
        <v>2835040</v>
      </c>
      <c r="E14281">
        <v>3227897</v>
      </c>
      <c r="F14281">
        <v>3421522</v>
      </c>
      <c r="G14281">
        <v>3507462</v>
      </c>
    </row>
    <row r="14282" spans="1:7">
      <c r="A14282" t="s">
        <v>1876</v>
      </c>
      <c r="B14282" t="s">
        <v>391</v>
      </c>
      <c r="C14282" t="s">
        <v>216</v>
      </c>
      <c r="D14282">
        <v>2835040</v>
      </c>
      <c r="E14282">
        <v>3227897</v>
      </c>
      <c r="F14282">
        <v>3421522</v>
      </c>
      <c r="G14282">
        <v>3507462</v>
      </c>
    </row>
    <row r="14283" spans="1:7">
      <c r="A14283" t="s">
        <v>1876</v>
      </c>
      <c r="B14283" t="s">
        <v>391</v>
      </c>
      <c r="C14283" t="s">
        <v>217</v>
      </c>
      <c r="D14283">
        <v>2835040</v>
      </c>
      <c r="E14283">
        <v>3227897</v>
      </c>
      <c r="F14283">
        <v>3421522</v>
      </c>
      <c r="G14283">
        <v>3507462</v>
      </c>
    </row>
    <row r="14284" spans="1:7">
      <c r="A14284" t="s">
        <v>1876</v>
      </c>
      <c r="B14284" t="s">
        <v>391</v>
      </c>
      <c r="C14284" t="s">
        <v>218</v>
      </c>
      <c r="D14284">
        <v>1437</v>
      </c>
      <c r="E14284">
        <v>1304</v>
      </c>
      <c r="F14284">
        <v>2309</v>
      </c>
      <c r="G14284">
        <v>1749</v>
      </c>
    </row>
    <row r="14285" spans="1:7">
      <c r="A14285" t="s">
        <v>1876</v>
      </c>
      <c r="B14285" t="s">
        <v>391</v>
      </c>
      <c r="C14285" t="s">
        <v>219</v>
      </c>
      <c r="D14285">
        <v>1454</v>
      </c>
      <c r="E14285">
        <v>1089</v>
      </c>
      <c r="F14285">
        <v>4368</v>
      </c>
      <c r="G14285">
        <v>2376</v>
      </c>
    </row>
    <row r="14286" spans="1:7">
      <c r="A14286" t="s">
        <v>1876</v>
      </c>
      <c r="B14286" t="s">
        <v>391</v>
      </c>
      <c r="C14286" t="s">
        <v>220</v>
      </c>
      <c r="D14286">
        <v>9407</v>
      </c>
      <c r="E14286">
        <v>8471</v>
      </c>
      <c r="F14286">
        <v>15192</v>
      </c>
      <c r="G14286">
        <v>11513</v>
      </c>
    </row>
    <row r="14287" spans="1:7">
      <c r="A14287" t="s">
        <v>1876</v>
      </c>
      <c r="B14287" t="s">
        <v>391</v>
      </c>
      <c r="C14287" t="s">
        <v>221</v>
      </c>
      <c r="D14287">
        <v>12298</v>
      </c>
      <c r="E14287">
        <v>10864</v>
      </c>
      <c r="F14287">
        <v>21869</v>
      </c>
      <c r="G14287">
        <v>15638</v>
      </c>
    </row>
    <row r="14288" spans="1:7">
      <c r="A14288" t="s">
        <v>1876</v>
      </c>
      <c r="B14288" t="s">
        <v>391</v>
      </c>
      <c r="C14288" t="s">
        <v>222</v>
      </c>
      <c r="D14288">
        <v>12298</v>
      </c>
      <c r="E14288">
        <v>10864</v>
      </c>
      <c r="F14288">
        <v>21869</v>
      </c>
      <c r="G14288">
        <v>15638</v>
      </c>
    </row>
    <row r="14289" spans="1:7">
      <c r="A14289" t="s">
        <v>1876</v>
      </c>
      <c r="B14289" t="s">
        <v>391</v>
      </c>
      <c r="C14289" t="s">
        <v>1933</v>
      </c>
      <c r="D14289">
        <v>262402.90000000002</v>
      </c>
      <c r="E14289">
        <v>263181</v>
      </c>
      <c r="F14289">
        <v>264733.3</v>
      </c>
      <c r="G14289">
        <v>267111.09999999998</v>
      </c>
    </row>
    <row r="14290" spans="1:7">
      <c r="A14290" t="s">
        <v>1876</v>
      </c>
      <c r="B14290" t="s">
        <v>391</v>
      </c>
      <c r="C14290" t="s">
        <v>223</v>
      </c>
      <c r="D14290">
        <v>30907</v>
      </c>
      <c r="E14290">
        <v>31269</v>
      </c>
      <c r="F14290">
        <v>32803</v>
      </c>
      <c r="G14290">
        <v>33507</v>
      </c>
    </row>
    <row r="14291" spans="1:7">
      <c r="A14291" t="s">
        <v>1876</v>
      </c>
      <c r="B14291" t="s">
        <v>391</v>
      </c>
      <c r="C14291" t="s">
        <v>224</v>
      </c>
      <c r="D14291">
        <v>6794355</v>
      </c>
      <c r="E14291">
        <v>6928457</v>
      </c>
      <c r="F14291">
        <v>6839857</v>
      </c>
      <c r="G14291">
        <v>6972107</v>
      </c>
    </row>
    <row r="14292" spans="1:7">
      <c r="A14292" t="s">
        <v>1876</v>
      </c>
      <c r="B14292" t="s">
        <v>391</v>
      </c>
      <c r="C14292" t="s">
        <v>225</v>
      </c>
      <c r="D14292">
        <v>5192443</v>
      </c>
      <c r="E14292">
        <v>5134202</v>
      </c>
      <c r="F14292">
        <v>4958535</v>
      </c>
      <c r="G14292">
        <v>5005523</v>
      </c>
    </row>
    <row r="14293" spans="1:7">
      <c r="A14293" t="s">
        <v>1876</v>
      </c>
      <c r="B14293" t="s">
        <v>391</v>
      </c>
      <c r="C14293" t="s">
        <v>226</v>
      </c>
      <c r="D14293">
        <v>7580444</v>
      </c>
      <c r="E14293">
        <v>7578359</v>
      </c>
      <c r="F14293">
        <v>7110353</v>
      </c>
      <c r="G14293">
        <v>7213155</v>
      </c>
    </row>
    <row r="14294" spans="1:7">
      <c r="A14294" t="s">
        <v>1876</v>
      </c>
      <c r="B14294" t="s">
        <v>391</v>
      </c>
      <c r="C14294" t="s">
        <v>227</v>
      </c>
      <c r="D14294">
        <v>19598149</v>
      </c>
      <c r="E14294">
        <v>19672286</v>
      </c>
      <c r="F14294">
        <v>18941549</v>
      </c>
      <c r="G14294">
        <v>19224292</v>
      </c>
    </row>
    <row r="14295" spans="1:7">
      <c r="A14295" t="s">
        <v>1876</v>
      </c>
      <c r="B14295" t="s">
        <v>391</v>
      </c>
      <c r="C14295" t="s">
        <v>228</v>
      </c>
      <c r="D14295">
        <v>19598149</v>
      </c>
      <c r="E14295">
        <v>19672286</v>
      </c>
      <c r="F14295">
        <v>18941549</v>
      </c>
      <c r="G14295">
        <v>19224292</v>
      </c>
    </row>
    <row r="14296" spans="1:7">
      <c r="A14296" t="s">
        <v>1876</v>
      </c>
      <c r="B14296" t="s">
        <v>391</v>
      </c>
      <c r="C14296" t="s">
        <v>229</v>
      </c>
      <c r="D14296">
        <v>123341</v>
      </c>
      <c r="E14296">
        <v>129908</v>
      </c>
      <c r="F14296">
        <v>95017</v>
      </c>
      <c r="G14296">
        <v>91415</v>
      </c>
    </row>
    <row r="14297" spans="1:7">
      <c r="A14297" t="s">
        <v>1876</v>
      </c>
      <c r="B14297" t="s">
        <v>391</v>
      </c>
      <c r="C14297" t="s">
        <v>230</v>
      </c>
      <c r="D14297">
        <v>109191</v>
      </c>
      <c r="E14297">
        <v>115021</v>
      </c>
      <c r="F14297">
        <v>88777</v>
      </c>
      <c r="G14297">
        <v>83312</v>
      </c>
    </row>
    <row r="14298" spans="1:7">
      <c r="A14298" t="s">
        <v>1876</v>
      </c>
      <c r="B14298" t="s">
        <v>391</v>
      </c>
      <c r="C14298" t="s">
        <v>231</v>
      </c>
      <c r="D14298">
        <v>232532</v>
      </c>
      <c r="E14298">
        <v>244929</v>
      </c>
      <c r="F14298">
        <v>183794</v>
      </c>
      <c r="G14298">
        <v>174727</v>
      </c>
    </row>
    <row r="14299" spans="1:7">
      <c r="A14299" t="s">
        <v>1876</v>
      </c>
      <c r="B14299" t="s">
        <v>391</v>
      </c>
      <c r="C14299" t="s">
        <v>232</v>
      </c>
      <c r="D14299">
        <v>232532</v>
      </c>
      <c r="E14299">
        <v>244929</v>
      </c>
      <c r="F14299">
        <v>183794</v>
      </c>
      <c r="G14299">
        <v>174727</v>
      </c>
    </row>
    <row r="14300" spans="1:7">
      <c r="A14300" t="s">
        <v>1876</v>
      </c>
      <c r="B14300" t="s">
        <v>391</v>
      </c>
      <c r="C14300" t="s">
        <v>233</v>
      </c>
      <c r="D14300">
        <v>0</v>
      </c>
      <c r="E14300">
        <v>0</v>
      </c>
      <c r="F14300">
        <v>0</v>
      </c>
      <c r="G14300">
        <v>0</v>
      </c>
    </row>
    <row r="14301" spans="1:7">
      <c r="A14301" t="s">
        <v>1876</v>
      </c>
      <c r="B14301" t="s">
        <v>391</v>
      </c>
      <c r="C14301" t="s">
        <v>234</v>
      </c>
      <c r="D14301">
        <v>15610718</v>
      </c>
      <c r="E14301">
        <v>15519286</v>
      </c>
      <c r="F14301">
        <v>15822395</v>
      </c>
      <c r="G14301">
        <v>15977085</v>
      </c>
    </row>
    <row r="14302" spans="1:7">
      <c r="A14302" t="s">
        <v>1876</v>
      </c>
      <c r="B14302" t="s">
        <v>391</v>
      </c>
      <c r="C14302" t="s">
        <v>235</v>
      </c>
      <c r="D14302">
        <v>374564</v>
      </c>
      <c r="E14302">
        <v>439970</v>
      </c>
      <c r="F14302">
        <v>386467</v>
      </c>
      <c r="G14302">
        <v>324452</v>
      </c>
    </row>
    <row r="14303" spans="1:7">
      <c r="A14303" t="s">
        <v>1876</v>
      </c>
      <c r="B14303" t="s">
        <v>391</v>
      </c>
      <c r="C14303" t="s">
        <v>236</v>
      </c>
      <c r="D14303">
        <v>264255</v>
      </c>
      <c r="E14303">
        <v>276374</v>
      </c>
      <c r="F14303">
        <v>275710</v>
      </c>
      <c r="G14303">
        <v>271300</v>
      </c>
    </row>
    <row r="14304" spans="1:7">
      <c r="A14304" t="s">
        <v>1876</v>
      </c>
      <c r="B14304" t="s">
        <v>391</v>
      </c>
      <c r="C14304" t="s">
        <v>237</v>
      </c>
      <c r="D14304">
        <v>16249537</v>
      </c>
      <c r="E14304">
        <v>16235630</v>
      </c>
      <c r="F14304">
        <v>16484571</v>
      </c>
      <c r="G14304">
        <v>16572838</v>
      </c>
    </row>
    <row r="14305" spans="1:7">
      <c r="A14305" t="s">
        <v>1876</v>
      </c>
      <c r="B14305" t="s">
        <v>391</v>
      </c>
      <c r="C14305" t="s">
        <v>238</v>
      </c>
      <c r="D14305">
        <v>16249537</v>
      </c>
      <c r="E14305">
        <v>16235630</v>
      </c>
      <c r="F14305">
        <v>16484571</v>
      </c>
      <c r="G14305">
        <v>16572838</v>
      </c>
    </row>
    <row r="14306" spans="1:7">
      <c r="A14306" t="s">
        <v>1876</v>
      </c>
      <c r="B14306" t="s">
        <v>391</v>
      </c>
      <c r="C14306" t="s">
        <v>1934</v>
      </c>
      <c r="D14306">
        <v>14501277</v>
      </c>
      <c r="E14306">
        <v>14408009</v>
      </c>
      <c r="F14306">
        <v>14690830</v>
      </c>
      <c r="G14306">
        <v>14838161</v>
      </c>
    </row>
    <row r="14307" spans="1:7">
      <c r="A14307" t="s">
        <v>1876</v>
      </c>
      <c r="B14307" t="s">
        <v>391</v>
      </c>
      <c r="C14307" t="s">
        <v>1935</v>
      </c>
      <c r="D14307">
        <v>347873</v>
      </c>
      <c r="E14307">
        <v>408363</v>
      </c>
      <c r="F14307">
        <v>358784</v>
      </c>
      <c r="G14307">
        <v>301314</v>
      </c>
    </row>
    <row r="14308" spans="1:7">
      <c r="A14308" t="s">
        <v>1876</v>
      </c>
      <c r="B14308" t="s">
        <v>391</v>
      </c>
      <c r="C14308" t="s">
        <v>1936</v>
      </c>
      <c r="D14308">
        <v>245433</v>
      </c>
      <c r="E14308">
        <v>256579</v>
      </c>
      <c r="F14308">
        <v>255991</v>
      </c>
      <c r="G14308">
        <v>251877</v>
      </c>
    </row>
    <row r="14309" spans="1:7">
      <c r="A14309" t="s">
        <v>1876</v>
      </c>
      <c r="B14309" t="s">
        <v>391</v>
      </c>
      <c r="C14309" t="s">
        <v>239</v>
      </c>
      <c r="D14309">
        <v>15094584</v>
      </c>
      <c r="E14309">
        <v>15072950</v>
      </c>
      <c r="F14309">
        <v>15305605</v>
      </c>
      <c r="G14309">
        <v>15391352</v>
      </c>
    </row>
    <row r="14310" spans="1:7">
      <c r="A14310" t="s">
        <v>1876</v>
      </c>
      <c r="B14310" t="s">
        <v>391</v>
      </c>
      <c r="C14310" t="s">
        <v>240</v>
      </c>
      <c r="D14310">
        <v>170802</v>
      </c>
      <c r="E14310">
        <v>183391</v>
      </c>
      <c r="F14310">
        <v>176239</v>
      </c>
      <c r="G14310">
        <v>172559</v>
      </c>
    </row>
    <row r="14311" spans="1:7">
      <c r="A14311" t="s">
        <v>1876</v>
      </c>
      <c r="B14311" t="s">
        <v>391</v>
      </c>
      <c r="C14311" t="s">
        <v>241</v>
      </c>
      <c r="D14311">
        <v>0</v>
      </c>
      <c r="E14311">
        <v>0</v>
      </c>
      <c r="F14311">
        <v>0</v>
      </c>
      <c r="G14311">
        <v>0</v>
      </c>
    </row>
    <row r="14312" spans="1:7">
      <c r="A14312" t="s">
        <v>1876</v>
      </c>
      <c r="B14312" t="s">
        <v>391</v>
      </c>
      <c r="C14312" t="s">
        <v>242</v>
      </c>
      <c r="D14312">
        <v>1229251</v>
      </c>
      <c r="E14312">
        <v>1362741</v>
      </c>
      <c r="F14312">
        <v>1351969</v>
      </c>
      <c r="G14312">
        <v>1388573</v>
      </c>
    </row>
    <row r="14313" spans="1:7">
      <c r="A14313" t="s">
        <v>1876</v>
      </c>
      <c r="B14313" t="s">
        <v>391</v>
      </c>
      <c r="C14313" t="s">
        <v>243</v>
      </c>
      <c r="D14313">
        <v>3424966</v>
      </c>
      <c r="E14313">
        <v>3656079</v>
      </c>
      <c r="F14313">
        <v>3467530</v>
      </c>
      <c r="G14313">
        <v>3457897</v>
      </c>
    </row>
    <row r="14314" spans="1:7">
      <c r="A14314" t="s">
        <v>1876</v>
      </c>
      <c r="B14314" t="s">
        <v>391</v>
      </c>
      <c r="C14314" t="s">
        <v>244</v>
      </c>
      <c r="D14314">
        <v>11611875</v>
      </c>
      <c r="E14314">
        <v>12492281</v>
      </c>
      <c r="F14314">
        <v>13371852</v>
      </c>
      <c r="G14314">
        <v>13940333</v>
      </c>
    </row>
    <row r="14315" spans="1:7">
      <c r="A14315" t="s">
        <v>1876</v>
      </c>
      <c r="B14315" t="s">
        <v>391</v>
      </c>
      <c r="C14315" t="s">
        <v>1709</v>
      </c>
      <c r="D14315">
        <v>491870</v>
      </c>
      <c r="E14315">
        <v>502397</v>
      </c>
      <c r="F14315">
        <v>507536</v>
      </c>
      <c r="G14315">
        <v>506371</v>
      </c>
    </row>
    <row r="14316" spans="1:7">
      <c r="A14316" t="s">
        <v>1876</v>
      </c>
      <c r="B14316" t="s">
        <v>391</v>
      </c>
      <c r="C14316" t="s">
        <v>245</v>
      </c>
      <c r="D14316">
        <v>10576913</v>
      </c>
      <c r="E14316">
        <v>10752729</v>
      </c>
      <c r="F14316">
        <v>10832420</v>
      </c>
      <c r="G14316">
        <v>10900217</v>
      </c>
    </row>
    <row r="14317" spans="1:7">
      <c r="A14317" t="s">
        <v>1876</v>
      </c>
      <c r="B14317" t="s">
        <v>391</v>
      </c>
      <c r="C14317" t="s">
        <v>246</v>
      </c>
      <c r="D14317">
        <v>4914786</v>
      </c>
      <c r="E14317">
        <v>5174778</v>
      </c>
      <c r="F14317">
        <v>4713330</v>
      </c>
      <c r="G14317">
        <v>4579017</v>
      </c>
    </row>
    <row r="14318" spans="1:7">
      <c r="A14318" t="s">
        <v>1876</v>
      </c>
      <c r="B14318" t="s">
        <v>391</v>
      </c>
      <c r="C14318" t="s">
        <v>247</v>
      </c>
      <c r="D14318">
        <v>31757785</v>
      </c>
      <c r="E14318">
        <v>33438607</v>
      </c>
      <c r="F14318">
        <v>33737089</v>
      </c>
      <c r="G14318">
        <v>34266016</v>
      </c>
    </row>
    <row r="14319" spans="1:7">
      <c r="A14319" t="s">
        <v>1876</v>
      </c>
      <c r="B14319" t="s">
        <v>391</v>
      </c>
      <c r="C14319" t="s">
        <v>248</v>
      </c>
      <c r="D14319">
        <v>95.6</v>
      </c>
      <c r="E14319">
        <v>100.1</v>
      </c>
      <c r="F14319">
        <v>100.2</v>
      </c>
      <c r="G14319">
        <v>100.8</v>
      </c>
    </row>
    <row r="14320" spans="1:7">
      <c r="A14320" t="s">
        <v>1876</v>
      </c>
      <c r="B14320" t="s">
        <v>391</v>
      </c>
      <c r="C14320" t="s">
        <v>249</v>
      </c>
      <c r="D14320">
        <v>20145915</v>
      </c>
      <c r="E14320">
        <v>20946327</v>
      </c>
      <c r="F14320">
        <v>20365251</v>
      </c>
      <c r="G14320">
        <v>20325704</v>
      </c>
    </row>
    <row r="14321" spans="1:7">
      <c r="A14321" t="s">
        <v>1876</v>
      </c>
      <c r="B14321" t="s">
        <v>391</v>
      </c>
      <c r="C14321" t="s">
        <v>250</v>
      </c>
      <c r="D14321">
        <v>31688203</v>
      </c>
      <c r="E14321">
        <v>33361871</v>
      </c>
      <c r="F14321">
        <v>33646946</v>
      </c>
      <c r="G14321">
        <v>34165378</v>
      </c>
    </row>
    <row r="14322" spans="1:7">
      <c r="A14322" t="s">
        <v>1876</v>
      </c>
      <c r="B14322" t="s">
        <v>391</v>
      </c>
      <c r="C14322" t="s">
        <v>1937</v>
      </c>
      <c r="D14322">
        <v>11.7</v>
      </c>
      <c r="E14322">
        <v>12.9</v>
      </c>
      <c r="F14322">
        <v>12.9</v>
      </c>
      <c r="G14322">
        <v>13.9</v>
      </c>
    </row>
    <row r="14323" spans="1:7">
      <c r="A14323" t="s">
        <v>1876</v>
      </c>
      <c r="B14323" t="s">
        <v>391</v>
      </c>
      <c r="C14323" t="s">
        <v>1938</v>
      </c>
      <c r="D14323">
        <v>92.8</v>
      </c>
      <c r="E14323">
        <v>92.7</v>
      </c>
      <c r="F14323">
        <v>93</v>
      </c>
      <c r="G14323">
        <v>90.8</v>
      </c>
    </row>
    <row r="14324" spans="1:7">
      <c r="A14324" t="s">
        <v>1876</v>
      </c>
      <c r="B14324" t="s">
        <v>391</v>
      </c>
      <c r="C14324" t="s">
        <v>251</v>
      </c>
      <c r="D14324">
        <v>8130913</v>
      </c>
      <c r="E14324">
        <v>8061020</v>
      </c>
      <c r="F14324">
        <v>8098974</v>
      </c>
      <c r="G14324">
        <v>8165019</v>
      </c>
    </row>
    <row r="14325" spans="1:7">
      <c r="A14325" t="s">
        <v>1876</v>
      </c>
      <c r="B14325" t="s">
        <v>391</v>
      </c>
      <c r="C14325" t="s">
        <v>252</v>
      </c>
      <c r="D14325">
        <v>8130913</v>
      </c>
      <c r="E14325">
        <v>8061020</v>
      </c>
      <c r="F14325">
        <v>8098974</v>
      </c>
      <c r="G14325">
        <v>8165019</v>
      </c>
    </row>
    <row r="14326" spans="1:7">
      <c r="A14326" t="s">
        <v>1876</v>
      </c>
      <c r="B14326" t="s">
        <v>391</v>
      </c>
      <c r="C14326" t="s">
        <v>1710</v>
      </c>
      <c r="D14326">
        <v>95546</v>
      </c>
      <c r="E14326">
        <v>94659</v>
      </c>
      <c r="F14326">
        <v>95712</v>
      </c>
      <c r="G14326">
        <v>96820</v>
      </c>
    </row>
    <row r="14327" spans="1:7">
      <c r="A14327" t="s">
        <v>1876</v>
      </c>
      <c r="B14327" t="s">
        <v>391</v>
      </c>
      <c r="C14327" t="s">
        <v>1939</v>
      </c>
      <c r="D14327">
        <v>12.5</v>
      </c>
      <c r="E14327">
        <v>15.6</v>
      </c>
      <c r="F14327">
        <v>17.399999999999999</v>
      </c>
      <c r="G14327">
        <v>19.899999999999999</v>
      </c>
    </row>
    <row r="14328" spans="1:7">
      <c r="A14328" t="s">
        <v>1876</v>
      </c>
      <c r="B14328" t="s">
        <v>391</v>
      </c>
      <c r="C14328" t="s">
        <v>253</v>
      </c>
      <c r="D14328">
        <v>3068421</v>
      </c>
      <c r="E14328">
        <v>2788761</v>
      </c>
      <c r="F14328">
        <v>3030355</v>
      </c>
      <c r="G14328">
        <v>3281639</v>
      </c>
    </row>
    <row r="14329" spans="1:7">
      <c r="A14329" t="s">
        <v>1876</v>
      </c>
      <c r="B14329" t="s">
        <v>391</v>
      </c>
      <c r="C14329" t="s">
        <v>1711</v>
      </c>
      <c r="D14329">
        <v>1888</v>
      </c>
      <c r="E14329">
        <v>1728</v>
      </c>
      <c r="F14329">
        <v>1867</v>
      </c>
      <c r="G14329">
        <v>1678</v>
      </c>
    </row>
    <row r="14330" spans="1:7">
      <c r="A14330" t="s">
        <v>1876</v>
      </c>
      <c r="B14330" t="s">
        <v>391</v>
      </c>
      <c r="C14330" t="s">
        <v>1712</v>
      </c>
      <c r="D14330">
        <v>2359958</v>
      </c>
      <c r="E14330">
        <v>2195620</v>
      </c>
      <c r="F14330">
        <v>2170313</v>
      </c>
      <c r="G14330">
        <v>2138278</v>
      </c>
    </row>
    <row r="14331" spans="1:7">
      <c r="A14331" t="s">
        <v>1876</v>
      </c>
      <c r="B14331" t="s">
        <v>391</v>
      </c>
      <c r="C14331" t="s">
        <v>1713</v>
      </c>
      <c r="D14331">
        <v>256758</v>
      </c>
      <c r="E14331">
        <v>329032</v>
      </c>
      <c r="F14331">
        <v>523561</v>
      </c>
      <c r="G14331">
        <v>642356</v>
      </c>
    </row>
    <row r="14332" spans="1:7">
      <c r="A14332" t="s">
        <v>1876</v>
      </c>
      <c r="B14332" t="s">
        <v>391</v>
      </c>
      <c r="C14332" t="s">
        <v>1940</v>
      </c>
      <c r="D14332">
        <v>1404</v>
      </c>
      <c r="E14332">
        <v>1624</v>
      </c>
      <c r="F14332">
        <v>1896</v>
      </c>
      <c r="G14332">
        <v>2068</v>
      </c>
    </row>
    <row r="14333" spans="1:7">
      <c r="A14333" t="s">
        <v>1876</v>
      </c>
      <c r="B14333" t="s">
        <v>391</v>
      </c>
      <c r="C14333" t="s">
        <v>1941</v>
      </c>
      <c r="D14333">
        <v>657</v>
      </c>
      <c r="E14333">
        <v>561</v>
      </c>
      <c r="F14333">
        <v>880</v>
      </c>
      <c r="G14333">
        <v>625</v>
      </c>
    </row>
    <row r="14334" spans="1:7">
      <c r="A14334" t="s">
        <v>1876</v>
      </c>
      <c r="B14334" t="s">
        <v>391</v>
      </c>
      <c r="C14334" t="s">
        <v>254</v>
      </c>
      <c r="D14334">
        <v>2359958</v>
      </c>
      <c r="E14334">
        <v>2195620</v>
      </c>
      <c r="F14334">
        <v>2170313</v>
      </c>
      <c r="G14334">
        <v>2138278</v>
      </c>
    </row>
    <row r="14335" spans="1:7">
      <c r="A14335" t="s">
        <v>1876</v>
      </c>
      <c r="B14335" t="s">
        <v>391</v>
      </c>
      <c r="C14335" t="s">
        <v>1942</v>
      </c>
      <c r="D14335">
        <v>4540</v>
      </c>
      <c r="E14335">
        <v>5070</v>
      </c>
      <c r="F14335">
        <v>5719</v>
      </c>
      <c r="G14335">
        <v>6392</v>
      </c>
    </row>
    <row r="14336" spans="1:7">
      <c r="A14336" t="s">
        <v>1876</v>
      </c>
      <c r="B14336" t="s">
        <v>391</v>
      </c>
      <c r="C14336" t="s">
        <v>255</v>
      </c>
      <c r="D14336">
        <v>2623317</v>
      </c>
      <c r="E14336">
        <v>2531907</v>
      </c>
      <c r="F14336">
        <v>2702368</v>
      </c>
      <c r="G14336">
        <v>2789719</v>
      </c>
    </row>
    <row r="14337" spans="1:7">
      <c r="A14337" t="s">
        <v>1876</v>
      </c>
      <c r="B14337" t="s">
        <v>391</v>
      </c>
      <c r="C14337" t="s">
        <v>256</v>
      </c>
      <c r="D14337">
        <v>2622661</v>
      </c>
      <c r="E14337">
        <v>2531345</v>
      </c>
      <c r="F14337">
        <v>2701489</v>
      </c>
      <c r="G14337">
        <v>2789094</v>
      </c>
    </row>
    <row r="14338" spans="1:7">
      <c r="A14338" t="s">
        <v>1876</v>
      </c>
      <c r="B14338" t="s">
        <v>391</v>
      </c>
      <c r="C14338" t="s">
        <v>1714</v>
      </c>
      <c r="D14338">
        <v>1565</v>
      </c>
      <c r="E14338">
        <v>1425</v>
      </c>
      <c r="F14338">
        <v>1456</v>
      </c>
      <c r="G14338">
        <v>1416</v>
      </c>
    </row>
    <row r="14339" spans="1:7">
      <c r="A14339" t="s">
        <v>1876</v>
      </c>
      <c r="B14339" t="s">
        <v>391</v>
      </c>
      <c r="C14339" t="s">
        <v>257</v>
      </c>
      <c r="D14339">
        <v>3883593</v>
      </c>
      <c r="E14339">
        <v>3712638</v>
      </c>
      <c r="F14339">
        <v>3665304</v>
      </c>
      <c r="G14339">
        <v>3560295</v>
      </c>
    </row>
    <row r="14340" spans="1:7">
      <c r="A14340" t="s">
        <v>1876</v>
      </c>
      <c r="B14340" t="s">
        <v>391</v>
      </c>
      <c r="C14340" t="s">
        <v>258</v>
      </c>
      <c r="D14340">
        <v>4390822</v>
      </c>
      <c r="E14340">
        <v>4296160</v>
      </c>
      <c r="F14340">
        <v>4389644</v>
      </c>
      <c r="G14340">
        <v>4386820</v>
      </c>
    </row>
    <row r="14341" spans="1:7">
      <c r="A14341" t="s">
        <v>1876</v>
      </c>
      <c r="B14341" t="s">
        <v>391</v>
      </c>
      <c r="C14341" t="s">
        <v>259</v>
      </c>
      <c r="D14341">
        <v>4302225</v>
      </c>
      <c r="E14341">
        <v>4210821</v>
      </c>
      <c r="F14341">
        <v>4330277</v>
      </c>
      <c r="G14341">
        <v>4338735</v>
      </c>
    </row>
    <row r="14342" spans="1:7">
      <c r="A14342" t="s">
        <v>1876</v>
      </c>
      <c r="B14342" t="s">
        <v>391</v>
      </c>
      <c r="C14342" t="s">
        <v>260</v>
      </c>
      <c r="D14342">
        <v>25781232</v>
      </c>
      <c r="E14342">
        <v>26246762</v>
      </c>
      <c r="F14342">
        <v>26643220</v>
      </c>
      <c r="G14342">
        <v>26859287</v>
      </c>
    </row>
    <row r="14343" spans="1:7">
      <c r="A14343" t="s">
        <v>1876</v>
      </c>
      <c r="B14343" t="s">
        <v>391</v>
      </c>
      <c r="C14343" t="s">
        <v>1943</v>
      </c>
      <c r="D14343">
        <v>5.5</v>
      </c>
      <c r="E14343">
        <v>5.4</v>
      </c>
      <c r="F14343">
        <v>4.0999999999999996</v>
      </c>
      <c r="G14343">
        <v>3.9</v>
      </c>
    </row>
    <row r="14344" spans="1:7">
      <c r="A14344" t="s">
        <v>1876</v>
      </c>
      <c r="B14344" t="s">
        <v>391</v>
      </c>
      <c r="C14344" t="s">
        <v>261</v>
      </c>
      <c r="D14344">
        <v>926025</v>
      </c>
      <c r="E14344">
        <v>980044</v>
      </c>
      <c r="F14344">
        <v>901489</v>
      </c>
      <c r="G14344">
        <v>829834</v>
      </c>
    </row>
    <row r="14345" spans="1:7">
      <c r="A14345" t="s">
        <v>1876</v>
      </c>
      <c r="B14345" t="s">
        <v>391</v>
      </c>
      <c r="C14345" t="s">
        <v>262</v>
      </c>
      <c r="D14345">
        <v>205609</v>
      </c>
      <c r="E14345">
        <v>244351</v>
      </c>
      <c r="F14345">
        <v>176333</v>
      </c>
      <c r="G14345">
        <v>166313</v>
      </c>
    </row>
    <row r="14346" spans="1:7">
      <c r="A14346" t="s">
        <v>1876</v>
      </c>
      <c r="B14346" t="s">
        <v>391</v>
      </c>
      <c r="C14346" t="s">
        <v>1715</v>
      </c>
      <c r="D14346">
        <v>28206</v>
      </c>
      <c r="E14346">
        <v>30775</v>
      </c>
      <c r="F14346">
        <v>29441</v>
      </c>
      <c r="G14346">
        <v>28650</v>
      </c>
    </row>
    <row r="14347" spans="1:7">
      <c r="A14347" t="s">
        <v>1876</v>
      </c>
      <c r="B14347" t="s">
        <v>391</v>
      </c>
      <c r="C14347" t="s">
        <v>263</v>
      </c>
      <c r="D14347">
        <v>8898135</v>
      </c>
      <c r="E14347">
        <v>8474231</v>
      </c>
      <c r="F14347">
        <v>8604594</v>
      </c>
      <c r="G14347">
        <v>8748373</v>
      </c>
    </row>
    <row r="14348" spans="1:7">
      <c r="A14348" t="s">
        <v>1876</v>
      </c>
      <c r="B14348" t="s">
        <v>391</v>
      </c>
      <c r="C14348" t="s">
        <v>264</v>
      </c>
      <c r="D14348">
        <v>971763</v>
      </c>
      <c r="E14348">
        <v>996592</v>
      </c>
      <c r="F14348">
        <v>960740</v>
      </c>
      <c r="G14348">
        <v>931203</v>
      </c>
    </row>
    <row r="14349" spans="1:7">
      <c r="A14349" t="s">
        <v>1876</v>
      </c>
      <c r="B14349" t="s">
        <v>391</v>
      </c>
      <c r="C14349" t="s">
        <v>265</v>
      </c>
      <c r="D14349">
        <v>36782765</v>
      </c>
      <c r="E14349">
        <v>36941981</v>
      </c>
      <c r="F14349">
        <v>37286377</v>
      </c>
      <c r="G14349">
        <v>37535011</v>
      </c>
    </row>
    <row r="14350" spans="1:7">
      <c r="A14350" t="s">
        <v>1876</v>
      </c>
      <c r="B14350" t="s">
        <v>391</v>
      </c>
      <c r="C14350" t="s">
        <v>266</v>
      </c>
      <c r="D14350">
        <v>110.8</v>
      </c>
      <c r="E14350">
        <v>110.6</v>
      </c>
      <c r="F14350">
        <v>110.7</v>
      </c>
      <c r="G14350">
        <v>110.4</v>
      </c>
    </row>
    <row r="14351" spans="1:7">
      <c r="A14351" t="s">
        <v>1876</v>
      </c>
      <c r="B14351" t="s">
        <v>391</v>
      </c>
      <c r="C14351" t="s">
        <v>267</v>
      </c>
      <c r="D14351">
        <v>36577155</v>
      </c>
      <c r="E14351">
        <v>36697630</v>
      </c>
      <c r="F14351">
        <v>37110044</v>
      </c>
      <c r="G14351">
        <v>37368697</v>
      </c>
    </row>
    <row r="14352" spans="1:7">
      <c r="A14352" t="s">
        <v>1876</v>
      </c>
      <c r="B14352" t="s">
        <v>391</v>
      </c>
      <c r="C14352" t="s">
        <v>268</v>
      </c>
      <c r="D14352">
        <v>193</v>
      </c>
      <c r="E14352">
        <v>467</v>
      </c>
      <c r="F14352">
        <v>108</v>
      </c>
      <c r="G14352">
        <v>175</v>
      </c>
    </row>
    <row r="14353" spans="1:7">
      <c r="A14353" t="s">
        <v>1876</v>
      </c>
      <c r="B14353" t="s">
        <v>391</v>
      </c>
      <c r="C14353" t="s">
        <v>269</v>
      </c>
      <c r="D14353">
        <v>87940</v>
      </c>
      <c r="E14353">
        <v>84778</v>
      </c>
      <c r="F14353">
        <v>58488</v>
      </c>
      <c r="G14353">
        <v>47460</v>
      </c>
    </row>
    <row r="14354" spans="1:7">
      <c r="A14354" t="s">
        <v>1876</v>
      </c>
      <c r="B14354" t="s">
        <v>391</v>
      </c>
      <c r="C14354" t="s">
        <v>270</v>
      </c>
      <c r="D14354">
        <v>514908</v>
      </c>
      <c r="E14354">
        <v>484775</v>
      </c>
      <c r="F14354">
        <v>510087</v>
      </c>
      <c r="G14354">
        <v>448035</v>
      </c>
    </row>
    <row r="14355" spans="1:7">
      <c r="A14355" t="s">
        <v>1876</v>
      </c>
      <c r="B14355" t="s">
        <v>391</v>
      </c>
      <c r="C14355" t="s">
        <v>271</v>
      </c>
      <c r="D14355">
        <v>603041</v>
      </c>
      <c r="E14355">
        <v>570020</v>
      </c>
      <c r="F14355">
        <v>568683</v>
      </c>
      <c r="G14355">
        <v>495670</v>
      </c>
    </row>
    <row r="14356" spans="1:7">
      <c r="A14356" t="s">
        <v>1876</v>
      </c>
      <c r="B14356" t="s">
        <v>391</v>
      </c>
      <c r="C14356" t="s">
        <v>272</v>
      </c>
      <c r="D14356">
        <v>515101</v>
      </c>
      <c r="E14356">
        <v>485243</v>
      </c>
      <c r="F14356">
        <v>510195</v>
      </c>
      <c r="G14356">
        <v>448210</v>
      </c>
    </row>
    <row r="14357" spans="1:7">
      <c r="A14357" t="s">
        <v>1876</v>
      </c>
      <c r="B14357" t="s">
        <v>391</v>
      </c>
      <c r="C14357" t="s">
        <v>1944</v>
      </c>
      <c r="D14357">
        <v>766.3</v>
      </c>
      <c r="E14357">
        <v>935.6</v>
      </c>
      <c r="F14357">
        <v>1151.2</v>
      </c>
      <c r="G14357">
        <v>1465.6</v>
      </c>
    </row>
    <row r="14358" spans="1:7">
      <c r="A14358" t="s">
        <v>1876</v>
      </c>
      <c r="B14358" t="s">
        <v>391</v>
      </c>
      <c r="C14358" t="s">
        <v>1945</v>
      </c>
      <c r="D14358">
        <v>1243</v>
      </c>
      <c r="E14358">
        <v>1657</v>
      </c>
      <c r="F14358">
        <v>2938</v>
      </c>
      <c r="G14358">
        <v>3510</v>
      </c>
    </row>
    <row r="14359" spans="1:7">
      <c r="A14359" t="s">
        <v>1876</v>
      </c>
      <c r="B14359" t="s">
        <v>391</v>
      </c>
      <c r="C14359" t="s">
        <v>273</v>
      </c>
      <c r="D14359">
        <v>0</v>
      </c>
      <c r="E14359">
        <v>0</v>
      </c>
      <c r="F14359">
        <v>0</v>
      </c>
      <c r="G14359">
        <v>0</v>
      </c>
    </row>
    <row r="14360" spans="1:7">
      <c r="A14360" t="s">
        <v>1876</v>
      </c>
      <c r="B14360" t="s">
        <v>391</v>
      </c>
      <c r="C14360" t="s">
        <v>1946</v>
      </c>
      <c r="D14360">
        <v>24305670</v>
      </c>
      <c r="E14360">
        <v>24698997</v>
      </c>
      <c r="F14360">
        <v>24877583</v>
      </c>
      <c r="G14360">
        <v>24974178</v>
      </c>
    </row>
    <row r="14361" spans="1:7">
      <c r="A14361" t="s">
        <v>1876</v>
      </c>
      <c r="B14361" t="s">
        <v>391</v>
      </c>
      <c r="C14361" t="s">
        <v>1947</v>
      </c>
      <c r="D14361">
        <v>896889</v>
      </c>
      <c r="E14361">
        <v>945668</v>
      </c>
      <c r="F14361">
        <v>870794</v>
      </c>
      <c r="G14361">
        <v>803510</v>
      </c>
    </row>
    <row r="14362" spans="1:7">
      <c r="A14362" t="s">
        <v>1876</v>
      </c>
      <c r="B14362" t="s">
        <v>391</v>
      </c>
      <c r="C14362" t="s">
        <v>1948</v>
      </c>
      <c r="D14362">
        <v>204953</v>
      </c>
      <c r="E14362">
        <v>243790</v>
      </c>
      <c r="F14362">
        <v>175453</v>
      </c>
      <c r="G14362">
        <v>165688</v>
      </c>
    </row>
    <row r="14363" spans="1:7">
      <c r="A14363" t="s">
        <v>1876</v>
      </c>
      <c r="B14363" t="s">
        <v>391</v>
      </c>
      <c r="C14363" t="s">
        <v>1949</v>
      </c>
      <c r="D14363">
        <v>8879314</v>
      </c>
      <c r="E14363">
        <v>8454436</v>
      </c>
      <c r="F14363">
        <v>8584876</v>
      </c>
      <c r="G14363">
        <v>8728950</v>
      </c>
    </row>
    <row r="14364" spans="1:7">
      <c r="A14364" t="s">
        <v>1876</v>
      </c>
      <c r="B14364" t="s">
        <v>391</v>
      </c>
      <c r="C14364" t="s">
        <v>1950</v>
      </c>
      <c r="D14364">
        <v>963860</v>
      </c>
      <c r="E14364">
        <v>987944</v>
      </c>
      <c r="F14364">
        <v>951651</v>
      </c>
      <c r="G14364">
        <v>921358</v>
      </c>
    </row>
    <row r="14365" spans="1:7">
      <c r="A14365" t="s">
        <v>1876</v>
      </c>
      <c r="B14365" t="s">
        <v>391</v>
      </c>
      <c r="C14365" t="s">
        <v>274</v>
      </c>
      <c r="D14365">
        <v>35250685</v>
      </c>
      <c r="E14365">
        <v>35330835</v>
      </c>
      <c r="F14365">
        <v>35460356</v>
      </c>
      <c r="G14365">
        <v>35593684</v>
      </c>
    </row>
    <row r="14366" spans="1:7">
      <c r="A14366" t="s">
        <v>1876</v>
      </c>
      <c r="B14366" t="s">
        <v>391</v>
      </c>
      <c r="C14366" t="s">
        <v>275</v>
      </c>
      <c r="D14366">
        <v>435916</v>
      </c>
      <c r="E14366">
        <v>0</v>
      </c>
      <c r="F14366">
        <v>0</v>
      </c>
      <c r="G14366">
        <v>0</v>
      </c>
    </row>
    <row r="14367" spans="1:7">
      <c r="A14367" t="s">
        <v>1876</v>
      </c>
      <c r="B14367" t="s">
        <v>391</v>
      </c>
      <c r="C14367" t="s">
        <v>276</v>
      </c>
      <c r="D14367">
        <v>435916</v>
      </c>
      <c r="E14367">
        <v>0</v>
      </c>
      <c r="F14367">
        <v>0</v>
      </c>
      <c r="G14367">
        <v>0</v>
      </c>
    </row>
    <row r="14368" spans="1:7">
      <c r="A14368" t="s">
        <v>1876</v>
      </c>
      <c r="B14368" t="s">
        <v>391</v>
      </c>
      <c r="C14368" t="s">
        <v>277</v>
      </c>
      <c r="D14368">
        <v>9762</v>
      </c>
      <c r="E14368">
        <v>11141</v>
      </c>
      <c r="F14368">
        <v>11729</v>
      </c>
      <c r="G14368">
        <v>11195</v>
      </c>
    </row>
    <row r="14369" spans="1:7">
      <c r="A14369" t="s">
        <v>1876</v>
      </c>
      <c r="B14369" t="s">
        <v>391</v>
      </c>
      <c r="C14369" t="s">
        <v>278</v>
      </c>
      <c r="D14369">
        <v>216971</v>
      </c>
      <c r="E14369">
        <v>201636</v>
      </c>
      <c r="F14369">
        <v>184120</v>
      </c>
      <c r="G14369">
        <v>184164</v>
      </c>
    </row>
    <row r="14370" spans="1:7">
      <c r="A14370" t="s">
        <v>1876</v>
      </c>
      <c r="B14370" t="s">
        <v>391</v>
      </c>
      <c r="C14370" t="s">
        <v>279</v>
      </c>
      <c r="D14370">
        <v>450992</v>
      </c>
      <c r="E14370">
        <v>451546</v>
      </c>
      <c r="F14370">
        <v>425029</v>
      </c>
      <c r="G14370">
        <v>458322</v>
      </c>
    </row>
    <row r="14371" spans="1:7">
      <c r="A14371" t="s">
        <v>1876</v>
      </c>
      <c r="B14371" t="s">
        <v>391</v>
      </c>
      <c r="C14371" t="s">
        <v>280</v>
      </c>
      <c r="D14371">
        <v>484131</v>
      </c>
      <c r="E14371">
        <v>504305</v>
      </c>
      <c r="F14371">
        <v>472475</v>
      </c>
      <c r="G14371">
        <v>459786</v>
      </c>
    </row>
    <row r="14372" spans="1:7">
      <c r="A14372" t="s">
        <v>1876</v>
      </c>
      <c r="B14372" t="s">
        <v>391</v>
      </c>
      <c r="C14372" t="s">
        <v>281</v>
      </c>
      <c r="D14372">
        <v>1161856</v>
      </c>
      <c r="E14372">
        <v>1168628</v>
      </c>
      <c r="F14372">
        <v>1093352</v>
      </c>
      <c r="G14372">
        <v>1113467</v>
      </c>
    </row>
    <row r="14373" spans="1:7">
      <c r="A14373" t="s">
        <v>1876</v>
      </c>
      <c r="B14373" t="s">
        <v>391</v>
      </c>
      <c r="C14373" t="s">
        <v>282</v>
      </c>
      <c r="D14373">
        <v>1161856</v>
      </c>
      <c r="E14373">
        <v>1168628</v>
      </c>
      <c r="F14373">
        <v>1093352</v>
      </c>
      <c r="G14373">
        <v>1113467</v>
      </c>
    </row>
    <row r="14374" spans="1:7">
      <c r="A14374" t="s">
        <v>1876</v>
      </c>
      <c r="B14374" t="s">
        <v>391</v>
      </c>
      <c r="C14374" t="s">
        <v>283</v>
      </c>
      <c r="D14374">
        <v>427441</v>
      </c>
      <c r="E14374">
        <v>386495</v>
      </c>
      <c r="F14374">
        <v>373909</v>
      </c>
      <c r="G14374">
        <v>388301</v>
      </c>
    </row>
    <row r="14375" spans="1:7">
      <c r="A14375" t="s">
        <v>1876</v>
      </c>
      <c r="B14375" t="s">
        <v>391</v>
      </c>
      <c r="C14375" t="s">
        <v>284</v>
      </c>
      <c r="D14375">
        <v>427441</v>
      </c>
      <c r="E14375">
        <v>386495</v>
      </c>
      <c r="F14375">
        <v>373909</v>
      </c>
      <c r="G14375">
        <v>388301</v>
      </c>
    </row>
    <row r="14376" spans="1:7">
      <c r="A14376" t="s">
        <v>1876</v>
      </c>
      <c r="B14376" t="s">
        <v>391</v>
      </c>
      <c r="C14376" t="s">
        <v>1716</v>
      </c>
      <c r="D14376">
        <v>1484825</v>
      </c>
      <c r="E14376">
        <v>1561002</v>
      </c>
      <c r="F14376">
        <v>1779060</v>
      </c>
      <c r="G14376">
        <v>1895331</v>
      </c>
    </row>
    <row r="14377" spans="1:7">
      <c r="A14377" t="s">
        <v>1876</v>
      </c>
      <c r="B14377" t="s">
        <v>391</v>
      </c>
      <c r="C14377" t="s">
        <v>1717</v>
      </c>
      <c r="D14377">
        <v>215873</v>
      </c>
      <c r="E14377">
        <v>266355</v>
      </c>
      <c r="F14377">
        <v>265560</v>
      </c>
      <c r="G14377">
        <v>267187</v>
      </c>
    </row>
    <row r="14378" spans="1:7">
      <c r="A14378" t="s">
        <v>1876</v>
      </c>
      <c r="B14378" t="s">
        <v>391</v>
      </c>
      <c r="C14378" t="s">
        <v>1718</v>
      </c>
      <c r="D14378">
        <v>3015260</v>
      </c>
      <c r="E14378">
        <v>3262625</v>
      </c>
      <c r="F14378">
        <v>3227917</v>
      </c>
      <c r="G14378">
        <v>3485032</v>
      </c>
    </row>
    <row r="14379" spans="1:7">
      <c r="A14379" t="s">
        <v>1876</v>
      </c>
      <c r="B14379" t="s">
        <v>391</v>
      </c>
      <c r="C14379" t="s">
        <v>1719</v>
      </c>
      <c r="D14379">
        <v>289202</v>
      </c>
      <c r="E14379">
        <v>309112</v>
      </c>
      <c r="F14379">
        <v>333960</v>
      </c>
      <c r="G14379">
        <v>369554</v>
      </c>
    </row>
    <row r="14380" spans="1:7">
      <c r="A14380" t="s">
        <v>1876</v>
      </c>
      <c r="B14380" t="s">
        <v>391</v>
      </c>
      <c r="C14380" t="s">
        <v>1720</v>
      </c>
      <c r="D14380">
        <v>2357076</v>
      </c>
      <c r="E14380">
        <v>2426269</v>
      </c>
      <c r="F14380">
        <v>2357080</v>
      </c>
      <c r="G14380">
        <v>2383197</v>
      </c>
    </row>
    <row r="14381" spans="1:7">
      <c r="A14381" t="s">
        <v>1876</v>
      </c>
      <c r="B14381" t="s">
        <v>391</v>
      </c>
      <c r="C14381" t="s">
        <v>1721</v>
      </c>
      <c r="D14381">
        <v>571576</v>
      </c>
      <c r="E14381">
        <v>696843</v>
      </c>
      <c r="F14381">
        <v>662098</v>
      </c>
      <c r="G14381">
        <v>667856</v>
      </c>
    </row>
    <row r="14382" spans="1:7">
      <c r="A14382" t="s">
        <v>1876</v>
      </c>
      <c r="B14382" t="s">
        <v>391</v>
      </c>
      <c r="C14382" t="s">
        <v>285</v>
      </c>
      <c r="D14382">
        <v>7644610</v>
      </c>
      <c r="E14382">
        <v>8213095</v>
      </c>
      <c r="F14382">
        <v>8291715</v>
      </c>
      <c r="G14382">
        <v>8698602</v>
      </c>
    </row>
    <row r="14383" spans="1:7">
      <c r="A14383" t="s">
        <v>1876</v>
      </c>
      <c r="B14383" t="s">
        <v>391</v>
      </c>
      <c r="C14383" t="s">
        <v>1951</v>
      </c>
      <c r="D14383">
        <v>8.1999999999999993</v>
      </c>
      <c r="E14383">
        <v>8.6999999999999993</v>
      </c>
      <c r="F14383">
        <v>8.8000000000000007</v>
      </c>
      <c r="G14383">
        <v>9.1999999999999993</v>
      </c>
    </row>
    <row r="14384" spans="1:7">
      <c r="A14384" t="s">
        <v>1876</v>
      </c>
      <c r="B14384" t="s">
        <v>391</v>
      </c>
      <c r="C14384" t="s">
        <v>286</v>
      </c>
      <c r="D14384">
        <v>614858</v>
      </c>
      <c r="E14384">
        <v>630056</v>
      </c>
      <c r="F14384">
        <v>523011</v>
      </c>
      <c r="G14384">
        <v>566145</v>
      </c>
    </row>
    <row r="14385" spans="1:7">
      <c r="A14385" t="s">
        <v>1876</v>
      </c>
      <c r="B14385" t="s">
        <v>391</v>
      </c>
      <c r="C14385" t="s">
        <v>287</v>
      </c>
      <c r="D14385">
        <v>3163</v>
      </c>
      <c r="E14385">
        <v>3242</v>
      </c>
      <c r="F14385">
        <v>2691</v>
      </c>
      <c r="G14385">
        <v>2913</v>
      </c>
    </row>
    <row r="14386" spans="1:7">
      <c r="A14386" t="s">
        <v>1876</v>
      </c>
      <c r="B14386" t="s">
        <v>391</v>
      </c>
      <c r="C14386" t="s">
        <v>288</v>
      </c>
      <c r="D14386">
        <v>57303</v>
      </c>
      <c r="E14386">
        <v>75636</v>
      </c>
      <c r="F14386">
        <v>64140</v>
      </c>
      <c r="G14386">
        <v>62344</v>
      </c>
    </row>
    <row r="14387" spans="1:7">
      <c r="A14387" t="s">
        <v>1876</v>
      </c>
      <c r="B14387" t="s">
        <v>391</v>
      </c>
      <c r="C14387" t="s">
        <v>289</v>
      </c>
      <c r="D14387">
        <v>45838</v>
      </c>
      <c r="E14387">
        <v>46971</v>
      </c>
      <c r="F14387">
        <v>38991</v>
      </c>
      <c r="G14387">
        <v>42207</v>
      </c>
    </row>
    <row r="14388" spans="1:7">
      <c r="A14388" t="s">
        <v>1876</v>
      </c>
      <c r="B14388" t="s">
        <v>391</v>
      </c>
      <c r="C14388" t="s">
        <v>290</v>
      </c>
      <c r="D14388">
        <v>721163</v>
      </c>
      <c r="E14388">
        <v>755905</v>
      </c>
      <c r="F14388">
        <v>628832</v>
      </c>
      <c r="G14388">
        <v>673608</v>
      </c>
    </row>
    <row r="14389" spans="1:7">
      <c r="A14389" t="s">
        <v>1876</v>
      </c>
      <c r="B14389" t="s">
        <v>391</v>
      </c>
      <c r="C14389" t="s">
        <v>291</v>
      </c>
      <c r="D14389">
        <v>663860</v>
      </c>
      <c r="E14389">
        <v>680269</v>
      </c>
      <c r="F14389">
        <v>564692</v>
      </c>
      <c r="G14389">
        <v>611264</v>
      </c>
    </row>
    <row r="14390" spans="1:7">
      <c r="A14390" t="s">
        <v>1876</v>
      </c>
      <c r="B14390" t="s">
        <v>391</v>
      </c>
      <c r="C14390" t="s">
        <v>292</v>
      </c>
      <c r="D14390">
        <v>11829</v>
      </c>
      <c r="E14390">
        <v>13270</v>
      </c>
      <c r="F14390">
        <v>13110</v>
      </c>
      <c r="G14390">
        <v>14096</v>
      </c>
    </row>
    <row r="14391" spans="1:7">
      <c r="A14391" t="s">
        <v>1876</v>
      </c>
      <c r="B14391" t="s">
        <v>391</v>
      </c>
      <c r="C14391" t="s">
        <v>293</v>
      </c>
      <c r="D14391">
        <v>11606</v>
      </c>
      <c r="E14391">
        <v>14788</v>
      </c>
      <c r="F14391">
        <v>26304</v>
      </c>
      <c r="G14391">
        <v>29828</v>
      </c>
    </row>
    <row r="14392" spans="1:7">
      <c r="A14392" t="s">
        <v>1876</v>
      </c>
      <c r="B14392" t="s">
        <v>391</v>
      </c>
      <c r="C14392" t="s">
        <v>294</v>
      </c>
      <c r="D14392">
        <v>31394</v>
      </c>
      <c r="E14392">
        <v>31975</v>
      </c>
      <c r="F14392">
        <v>34884</v>
      </c>
      <c r="G14392">
        <v>39788</v>
      </c>
    </row>
    <row r="14393" spans="1:7">
      <c r="A14393" t="s">
        <v>1876</v>
      </c>
      <c r="B14393" t="s">
        <v>391</v>
      </c>
      <c r="C14393" t="s">
        <v>295</v>
      </c>
      <c r="D14393">
        <v>14752</v>
      </c>
      <c r="E14393">
        <v>16704</v>
      </c>
      <c r="F14393">
        <v>15845</v>
      </c>
      <c r="G14393">
        <v>16925</v>
      </c>
    </row>
    <row r="14394" spans="1:7">
      <c r="A14394" t="s">
        <v>1876</v>
      </c>
      <c r="B14394" t="s">
        <v>391</v>
      </c>
      <c r="C14394" t="s">
        <v>296</v>
      </c>
      <c r="D14394">
        <v>69582</v>
      </c>
      <c r="E14394">
        <v>76736</v>
      </c>
      <c r="F14394">
        <v>90143</v>
      </c>
      <c r="G14394">
        <v>100638</v>
      </c>
    </row>
    <row r="14395" spans="1:7">
      <c r="A14395" t="s">
        <v>1876</v>
      </c>
      <c r="B14395" t="s">
        <v>391</v>
      </c>
      <c r="C14395" t="s">
        <v>297</v>
      </c>
      <c r="D14395">
        <v>1476232</v>
      </c>
      <c r="E14395">
        <v>1517449</v>
      </c>
      <c r="F14395">
        <v>1505020</v>
      </c>
      <c r="G14395">
        <v>1468863</v>
      </c>
    </row>
    <row r="14396" spans="1:7">
      <c r="A14396" t="s">
        <v>1876</v>
      </c>
      <c r="B14396" t="s">
        <v>391</v>
      </c>
      <c r="C14396" t="s">
        <v>1952</v>
      </c>
      <c r="D14396">
        <v>20.5</v>
      </c>
      <c r="E14396">
        <v>23.1</v>
      </c>
      <c r="F14396">
        <v>22.1</v>
      </c>
      <c r="G14396">
        <v>25</v>
      </c>
    </row>
    <row r="14397" spans="1:7">
      <c r="A14397" t="s">
        <v>1876</v>
      </c>
      <c r="B14397" t="s">
        <v>391</v>
      </c>
      <c r="C14397" t="s">
        <v>298</v>
      </c>
      <c r="D14397">
        <v>81229</v>
      </c>
      <c r="E14397">
        <v>89153</v>
      </c>
      <c r="F14397">
        <v>89242</v>
      </c>
      <c r="G14397">
        <v>78043</v>
      </c>
    </row>
    <row r="14398" spans="1:7">
      <c r="A14398" t="s">
        <v>1876</v>
      </c>
      <c r="B14398" t="s">
        <v>391</v>
      </c>
      <c r="C14398" t="s">
        <v>299</v>
      </c>
      <c r="D14398">
        <v>53645</v>
      </c>
      <c r="E14398">
        <v>62756</v>
      </c>
      <c r="F14398">
        <v>69489</v>
      </c>
      <c r="G14398">
        <v>75809</v>
      </c>
    </row>
    <row r="14399" spans="1:7">
      <c r="A14399" t="s">
        <v>1876</v>
      </c>
      <c r="B14399" t="s">
        <v>391</v>
      </c>
      <c r="C14399" t="s">
        <v>300</v>
      </c>
      <c r="D14399">
        <v>390754</v>
      </c>
      <c r="E14399">
        <v>487394</v>
      </c>
      <c r="F14399">
        <v>561580</v>
      </c>
      <c r="G14399">
        <v>746281</v>
      </c>
    </row>
    <row r="14400" spans="1:7">
      <c r="A14400" t="s">
        <v>1876</v>
      </c>
      <c r="B14400" t="s">
        <v>391</v>
      </c>
      <c r="C14400" t="s">
        <v>1722</v>
      </c>
      <c r="D14400">
        <v>61550</v>
      </c>
      <c r="E14400">
        <v>72866</v>
      </c>
      <c r="F14400">
        <v>92008</v>
      </c>
      <c r="G14400">
        <v>123452</v>
      </c>
    </row>
    <row r="14401" spans="1:7">
      <c r="A14401" t="s">
        <v>1876</v>
      </c>
      <c r="B14401" t="s">
        <v>391</v>
      </c>
      <c r="C14401" t="s">
        <v>301</v>
      </c>
      <c r="D14401">
        <v>13629</v>
      </c>
      <c r="E14401">
        <v>14754</v>
      </c>
      <c r="F14401">
        <v>16063</v>
      </c>
      <c r="G14401">
        <v>17964</v>
      </c>
    </row>
    <row r="14402" spans="1:7">
      <c r="A14402" t="s">
        <v>1876</v>
      </c>
      <c r="B14402" t="s">
        <v>391</v>
      </c>
      <c r="C14402" t="s">
        <v>302</v>
      </c>
      <c r="D14402">
        <v>167278</v>
      </c>
      <c r="E14402">
        <v>199092</v>
      </c>
      <c r="F14402">
        <v>231282</v>
      </c>
      <c r="G14402">
        <v>260193</v>
      </c>
    </row>
    <row r="14403" spans="1:7">
      <c r="A14403" t="s">
        <v>1876</v>
      </c>
      <c r="B14403" t="s">
        <v>391</v>
      </c>
      <c r="C14403" t="s">
        <v>303</v>
      </c>
      <c r="D14403">
        <v>625305</v>
      </c>
      <c r="E14403">
        <v>763995</v>
      </c>
      <c r="F14403">
        <v>878414</v>
      </c>
      <c r="G14403">
        <v>1100246</v>
      </c>
    </row>
    <row r="14404" spans="1:7">
      <c r="A14404" t="s">
        <v>1876</v>
      </c>
      <c r="B14404" t="s">
        <v>391</v>
      </c>
      <c r="C14404" t="s">
        <v>304</v>
      </c>
      <c r="D14404">
        <v>234552</v>
      </c>
      <c r="E14404">
        <v>276602</v>
      </c>
      <c r="F14404">
        <v>316834</v>
      </c>
      <c r="G14404">
        <v>353966</v>
      </c>
    </row>
    <row r="14405" spans="1:7">
      <c r="A14405" t="s">
        <v>1876</v>
      </c>
      <c r="B14405" t="s">
        <v>391</v>
      </c>
      <c r="C14405" t="s">
        <v>1953</v>
      </c>
      <c r="D14405">
        <v>24.4</v>
      </c>
      <c r="E14405">
        <v>24.4</v>
      </c>
      <c r="F14405">
        <v>23.2</v>
      </c>
      <c r="G14405">
        <v>23.2</v>
      </c>
    </row>
    <row r="14406" spans="1:7">
      <c r="A14406" t="s">
        <v>1876</v>
      </c>
      <c r="B14406" t="s">
        <v>391</v>
      </c>
      <c r="C14406" t="s">
        <v>305</v>
      </c>
      <c r="D14406">
        <v>27063003</v>
      </c>
      <c r="E14406">
        <v>27663288</v>
      </c>
      <c r="F14406">
        <v>28051412</v>
      </c>
      <c r="G14406">
        <v>28305193</v>
      </c>
    </row>
    <row r="14407" spans="1:7">
      <c r="A14407" t="s">
        <v>1876</v>
      </c>
      <c r="B14407" t="s">
        <v>391</v>
      </c>
      <c r="C14407" t="s">
        <v>306</v>
      </c>
      <c r="D14407">
        <v>81.5</v>
      </c>
      <c r="E14407">
        <v>82.8</v>
      </c>
      <c r="F14407">
        <v>83.3</v>
      </c>
      <c r="G14407">
        <v>83.2</v>
      </c>
    </row>
    <row r="14408" spans="1:7">
      <c r="A14408" t="s">
        <v>1876</v>
      </c>
      <c r="B14408" t="s">
        <v>391</v>
      </c>
      <c r="C14408" t="s">
        <v>307</v>
      </c>
      <c r="D14408">
        <v>15867535</v>
      </c>
      <c r="E14408">
        <v>16543459</v>
      </c>
      <c r="F14408">
        <v>16246567</v>
      </c>
      <c r="G14408">
        <v>16448014</v>
      </c>
    </row>
    <row r="14409" spans="1:7">
      <c r="A14409" t="s">
        <v>1876</v>
      </c>
      <c r="B14409" t="s">
        <v>391</v>
      </c>
      <c r="C14409" t="s">
        <v>308</v>
      </c>
      <c r="D14409">
        <v>47.8</v>
      </c>
      <c r="E14409">
        <v>49.5</v>
      </c>
      <c r="F14409">
        <v>48.2</v>
      </c>
      <c r="G14409">
        <v>48.4</v>
      </c>
    </row>
    <row r="14410" spans="1:7">
      <c r="A14410" t="s">
        <v>1876</v>
      </c>
      <c r="B14410" t="s">
        <v>391</v>
      </c>
      <c r="C14410" t="s">
        <v>309</v>
      </c>
      <c r="D14410">
        <v>32583792</v>
      </c>
      <c r="E14410">
        <v>33071787</v>
      </c>
      <c r="F14410">
        <v>32160501</v>
      </c>
      <c r="G14410">
        <v>32788295</v>
      </c>
    </row>
    <row r="14411" spans="1:7">
      <c r="A14411" t="s">
        <v>1876</v>
      </c>
      <c r="B14411" t="s">
        <v>391</v>
      </c>
      <c r="C14411" t="s">
        <v>310</v>
      </c>
      <c r="D14411">
        <v>31376391</v>
      </c>
      <c r="E14411">
        <v>31147159</v>
      </c>
      <c r="F14411">
        <v>31020145</v>
      </c>
      <c r="G14411">
        <v>31356630</v>
      </c>
    </row>
    <row r="14412" spans="1:7">
      <c r="A14412" t="s">
        <v>1876</v>
      </c>
      <c r="B14412" t="s">
        <v>391</v>
      </c>
      <c r="C14412" t="s">
        <v>311</v>
      </c>
      <c r="D14412">
        <v>94.5</v>
      </c>
      <c r="E14412">
        <v>93.3</v>
      </c>
      <c r="F14412">
        <v>92.1</v>
      </c>
      <c r="G14412">
        <v>92.2</v>
      </c>
    </row>
    <row r="14413" spans="1:7">
      <c r="A14413" t="s">
        <v>1876</v>
      </c>
      <c r="B14413" t="s">
        <v>391</v>
      </c>
      <c r="C14413" t="s">
        <v>312</v>
      </c>
      <c r="D14413">
        <v>19033215</v>
      </c>
      <c r="E14413">
        <v>19570724</v>
      </c>
      <c r="F14413">
        <v>18369074</v>
      </c>
      <c r="G14413">
        <v>18424026</v>
      </c>
    </row>
    <row r="14414" spans="1:7">
      <c r="A14414" t="s">
        <v>1876</v>
      </c>
      <c r="B14414" t="s">
        <v>391</v>
      </c>
      <c r="C14414" t="s">
        <v>313</v>
      </c>
      <c r="D14414">
        <v>57.3</v>
      </c>
      <c r="E14414">
        <v>58.6</v>
      </c>
      <c r="F14414">
        <v>54.5</v>
      </c>
      <c r="G14414">
        <v>54.2</v>
      </c>
    </row>
    <row r="14415" spans="1:7">
      <c r="A14415" t="s">
        <v>1876</v>
      </c>
      <c r="B14415" t="s">
        <v>391</v>
      </c>
      <c r="C14415" t="s">
        <v>314</v>
      </c>
      <c r="D14415">
        <v>93348743</v>
      </c>
      <c r="E14415">
        <v>94937305</v>
      </c>
      <c r="F14415">
        <v>93699729</v>
      </c>
      <c r="G14415">
        <v>94543438</v>
      </c>
    </row>
    <row r="14416" spans="1:7">
      <c r="A14416" t="s">
        <v>1876</v>
      </c>
      <c r="B14416" t="s">
        <v>391</v>
      </c>
      <c r="C14416" t="s">
        <v>315</v>
      </c>
      <c r="D14416">
        <v>4.34</v>
      </c>
      <c r="E14416">
        <v>4.3</v>
      </c>
      <c r="F14416">
        <v>4.12</v>
      </c>
      <c r="G14416">
        <v>4.05</v>
      </c>
    </row>
    <row r="14417" spans="1:7">
      <c r="A14417" t="s">
        <v>1876</v>
      </c>
      <c r="B14417" t="s">
        <v>391</v>
      </c>
      <c r="C14417" t="s">
        <v>316</v>
      </c>
      <c r="D14417">
        <v>281.10000000000002</v>
      </c>
      <c r="E14417">
        <v>284.2</v>
      </c>
      <c r="F14417">
        <v>278.2</v>
      </c>
      <c r="G14417">
        <v>278.10000000000002</v>
      </c>
    </row>
    <row r="14418" spans="1:7">
      <c r="A14418" t="s">
        <v>1876</v>
      </c>
      <c r="B14418" t="s">
        <v>391</v>
      </c>
      <c r="C14418" t="s">
        <v>317</v>
      </c>
      <c r="D14418">
        <v>93340143</v>
      </c>
      <c r="E14418">
        <v>94924631</v>
      </c>
      <c r="F14418">
        <v>93687199</v>
      </c>
      <c r="G14418">
        <v>94533863</v>
      </c>
    </row>
    <row r="14419" spans="1:7">
      <c r="A14419" t="s">
        <v>1876</v>
      </c>
      <c r="B14419" t="s">
        <v>391</v>
      </c>
      <c r="C14419" t="s">
        <v>318</v>
      </c>
      <c r="D14419">
        <v>27032096</v>
      </c>
      <c r="E14419">
        <v>27632019</v>
      </c>
      <c r="F14419">
        <v>28018609</v>
      </c>
      <c r="G14419">
        <v>28271686</v>
      </c>
    </row>
    <row r="14420" spans="1:7">
      <c r="A14420" t="s">
        <v>1876</v>
      </c>
      <c r="B14420" t="s">
        <v>391</v>
      </c>
      <c r="C14420" t="s">
        <v>319</v>
      </c>
      <c r="D14420">
        <v>9073180</v>
      </c>
      <c r="E14420">
        <v>9615003</v>
      </c>
      <c r="F14420">
        <v>9406711</v>
      </c>
      <c r="G14420">
        <v>9475907</v>
      </c>
    </row>
    <row r="14421" spans="1:7">
      <c r="A14421" t="s">
        <v>1876</v>
      </c>
      <c r="B14421" t="s">
        <v>391</v>
      </c>
      <c r="C14421" t="s">
        <v>320</v>
      </c>
      <c r="D14421">
        <v>26183947</v>
      </c>
      <c r="E14421">
        <v>26012957</v>
      </c>
      <c r="F14421">
        <v>26061610</v>
      </c>
      <c r="G14421">
        <v>26351107</v>
      </c>
    </row>
    <row r="14422" spans="1:7">
      <c r="A14422" t="s">
        <v>1876</v>
      </c>
      <c r="B14422" t="s">
        <v>391</v>
      </c>
      <c r="C14422" t="s">
        <v>321</v>
      </c>
      <c r="D14422">
        <v>11452771</v>
      </c>
      <c r="E14422">
        <v>11992366</v>
      </c>
      <c r="F14422">
        <v>11258721</v>
      </c>
      <c r="G14422">
        <v>11210870</v>
      </c>
    </row>
    <row r="14423" spans="1:7">
      <c r="A14423" t="s">
        <v>1876</v>
      </c>
      <c r="B14423" t="s">
        <v>391</v>
      </c>
      <c r="C14423" t="s">
        <v>1954</v>
      </c>
      <c r="D14423">
        <v>73741994</v>
      </c>
      <c r="E14423">
        <v>75252345</v>
      </c>
      <c r="F14423">
        <v>74745650</v>
      </c>
      <c r="G14423">
        <v>75309571</v>
      </c>
    </row>
    <row r="14424" spans="1:7">
      <c r="A14424" t="s">
        <v>1876</v>
      </c>
      <c r="B14424" t="s">
        <v>391</v>
      </c>
      <c r="C14424" t="s">
        <v>323</v>
      </c>
      <c r="D14424">
        <v>332100</v>
      </c>
      <c r="E14424">
        <v>333996</v>
      </c>
      <c r="F14424">
        <v>336755</v>
      </c>
      <c r="G14424">
        <v>340004</v>
      </c>
    </row>
    <row r="14425" spans="1:7">
      <c r="A14425" t="s">
        <v>1876</v>
      </c>
      <c r="B14425" t="s">
        <v>391</v>
      </c>
      <c r="C14425" t="s">
        <v>324</v>
      </c>
      <c r="D14425">
        <v>49023</v>
      </c>
      <c r="E14425">
        <v>0</v>
      </c>
      <c r="F14425">
        <v>0</v>
      </c>
      <c r="G14425">
        <v>0</v>
      </c>
    </row>
    <row r="14426" spans="1:7">
      <c r="A14426" t="s">
        <v>1876</v>
      </c>
      <c r="B14426" t="s">
        <v>391</v>
      </c>
      <c r="C14426" t="s">
        <v>325</v>
      </c>
      <c r="D14426">
        <v>0</v>
      </c>
      <c r="E14426">
        <v>0</v>
      </c>
      <c r="F14426">
        <v>0</v>
      </c>
      <c r="G14426">
        <v>0</v>
      </c>
    </row>
    <row r="14427" spans="1:7">
      <c r="A14427" t="s">
        <v>1876</v>
      </c>
      <c r="B14427" t="s">
        <v>391</v>
      </c>
      <c r="C14427" t="s">
        <v>326</v>
      </c>
      <c r="D14427">
        <v>72635</v>
      </c>
      <c r="E14427">
        <v>72975</v>
      </c>
      <c r="F14427">
        <v>71753</v>
      </c>
      <c r="G14427">
        <v>71682</v>
      </c>
    </row>
    <row r="14428" spans="1:7">
      <c r="A14428" t="s">
        <v>1876</v>
      </c>
      <c r="B14428" t="s">
        <v>391</v>
      </c>
      <c r="C14428" t="s">
        <v>327</v>
      </c>
      <c r="D14428">
        <v>196746</v>
      </c>
      <c r="E14428">
        <v>197691</v>
      </c>
      <c r="F14428">
        <v>174072</v>
      </c>
      <c r="G14428">
        <v>161737</v>
      </c>
    </row>
    <row r="14429" spans="1:7">
      <c r="A14429" t="s">
        <v>1876</v>
      </c>
      <c r="B14429" t="s">
        <v>391</v>
      </c>
      <c r="C14429" t="s">
        <v>1723</v>
      </c>
      <c r="D14429">
        <v>7923</v>
      </c>
      <c r="E14429">
        <v>7805</v>
      </c>
      <c r="F14429">
        <v>7693</v>
      </c>
      <c r="G14429">
        <v>7415</v>
      </c>
    </row>
    <row r="14430" spans="1:7">
      <c r="A14430" t="s">
        <v>1876</v>
      </c>
      <c r="B14430" t="s">
        <v>391</v>
      </c>
      <c r="C14430" t="s">
        <v>328</v>
      </c>
      <c r="D14430">
        <v>1365859</v>
      </c>
      <c r="E14430">
        <v>1415000</v>
      </c>
      <c r="F14430">
        <v>1341095</v>
      </c>
      <c r="G14430">
        <v>1328239</v>
      </c>
    </row>
    <row r="14431" spans="1:7">
      <c r="A14431" t="s">
        <v>1876</v>
      </c>
      <c r="B14431" t="s">
        <v>391</v>
      </c>
      <c r="C14431" t="s">
        <v>329</v>
      </c>
      <c r="D14431">
        <v>356795</v>
      </c>
      <c r="E14431">
        <v>449504</v>
      </c>
      <c r="F14431">
        <v>382127</v>
      </c>
      <c r="G14431">
        <v>358217</v>
      </c>
    </row>
    <row r="14432" spans="1:7">
      <c r="A14432" t="s">
        <v>1876</v>
      </c>
      <c r="B14432" t="s">
        <v>391</v>
      </c>
      <c r="C14432" t="s">
        <v>330</v>
      </c>
      <c r="D14432">
        <v>1992034</v>
      </c>
      <c r="E14432">
        <v>2135170</v>
      </c>
      <c r="F14432">
        <v>1969046</v>
      </c>
      <c r="G14432">
        <v>1919875</v>
      </c>
    </row>
    <row r="14433" spans="1:7">
      <c r="A14433" t="s">
        <v>1876</v>
      </c>
      <c r="B14433" t="s">
        <v>391</v>
      </c>
      <c r="C14433" t="s">
        <v>331</v>
      </c>
      <c r="D14433">
        <v>39306</v>
      </c>
      <c r="E14433">
        <v>75059</v>
      </c>
      <c r="F14433">
        <v>72479</v>
      </c>
      <c r="G14433">
        <v>72158</v>
      </c>
    </row>
    <row r="14434" spans="1:7">
      <c r="A14434" t="s">
        <v>1876</v>
      </c>
      <c r="B14434" t="s">
        <v>391</v>
      </c>
      <c r="C14434" t="s">
        <v>332</v>
      </c>
      <c r="D14434">
        <v>229465</v>
      </c>
      <c r="E14434">
        <v>176490</v>
      </c>
      <c r="F14434">
        <v>168242</v>
      </c>
      <c r="G14434">
        <v>158404</v>
      </c>
    </row>
    <row r="14435" spans="1:7">
      <c r="A14435" t="s">
        <v>1876</v>
      </c>
      <c r="B14435" t="s">
        <v>391</v>
      </c>
      <c r="C14435" t="s">
        <v>1724</v>
      </c>
      <c r="D14435">
        <v>4469</v>
      </c>
      <c r="E14435">
        <v>4322</v>
      </c>
      <c r="F14435">
        <v>4133</v>
      </c>
      <c r="G14435">
        <v>3997</v>
      </c>
    </row>
    <row r="14436" spans="1:7">
      <c r="A14436" t="s">
        <v>1876</v>
      </c>
      <c r="B14436" t="s">
        <v>391</v>
      </c>
      <c r="C14436" t="s">
        <v>333</v>
      </c>
      <c r="D14436">
        <v>161496</v>
      </c>
      <c r="E14436">
        <v>160780</v>
      </c>
      <c r="F14436">
        <v>153451</v>
      </c>
      <c r="G14436">
        <v>156324</v>
      </c>
    </row>
    <row r="14437" spans="1:7">
      <c r="A14437" t="s">
        <v>1876</v>
      </c>
      <c r="B14437" t="s">
        <v>391</v>
      </c>
      <c r="C14437" t="s">
        <v>334</v>
      </c>
      <c r="D14437">
        <v>430267</v>
      </c>
      <c r="E14437">
        <v>412329</v>
      </c>
      <c r="F14437">
        <v>394172</v>
      </c>
      <c r="G14437">
        <v>386885</v>
      </c>
    </row>
    <row r="14438" spans="1:7">
      <c r="A14438" t="s">
        <v>1876</v>
      </c>
      <c r="B14438" t="s">
        <v>391</v>
      </c>
      <c r="C14438" t="s">
        <v>335</v>
      </c>
      <c r="D14438">
        <v>111941</v>
      </c>
      <c r="E14438">
        <v>148034</v>
      </c>
      <c r="F14438">
        <v>144232</v>
      </c>
      <c r="G14438">
        <v>143840</v>
      </c>
    </row>
    <row r="14439" spans="1:7">
      <c r="A14439" t="s">
        <v>1876</v>
      </c>
      <c r="B14439" t="s">
        <v>391</v>
      </c>
      <c r="C14439" t="s">
        <v>336</v>
      </c>
      <c r="D14439">
        <v>426211</v>
      </c>
      <c r="E14439">
        <v>374181</v>
      </c>
      <c r="F14439">
        <v>342313</v>
      </c>
      <c r="G14439">
        <v>320142</v>
      </c>
    </row>
    <row r="14440" spans="1:7">
      <c r="A14440" t="s">
        <v>1876</v>
      </c>
      <c r="B14440" t="s">
        <v>391</v>
      </c>
      <c r="C14440" t="s">
        <v>337</v>
      </c>
      <c r="D14440">
        <v>1527355</v>
      </c>
      <c r="E14440">
        <v>1575780</v>
      </c>
      <c r="F14440">
        <v>1494546</v>
      </c>
      <c r="G14440">
        <v>1484562</v>
      </c>
    </row>
    <row r="14441" spans="1:7">
      <c r="A14441" t="s">
        <v>1876</v>
      </c>
      <c r="B14441" t="s">
        <v>391</v>
      </c>
      <c r="C14441" t="s">
        <v>338</v>
      </c>
      <c r="D14441">
        <v>2422302</v>
      </c>
      <c r="E14441">
        <v>2547499</v>
      </c>
      <c r="F14441">
        <v>2363219</v>
      </c>
      <c r="G14441">
        <v>2306761</v>
      </c>
    </row>
    <row r="14442" spans="1:7">
      <c r="A14442" t="s">
        <v>1876</v>
      </c>
      <c r="B14442" t="s">
        <v>391</v>
      </c>
      <c r="C14442" t="s">
        <v>339</v>
      </c>
      <c r="D14442">
        <v>1996091</v>
      </c>
      <c r="E14442">
        <v>2173318</v>
      </c>
      <c r="F14442">
        <v>2020905</v>
      </c>
      <c r="G14442">
        <v>1986619</v>
      </c>
    </row>
    <row r="14443" spans="1:7">
      <c r="A14443" t="s">
        <v>1876</v>
      </c>
      <c r="B14443" t="s">
        <v>391</v>
      </c>
      <c r="C14443" t="s">
        <v>340</v>
      </c>
      <c r="D14443">
        <v>11794</v>
      </c>
      <c r="E14443">
        <v>13040</v>
      </c>
      <c r="F14443">
        <v>9047</v>
      </c>
      <c r="G14443">
        <v>11124</v>
      </c>
    </row>
    <row r="14444" spans="1:7">
      <c r="A14444" t="s">
        <v>1876</v>
      </c>
      <c r="B14444" t="s">
        <v>391</v>
      </c>
      <c r="C14444" t="s">
        <v>1955</v>
      </c>
      <c r="D14444">
        <v>34.4</v>
      </c>
      <c r="E14444">
        <v>35.9</v>
      </c>
      <c r="F14444">
        <v>33.200000000000003</v>
      </c>
      <c r="G14444">
        <v>34.299999999999997</v>
      </c>
    </row>
    <row r="14445" spans="1:7">
      <c r="A14445" t="s">
        <v>1876</v>
      </c>
      <c r="B14445" t="s">
        <v>391</v>
      </c>
      <c r="C14445" t="s">
        <v>341</v>
      </c>
      <c r="D14445">
        <v>572</v>
      </c>
      <c r="E14445">
        <v>590</v>
      </c>
      <c r="F14445">
        <v>443</v>
      </c>
      <c r="G14445">
        <v>455</v>
      </c>
    </row>
    <row r="14446" spans="1:7">
      <c r="A14446" t="s">
        <v>1876</v>
      </c>
      <c r="B14446" t="s">
        <v>391</v>
      </c>
      <c r="C14446" t="s">
        <v>342</v>
      </c>
      <c r="D14446">
        <v>1289454</v>
      </c>
      <c r="E14446">
        <v>1480788</v>
      </c>
      <c r="F14446">
        <v>1436109</v>
      </c>
      <c r="G14446">
        <v>1541104</v>
      </c>
    </row>
    <row r="14447" spans="1:7">
      <c r="A14447" t="s">
        <v>1876</v>
      </c>
      <c r="B14447" t="s">
        <v>391</v>
      </c>
      <c r="C14447" t="s">
        <v>1725</v>
      </c>
      <c r="D14447">
        <v>132753</v>
      </c>
      <c r="E14447">
        <v>141402</v>
      </c>
      <c r="F14447">
        <v>147445</v>
      </c>
      <c r="G14447">
        <v>152097</v>
      </c>
    </row>
    <row r="14448" spans="1:7">
      <c r="A14448" t="s">
        <v>1876</v>
      </c>
      <c r="B14448" t="s">
        <v>391</v>
      </c>
      <c r="C14448" t="s">
        <v>343</v>
      </c>
      <c r="D14448">
        <v>381</v>
      </c>
      <c r="E14448">
        <v>444</v>
      </c>
      <c r="F14448">
        <v>382</v>
      </c>
      <c r="G14448">
        <v>339</v>
      </c>
    </row>
    <row r="14449" spans="1:7">
      <c r="A14449" t="s">
        <v>1876</v>
      </c>
      <c r="B14449" t="s">
        <v>391</v>
      </c>
      <c r="C14449" t="s">
        <v>344</v>
      </c>
      <c r="D14449">
        <v>1290407</v>
      </c>
      <c r="E14449">
        <v>1481823</v>
      </c>
      <c r="F14449">
        <v>1436934</v>
      </c>
      <c r="G14449">
        <v>1541898</v>
      </c>
    </row>
    <row r="14450" spans="1:7">
      <c r="A14450" t="s">
        <v>1876</v>
      </c>
      <c r="B14450" t="s">
        <v>391</v>
      </c>
      <c r="C14450" t="s">
        <v>345</v>
      </c>
      <c r="D14450">
        <v>953</v>
      </c>
      <c r="E14450">
        <v>1034</v>
      </c>
      <c r="F14450">
        <v>825</v>
      </c>
      <c r="G14450">
        <v>794</v>
      </c>
    </row>
    <row r="14451" spans="1:7">
      <c r="A14451" t="s">
        <v>1876</v>
      </c>
      <c r="B14451" t="s">
        <v>391</v>
      </c>
      <c r="C14451" t="s">
        <v>1956</v>
      </c>
      <c r="D14451">
        <v>228808</v>
      </c>
      <c r="E14451">
        <v>175929</v>
      </c>
      <c r="F14451">
        <v>167362</v>
      </c>
      <c r="G14451">
        <v>157779</v>
      </c>
    </row>
    <row r="14452" spans="1:7">
      <c r="A14452" t="s">
        <v>1876</v>
      </c>
      <c r="B14452" t="s">
        <v>391</v>
      </c>
      <c r="C14452" t="s">
        <v>1957</v>
      </c>
      <c r="D14452">
        <v>429611</v>
      </c>
      <c r="E14452">
        <v>411768</v>
      </c>
      <c r="F14452">
        <v>393293</v>
      </c>
      <c r="G14452">
        <v>386260</v>
      </c>
    </row>
    <row r="14453" spans="1:7">
      <c r="A14453" t="s">
        <v>1876</v>
      </c>
      <c r="B14453" t="s">
        <v>391</v>
      </c>
      <c r="C14453" t="s">
        <v>346</v>
      </c>
      <c r="D14453">
        <v>1492</v>
      </c>
      <c r="E14453">
        <v>1557</v>
      </c>
      <c r="F14453">
        <v>1480</v>
      </c>
      <c r="G14453">
        <v>1633</v>
      </c>
    </row>
    <row r="14454" spans="1:7">
      <c r="A14454" t="s">
        <v>1876</v>
      </c>
      <c r="B14454" t="s">
        <v>391</v>
      </c>
      <c r="C14454" t="s">
        <v>347</v>
      </c>
      <c r="D14454">
        <v>3934</v>
      </c>
      <c r="E14454">
        <v>4243</v>
      </c>
      <c r="F14454">
        <v>3802</v>
      </c>
      <c r="G14454">
        <v>3692</v>
      </c>
    </row>
    <row r="14455" spans="1:7">
      <c r="A14455" t="s">
        <v>1876</v>
      </c>
      <c r="B14455" t="s">
        <v>395</v>
      </c>
      <c r="C14455" t="s">
        <v>133</v>
      </c>
      <c r="D14455">
        <v>-10</v>
      </c>
      <c r="E14455">
        <v>-8</v>
      </c>
      <c r="F14455">
        <v>-7</v>
      </c>
      <c r="G14455">
        <v>-12</v>
      </c>
    </row>
    <row r="14456" spans="1:7">
      <c r="A14456" t="s">
        <v>1876</v>
      </c>
      <c r="B14456" t="s">
        <v>395</v>
      </c>
      <c r="C14456" t="s">
        <v>134</v>
      </c>
      <c r="D14456">
        <v>6937</v>
      </c>
      <c r="E14456">
        <v>8560</v>
      </c>
      <c r="F14456">
        <v>7548</v>
      </c>
      <c r="G14456">
        <v>7813</v>
      </c>
    </row>
    <row r="14457" spans="1:7">
      <c r="A14457" t="s">
        <v>1876</v>
      </c>
      <c r="B14457" t="s">
        <v>395</v>
      </c>
      <c r="C14457" t="s">
        <v>135</v>
      </c>
      <c r="D14457">
        <v>6937</v>
      </c>
      <c r="E14457">
        <v>8560</v>
      </c>
      <c r="F14457">
        <v>7548</v>
      </c>
      <c r="G14457">
        <v>7813</v>
      </c>
    </row>
    <row r="14458" spans="1:7">
      <c r="A14458" t="s">
        <v>1876</v>
      </c>
      <c r="B14458" t="s">
        <v>395</v>
      </c>
      <c r="C14458" t="s">
        <v>136</v>
      </c>
      <c r="D14458">
        <v>6937</v>
      </c>
      <c r="E14458">
        <v>8560</v>
      </c>
      <c r="F14458">
        <v>7548</v>
      </c>
      <c r="G14458">
        <v>7813</v>
      </c>
    </row>
    <row r="14459" spans="1:7">
      <c r="A14459" t="s">
        <v>1876</v>
      </c>
      <c r="B14459" t="s">
        <v>395</v>
      </c>
      <c r="C14459" t="s">
        <v>137</v>
      </c>
      <c r="D14459">
        <v>299</v>
      </c>
      <c r="E14459">
        <v>310</v>
      </c>
      <c r="F14459">
        <v>294</v>
      </c>
      <c r="G14459">
        <v>316</v>
      </c>
    </row>
    <row r="14460" spans="1:7">
      <c r="A14460" t="s">
        <v>1876</v>
      </c>
      <c r="B14460" t="s">
        <v>395</v>
      </c>
      <c r="C14460" t="s">
        <v>138</v>
      </c>
      <c r="D14460">
        <v>299</v>
      </c>
      <c r="E14460">
        <v>310</v>
      </c>
      <c r="F14460">
        <v>294</v>
      </c>
      <c r="G14460">
        <v>316</v>
      </c>
    </row>
    <row r="14461" spans="1:7">
      <c r="A14461" t="s">
        <v>1876</v>
      </c>
      <c r="B14461" t="s">
        <v>395</v>
      </c>
      <c r="C14461" t="s">
        <v>139</v>
      </c>
      <c r="D14461">
        <v>299</v>
      </c>
      <c r="E14461">
        <v>310</v>
      </c>
      <c r="F14461">
        <v>294</v>
      </c>
      <c r="G14461">
        <v>316</v>
      </c>
    </row>
    <row r="14462" spans="1:7">
      <c r="A14462" t="s">
        <v>1876</v>
      </c>
      <c r="B14462" t="s">
        <v>395</v>
      </c>
      <c r="C14462" t="s">
        <v>1877</v>
      </c>
      <c r="D14462">
        <v>0</v>
      </c>
      <c r="E14462">
        <v>0</v>
      </c>
      <c r="F14462">
        <v>0</v>
      </c>
      <c r="G14462">
        <v>0</v>
      </c>
    </row>
    <row r="14463" spans="1:7">
      <c r="A14463" t="s">
        <v>1876</v>
      </c>
      <c r="B14463" t="s">
        <v>395</v>
      </c>
      <c r="C14463" t="s">
        <v>1700</v>
      </c>
      <c r="D14463">
        <v>0</v>
      </c>
      <c r="E14463">
        <v>0</v>
      </c>
      <c r="F14463">
        <v>0</v>
      </c>
      <c r="G14463">
        <v>0</v>
      </c>
    </row>
    <row r="14464" spans="1:7">
      <c r="A14464" t="s">
        <v>1876</v>
      </c>
      <c r="B14464" t="s">
        <v>395</v>
      </c>
      <c r="C14464" t="s">
        <v>1878</v>
      </c>
      <c r="D14464">
        <v>0</v>
      </c>
      <c r="E14464">
        <v>0</v>
      </c>
      <c r="F14464">
        <v>0</v>
      </c>
      <c r="G14464">
        <v>0</v>
      </c>
    </row>
    <row r="14465" spans="1:7">
      <c r="A14465" t="s">
        <v>1876</v>
      </c>
      <c r="B14465" t="s">
        <v>395</v>
      </c>
      <c r="C14465" t="s">
        <v>1879</v>
      </c>
      <c r="D14465">
        <v>0</v>
      </c>
      <c r="E14465">
        <v>0</v>
      </c>
      <c r="F14465">
        <v>0</v>
      </c>
      <c r="G14465">
        <v>0</v>
      </c>
    </row>
    <row r="14466" spans="1:7">
      <c r="A14466" t="s">
        <v>1876</v>
      </c>
      <c r="B14466" t="s">
        <v>395</v>
      </c>
      <c r="C14466" t="s">
        <v>1701</v>
      </c>
      <c r="D14466">
        <v>0</v>
      </c>
      <c r="E14466">
        <v>0</v>
      </c>
      <c r="F14466">
        <v>0</v>
      </c>
      <c r="G14466">
        <v>0</v>
      </c>
    </row>
    <row r="14467" spans="1:7">
      <c r="A14467" t="s">
        <v>1876</v>
      </c>
      <c r="B14467" t="s">
        <v>395</v>
      </c>
      <c r="C14467" t="s">
        <v>1880</v>
      </c>
      <c r="D14467">
        <v>270</v>
      </c>
      <c r="E14467">
        <v>191</v>
      </c>
      <c r="F14467">
        <v>177</v>
      </c>
      <c r="G14467">
        <v>65</v>
      </c>
    </row>
    <row r="14468" spans="1:7">
      <c r="A14468" t="s">
        <v>1876</v>
      </c>
      <c r="B14468" t="s">
        <v>395</v>
      </c>
      <c r="C14468" t="s">
        <v>140</v>
      </c>
      <c r="D14468">
        <v>635</v>
      </c>
      <c r="E14468">
        <v>461</v>
      </c>
      <c r="F14468">
        <v>477</v>
      </c>
      <c r="G14468">
        <v>186</v>
      </c>
    </row>
    <row r="14469" spans="1:7">
      <c r="A14469" t="s">
        <v>1876</v>
      </c>
      <c r="B14469" t="s">
        <v>395</v>
      </c>
      <c r="C14469" t="s">
        <v>1881</v>
      </c>
      <c r="D14469">
        <v>365</v>
      </c>
      <c r="E14469">
        <v>270</v>
      </c>
      <c r="F14469">
        <v>300</v>
      </c>
      <c r="G14469">
        <v>121</v>
      </c>
    </row>
    <row r="14470" spans="1:7">
      <c r="A14470" t="s">
        <v>1876</v>
      </c>
      <c r="B14470" t="s">
        <v>395</v>
      </c>
      <c r="C14470" t="s">
        <v>1882</v>
      </c>
      <c r="D14470">
        <v>0</v>
      </c>
      <c r="E14470">
        <v>0</v>
      </c>
      <c r="F14470">
        <v>0</v>
      </c>
      <c r="G14470">
        <v>0</v>
      </c>
    </row>
    <row r="14471" spans="1:7">
      <c r="A14471" t="s">
        <v>1876</v>
      </c>
      <c r="B14471" t="s">
        <v>395</v>
      </c>
      <c r="C14471" t="s">
        <v>1883</v>
      </c>
      <c r="D14471">
        <v>0</v>
      </c>
      <c r="E14471">
        <v>0</v>
      </c>
      <c r="F14471">
        <v>0</v>
      </c>
      <c r="G14471">
        <v>0</v>
      </c>
    </row>
    <row r="14472" spans="1:7">
      <c r="A14472" t="s">
        <v>1876</v>
      </c>
      <c r="B14472" t="s">
        <v>395</v>
      </c>
      <c r="C14472" t="s">
        <v>1884</v>
      </c>
      <c r="D14472">
        <v>0</v>
      </c>
      <c r="E14472">
        <v>0</v>
      </c>
      <c r="F14472">
        <v>0</v>
      </c>
      <c r="G14472">
        <v>0</v>
      </c>
    </row>
    <row r="14473" spans="1:7">
      <c r="A14473" t="s">
        <v>1876</v>
      </c>
      <c r="B14473" t="s">
        <v>395</v>
      </c>
      <c r="C14473" t="s">
        <v>1885</v>
      </c>
      <c r="D14473">
        <v>0</v>
      </c>
      <c r="E14473">
        <v>0</v>
      </c>
      <c r="F14473">
        <v>0</v>
      </c>
      <c r="G14473">
        <v>0</v>
      </c>
    </row>
    <row r="14474" spans="1:7">
      <c r="A14474" t="s">
        <v>1876</v>
      </c>
      <c r="B14474" t="s">
        <v>395</v>
      </c>
      <c r="C14474" t="s">
        <v>1886</v>
      </c>
      <c r="D14474">
        <v>0</v>
      </c>
      <c r="E14474">
        <v>0</v>
      </c>
      <c r="F14474">
        <v>0</v>
      </c>
      <c r="G14474">
        <v>0</v>
      </c>
    </row>
    <row r="14475" spans="1:7">
      <c r="A14475" t="s">
        <v>1876</v>
      </c>
      <c r="B14475" t="s">
        <v>395</v>
      </c>
      <c r="C14475" t="s">
        <v>141</v>
      </c>
      <c r="D14475">
        <v>0</v>
      </c>
      <c r="E14475">
        <v>0</v>
      </c>
      <c r="F14475">
        <v>0</v>
      </c>
      <c r="G14475">
        <v>0</v>
      </c>
    </row>
    <row r="14476" spans="1:7">
      <c r="A14476" t="s">
        <v>1876</v>
      </c>
      <c r="B14476" t="s">
        <v>395</v>
      </c>
      <c r="C14476" t="s">
        <v>1887</v>
      </c>
      <c r="D14476">
        <v>0</v>
      </c>
      <c r="E14476">
        <v>0</v>
      </c>
      <c r="F14476">
        <v>0</v>
      </c>
      <c r="G14476">
        <v>0</v>
      </c>
    </row>
    <row r="14477" spans="1:7">
      <c r="A14477" t="s">
        <v>1876</v>
      </c>
      <c r="B14477" t="s">
        <v>395</v>
      </c>
      <c r="C14477" t="s">
        <v>1888</v>
      </c>
      <c r="D14477">
        <v>0</v>
      </c>
      <c r="E14477">
        <v>0</v>
      </c>
      <c r="F14477">
        <v>0</v>
      </c>
      <c r="G14477">
        <v>0</v>
      </c>
    </row>
    <row r="14478" spans="1:7">
      <c r="A14478" t="s">
        <v>1876</v>
      </c>
      <c r="B14478" t="s">
        <v>395</v>
      </c>
      <c r="C14478" t="s">
        <v>1889</v>
      </c>
      <c r="D14478">
        <v>270</v>
      </c>
      <c r="E14478">
        <v>191</v>
      </c>
      <c r="F14478">
        <v>177</v>
      </c>
      <c r="G14478">
        <v>65</v>
      </c>
    </row>
    <row r="14479" spans="1:7">
      <c r="A14479" t="s">
        <v>1876</v>
      </c>
      <c r="B14479" t="s">
        <v>395</v>
      </c>
      <c r="C14479" t="s">
        <v>1890</v>
      </c>
      <c r="D14479">
        <v>0</v>
      </c>
      <c r="E14479">
        <v>0</v>
      </c>
      <c r="F14479">
        <v>0</v>
      </c>
      <c r="G14479">
        <v>0</v>
      </c>
    </row>
    <row r="14480" spans="1:7">
      <c r="A14480" t="s">
        <v>1876</v>
      </c>
      <c r="B14480" t="s">
        <v>395</v>
      </c>
      <c r="C14480" t="s">
        <v>1891</v>
      </c>
    </row>
    <row r="14481" spans="1:7">
      <c r="A14481" t="s">
        <v>1876</v>
      </c>
      <c r="B14481" t="s">
        <v>395</v>
      </c>
      <c r="C14481" t="s">
        <v>1892</v>
      </c>
      <c r="D14481">
        <v>365</v>
      </c>
      <c r="E14481">
        <v>270</v>
      </c>
      <c r="F14481">
        <v>300</v>
      </c>
      <c r="G14481">
        <v>121</v>
      </c>
    </row>
    <row r="14482" spans="1:7">
      <c r="A14482" t="s">
        <v>1876</v>
      </c>
      <c r="B14482" t="s">
        <v>395</v>
      </c>
      <c r="C14482" t="s">
        <v>142</v>
      </c>
      <c r="D14482">
        <v>635</v>
      </c>
      <c r="E14482">
        <v>461</v>
      </c>
      <c r="F14482">
        <v>477</v>
      </c>
      <c r="G14482">
        <v>186</v>
      </c>
    </row>
    <row r="14483" spans="1:7">
      <c r="A14483" t="s">
        <v>1876</v>
      </c>
      <c r="B14483" t="s">
        <v>395</v>
      </c>
      <c r="C14483" t="s">
        <v>1893</v>
      </c>
      <c r="D14483">
        <v>635</v>
      </c>
      <c r="E14483">
        <v>461</v>
      </c>
      <c r="F14483">
        <v>477</v>
      </c>
      <c r="G14483">
        <v>186</v>
      </c>
    </row>
    <row r="14484" spans="1:7">
      <c r="A14484" t="s">
        <v>1876</v>
      </c>
      <c r="B14484" t="s">
        <v>395</v>
      </c>
      <c r="C14484" t="s">
        <v>1894</v>
      </c>
      <c r="D14484">
        <v>365</v>
      </c>
      <c r="E14484">
        <v>270</v>
      </c>
      <c r="F14484">
        <v>300</v>
      </c>
      <c r="G14484">
        <v>121</v>
      </c>
    </row>
    <row r="14485" spans="1:7">
      <c r="A14485" t="s">
        <v>1876</v>
      </c>
      <c r="B14485" t="s">
        <v>395</v>
      </c>
      <c r="C14485" t="s">
        <v>143</v>
      </c>
      <c r="D14485">
        <v>0</v>
      </c>
      <c r="E14485">
        <v>0</v>
      </c>
      <c r="F14485">
        <v>0</v>
      </c>
      <c r="G14485">
        <v>0</v>
      </c>
    </row>
    <row r="14486" spans="1:7">
      <c r="A14486" t="s">
        <v>1876</v>
      </c>
      <c r="B14486" t="s">
        <v>395</v>
      </c>
      <c r="C14486" t="s">
        <v>144</v>
      </c>
      <c r="D14486">
        <v>10790</v>
      </c>
      <c r="E14486">
        <v>9853</v>
      </c>
      <c r="F14486">
        <v>10200</v>
      </c>
      <c r="G14486">
        <v>9781</v>
      </c>
    </row>
    <row r="14487" spans="1:7">
      <c r="A14487" t="s">
        <v>1876</v>
      </c>
      <c r="B14487" t="s">
        <v>395</v>
      </c>
      <c r="C14487" t="s">
        <v>1895</v>
      </c>
      <c r="D14487">
        <v>72</v>
      </c>
      <c r="E14487">
        <v>65.8</v>
      </c>
      <c r="F14487">
        <v>65.8</v>
      </c>
      <c r="G14487">
        <v>62.5</v>
      </c>
    </row>
    <row r="14488" spans="1:7">
      <c r="A14488" t="s">
        <v>1876</v>
      </c>
      <c r="B14488" t="s">
        <v>395</v>
      </c>
      <c r="C14488" t="s">
        <v>145</v>
      </c>
      <c r="D14488">
        <v>15136</v>
      </c>
      <c r="E14488">
        <v>14709</v>
      </c>
      <c r="F14488">
        <v>15907</v>
      </c>
      <c r="G14488">
        <v>15114</v>
      </c>
    </row>
    <row r="14489" spans="1:7">
      <c r="A14489" t="s">
        <v>1876</v>
      </c>
      <c r="B14489" t="s">
        <v>395</v>
      </c>
      <c r="C14489" t="s">
        <v>146</v>
      </c>
      <c r="D14489">
        <v>0</v>
      </c>
      <c r="E14489">
        <v>0</v>
      </c>
      <c r="F14489">
        <v>0</v>
      </c>
      <c r="G14489">
        <v>0</v>
      </c>
    </row>
    <row r="14490" spans="1:7">
      <c r="A14490" t="s">
        <v>1876</v>
      </c>
      <c r="B14490" t="s">
        <v>395</v>
      </c>
      <c r="C14490" t="s">
        <v>147</v>
      </c>
      <c r="D14490">
        <v>0</v>
      </c>
      <c r="E14490">
        <v>0</v>
      </c>
      <c r="F14490">
        <v>0</v>
      </c>
      <c r="G14490">
        <v>0</v>
      </c>
    </row>
    <row r="14491" spans="1:7">
      <c r="A14491" t="s">
        <v>1876</v>
      </c>
      <c r="B14491" t="s">
        <v>395</v>
      </c>
      <c r="C14491" t="s">
        <v>1896</v>
      </c>
      <c r="D14491">
        <v>0</v>
      </c>
      <c r="E14491">
        <v>0</v>
      </c>
      <c r="F14491">
        <v>0</v>
      </c>
      <c r="G14491">
        <v>0</v>
      </c>
    </row>
    <row r="14492" spans="1:7">
      <c r="A14492" t="s">
        <v>1876</v>
      </c>
      <c r="B14492" t="s">
        <v>395</v>
      </c>
      <c r="C14492" t="s">
        <v>1702</v>
      </c>
      <c r="D14492">
        <v>0</v>
      </c>
      <c r="E14492">
        <v>1</v>
      </c>
      <c r="F14492">
        <v>1</v>
      </c>
      <c r="G14492">
        <v>1</v>
      </c>
    </row>
    <row r="14493" spans="1:7">
      <c r="A14493" t="s">
        <v>1876</v>
      </c>
      <c r="B14493" t="s">
        <v>395</v>
      </c>
      <c r="C14493" t="s">
        <v>1897</v>
      </c>
      <c r="D14493">
        <v>15.9</v>
      </c>
      <c r="E14493">
        <v>23.5</v>
      </c>
      <c r="F14493">
        <v>38.299999999999997</v>
      </c>
      <c r="G14493">
        <v>50.4</v>
      </c>
    </row>
    <row r="14494" spans="1:7">
      <c r="A14494" t="s">
        <v>1876</v>
      </c>
      <c r="B14494" t="s">
        <v>395</v>
      </c>
      <c r="C14494" t="s">
        <v>1898</v>
      </c>
      <c r="D14494">
        <v>25</v>
      </c>
      <c r="E14494">
        <v>44</v>
      </c>
      <c r="F14494">
        <v>119</v>
      </c>
      <c r="G14494">
        <v>162</v>
      </c>
    </row>
    <row r="14495" spans="1:7">
      <c r="A14495" t="s">
        <v>1876</v>
      </c>
      <c r="B14495" t="s">
        <v>395</v>
      </c>
      <c r="C14495" t="s">
        <v>1899</v>
      </c>
      <c r="D14495">
        <v>365</v>
      </c>
      <c r="E14495">
        <v>270</v>
      </c>
      <c r="F14495">
        <v>300</v>
      </c>
      <c r="G14495">
        <v>121</v>
      </c>
    </row>
    <row r="14496" spans="1:7">
      <c r="A14496" t="s">
        <v>1876</v>
      </c>
      <c r="B14496" t="s">
        <v>395</v>
      </c>
      <c r="C14496" t="s">
        <v>148</v>
      </c>
      <c r="D14496">
        <v>0</v>
      </c>
      <c r="E14496">
        <v>0</v>
      </c>
      <c r="F14496">
        <v>0</v>
      </c>
      <c r="G14496">
        <v>0</v>
      </c>
    </row>
    <row r="14497" spans="1:7">
      <c r="A14497" t="s">
        <v>1876</v>
      </c>
      <c r="B14497" t="s">
        <v>395</v>
      </c>
      <c r="C14497" t="s">
        <v>149</v>
      </c>
      <c r="D14497">
        <v>0</v>
      </c>
      <c r="E14497">
        <v>0</v>
      </c>
      <c r="F14497">
        <v>0</v>
      </c>
      <c r="G14497">
        <v>0</v>
      </c>
    </row>
    <row r="14498" spans="1:7">
      <c r="A14498" t="s">
        <v>1876</v>
      </c>
      <c r="B14498" t="s">
        <v>395</v>
      </c>
      <c r="C14498" t="s">
        <v>150</v>
      </c>
      <c r="D14498">
        <v>0</v>
      </c>
      <c r="E14498">
        <v>0</v>
      </c>
      <c r="F14498">
        <v>0</v>
      </c>
      <c r="G14498">
        <v>0</v>
      </c>
    </row>
    <row r="14499" spans="1:7">
      <c r="A14499" t="s">
        <v>1876</v>
      </c>
      <c r="B14499" t="s">
        <v>395</v>
      </c>
      <c r="C14499" t="s">
        <v>1900</v>
      </c>
      <c r="D14499">
        <v>65.8</v>
      </c>
      <c r="E14499">
        <v>56</v>
      </c>
      <c r="F14499">
        <v>39.1</v>
      </c>
      <c r="G14499">
        <v>39.9</v>
      </c>
    </row>
    <row r="14500" spans="1:7">
      <c r="A14500" t="s">
        <v>1876</v>
      </c>
      <c r="B14500" t="s">
        <v>395</v>
      </c>
      <c r="C14500" t="s">
        <v>151</v>
      </c>
      <c r="D14500">
        <v>0</v>
      </c>
      <c r="E14500">
        <v>0</v>
      </c>
      <c r="F14500">
        <v>0</v>
      </c>
      <c r="G14500">
        <v>0</v>
      </c>
    </row>
    <row r="14501" spans="1:7">
      <c r="A14501" t="s">
        <v>1876</v>
      </c>
      <c r="B14501" t="s">
        <v>395</v>
      </c>
      <c r="C14501" t="s">
        <v>152</v>
      </c>
      <c r="D14501">
        <v>268433</v>
      </c>
      <c r="E14501">
        <v>230484</v>
      </c>
      <c r="F14501">
        <v>167266</v>
      </c>
      <c r="G14501">
        <v>171972</v>
      </c>
    </row>
    <row r="14502" spans="1:7">
      <c r="A14502" t="s">
        <v>1876</v>
      </c>
      <c r="B14502" t="s">
        <v>395</v>
      </c>
      <c r="C14502" t="s">
        <v>1703</v>
      </c>
      <c r="D14502">
        <v>4581</v>
      </c>
      <c r="E14502">
        <v>4581</v>
      </c>
      <c r="F14502">
        <v>4581</v>
      </c>
      <c r="G14502">
        <v>4581</v>
      </c>
    </row>
    <row r="14503" spans="1:7">
      <c r="A14503" t="s">
        <v>1876</v>
      </c>
      <c r="B14503" t="s">
        <v>395</v>
      </c>
      <c r="C14503" t="s">
        <v>153</v>
      </c>
      <c r="D14503">
        <v>7726</v>
      </c>
      <c r="E14503">
        <v>7386</v>
      </c>
      <c r="F14503">
        <v>7050</v>
      </c>
      <c r="G14503">
        <v>5581</v>
      </c>
    </row>
    <row r="14504" spans="1:7">
      <c r="A14504" t="s">
        <v>1876</v>
      </c>
      <c r="B14504" t="s">
        <v>395</v>
      </c>
      <c r="C14504" t="s">
        <v>154</v>
      </c>
      <c r="D14504">
        <v>0</v>
      </c>
      <c r="E14504">
        <v>0</v>
      </c>
      <c r="F14504">
        <v>0</v>
      </c>
      <c r="G14504">
        <v>0</v>
      </c>
    </row>
    <row r="14505" spans="1:7">
      <c r="A14505" t="s">
        <v>1876</v>
      </c>
      <c r="B14505" t="s">
        <v>395</v>
      </c>
      <c r="C14505" t="s">
        <v>155</v>
      </c>
      <c r="D14505">
        <v>7726</v>
      </c>
      <c r="E14505">
        <v>7386</v>
      </c>
      <c r="F14505">
        <v>7050</v>
      </c>
      <c r="G14505">
        <v>5581</v>
      </c>
    </row>
    <row r="14506" spans="1:7">
      <c r="A14506" t="s">
        <v>1876</v>
      </c>
      <c r="B14506" t="s">
        <v>395</v>
      </c>
      <c r="C14506" t="s">
        <v>156</v>
      </c>
      <c r="D14506">
        <v>0</v>
      </c>
      <c r="E14506">
        <v>0</v>
      </c>
      <c r="F14506">
        <v>0</v>
      </c>
      <c r="G14506">
        <v>0</v>
      </c>
    </row>
    <row r="14507" spans="1:7">
      <c r="A14507" t="s">
        <v>1876</v>
      </c>
      <c r="B14507" t="s">
        <v>395</v>
      </c>
      <c r="C14507" t="s">
        <v>157</v>
      </c>
      <c r="D14507">
        <v>276159</v>
      </c>
      <c r="E14507">
        <v>237870</v>
      </c>
      <c r="F14507">
        <v>174315</v>
      </c>
      <c r="G14507">
        <v>177553</v>
      </c>
    </row>
    <row r="14508" spans="1:7">
      <c r="A14508" t="s">
        <v>1876</v>
      </c>
      <c r="B14508" t="s">
        <v>395</v>
      </c>
      <c r="C14508" t="s">
        <v>158</v>
      </c>
      <c r="D14508">
        <v>7726</v>
      </c>
      <c r="E14508">
        <v>7386</v>
      </c>
      <c r="F14508">
        <v>7050</v>
      </c>
      <c r="G14508">
        <v>5581</v>
      </c>
    </row>
    <row r="14509" spans="1:7">
      <c r="A14509" t="s">
        <v>1876</v>
      </c>
      <c r="B14509" t="s">
        <v>395</v>
      </c>
      <c r="C14509" t="s">
        <v>159</v>
      </c>
      <c r="D14509">
        <v>0</v>
      </c>
      <c r="E14509">
        <v>0</v>
      </c>
      <c r="F14509">
        <v>0</v>
      </c>
      <c r="G14509">
        <v>0</v>
      </c>
    </row>
    <row r="14510" spans="1:7">
      <c r="A14510" t="s">
        <v>1876</v>
      </c>
      <c r="B14510" t="s">
        <v>395</v>
      </c>
      <c r="C14510" t="s">
        <v>1901</v>
      </c>
      <c r="D14510">
        <v>60.4</v>
      </c>
      <c r="E14510">
        <v>61</v>
      </c>
      <c r="F14510">
        <v>63.4</v>
      </c>
      <c r="G14510">
        <v>60.8</v>
      </c>
    </row>
    <row r="14511" spans="1:7">
      <c r="A14511" t="s">
        <v>1876</v>
      </c>
      <c r="B14511" t="s">
        <v>395</v>
      </c>
      <c r="C14511" t="s">
        <v>1902</v>
      </c>
      <c r="D14511">
        <v>70443</v>
      </c>
      <c r="E14511">
        <v>79441</v>
      </c>
      <c r="F14511">
        <v>69177</v>
      </c>
      <c r="G14511">
        <v>71625</v>
      </c>
    </row>
    <row r="14512" spans="1:7">
      <c r="A14512" t="s">
        <v>1876</v>
      </c>
      <c r="B14512" t="s">
        <v>395</v>
      </c>
      <c r="C14512" t="s">
        <v>1903</v>
      </c>
      <c r="D14512">
        <v>2837</v>
      </c>
      <c r="E14512">
        <v>2886</v>
      </c>
      <c r="F14512">
        <v>3198</v>
      </c>
      <c r="G14512">
        <v>2839</v>
      </c>
    </row>
    <row r="14513" spans="1:7">
      <c r="A14513" t="s">
        <v>1876</v>
      </c>
      <c r="B14513" t="s">
        <v>395</v>
      </c>
      <c r="C14513" t="s">
        <v>1904</v>
      </c>
      <c r="D14513">
        <v>394</v>
      </c>
      <c r="E14513">
        <v>320</v>
      </c>
      <c r="F14513">
        <v>321</v>
      </c>
      <c r="G14513">
        <v>352</v>
      </c>
    </row>
    <row r="14514" spans="1:7">
      <c r="A14514" t="s">
        <v>1876</v>
      </c>
      <c r="B14514" t="s">
        <v>395</v>
      </c>
      <c r="C14514" t="s">
        <v>1905</v>
      </c>
      <c r="D14514">
        <v>14425</v>
      </c>
      <c r="E14514">
        <v>14582</v>
      </c>
      <c r="F14514">
        <v>14232</v>
      </c>
      <c r="G14514">
        <v>13811</v>
      </c>
    </row>
    <row r="14515" spans="1:7">
      <c r="A14515" t="s">
        <v>1876</v>
      </c>
      <c r="B14515" t="s">
        <v>395</v>
      </c>
      <c r="C14515" t="s">
        <v>1906</v>
      </c>
      <c r="D14515">
        <v>127</v>
      </c>
      <c r="E14515">
        <v>131</v>
      </c>
      <c r="F14515">
        <v>145</v>
      </c>
      <c r="G14515">
        <v>126</v>
      </c>
    </row>
    <row r="14516" spans="1:7">
      <c r="A14516" t="s">
        <v>1876</v>
      </c>
      <c r="B14516" t="s">
        <v>395</v>
      </c>
      <c r="C14516" t="s">
        <v>1907</v>
      </c>
      <c r="D14516">
        <v>88226</v>
      </c>
      <c r="E14516">
        <v>97360</v>
      </c>
      <c r="F14516">
        <v>87073</v>
      </c>
      <c r="G14516">
        <v>88753</v>
      </c>
    </row>
    <row r="14517" spans="1:7">
      <c r="A14517" t="s">
        <v>1876</v>
      </c>
      <c r="B14517" t="s">
        <v>395</v>
      </c>
      <c r="C14517" t="s">
        <v>160</v>
      </c>
      <c r="D14517">
        <v>70078</v>
      </c>
      <c r="E14517">
        <v>79171</v>
      </c>
      <c r="F14517">
        <v>68877</v>
      </c>
      <c r="G14517">
        <v>71504</v>
      </c>
    </row>
    <row r="14518" spans="1:7">
      <c r="A14518" t="s">
        <v>1876</v>
      </c>
      <c r="B14518" t="s">
        <v>395</v>
      </c>
      <c r="C14518" t="s">
        <v>161</v>
      </c>
      <c r="D14518">
        <v>2837</v>
      </c>
      <c r="E14518">
        <v>2886</v>
      </c>
      <c r="F14518">
        <v>3198</v>
      </c>
      <c r="G14518">
        <v>2839</v>
      </c>
    </row>
    <row r="14519" spans="1:7">
      <c r="A14519" t="s">
        <v>1876</v>
      </c>
      <c r="B14519" t="s">
        <v>395</v>
      </c>
      <c r="C14519" t="s">
        <v>162</v>
      </c>
      <c r="D14519">
        <v>394</v>
      </c>
      <c r="E14519">
        <v>320</v>
      </c>
      <c r="F14519">
        <v>321</v>
      </c>
      <c r="G14519">
        <v>352</v>
      </c>
    </row>
    <row r="14520" spans="1:7">
      <c r="A14520" t="s">
        <v>1876</v>
      </c>
      <c r="B14520" t="s">
        <v>395</v>
      </c>
      <c r="C14520" t="s">
        <v>163</v>
      </c>
      <c r="D14520">
        <v>14425</v>
      </c>
      <c r="E14520">
        <v>14582</v>
      </c>
      <c r="F14520">
        <v>14232</v>
      </c>
      <c r="G14520">
        <v>13811</v>
      </c>
    </row>
    <row r="14521" spans="1:7">
      <c r="A14521" t="s">
        <v>1876</v>
      </c>
      <c r="B14521" t="s">
        <v>395</v>
      </c>
      <c r="C14521" t="s">
        <v>164</v>
      </c>
      <c r="D14521">
        <v>127</v>
      </c>
      <c r="E14521">
        <v>131</v>
      </c>
      <c r="F14521">
        <v>145</v>
      </c>
      <c r="G14521">
        <v>126</v>
      </c>
    </row>
    <row r="14522" spans="1:7">
      <c r="A14522" t="s">
        <v>1876</v>
      </c>
      <c r="B14522" t="s">
        <v>395</v>
      </c>
      <c r="C14522" t="s">
        <v>165</v>
      </c>
      <c r="D14522">
        <v>87861</v>
      </c>
      <c r="E14522">
        <v>97089</v>
      </c>
      <c r="F14522">
        <v>86773</v>
      </c>
      <c r="G14522">
        <v>88632</v>
      </c>
    </row>
    <row r="14523" spans="1:7">
      <c r="A14523" t="s">
        <v>1876</v>
      </c>
      <c r="B14523" t="s">
        <v>395</v>
      </c>
      <c r="C14523" t="s">
        <v>166</v>
      </c>
      <c r="D14523">
        <v>87467</v>
      </c>
      <c r="E14523">
        <v>96769</v>
      </c>
      <c r="F14523">
        <v>86451</v>
      </c>
      <c r="G14523">
        <v>88280</v>
      </c>
    </row>
    <row r="14524" spans="1:7">
      <c r="A14524" t="s">
        <v>1876</v>
      </c>
      <c r="B14524" t="s">
        <v>395</v>
      </c>
      <c r="C14524" t="s">
        <v>167</v>
      </c>
      <c r="D14524">
        <v>394</v>
      </c>
      <c r="E14524">
        <v>320</v>
      </c>
      <c r="F14524">
        <v>321</v>
      </c>
      <c r="G14524">
        <v>352</v>
      </c>
    </row>
    <row r="14525" spans="1:7">
      <c r="A14525" t="s">
        <v>1876</v>
      </c>
      <c r="B14525" t="s">
        <v>395</v>
      </c>
      <c r="C14525" t="s">
        <v>1908</v>
      </c>
      <c r="D14525">
        <v>69808</v>
      </c>
      <c r="E14525">
        <v>78980</v>
      </c>
      <c r="F14525">
        <v>68700</v>
      </c>
      <c r="G14525">
        <v>71438</v>
      </c>
    </row>
    <row r="14526" spans="1:7">
      <c r="A14526" t="s">
        <v>1876</v>
      </c>
      <c r="B14526" t="s">
        <v>395</v>
      </c>
      <c r="C14526" t="s">
        <v>1909</v>
      </c>
      <c r="D14526">
        <v>2837</v>
      </c>
      <c r="E14526">
        <v>2886</v>
      </c>
      <c r="F14526">
        <v>3198</v>
      </c>
      <c r="G14526">
        <v>2839</v>
      </c>
    </row>
    <row r="14527" spans="1:7">
      <c r="A14527" t="s">
        <v>1876</v>
      </c>
      <c r="B14527" t="s">
        <v>395</v>
      </c>
      <c r="C14527" t="s">
        <v>1910</v>
      </c>
      <c r="D14527">
        <v>394</v>
      </c>
      <c r="E14527">
        <v>320</v>
      </c>
      <c r="F14527">
        <v>321</v>
      </c>
      <c r="G14527">
        <v>352</v>
      </c>
    </row>
    <row r="14528" spans="1:7">
      <c r="A14528" t="s">
        <v>1876</v>
      </c>
      <c r="B14528" t="s">
        <v>395</v>
      </c>
      <c r="C14528" t="s">
        <v>1911</v>
      </c>
      <c r="D14528">
        <v>14425</v>
      </c>
      <c r="E14528">
        <v>14582</v>
      </c>
      <c r="F14528">
        <v>14232</v>
      </c>
      <c r="G14528">
        <v>13811</v>
      </c>
    </row>
    <row r="14529" spans="1:7">
      <c r="A14529" t="s">
        <v>1876</v>
      </c>
      <c r="B14529" t="s">
        <v>395</v>
      </c>
      <c r="C14529" t="s">
        <v>1912</v>
      </c>
      <c r="D14529">
        <v>127</v>
      </c>
      <c r="E14529">
        <v>131</v>
      </c>
      <c r="F14529">
        <v>145</v>
      </c>
      <c r="G14529">
        <v>126</v>
      </c>
    </row>
    <row r="14530" spans="1:7">
      <c r="A14530" t="s">
        <v>1876</v>
      </c>
      <c r="B14530" t="s">
        <v>395</v>
      </c>
      <c r="C14530" t="s">
        <v>168</v>
      </c>
      <c r="D14530">
        <v>87591</v>
      </c>
      <c r="E14530">
        <v>96898</v>
      </c>
      <c r="F14530">
        <v>86596</v>
      </c>
      <c r="G14530">
        <v>88566</v>
      </c>
    </row>
    <row r="14531" spans="1:7">
      <c r="A14531" t="s">
        <v>1876</v>
      </c>
      <c r="B14531" t="s">
        <v>395</v>
      </c>
      <c r="C14531" t="s">
        <v>169</v>
      </c>
      <c r="D14531">
        <v>0</v>
      </c>
      <c r="E14531">
        <v>0</v>
      </c>
      <c r="F14531">
        <v>0</v>
      </c>
      <c r="G14531">
        <v>0</v>
      </c>
    </row>
    <row r="14532" spans="1:7">
      <c r="A14532" t="s">
        <v>1876</v>
      </c>
      <c r="B14532" t="s">
        <v>395</v>
      </c>
      <c r="C14532" t="s">
        <v>1704</v>
      </c>
      <c r="D14532">
        <v>9518</v>
      </c>
      <c r="E14532">
        <v>9627</v>
      </c>
      <c r="F14532">
        <v>9710</v>
      </c>
      <c r="G14532">
        <v>10277</v>
      </c>
    </row>
    <row r="14533" spans="1:7">
      <c r="A14533" t="s">
        <v>1876</v>
      </c>
      <c r="B14533" t="s">
        <v>395</v>
      </c>
      <c r="C14533" t="s">
        <v>170</v>
      </c>
      <c r="D14533">
        <v>0</v>
      </c>
      <c r="E14533">
        <v>0</v>
      </c>
      <c r="F14533">
        <v>0</v>
      </c>
      <c r="G14533">
        <v>0</v>
      </c>
    </row>
    <row r="14534" spans="1:7">
      <c r="A14534" t="s">
        <v>1876</v>
      </c>
      <c r="B14534" t="s">
        <v>395</v>
      </c>
      <c r="C14534" t="s">
        <v>171</v>
      </c>
      <c r="D14534">
        <v>-68527</v>
      </c>
      <c r="E14534">
        <v>-33312</v>
      </c>
      <c r="F14534">
        <v>16346</v>
      </c>
      <c r="G14534">
        <v>17020</v>
      </c>
    </row>
    <row r="14535" spans="1:7">
      <c r="A14535" t="s">
        <v>1876</v>
      </c>
      <c r="B14535" t="s">
        <v>395</v>
      </c>
      <c r="C14535" t="s">
        <v>172</v>
      </c>
      <c r="D14535">
        <v>0</v>
      </c>
      <c r="E14535">
        <v>0</v>
      </c>
      <c r="F14535">
        <v>0</v>
      </c>
      <c r="G14535">
        <v>0</v>
      </c>
    </row>
    <row r="14536" spans="1:7">
      <c r="A14536" t="s">
        <v>1876</v>
      </c>
      <c r="B14536" t="s">
        <v>395</v>
      </c>
      <c r="C14536" t="s">
        <v>1913</v>
      </c>
      <c r="D14536">
        <v>23.3</v>
      </c>
      <c r="E14536">
        <v>32.9</v>
      </c>
      <c r="F14536">
        <v>49.7</v>
      </c>
      <c r="G14536">
        <v>65.400000000000006</v>
      </c>
    </row>
    <row r="14537" spans="1:7">
      <c r="A14537" t="s">
        <v>1876</v>
      </c>
      <c r="B14537" t="s">
        <v>395</v>
      </c>
      <c r="C14537" t="s">
        <v>1914</v>
      </c>
      <c r="D14537">
        <v>0.8</v>
      </c>
      <c r="E14537">
        <v>1.2</v>
      </c>
      <c r="F14537">
        <v>1.8</v>
      </c>
      <c r="G14537">
        <v>2.2999999999999998</v>
      </c>
    </row>
    <row r="14538" spans="1:7">
      <c r="A14538" t="s">
        <v>1876</v>
      </c>
      <c r="B14538" t="s">
        <v>395</v>
      </c>
      <c r="C14538" t="s">
        <v>173</v>
      </c>
      <c r="D14538">
        <v>9849</v>
      </c>
      <c r="E14538">
        <v>9092</v>
      </c>
      <c r="F14538">
        <v>9425</v>
      </c>
      <c r="G14538">
        <v>9261</v>
      </c>
    </row>
    <row r="14539" spans="1:7">
      <c r="A14539" t="s">
        <v>1876</v>
      </c>
      <c r="B14539" t="s">
        <v>395</v>
      </c>
      <c r="C14539" t="s">
        <v>174</v>
      </c>
      <c r="D14539">
        <v>155</v>
      </c>
      <c r="E14539">
        <v>152</v>
      </c>
      <c r="F14539">
        <v>150</v>
      </c>
      <c r="G14539">
        <v>165</v>
      </c>
    </row>
    <row r="14540" spans="1:7">
      <c r="A14540" t="s">
        <v>1876</v>
      </c>
      <c r="B14540" t="s">
        <v>395</v>
      </c>
      <c r="C14540" t="s">
        <v>175</v>
      </c>
      <c r="D14540">
        <v>151</v>
      </c>
      <c r="E14540">
        <v>148</v>
      </c>
      <c r="F14540">
        <v>148</v>
      </c>
      <c r="G14540">
        <v>169</v>
      </c>
    </row>
    <row r="14541" spans="1:7">
      <c r="A14541" t="s">
        <v>1876</v>
      </c>
      <c r="B14541" t="s">
        <v>395</v>
      </c>
      <c r="C14541" t="s">
        <v>176</v>
      </c>
      <c r="D14541">
        <v>0</v>
      </c>
      <c r="E14541">
        <v>0</v>
      </c>
      <c r="F14541">
        <v>0</v>
      </c>
      <c r="G14541">
        <v>0</v>
      </c>
    </row>
    <row r="14542" spans="1:7">
      <c r="A14542" t="s">
        <v>1876</v>
      </c>
      <c r="B14542" t="s">
        <v>395</v>
      </c>
      <c r="C14542" t="s">
        <v>177</v>
      </c>
      <c r="D14542">
        <v>10155</v>
      </c>
      <c r="E14542">
        <v>9392</v>
      </c>
      <c r="F14542">
        <v>9723</v>
      </c>
      <c r="G14542">
        <v>9594</v>
      </c>
    </row>
    <row r="14543" spans="1:7">
      <c r="A14543" t="s">
        <v>1876</v>
      </c>
      <c r="B14543" t="s">
        <v>395</v>
      </c>
      <c r="C14543" t="s">
        <v>178</v>
      </c>
      <c r="D14543">
        <v>0</v>
      </c>
      <c r="E14543">
        <v>0</v>
      </c>
      <c r="F14543">
        <v>0</v>
      </c>
      <c r="G14543">
        <v>0</v>
      </c>
    </row>
    <row r="14544" spans="1:7">
      <c r="A14544" t="s">
        <v>1876</v>
      </c>
      <c r="B14544" t="s">
        <v>395</v>
      </c>
      <c r="C14544" t="s">
        <v>179</v>
      </c>
      <c r="D14544">
        <v>0</v>
      </c>
      <c r="E14544">
        <v>0</v>
      </c>
      <c r="F14544">
        <v>0</v>
      </c>
      <c r="G14544">
        <v>0</v>
      </c>
    </row>
    <row r="14545" spans="1:7">
      <c r="A14545" t="s">
        <v>1876</v>
      </c>
      <c r="B14545" t="s">
        <v>395</v>
      </c>
      <c r="C14545" t="s">
        <v>180</v>
      </c>
      <c r="D14545">
        <v>167</v>
      </c>
      <c r="E14545">
        <v>157</v>
      </c>
      <c r="F14545">
        <v>185</v>
      </c>
      <c r="G14545">
        <v>181</v>
      </c>
    </row>
    <row r="14546" spans="1:7">
      <c r="A14546" t="s">
        <v>1876</v>
      </c>
      <c r="B14546" t="s">
        <v>395</v>
      </c>
      <c r="C14546" t="s">
        <v>181</v>
      </c>
      <c r="D14546">
        <v>41649</v>
      </c>
      <c r="E14546">
        <v>43914</v>
      </c>
      <c r="F14546">
        <v>45509</v>
      </c>
      <c r="G14546">
        <v>48208</v>
      </c>
    </row>
    <row r="14547" spans="1:7">
      <c r="A14547" t="s">
        <v>1876</v>
      </c>
      <c r="B14547" t="s">
        <v>395</v>
      </c>
      <c r="C14547" t="s">
        <v>182</v>
      </c>
      <c r="D14547">
        <v>32318</v>
      </c>
      <c r="E14547">
        <v>31065</v>
      </c>
      <c r="F14547">
        <v>29422</v>
      </c>
      <c r="G14547">
        <v>29619</v>
      </c>
    </row>
    <row r="14548" spans="1:7">
      <c r="A14548" t="s">
        <v>1876</v>
      </c>
      <c r="B14548" t="s">
        <v>395</v>
      </c>
      <c r="C14548" t="s">
        <v>183</v>
      </c>
      <c r="D14548">
        <v>37363</v>
      </c>
      <c r="E14548">
        <v>38707</v>
      </c>
      <c r="F14548">
        <v>38652</v>
      </c>
      <c r="G14548">
        <v>40348</v>
      </c>
    </row>
    <row r="14549" spans="1:7">
      <c r="A14549" t="s">
        <v>1876</v>
      </c>
      <c r="B14549" t="s">
        <v>395</v>
      </c>
      <c r="C14549" t="s">
        <v>184</v>
      </c>
      <c r="D14549">
        <v>111496</v>
      </c>
      <c r="E14549">
        <v>113843</v>
      </c>
      <c r="F14549">
        <v>113768</v>
      </c>
      <c r="G14549">
        <v>118356</v>
      </c>
    </row>
    <row r="14550" spans="1:7">
      <c r="A14550" t="s">
        <v>1876</v>
      </c>
      <c r="B14550" t="s">
        <v>395</v>
      </c>
      <c r="C14550" t="s">
        <v>185</v>
      </c>
      <c r="D14550">
        <v>111496</v>
      </c>
      <c r="E14550">
        <v>113843</v>
      </c>
      <c r="F14550">
        <v>113768</v>
      </c>
      <c r="G14550">
        <v>118356</v>
      </c>
    </row>
    <row r="14551" spans="1:7">
      <c r="A14551" t="s">
        <v>1876</v>
      </c>
      <c r="B14551" t="s">
        <v>395</v>
      </c>
      <c r="C14551" t="s">
        <v>1915</v>
      </c>
      <c r="D14551">
        <v>37</v>
      </c>
      <c r="E14551">
        <v>61</v>
      </c>
      <c r="F14551">
        <v>149</v>
      </c>
      <c r="G14551">
        <v>197</v>
      </c>
    </row>
    <row r="14552" spans="1:7">
      <c r="A14552" t="s">
        <v>1876</v>
      </c>
      <c r="B14552" t="s">
        <v>395</v>
      </c>
      <c r="C14552" t="s">
        <v>1916</v>
      </c>
      <c r="D14552">
        <v>0</v>
      </c>
      <c r="E14552">
        <v>0</v>
      </c>
      <c r="F14552">
        <v>0</v>
      </c>
      <c r="G14552">
        <v>0</v>
      </c>
    </row>
    <row r="14553" spans="1:7">
      <c r="A14553" t="s">
        <v>1876</v>
      </c>
      <c r="B14553" t="s">
        <v>395</v>
      </c>
      <c r="C14553" t="s">
        <v>1917</v>
      </c>
      <c r="D14553">
        <v>29</v>
      </c>
      <c r="E14553">
        <v>29</v>
      </c>
      <c r="F14553">
        <v>27</v>
      </c>
      <c r="G14553">
        <v>27</v>
      </c>
    </row>
    <row r="14554" spans="1:7">
      <c r="A14554" t="s">
        <v>1876</v>
      </c>
      <c r="B14554" t="s">
        <v>395</v>
      </c>
      <c r="C14554" t="s">
        <v>1918</v>
      </c>
      <c r="D14554">
        <v>2073</v>
      </c>
      <c r="E14554">
        <v>2052</v>
      </c>
      <c r="F14554">
        <v>2106</v>
      </c>
      <c r="G14554">
        <v>2378</v>
      </c>
    </row>
    <row r="14555" spans="1:7">
      <c r="A14555" t="s">
        <v>1876</v>
      </c>
      <c r="B14555" t="s">
        <v>395</v>
      </c>
      <c r="C14555" t="s">
        <v>1919</v>
      </c>
      <c r="D14555">
        <v>2.54</v>
      </c>
      <c r="E14555">
        <v>2.77</v>
      </c>
      <c r="F14555">
        <v>2.52</v>
      </c>
      <c r="G14555">
        <v>2.72</v>
      </c>
    </row>
    <row r="14556" spans="1:7">
      <c r="A14556" t="s">
        <v>1876</v>
      </c>
      <c r="B14556" t="s">
        <v>395</v>
      </c>
      <c r="C14556" t="s">
        <v>1920</v>
      </c>
      <c r="D14556">
        <v>2358</v>
      </c>
      <c r="E14556">
        <v>2355</v>
      </c>
      <c r="F14556">
        <v>2496</v>
      </c>
      <c r="G14556">
        <v>2916</v>
      </c>
    </row>
    <row r="14557" spans="1:7">
      <c r="A14557" t="s">
        <v>1876</v>
      </c>
      <c r="B14557" t="s">
        <v>395</v>
      </c>
      <c r="C14557" t="s">
        <v>1921</v>
      </c>
      <c r="D14557">
        <v>886</v>
      </c>
      <c r="E14557">
        <v>824</v>
      </c>
      <c r="F14557">
        <v>934</v>
      </c>
      <c r="G14557">
        <v>998</v>
      </c>
    </row>
    <row r="14558" spans="1:7">
      <c r="A14558" t="s">
        <v>1876</v>
      </c>
      <c r="B14558" t="s">
        <v>395</v>
      </c>
      <c r="C14558" t="s">
        <v>1922</v>
      </c>
      <c r="D14558">
        <v>256</v>
      </c>
      <c r="E14558">
        <v>274</v>
      </c>
      <c r="F14558">
        <v>363</v>
      </c>
      <c r="G14558">
        <v>511</v>
      </c>
    </row>
    <row r="14559" spans="1:7">
      <c r="A14559" t="s">
        <v>1876</v>
      </c>
      <c r="B14559" t="s">
        <v>395</v>
      </c>
      <c r="C14559" t="s">
        <v>1923</v>
      </c>
      <c r="D14559">
        <v>2.88</v>
      </c>
      <c r="E14559">
        <v>2.74</v>
      </c>
      <c r="F14559">
        <v>3.13</v>
      </c>
      <c r="G14559">
        <v>3.62</v>
      </c>
    </row>
    <row r="14560" spans="1:7">
      <c r="A14560" t="s">
        <v>1876</v>
      </c>
      <c r="B14560" t="s">
        <v>395</v>
      </c>
      <c r="C14560" t="s">
        <v>1924</v>
      </c>
      <c r="D14560">
        <v>33</v>
      </c>
      <c r="E14560">
        <v>12</v>
      </c>
      <c r="F14560">
        <v>13</v>
      </c>
      <c r="G14560">
        <v>11</v>
      </c>
    </row>
    <row r="14561" spans="1:7">
      <c r="A14561" t="s">
        <v>1876</v>
      </c>
      <c r="B14561" t="s">
        <v>395</v>
      </c>
      <c r="C14561" t="s">
        <v>1925</v>
      </c>
      <c r="D14561">
        <v>61</v>
      </c>
      <c r="E14561">
        <v>72</v>
      </c>
      <c r="F14561">
        <v>80</v>
      </c>
      <c r="G14561">
        <v>86</v>
      </c>
    </row>
    <row r="14562" spans="1:7">
      <c r="A14562" t="s">
        <v>1876</v>
      </c>
      <c r="B14562" t="s">
        <v>395</v>
      </c>
      <c r="C14562" t="s">
        <v>1926</v>
      </c>
      <c r="D14562">
        <v>792</v>
      </c>
      <c r="E14562">
        <v>740</v>
      </c>
      <c r="F14562">
        <v>841</v>
      </c>
      <c r="G14562">
        <v>901</v>
      </c>
    </row>
    <row r="14563" spans="1:7">
      <c r="A14563" t="s">
        <v>1876</v>
      </c>
      <c r="B14563" t="s">
        <v>395</v>
      </c>
      <c r="C14563" t="s">
        <v>1927</v>
      </c>
      <c r="D14563">
        <v>20</v>
      </c>
      <c r="E14563">
        <v>21</v>
      </c>
      <c r="F14563">
        <v>10</v>
      </c>
      <c r="G14563">
        <v>9</v>
      </c>
    </row>
    <row r="14564" spans="1:7">
      <c r="A14564" t="s">
        <v>1876</v>
      </c>
      <c r="B14564" t="s">
        <v>395</v>
      </c>
      <c r="C14564" t="s">
        <v>1928</v>
      </c>
      <c r="D14564">
        <v>852</v>
      </c>
      <c r="E14564">
        <v>786</v>
      </c>
      <c r="F14564">
        <v>897</v>
      </c>
      <c r="G14564">
        <v>952</v>
      </c>
    </row>
    <row r="14565" spans="1:7">
      <c r="A14565" t="s">
        <v>1876</v>
      </c>
      <c r="B14565" t="s">
        <v>395</v>
      </c>
      <c r="C14565" t="s">
        <v>1929</v>
      </c>
      <c r="D14565">
        <v>14</v>
      </c>
      <c r="E14565">
        <v>17</v>
      </c>
      <c r="F14565">
        <v>27</v>
      </c>
      <c r="G14565">
        <v>37</v>
      </c>
    </row>
    <row r="14566" spans="1:7">
      <c r="A14566" t="s">
        <v>1876</v>
      </c>
      <c r="B14566" t="s">
        <v>395</v>
      </c>
      <c r="C14566" t="s">
        <v>186</v>
      </c>
      <c r="D14566">
        <v>0</v>
      </c>
      <c r="E14566">
        <v>0</v>
      </c>
      <c r="F14566">
        <v>0</v>
      </c>
      <c r="G14566">
        <v>0</v>
      </c>
    </row>
    <row r="14567" spans="1:7">
      <c r="A14567" t="s">
        <v>1876</v>
      </c>
      <c r="B14567" t="s">
        <v>395</v>
      </c>
      <c r="C14567" t="s">
        <v>187</v>
      </c>
      <c r="D14567">
        <v>0</v>
      </c>
      <c r="E14567">
        <v>0</v>
      </c>
      <c r="F14567">
        <v>0</v>
      </c>
      <c r="G14567">
        <v>0</v>
      </c>
    </row>
    <row r="14568" spans="1:7">
      <c r="A14568" t="s">
        <v>1876</v>
      </c>
      <c r="B14568" t="s">
        <v>395</v>
      </c>
      <c r="C14568" t="s">
        <v>1705</v>
      </c>
      <c r="D14568">
        <v>7289</v>
      </c>
      <c r="E14568">
        <v>7312</v>
      </c>
      <c r="F14568">
        <v>7302</v>
      </c>
      <c r="G14568">
        <v>7306</v>
      </c>
    </row>
    <row r="14569" spans="1:7">
      <c r="A14569" t="s">
        <v>1876</v>
      </c>
      <c r="B14569" t="s">
        <v>395</v>
      </c>
      <c r="C14569" t="s">
        <v>188</v>
      </c>
      <c r="D14569">
        <v>855471</v>
      </c>
      <c r="E14569">
        <v>847343</v>
      </c>
      <c r="F14569">
        <v>790962</v>
      </c>
      <c r="G14569">
        <v>795430</v>
      </c>
    </row>
    <row r="14570" spans="1:7">
      <c r="A14570" t="s">
        <v>1876</v>
      </c>
      <c r="B14570" t="s">
        <v>395</v>
      </c>
      <c r="C14570" t="s">
        <v>189</v>
      </c>
      <c r="D14570">
        <v>0</v>
      </c>
      <c r="E14570">
        <v>0</v>
      </c>
      <c r="F14570">
        <v>0</v>
      </c>
      <c r="G14570">
        <v>0</v>
      </c>
    </row>
    <row r="14571" spans="1:7">
      <c r="A14571" t="s">
        <v>1876</v>
      </c>
      <c r="B14571" t="s">
        <v>395</v>
      </c>
      <c r="C14571" t="s">
        <v>190</v>
      </c>
      <c r="D14571">
        <v>0</v>
      </c>
      <c r="E14571">
        <v>0</v>
      </c>
      <c r="F14571">
        <v>0</v>
      </c>
      <c r="G14571">
        <v>0</v>
      </c>
    </row>
    <row r="14572" spans="1:7">
      <c r="A14572" t="s">
        <v>1876</v>
      </c>
      <c r="B14572" t="s">
        <v>395</v>
      </c>
      <c r="C14572" t="s">
        <v>191</v>
      </c>
      <c r="D14572">
        <v>0</v>
      </c>
      <c r="E14572">
        <v>0</v>
      </c>
      <c r="F14572">
        <v>0</v>
      </c>
      <c r="G14572">
        <v>0</v>
      </c>
    </row>
    <row r="14573" spans="1:7">
      <c r="A14573" t="s">
        <v>1876</v>
      </c>
      <c r="B14573" t="s">
        <v>395</v>
      </c>
      <c r="C14573" t="s">
        <v>192</v>
      </c>
      <c r="D14573">
        <v>233320.9</v>
      </c>
      <c r="E14573">
        <v>261548.5</v>
      </c>
      <c r="F14573">
        <v>283230.8</v>
      </c>
      <c r="G14573">
        <v>299471.3</v>
      </c>
    </row>
    <row r="14574" spans="1:7">
      <c r="A14574" t="s">
        <v>1876</v>
      </c>
      <c r="B14574" t="s">
        <v>395</v>
      </c>
      <c r="C14574" t="s">
        <v>193</v>
      </c>
      <c r="D14574">
        <v>211289.5</v>
      </c>
      <c r="E14574">
        <v>217848.8</v>
      </c>
      <c r="F14574">
        <v>226322.1</v>
      </c>
      <c r="G14574">
        <v>234300.6</v>
      </c>
    </row>
    <row r="14575" spans="1:7">
      <c r="A14575" t="s">
        <v>1876</v>
      </c>
      <c r="B14575" t="s">
        <v>395</v>
      </c>
      <c r="C14575" t="s">
        <v>1930</v>
      </c>
      <c r="D14575">
        <v>67.8</v>
      </c>
      <c r="E14575">
        <v>74.8</v>
      </c>
      <c r="F14575">
        <v>74</v>
      </c>
      <c r="G14575">
        <v>72.599999999999994</v>
      </c>
    </row>
    <row r="14576" spans="1:7">
      <c r="A14576" t="s">
        <v>1876</v>
      </c>
      <c r="B14576" t="s">
        <v>395</v>
      </c>
      <c r="C14576" t="s">
        <v>194</v>
      </c>
      <c r="D14576">
        <v>356</v>
      </c>
      <c r="E14576">
        <v>356</v>
      </c>
      <c r="F14576">
        <v>356</v>
      </c>
      <c r="G14576">
        <v>356</v>
      </c>
    </row>
    <row r="14577" spans="1:7">
      <c r="A14577" t="s">
        <v>1876</v>
      </c>
      <c r="B14577" t="s">
        <v>395</v>
      </c>
      <c r="C14577" t="s">
        <v>195</v>
      </c>
      <c r="D14577">
        <v>1432</v>
      </c>
      <c r="E14577">
        <v>1580</v>
      </c>
      <c r="F14577">
        <v>1563</v>
      </c>
      <c r="G14577">
        <v>1539</v>
      </c>
    </row>
    <row r="14578" spans="1:7">
      <c r="A14578" t="s">
        <v>1876</v>
      </c>
      <c r="B14578" t="s">
        <v>395</v>
      </c>
      <c r="C14578" t="s">
        <v>1706</v>
      </c>
      <c r="D14578">
        <v>71</v>
      </c>
      <c r="E14578">
        <v>71</v>
      </c>
      <c r="F14578">
        <v>71</v>
      </c>
      <c r="G14578">
        <v>71</v>
      </c>
    </row>
    <row r="14579" spans="1:7">
      <c r="A14579" t="s">
        <v>1876</v>
      </c>
      <c r="B14579" t="s">
        <v>395</v>
      </c>
      <c r="C14579" t="s">
        <v>196</v>
      </c>
      <c r="D14579">
        <v>357</v>
      </c>
      <c r="E14579">
        <v>357</v>
      </c>
      <c r="F14579">
        <v>357</v>
      </c>
      <c r="G14579">
        <v>357</v>
      </c>
    </row>
    <row r="14580" spans="1:7">
      <c r="A14580" t="s">
        <v>1876</v>
      </c>
      <c r="B14580" t="s">
        <v>395</v>
      </c>
      <c r="C14580" t="s">
        <v>197</v>
      </c>
      <c r="D14580">
        <v>96</v>
      </c>
      <c r="E14580">
        <v>96</v>
      </c>
      <c r="F14580">
        <v>96</v>
      </c>
      <c r="G14580">
        <v>96</v>
      </c>
    </row>
    <row r="14581" spans="1:7">
      <c r="A14581" t="s">
        <v>1876</v>
      </c>
      <c r="B14581" t="s">
        <v>395</v>
      </c>
      <c r="C14581" t="s">
        <v>198</v>
      </c>
      <c r="D14581">
        <v>2240</v>
      </c>
      <c r="E14581">
        <v>2389</v>
      </c>
      <c r="F14581">
        <v>2371</v>
      </c>
      <c r="G14581">
        <v>2347</v>
      </c>
    </row>
    <row r="14582" spans="1:7">
      <c r="A14582" t="s">
        <v>1876</v>
      </c>
      <c r="B14582" t="s">
        <v>395</v>
      </c>
      <c r="C14582" t="s">
        <v>199</v>
      </c>
      <c r="D14582">
        <v>808</v>
      </c>
      <c r="E14582">
        <v>808</v>
      </c>
      <c r="F14582">
        <v>808</v>
      </c>
      <c r="G14582">
        <v>808</v>
      </c>
    </row>
    <row r="14583" spans="1:7">
      <c r="A14583" t="s">
        <v>1876</v>
      </c>
      <c r="B14583" t="s">
        <v>395</v>
      </c>
      <c r="C14583" t="s">
        <v>200</v>
      </c>
      <c r="D14583">
        <v>61</v>
      </c>
      <c r="E14583">
        <v>46</v>
      </c>
      <c r="F14583">
        <v>94</v>
      </c>
      <c r="G14583">
        <v>34</v>
      </c>
    </row>
    <row r="14584" spans="1:7">
      <c r="A14584" t="s">
        <v>1876</v>
      </c>
      <c r="B14584" t="s">
        <v>395</v>
      </c>
      <c r="C14584" t="s">
        <v>201</v>
      </c>
      <c r="D14584">
        <v>3109</v>
      </c>
      <c r="E14584">
        <v>3457</v>
      </c>
      <c r="F14584">
        <v>4734</v>
      </c>
      <c r="G14584">
        <v>3723</v>
      </c>
    </row>
    <row r="14585" spans="1:7">
      <c r="A14585" t="s">
        <v>1876</v>
      </c>
      <c r="B14585" t="s">
        <v>395</v>
      </c>
      <c r="C14585" t="s">
        <v>202</v>
      </c>
      <c r="D14585">
        <v>1135</v>
      </c>
      <c r="E14585">
        <v>2023</v>
      </c>
      <c r="F14585">
        <v>1231</v>
      </c>
      <c r="G14585">
        <v>1851</v>
      </c>
    </row>
    <row r="14586" spans="1:7">
      <c r="A14586" t="s">
        <v>1876</v>
      </c>
      <c r="B14586" t="s">
        <v>395</v>
      </c>
      <c r="C14586" t="s">
        <v>203</v>
      </c>
      <c r="D14586">
        <v>1561</v>
      </c>
      <c r="E14586">
        <v>2238</v>
      </c>
      <c r="F14586">
        <v>2238</v>
      </c>
      <c r="G14586">
        <v>2279</v>
      </c>
    </row>
    <row r="14587" spans="1:7">
      <c r="A14587" t="s">
        <v>1876</v>
      </c>
      <c r="B14587" t="s">
        <v>395</v>
      </c>
      <c r="C14587" t="s">
        <v>204</v>
      </c>
      <c r="D14587">
        <v>5866</v>
      </c>
      <c r="E14587">
        <v>7764</v>
      </c>
      <c r="F14587">
        <v>8297</v>
      </c>
      <c r="G14587">
        <v>7888</v>
      </c>
    </row>
    <row r="14588" spans="1:7">
      <c r="A14588" t="s">
        <v>1876</v>
      </c>
      <c r="B14588" t="s">
        <v>395</v>
      </c>
      <c r="C14588" t="s">
        <v>205</v>
      </c>
      <c r="D14588">
        <v>5866</v>
      </c>
      <c r="E14588">
        <v>7764</v>
      </c>
      <c r="F14588">
        <v>8297</v>
      </c>
      <c r="G14588">
        <v>7888</v>
      </c>
    </row>
    <row r="14589" spans="1:7">
      <c r="A14589" t="s">
        <v>1876</v>
      </c>
      <c r="B14589" t="s">
        <v>395</v>
      </c>
      <c r="C14589" t="s">
        <v>1931</v>
      </c>
      <c r="D14589">
        <v>0</v>
      </c>
      <c r="E14589">
        <v>0</v>
      </c>
      <c r="F14589">
        <v>0</v>
      </c>
      <c r="G14589">
        <v>0</v>
      </c>
    </row>
    <row r="14590" spans="1:7">
      <c r="A14590" t="s">
        <v>1876</v>
      </c>
      <c r="B14590" t="s">
        <v>395</v>
      </c>
      <c r="C14590" t="s">
        <v>1707</v>
      </c>
      <c r="D14590">
        <v>0</v>
      </c>
      <c r="E14590">
        <v>0</v>
      </c>
      <c r="F14590">
        <v>0</v>
      </c>
      <c r="G14590">
        <v>0</v>
      </c>
    </row>
    <row r="14591" spans="1:7">
      <c r="A14591" t="s">
        <v>1876</v>
      </c>
      <c r="B14591" t="s">
        <v>395</v>
      </c>
      <c r="C14591" t="s">
        <v>1932</v>
      </c>
      <c r="D14591">
        <v>21.7</v>
      </c>
      <c r="E14591">
        <v>26.2</v>
      </c>
      <c r="F14591">
        <v>33.799999999999997</v>
      </c>
      <c r="G14591">
        <v>33.299999999999997</v>
      </c>
    </row>
    <row r="14592" spans="1:7">
      <c r="A14592" t="s">
        <v>1876</v>
      </c>
      <c r="B14592" t="s">
        <v>395</v>
      </c>
      <c r="C14592" t="s">
        <v>1708</v>
      </c>
      <c r="D14592">
        <v>260</v>
      </c>
      <c r="E14592">
        <v>260</v>
      </c>
      <c r="F14592">
        <v>260</v>
      </c>
      <c r="G14592">
        <v>260</v>
      </c>
    </row>
    <row r="14593" spans="1:7">
      <c r="A14593" t="s">
        <v>1876</v>
      </c>
      <c r="B14593" t="s">
        <v>395</v>
      </c>
      <c r="C14593" t="s">
        <v>206</v>
      </c>
      <c r="D14593">
        <v>118</v>
      </c>
      <c r="E14593">
        <v>106</v>
      </c>
      <c r="F14593">
        <v>171</v>
      </c>
      <c r="G14593">
        <v>174</v>
      </c>
    </row>
    <row r="14594" spans="1:7">
      <c r="A14594" t="s">
        <v>1876</v>
      </c>
      <c r="B14594" t="s">
        <v>395</v>
      </c>
      <c r="C14594" t="s">
        <v>207</v>
      </c>
      <c r="D14594">
        <v>1566</v>
      </c>
      <c r="E14594">
        <v>1925</v>
      </c>
      <c r="F14594">
        <v>2453</v>
      </c>
      <c r="G14594">
        <v>2415</v>
      </c>
    </row>
    <row r="14595" spans="1:7">
      <c r="A14595" t="s">
        <v>1876</v>
      </c>
      <c r="B14595" t="s">
        <v>395</v>
      </c>
      <c r="C14595" t="s">
        <v>208</v>
      </c>
      <c r="D14595">
        <v>0</v>
      </c>
      <c r="E14595">
        <v>0</v>
      </c>
      <c r="F14595">
        <v>0</v>
      </c>
      <c r="G14595">
        <v>0</v>
      </c>
    </row>
    <row r="14596" spans="1:7">
      <c r="A14596" t="s">
        <v>1876</v>
      </c>
      <c r="B14596" t="s">
        <v>395</v>
      </c>
      <c r="C14596" t="s">
        <v>209</v>
      </c>
      <c r="D14596">
        <v>1684</v>
      </c>
      <c r="E14596">
        <v>2031</v>
      </c>
      <c r="F14596">
        <v>2624</v>
      </c>
      <c r="G14596">
        <v>2589</v>
      </c>
    </row>
    <row r="14597" spans="1:7">
      <c r="A14597" t="s">
        <v>1876</v>
      </c>
      <c r="B14597" t="s">
        <v>395</v>
      </c>
      <c r="C14597" t="s">
        <v>210</v>
      </c>
      <c r="D14597">
        <v>118</v>
      </c>
      <c r="E14597">
        <v>106</v>
      </c>
      <c r="F14597">
        <v>171</v>
      </c>
      <c r="G14597">
        <v>174</v>
      </c>
    </row>
    <row r="14598" spans="1:7">
      <c r="A14598" t="s">
        <v>1876</v>
      </c>
      <c r="B14598" t="s">
        <v>395</v>
      </c>
      <c r="C14598" t="s">
        <v>211</v>
      </c>
      <c r="D14598">
        <v>0</v>
      </c>
      <c r="E14598">
        <v>0</v>
      </c>
      <c r="F14598">
        <v>0</v>
      </c>
      <c r="G14598">
        <v>0</v>
      </c>
    </row>
    <row r="14599" spans="1:7">
      <c r="A14599" t="s">
        <v>1876</v>
      </c>
      <c r="B14599" t="s">
        <v>395</v>
      </c>
      <c r="C14599" t="s">
        <v>212</v>
      </c>
      <c r="D14599">
        <v>0</v>
      </c>
      <c r="E14599">
        <v>0</v>
      </c>
      <c r="F14599">
        <v>0</v>
      </c>
      <c r="G14599">
        <v>0</v>
      </c>
    </row>
    <row r="14600" spans="1:7">
      <c r="A14600" t="s">
        <v>1876</v>
      </c>
      <c r="B14600" t="s">
        <v>395</v>
      </c>
      <c r="C14600" t="s">
        <v>213</v>
      </c>
      <c r="D14600">
        <v>0</v>
      </c>
      <c r="E14600">
        <v>0</v>
      </c>
      <c r="F14600">
        <v>0</v>
      </c>
      <c r="G14600">
        <v>0</v>
      </c>
    </row>
    <row r="14601" spans="1:7">
      <c r="A14601" t="s">
        <v>1876</v>
      </c>
      <c r="B14601" t="s">
        <v>395</v>
      </c>
      <c r="C14601" t="s">
        <v>214</v>
      </c>
      <c r="D14601">
        <v>0</v>
      </c>
      <c r="E14601">
        <v>0</v>
      </c>
      <c r="F14601">
        <v>0</v>
      </c>
      <c r="G14601">
        <v>0</v>
      </c>
    </row>
    <row r="14602" spans="1:7">
      <c r="A14602" t="s">
        <v>1876</v>
      </c>
      <c r="B14602" t="s">
        <v>395</v>
      </c>
      <c r="C14602" t="s">
        <v>215</v>
      </c>
      <c r="D14602">
        <v>41882</v>
      </c>
      <c r="E14602">
        <v>45746</v>
      </c>
      <c r="F14602">
        <v>43735</v>
      </c>
      <c r="G14602">
        <v>50639</v>
      </c>
    </row>
    <row r="14603" spans="1:7">
      <c r="A14603" t="s">
        <v>1876</v>
      </c>
      <c r="B14603" t="s">
        <v>395</v>
      </c>
      <c r="C14603" t="s">
        <v>216</v>
      </c>
      <c r="D14603">
        <v>41882</v>
      </c>
      <c r="E14603">
        <v>45746</v>
      </c>
      <c r="F14603">
        <v>43735</v>
      </c>
      <c r="G14603">
        <v>50639</v>
      </c>
    </row>
    <row r="14604" spans="1:7">
      <c r="A14604" t="s">
        <v>1876</v>
      </c>
      <c r="B14604" t="s">
        <v>395</v>
      </c>
      <c r="C14604" t="s">
        <v>217</v>
      </c>
      <c r="D14604">
        <v>41882</v>
      </c>
      <c r="E14604">
        <v>45746</v>
      </c>
      <c r="F14604">
        <v>43735</v>
      </c>
      <c r="G14604">
        <v>50639</v>
      </c>
    </row>
    <row r="14605" spans="1:7">
      <c r="A14605" t="s">
        <v>1876</v>
      </c>
      <c r="B14605" t="s">
        <v>395</v>
      </c>
      <c r="C14605" t="s">
        <v>218</v>
      </c>
      <c r="D14605">
        <v>2</v>
      </c>
      <c r="E14605">
        <v>2</v>
      </c>
      <c r="F14605">
        <v>4</v>
      </c>
      <c r="G14605">
        <v>3</v>
      </c>
    </row>
    <row r="14606" spans="1:7">
      <c r="A14606" t="s">
        <v>1876</v>
      </c>
      <c r="B14606" t="s">
        <v>395</v>
      </c>
      <c r="C14606" t="s">
        <v>219</v>
      </c>
      <c r="D14606">
        <v>1</v>
      </c>
      <c r="E14606">
        <v>1</v>
      </c>
      <c r="F14606">
        <v>3</v>
      </c>
      <c r="G14606">
        <v>2</v>
      </c>
    </row>
    <row r="14607" spans="1:7">
      <c r="A14607" t="s">
        <v>1876</v>
      </c>
      <c r="B14607" t="s">
        <v>395</v>
      </c>
      <c r="C14607" t="s">
        <v>220</v>
      </c>
      <c r="D14607">
        <v>1</v>
      </c>
      <c r="E14607">
        <v>1</v>
      </c>
      <c r="F14607">
        <v>2</v>
      </c>
      <c r="G14607">
        <v>2</v>
      </c>
    </row>
    <row r="14608" spans="1:7">
      <c r="A14608" t="s">
        <v>1876</v>
      </c>
      <c r="B14608" t="s">
        <v>395</v>
      </c>
      <c r="C14608" t="s">
        <v>221</v>
      </c>
      <c r="D14608">
        <v>5</v>
      </c>
      <c r="E14608">
        <v>4</v>
      </c>
      <c r="F14608">
        <v>10</v>
      </c>
      <c r="G14608">
        <v>6</v>
      </c>
    </row>
    <row r="14609" spans="1:7">
      <c r="A14609" t="s">
        <v>1876</v>
      </c>
      <c r="B14609" t="s">
        <v>395</v>
      </c>
      <c r="C14609" t="s">
        <v>222</v>
      </c>
      <c r="D14609">
        <v>5</v>
      </c>
      <c r="E14609">
        <v>4</v>
      </c>
      <c r="F14609">
        <v>10</v>
      </c>
      <c r="G14609">
        <v>6</v>
      </c>
    </row>
    <row r="14610" spans="1:7">
      <c r="A14610" t="s">
        <v>1876</v>
      </c>
      <c r="B14610" t="s">
        <v>395</v>
      </c>
      <c r="C14610" t="s">
        <v>1933</v>
      </c>
      <c r="D14610">
        <v>2744.4</v>
      </c>
      <c r="E14610">
        <v>2782.6</v>
      </c>
      <c r="F14610">
        <v>2836.6</v>
      </c>
      <c r="G14610">
        <v>2895.5</v>
      </c>
    </row>
    <row r="14611" spans="1:7">
      <c r="A14611" t="s">
        <v>1876</v>
      </c>
      <c r="B14611" t="s">
        <v>395</v>
      </c>
      <c r="C14611" t="s">
        <v>223</v>
      </c>
      <c r="D14611">
        <v>279</v>
      </c>
      <c r="E14611">
        <v>258</v>
      </c>
      <c r="F14611">
        <v>297</v>
      </c>
      <c r="G14611">
        <v>287</v>
      </c>
    </row>
    <row r="14612" spans="1:7">
      <c r="A14612" t="s">
        <v>1876</v>
      </c>
      <c r="B14612" t="s">
        <v>395</v>
      </c>
      <c r="C14612" t="s">
        <v>224</v>
      </c>
      <c r="D14612">
        <v>69650</v>
      </c>
      <c r="E14612">
        <v>72257</v>
      </c>
      <c r="F14612">
        <v>72865</v>
      </c>
      <c r="G14612">
        <v>76357</v>
      </c>
    </row>
    <row r="14613" spans="1:7">
      <c r="A14613" t="s">
        <v>1876</v>
      </c>
      <c r="B14613" t="s">
        <v>395</v>
      </c>
      <c r="C14613" t="s">
        <v>225</v>
      </c>
      <c r="D14613">
        <v>54045</v>
      </c>
      <c r="E14613">
        <v>51115</v>
      </c>
      <c r="F14613">
        <v>47107</v>
      </c>
      <c r="G14613">
        <v>46914</v>
      </c>
    </row>
    <row r="14614" spans="1:7">
      <c r="A14614" t="s">
        <v>1876</v>
      </c>
      <c r="B14614" t="s">
        <v>395</v>
      </c>
      <c r="C14614" t="s">
        <v>226</v>
      </c>
      <c r="D14614">
        <v>62483</v>
      </c>
      <c r="E14614">
        <v>63688</v>
      </c>
      <c r="F14614">
        <v>61886</v>
      </c>
      <c r="G14614">
        <v>63907</v>
      </c>
    </row>
    <row r="14615" spans="1:7">
      <c r="A14615" t="s">
        <v>1876</v>
      </c>
      <c r="B14615" t="s">
        <v>395</v>
      </c>
      <c r="C14615" t="s">
        <v>227</v>
      </c>
      <c r="D14615">
        <v>186457</v>
      </c>
      <c r="E14615">
        <v>187319</v>
      </c>
      <c r="F14615">
        <v>182156</v>
      </c>
      <c r="G14615">
        <v>187465</v>
      </c>
    </row>
    <row r="14616" spans="1:7">
      <c r="A14616" t="s">
        <v>1876</v>
      </c>
      <c r="B14616" t="s">
        <v>395</v>
      </c>
      <c r="C14616" t="s">
        <v>228</v>
      </c>
      <c r="D14616">
        <v>186457</v>
      </c>
      <c r="E14616">
        <v>187319</v>
      </c>
      <c r="F14616">
        <v>182156</v>
      </c>
      <c r="G14616">
        <v>187465</v>
      </c>
    </row>
    <row r="14617" spans="1:7">
      <c r="A14617" t="s">
        <v>1876</v>
      </c>
      <c r="B14617" t="s">
        <v>395</v>
      </c>
      <c r="C14617" t="s">
        <v>229</v>
      </c>
      <c r="D14617">
        <v>1204</v>
      </c>
      <c r="E14617">
        <v>1367</v>
      </c>
      <c r="F14617">
        <v>944</v>
      </c>
      <c r="G14617">
        <v>949</v>
      </c>
    </row>
    <row r="14618" spans="1:7">
      <c r="A14618" t="s">
        <v>1876</v>
      </c>
      <c r="B14618" t="s">
        <v>395</v>
      </c>
      <c r="C14618" t="s">
        <v>230</v>
      </c>
      <c r="D14618">
        <v>1540</v>
      </c>
      <c r="E14618">
        <v>1587</v>
      </c>
      <c r="F14618">
        <v>1195</v>
      </c>
      <c r="G14618">
        <v>1108</v>
      </c>
    </row>
    <row r="14619" spans="1:7">
      <c r="A14619" t="s">
        <v>1876</v>
      </c>
      <c r="B14619" t="s">
        <v>395</v>
      </c>
      <c r="C14619" t="s">
        <v>231</v>
      </c>
      <c r="D14619">
        <v>2743</v>
      </c>
      <c r="E14619">
        <v>2954</v>
      </c>
      <c r="F14619">
        <v>2139</v>
      </c>
      <c r="G14619">
        <v>2058</v>
      </c>
    </row>
    <row r="14620" spans="1:7">
      <c r="A14620" t="s">
        <v>1876</v>
      </c>
      <c r="B14620" t="s">
        <v>395</v>
      </c>
      <c r="C14620" t="s">
        <v>232</v>
      </c>
      <c r="D14620">
        <v>2743</v>
      </c>
      <c r="E14620">
        <v>2954</v>
      </c>
      <c r="F14620">
        <v>2139</v>
      </c>
      <c r="G14620">
        <v>2058</v>
      </c>
    </row>
    <row r="14621" spans="1:7">
      <c r="A14621" t="s">
        <v>1876</v>
      </c>
      <c r="B14621" t="s">
        <v>395</v>
      </c>
      <c r="C14621" t="s">
        <v>233</v>
      </c>
      <c r="D14621">
        <v>0</v>
      </c>
      <c r="E14621">
        <v>0</v>
      </c>
      <c r="F14621">
        <v>0</v>
      </c>
      <c r="G14621">
        <v>0</v>
      </c>
    </row>
    <row r="14622" spans="1:7">
      <c r="A14622" t="s">
        <v>1876</v>
      </c>
      <c r="B14622" t="s">
        <v>395</v>
      </c>
      <c r="C14622" t="s">
        <v>234</v>
      </c>
      <c r="D14622">
        <v>141855</v>
      </c>
      <c r="E14622">
        <v>141267</v>
      </c>
      <c r="F14622">
        <v>149052</v>
      </c>
      <c r="G14622">
        <v>152611</v>
      </c>
    </row>
    <row r="14623" spans="1:7">
      <c r="A14623" t="s">
        <v>1876</v>
      </c>
      <c r="B14623" t="s">
        <v>395</v>
      </c>
      <c r="C14623" t="s">
        <v>235</v>
      </c>
      <c r="D14623">
        <v>2237</v>
      </c>
      <c r="E14623">
        <v>2358</v>
      </c>
      <c r="F14623">
        <v>2366</v>
      </c>
      <c r="G14623">
        <v>2714</v>
      </c>
    </row>
    <row r="14624" spans="1:7">
      <c r="A14624" t="s">
        <v>1876</v>
      </c>
      <c r="B14624" t="s">
        <v>395</v>
      </c>
      <c r="C14624" t="s">
        <v>236</v>
      </c>
      <c r="D14624">
        <v>2172</v>
      </c>
      <c r="E14624">
        <v>2302</v>
      </c>
      <c r="F14624">
        <v>2334</v>
      </c>
      <c r="G14624">
        <v>2780</v>
      </c>
    </row>
    <row r="14625" spans="1:7">
      <c r="A14625" t="s">
        <v>1876</v>
      </c>
      <c r="B14625" t="s">
        <v>395</v>
      </c>
      <c r="C14625" t="s">
        <v>237</v>
      </c>
      <c r="D14625">
        <v>146265</v>
      </c>
      <c r="E14625">
        <v>145926</v>
      </c>
      <c r="F14625">
        <v>153753</v>
      </c>
      <c r="G14625">
        <v>158105</v>
      </c>
    </row>
    <row r="14626" spans="1:7">
      <c r="A14626" t="s">
        <v>1876</v>
      </c>
      <c r="B14626" t="s">
        <v>395</v>
      </c>
      <c r="C14626" t="s">
        <v>238</v>
      </c>
      <c r="D14626">
        <v>146265</v>
      </c>
      <c r="E14626">
        <v>145926</v>
      </c>
      <c r="F14626">
        <v>153753</v>
      </c>
      <c r="G14626">
        <v>158105</v>
      </c>
    </row>
    <row r="14627" spans="1:7">
      <c r="A14627" t="s">
        <v>1876</v>
      </c>
      <c r="B14627" t="s">
        <v>395</v>
      </c>
      <c r="C14627" t="s">
        <v>1934</v>
      </c>
      <c r="D14627">
        <v>132006</v>
      </c>
      <c r="E14627">
        <v>132175</v>
      </c>
      <c r="F14627">
        <v>139627</v>
      </c>
      <c r="G14627">
        <v>143350</v>
      </c>
    </row>
    <row r="14628" spans="1:7">
      <c r="A14628" t="s">
        <v>1876</v>
      </c>
      <c r="B14628" t="s">
        <v>395</v>
      </c>
      <c r="C14628" t="s">
        <v>1935</v>
      </c>
      <c r="D14628">
        <v>2082</v>
      </c>
      <c r="E14628">
        <v>2206</v>
      </c>
      <c r="F14628">
        <v>2216</v>
      </c>
      <c r="G14628">
        <v>2550</v>
      </c>
    </row>
    <row r="14629" spans="1:7">
      <c r="A14629" t="s">
        <v>1876</v>
      </c>
      <c r="B14629" t="s">
        <v>395</v>
      </c>
      <c r="C14629" t="s">
        <v>1936</v>
      </c>
      <c r="D14629">
        <v>2021</v>
      </c>
      <c r="E14629">
        <v>2154</v>
      </c>
      <c r="F14629">
        <v>2187</v>
      </c>
      <c r="G14629">
        <v>2611</v>
      </c>
    </row>
    <row r="14630" spans="1:7">
      <c r="A14630" t="s">
        <v>1876</v>
      </c>
      <c r="B14630" t="s">
        <v>395</v>
      </c>
      <c r="C14630" t="s">
        <v>239</v>
      </c>
      <c r="D14630">
        <v>136109</v>
      </c>
      <c r="E14630">
        <v>136534</v>
      </c>
      <c r="F14630">
        <v>144030</v>
      </c>
      <c r="G14630">
        <v>148511</v>
      </c>
    </row>
    <row r="14631" spans="1:7">
      <c r="A14631" t="s">
        <v>1876</v>
      </c>
      <c r="B14631" t="s">
        <v>395</v>
      </c>
      <c r="C14631" t="s">
        <v>240</v>
      </c>
      <c r="D14631">
        <v>64</v>
      </c>
      <c r="E14631">
        <v>448</v>
      </c>
      <c r="F14631">
        <v>430</v>
      </c>
      <c r="G14631">
        <v>421</v>
      </c>
    </row>
    <row r="14632" spans="1:7">
      <c r="A14632" t="s">
        <v>1876</v>
      </c>
      <c r="B14632" t="s">
        <v>395</v>
      </c>
      <c r="C14632" t="s">
        <v>241</v>
      </c>
      <c r="D14632">
        <v>0</v>
      </c>
      <c r="E14632">
        <v>0</v>
      </c>
      <c r="F14632">
        <v>0</v>
      </c>
      <c r="G14632">
        <v>0</v>
      </c>
    </row>
    <row r="14633" spans="1:7">
      <c r="A14633" t="s">
        <v>1876</v>
      </c>
      <c r="B14633" t="s">
        <v>395</v>
      </c>
      <c r="C14633" t="s">
        <v>242</v>
      </c>
      <c r="D14633">
        <v>12875</v>
      </c>
      <c r="E14633">
        <v>12692</v>
      </c>
      <c r="F14633">
        <v>12558</v>
      </c>
      <c r="G14633">
        <v>11190</v>
      </c>
    </row>
    <row r="14634" spans="1:7">
      <c r="A14634" t="s">
        <v>1876</v>
      </c>
      <c r="B14634" t="s">
        <v>395</v>
      </c>
      <c r="C14634" t="s">
        <v>243</v>
      </c>
      <c r="D14634">
        <v>46053</v>
      </c>
      <c r="E14634">
        <v>49785</v>
      </c>
      <c r="F14634">
        <v>51936</v>
      </c>
      <c r="G14634">
        <v>47909</v>
      </c>
    </row>
    <row r="14635" spans="1:7">
      <c r="A14635" t="s">
        <v>1876</v>
      </c>
      <c r="B14635" t="s">
        <v>395</v>
      </c>
      <c r="C14635" t="s">
        <v>244</v>
      </c>
      <c r="D14635">
        <v>79194</v>
      </c>
      <c r="E14635">
        <v>83794</v>
      </c>
      <c r="F14635">
        <v>91307</v>
      </c>
      <c r="G14635">
        <v>91137</v>
      </c>
    </row>
    <row r="14636" spans="1:7">
      <c r="A14636" t="s">
        <v>1876</v>
      </c>
      <c r="B14636" t="s">
        <v>395</v>
      </c>
      <c r="C14636" t="s">
        <v>1709</v>
      </c>
      <c r="D14636">
        <v>2681</v>
      </c>
      <c r="E14636">
        <v>2703</v>
      </c>
      <c r="F14636">
        <v>2693</v>
      </c>
      <c r="G14636">
        <v>2697</v>
      </c>
    </row>
    <row r="14637" spans="1:7">
      <c r="A14637" t="s">
        <v>1876</v>
      </c>
      <c r="B14637" t="s">
        <v>395</v>
      </c>
      <c r="C14637" t="s">
        <v>245</v>
      </c>
      <c r="D14637">
        <v>61277</v>
      </c>
      <c r="E14637">
        <v>58398</v>
      </c>
      <c r="F14637">
        <v>58887</v>
      </c>
      <c r="G14637">
        <v>61641</v>
      </c>
    </row>
    <row r="14638" spans="1:7">
      <c r="A14638" t="s">
        <v>1876</v>
      </c>
      <c r="B14638" t="s">
        <v>395</v>
      </c>
      <c r="C14638" t="s">
        <v>246</v>
      </c>
      <c r="D14638">
        <v>75022</v>
      </c>
      <c r="E14638">
        <v>82407</v>
      </c>
      <c r="F14638">
        <v>86161</v>
      </c>
      <c r="G14638">
        <v>77621</v>
      </c>
    </row>
    <row r="14639" spans="1:7">
      <c r="A14639" t="s">
        <v>1876</v>
      </c>
      <c r="B14639" t="s">
        <v>395</v>
      </c>
      <c r="C14639" t="s">
        <v>247</v>
      </c>
      <c r="D14639">
        <v>274420</v>
      </c>
      <c r="E14639">
        <v>287076</v>
      </c>
      <c r="F14639">
        <v>300849</v>
      </c>
      <c r="G14639">
        <v>289497</v>
      </c>
    </row>
    <row r="14640" spans="1:7">
      <c r="A14640" t="s">
        <v>1876</v>
      </c>
      <c r="B14640" t="s">
        <v>395</v>
      </c>
      <c r="C14640" t="s">
        <v>248</v>
      </c>
      <c r="D14640">
        <v>82.2</v>
      </c>
      <c r="E14640">
        <v>84.6</v>
      </c>
      <c r="F14640">
        <v>87.2</v>
      </c>
      <c r="G14640">
        <v>82.6</v>
      </c>
    </row>
    <row r="14641" spans="1:7">
      <c r="A14641" t="s">
        <v>1876</v>
      </c>
      <c r="B14641" t="s">
        <v>395</v>
      </c>
      <c r="C14641" t="s">
        <v>249</v>
      </c>
      <c r="D14641">
        <v>195227</v>
      </c>
      <c r="E14641">
        <v>203282</v>
      </c>
      <c r="F14641">
        <v>209542</v>
      </c>
      <c r="G14641">
        <v>198361</v>
      </c>
    </row>
    <row r="14642" spans="1:7">
      <c r="A14642" t="s">
        <v>1876</v>
      </c>
      <c r="B14642" t="s">
        <v>395</v>
      </c>
      <c r="C14642" t="s">
        <v>250</v>
      </c>
      <c r="D14642">
        <v>274420</v>
      </c>
      <c r="E14642">
        <v>287076</v>
      </c>
      <c r="F14642">
        <v>300717</v>
      </c>
      <c r="G14642">
        <v>289497</v>
      </c>
    </row>
    <row r="14643" spans="1:7">
      <c r="A14643" t="s">
        <v>1876</v>
      </c>
      <c r="B14643" t="s">
        <v>395</v>
      </c>
      <c r="C14643" t="s">
        <v>1937</v>
      </c>
      <c r="D14643">
        <v>18.899999999999999</v>
      </c>
      <c r="E14643">
        <v>24.3</v>
      </c>
      <c r="F14643">
        <v>28.7</v>
      </c>
      <c r="G14643">
        <v>30.5</v>
      </c>
    </row>
    <row r="14644" spans="1:7">
      <c r="A14644" t="s">
        <v>1876</v>
      </c>
      <c r="B14644" t="s">
        <v>395</v>
      </c>
      <c r="C14644" t="s">
        <v>1938</v>
      </c>
      <c r="D14644">
        <v>0</v>
      </c>
      <c r="E14644">
        <v>0</v>
      </c>
      <c r="F14644">
        <v>0</v>
      </c>
      <c r="G14644">
        <v>0</v>
      </c>
    </row>
    <row r="14645" spans="1:7">
      <c r="A14645" t="s">
        <v>1876</v>
      </c>
      <c r="B14645" t="s">
        <v>395</v>
      </c>
      <c r="C14645" t="s">
        <v>251</v>
      </c>
      <c r="D14645">
        <v>0</v>
      </c>
      <c r="E14645">
        <v>0</v>
      </c>
      <c r="F14645">
        <v>0</v>
      </c>
      <c r="G14645">
        <v>0</v>
      </c>
    </row>
    <row r="14646" spans="1:7">
      <c r="A14646" t="s">
        <v>1876</v>
      </c>
      <c r="B14646" t="s">
        <v>395</v>
      </c>
      <c r="C14646" t="s">
        <v>252</v>
      </c>
      <c r="D14646">
        <v>0</v>
      </c>
      <c r="E14646">
        <v>0</v>
      </c>
      <c r="F14646">
        <v>0</v>
      </c>
      <c r="G14646">
        <v>0</v>
      </c>
    </row>
    <row r="14647" spans="1:7">
      <c r="A14647" t="s">
        <v>1876</v>
      </c>
      <c r="B14647" t="s">
        <v>395</v>
      </c>
      <c r="C14647" t="s">
        <v>1710</v>
      </c>
      <c r="D14647">
        <v>0</v>
      </c>
      <c r="E14647">
        <v>0</v>
      </c>
      <c r="F14647">
        <v>0</v>
      </c>
      <c r="G14647">
        <v>0</v>
      </c>
    </row>
    <row r="14648" spans="1:7">
      <c r="A14648" t="s">
        <v>1876</v>
      </c>
      <c r="B14648" t="s">
        <v>395</v>
      </c>
      <c r="C14648" t="s">
        <v>1939</v>
      </c>
      <c r="D14648">
        <v>3.7</v>
      </c>
      <c r="E14648">
        <v>5.6</v>
      </c>
      <c r="F14648">
        <v>11.4</v>
      </c>
      <c r="G14648">
        <v>16.5</v>
      </c>
    </row>
    <row r="14649" spans="1:7">
      <c r="A14649" t="s">
        <v>1876</v>
      </c>
      <c r="B14649" t="s">
        <v>395</v>
      </c>
      <c r="C14649" t="s">
        <v>253</v>
      </c>
      <c r="D14649">
        <v>0</v>
      </c>
      <c r="E14649">
        <v>0</v>
      </c>
      <c r="F14649">
        <v>0</v>
      </c>
      <c r="G14649">
        <v>0</v>
      </c>
    </row>
    <row r="14650" spans="1:7">
      <c r="A14650" t="s">
        <v>1876</v>
      </c>
      <c r="B14650" t="s">
        <v>395</v>
      </c>
      <c r="C14650" t="s">
        <v>1711</v>
      </c>
      <c r="D14650">
        <v>0</v>
      </c>
      <c r="E14650">
        <v>0</v>
      </c>
      <c r="F14650">
        <v>0</v>
      </c>
      <c r="G14650">
        <v>0</v>
      </c>
    </row>
    <row r="14651" spans="1:7">
      <c r="A14651" t="s">
        <v>1876</v>
      </c>
      <c r="B14651" t="s">
        <v>395</v>
      </c>
      <c r="C14651" t="s">
        <v>1712</v>
      </c>
      <c r="D14651">
        <v>18460</v>
      </c>
      <c r="E14651">
        <v>18452</v>
      </c>
      <c r="F14651">
        <v>18052</v>
      </c>
      <c r="G14651">
        <v>17622</v>
      </c>
    </row>
    <row r="14652" spans="1:7">
      <c r="A14652" t="s">
        <v>1876</v>
      </c>
      <c r="B14652" t="s">
        <v>395</v>
      </c>
      <c r="C14652" t="s">
        <v>1713</v>
      </c>
      <c r="D14652">
        <v>365</v>
      </c>
      <c r="E14652">
        <v>270</v>
      </c>
      <c r="F14652">
        <v>300</v>
      </c>
      <c r="G14652">
        <v>121</v>
      </c>
    </row>
    <row r="14653" spans="1:7">
      <c r="A14653" t="s">
        <v>1876</v>
      </c>
      <c r="B14653" t="s">
        <v>395</v>
      </c>
      <c r="C14653" t="s">
        <v>1940</v>
      </c>
      <c r="D14653">
        <v>0</v>
      </c>
      <c r="E14653">
        <v>0</v>
      </c>
      <c r="F14653">
        <v>0</v>
      </c>
      <c r="G14653">
        <v>0</v>
      </c>
    </row>
    <row r="14654" spans="1:7">
      <c r="A14654" t="s">
        <v>1876</v>
      </c>
      <c r="B14654" t="s">
        <v>395</v>
      </c>
      <c r="C14654" t="s">
        <v>1941</v>
      </c>
      <c r="D14654">
        <v>0</v>
      </c>
      <c r="E14654">
        <v>0</v>
      </c>
      <c r="F14654">
        <v>0</v>
      </c>
      <c r="G14654">
        <v>0</v>
      </c>
    </row>
    <row r="14655" spans="1:7">
      <c r="A14655" t="s">
        <v>1876</v>
      </c>
      <c r="B14655" t="s">
        <v>395</v>
      </c>
      <c r="C14655" t="s">
        <v>254</v>
      </c>
      <c r="D14655">
        <v>18460</v>
      </c>
      <c r="E14655">
        <v>18452</v>
      </c>
      <c r="F14655">
        <v>18052</v>
      </c>
      <c r="G14655">
        <v>17622</v>
      </c>
    </row>
    <row r="14656" spans="1:7">
      <c r="A14656" t="s">
        <v>1876</v>
      </c>
      <c r="B14656" t="s">
        <v>395</v>
      </c>
      <c r="C14656" t="s">
        <v>1942</v>
      </c>
      <c r="D14656">
        <v>0</v>
      </c>
      <c r="E14656">
        <v>0</v>
      </c>
      <c r="F14656">
        <v>0</v>
      </c>
      <c r="G14656">
        <v>0</v>
      </c>
    </row>
    <row r="14657" spans="1:7">
      <c r="A14657" t="s">
        <v>1876</v>
      </c>
      <c r="B14657" t="s">
        <v>395</v>
      </c>
      <c r="C14657" t="s">
        <v>255</v>
      </c>
      <c r="D14657">
        <v>18825</v>
      </c>
      <c r="E14657">
        <v>18722</v>
      </c>
      <c r="F14657">
        <v>18352</v>
      </c>
      <c r="G14657">
        <v>17743</v>
      </c>
    </row>
    <row r="14658" spans="1:7">
      <c r="A14658" t="s">
        <v>1876</v>
      </c>
      <c r="B14658" t="s">
        <v>395</v>
      </c>
      <c r="C14658" t="s">
        <v>256</v>
      </c>
      <c r="D14658">
        <v>18825</v>
      </c>
      <c r="E14658">
        <v>18722</v>
      </c>
      <c r="F14658">
        <v>18352</v>
      </c>
      <c r="G14658">
        <v>17743</v>
      </c>
    </row>
    <row r="14659" spans="1:7">
      <c r="A14659" t="s">
        <v>1876</v>
      </c>
      <c r="B14659" t="s">
        <v>395</v>
      </c>
      <c r="C14659" t="s">
        <v>1714</v>
      </c>
      <c r="D14659">
        <v>40</v>
      </c>
      <c r="E14659">
        <v>40</v>
      </c>
      <c r="F14659">
        <v>40</v>
      </c>
      <c r="G14659">
        <v>40</v>
      </c>
    </row>
    <row r="14660" spans="1:7">
      <c r="A14660" t="s">
        <v>1876</v>
      </c>
      <c r="B14660" t="s">
        <v>395</v>
      </c>
      <c r="C14660" t="s">
        <v>257</v>
      </c>
      <c r="D14660">
        <v>31930</v>
      </c>
      <c r="E14660">
        <v>33768</v>
      </c>
      <c r="F14660">
        <v>32022</v>
      </c>
      <c r="G14660">
        <v>31500</v>
      </c>
    </row>
    <row r="14661" spans="1:7">
      <c r="A14661" t="s">
        <v>1876</v>
      </c>
      <c r="B14661" t="s">
        <v>395</v>
      </c>
      <c r="C14661" t="s">
        <v>258</v>
      </c>
      <c r="D14661">
        <v>33801</v>
      </c>
      <c r="E14661">
        <v>35717</v>
      </c>
      <c r="F14661">
        <v>33566</v>
      </c>
      <c r="G14661">
        <v>32891</v>
      </c>
    </row>
    <row r="14662" spans="1:7">
      <c r="A14662" t="s">
        <v>1876</v>
      </c>
      <c r="B14662" t="s">
        <v>395</v>
      </c>
      <c r="C14662" t="s">
        <v>259</v>
      </c>
      <c r="D14662">
        <v>33801</v>
      </c>
      <c r="E14662">
        <v>35717</v>
      </c>
      <c r="F14662">
        <v>33566</v>
      </c>
      <c r="G14662">
        <v>32891</v>
      </c>
    </row>
    <row r="14663" spans="1:7">
      <c r="A14663" t="s">
        <v>1876</v>
      </c>
      <c r="B14663" t="s">
        <v>395</v>
      </c>
      <c r="C14663" t="s">
        <v>260</v>
      </c>
      <c r="D14663">
        <v>255745</v>
      </c>
      <c r="E14663">
        <v>268175</v>
      </c>
      <c r="F14663">
        <v>263295</v>
      </c>
      <c r="G14663">
        <v>276174</v>
      </c>
    </row>
    <row r="14664" spans="1:7">
      <c r="A14664" t="s">
        <v>1876</v>
      </c>
      <c r="B14664" t="s">
        <v>395</v>
      </c>
      <c r="C14664" t="s">
        <v>1943</v>
      </c>
      <c r="D14664">
        <v>0.7</v>
      </c>
      <c r="E14664">
        <v>0.4</v>
      </c>
      <c r="F14664">
        <v>0.3</v>
      </c>
      <c r="G14664">
        <v>0.2</v>
      </c>
    </row>
    <row r="14665" spans="1:7">
      <c r="A14665" t="s">
        <v>1876</v>
      </c>
      <c r="B14665" t="s">
        <v>395</v>
      </c>
      <c r="C14665" t="s">
        <v>261</v>
      </c>
      <c r="D14665">
        <v>8186</v>
      </c>
      <c r="E14665">
        <v>8703</v>
      </c>
      <c r="F14665">
        <v>10302</v>
      </c>
      <c r="G14665">
        <v>9280</v>
      </c>
    </row>
    <row r="14666" spans="1:7">
      <c r="A14666" t="s">
        <v>1876</v>
      </c>
      <c r="B14666" t="s">
        <v>395</v>
      </c>
      <c r="C14666" t="s">
        <v>262</v>
      </c>
      <c r="D14666">
        <v>394</v>
      </c>
      <c r="E14666">
        <v>320</v>
      </c>
      <c r="F14666">
        <v>321</v>
      </c>
      <c r="G14666">
        <v>352</v>
      </c>
    </row>
    <row r="14667" spans="1:7">
      <c r="A14667" t="s">
        <v>1876</v>
      </c>
      <c r="B14667" t="s">
        <v>395</v>
      </c>
      <c r="C14667" t="s">
        <v>1715</v>
      </c>
      <c r="D14667">
        <v>28</v>
      </c>
      <c r="E14667">
        <v>28</v>
      </c>
      <c r="F14667">
        <v>28</v>
      </c>
      <c r="G14667">
        <v>28</v>
      </c>
    </row>
    <row r="14668" spans="1:7">
      <c r="A14668" t="s">
        <v>1876</v>
      </c>
      <c r="B14668" t="s">
        <v>395</v>
      </c>
      <c r="C14668" t="s">
        <v>263</v>
      </c>
      <c r="D14668">
        <v>49669</v>
      </c>
      <c r="E14668">
        <v>52682</v>
      </c>
      <c r="F14668">
        <v>49826</v>
      </c>
      <c r="G14668">
        <v>49949</v>
      </c>
    </row>
    <row r="14669" spans="1:7">
      <c r="A14669" t="s">
        <v>1876</v>
      </c>
      <c r="B14669" t="s">
        <v>395</v>
      </c>
      <c r="C14669" t="s">
        <v>264</v>
      </c>
      <c r="D14669">
        <v>1689</v>
      </c>
      <c r="E14669">
        <v>2370</v>
      </c>
      <c r="F14669">
        <v>2385</v>
      </c>
      <c r="G14669">
        <v>2407</v>
      </c>
    </row>
    <row r="14670" spans="1:7">
      <c r="A14670" t="s">
        <v>1876</v>
      </c>
      <c r="B14670" t="s">
        <v>395</v>
      </c>
      <c r="C14670" t="s">
        <v>265</v>
      </c>
      <c r="D14670">
        <v>315682</v>
      </c>
      <c r="E14670">
        <v>332250</v>
      </c>
      <c r="F14670">
        <v>326130</v>
      </c>
      <c r="G14670">
        <v>338161</v>
      </c>
    </row>
    <row r="14671" spans="1:7">
      <c r="A14671" t="s">
        <v>1876</v>
      </c>
      <c r="B14671" t="s">
        <v>395</v>
      </c>
      <c r="C14671" t="s">
        <v>266</v>
      </c>
      <c r="D14671">
        <v>94.5</v>
      </c>
      <c r="E14671">
        <v>97.9</v>
      </c>
      <c r="F14671">
        <v>94.6</v>
      </c>
      <c r="G14671">
        <v>96.5</v>
      </c>
    </row>
    <row r="14672" spans="1:7">
      <c r="A14672" t="s">
        <v>1876</v>
      </c>
      <c r="B14672" t="s">
        <v>395</v>
      </c>
      <c r="C14672" t="s">
        <v>267</v>
      </c>
      <c r="D14672">
        <v>315288</v>
      </c>
      <c r="E14672">
        <v>331930</v>
      </c>
      <c r="F14672">
        <v>325808</v>
      </c>
      <c r="G14672">
        <v>337809</v>
      </c>
    </row>
    <row r="14673" spans="1:7">
      <c r="A14673" t="s">
        <v>1876</v>
      </c>
      <c r="B14673" t="s">
        <v>395</v>
      </c>
      <c r="C14673" t="s">
        <v>268</v>
      </c>
      <c r="D14673">
        <v>0</v>
      </c>
      <c r="E14673">
        <v>0</v>
      </c>
      <c r="F14673">
        <v>0</v>
      </c>
      <c r="G14673">
        <v>0</v>
      </c>
    </row>
    <row r="14674" spans="1:7">
      <c r="A14674" t="s">
        <v>1876</v>
      </c>
      <c r="B14674" t="s">
        <v>395</v>
      </c>
      <c r="C14674" t="s">
        <v>269</v>
      </c>
      <c r="D14674">
        <v>0</v>
      </c>
      <c r="E14674">
        <v>0</v>
      </c>
      <c r="F14674">
        <v>0</v>
      </c>
      <c r="G14674">
        <v>0</v>
      </c>
    </row>
    <row r="14675" spans="1:7">
      <c r="A14675" t="s">
        <v>1876</v>
      </c>
      <c r="B14675" t="s">
        <v>395</v>
      </c>
      <c r="C14675" t="s">
        <v>270</v>
      </c>
      <c r="D14675">
        <v>4992</v>
      </c>
      <c r="E14675">
        <v>5168</v>
      </c>
      <c r="F14675">
        <v>5224</v>
      </c>
      <c r="G14675">
        <v>4954</v>
      </c>
    </row>
    <row r="14676" spans="1:7">
      <c r="A14676" t="s">
        <v>1876</v>
      </c>
      <c r="B14676" t="s">
        <v>395</v>
      </c>
      <c r="C14676" t="s">
        <v>271</v>
      </c>
      <c r="D14676">
        <v>4992</v>
      </c>
      <c r="E14676">
        <v>5168</v>
      </c>
      <c r="F14676">
        <v>5224</v>
      </c>
      <c r="G14676">
        <v>4954</v>
      </c>
    </row>
    <row r="14677" spans="1:7">
      <c r="A14677" t="s">
        <v>1876</v>
      </c>
      <c r="B14677" t="s">
        <v>395</v>
      </c>
      <c r="C14677" t="s">
        <v>272</v>
      </c>
      <c r="D14677">
        <v>4992</v>
      </c>
      <c r="E14677">
        <v>5168</v>
      </c>
      <c r="F14677">
        <v>5224</v>
      </c>
      <c r="G14677">
        <v>4954</v>
      </c>
    </row>
    <row r="14678" spans="1:7">
      <c r="A14678" t="s">
        <v>1876</v>
      </c>
      <c r="B14678" t="s">
        <v>395</v>
      </c>
      <c r="C14678" t="s">
        <v>1944</v>
      </c>
      <c r="D14678">
        <v>7.3</v>
      </c>
      <c r="E14678">
        <v>9.4</v>
      </c>
      <c r="F14678">
        <v>11.4</v>
      </c>
      <c r="G14678">
        <v>14.9</v>
      </c>
    </row>
    <row r="14679" spans="1:7">
      <c r="A14679" t="s">
        <v>1876</v>
      </c>
      <c r="B14679" t="s">
        <v>395</v>
      </c>
      <c r="C14679" t="s">
        <v>1945</v>
      </c>
      <c r="D14679">
        <v>12</v>
      </c>
      <c r="E14679">
        <v>17</v>
      </c>
      <c r="F14679">
        <v>30</v>
      </c>
      <c r="G14679">
        <v>35</v>
      </c>
    </row>
    <row r="14680" spans="1:7">
      <c r="A14680" t="s">
        <v>1876</v>
      </c>
      <c r="B14680" t="s">
        <v>395</v>
      </c>
      <c r="C14680" t="s">
        <v>273</v>
      </c>
      <c r="D14680">
        <v>0</v>
      </c>
      <c r="E14680">
        <v>0</v>
      </c>
      <c r="F14680">
        <v>0</v>
      </c>
      <c r="G14680">
        <v>0</v>
      </c>
    </row>
    <row r="14681" spans="1:7">
      <c r="A14681" t="s">
        <v>1876</v>
      </c>
      <c r="B14681" t="s">
        <v>395</v>
      </c>
      <c r="C14681" t="s">
        <v>1946</v>
      </c>
      <c r="D14681">
        <v>245261</v>
      </c>
      <c r="E14681">
        <v>258622</v>
      </c>
      <c r="F14681">
        <v>253392</v>
      </c>
      <c r="G14681">
        <v>266727</v>
      </c>
    </row>
    <row r="14682" spans="1:7">
      <c r="A14682" t="s">
        <v>1876</v>
      </c>
      <c r="B14682" t="s">
        <v>395</v>
      </c>
      <c r="C14682" t="s">
        <v>1947</v>
      </c>
      <c r="D14682">
        <v>8030</v>
      </c>
      <c r="E14682">
        <v>8551</v>
      </c>
      <c r="F14682">
        <v>10153</v>
      </c>
      <c r="G14682">
        <v>9115</v>
      </c>
    </row>
    <row r="14683" spans="1:7">
      <c r="A14683" t="s">
        <v>1876</v>
      </c>
      <c r="B14683" t="s">
        <v>395</v>
      </c>
      <c r="C14683" t="s">
        <v>1948</v>
      </c>
      <c r="D14683">
        <v>394</v>
      </c>
      <c r="E14683">
        <v>320</v>
      </c>
      <c r="F14683">
        <v>321</v>
      </c>
      <c r="G14683">
        <v>352</v>
      </c>
    </row>
    <row r="14684" spans="1:7">
      <c r="A14684" t="s">
        <v>1876</v>
      </c>
      <c r="B14684" t="s">
        <v>395</v>
      </c>
      <c r="C14684" t="s">
        <v>1949</v>
      </c>
      <c r="D14684">
        <v>49518</v>
      </c>
      <c r="E14684">
        <v>52534</v>
      </c>
      <c r="F14684">
        <v>49679</v>
      </c>
      <c r="G14684">
        <v>49780</v>
      </c>
    </row>
    <row r="14685" spans="1:7">
      <c r="A14685" t="s">
        <v>1876</v>
      </c>
      <c r="B14685" t="s">
        <v>395</v>
      </c>
      <c r="C14685" t="s">
        <v>1950</v>
      </c>
      <c r="D14685">
        <v>1689</v>
      </c>
      <c r="E14685">
        <v>2370</v>
      </c>
      <c r="F14685">
        <v>2385</v>
      </c>
      <c r="G14685">
        <v>2407</v>
      </c>
    </row>
    <row r="14686" spans="1:7">
      <c r="A14686" t="s">
        <v>1876</v>
      </c>
      <c r="B14686" t="s">
        <v>395</v>
      </c>
      <c r="C14686" t="s">
        <v>274</v>
      </c>
      <c r="D14686">
        <v>304892</v>
      </c>
      <c r="E14686">
        <v>322397</v>
      </c>
      <c r="F14686">
        <v>315930</v>
      </c>
      <c r="G14686">
        <v>328380</v>
      </c>
    </row>
    <row r="14687" spans="1:7">
      <c r="A14687" t="s">
        <v>1876</v>
      </c>
      <c r="B14687" t="s">
        <v>395</v>
      </c>
      <c r="C14687" t="s">
        <v>275</v>
      </c>
      <c r="D14687">
        <v>0</v>
      </c>
      <c r="E14687">
        <v>0</v>
      </c>
      <c r="F14687">
        <v>0</v>
      </c>
      <c r="G14687">
        <v>0</v>
      </c>
    </row>
    <row r="14688" spans="1:7">
      <c r="A14688" t="s">
        <v>1876</v>
      </c>
      <c r="B14688" t="s">
        <v>395</v>
      </c>
      <c r="C14688" t="s">
        <v>276</v>
      </c>
      <c r="D14688">
        <v>0</v>
      </c>
      <c r="E14688">
        <v>0</v>
      </c>
      <c r="F14688">
        <v>0</v>
      </c>
      <c r="G14688">
        <v>0</v>
      </c>
    </row>
    <row r="14689" spans="1:7">
      <c r="A14689" t="s">
        <v>1876</v>
      </c>
      <c r="B14689" t="s">
        <v>395</v>
      </c>
      <c r="C14689" t="s">
        <v>277</v>
      </c>
      <c r="D14689">
        <v>61</v>
      </c>
      <c r="E14689">
        <v>46</v>
      </c>
      <c r="F14689">
        <v>94</v>
      </c>
      <c r="G14689">
        <v>34</v>
      </c>
    </row>
    <row r="14690" spans="1:7">
      <c r="A14690" t="s">
        <v>1876</v>
      </c>
      <c r="B14690" t="s">
        <v>395</v>
      </c>
      <c r="C14690" t="s">
        <v>278</v>
      </c>
      <c r="D14690">
        <v>3109</v>
      </c>
      <c r="E14690">
        <v>3457</v>
      </c>
      <c r="F14690">
        <v>4734</v>
      </c>
      <c r="G14690">
        <v>3723</v>
      </c>
    </row>
    <row r="14691" spans="1:7">
      <c r="A14691" t="s">
        <v>1876</v>
      </c>
      <c r="B14691" t="s">
        <v>395</v>
      </c>
      <c r="C14691" t="s">
        <v>279</v>
      </c>
      <c r="D14691">
        <v>1135</v>
      </c>
      <c r="E14691">
        <v>2023</v>
      </c>
      <c r="F14691">
        <v>1231</v>
      </c>
      <c r="G14691">
        <v>1851</v>
      </c>
    </row>
    <row r="14692" spans="1:7">
      <c r="A14692" t="s">
        <v>1876</v>
      </c>
      <c r="B14692" t="s">
        <v>395</v>
      </c>
      <c r="C14692" t="s">
        <v>280</v>
      </c>
      <c r="D14692">
        <v>1561</v>
      </c>
      <c r="E14692">
        <v>2238</v>
      </c>
      <c r="F14692">
        <v>2238</v>
      </c>
      <c r="G14692">
        <v>2279</v>
      </c>
    </row>
    <row r="14693" spans="1:7">
      <c r="A14693" t="s">
        <v>1876</v>
      </c>
      <c r="B14693" t="s">
        <v>395</v>
      </c>
      <c r="C14693" t="s">
        <v>281</v>
      </c>
      <c r="D14693">
        <v>5866</v>
      </c>
      <c r="E14693">
        <v>7764</v>
      </c>
      <c r="F14693">
        <v>8297</v>
      </c>
      <c r="G14693">
        <v>7888</v>
      </c>
    </row>
    <row r="14694" spans="1:7">
      <c r="A14694" t="s">
        <v>1876</v>
      </c>
      <c r="B14694" t="s">
        <v>395</v>
      </c>
      <c r="C14694" t="s">
        <v>282</v>
      </c>
      <c r="D14694">
        <v>5866</v>
      </c>
      <c r="E14694">
        <v>7764</v>
      </c>
      <c r="F14694">
        <v>8297</v>
      </c>
      <c r="G14694">
        <v>7888</v>
      </c>
    </row>
    <row r="14695" spans="1:7">
      <c r="A14695" t="s">
        <v>1876</v>
      </c>
      <c r="B14695" t="s">
        <v>395</v>
      </c>
      <c r="C14695" t="s">
        <v>283</v>
      </c>
      <c r="D14695">
        <v>0</v>
      </c>
      <c r="E14695">
        <v>0</v>
      </c>
      <c r="F14695">
        <v>0</v>
      </c>
      <c r="G14695">
        <v>0</v>
      </c>
    </row>
    <row r="14696" spans="1:7">
      <c r="A14696" t="s">
        <v>1876</v>
      </c>
      <c r="B14696" t="s">
        <v>395</v>
      </c>
      <c r="C14696" t="s">
        <v>284</v>
      </c>
      <c r="D14696">
        <v>0</v>
      </c>
      <c r="E14696">
        <v>0</v>
      </c>
      <c r="F14696">
        <v>0</v>
      </c>
      <c r="G14696">
        <v>0</v>
      </c>
    </row>
    <row r="14697" spans="1:7">
      <c r="A14697" t="s">
        <v>1876</v>
      </c>
      <c r="B14697" t="s">
        <v>395</v>
      </c>
      <c r="C14697" t="s">
        <v>1716</v>
      </c>
      <c r="D14697">
        <v>10484</v>
      </c>
      <c r="E14697">
        <v>9553</v>
      </c>
      <c r="F14697">
        <v>9902</v>
      </c>
      <c r="G14697">
        <v>9447</v>
      </c>
    </row>
    <row r="14698" spans="1:7">
      <c r="A14698" t="s">
        <v>1876</v>
      </c>
      <c r="B14698" t="s">
        <v>395</v>
      </c>
      <c r="C14698" t="s">
        <v>1717</v>
      </c>
      <c r="D14698">
        <v>1734</v>
      </c>
      <c r="E14698">
        <v>1656</v>
      </c>
      <c r="F14698">
        <v>1971</v>
      </c>
      <c r="G14698">
        <v>2003</v>
      </c>
    </row>
    <row r="14699" spans="1:7">
      <c r="A14699" t="s">
        <v>1876</v>
      </c>
      <c r="B14699" t="s">
        <v>395</v>
      </c>
      <c r="C14699" t="s">
        <v>1718</v>
      </c>
      <c r="D14699">
        <v>18459</v>
      </c>
      <c r="E14699">
        <v>19876</v>
      </c>
      <c r="F14699">
        <v>20729</v>
      </c>
      <c r="G14699">
        <v>25341</v>
      </c>
    </row>
    <row r="14700" spans="1:7">
      <c r="A14700" t="s">
        <v>1876</v>
      </c>
      <c r="B14700" t="s">
        <v>395</v>
      </c>
      <c r="C14700" t="s">
        <v>1719</v>
      </c>
      <c r="D14700">
        <v>2189</v>
      </c>
      <c r="E14700">
        <v>2274</v>
      </c>
      <c r="F14700">
        <v>2367</v>
      </c>
      <c r="G14700">
        <v>2930</v>
      </c>
    </row>
    <row r="14701" spans="1:7">
      <c r="A14701" t="s">
        <v>1876</v>
      </c>
      <c r="B14701" t="s">
        <v>395</v>
      </c>
      <c r="C14701" t="s">
        <v>1720</v>
      </c>
      <c r="D14701">
        <v>760</v>
      </c>
      <c r="E14701">
        <v>945</v>
      </c>
      <c r="F14701">
        <v>948</v>
      </c>
      <c r="G14701">
        <v>998</v>
      </c>
    </row>
    <row r="14702" spans="1:7">
      <c r="A14702" t="s">
        <v>1876</v>
      </c>
      <c r="B14702" t="s">
        <v>395</v>
      </c>
      <c r="C14702" t="s">
        <v>1721</v>
      </c>
      <c r="D14702">
        <v>4612</v>
      </c>
      <c r="E14702">
        <v>5420</v>
      </c>
      <c r="F14702">
        <v>6238</v>
      </c>
      <c r="G14702">
        <v>6389</v>
      </c>
    </row>
    <row r="14703" spans="1:7">
      <c r="A14703" t="s">
        <v>1876</v>
      </c>
      <c r="B14703" t="s">
        <v>395</v>
      </c>
      <c r="C14703" t="s">
        <v>285</v>
      </c>
      <c r="D14703">
        <v>36049</v>
      </c>
      <c r="E14703">
        <v>37450</v>
      </c>
      <c r="F14703">
        <v>39788</v>
      </c>
      <c r="G14703">
        <v>44178</v>
      </c>
    </row>
    <row r="14704" spans="1:7">
      <c r="A14704" t="s">
        <v>1876</v>
      </c>
      <c r="B14704" t="s">
        <v>395</v>
      </c>
      <c r="C14704" t="s">
        <v>1951</v>
      </c>
      <c r="D14704">
        <v>4.4000000000000004</v>
      </c>
      <c r="E14704">
        <v>4.4000000000000004</v>
      </c>
      <c r="F14704">
        <v>4.7</v>
      </c>
      <c r="G14704">
        <v>5.2</v>
      </c>
    </row>
    <row r="14705" spans="1:7">
      <c r="A14705" t="s">
        <v>1876</v>
      </c>
      <c r="B14705" t="s">
        <v>395</v>
      </c>
      <c r="C14705" t="s">
        <v>286</v>
      </c>
      <c r="D14705">
        <v>0</v>
      </c>
      <c r="E14705">
        <v>0</v>
      </c>
      <c r="F14705">
        <v>0</v>
      </c>
      <c r="G14705">
        <v>0</v>
      </c>
    </row>
    <row r="14706" spans="1:7">
      <c r="A14706" t="s">
        <v>1876</v>
      </c>
      <c r="B14706" t="s">
        <v>395</v>
      </c>
      <c r="C14706" t="s">
        <v>287</v>
      </c>
      <c r="D14706">
        <v>0</v>
      </c>
      <c r="E14706">
        <v>0</v>
      </c>
      <c r="F14706">
        <v>0</v>
      </c>
      <c r="G14706">
        <v>0</v>
      </c>
    </row>
    <row r="14707" spans="1:7">
      <c r="A14707" t="s">
        <v>1876</v>
      </c>
      <c r="B14707" t="s">
        <v>395</v>
      </c>
      <c r="C14707" t="s">
        <v>288</v>
      </c>
      <c r="D14707">
        <v>0</v>
      </c>
      <c r="E14707">
        <v>0</v>
      </c>
      <c r="F14707">
        <v>0</v>
      </c>
      <c r="G14707">
        <v>0</v>
      </c>
    </row>
    <row r="14708" spans="1:7">
      <c r="A14708" t="s">
        <v>1876</v>
      </c>
      <c r="B14708" t="s">
        <v>395</v>
      </c>
      <c r="C14708" t="s">
        <v>289</v>
      </c>
      <c r="D14708">
        <v>7</v>
      </c>
      <c r="E14708">
        <v>8</v>
      </c>
      <c r="F14708">
        <v>6</v>
      </c>
      <c r="G14708">
        <v>7</v>
      </c>
    </row>
    <row r="14709" spans="1:7">
      <c r="A14709" t="s">
        <v>1876</v>
      </c>
      <c r="B14709" t="s">
        <v>395</v>
      </c>
      <c r="C14709" t="s">
        <v>290</v>
      </c>
      <c r="D14709">
        <v>7</v>
      </c>
      <c r="E14709">
        <v>8</v>
      </c>
      <c r="F14709">
        <v>6</v>
      </c>
      <c r="G14709">
        <v>7</v>
      </c>
    </row>
    <row r="14710" spans="1:7">
      <c r="A14710" t="s">
        <v>1876</v>
      </c>
      <c r="B14710" t="s">
        <v>395</v>
      </c>
      <c r="C14710" t="s">
        <v>291</v>
      </c>
      <c r="D14710">
        <v>7</v>
      </c>
      <c r="E14710">
        <v>8</v>
      </c>
      <c r="F14710">
        <v>6</v>
      </c>
      <c r="G14710">
        <v>7</v>
      </c>
    </row>
    <row r="14711" spans="1:7">
      <c r="A14711" t="s">
        <v>1876</v>
      </c>
      <c r="B14711" t="s">
        <v>395</v>
      </c>
      <c r="C14711" t="s">
        <v>292</v>
      </c>
      <c r="D14711">
        <v>0</v>
      </c>
      <c r="E14711">
        <v>0</v>
      </c>
      <c r="F14711">
        <v>26</v>
      </c>
      <c r="G14711">
        <v>0</v>
      </c>
    </row>
    <row r="14712" spans="1:7">
      <c r="A14712" t="s">
        <v>1876</v>
      </c>
      <c r="B14712" t="s">
        <v>395</v>
      </c>
      <c r="C14712" t="s">
        <v>293</v>
      </c>
      <c r="D14712">
        <v>0</v>
      </c>
      <c r="E14712">
        <v>0</v>
      </c>
      <c r="F14712">
        <v>45</v>
      </c>
      <c r="G14712">
        <v>0</v>
      </c>
    </row>
    <row r="14713" spans="1:7">
      <c r="A14713" t="s">
        <v>1876</v>
      </c>
      <c r="B14713" t="s">
        <v>395</v>
      </c>
      <c r="C14713" t="s">
        <v>294</v>
      </c>
      <c r="D14713">
        <v>0</v>
      </c>
      <c r="E14713">
        <v>0</v>
      </c>
      <c r="F14713">
        <v>18</v>
      </c>
      <c r="G14713">
        <v>0</v>
      </c>
    </row>
    <row r="14714" spans="1:7">
      <c r="A14714" t="s">
        <v>1876</v>
      </c>
      <c r="B14714" t="s">
        <v>395</v>
      </c>
      <c r="C14714" t="s">
        <v>295</v>
      </c>
      <c r="D14714">
        <v>0</v>
      </c>
      <c r="E14714">
        <v>0</v>
      </c>
      <c r="F14714">
        <v>43</v>
      </c>
      <c r="G14714">
        <v>0</v>
      </c>
    </row>
    <row r="14715" spans="1:7">
      <c r="A14715" t="s">
        <v>1876</v>
      </c>
      <c r="B14715" t="s">
        <v>395</v>
      </c>
      <c r="C14715" t="s">
        <v>296</v>
      </c>
      <c r="D14715">
        <v>0</v>
      </c>
      <c r="E14715">
        <v>0</v>
      </c>
      <c r="F14715">
        <v>132</v>
      </c>
      <c r="G14715">
        <v>0</v>
      </c>
    </row>
    <row r="14716" spans="1:7">
      <c r="A14716" t="s">
        <v>1876</v>
      </c>
      <c r="B14716" t="s">
        <v>395</v>
      </c>
      <c r="C14716" t="s">
        <v>297</v>
      </c>
      <c r="D14716">
        <v>17282</v>
      </c>
      <c r="E14716">
        <v>17618</v>
      </c>
      <c r="F14716">
        <v>17270</v>
      </c>
      <c r="G14716">
        <v>16870</v>
      </c>
    </row>
    <row r="14717" spans="1:7">
      <c r="A14717" t="s">
        <v>1876</v>
      </c>
      <c r="B14717" t="s">
        <v>395</v>
      </c>
      <c r="C14717" t="s">
        <v>1952</v>
      </c>
      <c r="D14717">
        <v>0</v>
      </c>
      <c r="E14717">
        <v>0</v>
      </c>
      <c r="F14717">
        <v>0</v>
      </c>
      <c r="G14717">
        <v>0</v>
      </c>
    </row>
    <row r="14718" spans="1:7">
      <c r="A14718" t="s">
        <v>1876</v>
      </c>
      <c r="B14718" t="s">
        <v>395</v>
      </c>
      <c r="C14718" t="s">
        <v>298</v>
      </c>
      <c r="D14718">
        <v>455</v>
      </c>
      <c r="E14718">
        <v>277</v>
      </c>
      <c r="F14718">
        <v>277</v>
      </c>
      <c r="G14718">
        <v>242</v>
      </c>
    </row>
    <row r="14719" spans="1:7">
      <c r="A14719" t="s">
        <v>1876</v>
      </c>
      <c r="B14719" t="s">
        <v>395</v>
      </c>
      <c r="C14719" t="s">
        <v>299</v>
      </c>
      <c r="D14719">
        <v>389</v>
      </c>
      <c r="E14719">
        <v>423</v>
      </c>
      <c r="F14719">
        <v>478</v>
      </c>
      <c r="G14719">
        <v>523</v>
      </c>
    </row>
    <row r="14720" spans="1:7">
      <c r="A14720" t="s">
        <v>1876</v>
      </c>
      <c r="B14720" t="s">
        <v>395</v>
      </c>
      <c r="C14720" t="s">
        <v>300</v>
      </c>
      <c r="D14720">
        <v>11872</v>
      </c>
      <c r="E14720">
        <v>13147</v>
      </c>
      <c r="F14720">
        <v>13405</v>
      </c>
      <c r="G14720">
        <v>18098</v>
      </c>
    </row>
    <row r="14721" spans="1:7">
      <c r="A14721" t="s">
        <v>1876</v>
      </c>
      <c r="B14721" t="s">
        <v>395</v>
      </c>
      <c r="C14721" t="s">
        <v>1722</v>
      </c>
      <c r="D14721">
        <v>1456</v>
      </c>
      <c r="E14721">
        <v>1541</v>
      </c>
      <c r="F14721">
        <v>1631</v>
      </c>
      <c r="G14721">
        <v>2197</v>
      </c>
    </row>
    <row r="14722" spans="1:7">
      <c r="A14722" t="s">
        <v>1876</v>
      </c>
      <c r="B14722" t="s">
        <v>395</v>
      </c>
      <c r="C14722" t="s">
        <v>301</v>
      </c>
      <c r="D14722">
        <v>39</v>
      </c>
      <c r="E14722">
        <v>41</v>
      </c>
      <c r="F14722">
        <v>44</v>
      </c>
      <c r="G14722">
        <v>72</v>
      </c>
    </row>
    <row r="14723" spans="1:7">
      <c r="A14723" t="s">
        <v>1876</v>
      </c>
      <c r="B14723" t="s">
        <v>395</v>
      </c>
      <c r="C14723" t="s">
        <v>302</v>
      </c>
      <c r="D14723">
        <v>1874</v>
      </c>
      <c r="E14723">
        <v>2242</v>
      </c>
      <c r="F14723">
        <v>2628</v>
      </c>
      <c r="G14723">
        <v>2882</v>
      </c>
    </row>
    <row r="14724" spans="1:7">
      <c r="A14724" t="s">
        <v>1876</v>
      </c>
      <c r="B14724" t="s">
        <v>395</v>
      </c>
      <c r="C14724" t="s">
        <v>303</v>
      </c>
      <c r="D14724">
        <v>14173</v>
      </c>
      <c r="E14724">
        <v>15853</v>
      </c>
      <c r="F14724">
        <v>16554</v>
      </c>
      <c r="G14724">
        <v>21575</v>
      </c>
    </row>
    <row r="14725" spans="1:7">
      <c r="A14725" t="s">
        <v>1876</v>
      </c>
      <c r="B14725" t="s">
        <v>395</v>
      </c>
      <c r="C14725" t="s">
        <v>304</v>
      </c>
      <c r="D14725">
        <v>2301</v>
      </c>
      <c r="E14725">
        <v>2706</v>
      </c>
      <c r="F14725">
        <v>3149</v>
      </c>
      <c r="G14725">
        <v>3477</v>
      </c>
    </row>
    <row r="14726" spans="1:7">
      <c r="A14726" t="s">
        <v>1876</v>
      </c>
      <c r="B14726" t="s">
        <v>395</v>
      </c>
      <c r="C14726" t="s">
        <v>1953</v>
      </c>
      <c r="D14726">
        <v>29.5</v>
      </c>
      <c r="E14726">
        <v>29.2</v>
      </c>
      <c r="F14726">
        <v>28</v>
      </c>
      <c r="G14726">
        <v>29</v>
      </c>
    </row>
    <row r="14727" spans="1:7">
      <c r="A14727" t="s">
        <v>1876</v>
      </c>
      <c r="B14727" t="s">
        <v>395</v>
      </c>
      <c r="C14727" t="s">
        <v>305</v>
      </c>
      <c r="D14727">
        <v>269066</v>
      </c>
      <c r="E14727">
        <v>281283</v>
      </c>
      <c r="F14727">
        <v>276335</v>
      </c>
      <c r="G14727">
        <v>287832</v>
      </c>
    </row>
    <row r="14728" spans="1:7">
      <c r="A14728" t="s">
        <v>1876</v>
      </c>
      <c r="B14728" t="s">
        <v>395</v>
      </c>
      <c r="C14728" t="s">
        <v>306</v>
      </c>
      <c r="D14728">
        <v>80.599999999999994</v>
      </c>
      <c r="E14728">
        <v>82.9</v>
      </c>
      <c r="F14728">
        <v>80.099999999999994</v>
      </c>
      <c r="G14728">
        <v>82.2</v>
      </c>
    </row>
    <row r="14729" spans="1:7">
      <c r="A14729" t="s">
        <v>1876</v>
      </c>
      <c r="B14729" t="s">
        <v>395</v>
      </c>
      <c r="C14729" t="s">
        <v>307</v>
      </c>
      <c r="D14729">
        <v>167115</v>
      </c>
      <c r="E14729">
        <v>176163</v>
      </c>
      <c r="F14729">
        <v>182408</v>
      </c>
      <c r="G14729">
        <v>183592</v>
      </c>
    </row>
    <row r="14730" spans="1:7">
      <c r="A14730" t="s">
        <v>1876</v>
      </c>
      <c r="B14730" t="s">
        <v>395</v>
      </c>
      <c r="C14730" t="s">
        <v>308</v>
      </c>
      <c r="D14730">
        <v>50</v>
      </c>
      <c r="E14730">
        <v>51.9</v>
      </c>
      <c r="F14730">
        <v>52.9</v>
      </c>
      <c r="G14730">
        <v>52.4</v>
      </c>
    </row>
    <row r="14731" spans="1:7">
      <c r="A14731" t="s">
        <v>1876</v>
      </c>
      <c r="B14731" t="s">
        <v>395</v>
      </c>
      <c r="C14731" t="s">
        <v>309</v>
      </c>
      <c r="D14731">
        <v>366480</v>
      </c>
      <c r="E14731">
        <v>334474</v>
      </c>
      <c r="F14731">
        <v>279578</v>
      </c>
      <c r="G14731">
        <v>288801</v>
      </c>
    </row>
    <row r="14732" spans="1:7">
      <c r="A14732" t="s">
        <v>1876</v>
      </c>
      <c r="B14732" t="s">
        <v>395</v>
      </c>
      <c r="C14732" t="s">
        <v>310</v>
      </c>
      <c r="D14732">
        <v>205644</v>
      </c>
      <c r="E14732">
        <v>201443</v>
      </c>
      <c r="F14732">
        <v>193074</v>
      </c>
      <c r="G14732">
        <v>194533</v>
      </c>
    </row>
    <row r="14733" spans="1:7">
      <c r="A14733" t="s">
        <v>1876</v>
      </c>
      <c r="B14733" t="s">
        <v>395</v>
      </c>
      <c r="C14733" t="s">
        <v>311</v>
      </c>
      <c r="D14733">
        <v>61.6</v>
      </c>
      <c r="E14733">
        <v>59.4</v>
      </c>
      <c r="F14733">
        <v>56</v>
      </c>
      <c r="G14733">
        <v>55.5</v>
      </c>
    </row>
    <row r="14734" spans="1:7">
      <c r="A14734" t="s">
        <v>1876</v>
      </c>
      <c r="B14734" t="s">
        <v>395</v>
      </c>
      <c r="C14734" t="s">
        <v>312</v>
      </c>
      <c r="D14734">
        <v>181168</v>
      </c>
      <c r="E14734">
        <v>192592</v>
      </c>
      <c r="F14734">
        <v>195280</v>
      </c>
      <c r="G14734">
        <v>190672</v>
      </c>
    </row>
    <row r="14735" spans="1:7">
      <c r="A14735" t="s">
        <v>1876</v>
      </c>
      <c r="B14735" t="s">
        <v>395</v>
      </c>
      <c r="C14735" t="s">
        <v>313</v>
      </c>
      <c r="D14735">
        <v>54.2</v>
      </c>
      <c r="E14735">
        <v>56.7</v>
      </c>
      <c r="F14735">
        <v>56.6</v>
      </c>
      <c r="G14735">
        <v>54.4</v>
      </c>
    </row>
    <row r="14736" spans="1:7">
      <c r="A14736" t="s">
        <v>1876</v>
      </c>
      <c r="B14736" t="s">
        <v>395</v>
      </c>
      <c r="C14736" t="s">
        <v>314</v>
      </c>
      <c r="D14736">
        <v>822993</v>
      </c>
      <c r="E14736">
        <v>851481</v>
      </c>
      <c r="F14736">
        <v>847097</v>
      </c>
      <c r="G14736">
        <v>856628</v>
      </c>
    </row>
    <row r="14737" spans="1:7">
      <c r="A14737" t="s">
        <v>1876</v>
      </c>
      <c r="B14737" t="s">
        <v>395</v>
      </c>
      <c r="C14737" t="s">
        <v>315</v>
      </c>
      <c r="D14737">
        <v>3.9</v>
      </c>
      <c r="E14737">
        <v>3.91</v>
      </c>
      <c r="F14737">
        <v>3.74</v>
      </c>
      <c r="G14737">
        <v>3.66</v>
      </c>
    </row>
    <row r="14738" spans="1:7">
      <c r="A14738" t="s">
        <v>1876</v>
      </c>
      <c r="B14738" t="s">
        <v>395</v>
      </c>
      <c r="C14738" t="s">
        <v>316</v>
      </c>
      <c r="D14738">
        <v>246.4</v>
      </c>
      <c r="E14738">
        <v>250.9</v>
      </c>
      <c r="F14738">
        <v>245.6</v>
      </c>
      <c r="G14738">
        <v>244.5</v>
      </c>
    </row>
    <row r="14739" spans="1:7">
      <c r="A14739" t="s">
        <v>1876</v>
      </c>
      <c r="B14739" t="s">
        <v>395</v>
      </c>
      <c r="C14739" t="s">
        <v>317</v>
      </c>
      <c r="D14739">
        <v>822993</v>
      </c>
      <c r="E14739">
        <v>851482</v>
      </c>
      <c r="F14739">
        <v>847097</v>
      </c>
      <c r="G14739">
        <v>856629</v>
      </c>
    </row>
    <row r="14740" spans="1:7">
      <c r="A14740" t="s">
        <v>1876</v>
      </c>
      <c r="B14740" t="s">
        <v>395</v>
      </c>
      <c r="C14740" t="s">
        <v>318</v>
      </c>
      <c r="D14740">
        <v>268786</v>
      </c>
      <c r="E14740">
        <v>281025</v>
      </c>
      <c r="F14740">
        <v>276038</v>
      </c>
      <c r="G14740">
        <v>287545</v>
      </c>
    </row>
    <row r="14741" spans="1:7">
      <c r="A14741" t="s">
        <v>1876</v>
      </c>
      <c r="B14741" t="s">
        <v>395</v>
      </c>
      <c r="C14741" t="s">
        <v>319</v>
      </c>
      <c r="D14741">
        <v>97466</v>
      </c>
      <c r="E14741">
        <v>103906</v>
      </c>
      <c r="F14741">
        <v>109543</v>
      </c>
      <c r="G14741">
        <v>107235</v>
      </c>
    </row>
    <row r="14742" spans="1:7">
      <c r="A14742" t="s">
        <v>1876</v>
      </c>
      <c r="B14742" t="s">
        <v>395</v>
      </c>
      <c r="C14742" t="s">
        <v>320</v>
      </c>
      <c r="D14742">
        <v>151599</v>
      </c>
      <c r="E14742">
        <v>150328</v>
      </c>
      <c r="F14742">
        <v>145966</v>
      </c>
      <c r="G14742">
        <v>147619</v>
      </c>
    </row>
    <row r="14743" spans="1:7">
      <c r="A14743" t="s">
        <v>1876</v>
      </c>
      <c r="B14743" t="s">
        <v>395</v>
      </c>
      <c r="C14743" t="s">
        <v>321</v>
      </c>
      <c r="D14743">
        <v>118686</v>
      </c>
      <c r="E14743">
        <v>128904</v>
      </c>
      <c r="F14743">
        <v>133393</v>
      </c>
      <c r="G14743">
        <v>126764</v>
      </c>
    </row>
    <row r="14744" spans="1:7">
      <c r="A14744" t="s">
        <v>1876</v>
      </c>
      <c r="B14744" t="s">
        <v>395</v>
      </c>
      <c r="C14744" t="s">
        <v>1954</v>
      </c>
      <c r="D14744">
        <v>636536</v>
      </c>
      <c r="E14744">
        <v>664163</v>
      </c>
      <c r="F14744">
        <v>664941</v>
      </c>
      <c r="G14744">
        <v>669163</v>
      </c>
    </row>
    <row r="14745" spans="1:7">
      <c r="A14745" t="s">
        <v>1876</v>
      </c>
      <c r="B14745" t="s">
        <v>395</v>
      </c>
      <c r="C14745" t="s">
        <v>323</v>
      </c>
      <c r="D14745">
        <v>3340</v>
      </c>
      <c r="E14745">
        <v>3394</v>
      </c>
      <c r="F14745">
        <v>3449</v>
      </c>
      <c r="G14745">
        <v>3503</v>
      </c>
    </row>
    <row r="14746" spans="1:7">
      <c r="A14746" t="s">
        <v>1876</v>
      </c>
      <c r="B14746" t="s">
        <v>395</v>
      </c>
      <c r="C14746" t="s">
        <v>324</v>
      </c>
      <c r="D14746">
        <v>574</v>
      </c>
      <c r="E14746">
        <v>0</v>
      </c>
      <c r="F14746">
        <v>0</v>
      </c>
      <c r="G14746">
        <v>0</v>
      </c>
    </row>
    <row r="14747" spans="1:7">
      <c r="A14747" t="s">
        <v>1876</v>
      </c>
      <c r="B14747" t="s">
        <v>395</v>
      </c>
      <c r="C14747" t="s">
        <v>325</v>
      </c>
      <c r="D14747">
        <v>0</v>
      </c>
      <c r="E14747">
        <v>0</v>
      </c>
      <c r="F14747">
        <v>0</v>
      </c>
      <c r="G14747">
        <v>0</v>
      </c>
    </row>
    <row r="14748" spans="1:7">
      <c r="A14748" t="s">
        <v>1876</v>
      </c>
      <c r="B14748" t="s">
        <v>395</v>
      </c>
      <c r="C14748" t="s">
        <v>326</v>
      </c>
      <c r="D14748">
        <v>509</v>
      </c>
      <c r="E14748">
        <v>471</v>
      </c>
      <c r="F14748">
        <v>632</v>
      </c>
      <c r="G14748">
        <v>654</v>
      </c>
    </row>
    <row r="14749" spans="1:7">
      <c r="A14749" t="s">
        <v>1876</v>
      </c>
      <c r="B14749" t="s">
        <v>395</v>
      </c>
      <c r="C14749" t="s">
        <v>327</v>
      </c>
      <c r="D14749">
        <v>0</v>
      </c>
      <c r="E14749">
        <v>0</v>
      </c>
      <c r="F14749">
        <v>0</v>
      </c>
      <c r="G14749">
        <v>0</v>
      </c>
    </row>
    <row r="14750" spans="1:7">
      <c r="A14750" t="s">
        <v>1876</v>
      </c>
      <c r="B14750" t="s">
        <v>395</v>
      </c>
      <c r="C14750" t="s">
        <v>1723</v>
      </c>
      <c r="D14750">
        <v>0</v>
      </c>
      <c r="E14750">
        <v>0</v>
      </c>
      <c r="F14750">
        <v>0</v>
      </c>
      <c r="G14750">
        <v>0</v>
      </c>
    </row>
    <row r="14751" spans="1:7">
      <c r="A14751" t="s">
        <v>1876</v>
      </c>
      <c r="B14751" t="s">
        <v>395</v>
      </c>
      <c r="C14751" t="s">
        <v>328</v>
      </c>
      <c r="D14751">
        <v>154</v>
      </c>
      <c r="E14751">
        <v>395</v>
      </c>
      <c r="F14751">
        <v>395</v>
      </c>
      <c r="G14751">
        <v>395</v>
      </c>
    </row>
    <row r="14752" spans="1:7">
      <c r="A14752" t="s">
        <v>1876</v>
      </c>
      <c r="B14752" t="s">
        <v>395</v>
      </c>
      <c r="C14752" t="s">
        <v>329</v>
      </c>
      <c r="D14752">
        <v>2642</v>
      </c>
      <c r="E14752">
        <v>3082</v>
      </c>
      <c r="F14752">
        <v>3514</v>
      </c>
      <c r="G14752">
        <v>3411</v>
      </c>
    </row>
    <row r="14753" spans="1:7">
      <c r="A14753" t="s">
        <v>1876</v>
      </c>
      <c r="B14753" t="s">
        <v>395</v>
      </c>
      <c r="C14753" t="s">
        <v>330</v>
      </c>
      <c r="D14753">
        <v>3305</v>
      </c>
      <c r="E14753">
        <v>3948</v>
      </c>
      <c r="F14753">
        <v>4541</v>
      </c>
      <c r="G14753">
        <v>4460</v>
      </c>
    </row>
    <row r="14754" spans="1:7">
      <c r="A14754" t="s">
        <v>1876</v>
      </c>
      <c r="B14754" t="s">
        <v>395</v>
      </c>
      <c r="C14754" t="s">
        <v>331</v>
      </c>
      <c r="D14754">
        <v>207</v>
      </c>
      <c r="E14754">
        <v>148</v>
      </c>
      <c r="F14754">
        <v>186</v>
      </c>
      <c r="G14754">
        <v>131</v>
      </c>
    </row>
    <row r="14755" spans="1:7">
      <c r="A14755" t="s">
        <v>1876</v>
      </c>
      <c r="B14755" t="s">
        <v>395</v>
      </c>
      <c r="C14755" t="s">
        <v>332</v>
      </c>
      <c r="D14755">
        <v>774</v>
      </c>
      <c r="E14755">
        <v>755</v>
      </c>
      <c r="F14755">
        <v>976</v>
      </c>
      <c r="G14755">
        <v>736</v>
      </c>
    </row>
    <row r="14756" spans="1:7">
      <c r="A14756" t="s">
        <v>1876</v>
      </c>
      <c r="B14756" t="s">
        <v>395</v>
      </c>
      <c r="C14756" t="s">
        <v>1724</v>
      </c>
      <c r="D14756">
        <v>13</v>
      </c>
      <c r="E14756">
        <v>13</v>
      </c>
      <c r="F14756">
        <v>16</v>
      </c>
      <c r="G14756">
        <v>13</v>
      </c>
    </row>
    <row r="14757" spans="1:7">
      <c r="A14757" t="s">
        <v>1876</v>
      </c>
      <c r="B14757" t="s">
        <v>395</v>
      </c>
      <c r="C14757" t="s">
        <v>333</v>
      </c>
      <c r="D14757">
        <v>59</v>
      </c>
      <c r="E14757">
        <v>4</v>
      </c>
      <c r="F14757">
        <v>4</v>
      </c>
      <c r="G14757">
        <v>5</v>
      </c>
    </row>
    <row r="14758" spans="1:7">
      <c r="A14758" t="s">
        <v>1876</v>
      </c>
      <c r="B14758" t="s">
        <v>395</v>
      </c>
      <c r="C14758" t="s">
        <v>334</v>
      </c>
      <c r="D14758">
        <v>1041</v>
      </c>
      <c r="E14758">
        <v>907</v>
      </c>
      <c r="F14758">
        <v>1166</v>
      </c>
      <c r="G14758">
        <v>873</v>
      </c>
    </row>
    <row r="14759" spans="1:7">
      <c r="A14759" t="s">
        <v>1876</v>
      </c>
      <c r="B14759" t="s">
        <v>395</v>
      </c>
      <c r="C14759" t="s">
        <v>335</v>
      </c>
      <c r="D14759">
        <v>716</v>
      </c>
      <c r="E14759">
        <v>619</v>
      </c>
      <c r="F14759">
        <v>817</v>
      </c>
      <c r="G14759">
        <v>785</v>
      </c>
    </row>
    <row r="14760" spans="1:7">
      <c r="A14760" t="s">
        <v>1876</v>
      </c>
      <c r="B14760" t="s">
        <v>395</v>
      </c>
      <c r="C14760" t="s">
        <v>336</v>
      </c>
      <c r="D14760">
        <v>774</v>
      </c>
      <c r="E14760">
        <v>755</v>
      </c>
      <c r="F14760">
        <v>976</v>
      </c>
      <c r="G14760">
        <v>736</v>
      </c>
    </row>
    <row r="14761" spans="1:7">
      <c r="A14761" t="s">
        <v>1876</v>
      </c>
      <c r="B14761" t="s">
        <v>395</v>
      </c>
      <c r="C14761" t="s">
        <v>337</v>
      </c>
      <c r="D14761">
        <v>213</v>
      </c>
      <c r="E14761">
        <v>399</v>
      </c>
      <c r="F14761">
        <v>400</v>
      </c>
      <c r="G14761">
        <v>401</v>
      </c>
    </row>
    <row r="14762" spans="1:7">
      <c r="A14762" t="s">
        <v>1876</v>
      </c>
      <c r="B14762" t="s">
        <v>395</v>
      </c>
      <c r="C14762" t="s">
        <v>338</v>
      </c>
      <c r="D14762">
        <v>4346</v>
      </c>
      <c r="E14762">
        <v>4855</v>
      </c>
      <c r="F14762">
        <v>5708</v>
      </c>
      <c r="G14762">
        <v>5333</v>
      </c>
    </row>
    <row r="14763" spans="1:7">
      <c r="A14763" t="s">
        <v>1876</v>
      </c>
      <c r="B14763" t="s">
        <v>395</v>
      </c>
      <c r="C14763" t="s">
        <v>339</v>
      </c>
      <c r="D14763">
        <v>3571</v>
      </c>
      <c r="E14763">
        <v>4100</v>
      </c>
      <c r="F14763">
        <v>4732</v>
      </c>
      <c r="G14763">
        <v>4597</v>
      </c>
    </row>
    <row r="14764" spans="1:7">
      <c r="A14764" t="s">
        <v>1876</v>
      </c>
      <c r="B14764" t="s">
        <v>395</v>
      </c>
      <c r="C14764" t="s">
        <v>340</v>
      </c>
      <c r="D14764">
        <v>94</v>
      </c>
      <c r="E14764">
        <v>118</v>
      </c>
      <c r="F14764">
        <v>82</v>
      </c>
      <c r="G14764">
        <v>100</v>
      </c>
    </row>
    <row r="14765" spans="1:7">
      <c r="A14765" t="s">
        <v>1876</v>
      </c>
      <c r="B14765" t="s">
        <v>395</v>
      </c>
      <c r="C14765" t="s">
        <v>1955</v>
      </c>
      <c r="D14765">
        <v>24.2</v>
      </c>
      <c r="E14765">
        <v>21.2</v>
      </c>
      <c r="F14765">
        <v>20</v>
      </c>
      <c r="G14765">
        <v>21.9</v>
      </c>
    </row>
    <row r="14766" spans="1:7">
      <c r="A14766" t="s">
        <v>1876</v>
      </c>
      <c r="B14766" t="s">
        <v>395</v>
      </c>
      <c r="C14766" t="s">
        <v>341</v>
      </c>
      <c r="D14766">
        <v>0</v>
      </c>
      <c r="E14766">
        <v>0</v>
      </c>
      <c r="F14766">
        <v>0</v>
      </c>
      <c r="G14766">
        <v>0</v>
      </c>
    </row>
    <row r="14767" spans="1:7">
      <c r="A14767" t="s">
        <v>1876</v>
      </c>
      <c r="B14767" t="s">
        <v>395</v>
      </c>
      <c r="C14767" t="s">
        <v>342</v>
      </c>
      <c r="D14767">
        <v>2816</v>
      </c>
      <c r="E14767">
        <v>2468</v>
      </c>
      <c r="F14767">
        <v>2332</v>
      </c>
      <c r="G14767">
        <v>2554</v>
      </c>
    </row>
    <row r="14768" spans="1:7">
      <c r="A14768" t="s">
        <v>1876</v>
      </c>
      <c r="B14768" t="s">
        <v>395</v>
      </c>
      <c r="C14768" t="s">
        <v>1725</v>
      </c>
      <c r="D14768">
        <v>390</v>
      </c>
      <c r="E14768">
        <v>390</v>
      </c>
      <c r="F14768">
        <v>390</v>
      </c>
      <c r="G14768">
        <v>390</v>
      </c>
    </row>
    <row r="14769" spans="1:7">
      <c r="A14769" t="s">
        <v>1876</v>
      </c>
      <c r="B14769" t="s">
        <v>395</v>
      </c>
      <c r="C14769" t="s">
        <v>343</v>
      </c>
      <c r="D14769">
        <v>0</v>
      </c>
      <c r="E14769">
        <v>0</v>
      </c>
      <c r="F14769">
        <v>0</v>
      </c>
      <c r="G14769">
        <v>0</v>
      </c>
    </row>
    <row r="14770" spans="1:7">
      <c r="A14770" t="s">
        <v>1876</v>
      </c>
      <c r="B14770" t="s">
        <v>395</v>
      </c>
      <c r="C14770" t="s">
        <v>344</v>
      </c>
      <c r="D14770">
        <v>2816</v>
      </c>
      <c r="E14770">
        <v>2468</v>
      </c>
      <c r="F14770">
        <v>2332</v>
      </c>
      <c r="G14770">
        <v>2554</v>
      </c>
    </row>
    <row r="14771" spans="1:7">
      <c r="A14771" t="s">
        <v>1876</v>
      </c>
      <c r="B14771" t="s">
        <v>395</v>
      </c>
      <c r="C14771" t="s">
        <v>345</v>
      </c>
      <c r="D14771">
        <v>0</v>
      </c>
      <c r="E14771">
        <v>0</v>
      </c>
      <c r="F14771">
        <v>0</v>
      </c>
      <c r="G14771">
        <v>0</v>
      </c>
    </row>
    <row r="14772" spans="1:7">
      <c r="A14772" t="s">
        <v>1876</v>
      </c>
      <c r="B14772" t="s">
        <v>395</v>
      </c>
      <c r="C14772" t="s">
        <v>1956</v>
      </c>
      <c r="D14772">
        <v>774</v>
      </c>
      <c r="E14772">
        <v>755</v>
      </c>
      <c r="F14772">
        <v>976</v>
      </c>
      <c r="G14772">
        <v>736</v>
      </c>
    </row>
    <row r="14773" spans="1:7">
      <c r="A14773" t="s">
        <v>1876</v>
      </c>
      <c r="B14773" t="s">
        <v>395</v>
      </c>
      <c r="C14773" t="s">
        <v>1957</v>
      </c>
      <c r="D14773">
        <v>1041</v>
      </c>
      <c r="E14773">
        <v>907</v>
      </c>
      <c r="F14773">
        <v>1166</v>
      </c>
      <c r="G14773">
        <v>873</v>
      </c>
    </row>
    <row r="14774" spans="1:7">
      <c r="A14774" t="s">
        <v>1876</v>
      </c>
      <c r="B14774" t="s">
        <v>395</v>
      </c>
      <c r="C14774" t="s">
        <v>346</v>
      </c>
      <c r="D14774">
        <v>739</v>
      </c>
      <c r="E14774">
        <v>700</v>
      </c>
      <c r="F14774">
        <v>549</v>
      </c>
      <c r="G14774">
        <v>706</v>
      </c>
    </row>
    <row r="14775" spans="1:7">
      <c r="A14775" t="s">
        <v>1876</v>
      </c>
      <c r="B14775" t="s">
        <v>395</v>
      </c>
      <c r="C14775" t="s">
        <v>347</v>
      </c>
      <c r="D14775">
        <v>6551</v>
      </c>
      <c r="E14775">
        <v>7019</v>
      </c>
      <c r="F14775">
        <v>7203</v>
      </c>
      <c r="G14775">
        <v>6549</v>
      </c>
    </row>
    <row r="14776" spans="1:7">
      <c r="A14776" t="s">
        <v>1876</v>
      </c>
      <c r="B14776" t="s">
        <v>396</v>
      </c>
      <c r="C14776" t="s">
        <v>133</v>
      </c>
      <c r="D14776">
        <v>0</v>
      </c>
      <c r="E14776">
        <v>0</v>
      </c>
      <c r="F14776">
        <v>0</v>
      </c>
      <c r="G14776">
        <v>0</v>
      </c>
    </row>
    <row r="14777" spans="1:7">
      <c r="A14777" t="s">
        <v>1876</v>
      </c>
      <c r="B14777" t="s">
        <v>396</v>
      </c>
      <c r="C14777" t="s">
        <v>134</v>
      </c>
      <c r="D14777">
        <v>21346</v>
      </c>
      <c r="E14777">
        <v>22737</v>
      </c>
      <c r="F14777">
        <v>22903</v>
      </c>
      <c r="G14777">
        <v>20575</v>
      </c>
    </row>
    <row r="14778" spans="1:7">
      <c r="A14778" t="s">
        <v>1876</v>
      </c>
      <c r="B14778" t="s">
        <v>396</v>
      </c>
      <c r="C14778" t="s">
        <v>135</v>
      </c>
      <c r="D14778">
        <v>21346</v>
      </c>
      <c r="E14778">
        <v>22737</v>
      </c>
      <c r="F14778">
        <v>22903</v>
      </c>
      <c r="G14778">
        <v>20575</v>
      </c>
    </row>
    <row r="14779" spans="1:7">
      <c r="A14779" t="s">
        <v>1876</v>
      </c>
      <c r="B14779" t="s">
        <v>396</v>
      </c>
      <c r="C14779" t="s">
        <v>136</v>
      </c>
      <c r="D14779">
        <v>21346</v>
      </c>
      <c r="E14779">
        <v>22737</v>
      </c>
      <c r="F14779">
        <v>22903</v>
      </c>
      <c r="G14779">
        <v>20575</v>
      </c>
    </row>
    <row r="14780" spans="1:7">
      <c r="A14780" t="s">
        <v>1876</v>
      </c>
      <c r="B14780" t="s">
        <v>396</v>
      </c>
      <c r="C14780" t="s">
        <v>137</v>
      </c>
      <c r="D14780">
        <v>395</v>
      </c>
      <c r="E14780">
        <v>409</v>
      </c>
      <c r="F14780">
        <v>389</v>
      </c>
      <c r="G14780">
        <v>418</v>
      </c>
    </row>
    <row r="14781" spans="1:7">
      <c r="A14781" t="s">
        <v>1876</v>
      </c>
      <c r="B14781" t="s">
        <v>396</v>
      </c>
      <c r="C14781" t="s">
        <v>138</v>
      </c>
      <c r="D14781">
        <v>395</v>
      </c>
      <c r="E14781">
        <v>409</v>
      </c>
      <c r="F14781">
        <v>389</v>
      </c>
      <c r="G14781">
        <v>418</v>
      </c>
    </row>
    <row r="14782" spans="1:7">
      <c r="A14782" t="s">
        <v>1876</v>
      </c>
      <c r="B14782" t="s">
        <v>396</v>
      </c>
      <c r="C14782" t="s">
        <v>139</v>
      </c>
      <c r="D14782">
        <v>395</v>
      </c>
      <c r="E14782">
        <v>409</v>
      </c>
      <c r="F14782">
        <v>389</v>
      </c>
      <c r="G14782">
        <v>418</v>
      </c>
    </row>
    <row r="14783" spans="1:7">
      <c r="A14783" t="s">
        <v>1876</v>
      </c>
      <c r="B14783" t="s">
        <v>396</v>
      </c>
      <c r="C14783" t="s">
        <v>1877</v>
      </c>
      <c r="D14783">
        <v>0</v>
      </c>
      <c r="E14783">
        <v>0</v>
      </c>
      <c r="F14783">
        <v>0</v>
      </c>
      <c r="G14783">
        <v>0</v>
      </c>
    </row>
    <row r="14784" spans="1:7">
      <c r="A14784" t="s">
        <v>1876</v>
      </c>
      <c r="B14784" t="s">
        <v>396</v>
      </c>
      <c r="C14784" t="s">
        <v>1700</v>
      </c>
      <c r="D14784">
        <v>0</v>
      </c>
      <c r="E14784">
        <v>0</v>
      </c>
      <c r="F14784">
        <v>0</v>
      </c>
      <c r="G14784">
        <v>0</v>
      </c>
    </row>
    <row r="14785" spans="1:7">
      <c r="A14785" t="s">
        <v>1876</v>
      </c>
      <c r="B14785" t="s">
        <v>396</v>
      </c>
      <c r="C14785" t="s">
        <v>1878</v>
      </c>
      <c r="D14785">
        <v>0</v>
      </c>
      <c r="E14785">
        <v>0</v>
      </c>
      <c r="F14785">
        <v>0</v>
      </c>
      <c r="G14785">
        <v>0</v>
      </c>
    </row>
    <row r="14786" spans="1:7">
      <c r="A14786" t="s">
        <v>1876</v>
      </c>
      <c r="B14786" t="s">
        <v>396</v>
      </c>
      <c r="C14786" t="s">
        <v>1879</v>
      </c>
      <c r="D14786">
        <v>0</v>
      </c>
      <c r="E14786">
        <v>0</v>
      </c>
      <c r="F14786">
        <v>0</v>
      </c>
      <c r="G14786">
        <v>0</v>
      </c>
    </row>
    <row r="14787" spans="1:7">
      <c r="A14787" t="s">
        <v>1876</v>
      </c>
      <c r="B14787" t="s">
        <v>396</v>
      </c>
      <c r="C14787" t="s">
        <v>1701</v>
      </c>
      <c r="D14787">
        <v>0</v>
      </c>
      <c r="E14787">
        <v>0</v>
      </c>
      <c r="F14787">
        <v>0</v>
      </c>
      <c r="G14787">
        <v>0</v>
      </c>
    </row>
    <row r="14788" spans="1:7">
      <c r="A14788" t="s">
        <v>1876</v>
      </c>
      <c r="B14788" t="s">
        <v>396</v>
      </c>
      <c r="C14788" t="s">
        <v>1880</v>
      </c>
      <c r="D14788">
        <v>1669</v>
      </c>
      <c r="E14788">
        <v>1424</v>
      </c>
      <c r="F14788">
        <v>1826</v>
      </c>
      <c r="G14788">
        <v>1708</v>
      </c>
    </row>
    <row r="14789" spans="1:7">
      <c r="A14789" t="s">
        <v>1876</v>
      </c>
      <c r="B14789" t="s">
        <v>396</v>
      </c>
      <c r="C14789" t="s">
        <v>140</v>
      </c>
      <c r="D14789">
        <v>3921</v>
      </c>
      <c r="E14789">
        <v>3441</v>
      </c>
      <c r="F14789">
        <v>4924</v>
      </c>
      <c r="G14789">
        <v>4868</v>
      </c>
    </row>
    <row r="14790" spans="1:7">
      <c r="A14790" t="s">
        <v>1876</v>
      </c>
      <c r="B14790" t="s">
        <v>396</v>
      </c>
      <c r="C14790" t="s">
        <v>1881</v>
      </c>
      <c r="D14790">
        <v>2252</v>
      </c>
      <c r="E14790">
        <v>2017</v>
      </c>
      <c r="F14790">
        <v>3098</v>
      </c>
      <c r="G14790">
        <v>3161</v>
      </c>
    </row>
    <row r="14791" spans="1:7">
      <c r="A14791" t="s">
        <v>1876</v>
      </c>
      <c r="B14791" t="s">
        <v>396</v>
      </c>
      <c r="C14791" t="s">
        <v>1882</v>
      </c>
      <c r="D14791">
        <v>0</v>
      </c>
      <c r="E14791">
        <v>0</v>
      </c>
      <c r="F14791">
        <v>0</v>
      </c>
      <c r="G14791">
        <v>0</v>
      </c>
    </row>
    <row r="14792" spans="1:7">
      <c r="A14792" t="s">
        <v>1876</v>
      </c>
      <c r="B14792" t="s">
        <v>396</v>
      </c>
      <c r="C14792" t="s">
        <v>1883</v>
      </c>
      <c r="D14792">
        <v>0</v>
      </c>
      <c r="E14792">
        <v>0</v>
      </c>
      <c r="F14792">
        <v>0</v>
      </c>
      <c r="G14792">
        <v>0</v>
      </c>
    </row>
    <row r="14793" spans="1:7">
      <c r="A14793" t="s">
        <v>1876</v>
      </c>
      <c r="B14793" t="s">
        <v>396</v>
      </c>
      <c r="C14793" t="s">
        <v>1884</v>
      </c>
      <c r="D14793">
        <v>0</v>
      </c>
      <c r="E14793">
        <v>0</v>
      </c>
      <c r="F14793">
        <v>0</v>
      </c>
      <c r="G14793">
        <v>0</v>
      </c>
    </row>
    <row r="14794" spans="1:7">
      <c r="A14794" t="s">
        <v>1876</v>
      </c>
      <c r="B14794" t="s">
        <v>396</v>
      </c>
      <c r="C14794" t="s">
        <v>1885</v>
      </c>
      <c r="D14794">
        <v>2</v>
      </c>
      <c r="E14794">
        <v>1</v>
      </c>
      <c r="F14794">
        <v>1</v>
      </c>
      <c r="G14794">
        <v>1</v>
      </c>
    </row>
    <row r="14795" spans="1:7">
      <c r="A14795" t="s">
        <v>1876</v>
      </c>
      <c r="B14795" t="s">
        <v>396</v>
      </c>
      <c r="C14795" t="s">
        <v>1886</v>
      </c>
      <c r="D14795">
        <v>2</v>
      </c>
      <c r="E14795">
        <v>1</v>
      </c>
      <c r="F14795">
        <v>1</v>
      </c>
      <c r="G14795">
        <v>1</v>
      </c>
    </row>
    <row r="14796" spans="1:7">
      <c r="A14796" t="s">
        <v>1876</v>
      </c>
      <c r="B14796" t="s">
        <v>396</v>
      </c>
      <c r="C14796" t="s">
        <v>141</v>
      </c>
      <c r="D14796">
        <v>4</v>
      </c>
      <c r="E14796">
        <v>2</v>
      </c>
      <c r="F14796">
        <v>2</v>
      </c>
      <c r="G14796">
        <v>2</v>
      </c>
    </row>
    <row r="14797" spans="1:7">
      <c r="A14797" t="s">
        <v>1876</v>
      </c>
      <c r="B14797" t="s">
        <v>396</v>
      </c>
      <c r="C14797" t="s">
        <v>1887</v>
      </c>
      <c r="D14797">
        <v>0</v>
      </c>
      <c r="E14797">
        <v>0</v>
      </c>
      <c r="F14797">
        <v>0</v>
      </c>
      <c r="G14797">
        <v>0</v>
      </c>
    </row>
    <row r="14798" spans="1:7">
      <c r="A14798" t="s">
        <v>1876</v>
      </c>
      <c r="B14798" t="s">
        <v>396</v>
      </c>
      <c r="C14798" t="s">
        <v>1888</v>
      </c>
      <c r="D14798">
        <v>0</v>
      </c>
      <c r="E14798">
        <v>0</v>
      </c>
      <c r="F14798">
        <v>0</v>
      </c>
      <c r="G14798">
        <v>0</v>
      </c>
    </row>
    <row r="14799" spans="1:7">
      <c r="A14799" t="s">
        <v>1876</v>
      </c>
      <c r="B14799" t="s">
        <v>396</v>
      </c>
      <c r="C14799" t="s">
        <v>1889</v>
      </c>
      <c r="D14799">
        <v>1669</v>
      </c>
      <c r="E14799">
        <v>1424</v>
      </c>
      <c r="F14799">
        <v>1826</v>
      </c>
      <c r="G14799">
        <v>1708</v>
      </c>
    </row>
    <row r="14800" spans="1:7">
      <c r="A14800" t="s">
        <v>1876</v>
      </c>
      <c r="B14800" t="s">
        <v>396</v>
      </c>
      <c r="C14800" t="s">
        <v>1890</v>
      </c>
      <c r="D14800">
        <v>0</v>
      </c>
      <c r="E14800">
        <v>0</v>
      </c>
      <c r="F14800">
        <v>0</v>
      </c>
      <c r="G14800">
        <v>0</v>
      </c>
    </row>
    <row r="14801" spans="1:7">
      <c r="A14801" t="s">
        <v>1876</v>
      </c>
      <c r="B14801" t="s">
        <v>396</v>
      </c>
      <c r="C14801" t="s">
        <v>1891</v>
      </c>
    </row>
    <row r="14802" spans="1:7">
      <c r="A14802" t="s">
        <v>1876</v>
      </c>
      <c r="B14802" t="s">
        <v>396</v>
      </c>
      <c r="C14802" t="s">
        <v>1892</v>
      </c>
      <c r="D14802">
        <v>2254</v>
      </c>
      <c r="E14802">
        <v>2018</v>
      </c>
      <c r="F14802">
        <v>3099</v>
      </c>
      <c r="G14802">
        <v>3161</v>
      </c>
    </row>
    <row r="14803" spans="1:7">
      <c r="A14803" t="s">
        <v>1876</v>
      </c>
      <c r="B14803" t="s">
        <v>396</v>
      </c>
      <c r="C14803" t="s">
        <v>142</v>
      </c>
      <c r="D14803">
        <v>3923</v>
      </c>
      <c r="E14803">
        <v>3442</v>
      </c>
      <c r="F14803">
        <v>4925</v>
      </c>
      <c r="G14803">
        <v>4869</v>
      </c>
    </row>
    <row r="14804" spans="1:7">
      <c r="A14804" t="s">
        <v>1876</v>
      </c>
      <c r="B14804" t="s">
        <v>396</v>
      </c>
      <c r="C14804" t="s">
        <v>1893</v>
      </c>
      <c r="D14804">
        <v>3921</v>
      </c>
      <c r="E14804">
        <v>3441</v>
      </c>
      <c r="F14804">
        <v>4924</v>
      </c>
      <c r="G14804">
        <v>4868</v>
      </c>
    </row>
    <row r="14805" spans="1:7">
      <c r="A14805" t="s">
        <v>1876</v>
      </c>
      <c r="B14805" t="s">
        <v>396</v>
      </c>
      <c r="C14805" t="s">
        <v>1894</v>
      </c>
      <c r="D14805">
        <v>2252</v>
      </c>
      <c r="E14805">
        <v>2017</v>
      </c>
      <c r="F14805">
        <v>3098</v>
      </c>
      <c r="G14805">
        <v>3161</v>
      </c>
    </row>
    <row r="14806" spans="1:7">
      <c r="A14806" t="s">
        <v>1876</v>
      </c>
      <c r="B14806" t="s">
        <v>396</v>
      </c>
      <c r="C14806" t="s">
        <v>143</v>
      </c>
      <c r="D14806">
        <v>4</v>
      </c>
      <c r="E14806">
        <v>2</v>
      </c>
      <c r="F14806">
        <v>2</v>
      </c>
      <c r="G14806">
        <v>2</v>
      </c>
    </row>
    <row r="14807" spans="1:7">
      <c r="A14807" t="s">
        <v>1876</v>
      </c>
      <c r="B14807" t="s">
        <v>396</v>
      </c>
      <c r="C14807" t="s">
        <v>144</v>
      </c>
      <c r="D14807">
        <v>37731</v>
      </c>
      <c r="E14807">
        <v>36123</v>
      </c>
      <c r="F14807">
        <v>40078</v>
      </c>
      <c r="G14807">
        <v>39693</v>
      </c>
    </row>
    <row r="14808" spans="1:7">
      <c r="A14808" t="s">
        <v>1876</v>
      </c>
      <c r="B14808" t="s">
        <v>396</v>
      </c>
      <c r="C14808" t="s">
        <v>1895</v>
      </c>
      <c r="D14808">
        <v>63.4</v>
      </c>
      <c r="E14808">
        <v>63.4</v>
      </c>
      <c r="F14808">
        <v>60</v>
      </c>
      <c r="G14808">
        <v>64.7</v>
      </c>
    </row>
    <row r="14809" spans="1:7">
      <c r="A14809" t="s">
        <v>1876</v>
      </c>
      <c r="B14809" t="s">
        <v>396</v>
      </c>
      <c r="C14809" t="s">
        <v>145</v>
      </c>
      <c r="D14809">
        <v>155498</v>
      </c>
      <c r="E14809">
        <v>165916</v>
      </c>
      <c r="F14809">
        <v>159875</v>
      </c>
      <c r="G14809">
        <v>158054</v>
      </c>
    </row>
    <row r="14810" spans="1:7">
      <c r="A14810" t="s">
        <v>1876</v>
      </c>
      <c r="B14810" t="s">
        <v>396</v>
      </c>
      <c r="C14810" t="s">
        <v>146</v>
      </c>
      <c r="D14810">
        <v>0</v>
      </c>
      <c r="E14810">
        <v>0</v>
      </c>
      <c r="F14810">
        <v>0</v>
      </c>
      <c r="G14810">
        <v>0</v>
      </c>
    </row>
    <row r="14811" spans="1:7">
      <c r="A14811" t="s">
        <v>1876</v>
      </c>
      <c r="B14811" t="s">
        <v>396</v>
      </c>
      <c r="C14811" t="s">
        <v>147</v>
      </c>
      <c r="D14811">
        <v>0</v>
      </c>
      <c r="E14811">
        <v>0</v>
      </c>
      <c r="F14811">
        <v>0</v>
      </c>
      <c r="G14811">
        <v>0</v>
      </c>
    </row>
    <row r="14812" spans="1:7">
      <c r="A14812" t="s">
        <v>1876</v>
      </c>
      <c r="B14812" t="s">
        <v>396</v>
      </c>
      <c r="C14812" t="s">
        <v>1896</v>
      </c>
      <c r="D14812">
        <v>0</v>
      </c>
      <c r="E14812">
        <v>0.7</v>
      </c>
      <c r="F14812">
        <v>2</v>
      </c>
      <c r="G14812">
        <v>6.8</v>
      </c>
    </row>
    <row r="14813" spans="1:7">
      <c r="A14813" t="s">
        <v>1876</v>
      </c>
      <c r="B14813" t="s">
        <v>396</v>
      </c>
      <c r="C14813" t="s">
        <v>1702</v>
      </c>
      <c r="D14813">
        <v>0</v>
      </c>
      <c r="E14813">
        <v>11</v>
      </c>
      <c r="F14813">
        <v>71</v>
      </c>
      <c r="G14813">
        <v>71</v>
      </c>
    </row>
    <row r="14814" spans="1:7">
      <c r="A14814" t="s">
        <v>1876</v>
      </c>
      <c r="B14814" t="s">
        <v>396</v>
      </c>
      <c r="C14814" t="s">
        <v>1897</v>
      </c>
      <c r="D14814">
        <v>29.7</v>
      </c>
      <c r="E14814">
        <v>47.5</v>
      </c>
      <c r="F14814">
        <v>81.3</v>
      </c>
      <c r="G14814">
        <v>103.8</v>
      </c>
    </row>
    <row r="14815" spans="1:7">
      <c r="A14815" t="s">
        <v>1876</v>
      </c>
      <c r="B14815" t="s">
        <v>396</v>
      </c>
      <c r="C14815" t="s">
        <v>1898</v>
      </c>
      <c r="D14815">
        <v>45</v>
      </c>
      <c r="E14815">
        <v>76</v>
      </c>
      <c r="F14815">
        <v>226</v>
      </c>
      <c r="G14815">
        <v>325</v>
      </c>
    </row>
    <row r="14816" spans="1:7">
      <c r="A14816" t="s">
        <v>1876</v>
      </c>
      <c r="B14816" t="s">
        <v>396</v>
      </c>
      <c r="C14816" t="s">
        <v>1899</v>
      </c>
      <c r="D14816">
        <v>2254</v>
      </c>
      <c r="E14816">
        <v>2018</v>
      </c>
      <c r="F14816">
        <v>3099</v>
      </c>
      <c r="G14816">
        <v>3161</v>
      </c>
    </row>
    <row r="14817" spans="1:7">
      <c r="A14817" t="s">
        <v>1876</v>
      </c>
      <c r="B14817" t="s">
        <v>396</v>
      </c>
      <c r="C14817" t="s">
        <v>148</v>
      </c>
      <c r="D14817">
        <v>0</v>
      </c>
      <c r="E14817">
        <v>0</v>
      </c>
      <c r="F14817">
        <v>0</v>
      </c>
      <c r="G14817">
        <v>0</v>
      </c>
    </row>
    <row r="14818" spans="1:7">
      <c r="A14818" t="s">
        <v>1876</v>
      </c>
      <c r="B14818" t="s">
        <v>396</v>
      </c>
      <c r="C14818" t="s">
        <v>149</v>
      </c>
      <c r="D14818">
        <v>0</v>
      </c>
      <c r="E14818">
        <v>0</v>
      </c>
      <c r="F14818">
        <v>0</v>
      </c>
      <c r="G14818">
        <v>0</v>
      </c>
    </row>
    <row r="14819" spans="1:7">
      <c r="A14819" t="s">
        <v>1876</v>
      </c>
      <c r="B14819" t="s">
        <v>396</v>
      </c>
      <c r="C14819" t="s">
        <v>150</v>
      </c>
      <c r="D14819">
        <v>0</v>
      </c>
      <c r="E14819">
        <v>0</v>
      </c>
      <c r="F14819">
        <v>0</v>
      </c>
      <c r="G14819">
        <v>0</v>
      </c>
    </row>
    <row r="14820" spans="1:7">
      <c r="A14820" t="s">
        <v>1876</v>
      </c>
      <c r="B14820" t="s">
        <v>396</v>
      </c>
      <c r="C14820" t="s">
        <v>1900</v>
      </c>
      <c r="D14820">
        <v>15.6</v>
      </c>
      <c r="E14820">
        <v>16.3</v>
      </c>
      <c r="F14820">
        <v>9.9</v>
      </c>
      <c r="G14820">
        <v>16.100000000000001</v>
      </c>
    </row>
    <row r="14821" spans="1:7">
      <c r="A14821" t="s">
        <v>1876</v>
      </c>
      <c r="B14821" t="s">
        <v>396</v>
      </c>
      <c r="C14821" t="s">
        <v>151</v>
      </c>
      <c r="D14821">
        <v>231</v>
      </c>
      <c r="E14821">
        <v>236</v>
      </c>
      <c r="F14821">
        <v>241</v>
      </c>
      <c r="G14821">
        <v>207</v>
      </c>
    </row>
    <row r="14822" spans="1:7">
      <c r="A14822" t="s">
        <v>1876</v>
      </c>
      <c r="B14822" t="s">
        <v>396</v>
      </c>
      <c r="C14822" t="s">
        <v>152</v>
      </c>
      <c r="D14822">
        <v>31833</v>
      </c>
      <c r="E14822">
        <v>33811</v>
      </c>
      <c r="F14822">
        <v>15080</v>
      </c>
      <c r="G14822">
        <v>21424</v>
      </c>
    </row>
    <row r="14823" spans="1:7">
      <c r="A14823" t="s">
        <v>1876</v>
      </c>
      <c r="B14823" t="s">
        <v>396</v>
      </c>
      <c r="C14823" t="s">
        <v>1703</v>
      </c>
      <c r="D14823">
        <v>2536</v>
      </c>
      <c r="E14823">
        <v>2536</v>
      </c>
      <c r="F14823">
        <v>1530</v>
      </c>
      <c r="G14823">
        <v>1530</v>
      </c>
    </row>
    <row r="14824" spans="1:7">
      <c r="A14824" t="s">
        <v>1876</v>
      </c>
      <c r="B14824" t="s">
        <v>396</v>
      </c>
      <c r="C14824" t="s">
        <v>153</v>
      </c>
      <c r="D14824">
        <v>36540</v>
      </c>
      <c r="E14824">
        <v>33692</v>
      </c>
      <c r="F14824">
        <v>31464</v>
      </c>
      <c r="G14824">
        <v>30614</v>
      </c>
    </row>
    <row r="14825" spans="1:7">
      <c r="A14825" t="s">
        <v>1876</v>
      </c>
      <c r="B14825" t="s">
        <v>396</v>
      </c>
      <c r="C14825" t="s">
        <v>154</v>
      </c>
      <c r="D14825">
        <v>25853</v>
      </c>
      <c r="E14825">
        <v>24195</v>
      </c>
      <c r="F14825">
        <v>24241</v>
      </c>
      <c r="G14825">
        <v>24186</v>
      </c>
    </row>
    <row r="14826" spans="1:7">
      <c r="A14826" t="s">
        <v>1876</v>
      </c>
      <c r="B14826" t="s">
        <v>396</v>
      </c>
      <c r="C14826" t="s">
        <v>155</v>
      </c>
      <c r="D14826">
        <v>10687</v>
      </c>
      <c r="E14826">
        <v>9497</v>
      </c>
      <c r="F14826">
        <v>7223</v>
      </c>
      <c r="G14826">
        <v>6428</v>
      </c>
    </row>
    <row r="14827" spans="1:7">
      <c r="A14827" t="s">
        <v>1876</v>
      </c>
      <c r="B14827" t="s">
        <v>396</v>
      </c>
      <c r="C14827" t="s">
        <v>156</v>
      </c>
      <c r="D14827">
        <v>0</v>
      </c>
      <c r="E14827">
        <v>0</v>
      </c>
      <c r="F14827">
        <v>0</v>
      </c>
      <c r="G14827">
        <v>0</v>
      </c>
    </row>
    <row r="14828" spans="1:7">
      <c r="A14828" t="s">
        <v>1876</v>
      </c>
      <c r="B14828" t="s">
        <v>396</v>
      </c>
      <c r="C14828" t="s">
        <v>157</v>
      </c>
      <c r="D14828">
        <v>68603</v>
      </c>
      <c r="E14828">
        <v>67739</v>
      </c>
      <c r="F14828">
        <v>46785</v>
      </c>
      <c r="G14828">
        <v>52245</v>
      </c>
    </row>
    <row r="14829" spans="1:7">
      <c r="A14829" t="s">
        <v>1876</v>
      </c>
      <c r="B14829" t="s">
        <v>396</v>
      </c>
      <c r="C14829" t="s">
        <v>158</v>
      </c>
      <c r="D14829">
        <v>36770</v>
      </c>
      <c r="E14829">
        <v>33927</v>
      </c>
      <c r="F14829">
        <v>31705</v>
      </c>
      <c r="G14829">
        <v>30821</v>
      </c>
    </row>
    <row r="14830" spans="1:7">
      <c r="A14830" t="s">
        <v>1876</v>
      </c>
      <c r="B14830" t="s">
        <v>396</v>
      </c>
      <c r="C14830" t="s">
        <v>159</v>
      </c>
      <c r="D14830">
        <v>0</v>
      </c>
      <c r="E14830">
        <v>0</v>
      </c>
      <c r="F14830">
        <v>0</v>
      </c>
      <c r="G14830">
        <v>0</v>
      </c>
    </row>
    <row r="14831" spans="1:7">
      <c r="A14831" t="s">
        <v>1876</v>
      </c>
      <c r="B14831" t="s">
        <v>396</v>
      </c>
      <c r="C14831" t="s">
        <v>1901</v>
      </c>
      <c r="D14831">
        <v>62.9</v>
      </c>
      <c r="E14831">
        <v>56.8</v>
      </c>
      <c r="F14831">
        <v>59.7</v>
      </c>
      <c r="G14831">
        <v>71.5</v>
      </c>
    </row>
    <row r="14832" spans="1:7">
      <c r="A14832" t="s">
        <v>1876</v>
      </c>
      <c r="B14832" t="s">
        <v>396</v>
      </c>
      <c r="C14832" t="s">
        <v>1902</v>
      </c>
      <c r="D14832">
        <v>161787</v>
      </c>
      <c r="E14832">
        <v>153669</v>
      </c>
      <c r="F14832">
        <v>160394</v>
      </c>
      <c r="G14832">
        <v>151505</v>
      </c>
    </row>
    <row r="14833" spans="1:7">
      <c r="A14833" t="s">
        <v>1876</v>
      </c>
      <c r="B14833" t="s">
        <v>396</v>
      </c>
      <c r="C14833" t="s">
        <v>1903</v>
      </c>
      <c r="D14833">
        <v>8563</v>
      </c>
      <c r="E14833">
        <v>8693</v>
      </c>
      <c r="F14833">
        <v>8119</v>
      </c>
      <c r="G14833">
        <v>8050</v>
      </c>
    </row>
    <row r="14834" spans="1:7">
      <c r="A14834" t="s">
        <v>1876</v>
      </c>
      <c r="B14834" t="s">
        <v>396</v>
      </c>
      <c r="C14834" t="s">
        <v>1904</v>
      </c>
      <c r="D14834">
        <v>2742</v>
      </c>
      <c r="E14834">
        <v>6185</v>
      </c>
      <c r="F14834">
        <v>1278</v>
      </c>
      <c r="G14834">
        <v>2209</v>
      </c>
    </row>
    <row r="14835" spans="1:7">
      <c r="A14835" t="s">
        <v>1876</v>
      </c>
      <c r="B14835" t="s">
        <v>396</v>
      </c>
      <c r="C14835" t="s">
        <v>1905</v>
      </c>
      <c r="D14835">
        <v>15238</v>
      </c>
      <c r="E14835">
        <v>15404</v>
      </c>
      <c r="F14835">
        <v>15034</v>
      </c>
      <c r="G14835">
        <v>14589</v>
      </c>
    </row>
    <row r="14836" spans="1:7">
      <c r="A14836" t="s">
        <v>1876</v>
      </c>
      <c r="B14836" t="s">
        <v>396</v>
      </c>
      <c r="C14836" t="s">
        <v>1906</v>
      </c>
      <c r="D14836">
        <v>12090</v>
      </c>
      <c r="E14836">
        <v>12433</v>
      </c>
      <c r="F14836">
        <v>11608</v>
      </c>
      <c r="G14836">
        <v>11257</v>
      </c>
    </row>
    <row r="14837" spans="1:7">
      <c r="A14837" t="s">
        <v>1876</v>
      </c>
      <c r="B14837" t="s">
        <v>396</v>
      </c>
      <c r="C14837" t="s">
        <v>1907</v>
      </c>
      <c r="D14837">
        <v>200421</v>
      </c>
      <c r="E14837">
        <v>196383</v>
      </c>
      <c r="F14837">
        <v>196433</v>
      </c>
      <c r="G14837">
        <v>187611</v>
      </c>
    </row>
    <row r="14838" spans="1:7">
      <c r="A14838" t="s">
        <v>1876</v>
      </c>
      <c r="B14838" t="s">
        <v>396</v>
      </c>
      <c r="C14838" t="s">
        <v>160</v>
      </c>
      <c r="D14838">
        <v>159535</v>
      </c>
      <c r="E14838">
        <v>151652</v>
      </c>
      <c r="F14838">
        <v>157296</v>
      </c>
      <c r="G14838">
        <v>148344</v>
      </c>
    </row>
    <row r="14839" spans="1:7">
      <c r="A14839" t="s">
        <v>1876</v>
      </c>
      <c r="B14839" t="s">
        <v>396</v>
      </c>
      <c r="C14839" t="s">
        <v>161</v>
      </c>
      <c r="D14839">
        <v>8563</v>
      </c>
      <c r="E14839">
        <v>8693</v>
      </c>
      <c r="F14839">
        <v>8119</v>
      </c>
      <c r="G14839">
        <v>8050</v>
      </c>
    </row>
    <row r="14840" spans="1:7">
      <c r="A14840" t="s">
        <v>1876</v>
      </c>
      <c r="B14840" t="s">
        <v>396</v>
      </c>
      <c r="C14840" t="s">
        <v>162</v>
      </c>
      <c r="D14840">
        <v>2740</v>
      </c>
      <c r="E14840">
        <v>6183</v>
      </c>
      <c r="F14840">
        <v>1277</v>
      </c>
      <c r="G14840">
        <v>2208</v>
      </c>
    </row>
    <row r="14841" spans="1:7">
      <c r="A14841" t="s">
        <v>1876</v>
      </c>
      <c r="B14841" t="s">
        <v>396</v>
      </c>
      <c r="C14841" t="s">
        <v>163</v>
      </c>
      <c r="D14841">
        <v>15238</v>
      </c>
      <c r="E14841">
        <v>15404</v>
      </c>
      <c r="F14841">
        <v>15034</v>
      </c>
      <c r="G14841">
        <v>14589</v>
      </c>
    </row>
    <row r="14842" spans="1:7">
      <c r="A14842" t="s">
        <v>1876</v>
      </c>
      <c r="B14842" t="s">
        <v>396</v>
      </c>
      <c r="C14842" t="s">
        <v>164</v>
      </c>
      <c r="D14842">
        <v>12090</v>
      </c>
      <c r="E14842">
        <v>12433</v>
      </c>
      <c r="F14842">
        <v>11608</v>
      </c>
      <c r="G14842">
        <v>11257</v>
      </c>
    </row>
    <row r="14843" spans="1:7">
      <c r="A14843" t="s">
        <v>1876</v>
      </c>
      <c r="B14843" t="s">
        <v>396</v>
      </c>
      <c r="C14843" t="s">
        <v>165</v>
      </c>
      <c r="D14843">
        <v>198166</v>
      </c>
      <c r="E14843">
        <v>194365</v>
      </c>
      <c r="F14843">
        <v>193334</v>
      </c>
      <c r="G14843">
        <v>184449</v>
      </c>
    </row>
    <row r="14844" spans="1:7">
      <c r="A14844" t="s">
        <v>1876</v>
      </c>
      <c r="B14844" t="s">
        <v>396</v>
      </c>
      <c r="C14844" t="s">
        <v>166</v>
      </c>
      <c r="D14844">
        <v>195426</v>
      </c>
      <c r="E14844">
        <v>188181</v>
      </c>
      <c r="F14844">
        <v>192057</v>
      </c>
      <c r="G14844">
        <v>182241</v>
      </c>
    </row>
    <row r="14845" spans="1:7">
      <c r="A14845" t="s">
        <v>1876</v>
      </c>
      <c r="B14845" t="s">
        <v>396</v>
      </c>
      <c r="C14845" t="s">
        <v>167</v>
      </c>
      <c r="D14845">
        <v>2740</v>
      </c>
      <c r="E14845">
        <v>6183</v>
      </c>
      <c r="F14845">
        <v>1277</v>
      </c>
      <c r="G14845">
        <v>2208</v>
      </c>
    </row>
    <row r="14846" spans="1:7">
      <c r="A14846" t="s">
        <v>1876</v>
      </c>
      <c r="B14846" t="s">
        <v>396</v>
      </c>
      <c r="C14846" t="s">
        <v>1908</v>
      </c>
      <c r="D14846">
        <v>157866</v>
      </c>
      <c r="E14846">
        <v>150228</v>
      </c>
      <c r="F14846">
        <v>155470</v>
      </c>
      <c r="G14846">
        <v>146637</v>
      </c>
    </row>
    <row r="14847" spans="1:7">
      <c r="A14847" t="s">
        <v>1876</v>
      </c>
      <c r="B14847" t="s">
        <v>396</v>
      </c>
      <c r="C14847" t="s">
        <v>1909</v>
      </c>
      <c r="D14847">
        <v>8563</v>
      </c>
      <c r="E14847">
        <v>8693</v>
      </c>
      <c r="F14847">
        <v>8119</v>
      </c>
      <c r="G14847">
        <v>8050</v>
      </c>
    </row>
    <row r="14848" spans="1:7">
      <c r="A14848" t="s">
        <v>1876</v>
      </c>
      <c r="B14848" t="s">
        <v>396</v>
      </c>
      <c r="C14848" t="s">
        <v>1910</v>
      </c>
      <c r="D14848">
        <v>2740</v>
      </c>
      <c r="E14848">
        <v>6183</v>
      </c>
      <c r="F14848">
        <v>1277</v>
      </c>
      <c r="G14848">
        <v>2208</v>
      </c>
    </row>
    <row r="14849" spans="1:7">
      <c r="A14849" t="s">
        <v>1876</v>
      </c>
      <c r="B14849" t="s">
        <v>396</v>
      </c>
      <c r="C14849" t="s">
        <v>1911</v>
      </c>
      <c r="D14849">
        <v>15238</v>
      </c>
      <c r="E14849">
        <v>15404</v>
      </c>
      <c r="F14849">
        <v>15034</v>
      </c>
      <c r="G14849">
        <v>14589</v>
      </c>
    </row>
    <row r="14850" spans="1:7">
      <c r="A14850" t="s">
        <v>1876</v>
      </c>
      <c r="B14850" t="s">
        <v>396</v>
      </c>
      <c r="C14850" t="s">
        <v>1912</v>
      </c>
      <c r="D14850">
        <v>12090</v>
      </c>
      <c r="E14850">
        <v>12433</v>
      </c>
      <c r="F14850">
        <v>11608</v>
      </c>
      <c r="G14850">
        <v>11257</v>
      </c>
    </row>
    <row r="14851" spans="1:7">
      <c r="A14851" t="s">
        <v>1876</v>
      </c>
      <c r="B14851" t="s">
        <v>396</v>
      </c>
      <c r="C14851" t="s">
        <v>168</v>
      </c>
      <c r="D14851">
        <v>196498</v>
      </c>
      <c r="E14851">
        <v>192941</v>
      </c>
      <c r="F14851">
        <v>191508</v>
      </c>
      <c r="G14851">
        <v>182742</v>
      </c>
    </row>
    <row r="14852" spans="1:7">
      <c r="A14852" t="s">
        <v>1876</v>
      </c>
      <c r="B14852" t="s">
        <v>396</v>
      </c>
      <c r="C14852" t="s">
        <v>169</v>
      </c>
      <c r="D14852">
        <v>0</v>
      </c>
      <c r="E14852">
        <v>0</v>
      </c>
      <c r="F14852">
        <v>0</v>
      </c>
      <c r="G14852">
        <v>0</v>
      </c>
    </row>
    <row r="14853" spans="1:7">
      <c r="A14853" t="s">
        <v>1876</v>
      </c>
      <c r="B14853" t="s">
        <v>396</v>
      </c>
      <c r="C14853" t="s">
        <v>1704</v>
      </c>
      <c r="D14853">
        <v>28515</v>
      </c>
      <c r="E14853">
        <v>29169</v>
      </c>
      <c r="F14853">
        <v>28218</v>
      </c>
      <c r="G14853">
        <v>29147</v>
      </c>
    </row>
    <row r="14854" spans="1:7">
      <c r="A14854" t="s">
        <v>1876</v>
      </c>
      <c r="B14854" t="s">
        <v>396</v>
      </c>
      <c r="C14854" t="s">
        <v>170</v>
      </c>
      <c r="D14854">
        <v>0</v>
      </c>
      <c r="E14854">
        <v>0</v>
      </c>
      <c r="F14854">
        <v>0</v>
      </c>
      <c r="G14854">
        <v>0</v>
      </c>
    </row>
    <row r="14855" spans="1:7">
      <c r="A14855" t="s">
        <v>1876</v>
      </c>
      <c r="B14855" t="s">
        <v>396</v>
      </c>
      <c r="C14855" t="s">
        <v>171</v>
      </c>
      <c r="D14855">
        <v>352575</v>
      </c>
      <c r="E14855">
        <v>437854</v>
      </c>
      <c r="F14855">
        <v>430949</v>
      </c>
      <c r="G14855">
        <v>385291</v>
      </c>
    </row>
    <row r="14856" spans="1:7">
      <c r="A14856" t="s">
        <v>1876</v>
      </c>
      <c r="B14856" t="s">
        <v>396</v>
      </c>
      <c r="C14856" t="s">
        <v>172</v>
      </c>
      <c r="D14856">
        <v>0</v>
      </c>
      <c r="E14856">
        <v>0</v>
      </c>
      <c r="F14856">
        <v>0</v>
      </c>
      <c r="G14856">
        <v>0</v>
      </c>
    </row>
    <row r="14857" spans="1:7">
      <c r="A14857" t="s">
        <v>1876</v>
      </c>
      <c r="B14857" t="s">
        <v>396</v>
      </c>
      <c r="C14857" t="s">
        <v>1913</v>
      </c>
      <c r="D14857">
        <v>45.1</v>
      </c>
      <c r="E14857">
        <v>67.599999999999994</v>
      </c>
      <c r="F14857">
        <v>104.9</v>
      </c>
      <c r="G14857">
        <v>134.69999999999999</v>
      </c>
    </row>
    <row r="14858" spans="1:7">
      <c r="A14858" t="s">
        <v>1876</v>
      </c>
      <c r="B14858" t="s">
        <v>396</v>
      </c>
      <c r="C14858" t="s">
        <v>1914</v>
      </c>
      <c r="D14858">
        <v>0.6</v>
      </c>
      <c r="E14858">
        <v>1</v>
      </c>
      <c r="F14858">
        <v>1.5</v>
      </c>
      <c r="G14858">
        <v>1.9</v>
      </c>
    </row>
    <row r="14859" spans="1:7">
      <c r="A14859" t="s">
        <v>1876</v>
      </c>
      <c r="B14859" t="s">
        <v>396</v>
      </c>
      <c r="C14859" t="s">
        <v>173</v>
      </c>
      <c r="D14859">
        <v>32684</v>
      </c>
      <c r="E14859">
        <v>31506</v>
      </c>
      <c r="F14859">
        <v>33982</v>
      </c>
      <c r="G14859">
        <v>33801</v>
      </c>
    </row>
    <row r="14860" spans="1:7">
      <c r="A14860" t="s">
        <v>1876</v>
      </c>
      <c r="B14860" t="s">
        <v>396</v>
      </c>
      <c r="C14860" t="s">
        <v>174</v>
      </c>
      <c r="D14860">
        <v>846</v>
      </c>
      <c r="E14860">
        <v>888</v>
      </c>
      <c r="F14860">
        <v>880</v>
      </c>
      <c r="G14860">
        <v>733</v>
      </c>
    </row>
    <row r="14861" spans="1:7">
      <c r="A14861" t="s">
        <v>1876</v>
      </c>
      <c r="B14861" t="s">
        <v>396</v>
      </c>
      <c r="C14861" t="s">
        <v>175</v>
      </c>
      <c r="D14861">
        <v>273</v>
      </c>
      <c r="E14861">
        <v>285</v>
      </c>
      <c r="F14861">
        <v>289</v>
      </c>
      <c r="G14861">
        <v>288</v>
      </c>
    </row>
    <row r="14862" spans="1:7">
      <c r="A14862" t="s">
        <v>1876</v>
      </c>
      <c r="B14862" t="s">
        <v>396</v>
      </c>
      <c r="C14862" t="s">
        <v>176</v>
      </c>
      <c r="D14862">
        <v>0</v>
      </c>
      <c r="E14862">
        <v>0</v>
      </c>
      <c r="F14862">
        <v>0</v>
      </c>
      <c r="G14862">
        <v>0</v>
      </c>
    </row>
    <row r="14863" spans="1:7">
      <c r="A14863" t="s">
        <v>1876</v>
      </c>
      <c r="B14863" t="s">
        <v>396</v>
      </c>
      <c r="C14863" t="s">
        <v>177</v>
      </c>
      <c r="D14863">
        <v>33804</v>
      </c>
      <c r="E14863">
        <v>32680</v>
      </c>
      <c r="F14863">
        <v>35151</v>
      </c>
      <c r="G14863">
        <v>34822</v>
      </c>
    </row>
    <row r="14864" spans="1:7">
      <c r="A14864" t="s">
        <v>1876</v>
      </c>
      <c r="B14864" t="s">
        <v>396</v>
      </c>
      <c r="C14864" t="s">
        <v>178</v>
      </c>
      <c r="D14864">
        <v>0</v>
      </c>
      <c r="E14864">
        <v>0</v>
      </c>
      <c r="F14864">
        <v>0</v>
      </c>
      <c r="G14864">
        <v>0</v>
      </c>
    </row>
    <row r="14865" spans="1:7">
      <c r="A14865" t="s">
        <v>1876</v>
      </c>
      <c r="B14865" t="s">
        <v>396</v>
      </c>
      <c r="C14865" t="s">
        <v>179</v>
      </c>
      <c r="D14865">
        <v>0</v>
      </c>
      <c r="E14865">
        <v>0</v>
      </c>
      <c r="F14865">
        <v>0</v>
      </c>
      <c r="G14865">
        <v>0</v>
      </c>
    </row>
    <row r="14866" spans="1:7">
      <c r="A14866" t="s">
        <v>1876</v>
      </c>
      <c r="B14866" t="s">
        <v>396</v>
      </c>
      <c r="C14866" t="s">
        <v>180</v>
      </c>
      <c r="D14866">
        <v>596</v>
      </c>
      <c r="E14866">
        <v>443</v>
      </c>
      <c r="F14866">
        <v>818</v>
      </c>
      <c r="G14866">
        <v>975</v>
      </c>
    </row>
    <row r="14867" spans="1:7">
      <c r="A14867" t="s">
        <v>1876</v>
      </c>
      <c r="B14867" t="s">
        <v>396</v>
      </c>
      <c r="C14867" t="s">
        <v>181</v>
      </c>
      <c r="D14867">
        <v>200366</v>
      </c>
      <c r="E14867">
        <v>233913</v>
      </c>
      <c r="F14867">
        <v>251830</v>
      </c>
      <c r="G14867">
        <v>268561</v>
      </c>
    </row>
    <row r="14868" spans="1:7">
      <c r="A14868" t="s">
        <v>1876</v>
      </c>
      <c r="B14868" t="s">
        <v>396</v>
      </c>
      <c r="C14868" t="s">
        <v>182</v>
      </c>
      <c r="D14868">
        <v>67258</v>
      </c>
      <c r="E14868">
        <v>57530</v>
      </c>
      <c r="F14868">
        <v>51781</v>
      </c>
      <c r="G14868">
        <v>47002</v>
      </c>
    </row>
    <row r="14869" spans="1:7">
      <c r="A14869" t="s">
        <v>1876</v>
      </c>
      <c r="B14869" t="s">
        <v>396</v>
      </c>
      <c r="C14869" t="s">
        <v>183</v>
      </c>
      <c r="D14869">
        <v>159117</v>
      </c>
      <c r="E14869">
        <v>159400</v>
      </c>
      <c r="F14869">
        <v>147043</v>
      </c>
      <c r="G14869">
        <v>154471</v>
      </c>
    </row>
    <row r="14870" spans="1:7">
      <c r="A14870" t="s">
        <v>1876</v>
      </c>
      <c r="B14870" t="s">
        <v>396</v>
      </c>
      <c r="C14870" t="s">
        <v>184</v>
      </c>
      <c r="D14870">
        <v>427337</v>
      </c>
      <c r="E14870">
        <v>451287</v>
      </c>
      <c r="F14870">
        <v>451471</v>
      </c>
      <c r="G14870">
        <v>471009</v>
      </c>
    </row>
    <row r="14871" spans="1:7">
      <c r="A14871" t="s">
        <v>1876</v>
      </c>
      <c r="B14871" t="s">
        <v>396</v>
      </c>
      <c r="C14871" t="s">
        <v>185</v>
      </c>
      <c r="D14871">
        <v>427337</v>
      </c>
      <c r="E14871">
        <v>451287</v>
      </c>
      <c r="F14871">
        <v>451471</v>
      </c>
      <c r="G14871">
        <v>471009</v>
      </c>
    </row>
    <row r="14872" spans="1:7">
      <c r="A14872" t="s">
        <v>1876</v>
      </c>
      <c r="B14872" t="s">
        <v>396</v>
      </c>
      <c r="C14872" t="s">
        <v>1915</v>
      </c>
      <c r="D14872">
        <v>68</v>
      </c>
      <c r="E14872">
        <v>110</v>
      </c>
      <c r="F14872">
        <v>286</v>
      </c>
      <c r="G14872">
        <v>400</v>
      </c>
    </row>
    <row r="14873" spans="1:7">
      <c r="A14873" t="s">
        <v>1876</v>
      </c>
      <c r="B14873" t="s">
        <v>396</v>
      </c>
      <c r="C14873" t="s">
        <v>1916</v>
      </c>
      <c r="D14873">
        <v>0</v>
      </c>
      <c r="E14873">
        <v>0</v>
      </c>
      <c r="F14873">
        <v>0</v>
      </c>
      <c r="G14873">
        <v>0</v>
      </c>
    </row>
    <row r="14874" spans="1:7">
      <c r="A14874" t="s">
        <v>1876</v>
      </c>
      <c r="B14874" t="s">
        <v>396</v>
      </c>
      <c r="C14874" t="s">
        <v>1917</v>
      </c>
      <c r="D14874">
        <v>250</v>
      </c>
      <c r="E14874">
        <v>233</v>
      </c>
      <c r="F14874">
        <v>222</v>
      </c>
      <c r="G14874">
        <v>212</v>
      </c>
    </row>
    <row r="14875" spans="1:7">
      <c r="A14875" t="s">
        <v>1876</v>
      </c>
      <c r="B14875" t="s">
        <v>396</v>
      </c>
      <c r="C14875" t="s">
        <v>1918</v>
      </c>
      <c r="D14875">
        <v>3190</v>
      </c>
      <c r="E14875">
        <v>3630</v>
      </c>
      <c r="F14875">
        <v>3899</v>
      </c>
      <c r="G14875">
        <v>4296</v>
      </c>
    </row>
    <row r="14876" spans="1:7">
      <c r="A14876" t="s">
        <v>1876</v>
      </c>
      <c r="B14876" t="s">
        <v>396</v>
      </c>
      <c r="C14876" t="s">
        <v>1919</v>
      </c>
      <c r="D14876">
        <v>3.12</v>
      </c>
      <c r="E14876">
        <v>3.08</v>
      </c>
      <c r="F14876">
        <v>2.78</v>
      </c>
      <c r="G14876">
        <v>2.69</v>
      </c>
    </row>
    <row r="14877" spans="1:7">
      <c r="A14877" t="s">
        <v>1876</v>
      </c>
      <c r="B14877" t="s">
        <v>396</v>
      </c>
      <c r="C14877" t="s">
        <v>1920</v>
      </c>
      <c r="D14877">
        <v>4370</v>
      </c>
      <c r="E14877">
        <v>4771</v>
      </c>
      <c r="F14877">
        <v>5299</v>
      </c>
      <c r="G14877">
        <v>5908</v>
      </c>
    </row>
    <row r="14878" spans="1:7">
      <c r="A14878" t="s">
        <v>1876</v>
      </c>
      <c r="B14878" t="s">
        <v>396</v>
      </c>
      <c r="C14878" t="s">
        <v>1921</v>
      </c>
      <c r="D14878">
        <v>1192</v>
      </c>
      <c r="E14878">
        <v>1373</v>
      </c>
      <c r="F14878">
        <v>1665</v>
      </c>
      <c r="G14878">
        <v>1925</v>
      </c>
    </row>
    <row r="14879" spans="1:7">
      <c r="A14879" t="s">
        <v>1876</v>
      </c>
      <c r="B14879" t="s">
        <v>396</v>
      </c>
      <c r="C14879" t="s">
        <v>1922</v>
      </c>
      <c r="D14879">
        <v>930</v>
      </c>
      <c r="E14879">
        <v>908</v>
      </c>
      <c r="F14879">
        <v>1178</v>
      </c>
      <c r="G14879">
        <v>1400</v>
      </c>
    </row>
    <row r="14880" spans="1:7">
      <c r="A14880" t="s">
        <v>1876</v>
      </c>
      <c r="B14880" t="s">
        <v>396</v>
      </c>
      <c r="C14880" t="s">
        <v>1923</v>
      </c>
      <c r="D14880">
        <v>4.79</v>
      </c>
      <c r="E14880">
        <v>4.13</v>
      </c>
      <c r="F14880">
        <v>4.03</v>
      </c>
      <c r="G14880">
        <v>3.93</v>
      </c>
    </row>
    <row r="14881" spans="1:7">
      <c r="A14881" t="s">
        <v>1876</v>
      </c>
      <c r="B14881" t="s">
        <v>396</v>
      </c>
      <c r="C14881" t="s">
        <v>1924</v>
      </c>
      <c r="D14881">
        <v>124</v>
      </c>
      <c r="E14881">
        <v>17</v>
      </c>
      <c r="F14881">
        <v>17</v>
      </c>
      <c r="G14881">
        <v>16</v>
      </c>
    </row>
    <row r="14882" spans="1:7">
      <c r="A14882" t="s">
        <v>1876</v>
      </c>
      <c r="B14882" t="s">
        <v>396</v>
      </c>
      <c r="C14882" t="s">
        <v>1925</v>
      </c>
      <c r="D14882">
        <v>291</v>
      </c>
      <c r="E14882">
        <v>308</v>
      </c>
      <c r="F14882">
        <v>287</v>
      </c>
      <c r="G14882">
        <v>278</v>
      </c>
    </row>
    <row r="14883" spans="1:7">
      <c r="A14883" t="s">
        <v>1876</v>
      </c>
      <c r="B14883" t="s">
        <v>396</v>
      </c>
      <c r="C14883" t="s">
        <v>1926</v>
      </c>
      <c r="D14883">
        <v>777</v>
      </c>
      <c r="E14883">
        <v>1048</v>
      </c>
      <c r="F14883">
        <v>1361</v>
      </c>
      <c r="G14883">
        <v>1631</v>
      </c>
    </row>
    <row r="14884" spans="1:7">
      <c r="A14884" t="s">
        <v>1876</v>
      </c>
      <c r="B14884" t="s">
        <v>396</v>
      </c>
      <c r="C14884" t="s">
        <v>1927</v>
      </c>
      <c r="D14884">
        <v>65</v>
      </c>
      <c r="E14884">
        <v>62</v>
      </c>
      <c r="F14884">
        <v>45</v>
      </c>
      <c r="G14884">
        <v>37</v>
      </c>
    </row>
    <row r="14885" spans="1:7">
      <c r="A14885" t="s">
        <v>1876</v>
      </c>
      <c r="B14885" t="s">
        <v>396</v>
      </c>
      <c r="C14885" t="s">
        <v>1928</v>
      </c>
      <c r="D14885">
        <v>1035</v>
      </c>
      <c r="E14885">
        <v>1215</v>
      </c>
      <c r="F14885">
        <v>1521</v>
      </c>
      <c r="G14885">
        <v>1783</v>
      </c>
    </row>
    <row r="14886" spans="1:7">
      <c r="A14886" t="s">
        <v>1876</v>
      </c>
      <c r="B14886" t="s">
        <v>396</v>
      </c>
      <c r="C14886" t="s">
        <v>1929</v>
      </c>
      <c r="D14886">
        <v>92</v>
      </c>
      <c r="E14886">
        <v>96</v>
      </c>
      <c r="F14886">
        <v>99</v>
      </c>
      <c r="G14886">
        <v>105</v>
      </c>
    </row>
    <row r="14887" spans="1:7">
      <c r="A14887" t="s">
        <v>1876</v>
      </c>
      <c r="B14887" t="s">
        <v>396</v>
      </c>
      <c r="C14887" t="s">
        <v>186</v>
      </c>
      <c r="D14887">
        <v>0</v>
      </c>
      <c r="E14887">
        <v>0</v>
      </c>
      <c r="F14887">
        <v>0</v>
      </c>
      <c r="G14887">
        <v>0</v>
      </c>
    </row>
    <row r="14888" spans="1:7">
      <c r="A14888" t="s">
        <v>1876</v>
      </c>
      <c r="B14888" t="s">
        <v>396</v>
      </c>
      <c r="C14888" t="s">
        <v>187</v>
      </c>
      <c r="D14888">
        <v>0</v>
      </c>
      <c r="E14888">
        <v>0</v>
      </c>
      <c r="F14888">
        <v>0</v>
      </c>
      <c r="G14888">
        <v>0</v>
      </c>
    </row>
    <row r="14889" spans="1:7">
      <c r="A14889" t="s">
        <v>1876</v>
      </c>
      <c r="B14889" t="s">
        <v>396</v>
      </c>
      <c r="C14889" t="s">
        <v>1705</v>
      </c>
      <c r="D14889">
        <v>17792</v>
      </c>
      <c r="E14889">
        <v>17876</v>
      </c>
      <c r="F14889">
        <v>15994</v>
      </c>
      <c r="G14889">
        <v>15985</v>
      </c>
    </row>
    <row r="14890" spans="1:7">
      <c r="A14890" t="s">
        <v>1876</v>
      </c>
      <c r="B14890" t="s">
        <v>396</v>
      </c>
      <c r="C14890" t="s">
        <v>188</v>
      </c>
      <c r="D14890">
        <v>1563322</v>
      </c>
      <c r="E14890">
        <v>1531235</v>
      </c>
      <c r="F14890">
        <v>1518589</v>
      </c>
      <c r="G14890">
        <v>1591436</v>
      </c>
    </row>
    <row r="14891" spans="1:7">
      <c r="A14891" t="s">
        <v>1876</v>
      </c>
      <c r="B14891" t="s">
        <v>396</v>
      </c>
      <c r="C14891" t="s">
        <v>189</v>
      </c>
      <c r="D14891">
        <v>0</v>
      </c>
      <c r="E14891">
        <v>0</v>
      </c>
      <c r="F14891">
        <v>0</v>
      </c>
      <c r="G14891">
        <v>0</v>
      </c>
    </row>
    <row r="14892" spans="1:7">
      <c r="A14892" t="s">
        <v>1876</v>
      </c>
      <c r="B14892" t="s">
        <v>396</v>
      </c>
      <c r="C14892" t="s">
        <v>190</v>
      </c>
      <c r="D14892">
        <v>0</v>
      </c>
      <c r="E14892">
        <v>0</v>
      </c>
      <c r="F14892">
        <v>0</v>
      </c>
      <c r="G14892">
        <v>0</v>
      </c>
    </row>
    <row r="14893" spans="1:7">
      <c r="A14893" t="s">
        <v>1876</v>
      </c>
      <c r="B14893" t="s">
        <v>396</v>
      </c>
      <c r="C14893" t="s">
        <v>191</v>
      </c>
      <c r="D14893">
        <v>0</v>
      </c>
      <c r="E14893">
        <v>0</v>
      </c>
      <c r="F14893">
        <v>0</v>
      </c>
      <c r="G14893">
        <v>0</v>
      </c>
    </row>
    <row r="14894" spans="1:7">
      <c r="A14894" t="s">
        <v>1876</v>
      </c>
      <c r="B14894" t="s">
        <v>396</v>
      </c>
      <c r="C14894" t="s">
        <v>192</v>
      </c>
      <c r="D14894">
        <v>616187.9</v>
      </c>
      <c r="E14894">
        <v>665624.69999999995</v>
      </c>
      <c r="F14894">
        <v>722767.4</v>
      </c>
      <c r="G14894">
        <v>761733.8</v>
      </c>
    </row>
    <row r="14895" spans="1:7">
      <c r="A14895" t="s">
        <v>1876</v>
      </c>
      <c r="B14895" t="s">
        <v>396</v>
      </c>
      <c r="C14895" t="s">
        <v>193</v>
      </c>
      <c r="D14895">
        <v>565790.69999999995</v>
      </c>
      <c r="E14895">
        <v>579301.80000000005</v>
      </c>
      <c r="F14895">
        <v>599261</v>
      </c>
      <c r="G14895">
        <v>613708.69999999995</v>
      </c>
    </row>
    <row r="14896" spans="1:7">
      <c r="A14896" t="s">
        <v>1876</v>
      </c>
      <c r="B14896" t="s">
        <v>396</v>
      </c>
      <c r="C14896" t="s">
        <v>1930</v>
      </c>
      <c r="D14896">
        <v>0</v>
      </c>
      <c r="E14896">
        <v>0</v>
      </c>
      <c r="F14896">
        <v>0</v>
      </c>
      <c r="G14896">
        <v>0</v>
      </c>
    </row>
    <row r="14897" spans="1:7">
      <c r="A14897" t="s">
        <v>1876</v>
      </c>
      <c r="B14897" t="s">
        <v>396</v>
      </c>
      <c r="C14897" t="s">
        <v>194</v>
      </c>
      <c r="D14897">
        <v>885</v>
      </c>
      <c r="E14897">
        <v>885</v>
      </c>
      <c r="F14897">
        <v>885</v>
      </c>
      <c r="G14897">
        <v>885</v>
      </c>
    </row>
    <row r="14898" spans="1:7">
      <c r="A14898" t="s">
        <v>1876</v>
      </c>
      <c r="B14898" t="s">
        <v>396</v>
      </c>
      <c r="C14898" t="s">
        <v>195</v>
      </c>
      <c r="D14898">
        <v>0</v>
      </c>
      <c r="E14898">
        <v>0</v>
      </c>
      <c r="F14898">
        <v>0</v>
      </c>
      <c r="G14898">
        <v>0</v>
      </c>
    </row>
    <row r="14899" spans="1:7">
      <c r="A14899" t="s">
        <v>1876</v>
      </c>
      <c r="B14899" t="s">
        <v>396</v>
      </c>
      <c r="C14899" t="s">
        <v>1706</v>
      </c>
      <c r="D14899">
        <v>0</v>
      </c>
      <c r="E14899">
        <v>0</v>
      </c>
      <c r="F14899">
        <v>0</v>
      </c>
      <c r="G14899">
        <v>0</v>
      </c>
    </row>
    <row r="14900" spans="1:7">
      <c r="A14900" t="s">
        <v>1876</v>
      </c>
      <c r="B14900" t="s">
        <v>396</v>
      </c>
      <c r="C14900" t="s">
        <v>196</v>
      </c>
      <c r="D14900">
        <v>0</v>
      </c>
      <c r="E14900">
        <v>0</v>
      </c>
      <c r="F14900">
        <v>0</v>
      </c>
      <c r="G14900">
        <v>0</v>
      </c>
    </row>
    <row r="14901" spans="1:7">
      <c r="A14901" t="s">
        <v>1876</v>
      </c>
      <c r="B14901" t="s">
        <v>396</v>
      </c>
      <c r="C14901" t="s">
        <v>197</v>
      </c>
      <c r="D14901">
        <v>816</v>
      </c>
      <c r="E14901">
        <v>816</v>
      </c>
      <c r="F14901">
        <v>816</v>
      </c>
      <c r="G14901">
        <v>816</v>
      </c>
    </row>
    <row r="14902" spans="1:7">
      <c r="A14902" t="s">
        <v>1876</v>
      </c>
      <c r="B14902" t="s">
        <v>396</v>
      </c>
      <c r="C14902" t="s">
        <v>198</v>
      </c>
      <c r="D14902">
        <v>1701</v>
      </c>
      <c r="E14902">
        <v>1701</v>
      </c>
      <c r="F14902">
        <v>1701</v>
      </c>
      <c r="G14902">
        <v>1701</v>
      </c>
    </row>
    <row r="14903" spans="1:7">
      <c r="A14903" t="s">
        <v>1876</v>
      </c>
      <c r="B14903" t="s">
        <v>396</v>
      </c>
      <c r="C14903" t="s">
        <v>199</v>
      </c>
      <c r="D14903">
        <v>1701</v>
      </c>
      <c r="E14903">
        <v>1701</v>
      </c>
      <c r="F14903">
        <v>1701</v>
      </c>
      <c r="G14903">
        <v>1701</v>
      </c>
    </row>
    <row r="14904" spans="1:7">
      <c r="A14904" t="s">
        <v>1876</v>
      </c>
      <c r="B14904" t="s">
        <v>396</v>
      </c>
      <c r="C14904" t="s">
        <v>200</v>
      </c>
      <c r="D14904">
        <v>125</v>
      </c>
      <c r="E14904">
        <v>200</v>
      </c>
      <c r="F14904">
        <v>202</v>
      </c>
      <c r="G14904">
        <v>208</v>
      </c>
    </row>
    <row r="14905" spans="1:7">
      <c r="A14905" t="s">
        <v>1876</v>
      </c>
      <c r="B14905" t="s">
        <v>396</v>
      </c>
      <c r="C14905" t="s">
        <v>201</v>
      </c>
      <c r="D14905">
        <v>7838</v>
      </c>
      <c r="E14905">
        <v>7828</v>
      </c>
      <c r="F14905">
        <v>6875</v>
      </c>
      <c r="G14905">
        <v>7330</v>
      </c>
    </row>
    <row r="14906" spans="1:7">
      <c r="A14906" t="s">
        <v>1876</v>
      </c>
      <c r="B14906" t="s">
        <v>396</v>
      </c>
      <c r="C14906" t="s">
        <v>202</v>
      </c>
      <c r="D14906">
        <v>3932</v>
      </c>
      <c r="E14906">
        <v>4952</v>
      </c>
      <c r="F14906">
        <v>3215</v>
      </c>
      <c r="G14906">
        <v>3182</v>
      </c>
    </row>
    <row r="14907" spans="1:7">
      <c r="A14907" t="s">
        <v>1876</v>
      </c>
      <c r="B14907" t="s">
        <v>396</v>
      </c>
      <c r="C14907" t="s">
        <v>203</v>
      </c>
      <c r="D14907">
        <v>11737</v>
      </c>
      <c r="E14907">
        <v>11550</v>
      </c>
      <c r="F14907">
        <v>11451</v>
      </c>
      <c r="G14907">
        <v>11897</v>
      </c>
    </row>
    <row r="14908" spans="1:7">
      <c r="A14908" t="s">
        <v>1876</v>
      </c>
      <c r="B14908" t="s">
        <v>396</v>
      </c>
      <c r="C14908" t="s">
        <v>204</v>
      </c>
      <c r="D14908">
        <v>23632</v>
      </c>
      <c r="E14908">
        <v>24531</v>
      </c>
      <c r="F14908">
        <v>21742</v>
      </c>
      <c r="G14908">
        <v>22617</v>
      </c>
    </row>
    <row r="14909" spans="1:7">
      <c r="A14909" t="s">
        <v>1876</v>
      </c>
      <c r="B14909" t="s">
        <v>396</v>
      </c>
      <c r="C14909" t="s">
        <v>205</v>
      </c>
      <c r="D14909">
        <v>23632</v>
      </c>
      <c r="E14909">
        <v>24531</v>
      </c>
      <c r="F14909">
        <v>21742</v>
      </c>
      <c r="G14909">
        <v>22617</v>
      </c>
    </row>
    <row r="14910" spans="1:7">
      <c r="A14910" t="s">
        <v>1876</v>
      </c>
      <c r="B14910" t="s">
        <v>396</v>
      </c>
      <c r="C14910" t="s">
        <v>1931</v>
      </c>
      <c r="D14910">
        <v>11.5</v>
      </c>
      <c r="E14910">
        <v>16.7</v>
      </c>
      <c r="F14910">
        <v>14.6</v>
      </c>
      <c r="G14910">
        <v>15.6</v>
      </c>
    </row>
    <row r="14911" spans="1:7">
      <c r="A14911" t="s">
        <v>1876</v>
      </c>
      <c r="B14911" t="s">
        <v>396</v>
      </c>
      <c r="C14911" t="s">
        <v>1707</v>
      </c>
      <c r="D14911">
        <v>3241</v>
      </c>
      <c r="E14911">
        <v>3241</v>
      </c>
      <c r="F14911">
        <v>3253</v>
      </c>
      <c r="G14911">
        <v>3253</v>
      </c>
    </row>
    <row r="14912" spans="1:7">
      <c r="A14912" t="s">
        <v>1876</v>
      </c>
      <c r="B14912" t="s">
        <v>396</v>
      </c>
      <c r="C14912" t="s">
        <v>1932</v>
      </c>
      <c r="D14912">
        <v>17.2</v>
      </c>
      <c r="E14912">
        <v>15</v>
      </c>
      <c r="F14912">
        <v>18.3</v>
      </c>
      <c r="G14912">
        <v>16.5</v>
      </c>
    </row>
    <row r="14913" spans="1:7">
      <c r="A14913" t="s">
        <v>1876</v>
      </c>
      <c r="B14913" t="s">
        <v>396</v>
      </c>
      <c r="C14913" t="s">
        <v>1708</v>
      </c>
      <c r="D14913">
        <v>866</v>
      </c>
      <c r="E14913">
        <v>867</v>
      </c>
      <c r="F14913">
        <v>867</v>
      </c>
      <c r="G14913">
        <v>867</v>
      </c>
    </row>
    <row r="14914" spans="1:7">
      <c r="A14914" t="s">
        <v>1876</v>
      </c>
      <c r="B14914" t="s">
        <v>396</v>
      </c>
      <c r="C14914" t="s">
        <v>206</v>
      </c>
      <c r="D14914">
        <v>0</v>
      </c>
      <c r="E14914">
        <v>0</v>
      </c>
      <c r="F14914">
        <v>0</v>
      </c>
      <c r="G14914">
        <v>0</v>
      </c>
    </row>
    <row r="14915" spans="1:7">
      <c r="A14915" t="s">
        <v>1876</v>
      </c>
      <c r="B14915" t="s">
        <v>396</v>
      </c>
      <c r="C14915" t="s">
        <v>207</v>
      </c>
      <c r="D14915">
        <v>4454</v>
      </c>
      <c r="E14915">
        <v>3878</v>
      </c>
      <c r="F14915">
        <v>4744</v>
      </c>
      <c r="G14915">
        <v>4275</v>
      </c>
    </row>
    <row r="14916" spans="1:7">
      <c r="A14916" t="s">
        <v>1876</v>
      </c>
      <c r="B14916" t="s">
        <v>396</v>
      </c>
      <c r="C14916" t="s">
        <v>208</v>
      </c>
      <c r="D14916">
        <v>1</v>
      </c>
      <c r="E14916">
        <v>1</v>
      </c>
      <c r="F14916">
        <v>1</v>
      </c>
      <c r="G14916">
        <v>1</v>
      </c>
    </row>
    <row r="14917" spans="1:7">
      <c r="A14917" t="s">
        <v>1876</v>
      </c>
      <c r="B14917" t="s">
        <v>396</v>
      </c>
      <c r="C14917" t="s">
        <v>209</v>
      </c>
      <c r="D14917">
        <v>4455</v>
      </c>
      <c r="E14917">
        <v>3880</v>
      </c>
      <c r="F14917">
        <v>4745</v>
      </c>
      <c r="G14917">
        <v>4276</v>
      </c>
    </row>
    <row r="14918" spans="1:7">
      <c r="A14918" t="s">
        <v>1876</v>
      </c>
      <c r="B14918" t="s">
        <v>396</v>
      </c>
      <c r="C14918" t="s">
        <v>210</v>
      </c>
      <c r="D14918">
        <v>1</v>
      </c>
      <c r="E14918">
        <v>1</v>
      </c>
      <c r="F14918">
        <v>1</v>
      </c>
      <c r="G14918">
        <v>1</v>
      </c>
    </row>
    <row r="14919" spans="1:7">
      <c r="A14919" t="s">
        <v>1876</v>
      </c>
      <c r="B14919" t="s">
        <v>396</v>
      </c>
      <c r="C14919" t="s">
        <v>211</v>
      </c>
      <c r="D14919">
        <v>0</v>
      </c>
      <c r="E14919">
        <v>0</v>
      </c>
      <c r="F14919">
        <v>0</v>
      </c>
      <c r="G14919">
        <v>0</v>
      </c>
    </row>
    <row r="14920" spans="1:7">
      <c r="A14920" t="s">
        <v>1876</v>
      </c>
      <c r="B14920" t="s">
        <v>396</v>
      </c>
      <c r="C14920" t="s">
        <v>212</v>
      </c>
      <c r="D14920">
        <v>0</v>
      </c>
      <c r="E14920">
        <v>0</v>
      </c>
      <c r="F14920">
        <v>0</v>
      </c>
      <c r="G14920">
        <v>0</v>
      </c>
    </row>
    <row r="14921" spans="1:7">
      <c r="A14921" t="s">
        <v>1876</v>
      </c>
      <c r="B14921" t="s">
        <v>396</v>
      </c>
      <c r="C14921" t="s">
        <v>213</v>
      </c>
      <c r="D14921">
        <v>0</v>
      </c>
      <c r="E14921">
        <v>0</v>
      </c>
      <c r="F14921">
        <v>0</v>
      </c>
      <c r="G14921">
        <v>0</v>
      </c>
    </row>
    <row r="14922" spans="1:7">
      <c r="A14922" t="s">
        <v>1876</v>
      </c>
      <c r="B14922" t="s">
        <v>396</v>
      </c>
      <c r="C14922" t="s">
        <v>214</v>
      </c>
      <c r="D14922">
        <v>0</v>
      </c>
      <c r="E14922">
        <v>0</v>
      </c>
      <c r="F14922">
        <v>0</v>
      </c>
      <c r="G14922">
        <v>0</v>
      </c>
    </row>
    <row r="14923" spans="1:7">
      <c r="A14923" t="s">
        <v>1876</v>
      </c>
      <c r="B14923" t="s">
        <v>396</v>
      </c>
      <c r="C14923" t="s">
        <v>215</v>
      </c>
      <c r="D14923">
        <v>97309</v>
      </c>
      <c r="E14923">
        <v>122153</v>
      </c>
      <c r="F14923">
        <v>113553</v>
      </c>
      <c r="G14923">
        <v>115403</v>
      </c>
    </row>
    <row r="14924" spans="1:7">
      <c r="A14924" t="s">
        <v>1876</v>
      </c>
      <c r="B14924" t="s">
        <v>396</v>
      </c>
      <c r="C14924" t="s">
        <v>216</v>
      </c>
      <c r="D14924">
        <v>97309</v>
      </c>
      <c r="E14924">
        <v>122153</v>
      </c>
      <c r="F14924">
        <v>113553</v>
      </c>
      <c r="G14924">
        <v>115403</v>
      </c>
    </row>
    <row r="14925" spans="1:7">
      <c r="A14925" t="s">
        <v>1876</v>
      </c>
      <c r="B14925" t="s">
        <v>396</v>
      </c>
      <c r="C14925" t="s">
        <v>217</v>
      </c>
      <c r="D14925">
        <v>97309</v>
      </c>
      <c r="E14925">
        <v>122153</v>
      </c>
      <c r="F14925">
        <v>113553</v>
      </c>
      <c r="G14925">
        <v>115403</v>
      </c>
    </row>
    <row r="14926" spans="1:7">
      <c r="A14926" t="s">
        <v>1876</v>
      </c>
      <c r="B14926" t="s">
        <v>396</v>
      </c>
      <c r="C14926" t="s">
        <v>218</v>
      </c>
      <c r="D14926">
        <v>78</v>
      </c>
      <c r="E14926">
        <v>71</v>
      </c>
      <c r="F14926">
        <v>122</v>
      </c>
      <c r="G14926">
        <v>94</v>
      </c>
    </row>
    <row r="14927" spans="1:7">
      <c r="A14927" t="s">
        <v>1876</v>
      </c>
      <c r="B14927" t="s">
        <v>396</v>
      </c>
      <c r="C14927" t="s">
        <v>219</v>
      </c>
      <c r="D14927">
        <v>14</v>
      </c>
      <c r="E14927">
        <v>10</v>
      </c>
      <c r="F14927">
        <v>41</v>
      </c>
      <c r="G14927">
        <v>22</v>
      </c>
    </row>
    <row r="14928" spans="1:7">
      <c r="A14928" t="s">
        <v>1876</v>
      </c>
      <c r="B14928" t="s">
        <v>396</v>
      </c>
      <c r="C14928" t="s">
        <v>220</v>
      </c>
      <c r="D14928">
        <v>431</v>
      </c>
      <c r="E14928">
        <v>393</v>
      </c>
      <c r="F14928">
        <v>672</v>
      </c>
      <c r="G14928">
        <v>518</v>
      </c>
    </row>
    <row r="14929" spans="1:7">
      <c r="A14929" t="s">
        <v>1876</v>
      </c>
      <c r="B14929" t="s">
        <v>396</v>
      </c>
      <c r="C14929" t="s">
        <v>221</v>
      </c>
      <c r="D14929">
        <v>522</v>
      </c>
      <c r="E14929">
        <v>474</v>
      </c>
      <c r="F14929">
        <v>835</v>
      </c>
      <c r="G14929">
        <v>634</v>
      </c>
    </row>
    <row r="14930" spans="1:7">
      <c r="A14930" t="s">
        <v>1876</v>
      </c>
      <c r="B14930" t="s">
        <v>396</v>
      </c>
      <c r="C14930" t="s">
        <v>222</v>
      </c>
      <c r="D14930">
        <v>522</v>
      </c>
      <c r="E14930">
        <v>474</v>
      </c>
      <c r="F14930">
        <v>835</v>
      </c>
      <c r="G14930">
        <v>634</v>
      </c>
    </row>
    <row r="14931" spans="1:7">
      <c r="A14931" t="s">
        <v>1876</v>
      </c>
      <c r="B14931" t="s">
        <v>396</v>
      </c>
      <c r="C14931" t="s">
        <v>1933</v>
      </c>
      <c r="D14931">
        <v>7112.7</v>
      </c>
      <c r="E14931">
        <v>7094.1</v>
      </c>
      <c r="F14931">
        <v>7121.9</v>
      </c>
      <c r="G14931">
        <v>7205.3</v>
      </c>
    </row>
    <row r="14932" spans="1:7">
      <c r="A14932" t="s">
        <v>1876</v>
      </c>
      <c r="B14932" t="s">
        <v>396</v>
      </c>
      <c r="C14932" t="s">
        <v>223</v>
      </c>
      <c r="D14932">
        <v>983</v>
      </c>
      <c r="E14932">
        <v>721</v>
      </c>
      <c r="F14932">
        <v>1325</v>
      </c>
      <c r="G14932">
        <v>1551</v>
      </c>
    </row>
    <row r="14933" spans="1:7">
      <c r="A14933" t="s">
        <v>1876</v>
      </c>
      <c r="B14933" t="s">
        <v>396</v>
      </c>
      <c r="C14933" t="s">
        <v>224</v>
      </c>
      <c r="D14933">
        <v>330718</v>
      </c>
      <c r="E14933">
        <v>380555</v>
      </c>
      <c r="F14933">
        <v>408252</v>
      </c>
      <c r="G14933">
        <v>427270</v>
      </c>
    </row>
    <row r="14934" spans="1:7">
      <c r="A14934" t="s">
        <v>1876</v>
      </c>
      <c r="B14934" t="s">
        <v>396</v>
      </c>
      <c r="C14934" t="s">
        <v>225</v>
      </c>
      <c r="D14934">
        <v>111014</v>
      </c>
      <c r="E14934">
        <v>93596</v>
      </c>
      <c r="F14934">
        <v>83944</v>
      </c>
      <c r="G14934">
        <v>74779</v>
      </c>
    </row>
    <row r="14935" spans="1:7">
      <c r="A14935" t="s">
        <v>1876</v>
      </c>
      <c r="B14935" t="s">
        <v>396</v>
      </c>
      <c r="C14935" t="s">
        <v>226</v>
      </c>
      <c r="D14935">
        <v>262633</v>
      </c>
      <c r="E14935">
        <v>259329</v>
      </c>
      <c r="F14935">
        <v>238378</v>
      </c>
      <c r="G14935">
        <v>245757</v>
      </c>
    </row>
    <row r="14936" spans="1:7">
      <c r="A14936" t="s">
        <v>1876</v>
      </c>
      <c r="B14936" t="s">
        <v>396</v>
      </c>
      <c r="C14936" t="s">
        <v>227</v>
      </c>
      <c r="D14936">
        <v>705349</v>
      </c>
      <c r="E14936">
        <v>734201</v>
      </c>
      <c r="F14936">
        <v>731899</v>
      </c>
      <c r="G14936">
        <v>749357</v>
      </c>
    </row>
    <row r="14937" spans="1:7">
      <c r="A14937" t="s">
        <v>1876</v>
      </c>
      <c r="B14937" t="s">
        <v>396</v>
      </c>
      <c r="C14937" t="s">
        <v>228</v>
      </c>
      <c r="D14937">
        <v>705349</v>
      </c>
      <c r="E14937">
        <v>734201</v>
      </c>
      <c r="F14937">
        <v>731899</v>
      </c>
      <c r="G14937">
        <v>749357</v>
      </c>
    </row>
    <row r="14938" spans="1:7">
      <c r="A14938" t="s">
        <v>1876</v>
      </c>
      <c r="B14938" t="s">
        <v>396</v>
      </c>
      <c r="C14938" t="s">
        <v>229</v>
      </c>
      <c r="D14938">
        <v>3282</v>
      </c>
      <c r="E14938">
        <v>3301</v>
      </c>
      <c r="F14938">
        <v>2563</v>
      </c>
      <c r="G14938">
        <v>2420</v>
      </c>
    </row>
    <row r="14939" spans="1:7">
      <c r="A14939" t="s">
        <v>1876</v>
      </c>
      <c r="B14939" t="s">
        <v>396</v>
      </c>
      <c r="C14939" t="s">
        <v>230</v>
      </c>
      <c r="D14939">
        <v>1992</v>
      </c>
      <c r="E14939">
        <v>2074</v>
      </c>
      <c r="F14939">
        <v>1493</v>
      </c>
      <c r="G14939">
        <v>1349</v>
      </c>
    </row>
    <row r="14940" spans="1:7">
      <c r="A14940" t="s">
        <v>1876</v>
      </c>
      <c r="B14940" t="s">
        <v>396</v>
      </c>
      <c r="C14940" t="s">
        <v>231</v>
      </c>
      <c r="D14940">
        <v>5274</v>
      </c>
      <c r="E14940">
        <v>5375</v>
      </c>
      <c r="F14940">
        <v>4055</v>
      </c>
      <c r="G14940">
        <v>3768</v>
      </c>
    </row>
    <row r="14941" spans="1:7">
      <c r="A14941" t="s">
        <v>1876</v>
      </c>
      <c r="B14941" t="s">
        <v>396</v>
      </c>
      <c r="C14941" t="s">
        <v>232</v>
      </c>
      <c r="D14941">
        <v>5274</v>
      </c>
      <c r="E14941">
        <v>5375</v>
      </c>
      <c r="F14941">
        <v>4055</v>
      </c>
      <c r="G14941">
        <v>3768</v>
      </c>
    </row>
    <row r="14942" spans="1:7">
      <c r="A14942" t="s">
        <v>1876</v>
      </c>
      <c r="B14942" t="s">
        <v>396</v>
      </c>
      <c r="C14942" t="s">
        <v>233</v>
      </c>
      <c r="D14942">
        <v>0</v>
      </c>
      <c r="E14942">
        <v>0</v>
      </c>
      <c r="F14942">
        <v>0</v>
      </c>
      <c r="G14942">
        <v>0</v>
      </c>
    </row>
    <row r="14943" spans="1:7">
      <c r="A14943" t="s">
        <v>1876</v>
      </c>
      <c r="B14943" t="s">
        <v>396</v>
      </c>
      <c r="C14943" t="s">
        <v>234</v>
      </c>
      <c r="D14943">
        <v>458671</v>
      </c>
      <c r="E14943">
        <v>436914</v>
      </c>
      <c r="F14943">
        <v>472148</v>
      </c>
      <c r="G14943">
        <v>471220</v>
      </c>
    </row>
    <row r="14944" spans="1:7">
      <c r="A14944" t="s">
        <v>1876</v>
      </c>
      <c r="B14944" t="s">
        <v>396</v>
      </c>
      <c r="C14944" t="s">
        <v>235</v>
      </c>
      <c r="D14944">
        <v>11875</v>
      </c>
      <c r="E14944">
        <v>12312</v>
      </c>
      <c r="F14944">
        <v>12220</v>
      </c>
      <c r="G14944">
        <v>10216</v>
      </c>
    </row>
    <row r="14945" spans="1:7">
      <c r="A14945" t="s">
        <v>1876</v>
      </c>
      <c r="B14945" t="s">
        <v>396</v>
      </c>
      <c r="C14945" t="s">
        <v>236</v>
      </c>
      <c r="D14945">
        <v>3835</v>
      </c>
      <c r="E14945">
        <v>3956</v>
      </c>
      <c r="F14945">
        <v>4016</v>
      </c>
      <c r="G14945">
        <v>4019</v>
      </c>
    </row>
    <row r="14946" spans="1:7">
      <c r="A14946" t="s">
        <v>1876</v>
      </c>
      <c r="B14946" t="s">
        <v>396</v>
      </c>
      <c r="C14946" t="s">
        <v>237</v>
      </c>
      <c r="D14946">
        <v>474381</v>
      </c>
      <c r="E14946">
        <v>453182</v>
      </c>
      <c r="F14946">
        <v>488384</v>
      </c>
      <c r="G14946">
        <v>485456</v>
      </c>
    </row>
    <row r="14947" spans="1:7">
      <c r="A14947" t="s">
        <v>1876</v>
      </c>
      <c r="B14947" t="s">
        <v>396</v>
      </c>
      <c r="C14947" t="s">
        <v>238</v>
      </c>
      <c r="D14947">
        <v>474381</v>
      </c>
      <c r="E14947">
        <v>453182</v>
      </c>
      <c r="F14947">
        <v>488384</v>
      </c>
      <c r="G14947">
        <v>485456</v>
      </c>
    </row>
    <row r="14948" spans="1:7">
      <c r="A14948" t="s">
        <v>1876</v>
      </c>
      <c r="B14948" t="s">
        <v>396</v>
      </c>
      <c r="C14948" t="s">
        <v>1934</v>
      </c>
      <c r="D14948">
        <v>425986</v>
      </c>
      <c r="E14948">
        <v>405407</v>
      </c>
      <c r="F14948">
        <v>438166</v>
      </c>
      <c r="G14948">
        <v>437419</v>
      </c>
    </row>
    <row r="14949" spans="1:7">
      <c r="A14949" t="s">
        <v>1876</v>
      </c>
      <c r="B14949" t="s">
        <v>396</v>
      </c>
      <c r="C14949" t="s">
        <v>1935</v>
      </c>
      <c r="D14949">
        <v>11029</v>
      </c>
      <c r="E14949">
        <v>11424</v>
      </c>
      <c r="F14949">
        <v>11340</v>
      </c>
      <c r="G14949">
        <v>9484</v>
      </c>
    </row>
    <row r="14950" spans="1:7">
      <c r="A14950" t="s">
        <v>1876</v>
      </c>
      <c r="B14950" t="s">
        <v>396</v>
      </c>
      <c r="C14950" t="s">
        <v>1936</v>
      </c>
      <c r="D14950">
        <v>3562</v>
      </c>
      <c r="E14950">
        <v>3671</v>
      </c>
      <c r="F14950">
        <v>3727</v>
      </c>
      <c r="G14950">
        <v>3731</v>
      </c>
    </row>
    <row r="14951" spans="1:7">
      <c r="A14951" t="s">
        <v>1876</v>
      </c>
      <c r="B14951" t="s">
        <v>396</v>
      </c>
      <c r="C14951" t="s">
        <v>239</v>
      </c>
      <c r="D14951">
        <v>440577</v>
      </c>
      <c r="E14951">
        <v>420502</v>
      </c>
      <c r="F14951">
        <v>453233</v>
      </c>
      <c r="G14951">
        <v>450634</v>
      </c>
    </row>
    <row r="14952" spans="1:7">
      <c r="A14952" t="s">
        <v>1876</v>
      </c>
      <c r="B14952" t="s">
        <v>396</v>
      </c>
      <c r="C14952" t="s">
        <v>240</v>
      </c>
      <c r="D14952">
        <v>2329</v>
      </c>
      <c r="E14952">
        <v>1591</v>
      </c>
      <c r="F14952">
        <v>1529</v>
      </c>
      <c r="G14952">
        <v>1497</v>
      </c>
    </row>
    <row r="14953" spans="1:7">
      <c r="A14953" t="s">
        <v>1876</v>
      </c>
      <c r="B14953" t="s">
        <v>396</v>
      </c>
      <c r="C14953" t="s">
        <v>241</v>
      </c>
      <c r="D14953">
        <v>0</v>
      </c>
      <c r="E14953">
        <v>0</v>
      </c>
      <c r="F14953">
        <v>0</v>
      </c>
      <c r="G14953">
        <v>0</v>
      </c>
    </row>
    <row r="14954" spans="1:7">
      <c r="A14954" t="s">
        <v>1876</v>
      </c>
      <c r="B14954" t="s">
        <v>396</v>
      </c>
      <c r="C14954" t="s">
        <v>242</v>
      </c>
      <c r="D14954">
        <v>14551</v>
      </c>
      <c r="E14954">
        <v>15419</v>
      </c>
      <c r="F14954">
        <v>12475</v>
      </c>
      <c r="G14954">
        <v>13529</v>
      </c>
    </row>
    <row r="14955" spans="1:7">
      <c r="A14955" t="s">
        <v>1876</v>
      </c>
      <c r="B14955" t="s">
        <v>396</v>
      </c>
      <c r="C14955" t="s">
        <v>243</v>
      </c>
      <c r="D14955">
        <v>75724</v>
      </c>
      <c r="E14955">
        <v>78597</v>
      </c>
      <c r="F14955">
        <v>71752</v>
      </c>
      <c r="G14955">
        <v>73458</v>
      </c>
    </row>
    <row r="14956" spans="1:7">
      <c r="A14956" t="s">
        <v>1876</v>
      </c>
      <c r="B14956" t="s">
        <v>396</v>
      </c>
      <c r="C14956" t="s">
        <v>244</v>
      </c>
      <c r="D14956">
        <v>398374</v>
      </c>
      <c r="E14956">
        <v>363201</v>
      </c>
      <c r="F14956">
        <v>375176</v>
      </c>
      <c r="G14956">
        <v>455292</v>
      </c>
    </row>
    <row r="14957" spans="1:7">
      <c r="A14957" t="s">
        <v>1876</v>
      </c>
      <c r="B14957" t="s">
        <v>396</v>
      </c>
      <c r="C14957" t="s">
        <v>1709</v>
      </c>
      <c r="D14957">
        <v>13706</v>
      </c>
      <c r="E14957">
        <v>13804</v>
      </c>
      <c r="F14957">
        <v>13727</v>
      </c>
      <c r="G14957">
        <v>13713</v>
      </c>
    </row>
    <row r="14958" spans="1:7">
      <c r="A14958" t="s">
        <v>1876</v>
      </c>
      <c r="B14958" t="s">
        <v>396</v>
      </c>
      <c r="C14958" t="s">
        <v>245</v>
      </c>
      <c r="D14958">
        <v>125103</v>
      </c>
      <c r="E14958">
        <v>119754</v>
      </c>
      <c r="F14958">
        <v>119581</v>
      </c>
      <c r="G14958">
        <v>114123</v>
      </c>
    </row>
    <row r="14959" spans="1:7">
      <c r="A14959" t="s">
        <v>1876</v>
      </c>
      <c r="B14959" t="s">
        <v>396</v>
      </c>
      <c r="C14959" t="s">
        <v>246</v>
      </c>
      <c r="D14959">
        <v>86265</v>
      </c>
      <c r="E14959">
        <v>89021</v>
      </c>
      <c r="F14959">
        <v>77101</v>
      </c>
      <c r="G14959">
        <v>79163</v>
      </c>
    </row>
    <row r="14960" spans="1:7">
      <c r="A14960" t="s">
        <v>1876</v>
      </c>
      <c r="B14960" t="s">
        <v>396</v>
      </c>
      <c r="C14960" t="s">
        <v>247</v>
      </c>
      <c r="D14960">
        <v>700018</v>
      </c>
      <c r="E14960">
        <v>665991</v>
      </c>
      <c r="F14960">
        <v>656085</v>
      </c>
      <c r="G14960">
        <v>735566</v>
      </c>
    </row>
    <row r="14961" spans="1:7">
      <c r="A14961" t="s">
        <v>1876</v>
      </c>
      <c r="B14961" t="s">
        <v>396</v>
      </c>
      <c r="C14961" t="s">
        <v>248</v>
      </c>
      <c r="D14961">
        <v>80.8</v>
      </c>
      <c r="E14961">
        <v>76.7</v>
      </c>
      <c r="F14961">
        <v>75.099999999999994</v>
      </c>
      <c r="G14961">
        <v>83.4</v>
      </c>
    </row>
    <row r="14962" spans="1:7">
      <c r="A14962" t="s">
        <v>1876</v>
      </c>
      <c r="B14962" t="s">
        <v>396</v>
      </c>
      <c r="C14962" t="s">
        <v>249</v>
      </c>
      <c r="D14962">
        <v>301643</v>
      </c>
      <c r="E14962">
        <v>302791</v>
      </c>
      <c r="F14962">
        <v>280909</v>
      </c>
      <c r="G14962">
        <v>280273</v>
      </c>
    </row>
    <row r="14963" spans="1:7">
      <c r="A14963" t="s">
        <v>1876</v>
      </c>
      <c r="B14963" t="s">
        <v>396</v>
      </c>
      <c r="C14963" t="s">
        <v>250</v>
      </c>
      <c r="D14963">
        <v>699927</v>
      </c>
      <c r="E14963">
        <v>665869</v>
      </c>
      <c r="F14963">
        <v>656024</v>
      </c>
      <c r="G14963">
        <v>734957</v>
      </c>
    </row>
    <row r="14964" spans="1:7">
      <c r="A14964" t="s">
        <v>1876</v>
      </c>
      <c r="B14964" t="s">
        <v>396</v>
      </c>
      <c r="C14964" t="s">
        <v>1937</v>
      </c>
      <c r="D14964">
        <v>9.9</v>
      </c>
      <c r="E14964">
        <v>9.9</v>
      </c>
      <c r="F14964">
        <v>8.6</v>
      </c>
      <c r="G14964">
        <v>11.2</v>
      </c>
    </row>
    <row r="14965" spans="1:7">
      <c r="A14965" t="s">
        <v>1876</v>
      </c>
      <c r="B14965" t="s">
        <v>396</v>
      </c>
      <c r="C14965" t="s">
        <v>1938</v>
      </c>
      <c r="D14965">
        <v>91.4</v>
      </c>
      <c r="E14965">
        <v>90.2</v>
      </c>
      <c r="F14965">
        <v>94.9</v>
      </c>
      <c r="G14965">
        <v>92.4</v>
      </c>
    </row>
    <row r="14966" spans="1:7">
      <c r="A14966" t="s">
        <v>1876</v>
      </c>
      <c r="B14966" t="s">
        <v>396</v>
      </c>
      <c r="C14966" t="s">
        <v>251</v>
      </c>
      <c r="D14966">
        <v>297972</v>
      </c>
      <c r="E14966">
        <v>294606</v>
      </c>
      <c r="F14966">
        <v>310037</v>
      </c>
      <c r="G14966">
        <v>302276</v>
      </c>
    </row>
    <row r="14967" spans="1:7">
      <c r="A14967" t="s">
        <v>1876</v>
      </c>
      <c r="B14967" t="s">
        <v>396</v>
      </c>
      <c r="C14967" t="s">
        <v>252</v>
      </c>
      <c r="D14967">
        <v>297972</v>
      </c>
      <c r="E14967">
        <v>294606</v>
      </c>
      <c r="F14967">
        <v>310037</v>
      </c>
      <c r="G14967">
        <v>302276</v>
      </c>
    </row>
    <row r="14968" spans="1:7">
      <c r="A14968" t="s">
        <v>1876</v>
      </c>
      <c r="B14968" t="s">
        <v>396</v>
      </c>
      <c r="C14968" t="s">
        <v>1710</v>
      </c>
      <c r="D14968">
        <v>3568</v>
      </c>
      <c r="E14968">
        <v>3568</v>
      </c>
      <c r="F14968">
        <v>3568</v>
      </c>
      <c r="G14968">
        <v>3568</v>
      </c>
    </row>
    <row r="14969" spans="1:7">
      <c r="A14969" t="s">
        <v>1876</v>
      </c>
      <c r="B14969" t="s">
        <v>396</v>
      </c>
      <c r="C14969" t="s">
        <v>1939</v>
      </c>
      <c r="D14969">
        <v>8.1999999999999993</v>
      </c>
      <c r="E14969">
        <v>7.8</v>
      </c>
      <c r="F14969">
        <v>5.0999999999999996</v>
      </c>
      <c r="G14969">
        <v>10.6</v>
      </c>
    </row>
    <row r="14970" spans="1:7">
      <c r="A14970" t="s">
        <v>1876</v>
      </c>
      <c r="B14970" t="s">
        <v>396</v>
      </c>
      <c r="C14970" t="s">
        <v>253</v>
      </c>
      <c r="D14970">
        <v>0</v>
      </c>
      <c r="E14970">
        <v>0</v>
      </c>
      <c r="F14970">
        <v>0</v>
      </c>
      <c r="G14970">
        <v>0</v>
      </c>
    </row>
    <row r="14971" spans="1:7">
      <c r="A14971" t="s">
        <v>1876</v>
      </c>
      <c r="B14971" t="s">
        <v>396</v>
      </c>
      <c r="C14971" t="s">
        <v>1711</v>
      </c>
      <c r="D14971">
        <v>0</v>
      </c>
      <c r="E14971">
        <v>0</v>
      </c>
      <c r="F14971">
        <v>0</v>
      </c>
      <c r="G14971">
        <v>0</v>
      </c>
    </row>
    <row r="14972" spans="1:7">
      <c r="A14972" t="s">
        <v>1876</v>
      </c>
      <c r="B14972" t="s">
        <v>396</v>
      </c>
      <c r="C14972" t="s">
        <v>1712</v>
      </c>
      <c r="D14972">
        <v>5409</v>
      </c>
      <c r="E14972">
        <v>4727</v>
      </c>
      <c r="F14972">
        <v>4601</v>
      </c>
      <c r="G14972">
        <v>4238</v>
      </c>
    </row>
    <row r="14973" spans="1:7">
      <c r="A14973" t="s">
        <v>1876</v>
      </c>
      <c r="B14973" t="s">
        <v>396</v>
      </c>
      <c r="C14973" t="s">
        <v>1713</v>
      </c>
      <c r="D14973">
        <v>2252</v>
      </c>
      <c r="E14973">
        <v>2017</v>
      </c>
      <c r="F14973">
        <v>3098</v>
      </c>
      <c r="G14973">
        <v>3161</v>
      </c>
    </row>
    <row r="14974" spans="1:7">
      <c r="A14974" t="s">
        <v>1876</v>
      </c>
      <c r="B14974" t="s">
        <v>396</v>
      </c>
      <c r="C14974" t="s">
        <v>1940</v>
      </c>
      <c r="D14974">
        <v>0</v>
      </c>
      <c r="E14974">
        <v>0</v>
      </c>
      <c r="F14974">
        <v>0</v>
      </c>
      <c r="G14974">
        <v>0</v>
      </c>
    </row>
    <row r="14975" spans="1:7">
      <c r="A14975" t="s">
        <v>1876</v>
      </c>
      <c r="B14975" t="s">
        <v>396</v>
      </c>
      <c r="C14975" t="s">
        <v>1941</v>
      </c>
      <c r="D14975">
        <v>2</v>
      </c>
      <c r="E14975">
        <v>1</v>
      </c>
      <c r="F14975">
        <v>1</v>
      </c>
      <c r="G14975">
        <v>1</v>
      </c>
    </row>
    <row r="14976" spans="1:7">
      <c r="A14976" t="s">
        <v>1876</v>
      </c>
      <c r="B14976" t="s">
        <v>396</v>
      </c>
      <c r="C14976" t="s">
        <v>254</v>
      </c>
      <c r="D14976">
        <v>5409</v>
      </c>
      <c r="E14976">
        <v>4727</v>
      </c>
      <c r="F14976">
        <v>4601</v>
      </c>
      <c r="G14976">
        <v>4238</v>
      </c>
    </row>
    <row r="14977" spans="1:7">
      <c r="A14977" t="s">
        <v>1876</v>
      </c>
      <c r="B14977" t="s">
        <v>396</v>
      </c>
      <c r="C14977" t="s">
        <v>1942</v>
      </c>
      <c r="D14977">
        <v>0</v>
      </c>
      <c r="E14977">
        <v>0</v>
      </c>
      <c r="F14977">
        <v>0</v>
      </c>
      <c r="G14977">
        <v>0</v>
      </c>
    </row>
    <row r="14978" spans="1:7">
      <c r="A14978" t="s">
        <v>1876</v>
      </c>
      <c r="B14978" t="s">
        <v>396</v>
      </c>
      <c r="C14978" t="s">
        <v>255</v>
      </c>
      <c r="D14978">
        <v>7663</v>
      </c>
      <c r="E14978">
        <v>6746</v>
      </c>
      <c r="F14978">
        <v>7700</v>
      </c>
      <c r="G14978">
        <v>7399</v>
      </c>
    </row>
    <row r="14979" spans="1:7">
      <c r="A14979" t="s">
        <v>1876</v>
      </c>
      <c r="B14979" t="s">
        <v>396</v>
      </c>
      <c r="C14979" t="s">
        <v>256</v>
      </c>
      <c r="D14979">
        <v>7661</v>
      </c>
      <c r="E14979">
        <v>6745</v>
      </c>
      <c r="F14979">
        <v>7699</v>
      </c>
      <c r="G14979">
        <v>7398</v>
      </c>
    </row>
    <row r="14980" spans="1:7">
      <c r="A14980" t="s">
        <v>1876</v>
      </c>
      <c r="B14980" t="s">
        <v>396</v>
      </c>
      <c r="C14980" t="s">
        <v>1714</v>
      </c>
      <c r="D14980">
        <v>96</v>
      </c>
      <c r="E14980">
        <v>0</v>
      </c>
      <c r="F14980">
        <v>0</v>
      </c>
      <c r="G14980">
        <v>0</v>
      </c>
    </row>
    <row r="14981" spans="1:7">
      <c r="A14981" t="s">
        <v>1876</v>
      </c>
      <c r="B14981" t="s">
        <v>396</v>
      </c>
      <c r="C14981" t="s">
        <v>257</v>
      </c>
      <c r="D14981">
        <v>28760</v>
      </c>
      <c r="E14981">
        <v>29549</v>
      </c>
      <c r="F14981">
        <v>29038</v>
      </c>
      <c r="G14981">
        <v>26184</v>
      </c>
    </row>
    <row r="14982" spans="1:7">
      <c r="A14982" t="s">
        <v>1876</v>
      </c>
      <c r="B14982" t="s">
        <v>396</v>
      </c>
      <c r="C14982" t="s">
        <v>258</v>
      </c>
      <c r="D14982">
        <v>35201</v>
      </c>
      <c r="E14982">
        <v>35742</v>
      </c>
      <c r="F14982">
        <v>35882</v>
      </c>
      <c r="G14982">
        <v>32795</v>
      </c>
    </row>
    <row r="14983" spans="1:7">
      <c r="A14983" t="s">
        <v>1876</v>
      </c>
      <c r="B14983" t="s">
        <v>396</v>
      </c>
      <c r="C14983" t="s">
        <v>259</v>
      </c>
      <c r="D14983">
        <v>35199</v>
      </c>
      <c r="E14983">
        <v>35740</v>
      </c>
      <c r="F14983">
        <v>35881</v>
      </c>
      <c r="G14983">
        <v>32794</v>
      </c>
    </row>
    <row r="14984" spans="1:7">
      <c r="A14984" t="s">
        <v>1876</v>
      </c>
      <c r="B14984" t="s">
        <v>396</v>
      </c>
      <c r="C14984" t="s">
        <v>260</v>
      </c>
      <c r="D14984">
        <v>724201</v>
      </c>
      <c r="E14984">
        <v>719343</v>
      </c>
      <c r="F14984">
        <v>751487</v>
      </c>
      <c r="G14984">
        <v>743597</v>
      </c>
    </row>
    <row r="14985" spans="1:7">
      <c r="A14985" t="s">
        <v>1876</v>
      </c>
      <c r="B14985" t="s">
        <v>396</v>
      </c>
      <c r="C14985" t="s">
        <v>1943</v>
      </c>
      <c r="D14985">
        <v>0.8</v>
      </c>
      <c r="E14985">
        <v>1</v>
      </c>
      <c r="F14985">
        <v>0.7</v>
      </c>
      <c r="G14985">
        <v>0.8</v>
      </c>
    </row>
    <row r="14986" spans="1:7">
      <c r="A14986" t="s">
        <v>1876</v>
      </c>
      <c r="B14986" t="s">
        <v>396</v>
      </c>
      <c r="C14986" t="s">
        <v>261</v>
      </c>
      <c r="D14986">
        <v>28356</v>
      </c>
      <c r="E14986">
        <v>28906</v>
      </c>
      <c r="F14986">
        <v>27337</v>
      </c>
      <c r="G14986">
        <v>25691</v>
      </c>
    </row>
    <row r="14987" spans="1:7">
      <c r="A14987" t="s">
        <v>1876</v>
      </c>
      <c r="B14987" t="s">
        <v>396</v>
      </c>
      <c r="C14987" t="s">
        <v>262</v>
      </c>
      <c r="D14987">
        <v>3091</v>
      </c>
      <c r="E14987">
        <v>6395</v>
      </c>
      <c r="F14987">
        <v>1278</v>
      </c>
      <c r="G14987">
        <v>2209</v>
      </c>
    </row>
    <row r="14988" spans="1:7">
      <c r="A14988" t="s">
        <v>1876</v>
      </c>
      <c r="B14988" t="s">
        <v>396</v>
      </c>
      <c r="C14988" t="s">
        <v>1715</v>
      </c>
      <c r="D14988">
        <v>1550</v>
      </c>
      <c r="E14988">
        <v>1536</v>
      </c>
      <c r="F14988">
        <v>737</v>
      </c>
      <c r="G14988">
        <v>742</v>
      </c>
    </row>
    <row r="14989" spans="1:7">
      <c r="A14989" t="s">
        <v>1876</v>
      </c>
      <c r="B14989" t="s">
        <v>396</v>
      </c>
      <c r="C14989" t="s">
        <v>263</v>
      </c>
      <c r="D14989">
        <v>52612</v>
      </c>
      <c r="E14989">
        <v>54728</v>
      </c>
      <c r="F14989">
        <v>52023</v>
      </c>
      <c r="G14989">
        <v>48755</v>
      </c>
    </row>
    <row r="14990" spans="1:7">
      <c r="A14990" t="s">
        <v>1876</v>
      </c>
      <c r="B14990" t="s">
        <v>396</v>
      </c>
      <c r="C14990" t="s">
        <v>264</v>
      </c>
      <c r="D14990">
        <v>24258</v>
      </c>
      <c r="E14990">
        <v>24377</v>
      </c>
      <c r="F14990">
        <v>23731</v>
      </c>
      <c r="G14990">
        <v>23672</v>
      </c>
    </row>
    <row r="14991" spans="1:7">
      <c r="A14991" t="s">
        <v>1876</v>
      </c>
      <c r="B14991" t="s">
        <v>396</v>
      </c>
      <c r="C14991" t="s">
        <v>265</v>
      </c>
      <c r="D14991">
        <v>832519</v>
      </c>
      <c r="E14991">
        <v>833749</v>
      </c>
      <c r="F14991">
        <v>855856</v>
      </c>
      <c r="G14991">
        <v>843925</v>
      </c>
    </row>
    <row r="14992" spans="1:7">
      <c r="A14992" t="s">
        <v>1876</v>
      </c>
      <c r="B14992" t="s">
        <v>396</v>
      </c>
      <c r="C14992" t="s">
        <v>266</v>
      </c>
      <c r="D14992">
        <v>96.1</v>
      </c>
      <c r="E14992">
        <v>96</v>
      </c>
      <c r="F14992">
        <v>98</v>
      </c>
      <c r="G14992">
        <v>95.7</v>
      </c>
    </row>
    <row r="14993" spans="1:7">
      <c r="A14993" t="s">
        <v>1876</v>
      </c>
      <c r="B14993" t="s">
        <v>396</v>
      </c>
      <c r="C14993" t="s">
        <v>267</v>
      </c>
      <c r="D14993">
        <v>829428</v>
      </c>
      <c r="E14993">
        <v>827354</v>
      </c>
      <c r="F14993">
        <v>854578</v>
      </c>
      <c r="G14993">
        <v>841716</v>
      </c>
    </row>
    <row r="14994" spans="1:7">
      <c r="A14994" t="s">
        <v>1876</v>
      </c>
      <c r="B14994" t="s">
        <v>396</v>
      </c>
      <c r="C14994" t="s">
        <v>268</v>
      </c>
      <c r="D14994">
        <v>0</v>
      </c>
      <c r="E14994">
        <v>0</v>
      </c>
      <c r="F14994">
        <v>0</v>
      </c>
      <c r="G14994">
        <v>0</v>
      </c>
    </row>
    <row r="14995" spans="1:7">
      <c r="A14995" t="s">
        <v>1876</v>
      </c>
      <c r="B14995" t="s">
        <v>396</v>
      </c>
      <c r="C14995" t="s">
        <v>269</v>
      </c>
      <c r="D14995">
        <v>0</v>
      </c>
      <c r="E14995">
        <v>0</v>
      </c>
      <c r="F14995">
        <v>0</v>
      </c>
      <c r="G14995">
        <v>0</v>
      </c>
    </row>
    <row r="14996" spans="1:7">
      <c r="A14996" t="s">
        <v>1876</v>
      </c>
      <c r="B14996" t="s">
        <v>396</v>
      </c>
      <c r="C14996" t="s">
        <v>270</v>
      </c>
      <c r="D14996">
        <v>0</v>
      </c>
      <c r="E14996">
        <v>0</v>
      </c>
      <c r="F14996">
        <v>0</v>
      </c>
      <c r="G14996">
        <v>0</v>
      </c>
    </row>
    <row r="14997" spans="1:7">
      <c r="A14997" t="s">
        <v>1876</v>
      </c>
      <c r="B14997" t="s">
        <v>396</v>
      </c>
      <c r="C14997" t="s">
        <v>271</v>
      </c>
      <c r="D14997">
        <v>0</v>
      </c>
      <c r="E14997">
        <v>0</v>
      </c>
      <c r="F14997">
        <v>0</v>
      </c>
      <c r="G14997">
        <v>0</v>
      </c>
    </row>
    <row r="14998" spans="1:7">
      <c r="A14998" t="s">
        <v>1876</v>
      </c>
      <c r="B14998" t="s">
        <v>396</v>
      </c>
      <c r="C14998" t="s">
        <v>272</v>
      </c>
      <c r="D14998">
        <v>0</v>
      </c>
      <c r="E14998">
        <v>0</v>
      </c>
      <c r="F14998">
        <v>0</v>
      </c>
      <c r="G14998">
        <v>0</v>
      </c>
    </row>
    <row r="14999" spans="1:7">
      <c r="A14999" t="s">
        <v>1876</v>
      </c>
      <c r="B14999" t="s">
        <v>396</v>
      </c>
      <c r="C14999" t="s">
        <v>1944</v>
      </c>
      <c r="D14999">
        <v>15.4</v>
      </c>
      <c r="E14999">
        <v>20.100000000000001</v>
      </c>
      <c r="F14999">
        <v>23.6</v>
      </c>
      <c r="G14999">
        <v>30.9</v>
      </c>
    </row>
    <row r="15000" spans="1:7">
      <c r="A15000" t="s">
        <v>1876</v>
      </c>
      <c r="B15000" t="s">
        <v>396</v>
      </c>
      <c r="C15000" t="s">
        <v>1945</v>
      </c>
      <c r="D15000">
        <v>23</v>
      </c>
      <c r="E15000">
        <v>34</v>
      </c>
      <c r="F15000">
        <v>60</v>
      </c>
      <c r="G15000">
        <v>75</v>
      </c>
    </row>
    <row r="15001" spans="1:7">
      <c r="A15001" t="s">
        <v>1876</v>
      </c>
      <c r="B15001" t="s">
        <v>396</v>
      </c>
      <c r="C15001" t="s">
        <v>273</v>
      </c>
      <c r="D15001">
        <v>0</v>
      </c>
      <c r="E15001">
        <v>0</v>
      </c>
      <c r="F15001">
        <v>0</v>
      </c>
      <c r="G15001">
        <v>0</v>
      </c>
    </row>
    <row r="15002" spans="1:7">
      <c r="A15002" t="s">
        <v>1876</v>
      </c>
      <c r="B15002" t="s">
        <v>396</v>
      </c>
      <c r="C15002" t="s">
        <v>1946</v>
      </c>
      <c r="D15002">
        <v>687596</v>
      </c>
      <c r="E15002">
        <v>684396</v>
      </c>
      <c r="F15002">
        <v>712581</v>
      </c>
      <c r="G15002">
        <v>704928</v>
      </c>
    </row>
    <row r="15003" spans="1:7">
      <c r="A15003" t="s">
        <v>1876</v>
      </c>
      <c r="B15003" t="s">
        <v>396</v>
      </c>
      <c r="C15003" t="s">
        <v>1947</v>
      </c>
      <c r="D15003">
        <v>27510</v>
      </c>
      <c r="E15003">
        <v>28018</v>
      </c>
      <c r="F15003">
        <v>26457</v>
      </c>
      <c r="G15003">
        <v>24959</v>
      </c>
    </row>
    <row r="15004" spans="1:7">
      <c r="A15004" t="s">
        <v>1876</v>
      </c>
      <c r="B15004" t="s">
        <v>396</v>
      </c>
      <c r="C15004" t="s">
        <v>1948</v>
      </c>
      <c r="D15004">
        <v>3089</v>
      </c>
      <c r="E15004">
        <v>6393</v>
      </c>
      <c r="F15004">
        <v>1277</v>
      </c>
      <c r="G15004">
        <v>2208</v>
      </c>
    </row>
    <row r="15005" spans="1:7">
      <c r="A15005" t="s">
        <v>1876</v>
      </c>
      <c r="B15005" t="s">
        <v>396</v>
      </c>
      <c r="C15005" t="s">
        <v>1949</v>
      </c>
      <c r="D15005">
        <v>52339</v>
      </c>
      <c r="E15005">
        <v>54443</v>
      </c>
      <c r="F15005">
        <v>51734</v>
      </c>
      <c r="G15005">
        <v>48467</v>
      </c>
    </row>
    <row r="15006" spans="1:7">
      <c r="A15006" t="s">
        <v>1876</v>
      </c>
      <c r="B15006" t="s">
        <v>396</v>
      </c>
      <c r="C15006" t="s">
        <v>1950</v>
      </c>
      <c r="D15006">
        <v>24258</v>
      </c>
      <c r="E15006">
        <v>24377</v>
      </c>
      <c r="F15006">
        <v>23731</v>
      </c>
      <c r="G15006">
        <v>23672</v>
      </c>
    </row>
    <row r="15007" spans="1:7">
      <c r="A15007" t="s">
        <v>1876</v>
      </c>
      <c r="B15007" t="s">
        <v>396</v>
      </c>
      <c r="C15007" t="s">
        <v>274</v>
      </c>
      <c r="D15007">
        <v>794792</v>
      </c>
      <c r="E15007">
        <v>797628</v>
      </c>
      <c r="F15007">
        <v>815780</v>
      </c>
      <c r="G15007">
        <v>804234</v>
      </c>
    </row>
    <row r="15008" spans="1:7">
      <c r="A15008" t="s">
        <v>1876</v>
      </c>
      <c r="B15008" t="s">
        <v>396</v>
      </c>
      <c r="C15008" t="s">
        <v>275</v>
      </c>
      <c r="D15008">
        <v>0</v>
      </c>
      <c r="E15008">
        <v>0</v>
      </c>
      <c r="F15008">
        <v>0</v>
      </c>
      <c r="G15008">
        <v>0</v>
      </c>
    </row>
    <row r="15009" spans="1:7">
      <c r="A15009" t="s">
        <v>1876</v>
      </c>
      <c r="B15009" t="s">
        <v>396</v>
      </c>
      <c r="C15009" t="s">
        <v>276</v>
      </c>
      <c r="D15009">
        <v>0</v>
      </c>
      <c r="E15009">
        <v>0</v>
      </c>
      <c r="F15009">
        <v>0</v>
      </c>
      <c r="G15009">
        <v>0</v>
      </c>
    </row>
    <row r="15010" spans="1:7">
      <c r="A15010" t="s">
        <v>1876</v>
      </c>
      <c r="B15010" t="s">
        <v>396</v>
      </c>
      <c r="C15010" t="s">
        <v>277</v>
      </c>
      <c r="D15010">
        <v>125</v>
      </c>
      <c r="E15010">
        <v>200</v>
      </c>
      <c r="F15010">
        <v>202</v>
      </c>
      <c r="G15010">
        <v>208</v>
      </c>
    </row>
    <row r="15011" spans="1:7">
      <c r="A15011" t="s">
        <v>1876</v>
      </c>
      <c r="B15011" t="s">
        <v>396</v>
      </c>
      <c r="C15011" t="s">
        <v>278</v>
      </c>
      <c r="D15011">
        <v>7838</v>
      </c>
      <c r="E15011">
        <v>7828</v>
      </c>
      <c r="F15011">
        <v>6875</v>
      </c>
      <c r="G15011">
        <v>7330</v>
      </c>
    </row>
    <row r="15012" spans="1:7">
      <c r="A15012" t="s">
        <v>1876</v>
      </c>
      <c r="B15012" t="s">
        <v>396</v>
      </c>
      <c r="C15012" t="s">
        <v>279</v>
      </c>
      <c r="D15012">
        <v>3932</v>
      </c>
      <c r="E15012">
        <v>4952</v>
      </c>
      <c r="F15012">
        <v>3215</v>
      </c>
      <c r="G15012">
        <v>3182</v>
      </c>
    </row>
    <row r="15013" spans="1:7">
      <c r="A15013" t="s">
        <v>1876</v>
      </c>
      <c r="B15013" t="s">
        <v>396</v>
      </c>
      <c r="C15013" t="s">
        <v>280</v>
      </c>
      <c r="D15013">
        <v>11737</v>
      </c>
      <c r="E15013">
        <v>11550</v>
      </c>
      <c r="F15013">
        <v>11451</v>
      </c>
      <c r="G15013">
        <v>11897</v>
      </c>
    </row>
    <row r="15014" spans="1:7">
      <c r="A15014" t="s">
        <v>1876</v>
      </c>
      <c r="B15014" t="s">
        <v>396</v>
      </c>
      <c r="C15014" t="s">
        <v>281</v>
      </c>
      <c r="D15014">
        <v>23632</v>
      </c>
      <c r="E15014">
        <v>24531</v>
      </c>
      <c r="F15014">
        <v>21742</v>
      </c>
      <c r="G15014">
        <v>22617</v>
      </c>
    </row>
    <row r="15015" spans="1:7">
      <c r="A15015" t="s">
        <v>1876</v>
      </c>
      <c r="B15015" t="s">
        <v>396</v>
      </c>
      <c r="C15015" t="s">
        <v>282</v>
      </c>
      <c r="D15015">
        <v>23632</v>
      </c>
      <c r="E15015">
        <v>24531</v>
      </c>
      <c r="F15015">
        <v>21742</v>
      </c>
      <c r="G15015">
        <v>22617</v>
      </c>
    </row>
    <row r="15016" spans="1:7">
      <c r="A15016" t="s">
        <v>1876</v>
      </c>
      <c r="B15016" t="s">
        <v>396</v>
      </c>
      <c r="C15016" t="s">
        <v>283</v>
      </c>
      <c r="D15016">
        <v>0</v>
      </c>
      <c r="E15016">
        <v>0</v>
      </c>
      <c r="F15016">
        <v>0</v>
      </c>
      <c r="G15016">
        <v>0</v>
      </c>
    </row>
    <row r="15017" spans="1:7">
      <c r="A15017" t="s">
        <v>1876</v>
      </c>
      <c r="B15017" t="s">
        <v>396</v>
      </c>
      <c r="C15017" t="s">
        <v>284</v>
      </c>
      <c r="D15017">
        <v>0</v>
      </c>
      <c r="E15017">
        <v>0</v>
      </c>
      <c r="F15017">
        <v>0</v>
      </c>
      <c r="G15017">
        <v>0</v>
      </c>
    </row>
    <row r="15018" spans="1:7">
      <c r="A15018" t="s">
        <v>1876</v>
      </c>
      <c r="B15018" t="s">
        <v>396</v>
      </c>
      <c r="C15018" t="s">
        <v>1716</v>
      </c>
      <c r="D15018">
        <v>36605</v>
      </c>
      <c r="E15018">
        <v>34947</v>
      </c>
      <c r="F15018">
        <v>38906</v>
      </c>
      <c r="G15018">
        <v>38669</v>
      </c>
    </row>
    <row r="15019" spans="1:7">
      <c r="A15019" t="s">
        <v>1876</v>
      </c>
      <c r="B15019" t="s">
        <v>396</v>
      </c>
      <c r="C15019" t="s">
        <v>1717</v>
      </c>
      <c r="D15019">
        <v>9703</v>
      </c>
      <c r="E15019">
        <v>14927</v>
      </c>
      <c r="F15019">
        <v>14184</v>
      </c>
      <c r="G15019">
        <v>13700</v>
      </c>
    </row>
    <row r="15020" spans="1:7">
      <c r="A15020" t="s">
        <v>1876</v>
      </c>
      <c r="B15020" t="s">
        <v>396</v>
      </c>
      <c r="C15020" t="s">
        <v>1718</v>
      </c>
      <c r="D15020">
        <v>48893</v>
      </c>
      <c r="E15020">
        <v>49690</v>
      </c>
      <c r="F15020">
        <v>50885</v>
      </c>
      <c r="G15020">
        <v>54261</v>
      </c>
    </row>
    <row r="15021" spans="1:7">
      <c r="A15021" t="s">
        <v>1876</v>
      </c>
      <c r="B15021" t="s">
        <v>396</v>
      </c>
      <c r="C15021" t="s">
        <v>1719</v>
      </c>
      <c r="D15021">
        <v>3819</v>
      </c>
      <c r="E15021">
        <v>4474</v>
      </c>
      <c r="F15021">
        <v>5333</v>
      </c>
      <c r="G15021">
        <v>6270</v>
      </c>
    </row>
    <row r="15022" spans="1:7">
      <c r="A15022" t="s">
        <v>1876</v>
      </c>
      <c r="B15022" t="s">
        <v>396</v>
      </c>
      <c r="C15022" t="s">
        <v>1720</v>
      </c>
      <c r="D15022">
        <v>58370</v>
      </c>
      <c r="E15022">
        <v>63604</v>
      </c>
      <c r="F15022">
        <v>60551</v>
      </c>
      <c r="G15022">
        <v>62590</v>
      </c>
    </row>
    <row r="15023" spans="1:7">
      <c r="A15023" t="s">
        <v>1876</v>
      </c>
      <c r="B15023" t="s">
        <v>396</v>
      </c>
      <c r="C15023" t="s">
        <v>1721</v>
      </c>
      <c r="D15023">
        <v>21030</v>
      </c>
      <c r="E15023">
        <v>26151</v>
      </c>
      <c r="F15023">
        <v>23394</v>
      </c>
      <c r="G15023">
        <v>22956</v>
      </c>
    </row>
    <row r="15024" spans="1:7">
      <c r="A15024" t="s">
        <v>1876</v>
      </c>
      <c r="B15024" t="s">
        <v>396</v>
      </c>
      <c r="C15024" t="s">
        <v>285</v>
      </c>
      <c r="D15024">
        <v>174602</v>
      </c>
      <c r="E15024">
        <v>189319</v>
      </c>
      <c r="F15024">
        <v>187921</v>
      </c>
      <c r="G15024">
        <v>192177</v>
      </c>
    </row>
    <row r="15025" spans="1:7">
      <c r="A15025" t="s">
        <v>1876</v>
      </c>
      <c r="B15025" t="s">
        <v>396</v>
      </c>
      <c r="C15025" t="s">
        <v>1951</v>
      </c>
      <c r="D15025">
        <v>7.3</v>
      </c>
      <c r="E15025">
        <v>7.7</v>
      </c>
      <c r="F15025">
        <v>7.7</v>
      </c>
      <c r="G15025">
        <v>7.8</v>
      </c>
    </row>
    <row r="15026" spans="1:7">
      <c r="A15026" t="s">
        <v>1876</v>
      </c>
      <c r="B15026" t="s">
        <v>396</v>
      </c>
      <c r="C15026" t="s">
        <v>286</v>
      </c>
      <c r="D15026">
        <v>2632</v>
      </c>
      <c r="E15026">
        <v>2697</v>
      </c>
      <c r="F15026">
        <v>2239</v>
      </c>
      <c r="G15026">
        <v>2423</v>
      </c>
    </row>
    <row r="15027" spans="1:7">
      <c r="A15027" t="s">
        <v>1876</v>
      </c>
      <c r="B15027" t="s">
        <v>396</v>
      </c>
      <c r="C15027" t="s">
        <v>287</v>
      </c>
      <c r="D15027">
        <v>2</v>
      </c>
      <c r="E15027">
        <v>2</v>
      </c>
      <c r="F15027">
        <v>2</v>
      </c>
      <c r="G15027">
        <v>2</v>
      </c>
    </row>
    <row r="15028" spans="1:7">
      <c r="A15028" t="s">
        <v>1876</v>
      </c>
      <c r="B15028" t="s">
        <v>396</v>
      </c>
      <c r="C15028" t="s">
        <v>288</v>
      </c>
      <c r="D15028">
        <v>349</v>
      </c>
      <c r="E15028">
        <v>210</v>
      </c>
      <c r="F15028">
        <v>0</v>
      </c>
      <c r="G15028">
        <v>0</v>
      </c>
    </row>
    <row r="15029" spans="1:7">
      <c r="A15029" t="s">
        <v>1876</v>
      </c>
      <c r="B15029" t="s">
        <v>396</v>
      </c>
      <c r="C15029" t="s">
        <v>289</v>
      </c>
      <c r="D15029">
        <v>847</v>
      </c>
      <c r="E15029">
        <v>868</v>
      </c>
      <c r="F15029">
        <v>721</v>
      </c>
      <c r="G15029">
        <v>780</v>
      </c>
    </row>
    <row r="15030" spans="1:7">
      <c r="A15030" t="s">
        <v>1876</v>
      </c>
      <c r="B15030" t="s">
        <v>396</v>
      </c>
      <c r="C15030" t="s">
        <v>290</v>
      </c>
      <c r="D15030">
        <v>3830</v>
      </c>
      <c r="E15030">
        <v>3777</v>
      </c>
      <c r="F15030">
        <v>2961</v>
      </c>
      <c r="G15030">
        <v>3205</v>
      </c>
    </row>
    <row r="15031" spans="1:7">
      <c r="A15031" t="s">
        <v>1876</v>
      </c>
      <c r="B15031" t="s">
        <v>396</v>
      </c>
      <c r="C15031" t="s">
        <v>291</v>
      </c>
      <c r="D15031">
        <v>3481</v>
      </c>
      <c r="E15031">
        <v>3567</v>
      </c>
      <c r="F15031">
        <v>2961</v>
      </c>
      <c r="G15031">
        <v>3205</v>
      </c>
    </row>
    <row r="15032" spans="1:7">
      <c r="A15032" t="s">
        <v>1876</v>
      </c>
      <c r="B15032" t="s">
        <v>396</v>
      </c>
      <c r="C15032" t="s">
        <v>292</v>
      </c>
      <c r="D15032">
        <v>10</v>
      </c>
      <c r="E15032">
        <v>15</v>
      </c>
      <c r="F15032">
        <v>7</v>
      </c>
      <c r="G15032">
        <v>62</v>
      </c>
    </row>
    <row r="15033" spans="1:7">
      <c r="A15033" t="s">
        <v>1876</v>
      </c>
      <c r="B15033" t="s">
        <v>396</v>
      </c>
      <c r="C15033" t="s">
        <v>293</v>
      </c>
      <c r="D15033">
        <v>53</v>
      </c>
      <c r="E15033">
        <v>69</v>
      </c>
      <c r="F15033">
        <v>36</v>
      </c>
      <c r="G15033">
        <v>386</v>
      </c>
    </row>
    <row r="15034" spans="1:7">
      <c r="A15034" t="s">
        <v>1876</v>
      </c>
      <c r="B15034" t="s">
        <v>396</v>
      </c>
      <c r="C15034" t="s">
        <v>294</v>
      </c>
      <c r="D15034">
        <v>16</v>
      </c>
      <c r="E15034">
        <v>22</v>
      </c>
      <c r="F15034">
        <v>11</v>
      </c>
      <c r="G15034">
        <v>93</v>
      </c>
    </row>
    <row r="15035" spans="1:7">
      <c r="A15035" t="s">
        <v>1876</v>
      </c>
      <c r="B15035" t="s">
        <v>396</v>
      </c>
      <c r="C15035" t="s">
        <v>295</v>
      </c>
      <c r="D15035">
        <v>12</v>
      </c>
      <c r="E15035">
        <v>17</v>
      </c>
      <c r="F15035">
        <v>7</v>
      </c>
      <c r="G15035">
        <v>67</v>
      </c>
    </row>
    <row r="15036" spans="1:7">
      <c r="A15036" t="s">
        <v>1876</v>
      </c>
      <c r="B15036" t="s">
        <v>396</v>
      </c>
      <c r="C15036" t="s">
        <v>296</v>
      </c>
      <c r="D15036">
        <v>91</v>
      </c>
      <c r="E15036">
        <v>123</v>
      </c>
      <c r="F15036">
        <v>61</v>
      </c>
      <c r="G15036">
        <v>609</v>
      </c>
    </row>
    <row r="15037" spans="1:7">
      <c r="A15037" t="s">
        <v>1876</v>
      </c>
      <c r="B15037" t="s">
        <v>396</v>
      </c>
      <c r="C15037" t="s">
        <v>297</v>
      </c>
      <c r="D15037">
        <v>0</v>
      </c>
      <c r="E15037">
        <v>0</v>
      </c>
      <c r="F15037">
        <v>0</v>
      </c>
      <c r="G15037">
        <v>0</v>
      </c>
    </row>
    <row r="15038" spans="1:7">
      <c r="A15038" t="s">
        <v>1876</v>
      </c>
      <c r="B15038" t="s">
        <v>396</v>
      </c>
      <c r="C15038" t="s">
        <v>1952</v>
      </c>
      <c r="D15038">
        <v>0</v>
      </c>
      <c r="E15038">
        <v>0</v>
      </c>
      <c r="F15038">
        <v>0</v>
      </c>
      <c r="G15038">
        <v>0</v>
      </c>
    </row>
    <row r="15039" spans="1:7">
      <c r="A15039" t="s">
        <v>1876</v>
      </c>
      <c r="B15039" t="s">
        <v>396</v>
      </c>
      <c r="C15039" t="s">
        <v>298</v>
      </c>
      <c r="D15039">
        <v>2954</v>
      </c>
      <c r="E15039">
        <v>2917</v>
      </c>
      <c r="F15039">
        <v>2920</v>
      </c>
      <c r="G15039">
        <v>2553</v>
      </c>
    </row>
    <row r="15040" spans="1:7">
      <c r="A15040" t="s">
        <v>1876</v>
      </c>
      <c r="B15040" t="s">
        <v>396</v>
      </c>
      <c r="C15040" t="s">
        <v>299</v>
      </c>
      <c r="D15040">
        <v>282</v>
      </c>
      <c r="E15040">
        <v>294</v>
      </c>
      <c r="F15040">
        <v>559</v>
      </c>
      <c r="G15040">
        <v>884</v>
      </c>
    </row>
    <row r="15041" spans="1:7">
      <c r="A15041" t="s">
        <v>1876</v>
      </c>
      <c r="B15041" t="s">
        <v>396</v>
      </c>
      <c r="C15041" t="s">
        <v>300</v>
      </c>
      <c r="D15041">
        <v>11143</v>
      </c>
      <c r="E15041">
        <v>15778</v>
      </c>
      <c r="F15041">
        <v>18492</v>
      </c>
      <c r="G15041">
        <v>23873</v>
      </c>
    </row>
    <row r="15042" spans="1:7">
      <c r="A15042" t="s">
        <v>1876</v>
      </c>
      <c r="B15042" t="s">
        <v>396</v>
      </c>
      <c r="C15042" t="s">
        <v>1722</v>
      </c>
      <c r="D15042">
        <v>2137</v>
      </c>
      <c r="E15042">
        <v>2793</v>
      </c>
      <c r="F15042">
        <v>3659</v>
      </c>
      <c r="G15042">
        <v>4678</v>
      </c>
    </row>
    <row r="15043" spans="1:7">
      <c r="A15043" t="s">
        <v>1876</v>
      </c>
      <c r="B15043" t="s">
        <v>396</v>
      </c>
      <c r="C15043" t="s">
        <v>301</v>
      </c>
      <c r="D15043">
        <v>11</v>
      </c>
      <c r="E15043">
        <v>17</v>
      </c>
      <c r="F15043">
        <v>21</v>
      </c>
      <c r="G15043">
        <v>23</v>
      </c>
    </row>
    <row r="15044" spans="1:7">
      <c r="A15044" t="s">
        <v>1876</v>
      </c>
      <c r="B15044" t="s">
        <v>396</v>
      </c>
      <c r="C15044" t="s">
        <v>302</v>
      </c>
      <c r="D15044">
        <v>1343</v>
      </c>
      <c r="E15044">
        <v>1560</v>
      </c>
      <c r="F15044">
        <v>2367</v>
      </c>
      <c r="G15044">
        <v>3193</v>
      </c>
    </row>
    <row r="15045" spans="1:7">
      <c r="A15045" t="s">
        <v>1876</v>
      </c>
      <c r="B15045" t="s">
        <v>396</v>
      </c>
      <c r="C15045" t="s">
        <v>303</v>
      </c>
      <c r="D15045">
        <v>12779</v>
      </c>
      <c r="E15045">
        <v>17648</v>
      </c>
      <c r="F15045">
        <v>21439</v>
      </c>
      <c r="G15045">
        <v>27974</v>
      </c>
    </row>
    <row r="15046" spans="1:7">
      <c r="A15046" t="s">
        <v>1876</v>
      </c>
      <c r="B15046" t="s">
        <v>396</v>
      </c>
      <c r="C15046" t="s">
        <v>304</v>
      </c>
      <c r="D15046">
        <v>1636</v>
      </c>
      <c r="E15046">
        <v>1871</v>
      </c>
      <c r="F15046">
        <v>2947</v>
      </c>
      <c r="G15046">
        <v>4100</v>
      </c>
    </row>
    <row r="15047" spans="1:7">
      <c r="A15047" t="s">
        <v>1876</v>
      </c>
      <c r="B15047" t="s">
        <v>396</v>
      </c>
      <c r="C15047" t="s">
        <v>1953</v>
      </c>
      <c r="D15047">
        <v>22.5</v>
      </c>
      <c r="E15047">
        <v>21.5</v>
      </c>
      <c r="F15047">
        <v>20.3</v>
      </c>
      <c r="G15047">
        <v>20.2</v>
      </c>
    </row>
    <row r="15048" spans="1:7">
      <c r="A15048" t="s">
        <v>1876</v>
      </c>
      <c r="B15048" t="s">
        <v>396</v>
      </c>
      <c r="C15048" t="s">
        <v>305</v>
      </c>
      <c r="D15048">
        <v>740332</v>
      </c>
      <c r="E15048">
        <v>735925</v>
      </c>
      <c r="F15048">
        <v>766105</v>
      </c>
      <c r="G15048">
        <v>759652</v>
      </c>
    </row>
    <row r="15049" spans="1:7">
      <c r="A15049" t="s">
        <v>1876</v>
      </c>
      <c r="B15049" t="s">
        <v>396</v>
      </c>
      <c r="C15049" t="s">
        <v>306</v>
      </c>
      <c r="D15049">
        <v>85.5</v>
      </c>
      <c r="E15049">
        <v>84.8</v>
      </c>
      <c r="F15049">
        <v>87.7</v>
      </c>
      <c r="G15049">
        <v>86.1</v>
      </c>
    </row>
    <row r="15050" spans="1:7">
      <c r="A15050" t="s">
        <v>1876</v>
      </c>
      <c r="B15050" t="s">
        <v>396</v>
      </c>
      <c r="C15050" t="s">
        <v>307</v>
      </c>
      <c r="D15050">
        <v>644242</v>
      </c>
      <c r="E15050">
        <v>736232</v>
      </c>
      <c r="F15050">
        <v>772710</v>
      </c>
      <c r="G15050">
        <v>808092</v>
      </c>
    </row>
    <row r="15051" spans="1:7">
      <c r="A15051" t="s">
        <v>1876</v>
      </c>
      <c r="B15051" t="s">
        <v>396</v>
      </c>
      <c r="C15051" t="s">
        <v>308</v>
      </c>
      <c r="D15051">
        <v>74.400000000000006</v>
      </c>
      <c r="E15051">
        <v>84.8</v>
      </c>
      <c r="F15051">
        <v>88.5</v>
      </c>
      <c r="G15051">
        <v>91.6</v>
      </c>
    </row>
    <row r="15052" spans="1:7">
      <c r="A15052" t="s">
        <v>1876</v>
      </c>
      <c r="B15052" t="s">
        <v>396</v>
      </c>
      <c r="C15052" t="s">
        <v>309</v>
      </c>
      <c r="D15052">
        <v>780110</v>
      </c>
      <c r="E15052">
        <v>747634</v>
      </c>
      <c r="F15052">
        <v>752421</v>
      </c>
      <c r="G15052">
        <v>835075</v>
      </c>
    </row>
    <row r="15053" spans="1:7">
      <c r="A15053" t="s">
        <v>1876</v>
      </c>
      <c r="B15053" t="s">
        <v>396</v>
      </c>
      <c r="C15053" t="s">
        <v>310</v>
      </c>
      <c r="D15053">
        <v>450608</v>
      </c>
      <c r="E15053">
        <v>422598</v>
      </c>
      <c r="F15053">
        <v>399043</v>
      </c>
      <c r="G15053">
        <v>377483</v>
      </c>
    </row>
    <row r="15054" spans="1:7">
      <c r="A15054" t="s">
        <v>1876</v>
      </c>
      <c r="B15054" t="s">
        <v>396</v>
      </c>
      <c r="C15054" t="s">
        <v>311</v>
      </c>
      <c r="D15054">
        <v>52</v>
      </c>
      <c r="E15054">
        <v>48.7</v>
      </c>
      <c r="F15054">
        <v>45.7</v>
      </c>
      <c r="G15054">
        <v>42.8</v>
      </c>
    </row>
    <row r="15055" spans="1:7">
      <c r="A15055" t="s">
        <v>1876</v>
      </c>
      <c r="B15055" t="s">
        <v>396</v>
      </c>
      <c r="C15055" t="s">
        <v>312</v>
      </c>
      <c r="D15055">
        <v>553291</v>
      </c>
      <c r="E15055">
        <v>558261</v>
      </c>
      <c r="F15055">
        <v>509640</v>
      </c>
      <c r="G15055">
        <v>525952</v>
      </c>
    </row>
    <row r="15056" spans="1:7">
      <c r="A15056" t="s">
        <v>1876</v>
      </c>
      <c r="B15056" t="s">
        <v>396</v>
      </c>
      <c r="C15056" t="s">
        <v>313</v>
      </c>
      <c r="D15056">
        <v>63.9</v>
      </c>
      <c r="E15056">
        <v>64.3</v>
      </c>
      <c r="F15056">
        <v>58.4</v>
      </c>
      <c r="G15056">
        <v>59.6</v>
      </c>
    </row>
    <row r="15057" spans="1:7">
      <c r="A15057" t="s">
        <v>1876</v>
      </c>
      <c r="B15057" t="s">
        <v>396</v>
      </c>
      <c r="C15057" t="s">
        <v>314</v>
      </c>
      <c r="D15057">
        <v>2388472</v>
      </c>
      <c r="E15057">
        <v>2453014</v>
      </c>
      <c r="F15057">
        <v>2447496</v>
      </c>
      <c r="G15057">
        <v>2471179</v>
      </c>
    </row>
    <row r="15058" spans="1:7">
      <c r="A15058" t="s">
        <v>1876</v>
      </c>
      <c r="B15058" t="s">
        <v>396</v>
      </c>
      <c r="C15058" t="s">
        <v>315</v>
      </c>
      <c r="D15058">
        <v>4.22</v>
      </c>
      <c r="E15058">
        <v>4.2300000000000004</v>
      </c>
      <c r="F15058">
        <v>4.08</v>
      </c>
      <c r="G15058">
        <v>4.03</v>
      </c>
    </row>
    <row r="15059" spans="1:7">
      <c r="A15059" t="s">
        <v>1876</v>
      </c>
      <c r="B15059" t="s">
        <v>396</v>
      </c>
      <c r="C15059" t="s">
        <v>316</v>
      </c>
      <c r="D15059">
        <v>275.8</v>
      </c>
      <c r="E15059">
        <v>282.60000000000002</v>
      </c>
      <c r="F15059">
        <v>280.3</v>
      </c>
      <c r="G15059">
        <v>280.2</v>
      </c>
    </row>
    <row r="15060" spans="1:7">
      <c r="A15060" t="s">
        <v>1876</v>
      </c>
      <c r="B15060" t="s">
        <v>396</v>
      </c>
      <c r="C15060" t="s">
        <v>317</v>
      </c>
      <c r="D15060">
        <v>2388473</v>
      </c>
      <c r="E15060">
        <v>2453016</v>
      </c>
      <c r="F15060">
        <v>2447497</v>
      </c>
      <c r="G15060">
        <v>2471179</v>
      </c>
    </row>
    <row r="15061" spans="1:7">
      <c r="A15061" t="s">
        <v>1876</v>
      </c>
      <c r="B15061" t="s">
        <v>396</v>
      </c>
      <c r="C15061" t="s">
        <v>318</v>
      </c>
      <c r="D15061">
        <v>739348</v>
      </c>
      <c r="E15061">
        <v>735205</v>
      </c>
      <c r="F15061">
        <v>764779</v>
      </c>
      <c r="G15061">
        <v>758101</v>
      </c>
    </row>
    <row r="15062" spans="1:7">
      <c r="A15062" t="s">
        <v>1876</v>
      </c>
      <c r="B15062" t="s">
        <v>396</v>
      </c>
      <c r="C15062" t="s">
        <v>319</v>
      </c>
      <c r="D15062">
        <v>313524</v>
      </c>
      <c r="E15062">
        <v>355677</v>
      </c>
      <c r="F15062">
        <v>364458</v>
      </c>
      <c r="G15062">
        <v>380822</v>
      </c>
    </row>
    <row r="15063" spans="1:7">
      <c r="A15063" t="s">
        <v>1876</v>
      </c>
      <c r="B15063" t="s">
        <v>396</v>
      </c>
      <c r="C15063" t="s">
        <v>320</v>
      </c>
      <c r="D15063">
        <v>339594</v>
      </c>
      <c r="E15063">
        <v>329002</v>
      </c>
      <c r="F15063">
        <v>315099</v>
      </c>
      <c r="G15063">
        <v>302704</v>
      </c>
    </row>
    <row r="15064" spans="1:7">
      <c r="A15064" t="s">
        <v>1876</v>
      </c>
      <c r="B15064" t="s">
        <v>396</v>
      </c>
      <c r="C15064" t="s">
        <v>321</v>
      </c>
      <c r="D15064">
        <v>290658</v>
      </c>
      <c r="E15064">
        <v>298932</v>
      </c>
      <c r="F15064">
        <v>271262</v>
      </c>
      <c r="G15064">
        <v>280195</v>
      </c>
    </row>
    <row r="15065" spans="1:7">
      <c r="A15065" t="s">
        <v>1876</v>
      </c>
      <c r="B15065" t="s">
        <v>396</v>
      </c>
      <c r="C15065" t="s">
        <v>1954</v>
      </c>
      <c r="D15065">
        <v>1683124</v>
      </c>
      <c r="E15065">
        <v>1718815</v>
      </c>
      <c r="F15065">
        <v>1715598</v>
      </c>
      <c r="G15065">
        <v>1721822</v>
      </c>
    </row>
    <row r="15066" spans="1:7">
      <c r="A15066" t="s">
        <v>1876</v>
      </c>
      <c r="B15066" t="s">
        <v>396</v>
      </c>
      <c r="C15066" t="s">
        <v>323</v>
      </c>
      <c r="D15066">
        <v>8660</v>
      </c>
      <c r="E15066">
        <v>8681</v>
      </c>
      <c r="F15066">
        <v>8732</v>
      </c>
      <c r="G15066">
        <v>8820</v>
      </c>
    </row>
    <row r="15067" spans="1:7">
      <c r="A15067" t="s">
        <v>1876</v>
      </c>
      <c r="B15067" t="s">
        <v>396</v>
      </c>
      <c r="C15067" t="s">
        <v>324</v>
      </c>
      <c r="D15067">
        <v>0</v>
      </c>
      <c r="E15067">
        <v>0</v>
      </c>
      <c r="F15067">
        <v>0</v>
      </c>
      <c r="G15067">
        <v>0</v>
      </c>
    </row>
    <row r="15068" spans="1:7">
      <c r="A15068" t="s">
        <v>1876</v>
      </c>
      <c r="B15068" t="s">
        <v>396</v>
      </c>
      <c r="C15068" t="s">
        <v>325</v>
      </c>
      <c r="D15068">
        <v>0</v>
      </c>
      <c r="E15068">
        <v>0</v>
      </c>
      <c r="F15068">
        <v>0</v>
      </c>
      <c r="G15068">
        <v>0</v>
      </c>
    </row>
    <row r="15069" spans="1:7">
      <c r="A15069" t="s">
        <v>1876</v>
      </c>
      <c r="B15069" t="s">
        <v>396</v>
      </c>
      <c r="C15069" t="s">
        <v>326</v>
      </c>
      <c r="D15069">
        <v>3632</v>
      </c>
      <c r="E15069">
        <v>3632</v>
      </c>
      <c r="F15069">
        <v>3632</v>
      </c>
      <c r="G15069">
        <v>3632</v>
      </c>
    </row>
    <row r="15070" spans="1:7">
      <c r="A15070" t="s">
        <v>1876</v>
      </c>
      <c r="B15070" t="s">
        <v>396</v>
      </c>
      <c r="C15070" t="s">
        <v>327</v>
      </c>
      <c r="D15070">
        <v>21030</v>
      </c>
      <c r="E15070">
        <v>23569</v>
      </c>
      <c r="F15070">
        <v>21486</v>
      </c>
      <c r="G15070">
        <v>20782</v>
      </c>
    </row>
    <row r="15071" spans="1:7">
      <c r="A15071" t="s">
        <v>1876</v>
      </c>
      <c r="B15071" t="s">
        <v>396</v>
      </c>
      <c r="C15071" t="s">
        <v>1723</v>
      </c>
      <c r="D15071">
        <v>496</v>
      </c>
      <c r="E15071">
        <v>497</v>
      </c>
      <c r="F15071">
        <v>497</v>
      </c>
      <c r="G15071">
        <v>490</v>
      </c>
    </row>
    <row r="15072" spans="1:7">
      <c r="A15072" t="s">
        <v>1876</v>
      </c>
      <c r="B15072" t="s">
        <v>396</v>
      </c>
      <c r="C15072" t="s">
        <v>328</v>
      </c>
      <c r="D15072">
        <v>56594</v>
      </c>
      <c r="E15072">
        <v>61246</v>
      </c>
      <c r="F15072">
        <v>57981</v>
      </c>
      <c r="G15072">
        <v>59061</v>
      </c>
    </row>
    <row r="15073" spans="1:7">
      <c r="A15073" t="s">
        <v>1876</v>
      </c>
      <c r="B15073" t="s">
        <v>396</v>
      </c>
      <c r="C15073" t="s">
        <v>329</v>
      </c>
      <c r="D15073">
        <v>18871</v>
      </c>
      <c r="E15073">
        <v>23775</v>
      </c>
      <c r="F15073">
        <v>20211</v>
      </c>
      <c r="G15073">
        <v>18946</v>
      </c>
    </row>
    <row r="15074" spans="1:7">
      <c r="A15074" t="s">
        <v>1876</v>
      </c>
      <c r="B15074" t="s">
        <v>396</v>
      </c>
      <c r="C15074" t="s">
        <v>330</v>
      </c>
      <c r="D15074">
        <v>100128</v>
      </c>
      <c r="E15074">
        <v>112222</v>
      </c>
      <c r="F15074">
        <v>103310</v>
      </c>
      <c r="G15074">
        <v>102422</v>
      </c>
    </row>
    <row r="15075" spans="1:7">
      <c r="A15075" t="s">
        <v>1876</v>
      </c>
      <c r="B15075" t="s">
        <v>396</v>
      </c>
      <c r="C15075" t="s">
        <v>331</v>
      </c>
      <c r="D15075">
        <v>4057</v>
      </c>
      <c r="E15075">
        <v>9228</v>
      </c>
      <c r="F15075">
        <v>8228</v>
      </c>
      <c r="G15075">
        <v>7566</v>
      </c>
    </row>
    <row r="15076" spans="1:7">
      <c r="A15076" t="s">
        <v>1876</v>
      </c>
      <c r="B15076" t="s">
        <v>396</v>
      </c>
      <c r="C15076" t="s">
        <v>332</v>
      </c>
      <c r="D15076">
        <v>12097</v>
      </c>
      <c r="E15076">
        <v>6291</v>
      </c>
      <c r="F15076">
        <v>6003</v>
      </c>
      <c r="G15076">
        <v>5159</v>
      </c>
    </row>
    <row r="15077" spans="1:7">
      <c r="A15077" t="s">
        <v>1876</v>
      </c>
      <c r="B15077" t="s">
        <v>396</v>
      </c>
      <c r="C15077" t="s">
        <v>1724</v>
      </c>
      <c r="D15077">
        <v>308</v>
      </c>
      <c r="E15077">
        <v>306</v>
      </c>
      <c r="F15077">
        <v>299</v>
      </c>
      <c r="G15077">
        <v>224</v>
      </c>
    </row>
    <row r="15078" spans="1:7">
      <c r="A15078" t="s">
        <v>1876</v>
      </c>
      <c r="B15078" t="s">
        <v>396</v>
      </c>
      <c r="C15078" t="s">
        <v>333</v>
      </c>
      <c r="D15078">
        <v>1487</v>
      </c>
      <c r="E15078">
        <v>2054</v>
      </c>
      <c r="F15078">
        <v>2257</v>
      </c>
      <c r="G15078">
        <v>3215</v>
      </c>
    </row>
    <row r="15079" spans="1:7">
      <c r="A15079" t="s">
        <v>1876</v>
      </c>
      <c r="B15079" t="s">
        <v>396</v>
      </c>
      <c r="C15079" t="s">
        <v>334</v>
      </c>
      <c r="D15079">
        <v>17642</v>
      </c>
      <c r="E15079">
        <v>17572</v>
      </c>
      <c r="F15079">
        <v>16488</v>
      </c>
      <c r="G15079">
        <v>15940</v>
      </c>
    </row>
    <row r="15080" spans="1:7">
      <c r="A15080" t="s">
        <v>1876</v>
      </c>
      <c r="B15080" t="s">
        <v>396</v>
      </c>
      <c r="C15080" t="s">
        <v>335</v>
      </c>
      <c r="D15080">
        <v>7690</v>
      </c>
      <c r="E15080">
        <v>12860</v>
      </c>
      <c r="F15080">
        <v>11861</v>
      </c>
      <c r="G15080">
        <v>11198</v>
      </c>
    </row>
    <row r="15081" spans="1:7">
      <c r="A15081" t="s">
        <v>1876</v>
      </c>
      <c r="B15081" t="s">
        <v>396</v>
      </c>
      <c r="C15081" t="s">
        <v>336</v>
      </c>
      <c r="D15081">
        <v>33127</v>
      </c>
      <c r="E15081">
        <v>29860</v>
      </c>
      <c r="F15081">
        <v>27489</v>
      </c>
      <c r="G15081">
        <v>25941</v>
      </c>
    </row>
    <row r="15082" spans="1:7">
      <c r="A15082" t="s">
        <v>1876</v>
      </c>
      <c r="B15082" t="s">
        <v>396</v>
      </c>
      <c r="C15082" t="s">
        <v>337</v>
      </c>
      <c r="D15082">
        <v>58081</v>
      </c>
      <c r="E15082">
        <v>63299</v>
      </c>
      <c r="F15082">
        <v>60238</v>
      </c>
      <c r="G15082">
        <v>62277</v>
      </c>
    </row>
    <row r="15083" spans="1:7">
      <c r="A15083" t="s">
        <v>1876</v>
      </c>
      <c r="B15083" t="s">
        <v>396</v>
      </c>
      <c r="C15083" t="s">
        <v>338</v>
      </c>
      <c r="D15083">
        <v>117769</v>
      </c>
      <c r="E15083">
        <v>129794</v>
      </c>
      <c r="F15083">
        <v>119798</v>
      </c>
      <c r="G15083">
        <v>118362</v>
      </c>
    </row>
    <row r="15084" spans="1:7">
      <c r="A15084" t="s">
        <v>1876</v>
      </c>
      <c r="B15084" t="s">
        <v>396</v>
      </c>
      <c r="C15084" t="s">
        <v>339</v>
      </c>
      <c r="D15084">
        <v>84642</v>
      </c>
      <c r="E15084">
        <v>99934</v>
      </c>
      <c r="F15084">
        <v>92309</v>
      </c>
      <c r="G15084">
        <v>92421</v>
      </c>
    </row>
    <row r="15085" spans="1:7">
      <c r="A15085" t="s">
        <v>1876</v>
      </c>
      <c r="B15085" t="s">
        <v>396</v>
      </c>
      <c r="C15085" t="s">
        <v>340</v>
      </c>
      <c r="D15085">
        <v>125</v>
      </c>
      <c r="E15085">
        <v>219</v>
      </c>
      <c r="F15085">
        <v>152</v>
      </c>
      <c r="G15085">
        <v>187</v>
      </c>
    </row>
    <row r="15086" spans="1:7">
      <c r="A15086" t="s">
        <v>1876</v>
      </c>
      <c r="B15086" t="s">
        <v>396</v>
      </c>
      <c r="C15086" t="s">
        <v>1955</v>
      </c>
      <c r="D15086">
        <v>47.1</v>
      </c>
      <c r="E15086">
        <v>48.4</v>
      </c>
      <c r="F15086">
        <v>44.7</v>
      </c>
      <c r="G15086">
        <v>47.7</v>
      </c>
    </row>
    <row r="15087" spans="1:7">
      <c r="A15087" t="s">
        <v>1876</v>
      </c>
      <c r="B15087" t="s">
        <v>396</v>
      </c>
      <c r="C15087" t="s">
        <v>341</v>
      </c>
      <c r="D15087">
        <v>0</v>
      </c>
      <c r="E15087">
        <v>0</v>
      </c>
      <c r="F15087">
        <v>0</v>
      </c>
      <c r="G15087">
        <v>0</v>
      </c>
    </row>
    <row r="15088" spans="1:7">
      <c r="A15088" t="s">
        <v>1876</v>
      </c>
      <c r="B15088" t="s">
        <v>396</v>
      </c>
      <c r="C15088" t="s">
        <v>342</v>
      </c>
      <c r="D15088">
        <v>169</v>
      </c>
      <c r="E15088">
        <v>174</v>
      </c>
      <c r="F15088">
        <v>160</v>
      </c>
      <c r="G15088">
        <v>171</v>
      </c>
    </row>
    <row r="15089" spans="1:7">
      <c r="A15089" t="s">
        <v>1876</v>
      </c>
      <c r="B15089" t="s">
        <v>396</v>
      </c>
      <c r="C15089" t="s">
        <v>1725</v>
      </c>
      <c r="D15089">
        <v>12</v>
      </c>
      <c r="E15089">
        <v>12</v>
      </c>
      <c r="F15089">
        <v>12</v>
      </c>
      <c r="G15089">
        <v>12</v>
      </c>
    </row>
    <row r="15090" spans="1:7">
      <c r="A15090" t="s">
        <v>1876</v>
      </c>
      <c r="B15090" t="s">
        <v>396</v>
      </c>
      <c r="C15090" t="s">
        <v>343</v>
      </c>
      <c r="D15090">
        <v>0</v>
      </c>
      <c r="E15090">
        <v>0</v>
      </c>
      <c r="F15090">
        <v>0</v>
      </c>
      <c r="G15090">
        <v>0</v>
      </c>
    </row>
    <row r="15091" spans="1:7">
      <c r="A15091" t="s">
        <v>1876</v>
      </c>
      <c r="B15091" t="s">
        <v>396</v>
      </c>
      <c r="C15091" t="s">
        <v>344</v>
      </c>
      <c r="D15091">
        <v>169</v>
      </c>
      <c r="E15091">
        <v>174</v>
      </c>
      <c r="F15091">
        <v>160</v>
      </c>
      <c r="G15091">
        <v>171</v>
      </c>
    </row>
    <row r="15092" spans="1:7">
      <c r="A15092" t="s">
        <v>1876</v>
      </c>
      <c r="B15092" t="s">
        <v>396</v>
      </c>
      <c r="C15092" t="s">
        <v>345</v>
      </c>
      <c r="D15092">
        <v>0</v>
      </c>
      <c r="E15092">
        <v>0</v>
      </c>
      <c r="F15092">
        <v>0</v>
      </c>
      <c r="G15092">
        <v>0</v>
      </c>
    </row>
    <row r="15093" spans="1:7">
      <c r="A15093" t="s">
        <v>1876</v>
      </c>
      <c r="B15093" t="s">
        <v>396</v>
      </c>
      <c r="C15093" t="s">
        <v>1956</v>
      </c>
      <c r="D15093">
        <v>12095</v>
      </c>
      <c r="E15093">
        <v>6290</v>
      </c>
      <c r="F15093">
        <v>6002</v>
      </c>
      <c r="G15093">
        <v>5158</v>
      </c>
    </row>
    <row r="15094" spans="1:7">
      <c r="A15094" t="s">
        <v>1876</v>
      </c>
      <c r="B15094" t="s">
        <v>396</v>
      </c>
      <c r="C15094" t="s">
        <v>1957</v>
      </c>
      <c r="D15094">
        <v>17640</v>
      </c>
      <c r="E15094">
        <v>17571</v>
      </c>
      <c r="F15094">
        <v>16487</v>
      </c>
      <c r="G15094">
        <v>15939</v>
      </c>
    </row>
    <row r="15095" spans="1:7">
      <c r="A15095" t="s">
        <v>1876</v>
      </c>
      <c r="B15095" t="s">
        <v>396</v>
      </c>
      <c r="C15095" t="s">
        <v>346</v>
      </c>
      <c r="D15095">
        <v>1253</v>
      </c>
      <c r="E15095">
        <v>1188</v>
      </c>
      <c r="F15095">
        <v>1074</v>
      </c>
      <c r="G15095">
        <v>1302</v>
      </c>
    </row>
    <row r="15096" spans="1:7">
      <c r="A15096" t="s">
        <v>1876</v>
      </c>
      <c r="B15096" t="s">
        <v>396</v>
      </c>
      <c r="C15096" t="s">
        <v>347</v>
      </c>
      <c r="D15096">
        <v>3927</v>
      </c>
      <c r="E15096">
        <v>4233</v>
      </c>
      <c r="F15096">
        <v>3632</v>
      </c>
      <c r="G15096">
        <v>3678</v>
      </c>
    </row>
    <row r="15097" spans="1:7">
      <c r="A15097" t="s">
        <v>1876</v>
      </c>
      <c r="B15097" t="s">
        <v>397</v>
      </c>
      <c r="C15097" t="s">
        <v>133</v>
      </c>
      <c r="D15097">
        <v>0</v>
      </c>
      <c r="E15097">
        <v>0</v>
      </c>
      <c r="F15097">
        <v>0</v>
      </c>
      <c r="G15097">
        <v>0</v>
      </c>
    </row>
    <row r="15098" spans="1:7">
      <c r="A15098" t="s">
        <v>1876</v>
      </c>
      <c r="B15098" t="s">
        <v>397</v>
      </c>
      <c r="C15098" t="s">
        <v>134</v>
      </c>
      <c r="D15098">
        <v>3945</v>
      </c>
      <c r="E15098">
        <v>3968</v>
      </c>
      <c r="F15098">
        <v>3148</v>
      </c>
      <c r="G15098">
        <v>3636</v>
      </c>
    </row>
    <row r="15099" spans="1:7">
      <c r="A15099" t="s">
        <v>1876</v>
      </c>
      <c r="B15099" t="s">
        <v>397</v>
      </c>
      <c r="C15099" t="s">
        <v>135</v>
      </c>
      <c r="D15099">
        <v>3945</v>
      </c>
      <c r="E15099">
        <v>3968</v>
      </c>
      <c r="F15099">
        <v>3148</v>
      </c>
      <c r="G15099">
        <v>3636</v>
      </c>
    </row>
    <row r="15100" spans="1:7">
      <c r="A15100" t="s">
        <v>1876</v>
      </c>
      <c r="B15100" t="s">
        <v>397</v>
      </c>
      <c r="C15100" t="s">
        <v>136</v>
      </c>
      <c r="D15100">
        <v>3945</v>
      </c>
      <c r="E15100">
        <v>3968</v>
      </c>
      <c r="F15100">
        <v>3148</v>
      </c>
      <c r="G15100">
        <v>3636</v>
      </c>
    </row>
    <row r="15101" spans="1:7">
      <c r="A15101" t="s">
        <v>1876</v>
      </c>
      <c r="B15101" t="s">
        <v>397</v>
      </c>
      <c r="C15101" t="s">
        <v>137</v>
      </c>
      <c r="D15101">
        <v>46</v>
      </c>
      <c r="E15101">
        <v>47</v>
      </c>
      <c r="F15101">
        <v>45</v>
      </c>
      <c r="G15101">
        <v>48</v>
      </c>
    </row>
    <row r="15102" spans="1:7">
      <c r="A15102" t="s">
        <v>1876</v>
      </c>
      <c r="B15102" t="s">
        <v>397</v>
      </c>
      <c r="C15102" t="s">
        <v>138</v>
      </c>
      <c r="D15102">
        <v>46</v>
      </c>
      <c r="E15102">
        <v>47</v>
      </c>
      <c r="F15102">
        <v>45</v>
      </c>
      <c r="G15102">
        <v>48</v>
      </c>
    </row>
    <row r="15103" spans="1:7">
      <c r="A15103" t="s">
        <v>1876</v>
      </c>
      <c r="B15103" t="s">
        <v>397</v>
      </c>
      <c r="C15103" t="s">
        <v>139</v>
      </c>
      <c r="D15103">
        <v>46</v>
      </c>
      <c r="E15103">
        <v>47</v>
      </c>
      <c r="F15103">
        <v>45</v>
      </c>
      <c r="G15103">
        <v>48</v>
      </c>
    </row>
    <row r="15104" spans="1:7">
      <c r="A15104" t="s">
        <v>1876</v>
      </c>
      <c r="B15104" t="s">
        <v>397</v>
      </c>
      <c r="C15104" t="s">
        <v>1877</v>
      </c>
      <c r="D15104">
        <v>0</v>
      </c>
      <c r="E15104">
        <v>0</v>
      </c>
      <c r="F15104">
        <v>0</v>
      </c>
      <c r="G15104">
        <v>0</v>
      </c>
    </row>
    <row r="15105" spans="1:7">
      <c r="A15105" t="s">
        <v>1876</v>
      </c>
      <c r="B15105" t="s">
        <v>397</v>
      </c>
      <c r="C15105" t="s">
        <v>1700</v>
      </c>
      <c r="D15105">
        <v>0</v>
      </c>
      <c r="E15105">
        <v>0</v>
      </c>
      <c r="F15105">
        <v>0</v>
      </c>
      <c r="G15105">
        <v>0</v>
      </c>
    </row>
    <row r="15106" spans="1:7">
      <c r="A15106" t="s">
        <v>1876</v>
      </c>
      <c r="B15106" t="s">
        <v>397</v>
      </c>
      <c r="C15106" t="s">
        <v>1878</v>
      </c>
      <c r="D15106">
        <v>0</v>
      </c>
      <c r="E15106">
        <v>0</v>
      </c>
      <c r="F15106">
        <v>0</v>
      </c>
      <c r="G15106">
        <v>0</v>
      </c>
    </row>
    <row r="15107" spans="1:7">
      <c r="A15107" t="s">
        <v>1876</v>
      </c>
      <c r="B15107" t="s">
        <v>397</v>
      </c>
      <c r="C15107" t="s">
        <v>1879</v>
      </c>
      <c r="D15107">
        <v>0</v>
      </c>
      <c r="E15107">
        <v>0</v>
      </c>
      <c r="F15107">
        <v>0</v>
      </c>
      <c r="G15107">
        <v>0</v>
      </c>
    </row>
    <row r="15108" spans="1:7">
      <c r="A15108" t="s">
        <v>1876</v>
      </c>
      <c r="B15108" t="s">
        <v>397</v>
      </c>
      <c r="C15108" t="s">
        <v>1701</v>
      </c>
      <c r="D15108">
        <v>0</v>
      </c>
      <c r="E15108">
        <v>0</v>
      </c>
      <c r="F15108">
        <v>0</v>
      </c>
      <c r="G15108">
        <v>0</v>
      </c>
    </row>
    <row r="15109" spans="1:7">
      <c r="A15109" t="s">
        <v>1876</v>
      </c>
      <c r="B15109" t="s">
        <v>397</v>
      </c>
      <c r="C15109" t="s">
        <v>1880</v>
      </c>
      <c r="D15109">
        <v>91</v>
      </c>
      <c r="E15109">
        <v>79</v>
      </c>
      <c r="F15109">
        <v>93</v>
      </c>
      <c r="G15109">
        <v>93</v>
      </c>
    </row>
    <row r="15110" spans="1:7">
      <c r="A15110" t="s">
        <v>1876</v>
      </c>
      <c r="B15110" t="s">
        <v>397</v>
      </c>
      <c r="C15110" t="s">
        <v>140</v>
      </c>
      <c r="D15110">
        <v>213</v>
      </c>
      <c r="E15110">
        <v>191</v>
      </c>
      <c r="F15110">
        <v>251</v>
      </c>
      <c r="G15110">
        <v>264</v>
      </c>
    </row>
    <row r="15111" spans="1:7">
      <c r="A15111" t="s">
        <v>1876</v>
      </c>
      <c r="B15111" t="s">
        <v>397</v>
      </c>
      <c r="C15111" t="s">
        <v>1881</v>
      </c>
      <c r="D15111">
        <v>122</v>
      </c>
      <c r="E15111">
        <v>112</v>
      </c>
      <c r="F15111">
        <v>158</v>
      </c>
      <c r="G15111">
        <v>171</v>
      </c>
    </row>
    <row r="15112" spans="1:7">
      <c r="A15112" t="s">
        <v>1876</v>
      </c>
      <c r="B15112" t="s">
        <v>397</v>
      </c>
      <c r="C15112" t="s">
        <v>1882</v>
      </c>
      <c r="D15112">
        <v>0</v>
      </c>
      <c r="E15112">
        <v>0</v>
      </c>
      <c r="F15112">
        <v>0</v>
      </c>
      <c r="G15112">
        <v>0</v>
      </c>
    </row>
    <row r="15113" spans="1:7">
      <c r="A15113" t="s">
        <v>1876</v>
      </c>
      <c r="B15113" t="s">
        <v>397</v>
      </c>
      <c r="C15113" t="s">
        <v>1883</v>
      </c>
      <c r="D15113">
        <v>0</v>
      </c>
      <c r="E15113">
        <v>0</v>
      </c>
      <c r="F15113">
        <v>0</v>
      </c>
      <c r="G15113">
        <v>0</v>
      </c>
    </row>
    <row r="15114" spans="1:7">
      <c r="A15114" t="s">
        <v>1876</v>
      </c>
      <c r="B15114" t="s">
        <v>397</v>
      </c>
      <c r="C15114" t="s">
        <v>1884</v>
      </c>
      <c r="D15114">
        <v>0</v>
      </c>
      <c r="E15114">
        <v>0</v>
      </c>
      <c r="F15114">
        <v>0</v>
      </c>
      <c r="G15114">
        <v>0</v>
      </c>
    </row>
    <row r="15115" spans="1:7">
      <c r="A15115" t="s">
        <v>1876</v>
      </c>
      <c r="B15115" t="s">
        <v>397</v>
      </c>
      <c r="C15115" t="s">
        <v>1885</v>
      </c>
      <c r="D15115">
        <v>0</v>
      </c>
      <c r="E15115">
        <v>0</v>
      </c>
      <c r="F15115">
        <v>0</v>
      </c>
      <c r="G15115">
        <v>0</v>
      </c>
    </row>
    <row r="15116" spans="1:7">
      <c r="A15116" t="s">
        <v>1876</v>
      </c>
      <c r="B15116" t="s">
        <v>397</v>
      </c>
      <c r="C15116" t="s">
        <v>1886</v>
      </c>
      <c r="D15116">
        <v>0</v>
      </c>
      <c r="E15116">
        <v>0</v>
      </c>
      <c r="F15116">
        <v>0</v>
      </c>
      <c r="G15116">
        <v>0</v>
      </c>
    </row>
    <row r="15117" spans="1:7">
      <c r="A15117" t="s">
        <v>1876</v>
      </c>
      <c r="B15117" t="s">
        <v>397</v>
      </c>
      <c r="C15117" t="s">
        <v>141</v>
      </c>
      <c r="D15117">
        <v>0</v>
      </c>
      <c r="E15117">
        <v>0</v>
      </c>
      <c r="F15117">
        <v>0</v>
      </c>
      <c r="G15117">
        <v>0</v>
      </c>
    </row>
    <row r="15118" spans="1:7">
      <c r="A15118" t="s">
        <v>1876</v>
      </c>
      <c r="B15118" t="s">
        <v>397</v>
      </c>
      <c r="C15118" t="s">
        <v>1887</v>
      </c>
      <c r="D15118">
        <v>0</v>
      </c>
      <c r="E15118">
        <v>0</v>
      </c>
      <c r="F15118">
        <v>0</v>
      </c>
      <c r="G15118">
        <v>0</v>
      </c>
    </row>
    <row r="15119" spans="1:7">
      <c r="A15119" t="s">
        <v>1876</v>
      </c>
      <c r="B15119" t="s">
        <v>397</v>
      </c>
      <c r="C15119" t="s">
        <v>1888</v>
      </c>
      <c r="D15119">
        <v>0</v>
      </c>
      <c r="E15119">
        <v>0</v>
      </c>
      <c r="F15119">
        <v>0</v>
      </c>
      <c r="G15119">
        <v>0</v>
      </c>
    </row>
    <row r="15120" spans="1:7">
      <c r="A15120" t="s">
        <v>1876</v>
      </c>
      <c r="B15120" t="s">
        <v>397</v>
      </c>
      <c r="C15120" t="s">
        <v>1889</v>
      </c>
      <c r="D15120">
        <v>91</v>
      </c>
      <c r="E15120">
        <v>79</v>
      </c>
      <c r="F15120">
        <v>93</v>
      </c>
      <c r="G15120">
        <v>93</v>
      </c>
    </row>
    <row r="15121" spans="1:7">
      <c r="A15121" t="s">
        <v>1876</v>
      </c>
      <c r="B15121" t="s">
        <v>397</v>
      </c>
      <c r="C15121" t="s">
        <v>1890</v>
      </c>
      <c r="D15121">
        <v>0</v>
      </c>
      <c r="E15121">
        <v>0</v>
      </c>
      <c r="F15121">
        <v>0</v>
      </c>
      <c r="G15121">
        <v>0</v>
      </c>
    </row>
    <row r="15122" spans="1:7">
      <c r="A15122" t="s">
        <v>1876</v>
      </c>
      <c r="B15122" t="s">
        <v>397</v>
      </c>
      <c r="C15122" t="s">
        <v>1891</v>
      </c>
    </row>
    <row r="15123" spans="1:7">
      <c r="A15123" t="s">
        <v>1876</v>
      </c>
      <c r="B15123" t="s">
        <v>397</v>
      </c>
      <c r="C15123" t="s">
        <v>1892</v>
      </c>
      <c r="D15123">
        <v>122</v>
      </c>
      <c r="E15123">
        <v>112</v>
      </c>
      <c r="F15123">
        <v>158</v>
      </c>
      <c r="G15123">
        <v>171</v>
      </c>
    </row>
    <row r="15124" spans="1:7">
      <c r="A15124" t="s">
        <v>1876</v>
      </c>
      <c r="B15124" t="s">
        <v>397</v>
      </c>
      <c r="C15124" t="s">
        <v>142</v>
      </c>
      <c r="D15124">
        <v>213</v>
      </c>
      <c r="E15124">
        <v>191</v>
      </c>
      <c r="F15124">
        <v>251</v>
      </c>
      <c r="G15124">
        <v>264</v>
      </c>
    </row>
    <row r="15125" spans="1:7">
      <c r="A15125" t="s">
        <v>1876</v>
      </c>
      <c r="B15125" t="s">
        <v>397</v>
      </c>
      <c r="C15125" t="s">
        <v>1893</v>
      </c>
      <c r="D15125">
        <v>213</v>
      </c>
      <c r="E15125">
        <v>191</v>
      </c>
      <c r="F15125">
        <v>251</v>
      </c>
      <c r="G15125">
        <v>264</v>
      </c>
    </row>
    <row r="15126" spans="1:7">
      <c r="A15126" t="s">
        <v>1876</v>
      </c>
      <c r="B15126" t="s">
        <v>397</v>
      </c>
      <c r="C15126" t="s">
        <v>1894</v>
      </c>
      <c r="D15126">
        <v>122</v>
      </c>
      <c r="E15126">
        <v>112</v>
      </c>
      <c r="F15126">
        <v>158</v>
      </c>
      <c r="G15126">
        <v>171</v>
      </c>
    </row>
    <row r="15127" spans="1:7">
      <c r="A15127" t="s">
        <v>1876</v>
      </c>
      <c r="B15127" t="s">
        <v>397</v>
      </c>
      <c r="C15127" t="s">
        <v>143</v>
      </c>
      <c r="D15127">
        <v>0</v>
      </c>
      <c r="E15127">
        <v>0</v>
      </c>
      <c r="F15127">
        <v>0</v>
      </c>
      <c r="G15127">
        <v>0</v>
      </c>
    </row>
    <row r="15128" spans="1:7">
      <c r="A15128" t="s">
        <v>1876</v>
      </c>
      <c r="B15128" t="s">
        <v>397</v>
      </c>
      <c r="C15128" t="s">
        <v>144</v>
      </c>
      <c r="D15128">
        <v>2509</v>
      </c>
      <c r="E15128">
        <v>2503</v>
      </c>
      <c r="F15128">
        <v>2590</v>
      </c>
      <c r="G15128">
        <v>2619</v>
      </c>
    </row>
    <row r="15129" spans="1:7">
      <c r="A15129" t="s">
        <v>1876</v>
      </c>
      <c r="B15129" t="s">
        <v>397</v>
      </c>
      <c r="C15129" t="s">
        <v>1895</v>
      </c>
      <c r="D15129">
        <v>69.5</v>
      </c>
      <c r="E15129">
        <v>59.1</v>
      </c>
      <c r="F15129">
        <v>56.5</v>
      </c>
      <c r="G15129">
        <v>56.6</v>
      </c>
    </row>
    <row r="15130" spans="1:7">
      <c r="A15130" t="s">
        <v>1876</v>
      </c>
      <c r="B15130" t="s">
        <v>397</v>
      </c>
      <c r="C15130" t="s">
        <v>145</v>
      </c>
      <c r="D15130">
        <v>15197</v>
      </c>
      <c r="E15130">
        <v>15249</v>
      </c>
      <c r="F15130">
        <v>14261</v>
      </c>
      <c r="G15130">
        <v>14169</v>
      </c>
    </row>
    <row r="15131" spans="1:7">
      <c r="A15131" t="s">
        <v>1876</v>
      </c>
      <c r="B15131" t="s">
        <v>397</v>
      </c>
      <c r="C15131" t="s">
        <v>146</v>
      </c>
      <c r="D15131">
        <v>0</v>
      </c>
      <c r="E15131">
        <v>0</v>
      </c>
      <c r="F15131">
        <v>0</v>
      </c>
      <c r="G15131">
        <v>0</v>
      </c>
    </row>
    <row r="15132" spans="1:7">
      <c r="A15132" t="s">
        <v>1876</v>
      </c>
      <c r="B15132" t="s">
        <v>397</v>
      </c>
      <c r="C15132" t="s">
        <v>147</v>
      </c>
      <c r="D15132">
        <v>0</v>
      </c>
      <c r="E15132">
        <v>0</v>
      </c>
      <c r="F15132">
        <v>0</v>
      </c>
      <c r="G15132">
        <v>0</v>
      </c>
    </row>
    <row r="15133" spans="1:7">
      <c r="A15133" t="s">
        <v>1876</v>
      </c>
      <c r="B15133" t="s">
        <v>397</v>
      </c>
      <c r="C15133" t="s">
        <v>1896</v>
      </c>
      <c r="D15133">
        <v>9.6999999999999993</v>
      </c>
      <c r="E15133">
        <v>7.1</v>
      </c>
      <c r="F15133">
        <v>3.7</v>
      </c>
      <c r="G15133">
        <v>4.9000000000000004</v>
      </c>
    </row>
    <row r="15134" spans="1:7">
      <c r="A15134" t="s">
        <v>1876</v>
      </c>
      <c r="B15134" t="s">
        <v>397</v>
      </c>
      <c r="C15134" t="s">
        <v>1702</v>
      </c>
      <c r="D15134">
        <v>11</v>
      </c>
      <c r="E15134">
        <v>11</v>
      </c>
      <c r="F15134">
        <v>21</v>
      </c>
      <c r="G15134">
        <v>21</v>
      </c>
    </row>
    <row r="15135" spans="1:7">
      <c r="A15135" t="s">
        <v>1876</v>
      </c>
      <c r="B15135" t="s">
        <v>397</v>
      </c>
      <c r="C15135" t="s">
        <v>1897</v>
      </c>
      <c r="D15135">
        <v>3.3</v>
      </c>
      <c r="E15135">
        <v>4.4000000000000004</v>
      </c>
      <c r="F15135">
        <v>7.5</v>
      </c>
      <c r="G15135">
        <v>9.9</v>
      </c>
    </row>
    <row r="15136" spans="1:7">
      <c r="A15136" t="s">
        <v>1876</v>
      </c>
      <c r="B15136" t="s">
        <v>397</v>
      </c>
      <c r="C15136" t="s">
        <v>1898</v>
      </c>
      <c r="D15136">
        <v>5</v>
      </c>
      <c r="E15136">
        <v>9</v>
      </c>
      <c r="F15136">
        <v>26</v>
      </c>
      <c r="G15136">
        <v>36</v>
      </c>
    </row>
    <row r="15137" spans="1:7">
      <c r="A15137" t="s">
        <v>1876</v>
      </c>
      <c r="B15137" t="s">
        <v>397</v>
      </c>
      <c r="C15137" t="s">
        <v>1899</v>
      </c>
      <c r="D15137">
        <v>122</v>
      </c>
      <c r="E15137">
        <v>112</v>
      </c>
      <c r="F15137">
        <v>158</v>
      </c>
      <c r="G15137">
        <v>171</v>
      </c>
    </row>
    <row r="15138" spans="1:7">
      <c r="A15138" t="s">
        <v>1876</v>
      </c>
      <c r="B15138" t="s">
        <v>397</v>
      </c>
      <c r="C15138" t="s">
        <v>148</v>
      </c>
      <c r="D15138">
        <v>0</v>
      </c>
      <c r="E15138">
        <v>0</v>
      </c>
      <c r="F15138">
        <v>0</v>
      </c>
      <c r="G15138">
        <v>0</v>
      </c>
    </row>
    <row r="15139" spans="1:7">
      <c r="A15139" t="s">
        <v>1876</v>
      </c>
      <c r="B15139" t="s">
        <v>397</v>
      </c>
      <c r="C15139" t="s">
        <v>149</v>
      </c>
      <c r="D15139">
        <v>0</v>
      </c>
      <c r="E15139">
        <v>0</v>
      </c>
      <c r="F15139">
        <v>0</v>
      </c>
      <c r="G15139">
        <v>0</v>
      </c>
    </row>
    <row r="15140" spans="1:7">
      <c r="A15140" t="s">
        <v>1876</v>
      </c>
      <c r="B15140" t="s">
        <v>397</v>
      </c>
      <c r="C15140" t="s">
        <v>150</v>
      </c>
      <c r="D15140">
        <v>0</v>
      </c>
      <c r="E15140">
        <v>0</v>
      </c>
      <c r="F15140">
        <v>0</v>
      </c>
      <c r="G15140">
        <v>0</v>
      </c>
    </row>
    <row r="15141" spans="1:7">
      <c r="A15141" t="s">
        <v>1876</v>
      </c>
      <c r="B15141" t="s">
        <v>397</v>
      </c>
      <c r="C15141" t="s">
        <v>1900</v>
      </c>
      <c r="D15141">
        <v>0</v>
      </c>
      <c r="E15141">
        <v>0</v>
      </c>
      <c r="F15141">
        <v>0</v>
      </c>
      <c r="G15141">
        <v>0</v>
      </c>
    </row>
    <row r="15142" spans="1:7">
      <c r="A15142" t="s">
        <v>1876</v>
      </c>
      <c r="B15142" t="s">
        <v>397</v>
      </c>
      <c r="C15142" t="s">
        <v>151</v>
      </c>
      <c r="D15142">
        <v>0</v>
      </c>
      <c r="E15142">
        <v>0</v>
      </c>
      <c r="F15142">
        <v>0</v>
      </c>
      <c r="G15142">
        <v>0</v>
      </c>
    </row>
    <row r="15143" spans="1:7">
      <c r="A15143" t="s">
        <v>1876</v>
      </c>
      <c r="B15143" t="s">
        <v>397</v>
      </c>
      <c r="C15143" t="s">
        <v>152</v>
      </c>
      <c r="D15143">
        <v>0</v>
      </c>
      <c r="E15143">
        <v>0</v>
      </c>
      <c r="F15143">
        <v>0</v>
      </c>
      <c r="G15143">
        <v>0</v>
      </c>
    </row>
    <row r="15144" spans="1:7">
      <c r="A15144" t="s">
        <v>1876</v>
      </c>
      <c r="B15144" t="s">
        <v>397</v>
      </c>
      <c r="C15144" t="s">
        <v>1703</v>
      </c>
      <c r="D15144">
        <v>0</v>
      </c>
      <c r="E15144">
        <v>0</v>
      </c>
      <c r="F15144">
        <v>0</v>
      </c>
      <c r="G15144">
        <v>0</v>
      </c>
    </row>
    <row r="15145" spans="1:7">
      <c r="A15145" t="s">
        <v>1876</v>
      </c>
      <c r="B15145" t="s">
        <v>397</v>
      </c>
      <c r="C15145" t="s">
        <v>153</v>
      </c>
      <c r="D15145">
        <v>0</v>
      </c>
      <c r="E15145">
        <v>0</v>
      </c>
      <c r="F15145">
        <v>0</v>
      </c>
      <c r="G15145">
        <v>0</v>
      </c>
    </row>
    <row r="15146" spans="1:7">
      <c r="A15146" t="s">
        <v>1876</v>
      </c>
      <c r="B15146" t="s">
        <v>397</v>
      </c>
      <c r="C15146" t="s">
        <v>154</v>
      </c>
      <c r="D15146">
        <v>0</v>
      </c>
      <c r="E15146">
        <v>0</v>
      </c>
      <c r="F15146">
        <v>0</v>
      </c>
      <c r="G15146">
        <v>0</v>
      </c>
    </row>
    <row r="15147" spans="1:7">
      <c r="A15147" t="s">
        <v>1876</v>
      </c>
      <c r="B15147" t="s">
        <v>397</v>
      </c>
      <c r="C15147" t="s">
        <v>155</v>
      </c>
      <c r="D15147">
        <v>0</v>
      </c>
      <c r="E15147">
        <v>0</v>
      </c>
      <c r="F15147">
        <v>0</v>
      </c>
      <c r="G15147">
        <v>0</v>
      </c>
    </row>
    <row r="15148" spans="1:7">
      <c r="A15148" t="s">
        <v>1876</v>
      </c>
      <c r="B15148" t="s">
        <v>397</v>
      </c>
      <c r="C15148" t="s">
        <v>156</v>
      </c>
      <c r="D15148">
        <v>0</v>
      </c>
      <c r="E15148">
        <v>0</v>
      </c>
      <c r="F15148">
        <v>0</v>
      </c>
      <c r="G15148">
        <v>0</v>
      </c>
    </row>
    <row r="15149" spans="1:7">
      <c r="A15149" t="s">
        <v>1876</v>
      </c>
      <c r="B15149" t="s">
        <v>397</v>
      </c>
      <c r="C15149" t="s">
        <v>157</v>
      </c>
      <c r="D15149">
        <v>0</v>
      </c>
      <c r="E15149">
        <v>0</v>
      </c>
      <c r="F15149">
        <v>0</v>
      </c>
      <c r="G15149">
        <v>0</v>
      </c>
    </row>
    <row r="15150" spans="1:7">
      <c r="A15150" t="s">
        <v>1876</v>
      </c>
      <c r="B15150" t="s">
        <v>397</v>
      </c>
      <c r="C15150" t="s">
        <v>158</v>
      </c>
      <c r="D15150">
        <v>0</v>
      </c>
      <c r="E15150">
        <v>0</v>
      </c>
      <c r="F15150">
        <v>0</v>
      </c>
      <c r="G15150">
        <v>0</v>
      </c>
    </row>
    <row r="15151" spans="1:7">
      <c r="A15151" t="s">
        <v>1876</v>
      </c>
      <c r="B15151" t="s">
        <v>397</v>
      </c>
      <c r="C15151" t="s">
        <v>159</v>
      </c>
      <c r="D15151">
        <v>0</v>
      </c>
      <c r="E15151">
        <v>0</v>
      </c>
      <c r="F15151">
        <v>0</v>
      </c>
      <c r="G15151">
        <v>0</v>
      </c>
    </row>
    <row r="15152" spans="1:7">
      <c r="A15152" t="s">
        <v>1876</v>
      </c>
      <c r="B15152" t="s">
        <v>397</v>
      </c>
      <c r="C15152" t="s">
        <v>1901</v>
      </c>
      <c r="D15152">
        <v>0</v>
      </c>
      <c r="E15152">
        <v>0</v>
      </c>
      <c r="F15152">
        <v>0</v>
      </c>
      <c r="G15152">
        <v>0</v>
      </c>
    </row>
    <row r="15153" spans="1:7">
      <c r="A15153" t="s">
        <v>1876</v>
      </c>
      <c r="B15153" t="s">
        <v>397</v>
      </c>
      <c r="C15153" t="s">
        <v>1902</v>
      </c>
      <c r="D15153">
        <v>8792</v>
      </c>
      <c r="E15153">
        <v>8522</v>
      </c>
      <c r="F15153">
        <v>8189</v>
      </c>
      <c r="G15153">
        <v>8207</v>
      </c>
    </row>
    <row r="15154" spans="1:7">
      <c r="A15154" t="s">
        <v>1876</v>
      </c>
      <c r="B15154" t="s">
        <v>397</v>
      </c>
      <c r="C15154" t="s">
        <v>1903</v>
      </c>
      <c r="D15154">
        <v>3357</v>
      </c>
      <c r="E15154">
        <v>3298</v>
      </c>
      <c r="F15154">
        <v>3294</v>
      </c>
      <c r="G15154">
        <v>3198</v>
      </c>
    </row>
    <row r="15155" spans="1:7">
      <c r="A15155" t="s">
        <v>1876</v>
      </c>
      <c r="B15155" t="s">
        <v>397</v>
      </c>
      <c r="C15155" t="s">
        <v>1904</v>
      </c>
      <c r="D15155">
        <v>34</v>
      </c>
      <c r="E15155">
        <v>66</v>
      </c>
      <c r="F15155">
        <v>34</v>
      </c>
      <c r="G15155">
        <v>51</v>
      </c>
    </row>
    <row r="15156" spans="1:7">
      <c r="A15156" t="s">
        <v>1876</v>
      </c>
      <c r="B15156" t="s">
        <v>397</v>
      </c>
      <c r="C15156" t="s">
        <v>1905</v>
      </c>
      <c r="D15156">
        <v>3294</v>
      </c>
      <c r="E15156">
        <v>3329</v>
      </c>
      <c r="F15156">
        <v>3250</v>
      </c>
      <c r="G15156">
        <v>3153</v>
      </c>
    </row>
    <row r="15157" spans="1:7">
      <c r="A15157" t="s">
        <v>1876</v>
      </c>
      <c r="B15157" t="s">
        <v>397</v>
      </c>
      <c r="C15157" t="s">
        <v>1906</v>
      </c>
      <c r="D15157">
        <v>9675</v>
      </c>
      <c r="E15157">
        <v>9627</v>
      </c>
      <c r="F15157">
        <v>9612</v>
      </c>
      <c r="G15157">
        <v>9128</v>
      </c>
    </row>
    <row r="15158" spans="1:7">
      <c r="A15158" t="s">
        <v>1876</v>
      </c>
      <c r="B15158" t="s">
        <v>397</v>
      </c>
      <c r="C15158" t="s">
        <v>1907</v>
      </c>
      <c r="D15158">
        <v>25151</v>
      </c>
      <c r="E15158">
        <v>24842</v>
      </c>
      <c r="F15158">
        <v>24378</v>
      </c>
      <c r="G15158">
        <v>23738</v>
      </c>
    </row>
    <row r="15159" spans="1:7">
      <c r="A15159" t="s">
        <v>1876</v>
      </c>
      <c r="B15159" t="s">
        <v>397</v>
      </c>
      <c r="C15159" t="s">
        <v>160</v>
      </c>
      <c r="D15159">
        <v>8669</v>
      </c>
      <c r="E15159">
        <v>8410</v>
      </c>
      <c r="F15159">
        <v>8031</v>
      </c>
      <c r="G15159">
        <v>8036</v>
      </c>
    </row>
    <row r="15160" spans="1:7">
      <c r="A15160" t="s">
        <v>1876</v>
      </c>
      <c r="B15160" t="s">
        <v>397</v>
      </c>
      <c r="C15160" t="s">
        <v>161</v>
      </c>
      <c r="D15160">
        <v>3357</v>
      </c>
      <c r="E15160">
        <v>3298</v>
      </c>
      <c r="F15160">
        <v>3294</v>
      </c>
      <c r="G15160">
        <v>3198</v>
      </c>
    </row>
    <row r="15161" spans="1:7">
      <c r="A15161" t="s">
        <v>1876</v>
      </c>
      <c r="B15161" t="s">
        <v>397</v>
      </c>
      <c r="C15161" t="s">
        <v>162</v>
      </c>
      <c r="D15161">
        <v>34</v>
      </c>
      <c r="E15161">
        <v>66</v>
      </c>
      <c r="F15161">
        <v>34</v>
      </c>
      <c r="G15161">
        <v>51</v>
      </c>
    </row>
    <row r="15162" spans="1:7">
      <c r="A15162" t="s">
        <v>1876</v>
      </c>
      <c r="B15162" t="s">
        <v>397</v>
      </c>
      <c r="C15162" t="s">
        <v>163</v>
      </c>
      <c r="D15162">
        <v>3294</v>
      </c>
      <c r="E15162">
        <v>3329</v>
      </c>
      <c r="F15162">
        <v>3250</v>
      </c>
      <c r="G15162">
        <v>3153</v>
      </c>
    </row>
    <row r="15163" spans="1:7">
      <c r="A15163" t="s">
        <v>1876</v>
      </c>
      <c r="B15163" t="s">
        <v>397</v>
      </c>
      <c r="C15163" t="s">
        <v>164</v>
      </c>
      <c r="D15163">
        <v>9675</v>
      </c>
      <c r="E15163">
        <v>9627</v>
      </c>
      <c r="F15163">
        <v>9612</v>
      </c>
      <c r="G15163">
        <v>9128</v>
      </c>
    </row>
    <row r="15164" spans="1:7">
      <c r="A15164" t="s">
        <v>1876</v>
      </c>
      <c r="B15164" t="s">
        <v>397</v>
      </c>
      <c r="C15164" t="s">
        <v>165</v>
      </c>
      <c r="D15164">
        <v>25029</v>
      </c>
      <c r="E15164">
        <v>24730</v>
      </c>
      <c r="F15164">
        <v>24220</v>
      </c>
      <c r="G15164">
        <v>23567</v>
      </c>
    </row>
    <row r="15165" spans="1:7">
      <c r="A15165" t="s">
        <v>1876</v>
      </c>
      <c r="B15165" t="s">
        <v>397</v>
      </c>
      <c r="C15165" t="s">
        <v>166</v>
      </c>
      <c r="D15165">
        <v>24995</v>
      </c>
      <c r="E15165">
        <v>24664</v>
      </c>
      <c r="F15165">
        <v>24186</v>
      </c>
      <c r="G15165">
        <v>23516</v>
      </c>
    </row>
    <row r="15166" spans="1:7">
      <c r="A15166" t="s">
        <v>1876</v>
      </c>
      <c r="B15166" t="s">
        <v>397</v>
      </c>
      <c r="C15166" t="s">
        <v>167</v>
      </c>
      <c r="D15166">
        <v>34</v>
      </c>
      <c r="E15166">
        <v>66</v>
      </c>
      <c r="F15166">
        <v>34</v>
      </c>
      <c r="G15166">
        <v>51</v>
      </c>
    </row>
    <row r="15167" spans="1:7">
      <c r="A15167" t="s">
        <v>1876</v>
      </c>
      <c r="B15167" t="s">
        <v>397</v>
      </c>
      <c r="C15167" t="s">
        <v>1908</v>
      </c>
      <c r="D15167">
        <v>8579</v>
      </c>
      <c r="E15167">
        <v>8331</v>
      </c>
      <c r="F15167">
        <v>7938</v>
      </c>
      <c r="G15167">
        <v>7943</v>
      </c>
    </row>
    <row r="15168" spans="1:7">
      <c r="A15168" t="s">
        <v>1876</v>
      </c>
      <c r="B15168" t="s">
        <v>397</v>
      </c>
      <c r="C15168" t="s">
        <v>1909</v>
      </c>
      <c r="D15168">
        <v>3357</v>
      </c>
      <c r="E15168">
        <v>3298</v>
      </c>
      <c r="F15168">
        <v>3294</v>
      </c>
      <c r="G15168">
        <v>3198</v>
      </c>
    </row>
    <row r="15169" spans="1:7">
      <c r="A15169" t="s">
        <v>1876</v>
      </c>
      <c r="B15169" t="s">
        <v>397</v>
      </c>
      <c r="C15169" t="s">
        <v>1910</v>
      </c>
      <c r="D15169">
        <v>34</v>
      </c>
      <c r="E15169">
        <v>66</v>
      </c>
      <c r="F15169">
        <v>34</v>
      </c>
      <c r="G15169">
        <v>51</v>
      </c>
    </row>
    <row r="15170" spans="1:7">
      <c r="A15170" t="s">
        <v>1876</v>
      </c>
      <c r="B15170" t="s">
        <v>397</v>
      </c>
      <c r="C15170" t="s">
        <v>1911</v>
      </c>
      <c r="D15170">
        <v>3294</v>
      </c>
      <c r="E15170">
        <v>3329</v>
      </c>
      <c r="F15170">
        <v>3250</v>
      </c>
      <c r="G15170">
        <v>3153</v>
      </c>
    </row>
    <row r="15171" spans="1:7">
      <c r="A15171" t="s">
        <v>1876</v>
      </c>
      <c r="B15171" t="s">
        <v>397</v>
      </c>
      <c r="C15171" t="s">
        <v>1912</v>
      </c>
      <c r="D15171">
        <v>9675</v>
      </c>
      <c r="E15171">
        <v>9627</v>
      </c>
      <c r="F15171">
        <v>9612</v>
      </c>
      <c r="G15171">
        <v>9128</v>
      </c>
    </row>
    <row r="15172" spans="1:7">
      <c r="A15172" t="s">
        <v>1876</v>
      </c>
      <c r="B15172" t="s">
        <v>397</v>
      </c>
      <c r="C15172" t="s">
        <v>168</v>
      </c>
      <c r="D15172">
        <v>24938</v>
      </c>
      <c r="E15172">
        <v>24652</v>
      </c>
      <c r="F15172">
        <v>24126</v>
      </c>
      <c r="G15172">
        <v>23475</v>
      </c>
    </row>
    <row r="15173" spans="1:7">
      <c r="A15173" t="s">
        <v>1876</v>
      </c>
      <c r="B15173" t="s">
        <v>397</v>
      </c>
      <c r="C15173" t="s">
        <v>169</v>
      </c>
      <c r="D15173">
        <v>6</v>
      </c>
      <c r="E15173">
        <v>38</v>
      </c>
      <c r="F15173">
        <v>37</v>
      </c>
      <c r="G15173">
        <v>5</v>
      </c>
    </row>
    <row r="15174" spans="1:7">
      <c r="A15174" t="s">
        <v>1876</v>
      </c>
      <c r="B15174" t="s">
        <v>397</v>
      </c>
      <c r="C15174" t="s">
        <v>1704</v>
      </c>
      <c r="D15174">
        <v>834</v>
      </c>
      <c r="E15174">
        <v>839</v>
      </c>
      <c r="F15174">
        <v>856</v>
      </c>
      <c r="G15174">
        <v>864</v>
      </c>
    </row>
    <row r="15175" spans="1:7">
      <c r="A15175" t="s">
        <v>1876</v>
      </c>
      <c r="B15175" t="s">
        <v>397</v>
      </c>
      <c r="C15175" t="s">
        <v>170</v>
      </c>
      <c r="D15175">
        <v>47448</v>
      </c>
      <c r="E15175">
        <v>46794</v>
      </c>
      <c r="F15175">
        <v>36115</v>
      </c>
      <c r="G15175">
        <v>21086</v>
      </c>
    </row>
    <row r="15176" spans="1:7">
      <c r="A15176" t="s">
        <v>1876</v>
      </c>
      <c r="B15176" t="s">
        <v>397</v>
      </c>
      <c r="C15176" t="s">
        <v>171</v>
      </c>
      <c r="D15176">
        <v>-39396</v>
      </c>
      <c r="E15176">
        <v>-38178</v>
      </c>
      <c r="F15176">
        <v>-28419</v>
      </c>
      <c r="G15176">
        <v>-10998</v>
      </c>
    </row>
    <row r="15177" spans="1:7">
      <c r="A15177" t="s">
        <v>1876</v>
      </c>
      <c r="B15177" t="s">
        <v>397</v>
      </c>
      <c r="C15177" t="s">
        <v>172</v>
      </c>
      <c r="D15177">
        <v>47442</v>
      </c>
      <c r="E15177">
        <v>46756</v>
      </c>
      <c r="F15177">
        <v>36077</v>
      </c>
      <c r="G15177">
        <v>21081</v>
      </c>
    </row>
    <row r="15178" spans="1:7">
      <c r="A15178" t="s">
        <v>1876</v>
      </c>
      <c r="B15178" t="s">
        <v>397</v>
      </c>
      <c r="C15178" t="s">
        <v>1913</v>
      </c>
      <c r="D15178">
        <v>6.4</v>
      </c>
      <c r="E15178">
        <v>8.3000000000000007</v>
      </c>
      <c r="F15178">
        <v>12.5</v>
      </c>
      <c r="G15178">
        <v>16.5</v>
      </c>
    </row>
    <row r="15179" spans="1:7">
      <c r="A15179" t="s">
        <v>1876</v>
      </c>
      <c r="B15179" t="s">
        <v>397</v>
      </c>
      <c r="C15179" t="s">
        <v>1914</v>
      </c>
      <c r="D15179">
        <v>1.1000000000000001</v>
      </c>
      <c r="E15179">
        <v>1.5</v>
      </c>
      <c r="F15179">
        <v>2.2999999999999998</v>
      </c>
      <c r="G15179">
        <v>3</v>
      </c>
    </row>
    <row r="15180" spans="1:7">
      <c r="A15180" t="s">
        <v>1876</v>
      </c>
      <c r="B15180" t="s">
        <v>397</v>
      </c>
      <c r="C15180" t="s">
        <v>173</v>
      </c>
      <c r="D15180">
        <v>2215</v>
      </c>
      <c r="E15180">
        <v>2228</v>
      </c>
      <c r="F15180">
        <v>2254</v>
      </c>
      <c r="G15180">
        <v>2253</v>
      </c>
    </row>
    <row r="15181" spans="1:7">
      <c r="A15181" t="s">
        <v>1876</v>
      </c>
      <c r="B15181" t="s">
        <v>397</v>
      </c>
      <c r="C15181" t="s">
        <v>174</v>
      </c>
      <c r="D15181">
        <v>50</v>
      </c>
      <c r="E15181">
        <v>51</v>
      </c>
      <c r="F15181">
        <v>51</v>
      </c>
      <c r="G15181">
        <v>49</v>
      </c>
    </row>
    <row r="15182" spans="1:7">
      <c r="A15182" t="s">
        <v>1876</v>
      </c>
      <c r="B15182" t="s">
        <v>397</v>
      </c>
      <c r="C15182" t="s">
        <v>175</v>
      </c>
      <c r="D15182">
        <v>31</v>
      </c>
      <c r="E15182">
        <v>33</v>
      </c>
      <c r="F15182">
        <v>34</v>
      </c>
      <c r="G15182">
        <v>54</v>
      </c>
    </row>
    <row r="15183" spans="1:7">
      <c r="A15183" t="s">
        <v>1876</v>
      </c>
      <c r="B15183" t="s">
        <v>397</v>
      </c>
      <c r="C15183" t="s">
        <v>176</v>
      </c>
      <c r="D15183">
        <v>0</v>
      </c>
      <c r="E15183">
        <v>0</v>
      </c>
      <c r="F15183">
        <v>0</v>
      </c>
      <c r="G15183">
        <v>0</v>
      </c>
    </row>
    <row r="15184" spans="1:7">
      <c r="A15184" t="s">
        <v>1876</v>
      </c>
      <c r="B15184" t="s">
        <v>397</v>
      </c>
      <c r="C15184" t="s">
        <v>177</v>
      </c>
      <c r="D15184">
        <v>2296</v>
      </c>
      <c r="E15184">
        <v>2312</v>
      </c>
      <c r="F15184">
        <v>2339</v>
      </c>
      <c r="G15184">
        <v>2356</v>
      </c>
    </row>
    <row r="15185" spans="1:7">
      <c r="A15185" t="s">
        <v>1876</v>
      </c>
      <c r="B15185" t="s">
        <v>397</v>
      </c>
      <c r="C15185" t="s">
        <v>178</v>
      </c>
      <c r="D15185">
        <v>0</v>
      </c>
      <c r="E15185">
        <v>0</v>
      </c>
      <c r="F15185">
        <v>0</v>
      </c>
      <c r="G15185">
        <v>0</v>
      </c>
    </row>
    <row r="15186" spans="1:7">
      <c r="A15186" t="s">
        <v>1876</v>
      </c>
      <c r="B15186" t="s">
        <v>397</v>
      </c>
      <c r="C15186" t="s">
        <v>179</v>
      </c>
      <c r="D15186">
        <v>0</v>
      </c>
      <c r="E15186">
        <v>0</v>
      </c>
      <c r="F15186">
        <v>0</v>
      </c>
      <c r="G15186">
        <v>0</v>
      </c>
    </row>
    <row r="15187" spans="1:7">
      <c r="A15187" t="s">
        <v>1876</v>
      </c>
      <c r="B15187" t="s">
        <v>397</v>
      </c>
      <c r="C15187" t="s">
        <v>180</v>
      </c>
      <c r="D15187">
        <v>0</v>
      </c>
      <c r="E15187">
        <v>0</v>
      </c>
      <c r="F15187">
        <v>0</v>
      </c>
      <c r="G15187">
        <v>0</v>
      </c>
    </row>
    <row r="15188" spans="1:7">
      <c r="A15188" t="s">
        <v>1876</v>
      </c>
      <c r="B15188" t="s">
        <v>397</v>
      </c>
      <c r="C15188" t="s">
        <v>181</v>
      </c>
      <c r="D15188">
        <v>6371</v>
      </c>
      <c r="E15188">
        <v>6539</v>
      </c>
      <c r="F15188">
        <v>6495</v>
      </c>
      <c r="G15188">
        <v>6661</v>
      </c>
    </row>
    <row r="15189" spans="1:7">
      <c r="A15189" t="s">
        <v>1876</v>
      </c>
      <c r="B15189" t="s">
        <v>397</v>
      </c>
      <c r="C15189" t="s">
        <v>182</v>
      </c>
      <c r="D15189">
        <v>4678</v>
      </c>
      <c r="E15189">
        <v>4666</v>
      </c>
      <c r="F15189">
        <v>4381</v>
      </c>
      <c r="G15189">
        <v>4356</v>
      </c>
    </row>
    <row r="15190" spans="1:7">
      <c r="A15190" t="s">
        <v>1876</v>
      </c>
      <c r="B15190" t="s">
        <v>397</v>
      </c>
      <c r="C15190" t="s">
        <v>183</v>
      </c>
      <c r="D15190">
        <v>7419</v>
      </c>
      <c r="E15190">
        <v>7461</v>
      </c>
      <c r="F15190">
        <v>7426</v>
      </c>
      <c r="G15190">
        <v>7609</v>
      </c>
    </row>
    <row r="15191" spans="1:7">
      <c r="A15191" t="s">
        <v>1876</v>
      </c>
      <c r="B15191" t="s">
        <v>397</v>
      </c>
      <c r="C15191" t="s">
        <v>184</v>
      </c>
      <c r="D15191">
        <v>18468</v>
      </c>
      <c r="E15191">
        <v>18665</v>
      </c>
      <c r="F15191">
        <v>18302</v>
      </c>
      <c r="G15191">
        <v>18626</v>
      </c>
    </row>
    <row r="15192" spans="1:7">
      <c r="A15192" t="s">
        <v>1876</v>
      </c>
      <c r="B15192" t="s">
        <v>397</v>
      </c>
      <c r="C15192" t="s">
        <v>185</v>
      </c>
      <c r="D15192">
        <v>18468</v>
      </c>
      <c r="E15192">
        <v>18665</v>
      </c>
      <c r="F15192">
        <v>18302</v>
      </c>
      <c r="G15192">
        <v>18626</v>
      </c>
    </row>
    <row r="15193" spans="1:7">
      <c r="A15193" t="s">
        <v>1876</v>
      </c>
      <c r="B15193" t="s">
        <v>397</v>
      </c>
      <c r="C15193" t="s">
        <v>1915</v>
      </c>
      <c r="D15193">
        <v>10</v>
      </c>
      <c r="E15193">
        <v>16</v>
      </c>
      <c r="F15193">
        <v>40</v>
      </c>
      <c r="G15193">
        <v>52</v>
      </c>
    </row>
    <row r="15194" spans="1:7">
      <c r="A15194" t="s">
        <v>1876</v>
      </c>
      <c r="B15194" t="s">
        <v>397</v>
      </c>
      <c r="C15194" t="s">
        <v>1916</v>
      </c>
      <c r="D15194">
        <v>0</v>
      </c>
      <c r="E15194">
        <v>0</v>
      </c>
      <c r="F15194">
        <v>0</v>
      </c>
      <c r="G15194">
        <v>0</v>
      </c>
    </row>
    <row r="15195" spans="1:7">
      <c r="A15195" t="s">
        <v>1876</v>
      </c>
      <c r="B15195" t="s">
        <v>397</v>
      </c>
      <c r="C15195" t="s">
        <v>1917</v>
      </c>
      <c r="D15195">
        <v>73</v>
      </c>
      <c r="E15195">
        <v>37</v>
      </c>
      <c r="F15195">
        <v>21</v>
      </c>
      <c r="G15195">
        <v>21</v>
      </c>
    </row>
    <row r="15196" spans="1:7">
      <c r="A15196" t="s">
        <v>1876</v>
      </c>
      <c r="B15196" t="s">
        <v>397</v>
      </c>
      <c r="C15196" t="s">
        <v>1918</v>
      </c>
      <c r="D15196">
        <v>898</v>
      </c>
      <c r="E15196">
        <v>973</v>
      </c>
      <c r="F15196">
        <v>941</v>
      </c>
      <c r="G15196">
        <v>1074</v>
      </c>
    </row>
    <row r="15197" spans="1:7">
      <c r="A15197" t="s">
        <v>1876</v>
      </c>
      <c r="B15197" t="s">
        <v>397</v>
      </c>
      <c r="C15197" t="s">
        <v>1919</v>
      </c>
      <c r="D15197">
        <v>3.03</v>
      </c>
      <c r="E15197">
        <v>3</v>
      </c>
      <c r="F15197">
        <v>2.67</v>
      </c>
      <c r="G15197">
        <v>2.63</v>
      </c>
    </row>
    <row r="15198" spans="1:7">
      <c r="A15198" t="s">
        <v>1876</v>
      </c>
      <c r="B15198" t="s">
        <v>397</v>
      </c>
      <c r="C15198" t="s">
        <v>1920</v>
      </c>
      <c r="D15198">
        <v>1075</v>
      </c>
      <c r="E15198">
        <v>1137</v>
      </c>
      <c r="F15198">
        <v>1101</v>
      </c>
      <c r="G15198">
        <v>1322</v>
      </c>
    </row>
    <row r="15199" spans="1:7">
      <c r="A15199" t="s">
        <v>1876</v>
      </c>
      <c r="B15199" t="s">
        <v>397</v>
      </c>
      <c r="C15199" t="s">
        <v>1921</v>
      </c>
      <c r="D15199">
        <v>333</v>
      </c>
      <c r="E15199">
        <v>368</v>
      </c>
      <c r="F15199">
        <v>401</v>
      </c>
      <c r="G15199">
        <v>476</v>
      </c>
    </row>
    <row r="15200" spans="1:7">
      <c r="A15200" t="s">
        <v>1876</v>
      </c>
      <c r="B15200" t="s">
        <v>397</v>
      </c>
      <c r="C15200" t="s">
        <v>1922</v>
      </c>
      <c r="D15200">
        <v>104</v>
      </c>
      <c r="E15200">
        <v>127</v>
      </c>
      <c r="F15200">
        <v>139</v>
      </c>
      <c r="G15200">
        <v>227</v>
      </c>
    </row>
    <row r="15201" spans="1:7">
      <c r="A15201" t="s">
        <v>1876</v>
      </c>
      <c r="B15201" t="s">
        <v>397</v>
      </c>
      <c r="C15201" t="s">
        <v>1923</v>
      </c>
      <c r="D15201">
        <v>2.81</v>
      </c>
      <c r="E15201">
        <v>2.54</v>
      </c>
      <c r="F15201">
        <v>2.2799999999999998</v>
      </c>
      <c r="G15201">
        <v>2.58</v>
      </c>
    </row>
    <row r="15202" spans="1:7">
      <c r="A15202" t="s">
        <v>1876</v>
      </c>
      <c r="B15202" t="s">
        <v>397</v>
      </c>
      <c r="C15202" t="s">
        <v>1924</v>
      </c>
      <c r="D15202">
        <v>29</v>
      </c>
      <c r="E15202">
        <v>10</v>
      </c>
      <c r="F15202">
        <v>6</v>
      </c>
      <c r="G15202">
        <v>6</v>
      </c>
    </row>
    <row r="15203" spans="1:7">
      <c r="A15203" t="s">
        <v>1876</v>
      </c>
      <c r="B15203" t="s">
        <v>397</v>
      </c>
      <c r="C15203" t="s">
        <v>1925</v>
      </c>
      <c r="D15203">
        <v>80</v>
      </c>
      <c r="E15203">
        <v>78</v>
      </c>
      <c r="F15203">
        <v>74</v>
      </c>
      <c r="G15203">
        <v>75</v>
      </c>
    </row>
    <row r="15204" spans="1:7">
      <c r="A15204" t="s">
        <v>1876</v>
      </c>
      <c r="B15204" t="s">
        <v>397</v>
      </c>
      <c r="C15204" t="s">
        <v>1926</v>
      </c>
      <c r="D15204">
        <v>224</v>
      </c>
      <c r="E15204">
        <v>280</v>
      </c>
      <c r="F15204">
        <v>321</v>
      </c>
      <c r="G15204">
        <v>395</v>
      </c>
    </row>
    <row r="15205" spans="1:7">
      <c r="A15205" t="s">
        <v>1876</v>
      </c>
      <c r="B15205" t="s">
        <v>397</v>
      </c>
      <c r="C15205" t="s">
        <v>1927</v>
      </c>
      <c r="D15205">
        <v>10</v>
      </c>
      <c r="E15205">
        <v>10</v>
      </c>
      <c r="F15205">
        <v>5</v>
      </c>
      <c r="G15205">
        <v>4</v>
      </c>
    </row>
    <row r="15206" spans="1:7">
      <c r="A15206" t="s">
        <v>1876</v>
      </c>
      <c r="B15206" t="s">
        <v>397</v>
      </c>
      <c r="C15206" t="s">
        <v>1928</v>
      </c>
      <c r="D15206">
        <v>318</v>
      </c>
      <c r="E15206">
        <v>346</v>
      </c>
      <c r="F15206">
        <v>380</v>
      </c>
      <c r="G15206">
        <v>454</v>
      </c>
    </row>
    <row r="15207" spans="1:7">
      <c r="A15207" t="s">
        <v>1876</v>
      </c>
      <c r="B15207" t="s">
        <v>397</v>
      </c>
      <c r="C15207" t="s">
        <v>1929</v>
      </c>
      <c r="D15207">
        <v>5</v>
      </c>
      <c r="E15207">
        <v>12</v>
      </c>
      <c r="F15207">
        <v>16</v>
      </c>
      <c r="G15207">
        <v>18</v>
      </c>
    </row>
    <row r="15208" spans="1:7">
      <c r="A15208" t="s">
        <v>1876</v>
      </c>
      <c r="B15208" t="s">
        <v>397</v>
      </c>
      <c r="C15208" t="s">
        <v>186</v>
      </c>
      <c r="D15208">
        <v>0</v>
      </c>
      <c r="E15208">
        <v>0</v>
      </c>
      <c r="F15208">
        <v>0</v>
      </c>
      <c r="G15208">
        <v>0</v>
      </c>
    </row>
    <row r="15209" spans="1:7">
      <c r="A15209" t="s">
        <v>1876</v>
      </c>
      <c r="B15209" t="s">
        <v>397</v>
      </c>
      <c r="C15209" t="s">
        <v>187</v>
      </c>
      <c r="D15209">
        <v>0</v>
      </c>
      <c r="E15209">
        <v>0</v>
      </c>
      <c r="F15209">
        <v>0</v>
      </c>
      <c r="G15209">
        <v>0</v>
      </c>
    </row>
    <row r="15210" spans="1:7">
      <c r="A15210" t="s">
        <v>1876</v>
      </c>
      <c r="B15210" t="s">
        <v>397</v>
      </c>
      <c r="C15210" t="s">
        <v>1705</v>
      </c>
      <c r="D15210">
        <v>126</v>
      </c>
      <c r="E15210">
        <v>126</v>
      </c>
      <c r="F15210">
        <v>126</v>
      </c>
      <c r="G15210">
        <v>126</v>
      </c>
    </row>
    <row r="15211" spans="1:7">
      <c r="A15211" t="s">
        <v>1876</v>
      </c>
      <c r="B15211" t="s">
        <v>397</v>
      </c>
      <c r="C15211" t="s">
        <v>188</v>
      </c>
      <c r="D15211">
        <v>86066</v>
      </c>
      <c r="E15211">
        <v>85608</v>
      </c>
      <c r="F15211">
        <v>83060</v>
      </c>
      <c r="G15211">
        <v>82630</v>
      </c>
    </row>
    <row r="15212" spans="1:7">
      <c r="A15212" t="s">
        <v>1876</v>
      </c>
      <c r="B15212" t="s">
        <v>397</v>
      </c>
      <c r="C15212" t="s">
        <v>189</v>
      </c>
      <c r="D15212">
        <v>0</v>
      </c>
      <c r="E15212">
        <v>0</v>
      </c>
      <c r="F15212">
        <v>0</v>
      </c>
      <c r="G15212">
        <v>0</v>
      </c>
    </row>
    <row r="15213" spans="1:7">
      <c r="A15213" t="s">
        <v>1876</v>
      </c>
      <c r="B15213" t="s">
        <v>397</v>
      </c>
      <c r="C15213" t="s">
        <v>190</v>
      </c>
      <c r="D15213">
        <v>0</v>
      </c>
      <c r="E15213">
        <v>0</v>
      </c>
      <c r="F15213">
        <v>0</v>
      </c>
      <c r="G15213">
        <v>0</v>
      </c>
    </row>
    <row r="15214" spans="1:7">
      <c r="A15214" t="s">
        <v>1876</v>
      </c>
      <c r="B15214" t="s">
        <v>397</v>
      </c>
      <c r="C15214" t="s">
        <v>191</v>
      </c>
      <c r="D15214">
        <v>0</v>
      </c>
      <c r="E15214">
        <v>0</v>
      </c>
      <c r="F15214">
        <v>0</v>
      </c>
      <c r="G15214">
        <v>0</v>
      </c>
    </row>
    <row r="15215" spans="1:7">
      <c r="A15215" t="s">
        <v>1876</v>
      </c>
      <c r="B15215" t="s">
        <v>397</v>
      </c>
      <c r="C15215" t="s">
        <v>192</v>
      </c>
      <c r="D15215">
        <v>37290.800000000003</v>
      </c>
      <c r="E15215">
        <v>41211.199999999997</v>
      </c>
      <c r="F15215">
        <v>43931.6</v>
      </c>
      <c r="G15215">
        <v>46276.1</v>
      </c>
    </row>
    <row r="15216" spans="1:7">
      <c r="A15216" t="s">
        <v>1876</v>
      </c>
      <c r="B15216" t="s">
        <v>397</v>
      </c>
      <c r="C15216" t="s">
        <v>193</v>
      </c>
      <c r="D15216">
        <v>33584.300000000003</v>
      </c>
      <c r="E15216">
        <v>34915.9</v>
      </c>
      <c r="F15216">
        <v>35499.4</v>
      </c>
      <c r="G15216">
        <v>36398.9</v>
      </c>
    </row>
    <row r="15217" spans="1:7">
      <c r="A15217" t="s">
        <v>1876</v>
      </c>
      <c r="B15217" t="s">
        <v>397</v>
      </c>
      <c r="C15217" t="s">
        <v>1930</v>
      </c>
      <c r="D15217">
        <v>0</v>
      </c>
      <c r="E15217">
        <v>0</v>
      </c>
      <c r="F15217">
        <v>0</v>
      </c>
      <c r="G15217">
        <v>0</v>
      </c>
    </row>
    <row r="15218" spans="1:7">
      <c r="A15218" t="s">
        <v>1876</v>
      </c>
      <c r="B15218" t="s">
        <v>397</v>
      </c>
      <c r="C15218" t="s">
        <v>194</v>
      </c>
      <c r="D15218">
        <v>0</v>
      </c>
      <c r="E15218">
        <v>0</v>
      </c>
      <c r="F15218">
        <v>0</v>
      </c>
      <c r="G15218">
        <v>0</v>
      </c>
    </row>
    <row r="15219" spans="1:7">
      <c r="A15219" t="s">
        <v>1876</v>
      </c>
      <c r="B15219" t="s">
        <v>397</v>
      </c>
      <c r="C15219" t="s">
        <v>195</v>
      </c>
      <c r="D15219">
        <v>0</v>
      </c>
      <c r="E15219">
        <v>0</v>
      </c>
      <c r="F15219">
        <v>0</v>
      </c>
      <c r="G15219">
        <v>0</v>
      </c>
    </row>
    <row r="15220" spans="1:7">
      <c r="A15220" t="s">
        <v>1876</v>
      </c>
      <c r="B15220" t="s">
        <v>397</v>
      </c>
      <c r="C15220" t="s">
        <v>1706</v>
      </c>
      <c r="D15220">
        <v>0</v>
      </c>
      <c r="E15220">
        <v>0</v>
      </c>
      <c r="F15220">
        <v>0</v>
      </c>
      <c r="G15220">
        <v>0</v>
      </c>
    </row>
    <row r="15221" spans="1:7">
      <c r="A15221" t="s">
        <v>1876</v>
      </c>
      <c r="B15221" t="s">
        <v>397</v>
      </c>
      <c r="C15221" t="s">
        <v>196</v>
      </c>
      <c r="D15221">
        <v>0</v>
      </c>
      <c r="E15221">
        <v>0</v>
      </c>
      <c r="F15221">
        <v>0</v>
      </c>
      <c r="G15221">
        <v>0</v>
      </c>
    </row>
    <row r="15222" spans="1:7">
      <c r="A15222" t="s">
        <v>1876</v>
      </c>
      <c r="B15222" t="s">
        <v>397</v>
      </c>
      <c r="C15222" t="s">
        <v>197</v>
      </c>
      <c r="D15222">
        <v>29</v>
      </c>
      <c r="E15222">
        <v>29</v>
      </c>
      <c r="F15222">
        <v>29</v>
      </c>
      <c r="G15222">
        <v>29</v>
      </c>
    </row>
    <row r="15223" spans="1:7">
      <c r="A15223" t="s">
        <v>1876</v>
      </c>
      <c r="B15223" t="s">
        <v>397</v>
      </c>
      <c r="C15223" t="s">
        <v>198</v>
      </c>
      <c r="D15223">
        <v>29</v>
      </c>
      <c r="E15223">
        <v>29</v>
      </c>
      <c r="F15223">
        <v>29</v>
      </c>
      <c r="G15223">
        <v>29</v>
      </c>
    </row>
    <row r="15224" spans="1:7">
      <c r="A15224" t="s">
        <v>1876</v>
      </c>
      <c r="B15224" t="s">
        <v>397</v>
      </c>
      <c r="C15224" t="s">
        <v>199</v>
      </c>
      <c r="D15224">
        <v>29</v>
      </c>
      <c r="E15224">
        <v>29</v>
      </c>
      <c r="F15224">
        <v>29</v>
      </c>
      <c r="G15224">
        <v>29</v>
      </c>
    </row>
    <row r="15225" spans="1:7">
      <c r="A15225" t="s">
        <v>1876</v>
      </c>
      <c r="B15225" t="s">
        <v>397</v>
      </c>
      <c r="C15225" t="s">
        <v>200</v>
      </c>
      <c r="D15225">
        <v>5</v>
      </c>
      <c r="E15225">
        <v>5</v>
      </c>
      <c r="F15225">
        <v>8</v>
      </c>
      <c r="G15225">
        <v>9</v>
      </c>
    </row>
    <row r="15226" spans="1:7">
      <c r="A15226" t="s">
        <v>1876</v>
      </c>
      <c r="B15226" t="s">
        <v>397</v>
      </c>
      <c r="C15226" t="s">
        <v>201</v>
      </c>
      <c r="D15226">
        <v>3295</v>
      </c>
      <c r="E15226">
        <v>3497</v>
      </c>
      <c r="F15226">
        <v>3068</v>
      </c>
      <c r="G15226">
        <v>2850</v>
      </c>
    </row>
    <row r="15227" spans="1:7">
      <c r="A15227" t="s">
        <v>1876</v>
      </c>
      <c r="B15227" t="s">
        <v>397</v>
      </c>
      <c r="C15227" t="s">
        <v>202</v>
      </c>
      <c r="D15227">
        <v>193</v>
      </c>
      <c r="E15227">
        <v>190</v>
      </c>
      <c r="F15227">
        <v>143</v>
      </c>
      <c r="G15227">
        <v>145</v>
      </c>
    </row>
    <row r="15228" spans="1:7">
      <c r="A15228" t="s">
        <v>1876</v>
      </c>
      <c r="B15228" t="s">
        <v>397</v>
      </c>
      <c r="C15228" t="s">
        <v>203</v>
      </c>
      <c r="D15228">
        <v>6500</v>
      </c>
      <c r="E15228">
        <v>5934</v>
      </c>
      <c r="F15228">
        <v>5458</v>
      </c>
      <c r="G15228">
        <v>5249</v>
      </c>
    </row>
    <row r="15229" spans="1:7">
      <c r="A15229" t="s">
        <v>1876</v>
      </c>
      <c r="B15229" t="s">
        <v>397</v>
      </c>
      <c r="C15229" t="s">
        <v>204</v>
      </c>
      <c r="D15229">
        <v>9993</v>
      </c>
      <c r="E15229">
        <v>9625</v>
      </c>
      <c r="F15229">
        <v>8677</v>
      </c>
      <c r="G15229">
        <v>8253</v>
      </c>
    </row>
    <row r="15230" spans="1:7">
      <c r="A15230" t="s">
        <v>1876</v>
      </c>
      <c r="B15230" t="s">
        <v>397</v>
      </c>
      <c r="C15230" t="s">
        <v>205</v>
      </c>
      <c r="D15230">
        <v>9993</v>
      </c>
      <c r="E15230">
        <v>9625</v>
      </c>
      <c r="F15230">
        <v>8677</v>
      </c>
      <c r="G15230">
        <v>8253</v>
      </c>
    </row>
    <row r="15231" spans="1:7">
      <c r="A15231" t="s">
        <v>1876</v>
      </c>
      <c r="B15231" t="s">
        <v>397</v>
      </c>
      <c r="C15231" t="s">
        <v>1931</v>
      </c>
      <c r="D15231">
        <v>0</v>
      </c>
      <c r="E15231">
        <v>0</v>
      </c>
      <c r="F15231">
        <v>0</v>
      </c>
      <c r="G15231">
        <v>0</v>
      </c>
    </row>
    <row r="15232" spans="1:7">
      <c r="A15232" t="s">
        <v>1876</v>
      </c>
      <c r="B15232" t="s">
        <v>397</v>
      </c>
      <c r="C15232" t="s">
        <v>1707</v>
      </c>
      <c r="D15232">
        <v>0</v>
      </c>
      <c r="E15232">
        <v>0</v>
      </c>
      <c r="F15232">
        <v>0</v>
      </c>
      <c r="G15232">
        <v>0</v>
      </c>
    </row>
    <row r="15233" spans="1:7">
      <c r="A15233" t="s">
        <v>1876</v>
      </c>
      <c r="B15233" t="s">
        <v>397</v>
      </c>
      <c r="C15233" t="s">
        <v>1932</v>
      </c>
      <c r="D15233">
        <v>37.700000000000003</v>
      </c>
      <c r="E15233">
        <v>39.299999999999997</v>
      </c>
      <c r="F15233">
        <v>52.9</v>
      </c>
      <c r="G15233">
        <v>44.2</v>
      </c>
    </row>
    <row r="15234" spans="1:7">
      <c r="A15234" t="s">
        <v>1876</v>
      </c>
      <c r="B15234" t="s">
        <v>397</v>
      </c>
      <c r="C15234" t="s">
        <v>1708</v>
      </c>
      <c r="D15234">
        <v>331</v>
      </c>
      <c r="E15234">
        <v>331</v>
      </c>
      <c r="F15234">
        <v>332</v>
      </c>
      <c r="G15234">
        <v>331</v>
      </c>
    </row>
    <row r="15235" spans="1:7">
      <c r="A15235" t="s">
        <v>1876</v>
      </c>
      <c r="B15235" t="s">
        <v>397</v>
      </c>
      <c r="C15235" t="s">
        <v>206</v>
      </c>
      <c r="D15235">
        <v>0</v>
      </c>
      <c r="E15235">
        <v>0</v>
      </c>
      <c r="F15235">
        <v>0</v>
      </c>
      <c r="G15235">
        <v>0</v>
      </c>
    </row>
    <row r="15236" spans="1:7">
      <c r="A15236" t="s">
        <v>1876</v>
      </c>
      <c r="B15236" t="s">
        <v>397</v>
      </c>
      <c r="C15236" t="s">
        <v>207</v>
      </c>
      <c r="D15236">
        <v>3729</v>
      </c>
      <c r="E15236">
        <v>3892</v>
      </c>
      <c r="F15236">
        <v>5252</v>
      </c>
      <c r="G15236">
        <v>4381</v>
      </c>
    </row>
    <row r="15237" spans="1:7">
      <c r="A15237" t="s">
        <v>1876</v>
      </c>
      <c r="B15237" t="s">
        <v>397</v>
      </c>
      <c r="C15237" t="s">
        <v>208</v>
      </c>
      <c r="D15237">
        <v>0</v>
      </c>
      <c r="E15237">
        <v>0</v>
      </c>
      <c r="F15237">
        <v>0</v>
      </c>
      <c r="G15237">
        <v>0</v>
      </c>
    </row>
    <row r="15238" spans="1:7">
      <c r="A15238" t="s">
        <v>1876</v>
      </c>
      <c r="B15238" t="s">
        <v>397</v>
      </c>
      <c r="C15238" t="s">
        <v>209</v>
      </c>
      <c r="D15238">
        <v>3729</v>
      </c>
      <c r="E15238">
        <v>3892</v>
      </c>
      <c r="F15238">
        <v>5252</v>
      </c>
      <c r="G15238">
        <v>4381</v>
      </c>
    </row>
    <row r="15239" spans="1:7">
      <c r="A15239" t="s">
        <v>1876</v>
      </c>
      <c r="B15239" t="s">
        <v>397</v>
      </c>
      <c r="C15239" t="s">
        <v>210</v>
      </c>
      <c r="D15239">
        <v>0</v>
      </c>
      <c r="E15239">
        <v>0</v>
      </c>
      <c r="F15239">
        <v>0</v>
      </c>
      <c r="G15239">
        <v>0</v>
      </c>
    </row>
    <row r="15240" spans="1:7">
      <c r="A15240" t="s">
        <v>1876</v>
      </c>
      <c r="B15240" t="s">
        <v>397</v>
      </c>
      <c r="C15240" t="s">
        <v>211</v>
      </c>
      <c r="D15240">
        <v>0</v>
      </c>
      <c r="E15240">
        <v>0</v>
      </c>
      <c r="F15240">
        <v>0</v>
      </c>
      <c r="G15240">
        <v>0</v>
      </c>
    </row>
    <row r="15241" spans="1:7">
      <c r="A15241" t="s">
        <v>1876</v>
      </c>
      <c r="B15241" t="s">
        <v>397</v>
      </c>
      <c r="C15241" t="s">
        <v>212</v>
      </c>
      <c r="D15241">
        <v>0</v>
      </c>
      <c r="E15241">
        <v>0</v>
      </c>
      <c r="F15241">
        <v>0</v>
      </c>
      <c r="G15241">
        <v>0</v>
      </c>
    </row>
    <row r="15242" spans="1:7">
      <c r="A15242" t="s">
        <v>1876</v>
      </c>
      <c r="B15242" t="s">
        <v>397</v>
      </c>
      <c r="C15242" t="s">
        <v>213</v>
      </c>
      <c r="D15242">
        <v>0</v>
      </c>
      <c r="E15242">
        <v>0</v>
      </c>
      <c r="F15242">
        <v>0</v>
      </c>
      <c r="G15242">
        <v>0</v>
      </c>
    </row>
    <row r="15243" spans="1:7">
      <c r="A15243" t="s">
        <v>1876</v>
      </c>
      <c r="B15243" t="s">
        <v>397</v>
      </c>
      <c r="C15243" t="s">
        <v>214</v>
      </c>
      <c r="D15243">
        <v>0</v>
      </c>
      <c r="E15243">
        <v>0</v>
      </c>
      <c r="F15243">
        <v>0</v>
      </c>
      <c r="G15243">
        <v>0</v>
      </c>
    </row>
    <row r="15244" spans="1:7">
      <c r="A15244" t="s">
        <v>1876</v>
      </c>
      <c r="B15244" t="s">
        <v>397</v>
      </c>
      <c r="C15244" t="s">
        <v>215</v>
      </c>
      <c r="D15244">
        <v>1201</v>
      </c>
      <c r="E15244">
        <v>1324</v>
      </c>
      <c r="F15244">
        <v>1399</v>
      </c>
      <c r="G15244">
        <v>1421</v>
      </c>
    </row>
    <row r="15245" spans="1:7">
      <c r="A15245" t="s">
        <v>1876</v>
      </c>
      <c r="B15245" t="s">
        <v>397</v>
      </c>
      <c r="C15245" t="s">
        <v>216</v>
      </c>
      <c r="D15245">
        <v>1201</v>
      </c>
      <c r="E15245">
        <v>1324</v>
      </c>
      <c r="F15245">
        <v>1399</v>
      </c>
      <c r="G15245">
        <v>1421</v>
      </c>
    </row>
    <row r="15246" spans="1:7">
      <c r="A15246" t="s">
        <v>1876</v>
      </c>
      <c r="B15246" t="s">
        <v>397</v>
      </c>
      <c r="C15246" t="s">
        <v>217</v>
      </c>
      <c r="D15246">
        <v>1201</v>
      </c>
      <c r="E15246">
        <v>1324</v>
      </c>
      <c r="F15246">
        <v>1399</v>
      </c>
      <c r="G15246">
        <v>1421</v>
      </c>
    </row>
    <row r="15247" spans="1:7">
      <c r="A15247" t="s">
        <v>1876</v>
      </c>
      <c r="B15247" t="s">
        <v>397</v>
      </c>
      <c r="C15247" t="s">
        <v>218</v>
      </c>
      <c r="D15247">
        <v>24</v>
      </c>
      <c r="E15247">
        <v>21</v>
      </c>
      <c r="F15247">
        <v>39</v>
      </c>
      <c r="G15247">
        <v>30</v>
      </c>
    </row>
    <row r="15248" spans="1:7">
      <c r="A15248" t="s">
        <v>1876</v>
      </c>
      <c r="B15248" t="s">
        <v>397</v>
      </c>
      <c r="C15248" t="s">
        <v>219</v>
      </c>
      <c r="D15248">
        <v>19</v>
      </c>
      <c r="E15248">
        <v>14</v>
      </c>
      <c r="F15248">
        <v>56</v>
      </c>
      <c r="G15248">
        <v>31</v>
      </c>
    </row>
    <row r="15249" spans="1:7">
      <c r="A15249" t="s">
        <v>1876</v>
      </c>
      <c r="B15249" t="s">
        <v>397</v>
      </c>
      <c r="C15249" t="s">
        <v>220</v>
      </c>
      <c r="D15249">
        <v>343</v>
      </c>
      <c r="E15249">
        <v>302</v>
      </c>
      <c r="F15249">
        <v>555</v>
      </c>
      <c r="G15249">
        <v>418</v>
      </c>
    </row>
    <row r="15250" spans="1:7">
      <c r="A15250" t="s">
        <v>1876</v>
      </c>
      <c r="B15250" t="s">
        <v>397</v>
      </c>
      <c r="C15250" t="s">
        <v>221</v>
      </c>
      <c r="D15250">
        <v>386</v>
      </c>
      <c r="E15250">
        <v>338</v>
      </c>
      <c r="F15250">
        <v>651</v>
      </c>
      <c r="G15250">
        <v>478</v>
      </c>
    </row>
    <row r="15251" spans="1:7">
      <c r="A15251" t="s">
        <v>1876</v>
      </c>
      <c r="B15251" t="s">
        <v>397</v>
      </c>
      <c r="C15251" t="s">
        <v>222</v>
      </c>
      <c r="D15251">
        <v>386</v>
      </c>
      <c r="E15251">
        <v>338</v>
      </c>
      <c r="F15251">
        <v>651</v>
      </c>
      <c r="G15251">
        <v>478</v>
      </c>
    </row>
    <row r="15252" spans="1:7">
      <c r="A15252" t="s">
        <v>1876</v>
      </c>
      <c r="B15252" t="s">
        <v>397</v>
      </c>
      <c r="C15252" t="s">
        <v>1933</v>
      </c>
      <c r="D15252">
        <v>562.79999999999995</v>
      </c>
      <c r="E15252">
        <v>552.29999999999995</v>
      </c>
      <c r="F15252">
        <v>546.9</v>
      </c>
      <c r="G15252">
        <v>541.4</v>
      </c>
    </row>
    <row r="15253" spans="1:7">
      <c r="A15253" t="s">
        <v>1876</v>
      </c>
      <c r="B15253" t="s">
        <v>397</v>
      </c>
      <c r="C15253" t="s">
        <v>223</v>
      </c>
      <c r="D15253">
        <v>0</v>
      </c>
      <c r="E15253">
        <v>0</v>
      </c>
      <c r="F15253">
        <v>0</v>
      </c>
      <c r="G15253">
        <v>0</v>
      </c>
    </row>
    <row r="15254" spans="1:7">
      <c r="A15254" t="s">
        <v>1876</v>
      </c>
      <c r="B15254" t="s">
        <v>397</v>
      </c>
      <c r="C15254" t="s">
        <v>224</v>
      </c>
      <c r="D15254">
        <v>769</v>
      </c>
      <c r="E15254">
        <v>686</v>
      </c>
      <c r="F15254">
        <v>794</v>
      </c>
      <c r="G15254">
        <v>1340</v>
      </c>
    </row>
    <row r="15255" spans="1:7">
      <c r="A15255" t="s">
        <v>1876</v>
      </c>
      <c r="B15255" t="s">
        <v>397</v>
      </c>
      <c r="C15255" t="s">
        <v>225</v>
      </c>
      <c r="D15255">
        <v>565</v>
      </c>
      <c r="E15255">
        <v>489</v>
      </c>
      <c r="F15255">
        <v>536</v>
      </c>
      <c r="G15255">
        <v>877</v>
      </c>
    </row>
    <row r="15256" spans="1:7">
      <c r="A15256" t="s">
        <v>1876</v>
      </c>
      <c r="B15256" t="s">
        <v>397</v>
      </c>
      <c r="C15256" t="s">
        <v>226</v>
      </c>
      <c r="D15256">
        <v>896</v>
      </c>
      <c r="E15256">
        <v>783</v>
      </c>
      <c r="F15256">
        <v>908</v>
      </c>
      <c r="G15256">
        <v>1531</v>
      </c>
    </row>
    <row r="15257" spans="1:7">
      <c r="A15257" t="s">
        <v>1876</v>
      </c>
      <c r="B15257" t="s">
        <v>397</v>
      </c>
      <c r="C15257" t="s">
        <v>227</v>
      </c>
      <c r="D15257">
        <v>2229</v>
      </c>
      <c r="E15257">
        <v>1958</v>
      </c>
      <c r="F15257">
        <v>2238</v>
      </c>
      <c r="G15257">
        <v>3748</v>
      </c>
    </row>
    <row r="15258" spans="1:7">
      <c r="A15258" t="s">
        <v>1876</v>
      </c>
      <c r="B15258" t="s">
        <v>397</v>
      </c>
      <c r="C15258" t="s">
        <v>228</v>
      </c>
      <c r="D15258">
        <v>2229</v>
      </c>
      <c r="E15258">
        <v>1958</v>
      </c>
      <c r="F15258">
        <v>2238</v>
      </c>
      <c r="G15258">
        <v>3748</v>
      </c>
    </row>
    <row r="15259" spans="1:7">
      <c r="A15259" t="s">
        <v>1876</v>
      </c>
      <c r="B15259" t="s">
        <v>397</v>
      </c>
      <c r="C15259" t="s">
        <v>229</v>
      </c>
      <c r="D15259">
        <v>205</v>
      </c>
      <c r="E15259">
        <v>214</v>
      </c>
      <c r="F15259">
        <v>156</v>
      </c>
      <c r="G15259">
        <v>151</v>
      </c>
    </row>
    <row r="15260" spans="1:7">
      <c r="A15260" t="s">
        <v>1876</v>
      </c>
      <c r="B15260" t="s">
        <v>397</v>
      </c>
      <c r="C15260" t="s">
        <v>230</v>
      </c>
      <c r="D15260">
        <v>116</v>
      </c>
      <c r="E15260">
        <v>125</v>
      </c>
      <c r="F15260">
        <v>87</v>
      </c>
      <c r="G15260">
        <v>81</v>
      </c>
    </row>
    <row r="15261" spans="1:7">
      <c r="A15261" t="s">
        <v>1876</v>
      </c>
      <c r="B15261" t="s">
        <v>397</v>
      </c>
      <c r="C15261" t="s">
        <v>231</v>
      </c>
      <c r="D15261">
        <v>321</v>
      </c>
      <c r="E15261">
        <v>339</v>
      </c>
      <c r="F15261">
        <v>243</v>
      </c>
      <c r="G15261">
        <v>231</v>
      </c>
    </row>
    <row r="15262" spans="1:7">
      <c r="A15262" t="s">
        <v>1876</v>
      </c>
      <c r="B15262" t="s">
        <v>397</v>
      </c>
      <c r="C15262" t="s">
        <v>232</v>
      </c>
      <c r="D15262">
        <v>321</v>
      </c>
      <c r="E15262">
        <v>339</v>
      </c>
      <c r="F15262">
        <v>243</v>
      </c>
      <c r="G15262">
        <v>231</v>
      </c>
    </row>
    <row r="15263" spans="1:7">
      <c r="A15263" t="s">
        <v>1876</v>
      </c>
      <c r="B15263" t="s">
        <v>397</v>
      </c>
      <c r="C15263" t="s">
        <v>233</v>
      </c>
      <c r="D15263">
        <v>0</v>
      </c>
      <c r="E15263">
        <v>0</v>
      </c>
      <c r="F15263">
        <v>0</v>
      </c>
      <c r="G15263">
        <v>0</v>
      </c>
    </row>
    <row r="15264" spans="1:7">
      <c r="A15264" t="s">
        <v>1876</v>
      </c>
      <c r="B15264" t="s">
        <v>397</v>
      </c>
      <c r="C15264" t="s">
        <v>234</v>
      </c>
      <c r="D15264">
        <v>32186</v>
      </c>
      <c r="E15264">
        <v>32071</v>
      </c>
      <c r="F15264">
        <v>32618</v>
      </c>
      <c r="G15264">
        <v>32652</v>
      </c>
    </row>
    <row r="15265" spans="1:7">
      <c r="A15265" t="s">
        <v>1876</v>
      </c>
      <c r="B15265" t="s">
        <v>397</v>
      </c>
      <c r="C15265" t="s">
        <v>235</v>
      </c>
      <c r="D15265">
        <v>720</v>
      </c>
      <c r="E15265">
        <v>740</v>
      </c>
      <c r="F15265">
        <v>734</v>
      </c>
      <c r="G15265">
        <v>705</v>
      </c>
    </row>
    <row r="15266" spans="1:7">
      <c r="A15266" t="s">
        <v>1876</v>
      </c>
      <c r="B15266" t="s">
        <v>397</v>
      </c>
      <c r="C15266" t="s">
        <v>236</v>
      </c>
      <c r="D15266">
        <v>455</v>
      </c>
      <c r="E15266">
        <v>472</v>
      </c>
      <c r="F15266">
        <v>495</v>
      </c>
      <c r="G15266">
        <v>789</v>
      </c>
    </row>
    <row r="15267" spans="1:7">
      <c r="A15267" t="s">
        <v>1876</v>
      </c>
      <c r="B15267" t="s">
        <v>397</v>
      </c>
      <c r="C15267" t="s">
        <v>237</v>
      </c>
      <c r="D15267">
        <v>33360</v>
      </c>
      <c r="E15267">
        <v>33282</v>
      </c>
      <c r="F15267">
        <v>33847</v>
      </c>
      <c r="G15267">
        <v>34146</v>
      </c>
    </row>
    <row r="15268" spans="1:7">
      <c r="A15268" t="s">
        <v>1876</v>
      </c>
      <c r="B15268" t="s">
        <v>397</v>
      </c>
      <c r="C15268" t="s">
        <v>238</v>
      </c>
      <c r="D15268">
        <v>33360</v>
      </c>
      <c r="E15268">
        <v>33282</v>
      </c>
      <c r="F15268">
        <v>33847</v>
      </c>
      <c r="G15268">
        <v>34146</v>
      </c>
    </row>
    <row r="15269" spans="1:7">
      <c r="A15269" t="s">
        <v>1876</v>
      </c>
      <c r="B15269" t="s">
        <v>397</v>
      </c>
      <c r="C15269" t="s">
        <v>1934</v>
      </c>
      <c r="D15269">
        <v>29971</v>
      </c>
      <c r="E15269">
        <v>29843</v>
      </c>
      <c r="F15269">
        <v>30364</v>
      </c>
      <c r="G15269">
        <v>30399</v>
      </c>
    </row>
    <row r="15270" spans="1:7">
      <c r="A15270" t="s">
        <v>1876</v>
      </c>
      <c r="B15270" t="s">
        <v>397</v>
      </c>
      <c r="C15270" t="s">
        <v>1935</v>
      </c>
      <c r="D15270">
        <v>671</v>
      </c>
      <c r="E15270">
        <v>689</v>
      </c>
      <c r="F15270">
        <v>683</v>
      </c>
      <c r="G15270">
        <v>656</v>
      </c>
    </row>
    <row r="15271" spans="1:7">
      <c r="A15271" t="s">
        <v>1876</v>
      </c>
      <c r="B15271" t="s">
        <v>397</v>
      </c>
      <c r="C15271" t="s">
        <v>1936</v>
      </c>
      <c r="D15271">
        <v>423</v>
      </c>
      <c r="E15271">
        <v>439</v>
      </c>
      <c r="F15271">
        <v>461</v>
      </c>
      <c r="G15271">
        <v>735</v>
      </c>
    </row>
    <row r="15272" spans="1:7">
      <c r="A15272" t="s">
        <v>1876</v>
      </c>
      <c r="B15272" t="s">
        <v>397</v>
      </c>
      <c r="C15272" t="s">
        <v>239</v>
      </c>
      <c r="D15272">
        <v>31065</v>
      </c>
      <c r="E15272">
        <v>30970</v>
      </c>
      <c r="F15272">
        <v>31508</v>
      </c>
      <c r="G15272">
        <v>31790</v>
      </c>
    </row>
    <row r="15273" spans="1:7">
      <c r="A15273" t="s">
        <v>1876</v>
      </c>
      <c r="B15273" t="s">
        <v>397</v>
      </c>
      <c r="C15273" t="s">
        <v>240</v>
      </c>
      <c r="D15273">
        <v>0</v>
      </c>
      <c r="E15273">
        <v>0</v>
      </c>
      <c r="F15273">
        <v>0</v>
      </c>
      <c r="G15273">
        <v>0</v>
      </c>
    </row>
    <row r="15274" spans="1:7">
      <c r="A15274" t="s">
        <v>1876</v>
      </c>
      <c r="B15274" t="s">
        <v>397</v>
      </c>
      <c r="C15274" t="s">
        <v>241</v>
      </c>
      <c r="D15274">
        <v>0</v>
      </c>
      <c r="E15274">
        <v>0</v>
      </c>
      <c r="F15274">
        <v>0</v>
      </c>
      <c r="G15274">
        <v>0</v>
      </c>
    </row>
    <row r="15275" spans="1:7">
      <c r="A15275" t="s">
        <v>1876</v>
      </c>
      <c r="B15275" t="s">
        <v>397</v>
      </c>
      <c r="C15275" t="s">
        <v>242</v>
      </c>
      <c r="D15275">
        <v>36</v>
      </c>
      <c r="E15275">
        <v>37</v>
      </c>
      <c r="F15275">
        <v>34</v>
      </c>
      <c r="G15275">
        <v>31</v>
      </c>
    </row>
    <row r="15276" spans="1:7">
      <c r="A15276" t="s">
        <v>1876</v>
      </c>
      <c r="B15276" t="s">
        <v>397</v>
      </c>
      <c r="C15276" t="s">
        <v>243</v>
      </c>
      <c r="D15276">
        <v>7778</v>
      </c>
      <c r="E15276">
        <v>7662</v>
      </c>
      <c r="F15276">
        <v>7113</v>
      </c>
      <c r="G15276">
        <v>7145</v>
      </c>
    </row>
    <row r="15277" spans="1:7">
      <c r="A15277" t="s">
        <v>1876</v>
      </c>
      <c r="B15277" t="s">
        <v>397</v>
      </c>
      <c r="C15277" t="s">
        <v>244</v>
      </c>
      <c r="D15277">
        <v>8</v>
      </c>
      <c r="E15277">
        <v>8</v>
      </c>
      <c r="F15277">
        <v>4</v>
      </c>
      <c r="G15277">
        <v>8</v>
      </c>
    </row>
    <row r="15278" spans="1:7">
      <c r="A15278" t="s">
        <v>1876</v>
      </c>
      <c r="B15278" t="s">
        <v>397</v>
      </c>
      <c r="C15278" t="s">
        <v>1709</v>
      </c>
      <c r="D15278">
        <v>0</v>
      </c>
      <c r="E15278">
        <v>0</v>
      </c>
      <c r="F15278">
        <v>0</v>
      </c>
      <c r="G15278">
        <v>0</v>
      </c>
    </row>
    <row r="15279" spans="1:7">
      <c r="A15279" t="s">
        <v>1876</v>
      </c>
      <c r="B15279" t="s">
        <v>397</v>
      </c>
      <c r="C15279" t="s">
        <v>245</v>
      </c>
      <c r="D15279">
        <v>2099</v>
      </c>
      <c r="E15279">
        <v>2261</v>
      </c>
      <c r="F15279">
        <v>2068</v>
      </c>
      <c r="G15279">
        <v>2152</v>
      </c>
    </row>
    <row r="15280" spans="1:7">
      <c r="A15280" t="s">
        <v>1876</v>
      </c>
      <c r="B15280" t="s">
        <v>397</v>
      </c>
      <c r="C15280" t="s">
        <v>246</v>
      </c>
      <c r="D15280">
        <v>3881</v>
      </c>
      <c r="E15280">
        <v>4079</v>
      </c>
      <c r="F15280">
        <v>3784</v>
      </c>
      <c r="G15280">
        <v>3694</v>
      </c>
    </row>
    <row r="15281" spans="1:7">
      <c r="A15281" t="s">
        <v>1876</v>
      </c>
      <c r="B15281" t="s">
        <v>397</v>
      </c>
      <c r="C15281" t="s">
        <v>247</v>
      </c>
      <c r="D15281">
        <v>13803</v>
      </c>
      <c r="E15281">
        <v>14047</v>
      </c>
      <c r="F15281">
        <v>13002</v>
      </c>
      <c r="G15281">
        <v>13030</v>
      </c>
    </row>
    <row r="15282" spans="1:7">
      <c r="A15282" t="s">
        <v>1876</v>
      </c>
      <c r="B15282" t="s">
        <v>397</v>
      </c>
      <c r="C15282" t="s">
        <v>248</v>
      </c>
      <c r="D15282">
        <v>21.3</v>
      </c>
      <c r="E15282">
        <v>21.7</v>
      </c>
      <c r="F15282">
        <v>20.100000000000001</v>
      </c>
      <c r="G15282">
        <v>20.2</v>
      </c>
    </row>
    <row r="15283" spans="1:7">
      <c r="A15283" t="s">
        <v>1876</v>
      </c>
      <c r="B15283" t="s">
        <v>397</v>
      </c>
      <c r="C15283" t="s">
        <v>249</v>
      </c>
      <c r="D15283">
        <v>13794</v>
      </c>
      <c r="E15283">
        <v>14039</v>
      </c>
      <c r="F15283">
        <v>12999</v>
      </c>
      <c r="G15283">
        <v>13022</v>
      </c>
    </row>
    <row r="15284" spans="1:7">
      <c r="A15284" t="s">
        <v>1876</v>
      </c>
      <c r="B15284" t="s">
        <v>397</v>
      </c>
      <c r="C15284" t="s">
        <v>250</v>
      </c>
      <c r="D15284">
        <v>13801</v>
      </c>
      <c r="E15284">
        <v>14046</v>
      </c>
      <c r="F15284">
        <v>13001</v>
      </c>
      <c r="G15284">
        <v>13029</v>
      </c>
    </row>
    <row r="15285" spans="1:7">
      <c r="A15285" t="s">
        <v>1876</v>
      </c>
      <c r="B15285" t="s">
        <v>397</v>
      </c>
      <c r="C15285" t="s">
        <v>1937</v>
      </c>
      <c r="D15285">
        <v>0</v>
      </c>
      <c r="E15285">
        <v>0</v>
      </c>
      <c r="F15285">
        <v>0</v>
      </c>
      <c r="G15285">
        <v>0</v>
      </c>
    </row>
    <row r="15286" spans="1:7">
      <c r="A15286" t="s">
        <v>1876</v>
      </c>
      <c r="B15286" t="s">
        <v>397</v>
      </c>
      <c r="C15286" t="s">
        <v>1938</v>
      </c>
      <c r="D15286">
        <v>0</v>
      </c>
      <c r="E15286">
        <v>0</v>
      </c>
      <c r="F15286">
        <v>0</v>
      </c>
      <c r="G15286">
        <v>0</v>
      </c>
    </row>
    <row r="15287" spans="1:7">
      <c r="A15287" t="s">
        <v>1876</v>
      </c>
      <c r="B15287" t="s">
        <v>397</v>
      </c>
      <c r="C15287" t="s">
        <v>251</v>
      </c>
      <c r="D15287">
        <v>0</v>
      </c>
      <c r="E15287">
        <v>0</v>
      </c>
      <c r="F15287">
        <v>0</v>
      </c>
      <c r="G15287">
        <v>0</v>
      </c>
    </row>
    <row r="15288" spans="1:7">
      <c r="A15288" t="s">
        <v>1876</v>
      </c>
      <c r="B15288" t="s">
        <v>397</v>
      </c>
      <c r="C15288" t="s">
        <v>252</v>
      </c>
      <c r="D15288">
        <v>0</v>
      </c>
      <c r="E15288">
        <v>0</v>
      </c>
      <c r="F15288">
        <v>0</v>
      </c>
      <c r="G15288">
        <v>0</v>
      </c>
    </row>
    <row r="15289" spans="1:7">
      <c r="A15289" t="s">
        <v>1876</v>
      </c>
      <c r="B15289" t="s">
        <v>397</v>
      </c>
      <c r="C15289" t="s">
        <v>1710</v>
      </c>
      <c r="D15289">
        <v>0</v>
      </c>
      <c r="E15289">
        <v>0</v>
      </c>
      <c r="F15289">
        <v>0</v>
      </c>
      <c r="G15289">
        <v>0</v>
      </c>
    </row>
    <row r="15290" spans="1:7">
      <c r="A15290" t="s">
        <v>1876</v>
      </c>
      <c r="B15290" t="s">
        <v>397</v>
      </c>
      <c r="C15290" t="s">
        <v>1939</v>
      </c>
      <c r="D15290">
        <v>0</v>
      </c>
      <c r="E15290">
        <v>0</v>
      </c>
      <c r="F15290">
        <v>0</v>
      </c>
      <c r="G15290">
        <v>0</v>
      </c>
    </row>
    <row r="15291" spans="1:7">
      <c r="A15291" t="s">
        <v>1876</v>
      </c>
      <c r="B15291" t="s">
        <v>397</v>
      </c>
      <c r="C15291" t="s">
        <v>253</v>
      </c>
      <c r="D15291">
        <v>0</v>
      </c>
      <c r="E15291">
        <v>0</v>
      </c>
      <c r="F15291">
        <v>0</v>
      </c>
      <c r="G15291">
        <v>0</v>
      </c>
    </row>
    <row r="15292" spans="1:7">
      <c r="A15292" t="s">
        <v>1876</v>
      </c>
      <c r="B15292" t="s">
        <v>397</v>
      </c>
      <c r="C15292" t="s">
        <v>1711</v>
      </c>
      <c r="D15292">
        <v>0</v>
      </c>
      <c r="E15292">
        <v>0</v>
      </c>
      <c r="F15292">
        <v>0</v>
      </c>
      <c r="G15292">
        <v>0</v>
      </c>
    </row>
    <row r="15293" spans="1:7">
      <c r="A15293" t="s">
        <v>1876</v>
      </c>
      <c r="B15293" t="s">
        <v>397</v>
      </c>
      <c r="C15293" t="s">
        <v>1712</v>
      </c>
      <c r="D15293">
        <v>156</v>
      </c>
      <c r="E15293">
        <v>81</v>
      </c>
      <c r="F15293">
        <v>81</v>
      </c>
      <c r="G15293">
        <v>71</v>
      </c>
    </row>
    <row r="15294" spans="1:7">
      <c r="A15294" t="s">
        <v>1876</v>
      </c>
      <c r="B15294" t="s">
        <v>397</v>
      </c>
      <c r="C15294" t="s">
        <v>1713</v>
      </c>
      <c r="D15294">
        <v>122</v>
      </c>
      <c r="E15294">
        <v>112</v>
      </c>
      <c r="F15294">
        <v>158</v>
      </c>
      <c r="G15294">
        <v>171</v>
      </c>
    </row>
    <row r="15295" spans="1:7">
      <c r="A15295" t="s">
        <v>1876</v>
      </c>
      <c r="B15295" t="s">
        <v>397</v>
      </c>
      <c r="C15295" t="s">
        <v>1940</v>
      </c>
      <c r="D15295">
        <v>0</v>
      </c>
      <c r="E15295">
        <v>0</v>
      </c>
      <c r="F15295">
        <v>0</v>
      </c>
      <c r="G15295">
        <v>0</v>
      </c>
    </row>
    <row r="15296" spans="1:7">
      <c r="A15296" t="s">
        <v>1876</v>
      </c>
      <c r="B15296" t="s">
        <v>397</v>
      </c>
      <c r="C15296" t="s">
        <v>1941</v>
      </c>
      <c r="D15296">
        <v>0</v>
      </c>
      <c r="E15296">
        <v>0</v>
      </c>
      <c r="F15296">
        <v>0</v>
      </c>
      <c r="G15296">
        <v>0</v>
      </c>
    </row>
    <row r="15297" spans="1:7">
      <c r="A15297" t="s">
        <v>1876</v>
      </c>
      <c r="B15297" t="s">
        <v>397</v>
      </c>
      <c r="C15297" t="s">
        <v>254</v>
      </c>
      <c r="D15297">
        <v>156</v>
      </c>
      <c r="E15297">
        <v>81</v>
      </c>
      <c r="F15297">
        <v>81</v>
      </c>
      <c r="G15297">
        <v>71</v>
      </c>
    </row>
    <row r="15298" spans="1:7">
      <c r="A15298" t="s">
        <v>1876</v>
      </c>
      <c r="B15298" t="s">
        <v>397</v>
      </c>
      <c r="C15298" t="s">
        <v>1942</v>
      </c>
      <c r="D15298">
        <v>0</v>
      </c>
      <c r="E15298">
        <v>0</v>
      </c>
      <c r="F15298">
        <v>0</v>
      </c>
      <c r="G15298">
        <v>0</v>
      </c>
    </row>
    <row r="15299" spans="1:7">
      <c r="A15299" t="s">
        <v>1876</v>
      </c>
      <c r="B15299" t="s">
        <v>397</v>
      </c>
      <c r="C15299" t="s">
        <v>255</v>
      </c>
      <c r="D15299">
        <v>278</v>
      </c>
      <c r="E15299">
        <v>192</v>
      </c>
      <c r="F15299">
        <v>239</v>
      </c>
      <c r="G15299">
        <v>242</v>
      </c>
    </row>
    <row r="15300" spans="1:7">
      <c r="A15300" t="s">
        <v>1876</v>
      </c>
      <c r="B15300" t="s">
        <v>397</v>
      </c>
      <c r="C15300" t="s">
        <v>256</v>
      </c>
      <c r="D15300">
        <v>278</v>
      </c>
      <c r="E15300">
        <v>192</v>
      </c>
      <c r="F15300">
        <v>239</v>
      </c>
      <c r="G15300">
        <v>242</v>
      </c>
    </row>
    <row r="15301" spans="1:7">
      <c r="A15301" t="s">
        <v>1876</v>
      </c>
      <c r="B15301" t="s">
        <v>397</v>
      </c>
      <c r="C15301" t="s">
        <v>1714</v>
      </c>
      <c r="D15301">
        <v>0</v>
      </c>
      <c r="E15301">
        <v>0</v>
      </c>
      <c r="F15301">
        <v>0</v>
      </c>
      <c r="G15301">
        <v>0</v>
      </c>
    </row>
    <row r="15302" spans="1:7">
      <c r="A15302" t="s">
        <v>1876</v>
      </c>
      <c r="B15302" t="s">
        <v>397</v>
      </c>
      <c r="C15302" t="s">
        <v>257</v>
      </c>
      <c r="D15302">
        <v>4235</v>
      </c>
      <c r="E15302">
        <v>4187</v>
      </c>
      <c r="F15302">
        <v>3372</v>
      </c>
      <c r="G15302">
        <v>3818</v>
      </c>
    </row>
    <row r="15303" spans="1:7">
      <c r="A15303" t="s">
        <v>1876</v>
      </c>
      <c r="B15303" t="s">
        <v>397</v>
      </c>
      <c r="C15303" t="s">
        <v>258</v>
      </c>
      <c r="D15303">
        <v>4975</v>
      </c>
      <c r="E15303">
        <v>4884</v>
      </c>
      <c r="F15303">
        <v>4325</v>
      </c>
      <c r="G15303">
        <v>4636</v>
      </c>
    </row>
    <row r="15304" spans="1:7">
      <c r="A15304" t="s">
        <v>1876</v>
      </c>
      <c r="B15304" t="s">
        <v>397</v>
      </c>
      <c r="C15304" t="s">
        <v>259</v>
      </c>
      <c r="D15304">
        <v>4975</v>
      </c>
      <c r="E15304">
        <v>4884</v>
      </c>
      <c r="F15304">
        <v>4325</v>
      </c>
      <c r="G15304">
        <v>4636</v>
      </c>
    </row>
    <row r="15305" spans="1:7">
      <c r="A15305" t="s">
        <v>1876</v>
      </c>
      <c r="B15305" t="s">
        <v>397</v>
      </c>
      <c r="C15305" t="s">
        <v>260</v>
      </c>
      <c r="D15305">
        <v>42449</v>
      </c>
      <c r="E15305">
        <v>42197</v>
      </c>
      <c r="F15305">
        <v>42426</v>
      </c>
      <c r="G15305">
        <v>42501</v>
      </c>
    </row>
    <row r="15306" spans="1:7">
      <c r="A15306" t="s">
        <v>1876</v>
      </c>
      <c r="B15306" t="s">
        <v>397</v>
      </c>
      <c r="C15306" t="s">
        <v>1943</v>
      </c>
      <c r="D15306">
        <v>0.3</v>
      </c>
      <c r="E15306">
        <v>0.5</v>
      </c>
      <c r="F15306">
        <v>0.2</v>
      </c>
      <c r="G15306">
        <v>0.3</v>
      </c>
    </row>
    <row r="15307" spans="1:7">
      <c r="A15307" t="s">
        <v>1876</v>
      </c>
      <c r="B15307" t="s">
        <v>397</v>
      </c>
      <c r="C15307" t="s">
        <v>261</v>
      </c>
      <c r="D15307">
        <v>7490</v>
      </c>
      <c r="E15307">
        <v>7651</v>
      </c>
      <c r="F15307">
        <v>7214</v>
      </c>
      <c r="G15307">
        <v>6867</v>
      </c>
    </row>
    <row r="15308" spans="1:7">
      <c r="A15308" t="s">
        <v>1876</v>
      </c>
      <c r="B15308" t="s">
        <v>397</v>
      </c>
      <c r="C15308" t="s">
        <v>262</v>
      </c>
      <c r="D15308">
        <v>34</v>
      </c>
      <c r="E15308">
        <v>66</v>
      </c>
      <c r="F15308">
        <v>34</v>
      </c>
      <c r="G15308">
        <v>51</v>
      </c>
    </row>
    <row r="15309" spans="1:7">
      <c r="A15309" t="s">
        <v>1876</v>
      </c>
      <c r="B15309" t="s">
        <v>397</v>
      </c>
      <c r="C15309" t="s">
        <v>1715</v>
      </c>
      <c r="D15309">
        <v>126</v>
      </c>
      <c r="E15309">
        <v>126</v>
      </c>
      <c r="F15309">
        <v>126</v>
      </c>
      <c r="G15309">
        <v>126</v>
      </c>
    </row>
    <row r="15310" spans="1:7">
      <c r="A15310" t="s">
        <v>1876</v>
      </c>
      <c r="B15310" t="s">
        <v>397</v>
      </c>
      <c r="C15310" t="s">
        <v>263</v>
      </c>
      <c r="D15310">
        <v>8284</v>
      </c>
      <c r="E15310">
        <v>8289</v>
      </c>
      <c r="F15310">
        <v>7351</v>
      </c>
      <c r="G15310">
        <v>8005</v>
      </c>
    </row>
    <row r="15311" spans="1:7">
      <c r="A15311" t="s">
        <v>1876</v>
      </c>
      <c r="B15311" t="s">
        <v>397</v>
      </c>
      <c r="C15311" t="s">
        <v>264</v>
      </c>
      <c r="D15311">
        <v>16517</v>
      </c>
      <c r="E15311">
        <v>15863</v>
      </c>
      <c r="F15311">
        <v>15625</v>
      </c>
      <c r="G15311">
        <v>14795</v>
      </c>
    </row>
    <row r="15312" spans="1:7">
      <c r="A15312" t="s">
        <v>1876</v>
      </c>
      <c r="B15312" t="s">
        <v>397</v>
      </c>
      <c r="C15312" t="s">
        <v>265</v>
      </c>
      <c r="D15312">
        <v>74774</v>
      </c>
      <c r="E15312">
        <v>74066</v>
      </c>
      <c r="F15312">
        <v>72650</v>
      </c>
      <c r="G15312">
        <v>72220</v>
      </c>
    </row>
    <row r="15313" spans="1:7">
      <c r="A15313" t="s">
        <v>1876</v>
      </c>
      <c r="B15313" t="s">
        <v>397</v>
      </c>
      <c r="C15313" t="s">
        <v>266</v>
      </c>
      <c r="D15313">
        <v>115.5</v>
      </c>
      <c r="E15313">
        <v>114.4</v>
      </c>
      <c r="F15313">
        <v>112.2</v>
      </c>
      <c r="G15313">
        <v>111.7</v>
      </c>
    </row>
    <row r="15314" spans="1:7">
      <c r="A15314" t="s">
        <v>1876</v>
      </c>
      <c r="B15314" t="s">
        <v>397</v>
      </c>
      <c r="C15314" t="s">
        <v>267</v>
      </c>
      <c r="D15314">
        <v>74739</v>
      </c>
      <c r="E15314">
        <v>74000</v>
      </c>
      <c r="F15314">
        <v>72616</v>
      </c>
      <c r="G15314">
        <v>72169</v>
      </c>
    </row>
    <row r="15315" spans="1:7">
      <c r="A15315" t="s">
        <v>1876</v>
      </c>
      <c r="B15315" t="s">
        <v>397</v>
      </c>
      <c r="C15315" t="s">
        <v>268</v>
      </c>
      <c r="D15315">
        <v>0</v>
      </c>
      <c r="E15315">
        <v>0</v>
      </c>
      <c r="F15315">
        <v>0</v>
      </c>
      <c r="G15315">
        <v>0</v>
      </c>
    </row>
    <row r="15316" spans="1:7">
      <c r="A15316" t="s">
        <v>1876</v>
      </c>
      <c r="B15316" t="s">
        <v>397</v>
      </c>
      <c r="C15316" t="s">
        <v>269</v>
      </c>
      <c r="D15316">
        <v>0</v>
      </c>
      <c r="E15316">
        <v>0</v>
      </c>
      <c r="F15316">
        <v>0</v>
      </c>
      <c r="G15316">
        <v>0</v>
      </c>
    </row>
    <row r="15317" spans="1:7">
      <c r="A15317" t="s">
        <v>1876</v>
      </c>
      <c r="B15317" t="s">
        <v>397</v>
      </c>
      <c r="C15317" t="s">
        <v>270</v>
      </c>
      <c r="D15317">
        <v>0</v>
      </c>
      <c r="E15317">
        <v>0</v>
      </c>
      <c r="F15317">
        <v>0</v>
      </c>
      <c r="G15317">
        <v>0</v>
      </c>
    </row>
    <row r="15318" spans="1:7">
      <c r="A15318" t="s">
        <v>1876</v>
      </c>
      <c r="B15318" t="s">
        <v>397</v>
      </c>
      <c r="C15318" t="s">
        <v>271</v>
      </c>
      <c r="D15318">
        <v>0</v>
      </c>
      <c r="E15318">
        <v>0</v>
      </c>
      <c r="F15318">
        <v>0</v>
      </c>
      <c r="G15318">
        <v>0</v>
      </c>
    </row>
    <row r="15319" spans="1:7">
      <c r="A15319" t="s">
        <v>1876</v>
      </c>
      <c r="B15319" t="s">
        <v>397</v>
      </c>
      <c r="C15319" t="s">
        <v>272</v>
      </c>
      <c r="D15319">
        <v>0</v>
      </c>
      <c r="E15319">
        <v>0</v>
      </c>
      <c r="F15319">
        <v>0</v>
      </c>
      <c r="G15319">
        <v>0</v>
      </c>
    </row>
    <row r="15320" spans="1:7">
      <c r="A15320" t="s">
        <v>1876</v>
      </c>
      <c r="B15320" t="s">
        <v>397</v>
      </c>
      <c r="C15320" t="s">
        <v>1944</v>
      </c>
      <c r="D15320">
        <v>3.1</v>
      </c>
      <c r="E15320">
        <v>3.9</v>
      </c>
      <c r="F15320">
        <v>5</v>
      </c>
      <c r="G15320">
        <v>6.6</v>
      </c>
    </row>
    <row r="15321" spans="1:7">
      <c r="A15321" t="s">
        <v>1876</v>
      </c>
      <c r="B15321" t="s">
        <v>397</v>
      </c>
      <c r="C15321" t="s">
        <v>1945</v>
      </c>
      <c r="D15321">
        <v>5</v>
      </c>
      <c r="E15321">
        <v>7</v>
      </c>
      <c r="F15321">
        <v>14</v>
      </c>
      <c r="G15321">
        <v>16</v>
      </c>
    </row>
    <row r="15322" spans="1:7">
      <c r="A15322" t="s">
        <v>1876</v>
      </c>
      <c r="B15322" t="s">
        <v>397</v>
      </c>
      <c r="C15322" t="s">
        <v>273</v>
      </c>
      <c r="D15322">
        <v>0</v>
      </c>
      <c r="E15322">
        <v>0</v>
      </c>
      <c r="F15322">
        <v>0</v>
      </c>
      <c r="G15322">
        <v>0</v>
      </c>
    </row>
    <row r="15323" spans="1:7">
      <c r="A15323" t="s">
        <v>1876</v>
      </c>
      <c r="B15323" t="s">
        <v>397</v>
      </c>
      <c r="C15323" t="s">
        <v>1946</v>
      </c>
      <c r="D15323">
        <v>40021</v>
      </c>
      <c r="E15323">
        <v>39778</v>
      </c>
      <c r="F15323">
        <v>39920</v>
      </c>
      <c r="G15323">
        <v>39985</v>
      </c>
    </row>
    <row r="15324" spans="1:7">
      <c r="A15324" t="s">
        <v>1876</v>
      </c>
      <c r="B15324" t="s">
        <v>397</v>
      </c>
      <c r="C15324" t="s">
        <v>1947</v>
      </c>
      <c r="D15324">
        <v>7440</v>
      </c>
      <c r="E15324">
        <v>7600</v>
      </c>
      <c r="F15324">
        <v>7163</v>
      </c>
      <c r="G15324">
        <v>6819</v>
      </c>
    </row>
    <row r="15325" spans="1:7">
      <c r="A15325" t="s">
        <v>1876</v>
      </c>
      <c r="B15325" t="s">
        <v>397</v>
      </c>
      <c r="C15325" t="s">
        <v>1948</v>
      </c>
      <c r="D15325">
        <v>34</v>
      </c>
      <c r="E15325">
        <v>66</v>
      </c>
      <c r="F15325">
        <v>34</v>
      </c>
      <c r="G15325">
        <v>51</v>
      </c>
    </row>
    <row r="15326" spans="1:7">
      <c r="A15326" t="s">
        <v>1876</v>
      </c>
      <c r="B15326" t="s">
        <v>397</v>
      </c>
      <c r="C15326" t="s">
        <v>1949</v>
      </c>
      <c r="D15326">
        <v>8253</v>
      </c>
      <c r="E15326">
        <v>8256</v>
      </c>
      <c r="F15326">
        <v>7317</v>
      </c>
      <c r="G15326">
        <v>7951</v>
      </c>
    </row>
    <row r="15327" spans="1:7">
      <c r="A15327" t="s">
        <v>1876</v>
      </c>
      <c r="B15327" t="s">
        <v>397</v>
      </c>
      <c r="C15327" t="s">
        <v>1950</v>
      </c>
      <c r="D15327">
        <v>16517</v>
      </c>
      <c r="E15327">
        <v>15863</v>
      </c>
      <c r="F15327">
        <v>15625</v>
      </c>
      <c r="G15327">
        <v>14795</v>
      </c>
    </row>
    <row r="15328" spans="1:7">
      <c r="A15328" t="s">
        <v>1876</v>
      </c>
      <c r="B15328" t="s">
        <v>397</v>
      </c>
      <c r="C15328" t="s">
        <v>274</v>
      </c>
      <c r="D15328">
        <v>72265</v>
      </c>
      <c r="E15328">
        <v>71563</v>
      </c>
      <c r="F15328">
        <v>70059</v>
      </c>
      <c r="G15328">
        <v>69601</v>
      </c>
    </row>
    <row r="15329" spans="1:7">
      <c r="A15329" t="s">
        <v>1876</v>
      </c>
      <c r="B15329" t="s">
        <v>397</v>
      </c>
      <c r="C15329" t="s">
        <v>275</v>
      </c>
      <c r="D15329">
        <v>0</v>
      </c>
      <c r="E15329">
        <v>0</v>
      </c>
      <c r="F15329">
        <v>0</v>
      </c>
      <c r="G15329">
        <v>0</v>
      </c>
    </row>
    <row r="15330" spans="1:7">
      <c r="A15330" t="s">
        <v>1876</v>
      </c>
      <c r="B15330" t="s">
        <v>397</v>
      </c>
      <c r="C15330" t="s">
        <v>276</v>
      </c>
      <c r="D15330">
        <v>0</v>
      </c>
      <c r="E15330">
        <v>0</v>
      </c>
      <c r="F15330">
        <v>0</v>
      </c>
      <c r="G15330">
        <v>0</v>
      </c>
    </row>
    <row r="15331" spans="1:7">
      <c r="A15331" t="s">
        <v>1876</v>
      </c>
      <c r="B15331" t="s">
        <v>397</v>
      </c>
      <c r="C15331" t="s">
        <v>277</v>
      </c>
      <c r="D15331">
        <v>5</v>
      </c>
      <c r="E15331">
        <v>5</v>
      </c>
      <c r="F15331">
        <v>8</v>
      </c>
      <c r="G15331">
        <v>9</v>
      </c>
    </row>
    <row r="15332" spans="1:7">
      <c r="A15332" t="s">
        <v>1876</v>
      </c>
      <c r="B15332" t="s">
        <v>397</v>
      </c>
      <c r="C15332" t="s">
        <v>278</v>
      </c>
      <c r="D15332">
        <v>3295</v>
      </c>
      <c r="E15332">
        <v>3497</v>
      </c>
      <c r="F15332">
        <v>3068</v>
      </c>
      <c r="G15332">
        <v>2850</v>
      </c>
    </row>
    <row r="15333" spans="1:7">
      <c r="A15333" t="s">
        <v>1876</v>
      </c>
      <c r="B15333" t="s">
        <v>397</v>
      </c>
      <c r="C15333" t="s">
        <v>279</v>
      </c>
      <c r="D15333">
        <v>193</v>
      </c>
      <c r="E15333">
        <v>190</v>
      </c>
      <c r="F15333">
        <v>143</v>
      </c>
      <c r="G15333">
        <v>145</v>
      </c>
    </row>
    <row r="15334" spans="1:7">
      <c r="A15334" t="s">
        <v>1876</v>
      </c>
      <c r="B15334" t="s">
        <v>397</v>
      </c>
      <c r="C15334" t="s">
        <v>280</v>
      </c>
      <c r="D15334">
        <v>6500</v>
      </c>
      <c r="E15334">
        <v>5934</v>
      </c>
      <c r="F15334">
        <v>5458</v>
      </c>
      <c r="G15334">
        <v>5249</v>
      </c>
    </row>
    <row r="15335" spans="1:7">
      <c r="A15335" t="s">
        <v>1876</v>
      </c>
      <c r="B15335" t="s">
        <v>397</v>
      </c>
      <c r="C15335" t="s">
        <v>281</v>
      </c>
      <c r="D15335">
        <v>9993</v>
      </c>
      <c r="E15335">
        <v>9625</v>
      </c>
      <c r="F15335">
        <v>8677</v>
      </c>
      <c r="G15335">
        <v>8253</v>
      </c>
    </row>
    <row r="15336" spans="1:7">
      <c r="A15336" t="s">
        <v>1876</v>
      </c>
      <c r="B15336" t="s">
        <v>397</v>
      </c>
      <c r="C15336" t="s">
        <v>282</v>
      </c>
      <c r="D15336">
        <v>9993</v>
      </c>
      <c r="E15336">
        <v>9625</v>
      </c>
      <c r="F15336">
        <v>8677</v>
      </c>
      <c r="G15336">
        <v>8253</v>
      </c>
    </row>
    <row r="15337" spans="1:7">
      <c r="A15337" t="s">
        <v>1876</v>
      </c>
      <c r="B15337" t="s">
        <v>397</v>
      </c>
      <c r="C15337" t="s">
        <v>283</v>
      </c>
      <c r="D15337">
        <v>0</v>
      </c>
      <c r="E15337">
        <v>0</v>
      </c>
      <c r="F15337">
        <v>0</v>
      </c>
      <c r="G15337">
        <v>0</v>
      </c>
    </row>
    <row r="15338" spans="1:7">
      <c r="A15338" t="s">
        <v>1876</v>
      </c>
      <c r="B15338" t="s">
        <v>397</v>
      </c>
      <c r="C15338" t="s">
        <v>284</v>
      </c>
      <c r="D15338">
        <v>0</v>
      </c>
      <c r="E15338">
        <v>0</v>
      </c>
      <c r="F15338">
        <v>0</v>
      </c>
      <c r="G15338">
        <v>0</v>
      </c>
    </row>
    <row r="15339" spans="1:7">
      <c r="A15339" t="s">
        <v>1876</v>
      </c>
      <c r="B15339" t="s">
        <v>397</v>
      </c>
      <c r="C15339" t="s">
        <v>1716</v>
      </c>
      <c r="D15339">
        <v>2428</v>
      </c>
      <c r="E15339">
        <v>2419</v>
      </c>
      <c r="F15339">
        <v>2505</v>
      </c>
      <c r="G15339">
        <v>2516</v>
      </c>
    </row>
    <row r="15340" spans="1:7">
      <c r="A15340" t="s">
        <v>1876</v>
      </c>
      <c r="B15340" t="s">
        <v>397</v>
      </c>
      <c r="C15340" t="s">
        <v>1717</v>
      </c>
      <c r="D15340">
        <v>1256</v>
      </c>
      <c r="E15340">
        <v>1331</v>
      </c>
      <c r="F15340">
        <v>1349</v>
      </c>
      <c r="G15340">
        <v>1395</v>
      </c>
    </row>
    <row r="15341" spans="1:7">
      <c r="A15341" t="s">
        <v>1876</v>
      </c>
      <c r="B15341" t="s">
        <v>397</v>
      </c>
      <c r="C15341" t="s">
        <v>1718</v>
      </c>
      <c r="D15341">
        <v>12610</v>
      </c>
      <c r="E15341">
        <v>11971</v>
      </c>
      <c r="F15341">
        <v>12843</v>
      </c>
      <c r="G15341">
        <v>12233</v>
      </c>
    </row>
    <row r="15342" spans="1:7">
      <c r="A15342" t="s">
        <v>1876</v>
      </c>
      <c r="B15342" t="s">
        <v>397</v>
      </c>
      <c r="C15342" t="s">
        <v>1719</v>
      </c>
      <c r="D15342">
        <v>697</v>
      </c>
      <c r="E15342">
        <v>703</v>
      </c>
      <c r="F15342">
        <v>709</v>
      </c>
      <c r="G15342">
        <v>717</v>
      </c>
    </row>
    <row r="15343" spans="1:7">
      <c r="A15343" t="s">
        <v>1876</v>
      </c>
      <c r="B15343" t="s">
        <v>397</v>
      </c>
      <c r="C15343" t="s">
        <v>1720</v>
      </c>
      <c r="D15343">
        <v>244</v>
      </c>
      <c r="E15343">
        <v>267</v>
      </c>
      <c r="F15343">
        <v>269</v>
      </c>
      <c r="G15343">
        <v>289</v>
      </c>
    </row>
    <row r="15344" spans="1:7">
      <c r="A15344" t="s">
        <v>1876</v>
      </c>
      <c r="B15344" t="s">
        <v>397</v>
      </c>
      <c r="C15344" t="s">
        <v>1721</v>
      </c>
      <c r="D15344">
        <v>4890</v>
      </c>
      <c r="E15344">
        <v>6082</v>
      </c>
      <c r="F15344">
        <v>5294</v>
      </c>
      <c r="G15344">
        <v>5027</v>
      </c>
    </row>
    <row r="15345" spans="1:7">
      <c r="A15345" t="s">
        <v>1876</v>
      </c>
      <c r="B15345" t="s">
        <v>397</v>
      </c>
      <c r="C15345" t="s">
        <v>285</v>
      </c>
      <c r="D15345">
        <v>21428</v>
      </c>
      <c r="E15345">
        <v>22069</v>
      </c>
      <c r="F15345">
        <v>22260</v>
      </c>
      <c r="G15345">
        <v>21460</v>
      </c>
    </row>
    <row r="15346" spans="1:7">
      <c r="A15346" t="s">
        <v>1876</v>
      </c>
      <c r="B15346" t="s">
        <v>397</v>
      </c>
      <c r="C15346" t="s">
        <v>1951</v>
      </c>
      <c r="D15346">
        <v>18.5</v>
      </c>
      <c r="E15346">
        <v>19</v>
      </c>
      <c r="F15346">
        <v>19.7</v>
      </c>
      <c r="G15346">
        <v>18.8</v>
      </c>
    </row>
    <row r="15347" spans="1:7">
      <c r="A15347" t="s">
        <v>1876</v>
      </c>
      <c r="B15347" t="s">
        <v>397</v>
      </c>
      <c r="C15347" t="s">
        <v>286</v>
      </c>
      <c r="D15347">
        <v>15</v>
      </c>
      <c r="E15347">
        <v>15</v>
      </c>
      <c r="F15347">
        <v>12</v>
      </c>
      <c r="G15347">
        <v>14</v>
      </c>
    </row>
    <row r="15348" spans="1:7">
      <c r="A15348" t="s">
        <v>1876</v>
      </c>
      <c r="B15348" t="s">
        <v>397</v>
      </c>
      <c r="C15348" t="s">
        <v>287</v>
      </c>
      <c r="D15348">
        <v>92</v>
      </c>
      <c r="E15348">
        <v>95</v>
      </c>
      <c r="F15348">
        <v>79</v>
      </c>
      <c r="G15348">
        <v>85</v>
      </c>
    </row>
    <row r="15349" spans="1:7">
      <c r="A15349" t="s">
        <v>1876</v>
      </c>
      <c r="B15349" t="s">
        <v>397</v>
      </c>
      <c r="C15349" t="s">
        <v>288</v>
      </c>
      <c r="D15349">
        <v>0</v>
      </c>
      <c r="E15349">
        <v>0</v>
      </c>
      <c r="F15349">
        <v>0</v>
      </c>
      <c r="G15349">
        <v>0</v>
      </c>
    </row>
    <row r="15350" spans="1:7">
      <c r="A15350" t="s">
        <v>1876</v>
      </c>
      <c r="B15350" t="s">
        <v>397</v>
      </c>
      <c r="C15350" t="s">
        <v>289</v>
      </c>
      <c r="D15350">
        <v>108</v>
      </c>
      <c r="E15350">
        <v>111</v>
      </c>
      <c r="F15350">
        <v>92</v>
      </c>
      <c r="G15350">
        <v>99</v>
      </c>
    </row>
    <row r="15351" spans="1:7">
      <c r="A15351" t="s">
        <v>1876</v>
      </c>
      <c r="B15351" t="s">
        <v>397</v>
      </c>
      <c r="C15351" t="s">
        <v>290</v>
      </c>
      <c r="D15351">
        <v>215</v>
      </c>
      <c r="E15351">
        <v>220</v>
      </c>
      <c r="F15351">
        <v>183</v>
      </c>
      <c r="G15351">
        <v>198</v>
      </c>
    </row>
    <row r="15352" spans="1:7">
      <c r="A15352" t="s">
        <v>1876</v>
      </c>
      <c r="B15352" t="s">
        <v>397</v>
      </c>
      <c r="C15352" t="s">
        <v>291</v>
      </c>
      <c r="D15352">
        <v>215</v>
      </c>
      <c r="E15352">
        <v>220</v>
      </c>
      <c r="F15352">
        <v>183</v>
      </c>
      <c r="G15352">
        <v>198</v>
      </c>
    </row>
    <row r="15353" spans="1:7">
      <c r="A15353" t="s">
        <v>1876</v>
      </c>
      <c r="B15353" t="s">
        <v>397</v>
      </c>
      <c r="C15353" t="s">
        <v>292</v>
      </c>
      <c r="D15353">
        <v>1</v>
      </c>
      <c r="E15353">
        <v>1</v>
      </c>
      <c r="F15353">
        <v>1</v>
      </c>
      <c r="G15353">
        <v>1</v>
      </c>
    </row>
    <row r="15354" spans="1:7">
      <c r="A15354" t="s">
        <v>1876</v>
      </c>
      <c r="B15354" t="s">
        <v>397</v>
      </c>
      <c r="C15354" t="s">
        <v>293</v>
      </c>
      <c r="D15354">
        <v>0</v>
      </c>
      <c r="E15354">
        <v>0</v>
      </c>
      <c r="F15354">
        <v>0</v>
      </c>
      <c r="G15354">
        <v>0</v>
      </c>
    </row>
    <row r="15355" spans="1:7">
      <c r="A15355" t="s">
        <v>1876</v>
      </c>
      <c r="B15355" t="s">
        <v>397</v>
      </c>
      <c r="C15355" t="s">
        <v>294</v>
      </c>
      <c r="D15355">
        <v>0</v>
      </c>
      <c r="E15355">
        <v>0</v>
      </c>
      <c r="F15355">
        <v>0</v>
      </c>
      <c r="G15355">
        <v>0</v>
      </c>
    </row>
    <row r="15356" spans="1:7">
      <c r="A15356" t="s">
        <v>1876</v>
      </c>
      <c r="B15356" t="s">
        <v>397</v>
      </c>
      <c r="C15356" t="s">
        <v>295</v>
      </c>
      <c r="D15356">
        <v>0</v>
      </c>
      <c r="E15356">
        <v>0</v>
      </c>
      <c r="F15356">
        <v>0</v>
      </c>
      <c r="G15356">
        <v>0</v>
      </c>
    </row>
    <row r="15357" spans="1:7">
      <c r="A15357" t="s">
        <v>1876</v>
      </c>
      <c r="B15357" t="s">
        <v>397</v>
      </c>
      <c r="C15357" t="s">
        <v>296</v>
      </c>
      <c r="D15357">
        <v>1</v>
      </c>
      <c r="E15357">
        <v>1</v>
      </c>
      <c r="F15357">
        <v>2</v>
      </c>
      <c r="G15357">
        <v>1</v>
      </c>
    </row>
    <row r="15358" spans="1:7">
      <c r="A15358" t="s">
        <v>1876</v>
      </c>
      <c r="B15358" t="s">
        <v>397</v>
      </c>
      <c r="C15358" t="s">
        <v>297</v>
      </c>
      <c r="D15358">
        <v>0</v>
      </c>
      <c r="E15358">
        <v>0</v>
      </c>
      <c r="F15358">
        <v>0</v>
      </c>
      <c r="G15358">
        <v>0</v>
      </c>
    </row>
    <row r="15359" spans="1:7">
      <c r="A15359" t="s">
        <v>1876</v>
      </c>
      <c r="B15359" t="s">
        <v>397</v>
      </c>
      <c r="C15359" t="s">
        <v>1952</v>
      </c>
      <c r="D15359">
        <v>0</v>
      </c>
      <c r="E15359">
        <v>0</v>
      </c>
      <c r="F15359">
        <v>0</v>
      </c>
      <c r="G15359">
        <v>0</v>
      </c>
    </row>
    <row r="15360" spans="1:7">
      <c r="A15360" t="s">
        <v>1876</v>
      </c>
      <c r="B15360" t="s">
        <v>397</v>
      </c>
      <c r="C15360" t="s">
        <v>298</v>
      </c>
      <c r="D15360">
        <v>156</v>
      </c>
      <c r="E15360">
        <v>81</v>
      </c>
      <c r="F15360">
        <v>81</v>
      </c>
      <c r="G15360">
        <v>71</v>
      </c>
    </row>
    <row r="15361" spans="1:7">
      <c r="A15361" t="s">
        <v>1876</v>
      </c>
      <c r="B15361" t="s">
        <v>397</v>
      </c>
      <c r="C15361" t="s">
        <v>299</v>
      </c>
      <c r="D15361">
        <v>239</v>
      </c>
      <c r="E15361">
        <v>270</v>
      </c>
      <c r="F15361">
        <v>323</v>
      </c>
      <c r="G15361">
        <v>320</v>
      </c>
    </row>
    <row r="15362" spans="1:7">
      <c r="A15362" t="s">
        <v>1876</v>
      </c>
      <c r="B15362" t="s">
        <v>397</v>
      </c>
      <c r="C15362" t="s">
        <v>300</v>
      </c>
      <c r="D15362">
        <v>591</v>
      </c>
      <c r="E15362">
        <v>690</v>
      </c>
      <c r="F15362">
        <v>653</v>
      </c>
      <c r="G15362">
        <v>740</v>
      </c>
    </row>
    <row r="15363" spans="1:7">
      <c r="A15363" t="s">
        <v>1876</v>
      </c>
      <c r="B15363" t="s">
        <v>397</v>
      </c>
      <c r="C15363" t="s">
        <v>1722</v>
      </c>
      <c r="D15363">
        <v>134</v>
      </c>
      <c r="E15363">
        <v>139</v>
      </c>
      <c r="F15363">
        <v>146</v>
      </c>
      <c r="G15363">
        <v>155</v>
      </c>
    </row>
    <row r="15364" spans="1:7">
      <c r="A15364" t="s">
        <v>1876</v>
      </c>
      <c r="B15364" t="s">
        <v>397</v>
      </c>
      <c r="C15364" t="s">
        <v>301</v>
      </c>
      <c r="D15364">
        <v>7</v>
      </c>
      <c r="E15364">
        <v>7</v>
      </c>
      <c r="F15364">
        <v>7</v>
      </c>
      <c r="G15364">
        <v>7</v>
      </c>
    </row>
    <row r="15365" spans="1:7">
      <c r="A15365" t="s">
        <v>1876</v>
      </c>
      <c r="B15365" t="s">
        <v>397</v>
      </c>
      <c r="C15365" t="s">
        <v>302</v>
      </c>
      <c r="D15365">
        <v>483</v>
      </c>
      <c r="E15365">
        <v>537</v>
      </c>
      <c r="F15365">
        <v>576</v>
      </c>
      <c r="G15365">
        <v>603</v>
      </c>
    </row>
    <row r="15366" spans="1:7">
      <c r="A15366" t="s">
        <v>1876</v>
      </c>
      <c r="B15366" t="s">
        <v>397</v>
      </c>
      <c r="C15366" t="s">
        <v>303</v>
      </c>
      <c r="D15366">
        <v>1320</v>
      </c>
      <c r="E15366">
        <v>1503</v>
      </c>
      <c r="F15366">
        <v>1560</v>
      </c>
      <c r="G15366">
        <v>1669</v>
      </c>
    </row>
    <row r="15367" spans="1:7">
      <c r="A15367" t="s">
        <v>1876</v>
      </c>
      <c r="B15367" t="s">
        <v>397</v>
      </c>
      <c r="C15367" t="s">
        <v>304</v>
      </c>
      <c r="D15367">
        <v>728</v>
      </c>
      <c r="E15367">
        <v>814</v>
      </c>
      <c r="F15367">
        <v>906</v>
      </c>
      <c r="G15367">
        <v>929</v>
      </c>
    </row>
    <row r="15368" spans="1:7">
      <c r="A15368" t="s">
        <v>1876</v>
      </c>
      <c r="B15368" t="s">
        <v>397</v>
      </c>
      <c r="C15368" t="s">
        <v>1953</v>
      </c>
      <c r="D15368">
        <v>15.6</v>
      </c>
      <c r="E15368">
        <v>17</v>
      </c>
      <c r="F15368">
        <v>15.6</v>
      </c>
      <c r="G15368">
        <v>15.9</v>
      </c>
    </row>
    <row r="15369" spans="1:7">
      <c r="A15369" t="s">
        <v>1876</v>
      </c>
      <c r="B15369" t="s">
        <v>397</v>
      </c>
      <c r="C15369" t="s">
        <v>305</v>
      </c>
      <c r="D15369">
        <v>42485</v>
      </c>
      <c r="E15369">
        <v>42233</v>
      </c>
      <c r="F15369">
        <v>42460</v>
      </c>
      <c r="G15369">
        <v>42532</v>
      </c>
    </row>
    <row r="15370" spans="1:7">
      <c r="A15370" t="s">
        <v>1876</v>
      </c>
      <c r="B15370" t="s">
        <v>397</v>
      </c>
      <c r="C15370" t="s">
        <v>306</v>
      </c>
      <c r="D15370">
        <v>65.599999999999994</v>
      </c>
      <c r="E15370">
        <v>65.2</v>
      </c>
      <c r="F15370">
        <v>65.599999999999994</v>
      </c>
      <c r="G15370">
        <v>65.8</v>
      </c>
    </row>
    <row r="15371" spans="1:7">
      <c r="A15371" t="s">
        <v>1876</v>
      </c>
      <c r="B15371" t="s">
        <v>397</v>
      </c>
      <c r="C15371" t="s">
        <v>307</v>
      </c>
      <c r="D15371">
        <v>23614</v>
      </c>
      <c r="E15371">
        <v>23816</v>
      </c>
      <c r="F15371">
        <v>22913</v>
      </c>
      <c r="G15371">
        <v>23359</v>
      </c>
    </row>
    <row r="15372" spans="1:7">
      <c r="A15372" t="s">
        <v>1876</v>
      </c>
      <c r="B15372" t="s">
        <v>397</v>
      </c>
      <c r="C15372" t="s">
        <v>308</v>
      </c>
      <c r="D15372">
        <v>36.5</v>
      </c>
      <c r="E15372">
        <v>36.799999999999997</v>
      </c>
      <c r="F15372">
        <v>35.4</v>
      </c>
      <c r="G15372">
        <v>36.1</v>
      </c>
    </row>
    <row r="15373" spans="1:7">
      <c r="A15373" t="s">
        <v>1876</v>
      </c>
      <c r="B15373" t="s">
        <v>397</v>
      </c>
      <c r="C15373" t="s">
        <v>309</v>
      </c>
      <c r="D15373">
        <v>60094</v>
      </c>
      <c r="E15373">
        <v>58802</v>
      </c>
      <c r="F15373">
        <v>48958</v>
      </c>
      <c r="G15373">
        <v>33372</v>
      </c>
    </row>
    <row r="15374" spans="1:7">
      <c r="A15374" t="s">
        <v>1876</v>
      </c>
      <c r="B15374" t="s">
        <v>397</v>
      </c>
      <c r="C15374" t="s">
        <v>310</v>
      </c>
      <c r="D15374">
        <v>15839</v>
      </c>
      <c r="E15374">
        <v>15939</v>
      </c>
      <c r="F15374">
        <v>14571</v>
      </c>
      <c r="G15374">
        <v>15624</v>
      </c>
    </row>
    <row r="15375" spans="1:7">
      <c r="A15375" t="s">
        <v>1876</v>
      </c>
      <c r="B15375" t="s">
        <v>397</v>
      </c>
      <c r="C15375" t="s">
        <v>311</v>
      </c>
      <c r="D15375">
        <v>24.5</v>
      </c>
      <c r="E15375">
        <v>24.6</v>
      </c>
      <c r="F15375">
        <v>22.5</v>
      </c>
      <c r="G15375">
        <v>24.2</v>
      </c>
    </row>
    <row r="15376" spans="1:7">
      <c r="A15376" t="s">
        <v>1876</v>
      </c>
      <c r="B15376" t="s">
        <v>397</v>
      </c>
      <c r="C15376" t="s">
        <v>312</v>
      </c>
      <c r="D15376">
        <v>33603</v>
      </c>
      <c r="E15376">
        <v>34267</v>
      </c>
      <c r="F15376">
        <v>33036</v>
      </c>
      <c r="G15376">
        <v>32657</v>
      </c>
    </row>
    <row r="15377" spans="1:7">
      <c r="A15377" t="s">
        <v>1876</v>
      </c>
      <c r="B15377" t="s">
        <v>397</v>
      </c>
      <c r="C15377" t="s">
        <v>313</v>
      </c>
      <c r="D15377">
        <v>51.9</v>
      </c>
      <c r="E15377">
        <v>52.9</v>
      </c>
      <c r="F15377">
        <v>51</v>
      </c>
      <c r="G15377">
        <v>50.5</v>
      </c>
    </row>
    <row r="15378" spans="1:7">
      <c r="A15378" t="s">
        <v>1876</v>
      </c>
      <c r="B15378" t="s">
        <v>397</v>
      </c>
      <c r="C15378" t="s">
        <v>314</v>
      </c>
      <c r="D15378">
        <v>115539</v>
      </c>
      <c r="E15378">
        <v>116256</v>
      </c>
      <c r="F15378">
        <v>112979</v>
      </c>
      <c r="G15378">
        <v>114172</v>
      </c>
    </row>
    <row r="15379" spans="1:7">
      <c r="A15379" t="s">
        <v>1876</v>
      </c>
      <c r="B15379" t="s">
        <v>397</v>
      </c>
      <c r="C15379" t="s">
        <v>315</v>
      </c>
      <c r="D15379">
        <v>3.44</v>
      </c>
      <c r="E15379">
        <v>3.33</v>
      </c>
      <c r="F15379">
        <v>3.18</v>
      </c>
      <c r="G15379">
        <v>3.14</v>
      </c>
    </row>
    <row r="15380" spans="1:7">
      <c r="A15380" t="s">
        <v>1876</v>
      </c>
      <c r="B15380" t="s">
        <v>397</v>
      </c>
      <c r="C15380" t="s">
        <v>316</v>
      </c>
      <c r="D15380">
        <v>178.5</v>
      </c>
      <c r="E15380">
        <v>179.5</v>
      </c>
      <c r="F15380">
        <v>174.4</v>
      </c>
      <c r="G15380">
        <v>176.6</v>
      </c>
    </row>
    <row r="15381" spans="1:7">
      <c r="A15381" t="s">
        <v>1876</v>
      </c>
      <c r="B15381" t="s">
        <v>397</v>
      </c>
      <c r="C15381" t="s">
        <v>317</v>
      </c>
      <c r="D15381">
        <v>115539</v>
      </c>
      <c r="E15381">
        <v>116256</v>
      </c>
      <c r="F15381">
        <v>112979</v>
      </c>
      <c r="G15381">
        <v>114172</v>
      </c>
    </row>
    <row r="15382" spans="1:7">
      <c r="A15382" t="s">
        <v>1876</v>
      </c>
      <c r="B15382" t="s">
        <v>397</v>
      </c>
      <c r="C15382" t="s">
        <v>318</v>
      </c>
      <c r="D15382">
        <v>42485</v>
      </c>
      <c r="E15382">
        <v>42233</v>
      </c>
      <c r="F15382">
        <v>42460</v>
      </c>
      <c r="G15382">
        <v>42532</v>
      </c>
    </row>
    <row r="15383" spans="1:7">
      <c r="A15383" t="s">
        <v>1876</v>
      </c>
      <c r="B15383" t="s">
        <v>397</v>
      </c>
      <c r="C15383" t="s">
        <v>319</v>
      </c>
      <c r="D15383">
        <v>22845</v>
      </c>
      <c r="E15383">
        <v>23130</v>
      </c>
      <c r="F15383">
        <v>22119</v>
      </c>
      <c r="G15383">
        <v>22019</v>
      </c>
    </row>
    <row r="15384" spans="1:7">
      <c r="A15384" t="s">
        <v>1876</v>
      </c>
      <c r="B15384" t="s">
        <v>397</v>
      </c>
      <c r="C15384" t="s">
        <v>320</v>
      </c>
      <c r="D15384">
        <v>15274</v>
      </c>
      <c r="E15384">
        <v>15450</v>
      </c>
      <c r="F15384">
        <v>14035</v>
      </c>
      <c r="G15384">
        <v>14748</v>
      </c>
    </row>
    <row r="15385" spans="1:7">
      <c r="A15385" t="s">
        <v>1876</v>
      </c>
      <c r="B15385" t="s">
        <v>397</v>
      </c>
      <c r="C15385" t="s">
        <v>321</v>
      </c>
      <c r="D15385">
        <v>32707</v>
      </c>
      <c r="E15385">
        <v>33485</v>
      </c>
      <c r="F15385">
        <v>32128</v>
      </c>
      <c r="G15385">
        <v>31126</v>
      </c>
    </row>
    <row r="15386" spans="1:7">
      <c r="A15386" t="s">
        <v>1876</v>
      </c>
      <c r="B15386" t="s">
        <v>397</v>
      </c>
      <c r="C15386" t="s">
        <v>1954</v>
      </c>
      <c r="D15386">
        <v>113310</v>
      </c>
      <c r="E15386">
        <v>114298</v>
      </c>
      <c r="F15386">
        <v>110742</v>
      </c>
      <c r="G15386">
        <v>110424</v>
      </c>
    </row>
    <row r="15387" spans="1:7">
      <c r="A15387" t="s">
        <v>1876</v>
      </c>
      <c r="B15387" t="s">
        <v>397</v>
      </c>
      <c r="C15387" t="s">
        <v>323</v>
      </c>
      <c r="D15387">
        <v>647</v>
      </c>
      <c r="E15387">
        <v>648</v>
      </c>
      <c r="F15387">
        <v>648</v>
      </c>
      <c r="G15387">
        <v>647</v>
      </c>
    </row>
    <row r="15388" spans="1:7">
      <c r="A15388" t="s">
        <v>1876</v>
      </c>
      <c r="B15388" t="s">
        <v>397</v>
      </c>
      <c r="C15388" t="s">
        <v>324</v>
      </c>
      <c r="D15388">
        <v>0</v>
      </c>
      <c r="E15388">
        <v>0</v>
      </c>
      <c r="F15388">
        <v>0</v>
      </c>
      <c r="G15388">
        <v>0</v>
      </c>
    </row>
    <row r="15389" spans="1:7">
      <c r="A15389" t="s">
        <v>1876</v>
      </c>
      <c r="B15389" t="s">
        <v>397</v>
      </c>
      <c r="C15389" t="s">
        <v>325</v>
      </c>
      <c r="D15389">
        <v>0</v>
      </c>
      <c r="E15389">
        <v>0</v>
      </c>
      <c r="F15389">
        <v>0</v>
      </c>
      <c r="G15389">
        <v>0</v>
      </c>
    </row>
    <row r="15390" spans="1:7">
      <c r="A15390" t="s">
        <v>1876</v>
      </c>
      <c r="B15390" t="s">
        <v>397</v>
      </c>
      <c r="C15390" t="s">
        <v>326</v>
      </c>
      <c r="D15390">
        <v>968</v>
      </c>
      <c r="E15390">
        <v>1009</v>
      </c>
      <c r="F15390">
        <v>975</v>
      </c>
      <c r="G15390">
        <v>1027</v>
      </c>
    </row>
    <row r="15391" spans="1:7">
      <c r="A15391" t="s">
        <v>1876</v>
      </c>
      <c r="B15391" t="s">
        <v>397</v>
      </c>
      <c r="C15391" t="s">
        <v>327</v>
      </c>
      <c r="D15391">
        <v>6492</v>
      </c>
      <c r="E15391">
        <v>5419</v>
      </c>
      <c r="F15391">
        <v>5171</v>
      </c>
      <c r="G15391">
        <v>5323</v>
      </c>
    </row>
    <row r="15392" spans="1:7">
      <c r="A15392" t="s">
        <v>1876</v>
      </c>
      <c r="B15392" t="s">
        <v>397</v>
      </c>
      <c r="C15392" t="s">
        <v>1723</v>
      </c>
      <c r="D15392">
        <v>73</v>
      </c>
      <c r="E15392">
        <v>73</v>
      </c>
      <c r="F15392">
        <v>73</v>
      </c>
      <c r="G15392">
        <v>73</v>
      </c>
    </row>
    <row r="15393" spans="1:7">
      <c r="A15393" t="s">
        <v>1876</v>
      </c>
      <c r="B15393" t="s">
        <v>397</v>
      </c>
      <c r="C15393" t="s">
        <v>328</v>
      </c>
      <c r="D15393">
        <v>191</v>
      </c>
      <c r="E15393">
        <v>226</v>
      </c>
      <c r="F15393">
        <v>226</v>
      </c>
      <c r="G15393">
        <v>226</v>
      </c>
    </row>
    <row r="15394" spans="1:7">
      <c r="A15394" t="s">
        <v>1876</v>
      </c>
      <c r="B15394" t="s">
        <v>397</v>
      </c>
      <c r="C15394" t="s">
        <v>329</v>
      </c>
      <c r="D15394">
        <v>4378</v>
      </c>
      <c r="E15394">
        <v>5516</v>
      </c>
      <c r="F15394">
        <v>4689</v>
      </c>
      <c r="G15394">
        <v>4396</v>
      </c>
    </row>
    <row r="15395" spans="1:7">
      <c r="A15395" t="s">
        <v>1876</v>
      </c>
      <c r="B15395" t="s">
        <v>397</v>
      </c>
      <c r="C15395" t="s">
        <v>330</v>
      </c>
      <c r="D15395">
        <v>12028</v>
      </c>
      <c r="E15395">
        <v>12169</v>
      </c>
      <c r="F15395">
        <v>11060</v>
      </c>
      <c r="G15395">
        <v>10971</v>
      </c>
    </row>
    <row r="15396" spans="1:7">
      <c r="A15396" t="s">
        <v>1876</v>
      </c>
      <c r="B15396" t="s">
        <v>397</v>
      </c>
      <c r="C15396" t="s">
        <v>331</v>
      </c>
      <c r="D15396">
        <v>0</v>
      </c>
      <c r="E15396">
        <v>0</v>
      </c>
      <c r="F15396">
        <v>0</v>
      </c>
      <c r="G15396">
        <v>0</v>
      </c>
    </row>
    <row r="15397" spans="1:7">
      <c r="A15397" t="s">
        <v>1876</v>
      </c>
      <c r="B15397" t="s">
        <v>397</v>
      </c>
      <c r="C15397" t="s">
        <v>332</v>
      </c>
      <c r="D15397">
        <v>644</v>
      </c>
      <c r="E15397">
        <v>574</v>
      </c>
      <c r="F15397">
        <v>608</v>
      </c>
      <c r="G15397">
        <v>576</v>
      </c>
    </row>
    <row r="15398" spans="1:7">
      <c r="A15398" t="s">
        <v>1876</v>
      </c>
      <c r="B15398" t="s">
        <v>397</v>
      </c>
      <c r="C15398" t="s">
        <v>1724</v>
      </c>
      <c r="D15398">
        <v>9</v>
      </c>
      <c r="E15398">
        <v>9</v>
      </c>
      <c r="F15398">
        <v>8</v>
      </c>
      <c r="G15398">
        <v>8</v>
      </c>
    </row>
    <row r="15399" spans="1:7">
      <c r="A15399" t="s">
        <v>1876</v>
      </c>
      <c r="B15399" t="s">
        <v>397</v>
      </c>
      <c r="C15399" t="s">
        <v>333</v>
      </c>
      <c r="D15399">
        <v>16</v>
      </c>
      <c r="E15399">
        <v>2</v>
      </c>
      <c r="F15399">
        <v>2</v>
      </c>
      <c r="G15399">
        <v>2</v>
      </c>
    </row>
    <row r="15400" spans="1:7">
      <c r="A15400" t="s">
        <v>1876</v>
      </c>
      <c r="B15400" t="s">
        <v>397</v>
      </c>
      <c r="C15400" t="s">
        <v>334</v>
      </c>
      <c r="D15400">
        <v>660</v>
      </c>
      <c r="E15400">
        <v>577</v>
      </c>
      <c r="F15400">
        <v>611</v>
      </c>
      <c r="G15400">
        <v>579</v>
      </c>
    </row>
    <row r="15401" spans="1:7">
      <c r="A15401" t="s">
        <v>1876</v>
      </c>
      <c r="B15401" t="s">
        <v>397</v>
      </c>
      <c r="C15401" t="s">
        <v>335</v>
      </c>
      <c r="D15401">
        <v>968</v>
      </c>
      <c r="E15401">
        <v>1009</v>
      </c>
      <c r="F15401">
        <v>975</v>
      </c>
      <c r="G15401">
        <v>1027</v>
      </c>
    </row>
    <row r="15402" spans="1:7">
      <c r="A15402" t="s">
        <v>1876</v>
      </c>
      <c r="B15402" t="s">
        <v>397</v>
      </c>
      <c r="C15402" t="s">
        <v>336</v>
      </c>
      <c r="D15402">
        <v>7136</v>
      </c>
      <c r="E15402">
        <v>5993</v>
      </c>
      <c r="F15402">
        <v>5779</v>
      </c>
      <c r="G15402">
        <v>5900</v>
      </c>
    </row>
    <row r="15403" spans="1:7">
      <c r="A15403" t="s">
        <v>1876</v>
      </c>
      <c r="B15403" t="s">
        <v>397</v>
      </c>
      <c r="C15403" t="s">
        <v>337</v>
      </c>
      <c r="D15403">
        <v>206</v>
      </c>
      <c r="E15403">
        <v>228</v>
      </c>
      <c r="F15403">
        <v>228</v>
      </c>
      <c r="G15403">
        <v>228</v>
      </c>
    </row>
    <row r="15404" spans="1:7">
      <c r="A15404" t="s">
        <v>1876</v>
      </c>
      <c r="B15404" t="s">
        <v>397</v>
      </c>
      <c r="C15404" t="s">
        <v>338</v>
      </c>
      <c r="D15404">
        <v>12688</v>
      </c>
      <c r="E15404">
        <v>12746</v>
      </c>
      <c r="F15404">
        <v>11671</v>
      </c>
      <c r="G15404">
        <v>11550</v>
      </c>
    </row>
    <row r="15405" spans="1:7">
      <c r="A15405" t="s">
        <v>1876</v>
      </c>
      <c r="B15405" t="s">
        <v>397</v>
      </c>
      <c r="C15405" t="s">
        <v>339</v>
      </c>
      <c r="D15405">
        <v>5552</v>
      </c>
      <c r="E15405">
        <v>6753</v>
      </c>
      <c r="F15405">
        <v>5892</v>
      </c>
      <c r="G15405">
        <v>5650</v>
      </c>
    </row>
    <row r="15406" spans="1:7">
      <c r="A15406" t="s">
        <v>1876</v>
      </c>
      <c r="B15406" t="s">
        <v>397</v>
      </c>
      <c r="C15406" t="s">
        <v>340</v>
      </c>
      <c r="D15406">
        <v>0</v>
      </c>
      <c r="E15406">
        <v>0</v>
      </c>
      <c r="F15406">
        <v>0</v>
      </c>
      <c r="G15406">
        <v>0</v>
      </c>
    </row>
    <row r="15407" spans="1:7">
      <c r="A15407" t="s">
        <v>1876</v>
      </c>
      <c r="B15407" t="s">
        <v>397</v>
      </c>
      <c r="C15407" t="s">
        <v>1955</v>
      </c>
      <c r="D15407">
        <v>25.7</v>
      </c>
      <c r="E15407">
        <v>31.1</v>
      </c>
      <c r="F15407">
        <v>25.8</v>
      </c>
      <c r="G15407">
        <v>26.9</v>
      </c>
    </row>
    <row r="15408" spans="1:7">
      <c r="A15408" t="s">
        <v>1876</v>
      </c>
      <c r="B15408" t="s">
        <v>397</v>
      </c>
      <c r="C15408" t="s">
        <v>341</v>
      </c>
      <c r="D15408">
        <v>0</v>
      </c>
      <c r="E15408">
        <v>0</v>
      </c>
      <c r="F15408">
        <v>0</v>
      </c>
      <c r="G15408">
        <v>0</v>
      </c>
    </row>
    <row r="15409" spans="1:7">
      <c r="A15409" t="s">
        <v>1876</v>
      </c>
      <c r="B15409" t="s">
        <v>397</v>
      </c>
      <c r="C15409" t="s">
        <v>342</v>
      </c>
      <c r="D15409">
        <v>1154</v>
      </c>
      <c r="E15409">
        <v>1396</v>
      </c>
      <c r="F15409">
        <v>1159</v>
      </c>
      <c r="G15409">
        <v>1212</v>
      </c>
    </row>
    <row r="15410" spans="1:7">
      <c r="A15410" t="s">
        <v>1876</v>
      </c>
      <c r="B15410" t="s">
        <v>397</v>
      </c>
      <c r="C15410" t="s">
        <v>1725</v>
      </c>
      <c r="D15410">
        <v>150</v>
      </c>
      <c r="E15410">
        <v>150</v>
      </c>
      <c r="F15410">
        <v>150</v>
      </c>
      <c r="G15410">
        <v>150</v>
      </c>
    </row>
    <row r="15411" spans="1:7">
      <c r="A15411" t="s">
        <v>1876</v>
      </c>
      <c r="B15411" t="s">
        <v>397</v>
      </c>
      <c r="C15411" t="s">
        <v>343</v>
      </c>
      <c r="D15411">
        <v>0</v>
      </c>
      <c r="E15411">
        <v>0</v>
      </c>
      <c r="F15411">
        <v>0</v>
      </c>
      <c r="G15411">
        <v>0</v>
      </c>
    </row>
    <row r="15412" spans="1:7">
      <c r="A15412" t="s">
        <v>1876</v>
      </c>
      <c r="B15412" t="s">
        <v>397</v>
      </c>
      <c r="C15412" t="s">
        <v>344</v>
      </c>
      <c r="D15412">
        <v>1154</v>
      </c>
      <c r="E15412">
        <v>1396</v>
      </c>
      <c r="F15412">
        <v>1159</v>
      </c>
      <c r="G15412">
        <v>1212</v>
      </c>
    </row>
    <row r="15413" spans="1:7">
      <c r="A15413" t="s">
        <v>1876</v>
      </c>
      <c r="B15413" t="s">
        <v>397</v>
      </c>
      <c r="C15413" t="s">
        <v>345</v>
      </c>
      <c r="D15413">
        <v>0</v>
      </c>
      <c r="E15413">
        <v>0</v>
      </c>
      <c r="F15413">
        <v>0</v>
      </c>
      <c r="G15413">
        <v>0</v>
      </c>
    </row>
    <row r="15414" spans="1:7">
      <c r="A15414" t="s">
        <v>1876</v>
      </c>
      <c r="B15414" t="s">
        <v>397</v>
      </c>
      <c r="C15414" t="s">
        <v>1956</v>
      </c>
      <c r="D15414">
        <v>644</v>
      </c>
      <c r="E15414">
        <v>574</v>
      </c>
      <c r="F15414">
        <v>608</v>
      </c>
      <c r="G15414">
        <v>576</v>
      </c>
    </row>
    <row r="15415" spans="1:7">
      <c r="A15415" t="s">
        <v>1876</v>
      </c>
      <c r="B15415" t="s">
        <v>397</v>
      </c>
      <c r="C15415" t="s">
        <v>1957</v>
      </c>
      <c r="D15415">
        <v>660</v>
      </c>
      <c r="E15415">
        <v>577</v>
      </c>
      <c r="F15415">
        <v>611</v>
      </c>
      <c r="G15415">
        <v>579</v>
      </c>
    </row>
    <row r="15416" spans="1:7">
      <c r="A15416" t="s">
        <v>1876</v>
      </c>
      <c r="B15416" t="s">
        <v>397</v>
      </c>
      <c r="C15416" t="s">
        <v>346</v>
      </c>
      <c r="D15416">
        <v>298</v>
      </c>
      <c r="E15416">
        <v>294</v>
      </c>
      <c r="F15416">
        <v>265</v>
      </c>
      <c r="G15416">
        <v>368</v>
      </c>
    </row>
    <row r="15417" spans="1:7">
      <c r="A15417" t="s">
        <v>1876</v>
      </c>
      <c r="B15417" t="s">
        <v>397</v>
      </c>
      <c r="C15417" t="s">
        <v>347</v>
      </c>
      <c r="D15417">
        <v>7426</v>
      </c>
      <c r="E15417">
        <v>7715</v>
      </c>
      <c r="F15417">
        <v>7107</v>
      </c>
      <c r="G15417">
        <v>7035</v>
      </c>
    </row>
    <row r="15418" spans="1:7">
      <c r="A15418" t="s">
        <v>1876</v>
      </c>
      <c r="B15418" t="s">
        <v>398</v>
      </c>
      <c r="C15418" t="s">
        <v>133</v>
      </c>
      <c r="D15418">
        <v>-31</v>
      </c>
      <c r="E15418">
        <v>-24</v>
      </c>
      <c r="F15418">
        <v>-23</v>
      </c>
      <c r="G15418">
        <v>-37</v>
      </c>
    </row>
    <row r="15419" spans="1:7">
      <c r="A15419" t="s">
        <v>1876</v>
      </c>
      <c r="B15419" t="s">
        <v>398</v>
      </c>
      <c r="C15419" t="s">
        <v>134</v>
      </c>
      <c r="D15419">
        <v>12807</v>
      </c>
      <c r="E15419">
        <v>12572</v>
      </c>
      <c r="F15419">
        <v>11452</v>
      </c>
      <c r="G15419">
        <v>14585</v>
      </c>
    </row>
    <row r="15420" spans="1:7">
      <c r="A15420" t="s">
        <v>1876</v>
      </c>
      <c r="B15420" t="s">
        <v>398</v>
      </c>
      <c r="C15420" t="s">
        <v>135</v>
      </c>
      <c r="D15420">
        <v>12807</v>
      </c>
      <c r="E15420">
        <v>12572</v>
      </c>
      <c r="F15420">
        <v>11452</v>
      </c>
      <c r="G15420">
        <v>14585</v>
      </c>
    </row>
    <row r="15421" spans="1:7">
      <c r="A15421" t="s">
        <v>1876</v>
      </c>
      <c r="B15421" t="s">
        <v>398</v>
      </c>
      <c r="C15421" t="s">
        <v>136</v>
      </c>
      <c r="D15421">
        <v>12807</v>
      </c>
      <c r="E15421">
        <v>12572</v>
      </c>
      <c r="F15421">
        <v>11452</v>
      </c>
      <c r="G15421">
        <v>14585</v>
      </c>
    </row>
    <row r="15422" spans="1:7">
      <c r="A15422" t="s">
        <v>1876</v>
      </c>
      <c r="B15422" t="s">
        <v>398</v>
      </c>
      <c r="C15422" t="s">
        <v>137</v>
      </c>
      <c r="D15422">
        <v>563</v>
      </c>
      <c r="E15422">
        <v>582</v>
      </c>
      <c r="F15422">
        <v>553</v>
      </c>
      <c r="G15422">
        <v>595</v>
      </c>
    </row>
    <row r="15423" spans="1:7">
      <c r="A15423" t="s">
        <v>1876</v>
      </c>
      <c r="B15423" t="s">
        <v>398</v>
      </c>
      <c r="C15423" t="s">
        <v>138</v>
      </c>
      <c r="D15423">
        <v>563</v>
      </c>
      <c r="E15423">
        <v>582</v>
      </c>
      <c r="F15423">
        <v>553</v>
      </c>
      <c r="G15423">
        <v>595</v>
      </c>
    </row>
    <row r="15424" spans="1:7">
      <c r="A15424" t="s">
        <v>1876</v>
      </c>
      <c r="B15424" t="s">
        <v>398</v>
      </c>
      <c r="C15424" t="s">
        <v>139</v>
      </c>
      <c r="D15424">
        <v>563</v>
      </c>
      <c r="E15424">
        <v>582</v>
      </c>
      <c r="F15424">
        <v>553</v>
      </c>
      <c r="G15424">
        <v>595</v>
      </c>
    </row>
    <row r="15425" spans="1:7">
      <c r="A15425" t="s">
        <v>1876</v>
      </c>
      <c r="B15425" t="s">
        <v>398</v>
      </c>
      <c r="C15425" t="s">
        <v>1877</v>
      </c>
      <c r="D15425">
        <v>0</v>
      </c>
      <c r="E15425">
        <v>0</v>
      </c>
      <c r="F15425">
        <v>669</v>
      </c>
      <c r="G15425">
        <v>1091</v>
      </c>
    </row>
    <row r="15426" spans="1:7">
      <c r="A15426" t="s">
        <v>1876</v>
      </c>
      <c r="B15426" t="s">
        <v>398</v>
      </c>
      <c r="C15426" t="s">
        <v>1700</v>
      </c>
      <c r="D15426">
        <v>0</v>
      </c>
      <c r="E15426">
        <v>0</v>
      </c>
      <c r="F15426">
        <v>10473</v>
      </c>
      <c r="G15426">
        <v>23615</v>
      </c>
    </row>
    <row r="15427" spans="1:7">
      <c r="A15427" t="s">
        <v>1876</v>
      </c>
      <c r="B15427" t="s">
        <v>398</v>
      </c>
      <c r="C15427" t="s">
        <v>1878</v>
      </c>
      <c r="D15427">
        <v>0</v>
      </c>
      <c r="E15427">
        <v>0</v>
      </c>
      <c r="F15427">
        <v>9804</v>
      </c>
      <c r="G15427">
        <v>22524</v>
      </c>
    </row>
    <row r="15428" spans="1:7">
      <c r="A15428" t="s">
        <v>1876</v>
      </c>
      <c r="B15428" t="s">
        <v>398</v>
      </c>
      <c r="C15428" t="s">
        <v>1879</v>
      </c>
      <c r="D15428">
        <v>0</v>
      </c>
      <c r="E15428">
        <v>0</v>
      </c>
      <c r="F15428">
        <v>669</v>
      </c>
      <c r="G15428">
        <v>1091</v>
      </c>
    </row>
    <row r="15429" spans="1:7">
      <c r="A15429" t="s">
        <v>1876</v>
      </c>
      <c r="B15429" t="s">
        <v>398</v>
      </c>
      <c r="C15429" t="s">
        <v>1701</v>
      </c>
      <c r="D15429">
        <v>0</v>
      </c>
      <c r="E15429">
        <v>0</v>
      </c>
      <c r="F15429">
        <v>10473</v>
      </c>
      <c r="G15429">
        <v>23615</v>
      </c>
    </row>
    <row r="15430" spans="1:7">
      <c r="A15430" t="s">
        <v>1876</v>
      </c>
      <c r="B15430" t="s">
        <v>398</v>
      </c>
      <c r="C15430" t="s">
        <v>1880</v>
      </c>
      <c r="D15430">
        <v>960</v>
      </c>
      <c r="E15430">
        <v>948</v>
      </c>
      <c r="F15430">
        <v>690</v>
      </c>
      <c r="G15430">
        <v>1185</v>
      </c>
    </row>
    <row r="15431" spans="1:7">
      <c r="A15431" t="s">
        <v>1876</v>
      </c>
      <c r="B15431" t="s">
        <v>398</v>
      </c>
      <c r="C15431" t="s">
        <v>140</v>
      </c>
      <c r="D15431">
        <v>2255</v>
      </c>
      <c r="E15431">
        <v>2291</v>
      </c>
      <c r="F15431">
        <v>1861</v>
      </c>
      <c r="G15431">
        <v>3377</v>
      </c>
    </row>
    <row r="15432" spans="1:7">
      <c r="A15432" t="s">
        <v>1876</v>
      </c>
      <c r="B15432" t="s">
        <v>398</v>
      </c>
      <c r="C15432" t="s">
        <v>1881</v>
      </c>
      <c r="D15432">
        <v>1295</v>
      </c>
      <c r="E15432">
        <v>1343</v>
      </c>
      <c r="F15432">
        <v>1171</v>
      </c>
      <c r="G15432">
        <v>2193</v>
      </c>
    </row>
    <row r="15433" spans="1:7">
      <c r="A15433" t="s">
        <v>1876</v>
      </c>
      <c r="B15433" t="s">
        <v>398</v>
      </c>
      <c r="C15433" t="s">
        <v>1882</v>
      </c>
      <c r="D15433">
        <v>0</v>
      </c>
      <c r="E15433">
        <v>0</v>
      </c>
      <c r="F15433">
        <v>0</v>
      </c>
      <c r="G15433">
        <v>0</v>
      </c>
    </row>
    <row r="15434" spans="1:7">
      <c r="A15434" t="s">
        <v>1876</v>
      </c>
      <c r="B15434" t="s">
        <v>398</v>
      </c>
      <c r="C15434" t="s">
        <v>1883</v>
      </c>
      <c r="D15434">
        <v>0</v>
      </c>
      <c r="E15434">
        <v>0</v>
      </c>
      <c r="F15434">
        <v>0</v>
      </c>
      <c r="G15434">
        <v>0</v>
      </c>
    </row>
    <row r="15435" spans="1:7">
      <c r="A15435" t="s">
        <v>1876</v>
      </c>
      <c r="B15435" t="s">
        <v>398</v>
      </c>
      <c r="C15435" t="s">
        <v>1884</v>
      </c>
      <c r="D15435">
        <v>0</v>
      </c>
      <c r="E15435">
        <v>0</v>
      </c>
      <c r="F15435">
        <v>0</v>
      </c>
      <c r="G15435">
        <v>0</v>
      </c>
    </row>
    <row r="15436" spans="1:7">
      <c r="A15436" t="s">
        <v>1876</v>
      </c>
      <c r="B15436" t="s">
        <v>398</v>
      </c>
      <c r="C15436" t="s">
        <v>1885</v>
      </c>
      <c r="D15436">
        <v>0</v>
      </c>
      <c r="E15436">
        <v>0</v>
      </c>
      <c r="F15436">
        <v>0</v>
      </c>
      <c r="G15436">
        <v>0</v>
      </c>
    </row>
    <row r="15437" spans="1:7">
      <c r="A15437" t="s">
        <v>1876</v>
      </c>
      <c r="B15437" t="s">
        <v>398</v>
      </c>
      <c r="C15437" t="s">
        <v>1886</v>
      </c>
      <c r="D15437">
        <v>0</v>
      </c>
      <c r="E15437">
        <v>0</v>
      </c>
      <c r="F15437">
        <v>0</v>
      </c>
      <c r="G15437">
        <v>0</v>
      </c>
    </row>
    <row r="15438" spans="1:7">
      <c r="A15438" t="s">
        <v>1876</v>
      </c>
      <c r="B15438" t="s">
        <v>398</v>
      </c>
      <c r="C15438" t="s">
        <v>141</v>
      </c>
      <c r="D15438">
        <v>125</v>
      </c>
      <c r="E15438">
        <v>144</v>
      </c>
      <c r="F15438">
        <v>150</v>
      </c>
      <c r="G15438">
        <v>171</v>
      </c>
    </row>
    <row r="15439" spans="1:7">
      <c r="A15439" t="s">
        <v>1876</v>
      </c>
      <c r="B15439" t="s">
        <v>398</v>
      </c>
      <c r="C15439" t="s">
        <v>1887</v>
      </c>
      <c r="D15439">
        <v>0</v>
      </c>
      <c r="E15439">
        <v>0</v>
      </c>
      <c r="F15439">
        <v>0</v>
      </c>
      <c r="G15439">
        <v>0</v>
      </c>
    </row>
    <row r="15440" spans="1:7">
      <c r="A15440" t="s">
        <v>1876</v>
      </c>
      <c r="B15440" t="s">
        <v>398</v>
      </c>
      <c r="C15440" t="s">
        <v>1888</v>
      </c>
      <c r="D15440">
        <v>0</v>
      </c>
      <c r="E15440">
        <v>0</v>
      </c>
      <c r="F15440">
        <v>0</v>
      </c>
      <c r="G15440">
        <v>0</v>
      </c>
    </row>
    <row r="15441" spans="1:7">
      <c r="A15441" t="s">
        <v>1876</v>
      </c>
      <c r="B15441" t="s">
        <v>398</v>
      </c>
      <c r="C15441" t="s">
        <v>1889</v>
      </c>
      <c r="D15441">
        <v>960</v>
      </c>
      <c r="E15441">
        <v>948</v>
      </c>
      <c r="F15441">
        <v>690</v>
      </c>
      <c r="G15441">
        <v>1185</v>
      </c>
    </row>
    <row r="15442" spans="1:7">
      <c r="A15442" t="s">
        <v>1876</v>
      </c>
      <c r="B15442" t="s">
        <v>398</v>
      </c>
      <c r="C15442" t="s">
        <v>1890</v>
      </c>
      <c r="D15442">
        <v>0</v>
      </c>
      <c r="E15442">
        <v>0</v>
      </c>
      <c r="F15442">
        <v>0</v>
      </c>
      <c r="G15442">
        <v>0</v>
      </c>
    </row>
    <row r="15443" spans="1:7">
      <c r="A15443" t="s">
        <v>1876</v>
      </c>
      <c r="B15443" t="s">
        <v>398</v>
      </c>
      <c r="C15443" t="s">
        <v>1891</v>
      </c>
    </row>
    <row r="15444" spans="1:7">
      <c r="A15444" t="s">
        <v>1876</v>
      </c>
      <c r="B15444" t="s">
        <v>398</v>
      </c>
      <c r="C15444" t="s">
        <v>1892</v>
      </c>
      <c r="D15444">
        <v>1295</v>
      </c>
      <c r="E15444">
        <v>1343</v>
      </c>
      <c r="F15444">
        <v>1171</v>
      </c>
      <c r="G15444">
        <v>2193</v>
      </c>
    </row>
    <row r="15445" spans="1:7">
      <c r="A15445" t="s">
        <v>1876</v>
      </c>
      <c r="B15445" t="s">
        <v>398</v>
      </c>
      <c r="C15445" t="s">
        <v>142</v>
      </c>
      <c r="D15445">
        <v>2255</v>
      </c>
      <c r="E15445">
        <v>2291</v>
      </c>
      <c r="F15445">
        <v>1861</v>
      </c>
      <c r="G15445">
        <v>3377</v>
      </c>
    </row>
    <row r="15446" spans="1:7">
      <c r="A15446" t="s">
        <v>1876</v>
      </c>
      <c r="B15446" t="s">
        <v>398</v>
      </c>
      <c r="C15446" t="s">
        <v>1893</v>
      </c>
      <c r="D15446">
        <v>2255</v>
      </c>
      <c r="E15446">
        <v>2291</v>
      </c>
      <c r="F15446">
        <v>1861</v>
      </c>
      <c r="G15446">
        <v>3377</v>
      </c>
    </row>
    <row r="15447" spans="1:7">
      <c r="A15447" t="s">
        <v>1876</v>
      </c>
      <c r="B15447" t="s">
        <v>398</v>
      </c>
      <c r="C15447" t="s">
        <v>1894</v>
      </c>
      <c r="D15447">
        <v>1295</v>
      </c>
      <c r="E15447">
        <v>1343</v>
      </c>
      <c r="F15447">
        <v>1171</v>
      </c>
      <c r="G15447">
        <v>2193</v>
      </c>
    </row>
    <row r="15448" spans="1:7">
      <c r="A15448" t="s">
        <v>1876</v>
      </c>
      <c r="B15448" t="s">
        <v>398</v>
      </c>
      <c r="C15448" t="s">
        <v>143</v>
      </c>
      <c r="D15448">
        <v>125</v>
      </c>
      <c r="E15448">
        <v>144</v>
      </c>
      <c r="F15448">
        <v>150</v>
      </c>
      <c r="G15448">
        <v>171</v>
      </c>
    </row>
    <row r="15449" spans="1:7">
      <c r="A15449" t="s">
        <v>1876</v>
      </c>
      <c r="B15449" t="s">
        <v>398</v>
      </c>
      <c r="C15449" t="s">
        <v>144</v>
      </c>
      <c r="D15449">
        <v>24823</v>
      </c>
      <c r="E15449">
        <v>25064</v>
      </c>
      <c r="F15449">
        <v>35600</v>
      </c>
      <c r="G15449">
        <v>50050</v>
      </c>
    </row>
    <row r="15450" spans="1:7">
      <c r="A15450" t="s">
        <v>1876</v>
      </c>
      <c r="B15450" t="s">
        <v>398</v>
      </c>
      <c r="C15450" t="s">
        <v>1895</v>
      </c>
      <c r="D15450">
        <v>60.5</v>
      </c>
      <c r="E15450">
        <v>53.1</v>
      </c>
      <c r="F15450">
        <v>52.1</v>
      </c>
      <c r="G15450">
        <v>55.4</v>
      </c>
    </row>
    <row r="15451" spans="1:7">
      <c r="A15451" t="s">
        <v>1876</v>
      </c>
      <c r="B15451" t="s">
        <v>398</v>
      </c>
      <c r="C15451" t="s">
        <v>145</v>
      </c>
      <c r="D15451">
        <v>116292</v>
      </c>
      <c r="E15451">
        <v>124335</v>
      </c>
      <c r="F15451">
        <v>131794</v>
      </c>
      <c r="G15451">
        <v>141472</v>
      </c>
    </row>
    <row r="15452" spans="1:7">
      <c r="A15452" t="s">
        <v>1876</v>
      </c>
      <c r="B15452" t="s">
        <v>398</v>
      </c>
      <c r="C15452" t="s">
        <v>146</v>
      </c>
      <c r="D15452">
        <v>0</v>
      </c>
      <c r="E15452">
        <v>0</v>
      </c>
      <c r="F15452">
        <v>0</v>
      </c>
      <c r="G15452">
        <v>0</v>
      </c>
    </row>
    <row r="15453" spans="1:7">
      <c r="A15453" t="s">
        <v>1876</v>
      </c>
      <c r="B15453" t="s">
        <v>398</v>
      </c>
      <c r="C15453" t="s">
        <v>147</v>
      </c>
      <c r="D15453">
        <v>0</v>
      </c>
      <c r="E15453">
        <v>0</v>
      </c>
      <c r="F15453">
        <v>0</v>
      </c>
      <c r="G15453">
        <v>0</v>
      </c>
    </row>
    <row r="15454" spans="1:7">
      <c r="A15454" t="s">
        <v>1876</v>
      </c>
      <c r="B15454" t="s">
        <v>398</v>
      </c>
      <c r="C15454" t="s">
        <v>1896</v>
      </c>
      <c r="D15454">
        <v>1.2</v>
      </c>
      <c r="E15454">
        <v>1.8</v>
      </c>
      <c r="F15454">
        <v>2.2000000000000002</v>
      </c>
      <c r="G15454">
        <v>1.9</v>
      </c>
    </row>
    <row r="15455" spans="1:7">
      <c r="A15455" t="s">
        <v>1876</v>
      </c>
      <c r="B15455" t="s">
        <v>398</v>
      </c>
      <c r="C15455" t="s">
        <v>1702</v>
      </c>
      <c r="D15455">
        <v>6</v>
      </c>
      <c r="E15455">
        <v>6</v>
      </c>
      <c r="F15455">
        <v>6</v>
      </c>
      <c r="G15455">
        <v>6</v>
      </c>
    </row>
    <row r="15456" spans="1:7">
      <c r="A15456" t="s">
        <v>1876</v>
      </c>
      <c r="B15456" t="s">
        <v>398</v>
      </c>
      <c r="C15456" t="s">
        <v>1897</v>
      </c>
      <c r="D15456">
        <v>64.599999999999994</v>
      </c>
      <c r="E15456">
        <v>87.4</v>
      </c>
      <c r="F15456">
        <v>145.6</v>
      </c>
      <c r="G15456">
        <v>184.9</v>
      </c>
    </row>
    <row r="15457" spans="1:7">
      <c r="A15457" t="s">
        <v>1876</v>
      </c>
      <c r="B15457" t="s">
        <v>398</v>
      </c>
      <c r="C15457" t="s">
        <v>1898</v>
      </c>
      <c r="D15457">
        <v>110</v>
      </c>
      <c r="E15457">
        <v>162</v>
      </c>
      <c r="F15457">
        <v>453</v>
      </c>
      <c r="G15457">
        <v>633</v>
      </c>
    </row>
    <row r="15458" spans="1:7">
      <c r="A15458" t="s">
        <v>1876</v>
      </c>
      <c r="B15458" t="s">
        <v>398</v>
      </c>
      <c r="C15458" t="s">
        <v>1899</v>
      </c>
      <c r="D15458">
        <v>1295</v>
      </c>
      <c r="E15458">
        <v>1343</v>
      </c>
      <c r="F15458">
        <v>10975</v>
      </c>
      <c r="G15458">
        <v>24717</v>
      </c>
    </row>
    <row r="15459" spans="1:7">
      <c r="A15459" t="s">
        <v>1876</v>
      </c>
      <c r="B15459" t="s">
        <v>398</v>
      </c>
      <c r="C15459" t="s">
        <v>148</v>
      </c>
      <c r="D15459">
        <v>0</v>
      </c>
      <c r="E15459">
        <v>0</v>
      </c>
      <c r="F15459">
        <v>0</v>
      </c>
      <c r="G15459">
        <v>0</v>
      </c>
    </row>
    <row r="15460" spans="1:7">
      <c r="A15460" t="s">
        <v>1876</v>
      </c>
      <c r="B15460" t="s">
        <v>398</v>
      </c>
      <c r="C15460" t="s">
        <v>149</v>
      </c>
      <c r="D15460">
        <v>0</v>
      </c>
      <c r="E15460">
        <v>0</v>
      </c>
      <c r="F15460">
        <v>0</v>
      </c>
      <c r="G15460">
        <v>0</v>
      </c>
    </row>
    <row r="15461" spans="1:7">
      <c r="A15461" t="s">
        <v>1876</v>
      </c>
      <c r="B15461" t="s">
        <v>398</v>
      </c>
      <c r="C15461" t="s">
        <v>150</v>
      </c>
      <c r="D15461">
        <v>0</v>
      </c>
      <c r="E15461">
        <v>0</v>
      </c>
      <c r="F15461">
        <v>0</v>
      </c>
      <c r="G15461">
        <v>0</v>
      </c>
    </row>
    <row r="15462" spans="1:7">
      <c r="A15462" t="s">
        <v>1876</v>
      </c>
      <c r="B15462" t="s">
        <v>398</v>
      </c>
      <c r="C15462" t="s">
        <v>1900</v>
      </c>
      <c r="D15462">
        <v>53.1</v>
      </c>
      <c r="E15462">
        <v>60.6</v>
      </c>
      <c r="F15462">
        <v>70.599999999999994</v>
      </c>
      <c r="G15462">
        <v>48.1</v>
      </c>
    </row>
    <row r="15463" spans="1:7">
      <c r="A15463" t="s">
        <v>1876</v>
      </c>
      <c r="B15463" t="s">
        <v>398</v>
      </c>
      <c r="C15463" t="s">
        <v>151</v>
      </c>
      <c r="D15463">
        <v>0</v>
      </c>
      <c r="E15463">
        <v>0</v>
      </c>
      <c r="F15463">
        <v>0</v>
      </c>
      <c r="G15463">
        <v>0</v>
      </c>
    </row>
    <row r="15464" spans="1:7">
      <c r="A15464" t="s">
        <v>1876</v>
      </c>
      <c r="B15464" t="s">
        <v>398</v>
      </c>
      <c r="C15464" t="s">
        <v>152</v>
      </c>
      <c r="D15464">
        <v>35465</v>
      </c>
      <c r="E15464">
        <v>40778</v>
      </c>
      <c r="F15464">
        <v>48116</v>
      </c>
      <c r="G15464">
        <v>33183</v>
      </c>
    </row>
    <row r="15465" spans="1:7">
      <c r="A15465" t="s">
        <v>1876</v>
      </c>
      <c r="B15465" t="s">
        <v>398</v>
      </c>
      <c r="C15465" t="s">
        <v>1703</v>
      </c>
      <c r="D15465">
        <v>670</v>
      </c>
      <c r="E15465">
        <v>670</v>
      </c>
      <c r="F15465">
        <v>670</v>
      </c>
      <c r="G15465">
        <v>670</v>
      </c>
    </row>
    <row r="15466" spans="1:7">
      <c r="A15466" t="s">
        <v>1876</v>
      </c>
      <c r="B15466" t="s">
        <v>398</v>
      </c>
      <c r="C15466" t="s">
        <v>153</v>
      </c>
      <c r="D15466">
        <v>1478</v>
      </c>
      <c r="E15466">
        <v>1460</v>
      </c>
      <c r="F15466">
        <v>1406</v>
      </c>
      <c r="G15466">
        <v>1289</v>
      </c>
    </row>
    <row r="15467" spans="1:7">
      <c r="A15467" t="s">
        <v>1876</v>
      </c>
      <c r="B15467" t="s">
        <v>398</v>
      </c>
      <c r="C15467" t="s">
        <v>154</v>
      </c>
      <c r="D15467">
        <v>0</v>
      </c>
      <c r="E15467">
        <v>0</v>
      </c>
      <c r="F15467">
        <v>0</v>
      </c>
      <c r="G15467">
        <v>0</v>
      </c>
    </row>
    <row r="15468" spans="1:7">
      <c r="A15468" t="s">
        <v>1876</v>
      </c>
      <c r="B15468" t="s">
        <v>398</v>
      </c>
      <c r="C15468" t="s">
        <v>155</v>
      </c>
      <c r="D15468">
        <v>1478</v>
      </c>
      <c r="E15468">
        <v>1460</v>
      </c>
      <c r="F15468">
        <v>1406</v>
      </c>
      <c r="G15468">
        <v>1289</v>
      </c>
    </row>
    <row r="15469" spans="1:7">
      <c r="A15469" t="s">
        <v>1876</v>
      </c>
      <c r="B15469" t="s">
        <v>398</v>
      </c>
      <c r="C15469" t="s">
        <v>156</v>
      </c>
      <c r="D15469">
        <v>0</v>
      </c>
      <c r="E15469">
        <v>0</v>
      </c>
      <c r="F15469">
        <v>0</v>
      </c>
      <c r="G15469">
        <v>0</v>
      </c>
    </row>
    <row r="15470" spans="1:7">
      <c r="A15470" t="s">
        <v>1876</v>
      </c>
      <c r="B15470" t="s">
        <v>398</v>
      </c>
      <c r="C15470" t="s">
        <v>157</v>
      </c>
      <c r="D15470">
        <v>36943</v>
      </c>
      <c r="E15470">
        <v>42238</v>
      </c>
      <c r="F15470">
        <v>49523</v>
      </c>
      <c r="G15470">
        <v>34472</v>
      </c>
    </row>
    <row r="15471" spans="1:7">
      <c r="A15471" t="s">
        <v>1876</v>
      </c>
      <c r="B15471" t="s">
        <v>398</v>
      </c>
      <c r="C15471" t="s">
        <v>158</v>
      </c>
      <c r="D15471">
        <v>1478</v>
      </c>
      <c r="E15471">
        <v>1460</v>
      </c>
      <c r="F15471">
        <v>1406</v>
      </c>
      <c r="G15471">
        <v>1289</v>
      </c>
    </row>
    <row r="15472" spans="1:7">
      <c r="A15472" t="s">
        <v>1876</v>
      </c>
      <c r="B15472" t="s">
        <v>398</v>
      </c>
      <c r="C15472" t="s">
        <v>159</v>
      </c>
      <c r="D15472">
        <v>0</v>
      </c>
      <c r="E15472">
        <v>0</v>
      </c>
      <c r="F15472">
        <v>0</v>
      </c>
      <c r="G15472">
        <v>0</v>
      </c>
    </row>
    <row r="15473" spans="1:7">
      <c r="A15473" t="s">
        <v>1876</v>
      </c>
      <c r="B15473" t="s">
        <v>398</v>
      </c>
      <c r="C15473" t="s">
        <v>1901</v>
      </c>
      <c r="D15473">
        <v>66.2</v>
      </c>
      <c r="E15473">
        <v>57.9</v>
      </c>
      <c r="F15473">
        <v>73.599999999999994</v>
      </c>
      <c r="G15473">
        <v>70.2</v>
      </c>
    </row>
    <row r="15474" spans="1:7">
      <c r="A15474" t="s">
        <v>1876</v>
      </c>
      <c r="B15474" t="s">
        <v>398</v>
      </c>
      <c r="C15474" t="s">
        <v>1902</v>
      </c>
      <c r="D15474">
        <v>122629</v>
      </c>
      <c r="E15474">
        <v>124589</v>
      </c>
      <c r="F15474">
        <v>121819</v>
      </c>
      <c r="G15474">
        <v>132390</v>
      </c>
    </row>
    <row r="15475" spans="1:7">
      <c r="A15475" t="s">
        <v>1876</v>
      </c>
      <c r="B15475" t="s">
        <v>398</v>
      </c>
      <c r="C15475" t="s">
        <v>1903</v>
      </c>
      <c r="D15475">
        <v>6826</v>
      </c>
      <c r="E15475">
        <v>6679</v>
      </c>
      <c r="F15475">
        <v>6715</v>
      </c>
      <c r="G15475">
        <v>6530</v>
      </c>
    </row>
    <row r="15476" spans="1:7">
      <c r="A15476" t="s">
        <v>1876</v>
      </c>
      <c r="B15476" t="s">
        <v>398</v>
      </c>
      <c r="C15476" t="s">
        <v>1904</v>
      </c>
      <c r="D15476">
        <v>128</v>
      </c>
      <c r="E15476">
        <v>267</v>
      </c>
      <c r="F15476">
        <v>242</v>
      </c>
      <c r="G15476">
        <v>573</v>
      </c>
    </row>
    <row r="15477" spans="1:7">
      <c r="A15477" t="s">
        <v>1876</v>
      </c>
      <c r="B15477" t="s">
        <v>398</v>
      </c>
      <c r="C15477" t="s">
        <v>1905</v>
      </c>
      <c r="D15477">
        <v>20216</v>
      </c>
      <c r="E15477">
        <v>20436</v>
      </c>
      <c r="F15477">
        <v>19946</v>
      </c>
      <c r="G15477">
        <v>19355</v>
      </c>
    </row>
    <row r="15478" spans="1:7">
      <c r="A15478" t="s">
        <v>1876</v>
      </c>
      <c r="B15478" t="s">
        <v>398</v>
      </c>
      <c r="C15478" t="s">
        <v>1906</v>
      </c>
      <c r="D15478">
        <v>4102</v>
      </c>
      <c r="E15478">
        <v>4066</v>
      </c>
      <c r="F15478">
        <v>4086</v>
      </c>
      <c r="G15478">
        <v>3887</v>
      </c>
    </row>
    <row r="15479" spans="1:7">
      <c r="A15479" t="s">
        <v>1876</v>
      </c>
      <c r="B15479" t="s">
        <v>398</v>
      </c>
      <c r="C15479" t="s">
        <v>1907</v>
      </c>
      <c r="D15479">
        <v>153900</v>
      </c>
      <c r="E15479">
        <v>156036</v>
      </c>
      <c r="F15479">
        <v>152807</v>
      </c>
      <c r="G15479">
        <v>162736</v>
      </c>
    </row>
    <row r="15480" spans="1:7">
      <c r="A15480" t="s">
        <v>1876</v>
      </c>
      <c r="B15480" t="s">
        <v>398</v>
      </c>
      <c r="C15480" t="s">
        <v>160</v>
      </c>
      <c r="D15480">
        <v>121333</v>
      </c>
      <c r="E15480">
        <v>123246</v>
      </c>
      <c r="F15480">
        <v>110844</v>
      </c>
      <c r="G15480">
        <v>107673</v>
      </c>
    </row>
    <row r="15481" spans="1:7">
      <c r="A15481" t="s">
        <v>1876</v>
      </c>
      <c r="B15481" t="s">
        <v>398</v>
      </c>
      <c r="C15481" t="s">
        <v>161</v>
      </c>
      <c r="D15481">
        <v>6826</v>
      </c>
      <c r="E15481">
        <v>6679</v>
      </c>
      <c r="F15481">
        <v>6715</v>
      </c>
      <c r="G15481">
        <v>6530</v>
      </c>
    </row>
    <row r="15482" spans="1:7">
      <c r="A15482" t="s">
        <v>1876</v>
      </c>
      <c r="B15482" t="s">
        <v>398</v>
      </c>
      <c r="C15482" t="s">
        <v>162</v>
      </c>
      <c r="D15482">
        <v>128</v>
      </c>
      <c r="E15482">
        <v>267</v>
      </c>
      <c r="F15482">
        <v>242</v>
      </c>
      <c r="G15482">
        <v>573</v>
      </c>
    </row>
    <row r="15483" spans="1:7">
      <c r="A15483" t="s">
        <v>1876</v>
      </c>
      <c r="B15483" t="s">
        <v>398</v>
      </c>
      <c r="C15483" t="s">
        <v>163</v>
      </c>
      <c r="D15483">
        <v>20216</v>
      </c>
      <c r="E15483">
        <v>20436</v>
      </c>
      <c r="F15483">
        <v>19946</v>
      </c>
      <c r="G15483">
        <v>19355</v>
      </c>
    </row>
    <row r="15484" spans="1:7">
      <c r="A15484" t="s">
        <v>1876</v>
      </c>
      <c r="B15484" t="s">
        <v>398</v>
      </c>
      <c r="C15484" t="s">
        <v>164</v>
      </c>
      <c r="D15484">
        <v>4102</v>
      </c>
      <c r="E15484">
        <v>4066</v>
      </c>
      <c r="F15484">
        <v>4086</v>
      </c>
      <c r="G15484">
        <v>3887</v>
      </c>
    </row>
    <row r="15485" spans="1:7">
      <c r="A15485" t="s">
        <v>1876</v>
      </c>
      <c r="B15485" t="s">
        <v>398</v>
      </c>
      <c r="C15485" t="s">
        <v>165</v>
      </c>
      <c r="D15485">
        <v>152605</v>
      </c>
      <c r="E15485">
        <v>154693</v>
      </c>
      <c r="F15485">
        <v>141832</v>
      </c>
      <c r="G15485">
        <v>138018</v>
      </c>
    </row>
    <row r="15486" spans="1:7">
      <c r="A15486" t="s">
        <v>1876</v>
      </c>
      <c r="B15486" t="s">
        <v>398</v>
      </c>
      <c r="C15486" t="s">
        <v>166</v>
      </c>
      <c r="D15486">
        <v>152477</v>
      </c>
      <c r="E15486">
        <v>154426</v>
      </c>
      <c r="F15486">
        <v>141590</v>
      </c>
      <c r="G15486">
        <v>137446</v>
      </c>
    </row>
    <row r="15487" spans="1:7">
      <c r="A15487" t="s">
        <v>1876</v>
      </c>
      <c r="B15487" t="s">
        <v>398</v>
      </c>
      <c r="C15487" t="s">
        <v>167</v>
      </c>
      <c r="D15487">
        <v>128</v>
      </c>
      <c r="E15487">
        <v>267</v>
      </c>
      <c r="F15487">
        <v>242</v>
      </c>
      <c r="G15487">
        <v>573</v>
      </c>
    </row>
    <row r="15488" spans="1:7">
      <c r="A15488" t="s">
        <v>1876</v>
      </c>
      <c r="B15488" t="s">
        <v>398</v>
      </c>
      <c r="C15488" t="s">
        <v>1908</v>
      </c>
      <c r="D15488">
        <v>120373</v>
      </c>
      <c r="E15488">
        <v>122299</v>
      </c>
      <c r="F15488">
        <v>109485</v>
      </c>
      <c r="G15488">
        <v>105397</v>
      </c>
    </row>
    <row r="15489" spans="1:7">
      <c r="A15489" t="s">
        <v>1876</v>
      </c>
      <c r="B15489" t="s">
        <v>398</v>
      </c>
      <c r="C15489" t="s">
        <v>1909</v>
      </c>
      <c r="D15489">
        <v>6826</v>
      </c>
      <c r="E15489">
        <v>6679</v>
      </c>
      <c r="F15489">
        <v>6715</v>
      </c>
      <c r="G15489">
        <v>6530</v>
      </c>
    </row>
    <row r="15490" spans="1:7">
      <c r="A15490" t="s">
        <v>1876</v>
      </c>
      <c r="B15490" t="s">
        <v>398</v>
      </c>
      <c r="C15490" t="s">
        <v>1910</v>
      </c>
      <c r="D15490">
        <v>128</v>
      </c>
      <c r="E15490">
        <v>267</v>
      </c>
      <c r="F15490">
        <v>242</v>
      </c>
      <c r="G15490">
        <v>573</v>
      </c>
    </row>
    <row r="15491" spans="1:7">
      <c r="A15491" t="s">
        <v>1876</v>
      </c>
      <c r="B15491" t="s">
        <v>398</v>
      </c>
      <c r="C15491" t="s">
        <v>1911</v>
      </c>
      <c r="D15491">
        <v>20216</v>
      </c>
      <c r="E15491">
        <v>20436</v>
      </c>
      <c r="F15491">
        <v>19946</v>
      </c>
      <c r="G15491">
        <v>19355</v>
      </c>
    </row>
    <row r="15492" spans="1:7">
      <c r="A15492" t="s">
        <v>1876</v>
      </c>
      <c r="B15492" t="s">
        <v>398</v>
      </c>
      <c r="C15492" t="s">
        <v>1912</v>
      </c>
      <c r="D15492">
        <v>4102</v>
      </c>
      <c r="E15492">
        <v>4066</v>
      </c>
      <c r="F15492">
        <v>4086</v>
      </c>
      <c r="G15492">
        <v>3887</v>
      </c>
    </row>
    <row r="15493" spans="1:7">
      <c r="A15493" t="s">
        <v>1876</v>
      </c>
      <c r="B15493" t="s">
        <v>398</v>
      </c>
      <c r="C15493" t="s">
        <v>168</v>
      </c>
      <c r="D15493">
        <v>151645</v>
      </c>
      <c r="E15493">
        <v>153745</v>
      </c>
      <c r="F15493">
        <v>140473</v>
      </c>
      <c r="G15493">
        <v>135743</v>
      </c>
    </row>
    <row r="15494" spans="1:7">
      <c r="A15494" t="s">
        <v>1876</v>
      </c>
      <c r="B15494" t="s">
        <v>398</v>
      </c>
      <c r="C15494" t="s">
        <v>169</v>
      </c>
      <c r="D15494">
        <v>4823</v>
      </c>
      <c r="E15494">
        <v>7228</v>
      </c>
      <c r="F15494">
        <v>34891</v>
      </c>
      <c r="G15494">
        <v>29947</v>
      </c>
    </row>
    <row r="15495" spans="1:7">
      <c r="A15495" t="s">
        <v>1876</v>
      </c>
      <c r="B15495" t="s">
        <v>398</v>
      </c>
      <c r="C15495" t="s">
        <v>1704</v>
      </c>
      <c r="D15495">
        <v>30609</v>
      </c>
      <c r="E15495">
        <v>30853</v>
      </c>
      <c r="F15495">
        <v>30884</v>
      </c>
      <c r="G15495">
        <v>30975</v>
      </c>
    </row>
    <row r="15496" spans="1:7">
      <c r="A15496" t="s">
        <v>1876</v>
      </c>
      <c r="B15496" t="s">
        <v>398</v>
      </c>
      <c r="C15496" t="s">
        <v>170</v>
      </c>
      <c r="D15496">
        <v>18199</v>
      </c>
      <c r="E15496">
        <v>19743</v>
      </c>
      <c r="F15496">
        <v>2536</v>
      </c>
      <c r="G15496">
        <v>4206</v>
      </c>
    </row>
    <row r="15497" spans="1:7">
      <c r="A15497" t="s">
        <v>1876</v>
      </c>
      <c r="B15497" t="s">
        <v>398</v>
      </c>
      <c r="C15497" t="s">
        <v>171</v>
      </c>
      <c r="D15497">
        <v>-103922</v>
      </c>
      <c r="E15497">
        <v>-117726</v>
      </c>
      <c r="F15497">
        <v>10062</v>
      </c>
      <c r="G15497">
        <v>3289</v>
      </c>
    </row>
    <row r="15498" spans="1:7">
      <c r="A15498" t="s">
        <v>1876</v>
      </c>
      <c r="B15498" t="s">
        <v>398</v>
      </c>
      <c r="C15498" t="s">
        <v>172</v>
      </c>
      <c r="D15498">
        <v>13376</v>
      </c>
      <c r="E15498">
        <v>12515</v>
      </c>
      <c r="F15498">
        <v>-32355</v>
      </c>
      <c r="G15498">
        <v>-25742</v>
      </c>
    </row>
    <row r="15499" spans="1:7">
      <c r="A15499" t="s">
        <v>1876</v>
      </c>
      <c r="B15499" t="s">
        <v>398</v>
      </c>
      <c r="C15499" t="s">
        <v>1913</v>
      </c>
      <c r="D15499">
        <v>88.2</v>
      </c>
      <c r="E15499">
        <v>116.4</v>
      </c>
      <c r="F15499">
        <v>181.9</v>
      </c>
      <c r="G15499">
        <v>231.7</v>
      </c>
    </row>
    <row r="15500" spans="1:7">
      <c r="A15500" t="s">
        <v>1876</v>
      </c>
      <c r="B15500" t="s">
        <v>398</v>
      </c>
      <c r="C15500" t="s">
        <v>1914</v>
      </c>
      <c r="D15500">
        <v>1.4</v>
      </c>
      <c r="E15500">
        <v>1.8</v>
      </c>
      <c r="F15500">
        <v>2.9</v>
      </c>
      <c r="G15500">
        <v>3.7</v>
      </c>
    </row>
    <row r="15501" spans="1:7">
      <c r="A15501" t="s">
        <v>1876</v>
      </c>
      <c r="B15501" t="s">
        <v>398</v>
      </c>
      <c r="C15501" t="s">
        <v>173</v>
      </c>
      <c r="D15501">
        <v>21472</v>
      </c>
      <c r="E15501">
        <v>21611</v>
      </c>
      <c r="F15501">
        <v>22094</v>
      </c>
      <c r="G15501">
        <v>21974</v>
      </c>
    </row>
    <row r="15502" spans="1:7">
      <c r="A15502" t="s">
        <v>1876</v>
      </c>
      <c r="B15502" t="s">
        <v>398</v>
      </c>
      <c r="C15502" t="s">
        <v>174</v>
      </c>
      <c r="D15502">
        <v>599</v>
      </c>
      <c r="E15502">
        <v>631</v>
      </c>
      <c r="F15502">
        <v>628</v>
      </c>
      <c r="G15502">
        <v>552</v>
      </c>
    </row>
    <row r="15503" spans="1:7">
      <c r="A15503" t="s">
        <v>1876</v>
      </c>
      <c r="B15503" t="s">
        <v>398</v>
      </c>
      <c r="C15503" t="s">
        <v>175</v>
      </c>
      <c r="D15503">
        <v>371</v>
      </c>
      <c r="E15503">
        <v>387</v>
      </c>
      <c r="F15503">
        <v>395</v>
      </c>
      <c r="G15503">
        <v>360</v>
      </c>
    </row>
    <row r="15504" spans="1:7">
      <c r="A15504" t="s">
        <v>1876</v>
      </c>
      <c r="B15504" t="s">
        <v>398</v>
      </c>
      <c r="C15504" t="s">
        <v>176</v>
      </c>
      <c r="D15504">
        <v>0</v>
      </c>
      <c r="E15504">
        <v>0</v>
      </c>
      <c r="F15504">
        <v>0</v>
      </c>
      <c r="G15504">
        <v>0</v>
      </c>
    </row>
    <row r="15505" spans="1:7">
      <c r="A15505" t="s">
        <v>1876</v>
      </c>
      <c r="B15505" t="s">
        <v>398</v>
      </c>
      <c r="C15505" t="s">
        <v>177</v>
      </c>
      <c r="D15505">
        <v>22443</v>
      </c>
      <c r="E15505">
        <v>22629</v>
      </c>
      <c r="F15505">
        <v>23117</v>
      </c>
      <c r="G15505">
        <v>22886</v>
      </c>
    </row>
    <row r="15506" spans="1:7">
      <c r="A15506" t="s">
        <v>1876</v>
      </c>
      <c r="B15506" t="s">
        <v>398</v>
      </c>
      <c r="C15506" t="s">
        <v>178</v>
      </c>
      <c r="D15506">
        <v>0</v>
      </c>
      <c r="E15506">
        <v>0</v>
      </c>
      <c r="F15506">
        <v>0</v>
      </c>
      <c r="G15506">
        <v>0</v>
      </c>
    </row>
    <row r="15507" spans="1:7">
      <c r="A15507" t="s">
        <v>1876</v>
      </c>
      <c r="B15507" t="s">
        <v>398</v>
      </c>
      <c r="C15507" t="s">
        <v>179</v>
      </c>
      <c r="D15507">
        <v>0</v>
      </c>
      <c r="E15507">
        <v>0</v>
      </c>
      <c r="F15507">
        <v>0</v>
      </c>
      <c r="G15507">
        <v>0</v>
      </c>
    </row>
    <row r="15508" spans="1:7">
      <c r="A15508" t="s">
        <v>1876</v>
      </c>
      <c r="B15508" t="s">
        <v>398</v>
      </c>
      <c r="C15508" t="s">
        <v>180</v>
      </c>
      <c r="D15508">
        <v>353</v>
      </c>
      <c r="E15508">
        <v>389</v>
      </c>
      <c r="F15508">
        <v>295</v>
      </c>
      <c r="G15508">
        <v>320</v>
      </c>
    </row>
    <row r="15509" spans="1:7">
      <c r="A15509" t="s">
        <v>1876</v>
      </c>
      <c r="B15509" t="s">
        <v>398</v>
      </c>
      <c r="C15509" t="s">
        <v>181</v>
      </c>
      <c r="D15509">
        <v>97711</v>
      </c>
      <c r="E15509">
        <v>101611</v>
      </c>
      <c r="F15509">
        <v>103621</v>
      </c>
      <c r="G15509">
        <v>112943</v>
      </c>
    </row>
    <row r="15510" spans="1:7">
      <c r="A15510" t="s">
        <v>1876</v>
      </c>
      <c r="B15510" t="s">
        <v>398</v>
      </c>
      <c r="C15510" t="s">
        <v>182</v>
      </c>
      <c r="D15510">
        <v>73141</v>
      </c>
      <c r="E15510">
        <v>72427</v>
      </c>
      <c r="F15510">
        <v>68774</v>
      </c>
      <c r="G15510">
        <v>61960</v>
      </c>
    </row>
    <row r="15511" spans="1:7">
      <c r="A15511" t="s">
        <v>1876</v>
      </c>
      <c r="B15511" t="s">
        <v>398</v>
      </c>
      <c r="C15511" t="s">
        <v>183</v>
      </c>
      <c r="D15511">
        <v>129728</v>
      </c>
      <c r="E15511">
        <v>135715</v>
      </c>
      <c r="F15511">
        <v>132864</v>
      </c>
      <c r="G15511">
        <v>131795</v>
      </c>
    </row>
    <row r="15512" spans="1:7">
      <c r="A15512" t="s">
        <v>1876</v>
      </c>
      <c r="B15512" t="s">
        <v>398</v>
      </c>
      <c r="C15512" t="s">
        <v>184</v>
      </c>
      <c r="D15512">
        <v>300934</v>
      </c>
      <c r="E15512">
        <v>310142</v>
      </c>
      <c r="F15512">
        <v>305554</v>
      </c>
      <c r="G15512">
        <v>307017</v>
      </c>
    </row>
    <row r="15513" spans="1:7">
      <c r="A15513" t="s">
        <v>1876</v>
      </c>
      <c r="B15513" t="s">
        <v>398</v>
      </c>
      <c r="C15513" t="s">
        <v>185</v>
      </c>
      <c r="D15513">
        <v>300934</v>
      </c>
      <c r="E15513">
        <v>310142</v>
      </c>
      <c r="F15513">
        <v>305554</v>
      </c>
      <c r="G15513">
        <v>307017</v>
      </c>
    </row>
    <row r="15514" spans="1:7">
      <c r="A15514" t="s">
        <v>1876</v>
      </c>
      <c r="B15514" t="s">
        <v>398</v>
      </c>
      <c r="C15514" t="s">
        <v>1915</v>
      </c>
      <c r="D15514">
        <v>150</v>
      </c>
      <c r="E15514">
        <v>216</v>
      </c>
      <c r="F15514">
        <v>545</v>
      </c>
      <c r="G15514">
        <v>749</v>
      </c>
    </row>
    <row r="15515" spans="1:7">
      <c r="A15515" t="s">
        <v>1876</v>
      </c>
      <c r="B15515" t="s">
        <v>398</v>
      </c>
      <c r="C15515" t="s">
        <v>1916</v>
      </c>
      <c r="D15515">
        <v>0</v>
      </c>
      <c r="E15515">
        <v>0</v>
      </c>
      <c r="F15515">
        <v>0</v>
      </c>
      <c r="G15515">
        <v>0</v>
      </c>
    </row>
    <row r="15516" spans="1:7">
      <c r="A15516" t="s">
        <v>1876</v>
      </c>
      <c r="B15516" t="s">
        <v>398</v>
      </c>
      <c r="C15516" t="s">
        <v>1917</v>
      </c>
      <c r="D15516">
        <v>222</v>
      </c>
      <c r="E15516">
        <v>215</v>
      </c>
      <c r="F15516">
        <v>169</v>
      </c>
      <c r="G15516">
        <v>167</v>
      </c>
    </row>
    <row r="15517" spans="1:7">
      <c r="A15517" t="s">
        <v>1876</v>
      </c>
      <c r="B15517" t="s">
        <v>398</v>
      </c>
      <c r="C15517" t="s">
        <v>1918</v>
      </c>
      <c r="D15517">
        <v>4789</v>
      </c>
      <c r="E15517">
        <v>5218</v>
      </c>
      <c r="F15517">
        <v>5597</v>
      </c>
      <c r="G15517">
        <v>6255</v>
      </c>
    </row>
    <row r="15518" spans="1:7">
      <c r="A15518" t="s">
        <v>1876</v>
      </c>
      <c r="B15518" t="s">
        <v>398</v>
      </c>
      <c r="C15518" t="s">
        <v>1919</v>
      </c>
      <c r="D15518">
        <v>2.97</v>
      </c>
      <c r="E15518">
        <v>3.05</v>
      </c>
      <c r="F15518">
        <v>2.62</v>
      </c>
      <c r="G15518">
        <v>2.6</v>
      </c>
    </row>
    <row r="15519" spans="1:7">
      <c r="A15519" t="s">
        <v>1876</v>
      </c>
      <c r="B15519" t="s">
        <v>398</v>
      </c>
      <c r="C15519" t="s">
        <v>1920</v>
      </c>
      <c r="D15519">
        <v>5828</v>
      </c>
      <c r="E15519">
        <v>6313</v>
      </c>
      <c r="F15519">
        <v>6999</v>
      </c>
      <c r="G15519">
        <v>8064</v>
      </c>
    </row>
    <row r="15520" spans="1:7">
      <c r="A15520" t="s">
        <v>1876</v>
      </c>
      <c r="B15520" t="s">
        <v>398</v>
      </c>
      <c r="C15520" t="s">
        <v>1921</v>
      </c>
      <c r="D15520">
        <v>1764</v>
      </c>
      <c r="E15520">
        <v>1907</v>
      </c>
      <c r="F15520">
        <v>2422</v>
      </c>
      <c r="G15520">
        <v>2757</v>
      </c>
    </row>
    <row r="15521" spans="1:7">
      <c r="A15521" t="s">
        <v>1876</v>
      </c>
      <c r="B15521" t="s">
        <v>398</v>
      </c>
      <c r="C15521" t="s">
        <v>1922</v>
      </c>
      <c r="D15521">
        <v>817</v>
      </c>
      <c r="E15521">
        <v>880</v>
      </c>
      <c r="F15521">
        <v>1233</v>
      </c>
      <c r="G15521">
        <v>1642</v>
      </c>
    </row>
    <row r="15522" spans="1:7">
      <c r="A15522" t="s">
        <v>1876</v>
      </c>
      <c r="B15522" t="s">
        <v>398</v>
      </c>
      <c r="C15522" t="s">
        <v>1923</v>
      </c>
      <c r="D15522">
        <v>3.57</v>
      </c>
      <c r="E15522">
        <v>3.38</v>
      </c>
      <c r="F15522">
        <v>3.55</v>
      </c>
      <c r="G15522">
        <v>3.75</v>
      </c>
    </row>
    <row r="15523" spans="1:7">
      <c r="A15523" t="s">
        <v>1876</v>
      </c>
      <c r="B15523" t="s">
        <v>398</v>
      </c>
      <c r="C15523" t="s">
        <v>1924</v>
      </c>
      <c r="D15523">
        <v>64</v>
      </c>
      <c r="E15523">
        <v>10</v>
      </c>
      <c r="F15523">
        <v>17</v>
      </c>
      <c r="G15523">
        <v>12</v>
      </c>
    </row>
    <row r="15524" spans="1:7">
      <c r="A15524" t="s">
        <v>1876</v>
      </c>
      <c r="B15524" t="s">
        <v>398</v>
      </c>
      <c r="C15524" t="s">
        <v>1925</v>
      </c>
      <c r="D15524">
        <v>249</v>
      </c>
      <c r="E15524">
        <v>269</v>
      </c>
      <c r="F15524">
        <v>289</v>
      </c>
      <c r="G15524">
        <v>303</v>
      </c>
    </row>
    <row r="15525" spans="1:7">
      <c r="A15525" t="s">
        <v>1876</v>
      </c>
      <c r="B15525" t="s">
        <v>398</v>
      </c>
      <c r="C15525" t="s">
        <v>1926</v>
      </c>
      <c r="D15525">
        <v>1451</v>
      </c>
      <c r="E15525">
        <v>1628</v>
      </c>
      <c r="F15525">
        <v>2116</v>
      </c>
      <c r="G15525">
        <v>2442</v>
      </c>
    </row>
    <row r="15526" spans="1:7">
      <c r="A15526" t="s">
        <v>1876</v>
      </c>
      <c r="B15526" t="s">
        <v>398</v>
      </c>
      <c r="C15526" t="s">
        <v>1927</v>
      </c>
      <c r="D15526">
        <v>41</v>
      </c>
      <c r="E15526">
        <v>37</v>
      </c>
      <c r="F15526">
        <v>23</v>
      </c>
      <c r="G15526">
        <v>19</v>
      </c>
    </row>
    <row r="15527" spans="1:7">
      <c r="A15527" t="s">
        <v>1876</v>
      </c>
      <c r="B15527" t="s">
        <v>398</v>
      </c>
      <c r="C15527" t="s">
        <v>1928</v>
      </c>
      <c r="D15527">
        <v>1602</v>
      </c>
      <c r="E15527">
        <v>1746</v>
      </c>
      <c r="F15527">
        <v>2270</v>
      </c>
      <c r="G15527">
        <v>2599</v>
      </c>
    </row>
    <row r="15528" spans="1:7">
      <c r="A15528" t="s">
        <v>1876</v>
      </c>
      <c r="B15528" t="s">
        <v>398</v>
      </c>
      <c r="C15528" t="s">
        <v>1929</v>
      </c>
      <c r="D15528">
        <v>121</v>
      </c>
      <c r="E15528">
        <v>124</v>
      </c>
      <c r="F15528">
        <v>129</v>
      </c>
      <c r="G15528">
        <v>139</v>
      </c>
    </row>
    <row r="15529" spans="1:7">
      <c r="A15529" t="s">
        <v>1876</v>
      </c>
      <c r="B15529" t="s">
        <v>398</v>
      </c>
      <c r="C15529" t="s">
        <v>186</v>
      </c>
      <c r="D15529">
        <v>0</v>
      </c>
      <c r="E15529">
        <v>0</v>
      </c>
      <c r="F15529">
        <v>0</v>
      </c>
      <c r="G15529">
        <v>0</v>
      </c>
    </row>
    <row r="15530" spans="1:7">
      <c r="A15530" t="s">
        <v>1876</v>
      </c>
      <c r="B15530" t="s">
        <v>398</v>
      </c>
      <c r="C15530" t="s">
        <v>187</v>
      </c>
      <c r="D15530">
        <v>0</v>
      </c>
      <c r="E15530">
        <v>0</v>
      </c>
      <c r="F15530">
        <v>0</v>
      </c>
      <c r="G15530">
        <v>0</v>
      </c>
    </row>
    <row r="15531" spans="1:7">
      <c r="A15531" t="s">
        <v>1876</v>
      </c>
      <c r="B15531" t="s">
        <v>398</v>
      </c>
      <c r="C15531" t="s">
        <v>1705</v>
      </c>
      <c r="D15531">
        <v>4063</v>
      </c>
      <c r="E15531">
        <v>4060</v>
      </c>
      <c r="F15531">
        <v>4063</v>
      </c>
      <c r="G15531">
        <v>4078</v>
      </c>
    </row>
    <row r="15532" spans="1:7">
      <c r="A15532" t="s">
        <v>1876</v>
      </c>
      <c r="B15532" t="s">
        <v>398</v>
      </c>
      <c r="C15532" t="s">
        <v>188</v>
      </c>
      <c r="D15532">
        <v>1133509</v>
      </c>
      <c r="E15532">
        <v>1150249</v>
      </c>
      <c r="F15532">
        <v>1160879</v>
      </c>
      <c r="G15532">
        <v>1140782</v>
      </c>
    </row>
    <row r="15533" spans="1:7">
      <c r="A15533" t="s">
        <v>1876</v>
      </c>
      <c r="B15533" t="s">
        <v>398</v>
      </c>
      <c r="C15533" t="s">
        <v>189</v>
      </c>
      <c r="D15533">
        <v>0</v>
      </c>
      <c r="E15533">
        <v>0</v>
      </c>
      <c r="F15533">
        <v>0</v>
      </c>
      <c r="G15533">
        <v>0</v>
      </c>
    </row>
    <row r="15534" spans="1:7">
      <c r="A15534" t="s">
        <v>1876</v>
      </c>
      <c r="B15534" t="s">
        <v>398</v>
      </c>
      <c r="C15534" t="s">
        <v>190</v>
      </c>
      <c r="D15534">
        <v>0</v>
      </c>
      <c r="E15534">
        <v>0</v>
      </c>
      <c r="F15534">
        <v>0</v>
      </c>
      <c r="G15534">
        <v>0</v>
      </c>
    </row>
    <row r="15535" spans="1:7">
      <c r="A15535" t="s">
        <v>1876</v>
      </c>
      <c r="B15535" t="s">
        <v>398</v>
      </c>
      <c r="C15535" t="s">
        <v>191</v>
      </c>
      <c r="D15535">
        <v>0</v>
      </c>
      <c r="E15535">
        <v>0</v>
      </c>
      <c r="F15535">
        <v>0</v>
      </c>
      <c r="G15535">
        <v>0</v>
      </c>
    </row>
    <row r="15536" spans="1:7">
      <c r="A15536" t="s">
        <v>1876</v>
      </c>
      <c r="B15536" t="s">
        <v>398</v>
      </c>
      <c r="C15536" t="s">
        <v>192</v>
      </c>
      <c r="D15536">
        <v>683367</v>
      </c>
      <c r="E15536">
        <v>741002.8</v>
      </c>
      <c r="F15536">
        <v>801455.5</v>
      </c>
      <c r="G15536">
        <v>856013.6</v>
      </c>
    </row>
    <row r="15537" spans="1:7">
      <c r="A15537" t="s">
        <v>1876</v>
      </c>
      <c r="B15537" t="s">
        <v>398</v>
      </c>
      <c r="C15537" t="s">
        <v>193</v>
      </c>
      <c r="D15537">
        <v>626122.19999999995</v>
      </c>
      <c r="E15537">
        <v>643017.6</v>
      </c>
      <c r="F15537">
        <v>670977.80000000005</v>
      </c>
      <c r="G15537">
        <v>702232.3</v>
      </c>
    </row>
    <row r="15538" spans="1:7">
      <c r="A15538" t="s">
        <v>1876</v>
      </c>
      <c r="B15538" t="s">
        <v>398</v>
      </c>
      <c r="C15538" t="s">
        <v>1930</v>
      </c>
      <c r="D15538">
        <v>0</v>
      </c>
      <c r="E15538">
        <v>0</v>
      </c>
      <c r="F15538">
        <v>0</v>
      </c>
      <c r="G15538">
        <v>0</v>
      </c>
    </row>
    <row r="15539" spans="1:7">
      <c r="A15539" t="s">
        <v>1876</v>
      </c>
      <c r="B15539" t="s">
        <v>398</v>
      </c>
      <c r="C15539" t="s">
        <v>194</v>
      </c>
      <c r="D15539">
        <v>778</v>
      </c>
      <c r="E15539">
        <v>778</v>
      </c>
      <c r="F15539">
        <v>778</v>
      </c>
      <c r="G15539">
        <v>778</v>
      </c>
    </row>
    <row r="15540" spans="1:7">
      <c r="A15540" t="s">
        <v>1876</v>
      </c>
      <c r="B15540" t="s">
        <v>398</v>
      </c>
      <c r="C15540" t="s">
        <v>195</v>
      </c>
      <c r="D15540">
        <v>0</v>
      </c>
      <c r="E15540">
        <v>0</v>
      </c>
      <c r="F15540">
        <v>0</v>
      </c>
      <c r="G15540">
        <v>0</v>
      </c>
    </row>
    <row r="15541" spans="1:7">
      <c r="A15541" t="s">
        <v>1876</v>
      </c>
      <c r="B15541" t="s">
        <v>398</v>
      </c>
      <c r="C15541" t="s">
        <v>1706</v>
      </c>
      <c r="D15541">
        <v>0</v>
      </c>
      <c r="E15541">
        <v>0</v>
      </c>
      <c r="F15541">
        <v>0</v>
      </c>
      <c r="G15541">
        <v>0</v>
      </c>
    </row>
    <row r="15542" spans="1:7">
      <c r="A15542" t="s">
        <v>1876</v>
      </c>
      <c r="B15542" t="s">
        <v>398</v>
      </c>
      <c r="C15542" t="s">
        <v>196</v>
      </c>
      <c r="D15542">
        <v>0</v>
      </c>
      <c r="E15542">
        <v>0</v>
      </c>
      <c r="F15542">
        <v>0</v>
      </c>
      <c r="G15542">
        <v>0</v>
      </c>
    </row>
    <row r="15543" spans="1:7">
      <c r="A15543" t="s">
        <v>1876</v>
      </c>
      <c r="B15543" t="s">
        <v>398</v>
      </c>
      <c r="C15543" t="s">
        <v>197</v>
      </c>
      <c r="D15543">
        <v>358</v>
      </c>
      <c r="E15543">
        <v>358</v>
      </c>
      <c r="F15543">
        <v>358</v>
      </c>
      <c r="G15543">
        <v>358</v>
      </c>
    </row>
    <row r="15544" spans="1:7">
      <c r="A15544" t="s">
        <v>1876</v>
      </c>
      <c r="B15544" t="s">
        <v>398</v>
      </c>
      <c r="C15544" t="s">
        <v>198</v>
      </c>
      <c r="D15544">
        <v>1136</v>
      </c>
      <c r="E15544">
        <v>1136</v>
      </c>
      <c r="F15544">
        <v>1136</v>
      </c>
      <c r="G15544">
        <v>1136</v>
      </c>
    </row>
    <row r="15545" spans="1:7">
      <c r="A15545" t="s">
        <v>1876</v>
      </c>
      <c r="B15545" t="s">
        <v>398</v>
      </c>
      <c r="C15545" t="s">
        <v>199</v>
      </c>
      <c r="D15545">
        <v>1136</v>
      </c>
      <c r="E15545">
        <v>1136</v>
      </c>
      <c r="F15545">
        <v>1136</v>
      </c>
      <c r="G15545">
        <v>1136</v>
      </c>
    </row>
    <row r="15546" spans="1:7">
      <c r="A15546" t="s">
        <v>1876</v>
      </c>
      <c r="B15546" t="s">
        <v>398</v>
      </c>
      <c r="C15546" t="s">
        <v>200</v>
      </c>
      <c r="D15546">
        <v>763</v>
      </c>
      <c r="E15546">
        <v>375</v>
      </c>
      <c r="F15546">
        <v>390</v>
      </c>
      <c r="G15546">
        <v>257</v>
      </c>
    </row>
    <row r="15547" spans="1:7">
      <c r="A15547" t="s">
        <v>1876</v>
      </c>
      <c r="B15547" t="s">
        <v>398</v>
      </c>
      <c r="C15547" t="s">
        <v>201</v>
      </c>
      <c r="D15547">
        <v>5268</v>
      </c>
      <c r="E15547">
        <v>4873</v>
      </c>
      <c r="F15547">
        <v>4682</v>
      </c>
      <c r="G15547">
        <v>4482</v>
      </c>
    </row>
    <row r="15548" spans="1:7">
      <c r="A15548" t="s">
        <v>1876</v>
      </c>
      <c r="B15548" t="s">
        <v>398</v>
      </c>
      <c r="C15548" t="s">
        <v>202</v>
      </c>
      <c r="D15548">
        <v>3577</v>
      </c>
      <c r="E15548">
        <v>5657</v>
      </c>
      <c r="F15548">
        <v>3393</v>
      </c>
      <c r="G15548">
        <v>2920</v>
      </c>
    </row>
    <row r="15549" spans="1:7">
      <c r="A15549" t="s">
        <v>1876</v>
      </c>
      <c r="B15549" t="s">
        <v>398</v>
      </c>
      <c r="C15549" t="s">
        <v>203</v>
      </c>
      <c r="D15549">
        <v>9359</v>
      </c>
      <c r="E15549">
        <v>8137</v>
      </c>
      <c r="F15549">
        <v>8457</v>
      </c>
      <c r="G15549">
        <v>8783</v>
      </c>
    </row>
    <row r="15550" spans="1:7">
      <c r="A15550" t="s">
        <v>1876</v>
      </c>
      <c r="B15550" t="s">
        <v>398</v>
      </c>
      <c r="C15550" t="s">
        <v>204</v>
      </c>
      <c r="D15550">
        <v>18968</v>
      </c>
      <c r="E15550">
        <v>19043</v>
      </c>
      <c r="F15550">
        <v>16922</v>
      </c>
      <c r="G15550">
        <v>16443</v>
      </c>
    </row>
    <row r="15551" spans="1:7">
      <c r="A15551" t="s">
        <v>1876</v>
      </c>
      <c r="B15551" t="s">
        <v>398</v>
      </c>
      <c r="C15551" t="s">
        <v>205</v>
      </c>
      <c r="D15551">
        <v>18968</v>
      </c>
      <c r="E15551">
        <v>19043</v>
      </c>
      <c r="F15551">
        <v>16922</v>
      </c>
      <c r="G15551">
        <v>16443</v>
      </c>
    </row>
    <row r="15552" spans="1:7">
      <c r="A15552" t="s">
        <v>1876</v>
      </c>
      <c r="B15552" t="s">
        <v>398</v>
      </c>
      <c r="C15552" t="s">
        <v>1931</v>
      </c>
      <c r="D15552">
        <v>0.3</v>
      </c>
      <c r="E15552">
        <v>0.6</v>
      </c>
      <c r="F15552">
        <v>0.1</v>
      </c>
      <c r="G15552">
        <v>0.3</v>
      </c>
    </row>
    <row r="15553" spans="1:7">
      <c r="A15553" t="s">
        <v>1876</v>
      </c>
      <c r="B15553" t="s">
        <v>398</v>
      </c>
      <c r="C15553" t="s">
        <v>1707</v>
      </c>
      <c r="D15553">
        <v>314</v>
      </c>
      <c r="E15553">
        <v>314</v>
      </c>
      <c r="F15553">
        <v>314</v>
      </c>
      <c r="G15553">
        <v>314</v>
      </c>
    </row>
    <row r="15554" spans="1:7">
      <c r="A15554" t="s">
        <v>1876</v>
      </c>
      <c r="B15554" t="s">
        <v>398</v>
      </c>
      <c r="C15554" t="s">
        <v>1932</v>
      </c>
      <c r="D15554">
        <v>38.200000000000003</v>
      </c>
      <c r="E15554">
        <v>42</v>
      </c>
      <c r="F15554">
        <v>32.6</v>
      </c>
      <c r="G15554">
        <v>32.200000000000003</v>
      </c>
    </row>
    <row r="15555" spans="1:7">
      <c r="A15555" t="s">
        <v>1876</v>
      </c>
      <c r="B15555" t="s">
        <v>398</v>
      </c>
      <c r="C15555" t="s">
        <v>1708</v>
      </c>
      <c r="D15555">
        <v>21359</v>
      </c>
      <c r="E15555">
        <v>21429</v>
      </c>
      <c r="F15555">
        <v>21512</v>
      </c>
      <c r="G15555">
        <v>21513</v>
      </c>
    </row>
    <row r="15556" spans="1:7">
      <c r="A15556" t="s">
        <v>1876</v>
      </c>
      <c r="B15556" t="s">
        <v>398</v>
      </c>
      <c r="C15556" t="s">
        <v>206</v>
      </c>
      <c r="D15556">
        <v>0</v>
      </c>
      <c r="E15556">
        <v>0</v>
      </c>
      <c r="F15556">
        <v>0</v>
      </c>
      <c r="G15556">
        <v>0</v>
      </c>
    </row>
    <row r="15557" spans="1:7">
      <c r="A15557" t="s">
        <v>1876</v>
      </c>
      <c r="B15557" t="s">
        <v>398</v>
      </c>
      <c r="C15557" t="s">
        <v>207</v>
      </c>
      <c r="D15557">
        <v>243546</v>
      </c>
      <c r="E15557">
        <v>269263</v>
      </c>
      <c r="F15557">
        <v>209653</v>
      </c>
      <c r="G15557">
        <v>207232</v>
      </c>
    </row>
    <row r="15558" spans="1:7">
      <c r="A15558" t="s">
        <v>1876</v>
      </c>
      <c r="B15558" t="s">
        <v>398</v>
      </c>
      <c r="C15558" t="s">
        <v>208</v>
      </c>
      <c r="D15558">
        <v>0</v>
      </c>
      <c r="E15558">
        <v>0</v>
      </c>
      <c r="F15558">
        <v>0</v>
      </c>
      <c r="G15558">
        <v>0</v>
      </c>
    </row>
    <row r="15559" spans="1:7">
      <c r="A15559" t="s">
        <v>1876</v>
      </c>
      <c r="B15559" t="s">
        <v>398</v>
      </c>
      <c r="C15559" t="s">
        <v>209</v>
      </c>
      <c r="D15559">
        <v>243546</v>
      </c>
      <c r="E15559">
        <v>269263</v>
      </c>
      <c r="F15559">
        <v>209653</v>
      </c>
      <c r="G15559">
        <v>207232</v>
      </c>
    </row>
    <row r="15560" spans="1:7">
      <c r="A15560" t="s">
        <v>1876</v>
      </c>
      <c r="B15560" t="s">
        <v>398</v>
      </c>
      <c r="C15560" t="s">
        <v>210</v>
      </c>
      <c r="D15560">
        <v>0</v>
      </c>
      <c r="E15560">
        <v>0</v>
      </c>
      <c r="F15560">
        <v>0</v>
      </c>
      <c r="G15560">
        <v>0</v>
      </c>
    </row>
    <row r="15561" spans="1:7">
      <c r="A15561" t="s">
        <v>1876</v>
      </c>
      <c r="B15561" t="s">
        <v>398</v>
      </c>
      <c r="C15561" t="s">
        <v>211</v>
      </c>
      <c r="D15561">
        <v>0</v>
      </c>
      <c r="E15561">
        <v>0</v>
      </c>
      <c r="F15561">
        <v>0</v>
      </c>
      <c r="G15561">
        <v>0</v>
      </c>
    </row>
    <row r="15562" spans="1:7">
      <c r="A15562" t="s">
        <v>1876</v>
      </c>
      <c r="B15562" t="s">
        <v>398</v>
      </c>
      <c r="C15562" t="s">
        <v>212</v>
      </c>
      <c r="D15562">
        <v>0</v>
      </c>
      <c r="E15562">
        <v>0</v>
      </c>
      <c r="F15562">
        <v>0</v>
      </c>
      <c r="G15562">
        <v>0</v>
      </c>
    </row>
    <row r="15563" spans="1:7">
      <c r="A15563" t="s">
        <v>1876</v>
      </c>
      <c r="B15563" t="s">
        <v>398</v>
      </c>
      <c r="C15563" t="s">
        <v>213</v>
      </c>
      <c r="D15563">
        <v>0</v>
      </c>
      <c r="E15563">
        <v>0</v>
      </c>
      <c r="F15563">
        <v>0</v>
      </c>
      <c r="G15563">
        <v>0</v>
      </c>
    </row>
    <row r="15564" spans="1:7">
      <c r="A15564" t="s">
        <v>1876</v>
      </c>
      <c r="B15564" t="s">
        <v>398</v>
      </c>
      <c r="C15564" t="s">
        <v>214</v>
      </c>
      <c r="D15564">
        <v>0</v>
      </c>
      <c r="E15564">
        <v>0</v>
      </c>
      <c r="F15564">
        <v>0</v>
      </c>
      <c r="G15564">
        <v>0</v>
      </c>
    </row>
    <row r="15565" spans="1:7">
      <c r="A15565" t="s">
        <v>1876</v>
      </c>
      <c r="B15565" t="s">
        <v>398</v>
      </c>
      <c r="C15565" t="s">
        <v>215</v>
      </c>
      <c r="D15565">
        <v>91069</v>
      </c>
      <c r="E15565">
        <v>101875</v>
      </c>
      <c r="F15565">
        <v>110452</v>
      </c>
      <c r="G15565">
        <v>113786</v>
      </c>
    </row>
    <row r="15566" spans="1:7">
      <c r="A15566" t="s">
        <v>1876</v>
      </c>
      <c r="B15566" t="s">
        <v>398</v>
      </c>
      <c r="C15566" t="s">
        <v>216</v>
      </c>
      <c r="D15566">
        <v>91069</v>
      </c>
      <c r="E15566">
        <v>101875</v>
      </c>
      <c r="F15566">
        <v>110452</v>
      </c>
      <c r="G15566">
        <v>113786</v>
      </c>
    </row>
    <row r="15567" spans="1:7">
      <c r="A15567" t="s">
        <v>1876</v>
      </c>
      <c r="B15567" t="s">
        <v>398</v>
      </c>
      <c r="C15567" t="s">
        <v>217</v>
      </c>
      <c r="D15567">
        <v>91069</v>
      </c>
      <c r="E15567">
        <v>101875</v>
      </c>
      <c r="F15567">
        <v>110452</v>
      </c>
      <c r="G15567">
        <v>113786</v>
      </c>
    </row>
    <row r="15568" spans="1:7">
      <c r="A15568" t="s">
        <v>1876</v>
      </c>
      <c r="B15568" t="s">
        <v>398</v>
      </c>
      <c r="C15568" t="s">
        <v>218</v>
      </c>
      <c r="D15568">
        <v>13</v>
      </c>
      <c r="E15568">
        <v>12</v>
      </c>
      <c r="F15568">
        <v>21</v>
      </c>
      <c r="G15568">
        <v>16</v>
      </c>
    </row>
    <row r="15569" spans="1:7">
      <c r="A15569" t="s">
        <v>1876</v>
      </c>
      <c r="B15569" t="s">
        <v>398</v>
      </c>
      <c r="C15569" t="s">
        <v>219</v>
      </c>
      <c r="D15569">
        <v>1</v>
      </c>
      <c r="E15569">
        <v>1</v>
      </c>
      <c r="F15569">
        <v>3</v>
      </c>
      <c r="G15569">
        <v>2</v>
      </c>
    </row>
    <row r="15570" spans="1:7">
      <c r="A15570" t="s">
        <v>1876</v>
      </c>
      <c r="B15570" t="s">
        <v>398</v>
      </c>
      <c r="C15570" t="s">
        <v>220</v>
      </c>
      <c r="D15570">
        <v>28</v>
      </c>
      <c r="E15570">
        <v>24</v>
      </c>
      <c r="F15570">
        <v>45</v>
      </c>
      <c r="G15570">
        <v>34</v>
      </c>
    </row>
    <row r="15571" spans="1:7">
      <c r="A15571" t="s">
        <v>1876</v>
      </c>
      <c r="B15571" t="s">
        <v>398</v>
      </c>
      <c r="C15571" t="s">
        <v>221</v>
      </c>
      <c r="D15571">
        <v>42</v>
      </c>
      <c r="E15571">
        <v>37</v>
      </c>
      <c r="F15571">
        <v>69</v>
      </c>
      <c r="G15571">
        <v>52</v>
      </c>
    </row>
    <row r="15572" spans="1:7">
      <c r="A15572" t="s">
        <v>1876</v>
      </c>
      <c r="B15572" t="s">
        <v>398</v>
      </c>
      <c r="C15572" t="s">
        <v>222</v>
      </c>
      <c r="D15572">
        <v>42</v>
      </c>
      <c r="E15572">
        <v>37</v>
      </c>
      <c r="F15572">
        <v>69</v>
      </c>
      <c r="G15572">
        <v>52</v>
      </c>
    </row>
    <row r="15573" spans="1:7">
      <c r="A15573" t="s">
        <v>1876</v>
      </c>
      <c r="B15573" t="s">
        <v>398</v>
      </c>
      <c r="C15573" t="s">
        <v>1933</v>
      </c>
      <c r="D15573">
        <v>6437.2</v>
      </c>
      <c r="E15573">
        <v>6314.7</v>
      </c>
      <c r="F15573">
        <v>6285.2</v>
      </c>
      <c r="G15573">
        <v>6299.2</v>
      </c>
    </row>
    <row r="15574" spans="1:7">
      <c r="A15574" t="s">
        <v>1876</v>
      </c>
      <c r="B15574" t="s">
        <v>398</v>
      </c>
      <c r="C15574" t="s">
        <v>223</v>
      </c>
      <c r="D15574">
        <v>160</v>
      </c>
      <c r="E15574">
        <v>171</v>
      </c>
      <c r="F15574">
        <v>191</v>
      </c>
      <c r="G15574">
        <v>196</v>
      </c>
    </row>
    <row r="15575" spans="1:7">
      <c r="A15575" t="s">
        <v>1876</v>
      </c>
      <c r="B15575" t="s">
        <v>398</v>
      </c>
      <c r="C15575" t="s">
        <v>224</v>
      </c>
      <c r="D15575">
        <v>44225</v>
      </c>
      <c r="E15575">
        <v>44726</v>
      </c>
      <c r="F15575">
        <v>67093</v>
      </c>
      <c r="G15575">
        <v>69018</v>
      </c>
    </row>
    <row r="15576" spans="1:7">
      <c r="A15576" t="s">
        <v>1876</v>
      </c>
      <c r="B15576" t="s">
        <v>398</v>
      </c>
      <c r="C15576" t="s">
        <v>225</v>
      </c>
      <c r="D15576">
        <v>33105</v>
      </c>
      <c r="E15576">
        <v>31880</v>
      </c>
      <c r="F15576">
        <v>44530</v>
      </c>
      <c r="G15576">
        <v>37863</v>
      </c>
    </row>
    <row r="15577" spans="1:7">
      <c r="A15577" t="s">
        <v>1876</v>
      </c>
      <c r="B15577" t="s">
        <v>398</v>
      </c>
      <c r="C15577" t="s">
        <v>226</v>
      </c>
      <c r="D15577">
        <v>58717</v>
      </c>
      <c r="E15577">
        <v>59738</v>
      </c>
      <c r="F15577">
        <v>86027</v>
      </c>
      <c r="G15577">
        <v>80538</v>
      </c>
    </row>
    <row r="15578" spans="1:7">
      <c r="A15578" t="s">
        <v>1876</v>
      </c>
      <c r="B15578" t="s">
        <v>398</v>
      </c>
      <c r="C15578" t="s">
        <v>227</v>
      </c>
      <c r="D15578">
        <v>136207</v>
      </c>
      <c r="E15578">
        <v>136516</v>
      </c>
      <c r="F15578">
        <v>197840</v>
      </c>
      <c r="G15578">
        <v>187615</v>
      </c>
    </row>
    <row r="15579" spans="1:7">
      <c r="A15579" t="s">
        <v>1876</v>
      </c>
      <c r="B15579" t="s">
        <v>398</v>
      </c>
      <c r="C15579" t="s">
        <v>228</v>
      </c>
      <c r="D15579">
        <v>136207</v>
      </c>
      <c r="E15579">
        <v>136516</v>
      </c>
      <c r="F15579">
        <v>197840</v>
      </c>
      <c r="G15579">
        <v>187615</v>
      </c>
    </row>
    <row r="15580" spans="1:7">
      <c r="A15580" t="s">
        <v>1876</v>
      </c>
      <c r="B15580" t="s">
        <v>398</v>
      </c>
      <c r="C15580" t="s">
        <v>229</v>
      </c>
      <c r="D15580">
        <v>2749</v>
      </c>
      <c r="E15580">
        <v>2823</v>
      </c>
      <c r="F15580">
        <v>2015</v>
      </c>
      <c r="G15580">
        <v>1929</v>
      </c>
    </row>
    <row r="15581" spans="1:7">
      <c r="A15581" t="s">
        <v>1876</v>
      </c>
      <c r="B15581" t="s">
        <v>398</v>
      </c>
      <c r="C15581" t="s">
        <v>230</v>
      </c>
      <c r="D15581">
        <v>1876</v>
      </c>
      <c r="E15581">
        <v>1886</v>
      </c>
      <c r="F15581">
        <v>1378</v>
      </c>
      <c r="G15581">
        <v>1284</v>
      </c>
    </row>
    <row r="15582" spans="1:7">
      <c r="A15582" t="s">
        <v>1876</v>
      </c>
      <c r="B15582" t="s">
        <v>398</v>
      </c>
      <c r="C15582" t="s">
        <v>231</v>
      </c>
      <c r="D15582">
        <v>4624</v>
      </c>
      <c r="E15582">
        <v>4710</v>
      </c>
      <c r="F15582">
        <v>3392</v>
      </c>
      <c r="G15582">
        <v>3213</v>
      </c>
    </row>
    <row r="15583" spans="1:7">
      <c r="A15583" t="s">
        <v>1876</v>
      </c>
      <c r="B15583" t="s">
        <v>398</v>
      </c>
      <c r="C15583" t="s">
        <v>232</v>
      </c>
      <c r="D15583">
        <v>4624</v>
      </c>
      <c r="E15583">
        <v>4710</v>
      </c>
      <c r="F15583">
        <v>3392</v>
      </c>
      <c r="G15583">
        <v>3213</v>
      </c>
    </row>
    <row r="15584" spans="1:7">
      <c r="A15584" t="s">
        <v>1876</v>
      </c>
      <c r="B15584" t="s">
        <v>398</v>
      </c>
      <c r="C15584" t="s">
        <v>233</v>
      </c>
      <c r="D15584">
        <v>0</v>
      </c>
      <c r="E15584">
        <v>0</v>
      </c>
      <c r="F15584">
        <v>0</v>
      </c>
      <c r="G15584">
        <v>0</v>
      </c>
    </row>
    <row r="15585" spans="1:7">
      <c r="A15585" t="s">
        <v>1876</v>
      </c>
      <c r="B15585" t="s">
        <v>398</v>
      </c>
      <c r="C15585" t="s">
        <v>234</v>
      </c>
      <c r="D15585">
        <v>291963</v>
      </c>
      <c r="E15585">
        <v>292795</v>
      </c>
      <c r="F15585">
        <v>299479</v>
      </c>
      <c r="G15585">
        <v>299072</v>
      </c>
    </row>
    <row r="15586" spans="1:7">
      <c r="A15586" t="s">
        <v>1876</v>
      </c>
      <c r="B15586" t="s">
        <v>398</v>
      </c>
      <c r="C15586" t="s">
        <v>235</v>
      </c>
      <c r="D15586">
        <v>8150</v>
      </c>
      <c r="E15586">
        <v>8545</v>
      </c>
      <c r="F15586">
        <v>8512</v>
      </c>
      <c r="G15586">
        <v>7511</v>
      </c>
    </row>
    <row r="15587" spans="1:7">
      <c r="A15587" t="s">
        <v>1876</v>
      </c>
      <c r="B15587" t="s">
        <v>398</v>
      </c>
      <c r="C15587" t="s">
        <v>236</v>
      </c>
      <c r="D15587">
        <v>5047</v>
      </c>
      <c r="E15587">
        <v>5245</v>
      </c>
      <c r="F15587">
        <v>5356</v>
      </c>
      <c r="G15587">
        <v>4905</v>
      </c>
    </row>
    <row r="15588" spans="1:7">
      <c r="A15588" t="s">
        <v>1876</v>
      </c>
      <c r="B15588" t="s">
        <v>398</v>
      </c>
      <c r="C15588" t="s">
        <v>237</v>
      </c>
      <c r="D15588">
        <v>305160</v>
      </c>
      <c r="E15588">
        <v>306585</v>
      </c>
      <c r="F15588">
        <v>313347</v>
      </c>
      <c r="G15588">
        <v>311488</v>
      </c>
    </row>
    <row r="15589" spans="1:7">
      <c r="A15589" t="s">
        <v>1876</v>
      </c>
      <c r="B15589" t="s">
        <v>398</v>
      </c>
      <c r="C15589" t="s">
        <v>238</v>
      </c>
      <c r="D15589">
        <v>305160</v>
      </c>
      <c r="E15589">
        <v>306585</v>
      </c>
      <c r="F15589">
        <v>313347</v>
      </c>
      <c r="G15589">
        <v>311488</v>
      </c>
    </row>
    <row r="15590" spans="1:7">
      <c r="A15590" t="s">
        <v>1876</v>
      </c>
      <c r="B15590" t="s">
        <v>398</v>
      </c>
      <c r="C15590" t="s">
        <v>1934</v>
      </c>
      <c r="D15590">
        <v>270491</v>
      </c>
      <c r="E15590">
        <v>271184</v>
      </c>
      <c r="F15590">
        <v>277385</v>
      </c>
      <c r="G15590">
        <v>277098</v>
      </c>
    </row>
    <row r="15591" spans="1:7">
      <c r="A15591" t="s">
        <v>1876</v>
      </c>
      <c r="B15591" t="s">
        <v>398</v>
      </c>
      <c r="C15591" t="s">
        <v>1935</v>
      </c>
      <c r="D15591">
        <v>7550</v>
      </c>
      <c r="E15591">
        <v>7914</v>
      </c>
      <c r="F15591">
        <v>7884</v>
      </c>
      <c r="G15591">
        <v>6959</v>
      </c>
    </row>
    <row r="15592" spans="1:7">
      <c r="A15592" t="s">
        <v>1876</v>
      </c>
      <c r="B15592" t="s">
        <v>398</v>
      </c>
      <c r="C15592" t="s">
        <v>1936</v>
      </c>
      <c r="D15592">
        <v>4676</v>
      </c>
      <c r="E15592">
        <v>4858</v>
      </c>
      <c r="F15592">
        <v>4961</v>
      </c>
      <c r="G15592">
        <v>4545</v>
      </c>
    </row>
    <row r="15593" spans="1:7">
      <c r="A15593" t="s">
        <v>1876</v>
      </c>
      <c r="B15593" t="s">
        <v>398</v>
      </c>
      <c r="C15593" t="s">
        <v>239</v>
      </c>
      <c r="D15593">
        <v>282717</v>
      </c>
      <c r="E15593">
        <v>283957</v>
      </c>
      <c r="F15593">
        <v>290230</v>
      </c>
      <c r="G15593">
        <v>288602</v>
      </c>
    </row>
    <row r="15594" spans="1:7">
      <c r="A15594" t="s">
        <v>1876</v>
      </c>
      <c r="B15594" t="s">
        <v>398</v>
      </c>
      <c r="C15594" t="s">
        <v>240</v>
      </c>
      <c r="D15594">
        <v>1033</v>
      </c>
      <c r="E15594">
        <v>1166</v>
      </c>
      <c r="F15594">
        <v>1120</v>
      </c>
      <c r="G15594">
        <v>1097</v>
      </c>
    </row>
    <row r="15595" spans="1:7">
      <c r="A15595" t="s">
        <v>1876</v>
      </c>
      <c r="B15595" t="s">
        <v>398</v>
      </c>
      <c r="C15595" t="s">
        <v>241</v>
      </c>
      <c r="D15595">
        <v>0</v>
      </c>
      <c r="E15595">
        <v>0</v>
      </c>
      <c r="F15595">
        <v>0</v>
      </c>
      <c r="G15595">
        <v>0</v>
      </c>
    </row>
    <row r="15596" spans="1:7">
      <c r="A15596" t="s">
        <v>1876</v>
      </c>
      <c r="B15596" t="s">
        <v>398</v>
      </c>
      <c r="C15596" t="s">
        <v>242</v>
      </c>
      <c r="D15596">
        <v>15549</v>
      </c>
      <c r="E15596">
        <v>18926</v>
      </c>
      <c r="F15596">
        <v>19607</v>
      </c>
      <c r="G15596">
        <v>19062</v>
      </c>
    </row>
    <row r="15597" spans="1:7">
      <c r="A15597" t="s">
        <v>1876</v>
      </c>
      <c r="B15597" t="s">
        <v>398</v>
      </c>
      <c r="C15597" t="s">
        <v>243</v>
      </c>
      <c r="D15597">
        <v>62542</v>
      </c>
      <c r="E15597">
        <v>68712</v>
      </c>
      <c r="F15597">
        <v>65092</v>
      </c>
      <c r="G15597">
        <v>64374</v>
      </c>
    </row>
    <row r="15598" spans="1:7">
      <c r="A15598" t="s">
        <v>1876</v>
      </c>
      <c r="B15598" t="s">
        <v>398</v>
      </c>
      <c r="C15598" t="s">
        <v>244</v>
      </c>
      <c r="D15598">
        <v>121752</v>
      </c>
      <c r="E15598">
        <v>104783</v>
      </c>
      <c r="F15598">
        <v>147332</v>
      </c>
      <c r="G15598">
        <v>135070</v>
      </c>
    </row>
    <row r="15599" spans="1:7">
      <c r="A15599" t="s">
        <v>1876</v>
      </c>
      <c r="B15599" t="s">
        <v>398</v>
      </c>
      <c r="C15599" t="s">
        <v>1709</v>
      </c>
      <c r="D15599">
        <v>3377</v>
      </c>
      <c r="E15599">
        <v>3372</v>
      </c>
      <c r="F15599">
        <v>3375</v>
      </c>
      <c r="G15599">
        <v>3385</v>
      </c>
    </row>
    <row r="15600" spans="1:7">
      <c r="A15600" t="s">
        <v>1876</v>
      </c>
      <c r="B15600" t="s">
        <v>398</v>
      </c>
      <c r="C15600" t="s">
        <v>245</v>
      </c>
      <c r="D15600">
        <v>87684</v>
      </c>
      <c r="E15600">
        <v>87168</v>
      </c>
      <c r="F15600">
        <v>78536</v>
      </c>
      <c r="G15600">
        <v>85421</v>
      </c>
    </row>
    <row r="15601" spans="1:7">
      <c r="A15601" t="s">
        <v>1876</v>
      </c>
      <c r="B15601" t="s">
        <v>398</v>
      </c>
      <c r="C15601" t="s">
        <v>246</v>
      </c>
      <c r="D15601">
        <v>97242</v>
      </c>
      <c r="E15601">
        <v>102295</v>
      </c>
      <c r="F15601">
        <v>94520</v>
      </c>
      <c r="G15601">
        <v>92277</v>
      </c>
    </row>
    <row r="15602" spans="1:7">
      <c r="A15602" t="s">
        <v>1876</v>
      </c>
      <c r="B15602" t="s">
        <v>398</v>
      </c>
      <c r="C15602" t="s">
        <v>247</v>
      </c>
      <c r="D15602">
        <v>384769</v>
      </c>
      <c r="E15602">
        <v>381886</v>
      </c>
      <c r="F15602">
        <v>405086</v>
      </c>
      <c r="G15602">
        <v>396204</v>
      </c>
    </row>
    <row r="15603" spans="1:7">
      <c r="A15603" t="s">
        <v>1876</v>
      </c>
      <c r="B15603" t="s">
        <v>398</v>
      </c>
      <c r="C15603" t="s">
        <v>248</v>
      </c>
      <c r="D15603">
        <v>49.7</v>
      </c>
      <c r="E15603">
        <v>49</v>
      </c>
      <c r="F15603">
        <v>51.7</v>
      </c>
      <c r="G15603">
        <v>50</v>
      </c>
    </row>
    <row r="15604" spans="1:7">
      <c r="A15604" t="s">
        <v>1876</v>
      </c>
      <c r="B15604" t="s">
        <v>398</v>
      </c>
      <c r="C15604" t="s">
        <v>249</v>
      </c>
      <c r="D15604">
        <v>263017</v>
      </c>
      <c r="E15604">
        <v>277102</v>
      </c>
      <c r="F15604">
        <v>257755</v>
      </c>
      <c r="G15604">
        <v>261134</v>
      </c>
    </row>
    <row r="15605" spans="1:7">
      <c r="A15605" t="s">
        <v>1876</v>
      </c>
      <c r="B15605" t="s">
        <v>398</v>
      </c>
      <c r="C15605" t="s">
        <v>250</v>
      </c>
      <c r="D15605">
        <v>384769</v>
      </c>
      <c r="E15605">
        <v>381886</v>
      </c>
      <c r="F15605">
        <v>402323</v>
      </c>
      <c r="G15605">
        <v>394139</v>
      </c>
    </row>
    <row r="15606" spans="1:7">
      <c r="A15606" t="s">
        <v>1876</v>
      </c>
      <c r="B15606" t="s">
        <v>398</v>
      </c>
      <c r="C15606" t="s">
        <v>1937</v>
      </c>
      <c r="D15606">
        <v>22.4</v>
      </c>
      <c r="E15606">
        <v>20.5</v>
      </c>
      <c r="F15606">
        <v>40.5</v>
      </c>
      <c r="G15606">
        <v>30.1</v>
      </c>
    </row>
    <row r="15607" spans="1:7">
      <c r="A15607" t="s">
        <v>1876</v>
      </c>
      <c r="B15607" t="s">
        <v>398</v>
      </c>
      <c r="C15607" t="s">
        <v>1938</v>
      </c>
      <c r="D15607">
        <v>84.4</v>
      </c>
      <c r="E15607">
        <v>97.7</v>
      </c>
      <c r="F15607">
        <v>83.7</v>
      </c>
      <c r="G15607">
        <v>98.6</v>
      </c>
    </row>
    <row r="15608" spans="1:7">
      <c r="A15608" t="s">
        <v>1876</v>
      </c>
      <c r="B15608" t="s">
        <v>398</v>
      </c>
      <c r="C15608" t="s">
        <v>251</v>
      </c>
      <c r="D15608">
        <v>88764</v>
      </c>
      <c r="E15608">
        <v>102929</v>
      </c>
      <c r="F15608">
        <v>88163</v>
      </c>
      <c r="G15608">
        <v>104087</v>
      </c>
    </row>
    <row r="15609" spans="1:7">
      <c r="A15609" t="s">
        <v>1876</v>
      </c>
      <c r="B15609" t="s">
        <v>398</v>
      </c>
      <c r="C15609" t="s">
        <v>252</v>
      </c>
      <c r="D15609">
        <v>88764</v>
      </c>
      <c r="E15609">
        <v>102929</v>
      </c>
      <c r="F15609">
        <v>88163</v>
      </c>
      <c r="G15609">
        <v>104087</v>
      </c>
    </row>
    <row r="15610" spans="1:7">
      <c r="A15610" t="s">
        <v>1876</v>
      </c>
      <c r="B15610" t="s">
        <v>398</v>
      </c>
      <c r="C15610" t="s">
        <v>1710</v>
      </c>
      <c r="D15610">
        <v>1151</v>
      </c>
      <c r="E15610">
        <v>1151</v>
      </c>
      <c r="F15610">
        <v>1151</v>
      </c>
      <c r="G15610">
        <v>1151</v>
      </c>
    </row>
    <row r="15611" spans="1:7">
      <c r="A15611" t="s">
        <v>1876</v>
      </c>
      <c r="B15611" t="s">
        <v>398</v>
      </c>
      <c r="C15611" t="s">
        <v>1939</v>
      </c>
      <c r="D15611">
        <v>28.8</v>
      </c>
      <c r="E15611">
        <v>34</v>
      </c>
      <c r="F15611">
        <v>31.9</v>
      </c>
      <c r="G15611">
        <v>26.7</v>
      </c>
    </row>
    <row r="15612" spans="1:7">
      <c r="A15612" t="s">
        <v>1876</v>
      </c>
      <c r="B15612" t="s">
        <v>398</v>
      </c>
      <c r="C15612" t="s">
        <v>253</v>
      </c>
      <c r="D15612">
        <v>0</v>
      </c>
      <c r="E15612">
        <v>0</v>
      </c>
      <c r="F15612">
        <v>0</v>
      </c>
      <c r="G15612">
        <v>0</v>
      </c>
    </row>
    <row r="15613" spans="1:7">
      <c r="A15613" t="s">
        <v>1876</v>
      </c>
      <c r="B15613" t="s">
        <v>398</v>
      </c>
      <c r="C15613" t="s">
        <v>1711</v>
      </c>
      <c r="D15613">
        <v>0</v>
      </c>
      <c r="E15613">
        <v>0</v>
      </c>
      <c r="F15613">
        <v>0</v>
      </c>
      <c r="G15613">
        <v>0</v>
      </c>
    </row>
    <row r="15614" spans="1:7">
      <c r="A15614" t="s">
        <v>1876</v>
      </c>
      <c r="B15614" t="s">
        <v>398</v>
      </c>
      <c r="C15614" t="s">
        <v>1712</v>
      </c>
      <c r="D15614">
        <v>58519</v>
      </c>
      <c r="E15614">
        <v>56777</v>
      </c>
      <c r="F15614">
        <v>55708</v>
      </c>
      <c r="G15614">
        <v>53931</v>
      </c>
    </row>
    <row r="15615" spans="1:7">
      <c r="A15615" t="s">
        <v>1876</v>
      </c>
      <c r="B15615" t="s">
        <v>398</v>
      </c>
      <c r="C15615" t="s">
        <v>1713</v>
      </c>
      <c r="D15615">
        <v>1295</v>
      </c>
      <c r="E15615">
        <v>1343</v>
      </c>
      <c r="F15615">
        <v>10975</v>
      </c>
      <c r="G15615">
        <v>24717</v>
      </c>
    </row>
    <row r="15616" spans="1:7">
      <c r="A15616" t="s">
        <v>1876</v>
      </c>
      <c r="B15616" t="s">
        <v>398</v>
      </c>
      <c r="C15616" t="s">
        <v>1940</v>
      </c>
      <c r="D15616">
        <v>0</v>
      </c>
      <c r="E15616">
        <v>0</v>
      </c>
      <c r="F15616">
        <v>0</v>
      </c>
      <c r="G15616">
        <v>0</v>
      </c>
    </row>
    <row r="15617" spans="1:7">
      <c r="A15617" t="s">
        <v>1876</v>
      </c>
      <c r="B15617" t="s">
        <v>398</v>
      </c>
      <c r="C15617" t="s">
        <v>1941</v>
      </c>
      <c r="D15617">
        <v>0</v>
      </c>
      <c r="E15617">
        <v>0</v>
      </c>
      <c r="F15617">
        <v>0</v>
      </c>
      <c r="G15617">
        <v>0</v>
      </c>
    </row>
    <row r="15618" spans="1:7">
      <c r="A15618" t="s">
        <v>1876</v>
      </c>
      <c r="B15618" t="s">
        <v>398</v>
      </c>
      <c r="C15618" t="s">
        <v>254</v>
      </c>
      <c r="D15618">
        <v>58519</v>
      </c>
      <c r="E15618">
        <v>56777</v>
      </c>
      <c r="F15618">
        <v>55708</v>
      </c>
      <c r="G15618">
        <v>53931</v>
      </c>
    </row>
    <row r="15619" spans="1:7">
      <c r="A15619" t="s">
        <v>1876</v>
      </c>
      <c r="B15619" t="s">
        <v>398</v>
      </c>
      <c r="C15619" t="s">
        <v>1942</v>
      </c>
      <c r="D15619">
        <v>0</v>
      </c>
      <c r="E15619">
        <v>0</v>
      </c>
      <c r="F15619">
        <v>0</v>
      </c>
      <c r="G15619">
        <v>0</v>
      </c>
    </row>
    <row r="15620" spans="1:7">
      <c r="A15620" t="s">
        <v>1876</v>
      </c>
      <c r="B15620" t="s">
        <v>398</v>
      </c>
      <c r="C15620" t="s">
        <v>255</v>
      </c>
      <c r="D15620">
        <v>59815</v>
      </c>
      <c r="E15620">
        <v>58120</v>
      </c>
      <c r="F15620">
        <v>66683</v>
      </c>
      <c r="G15620">
        <v>78648</v>
      </c>
    </row>
    <row r="15621" spans="1:7">
      <c r="A15621" t="s">
        <v>1876</v>
      </c>
      <c r="B15621" t="s">
        <v>398</v>
      </c>
      <c r="C15621" t="s">
        <v>256</v>
      </c>
      <c r="D15621">
        <v>59815</v>
      </c>
      <c r="E15621">
        <v>58120</v>
      </c>
      <c r="F15621">
        <v>66683</v>
      </c>
      <c r="G15621">
        <v>78648</v>
      </c>
    </row>
    <row r="15622" spans="1:7">
      <c r="A15622" t="s">
        <v>1876</v>
      </c>
      <c r="B15622" t="s">
        <v>398</v>
      </c>
      <c r="C15622" t="s">
        <v>1714</v>
      </c>
      <c r="D15622">
        <v>0</v>
      </c>
      <c r="E15622">
        <v>0</v>
      </c>
      <c r="F15622">
        <v>0</v>
      </c>
      <c r="G15622">
        <v>0</v>
      </c>
    </row>
    <row r="15623" spans="1:7">
      <c r="A15623" t="s">
        <v>1876</v>
      </c>
      <c r="B15623" t="s">
        <v>398</v>
      </c>
      <c r="C15623" t="s">
        <v>257</v>
      </c>
      <c r="D15623">
        <v>86595</v>
      </c>
      <c r="E15623">
        <v>84697</v>
      </c>
      <c r="F15623">
        <v>82441</v>
      </c>
      <c r="G15623">
        <v>83708</v>
      </c>
    </row>
    <row r="15624" spans="1:7">
      <c r="A15624" t="s">
        <v>1876</v>
      </c>
      <c r="B15624" t="s">
        <v>398</v>
      </c>
      <c r="C15624" t="s">
        <v>258</v>
      </c>
      <c r="D15624">
        <v>91242</v>
      </c>
      <c r="E15624">
        <v>89481</v>
      </c>
      <c r="F15624">
        <v>96050</v>
      </c>
      <c r="G15624">
        <v>110999</v>
      </c>
    </row>
    <row r="15625" spans="1:7">
      <c r="A15625" t="s">
        <v>1876</v>
      </c>
      <c r="B15625" t="s">
        <v>398</v>
      </c>
      <c r="C15625" t="s">
        <v>259</v>
      </c>
      <c r="D15625">
        <v>91242</v>
      </c>
      <c r="E15625">
        <v>89481</v>
      </c>
      <c r="F15625">
        <v>96050</v>
      </c>
      <c r="G15625">
        <v>110999</v>
      </c>
    </row>
    <row r="15626" spans="1:7">
      <c r="A15626" t="s">
        <v>1876</v>
      </c>
      <c r="B15626" t="s">
        <v>398</v>
      </c>
      <c r="C15626" t="s">
        <v>260</v>
      </c>
      <c r="D15626">
        <v>587155</v>
      </c>
      <c r="E15626">
        <v>602374</v>
      </c>
      <c r="F15626">
        <v>600562</v>
      </c>
      <c r="G15626">
        <v>619315</v>
      </c>
    </row>
    <row r="15627" spans="1:7">
      <c r="A15627" t="s">
        <v>1876</v>
      </c>
      <c r="B15627" t="s">
        <v>398</v>
      </c>
      <c r="C15627" t="s">
        <v>1943</v>
      </c>
      <c r="D15627">
        <v>0.6</v>
      </c>
      <c r="E15627">
        <v>0.7</v>
      </c>
      <c r="F15627">
        <v>0.2</v>
      </c>
      <c r="G15627">
        <v>0.3</v>
      </c>
    </row>
    <row r="15628" spans="1:7">
      <c r="A15628" t="s">
        <v>1876</v>
      </c>
      <c r="B15628" t="s">
        <v>398</v>
      </c>
      <c r="C15628" t="s">
        <v>261</v>
      </c>
      <c r="D15628">
        <v>20257</v>
      </c>
      <c r="E15628">
        <v>20108</v>
      </c>
      <c r="F15628">
        <v>19930</v>
      </c>
      <c r="G15628">
        <v>18540</v>
      </c>
    </row>
    <row r="15629" spans="1:7">
      <c r="A15629" t="s">
        <v>1876</v>
      </c>
      <c r="B15629" t="s">
        <v>398</v>
      </c>
      <c r="C15629" t="s">
        <v>262</v>
      </c>
      <c r="D15629">
        <v>128</v>
      </c>
      <c r="E15629">
        <v>267</v>
      </c>
      <c r="F15629">
        <v>242</v>
      </c>
      <c r="G15629">
        <v>573</v>
      </c>
    </row>
    <row r="15630" spans="1:7">
      <c r="A15630" t="s">
        <v>1876</v>
      </c>
      <c r="B15630" t="s">
        <v>398</v>
      </c>
      <c r="C15630" t="s">
        <v>1715</v>
      </c>
      <c r="D15630">
        <v>15</v>
      </c>
      <c r="E15630">
        <v>17</v>
      </c>
      <c r="F15630">
        <v>17</v>
      </c>
      <c r="G15630">
        <v>23</v>
      </c>
    </row>
    <row r="15631" spans="1:7">
      <c r="A15631" t="s">
        <v>1876</v>
      </c>
      <c r="B15631" t="s">
        <v>398</v>
      </c>
      <c r="C15631" t="s">
        <v>263</v>
      </c>
      <c r="D15631">
        <v>115466</v>
      </c>
      <c r="E15631">
        <v>116068</v>
      </c>
      <c r="F15631">
        <v>111163</v>
      </c>
      <c r="G15631">
        <v>110919</v>
      </c>
    </row>
    <row r="15632" spans="1:7">
      <c r="A15632" t="s">
        <v>1876</v>
      </c>
      <c r="B15632" t="s">
        <v>398</v>
      </c>
      <c r="C15632" t="s">
        <v>264</v>
      </c>
      <c r="D15632">
        <v>13489</v>
      </c>
      <c r="E15632">
        <v>12227</v>
      </c>
      <c r="F15632">
        <v>12587</v>
      </c>
      <c r="G15632">
        <v>12704</v>
      </c>
    </row>
    <row r="15633" spans="1:7">
      <c r="A15633" t="s">
        <v>1876</v>
      </c>
      <c r="B15633" t="s">
        <v>398</v>
      </c>
      <c r="C15633" t="s">
        <v>265</v>
      </c>
      <c r="D15633">
        <v>736495</v>
      </c>
      <c r="E15633">
        <v>751044</v>
      </c>
      <c r="F15633">
        <v>744485</v>
      </c>
      <c r="G15633">
        <v>762050</v>
      </c>
    </row>
    <row r="15634" spans="1:7">
      <c r="A15634" t="s">
        <v>1876</v>
      </c>
      <c r="B15634" t="s">
        <v>398</v>
      </c>
      <c r="C15634" t="s">
        <v>266</v>
      </c>
      <c r="D15634">
        <v>95.1</v>
      </c>
      <c r="E15634">
        <v>96.5</v>
      </c>
      <c r="F15634">
        <v>95</v>
      </c>
      <c r="G15634">
        <v>96.1</v>
      </c>
    </row>
    <row r="15635" spans="1:7">
      <c r="A15635" t="s">
        <v>1876</v>
      </c>
      <c r="B15635" t="s">
        <v>398</v>
      </c>
      <c r="C15635" t="s">
        <v>267</v>
      </c>
      <c r="D15635">
        <v>736367</v>
      </c>
      <c r="E15635">
        <v>750778</v>
      </c>
      <c r="F15635">
        <v>744242</v>
      </c>
      <c r="G15635">
        <v>761477</v>
      </c>
    </row>
    <row r="15636" spans="1:7">
      <c r="A15636" t="s">
        <v>1876</v>
      </c>
      <c r="B15636" t="s">
        <v>398</v>
      </c>
      <c r="C15636" t="s">
        <v>268</v>
      </c>
      <c r="D15636">
        <v>0</v>
      </c>
      <c r="E15636">
        <v>0</v>
      </c>
      <c r="F15636">
        <v>0</v>
      </c>
      <c r="G15636">
        <v>0</v>
      </c>
    </row>
    <row r="15637" spans="1:7">
      <c r="A15637" t="s">
        <v>1876</v>
      </c>
      <c r="B15637" t="s">
        <v>398</v>
      </c>
      <c r="C15637" t="s">
        <v>269</v>
      </c>
      <c r="D15637">
        <v>0</v>
      </c>
      <c r="E15637">
        <v>0</v>
      </c>
      <c r="F15637">
        <v>0</v>
      </c>
      <c r="G15637">
        <v>0</v>
      </c>
    </row>
    <row r="15638" spans="1:7">
      <c r="A15638" t="s">
        <v>1876</v>
      </c>
      <c r="B15638" t="s">
        <v>398</v>
      </c>
      <c r="C15638" t="s">
        <v>270</v>
      </c>
      <c r="D15638">
        <v>13391</v>
      </c>
      <c r="E15638">
        <v>13460</v>
      </c>
      <c r="F15638">
        <v>13901</v>
      </c>
      <c r="G15638">
        <v>13907</v>
      </c>
    </row>
    <row r="15639" spans="1:7">
      <c r="A15639" t="s">
        <v>1876</v>
      </c>
      <c r="B15639" t="s">
        <v>398</v>
      </c>
      <c r="C15639" t="s">
        <v>271</v>
      </c>
      <c r="D15639">
        <v>13391</v>
      </c>
      <c r="E15639">
        <v>13460</v>
      </c>
      <c r="F15639">
        <v>13901</v>
      </c>
      <c r="G15639">
        <v>13907</v>
      </c>
    </row>
    <row r="15640" spans="1:7">
      <c r="A15640" t="s">
        <v>1876</v>
      </c>
      <c r="B15640" t="s">
        <v>398</v>
      </c>
      <c r="C15640" t="s">
        <v>272</v>
      </c>
      <c r="D15640">
        <v>13391</v>
      </c>
      <c r="E15640">
        <v>13460</v>
      </c>
      <c r="F15640">
        <v>13901</v>
      </c>
      <c r="G15640">
        <v>13907</v>
      </c>
    </row>
    <row r="15641" spans="1:7">
      <c r="A15641" t="s">
        <v>1876</v>
      </c>
      <c r="B15641" t="s">
        <v>398</v>
      </c>
      <c r="C15641" t="s">
        <v>1944</v>
      </c>
      <c r="D15641">
        <v>23.7</v>
      </c>
      <c r="E15641">
        <v>29</v>
      </c>
      <c r="F15641">
        <v>36.299999999999997</v>
      </c>
      <c r="G15641">
        <v>46.7</v>
      </c>
    </row>
    <row r="15642" spans="1:7">
      <c r="A15642" t="s">
        <v>1876</v>
      </c>
      <c r="B15642" t="s">
        <v>398</v>
      </c>
      <c r="C15642" t="s">
        <v>1945</v>
      </c>
      <c r="D15642">
        <v>40</v>
      </c>
      <c r="E15642">
        <v>54</v>
      </c>
      <c r="F15642">
        <v>92</v>
      </c>
      <c r="G15642">
        <v>115</v>
      </c>
    </row>
    <row r="15643" spans="1:7">
      <c r="A15643" t="s">
        <v>1876</v>
      </c>
      <c r="B15643" t="s">
        <v>398</v>
      </c>
      <c r="C15643" t="s">
        <v>273</v>
      </c>
      <c r="D15643">
        <v>0</v>
      </c>
      <c r="E15643">
        <v>0</v>
      </c>
      <c r="F15643">
        <v>0</v>
      </c>
      <c r="G15643">
        <v>0</v>
      </c>
    </row>
    <row r="15644" spans="1:7">
      <c r="A15644" t="s">
        <v>1876</v>
      </c>
      <c r="B15644" t="s">
        <v>398</v>
      </c>
      <c r="C15644" t="s">
        <v>1946</v>
      </c>
      <c r="D15644">
        <v>563427</v>
      </c>
      <c r="E15644">
        <v>578473</v>
      </c>
      <c r="F15644">
        <v>566134</v>
      </c>
      <c r="G15644">
        <v>570349</v>
      </c>
    </row>
    <row r="15645" spans="1:7">
      <c r="A15645" t="s">
        <v>1876</v>
      </c>
      <c r="B15645" t="s">
        <v>398</v>
      </c>
      <c r="C15645" t="s">
        <v>1947</v>
      </c>
      <c r="D15645">
        <v>19658</v>
      </c>
      <c r="E15645">
        <v>19478</v>
      </c>
      <c r="F15645">
        <v>19302</v>
      </c>
      <c r="G15645">
        <v>17988</v>
      </c>
    </row>
    <row r="15646" spans="1:7">
      <c r="A15646" t="s">
        <v>1876</v>
      </c>
      <c r="B15646" t="s">
        <v>398</v>
      </c>
      <c r="C15646" t="s">
        <v>1948</v>
      </c>
      <c r="D15646">
        <v>128</v>
      </c>
      <c r="E15646">
        <v>267</v>
      </c>
      <c r="F15646">
        <v>242</v>
      </c>
      <c r="G15646">
        <v>573</v>
      </c>
    </row>
    <row r="15647" spans="1:7">
      <c r="A15647" t="s">
        <v>1876</v>
      </c>
      <c r="B15647" t="s">
        <v>398</v>
      </c>
      <c r="C15647" t="s">
        <v>1949</v>
      </c>
      <c r="D15647">
        <v>115095</v>
      </c>
      <c r="E15647">
        <v>115681</v>
      </c>
      <c r="F15647">
        <v>110768</v>
      </c>
      <c r="G15647">
        <v>110558</v>
      </c>
    </row>
    <row r="15648" spans="1:7">
      <c r="A15648" t="s">
        <v>1876</v>
      </c>
      <c r="B15648" t="s">
        <v>398</v>
      </c>
      <c r="C15648" t="s">
        <v>1950</v>
      </c>
      <c r="D15648">
        <v>13489</v>
      </c>
      <c r="E15648">
        <v>12227</v>
      </c>
      <c r="F15648">
        <v>12587</v>
      </c>
      <c r="G15648">
        <v>12704</v>
      </c>
    </row>
    <row r="15649" spans="1:7">
      <c r="A15649" t="s">
        <v>1876</v>
      </c>
      <c r="B15649" t="s">
        <v>398</v>
      </c>
      <c r="C15649" t="s">
        <v>274</v>
      </c>
      <c r="D15649">
        <v>711797</v>
      </c>
      <c r="E15649">
        <v>726125</v>
      </c>
      <c r="F15649">
        <v>709034</v>
      </c>
      <c r="G15649">
        <v>712171</v>
      </c>
    </row>
    <row r="15650" spans="1:7">
      <c r="A15650" t="s">
        <v>1876</v>
      </c>
      <c r="B15650" t="s">
        <v>398</v>
      </c>
      <c r="C15650" t="s">
        <v>275</v>
      </c>
      <c r="D15650">
        <v>0</v>
      </c>
      <c r="E15650">
        <v>0</v>
      </c>
      <c r="F15650">
        <v>0</v>
      </c>
      <c r="G15650">
        <v>0</v>
      </c>
    </row>
    <row r="15651" spans="1:7">
      <c r="A15651" t="s">
        <v>1876</v>
      </c>
      <c r="B15651" t="s">
        <v>398</v>
      </c>
      <c r="C15651" t="s">
        <v>276</v>
      </c>
      <c r="D15651">
        <v>0</v>
      </c>
      <c r="E15651">
        <v>0</v>
      </c>
      <c r="F15651">
        <v>0</v>
      </c>
      <c r="G15651">
        <v>0</v>
      </c>
    </row>
    <row r="15652" spans="1:7">
      <c r="A15652" t="s">
        <v>1876</v>
      </c>
      <c r="B15652" t="s">
        <v>398</v>
      </c>
      <c r="C15652" t="s">
        <v>277</v>
      </c>
      <c r="D15652">
        <v>763</v>
      </c>
      <c r="E15652">
        <v>375</v>
      </c>
      <c r="F15652">
        <v>390</v>
      </c>
      <c r="G15652">
        <v>257</v>
      </c>
    </row>
    <row r="15653" spans="1:7">
      <c r="A15653" t="s">
        <v>1876</v>
      </c>
      <c r="B15653" t="s">
        <v>398</v>
      </c>
      <c r="C15653" t="s">
        <v>278</v>
      </c>
      <c r="D15653">
        <v>5268</v>
      </c>
      <c r="E15653">
        <v>4873</v>
      </c>
      <c r="F15653">
        <v>4682</v>
      </c>
      <c r="G15653">
        <v>4482</v>
      </c>
    </row>
    <row r="15654" spans="1:7">
      <c r="A15654" t="s">
        <v>1876</v>
      </c>
      <c r="B15654" t="s">
        <v>398</v>
      </c>
      <c r="C15654" t="s">
        <v>279</v>
      </c>
      <c r="D15654">
        <v>3577</v>
      </c>
      <c r="E15654">
        <v>5657</v>
      </c>
      <c r="F15654">
        <v>3393</v>
      </c>
      <c r="G15654">
        <v>2920</v>
      </c>
    </row>
    <row r="15655" spans="1:7">
      <c r="A15655" t="s">
        <v>1876</v>
      </c>
      <c r="B15655" t="s">
        <v>398</v>
      </c>
      <c r="C15655" t="s">
        <v>280</v>
      </c>
      <c r="D15655">
        <v>9359</v>
      </c>
      <c r="E15655">
        <v>8137</v>
      </c>
      <c r="F15655">
        <v>8457</v>
      </c>
      <c r="G15655">
        <v>8783</v>
      </c>
    </row>
    <row r="15656" spans="1:7">
      <c r="A15656" t="s">
        <v>1876</v>
      </c>
      <c r="B15656" t="s">
        <v>398</v>
      </c>
      <c r="C15656" t="s">
        <v>281</v>
      </c>
      <c r="D15656">
        <v>18968</v>
      </c>
      <c r="E15656">
        <v>19043</v>
      </c>
      <c r="F15656">
        <v>16922</v>
      </c>
      <c r="G15656">
        <v>16443</v>
      </c>
    </row>
    <row r="15657" spans="1:7">
      <c r="A15657" t="s">
        <v>1876</v>
      </c>
      <c r="B15657" t="s">
        <v>398</v>
      </c>
      <c r="C15657" t="s">
        <v>282</v>
      </c>
      <c r="D15657">
        <v>18968</v>
      </c>
      <c r="E15657">
        <v>19043</v>
      </c>
      <c r="F15657">
        <v>16922</v>
      </c>
      <c r="G15657">
        <v>16443</v>
      </c>
    </row>
    <row r="15658" spans="1:7">
      <c r="A15658" t="s">
        <v>1876</v>
      </c>
      <c r="B15658" t="s">
        <v>398</v>
      </c>
      <c r="C15658" t="s">
        <v>283</v>
      </c>
      <c r="D15658">
        <v>0</v>
      </c>
      <c r="E15658">
        <v>0</v>
      </c>
      <c r="F15658">
        <v>0</v>
      </c>
      <c r="G15658">
        <v>0</v>
      </c>
    </row>
    <row r="15659" spans="1:7">
      <c r="A15659" t="s">
        <v>1876</v>
      </c>
      <c r="B15659" t="s">
        <v>398</v>
      </c>
      <c r="C15659" t="s">
        <v>284</v>
      </c>
      <c r="D15659">
        <v>0</v>
      </c>
      <c r="E15659">
        <v>0</v>
      </c>
      <c r="F15659">
        <v>0</v>
      </c>
      <c r="G15659">
        <v>0</v>
      </c>
    </row>
    <row r="15660" spans="1:7">
      <c r="A15660" t="s">
        <v>1876</v>
      </c>
      <c r="B15660" t="s">
        <v>398</v>
      </c>
      <c r="C15660" t="s">
        <v>1716</v>
      </c>
      <c r="D15660">
        <v>23727</v>
      </c>
      <c r="E15660">
        <v>23902</v>
      </c>
      <c r="F15660">
        <v>34428</v>
      </c>
      <c r="G15660">
        <v>48967</v>
      </c>
    </row>
    <row r="15661" spans="1:7">
      <c r="A15661" t="s">
        <v>1876</v>
      </c>
      <c r="B15661" t="s">
        <v>398</v>
      </c>
      <c r="C15661" t="s">
        <v>1717</v>
      </c>
      <c r="D15661">
        <v>3756</v>
      </c>
      <c r="E15661">
        <v>3841</v>
      </c>
      <c r="F15661">
        <v>3829</v>
      </c>
      <c r="G15661">
        <v>3840</v>
      </c>
    </row>
    <row r="15662" spans="1:7">
      <c r="A15662" t="s">
        <v>1876</v>
      </c>
      <c r="B15662" t="s">
        <v>398</v>
      </c>
      <c r="C15662" t="s">
        <v>1718</v>
      </c>
      <c r="D15662">
        <v>281579</v>
      </c>
      <c r="E15662">
        <v>303111</v>
      </c>
      <c r="F15662">
        <v>242890</v>
      </c>
      <c r="G15662">
        <v>244913</v>
      </c>
    </row>
    <row r="15663" spans="1:7">
      <c r="A15663" t="s">
        <v>1876</v>
      </c>
      <c r="B15663" t="s">
        <v>398</v>
      </c>
      <c r="C15663" t="s">
        <v>1719</v>
      </c>
      <c r="D15663">
        <v>25075</v>
      </c>
      <c r="E15663">
        <v>25322</v>
      </c>
      <c r="F15663">
        <v>25350</v>
      </c>
      <c r="G15663">
        <v>25426</v>
      </c>
    </row>
    <row r="15664" spans="1:7">
      <c r="A15664" t="s">
        <v>1876</v>
      </c>
      <c r="B15664" t="s">
        <v>398</v>
      </c>
      <c r="C15664" t="s">
        <v>1720</v>
      </c>
      <c r="D15664">
        <v>72640</v>
      </c>
      <c r="E15664">
        <v>77713</v>
      </c>
      <c r="F15664">
        <v>76580</v>
      </c>
      <c r="G15664">
        <v>72791</v>
      </c>
    </row>
    <row r="15665" spans="1:7">
      <c r="A15665" t="s">
        <v>1876</v>
      </c>
      <c r="B15665" t="s">
        <v>398</v>
      </c>
      <c r="C15665" t="s">
        <v>1721</v>
      </c>
      <c r="D15665">
        <v>12347</v>
      </c>
      <c r="E15665">
        <v>15424</v>
      </c>
      <c r="F15665">
        <v>13752</v>
      </c>
      <c r="G15665">
        <v>13351</v>
      </c>
    </row>
    <row r="15666" spans="1:7">
      <c r="A15666" t="s">
        <v>1876</v>
      </c>
      <c r="B15666" t="s">
        <v>398</v>
      </c>
      <c r="C15666" t="s">
        <v>285</v>
      </c>
      <c r="D15666">
        <v>394049</v>
      </c>
      <c r="E15666">
        <v>423991</v>
      </c>
      <c r="F15666">
        <v>371479</v>
      </c>
      <c r="G15666">
        <v>383862</v>
      </c>
    </row>
    <row r="15667" spans="1:7">
      <c r="A15667" t="s">
        <v>1876</v>
      </c>
      <c r="B15667" t="s">
        <v>398</v>
      </c>
      <c r="C15667" t="s">
        <v>1951</v>
      </c>
      <c r="D15667">
        <v>25.8</v>
      </c>
      <c r="E15667">
        <v>27</v>
      </c>
      <c r="F15667">
        <v>23.2</v>
      </c>
      <c r="G15667">
        <v>23.9</v>
      </c>
    </row>
    <row r="15668" spans="1:7">
      <c r="A15668" t="s">
        <v>1876</v>
      </c>
      <c r="B15668" t="s">
        <v>398</v>
      </c>
      <c r="C15668" t="s">
        <v>286</v>
      </c>
      <c r="D15668">
        <v>77420</v>
      </c>
      <c r="E15668">
        <v>79334</v>
      </c>
      <c r="F15668">
        <v>65855</v>
      </c>
      <c r="G15668">
        <v>71286</v>
      </c>
    </row>
    <row r="15669" spans="1:7">
      <c r="A15669" t="s">
        <v>1876</v>
      </c>
      <c r="B15669" t="s">
        <v>398</v>
      </c>
      <c r="C15669" t="s">
        <v>287</v>
      </c>
      <c r="D15669">
        <v>0</v>
      </c>
      <c r="E15669">
        <v>0</v>
      </c>
      <c r="F15669">
        <v>0</v>
      </c>
      <c r="G15669">
        <v>0</v>
      </c>
    </row>
    <row r="15670" spans="1:7">
      <c r="A15670" t="s">
        <v>1876</v>
      </c>
      <c r="B15670" t="s">
        <v>398</v>
      </c>
      <c r="C15670" t="s">
        <v>288</v>
      </c>
      <c r="D15670">
        <v>0</v>
      </c>
      <c r="E15670">
        <v>0</v>
      </c>
      <c r="F15670">
        <v>0</v>
      </c>
      <c r="G15670">
        <v>0</v>
      </c>
    </row>
    <row r="15671" spans="1:7">
      <c r="A15671" t="s">
        <v>1876</v>
      </c>
      <c r="B15671" t="s">
        <v>398</v>
      </c>
      <c r="C15671" t="s">
        <v>289</v>
      </c>
      <c r="D15671">
        <v>33</v>
      </c>
      <c r="E15671">
        <v>33</v>
      </c>
      <c r="F15671">
        <v>28</v>
      </c>
      <c r="G15671">
        <v>30</v>
      </c>
    </row>
    <row r="15672" spans="1:7">
      <c r="A15672" t="s">
        <v>1876</v>
      </c>
      <c r="B15672" t="s">
        <v>398</v>
      </c>
      <c r="C15672" t="s">
        <v>290</v>
      </c>
      <c r="D15672">
        <v>77453</v>
      </c>
      <c r="E15672">
        <v>79367</v>
      </c>
      <c r="F15672">
        <v>65883</v>
      </c>
      <c r="G15672">
        <v>71316</v>
      </c>
    </row>
    <row r="15673" spans="1:7">
      <c r="A15673" t="s">
        <v>1876</v>
      </c>
      <c r="B15673" t="s">
        <v>398</v>
      </c>
      <c r="C15673" t="s">
        <v>291</v>
      </c>
      <c r="D15673">
        <v>77453</v>
      </c>
      <c r="E15673">
        <v>79367</v>
      </c>
      <c r="F15673">
        <v>65883</v>
      </c>
      <c r="G15673">
        <v>71316</v>
      </c>
    </row>
    <row r="15674" spans="1:7">
      <c r="A15674" t="s">
        <v>1876</v>
      </c>
      <c r="B15674" t="s">
        <v>398</v>
      </c>
      <c r="C15674" t="s">
        <v>292</v>
      </c>
      <c r="D15674">
        <v>0</v>
      </c>
      <c r="E15674">
        <v>0</v>
      </c>
      <c r="F15674">
        <v>467</v>
      </c>
      <c r="G15674">
        <v>352</v>
      </c>
    </row>
    <row r="15675" spans="1:7">
      <c r="A15675" t="s">
        <v>1876</v>
      </c>
      <c r="B15675" t="s">
        <v>398</v>
      </c>
      <c r="C15675" t="s">
        <v>293</v>
      </c>
      <c r="D15675">
        <v>0</v>
      </c>
      <c r="E15675">
        <v>0</v>
      </c>
      <c r="F15675">
        <v>1056</v>
      </c>
      <c r="G15675">
        <v>740</v>
      </c>
    </row>
    <row r="15676" spans="1:7">
      <c r="A15676" t="s">
        <v>1876</v>
      </c>
      <c r="B15676" t="s">
        <v>398</v>
      </c>
      <c r="C15676" t="s">
        <v>294</v>
      </c>
      <c r="D15676">
        <v>0</v>
      </c>
      <c r="E15676">
        <v>0</v>
      </c>
      <c r="F15676">
        <v>563</v>
      </c>
      <c r="G15676">
        <v>468</v>
      </c>
    </row>
    <row r="15677" spans="1:7">
      <c r="A15677" t="s">
        <v>1876</v>
      </c>
      <c r="B15677" t="s">
        <v>398</v>
      </c>
      <c r="C15677" t="s">
        <v>295</v>
      </c>
      <c r="D15677">
        <v>0</v>
      </c>
      <c r="E15677">
        <v>0</v>
      </c>
      <c r="F15677">
        <v>678</v>
      </c>
      <c r="G15677">
        <v>505</v>
      </c>
    </row>
    <row r="15678" spans="1:7">
      <c r="A15678" t="s">
        <v>1876</v>
      </c>
      <c r="B15678" t="s">
        <v>398</v>
      </c>
      <c r="C15678" t="s">
        <v>296</v>
      </c>
      <c r="D15678">
        <v>0</v>
      </c>
      <c r="E15678">
        <v>0</v>
      </c>
      <c r="F15678">
        <v>2764</v>
      </c>
      <c r="G15678">
        <v>2065</v>
      </c>
    </row>
    <row r="15679" spans="1:7">
      <c r="A15679" t="s">
        <v>1876</v>
      </c>
      <c r="B15679" t="s">
        <v>398</v>
      </c>
      <c r="C15679" t="s">
        <v>297</v>
      </c>
      <c r="D15679">
        <v>55287</v>
      </c>
      <c r="E15679">
        <v>55083</v>
      </c>
      <c r="F15679">
        <v>54155</v>
      </c>
      <c r="G15679">
        <v>52394</v>
      </c>
    </row>
    <row r="15680" spans="1:7">
      <c r="A15680" t="s">
        <v>1876</v>
      </c>
      <c r="B15680" t="s">
        <v>398</v>
      </c>
      <c r="C15680" t="s">
        <v>1952</v>
      </c>
      <c r="D15680">
        <v>0</v>
      </c>
      <c r="E15680">
        <v>0</v>
      </c>
      <c r="F15680">
        <v>0</v>
      </c>
      <c r="G15680">
        <v>0</v>
      </c>
    </row>
    <row r="15681" spans="1:7">
      <c r="A15681" t="s">
        <v>1876</v>
      </c>
      <c r="B15681" t="s">
        <v>398</v>
      </c>
      <c r="C15681" t="s">
        <v>298</v>
      </c>
      <c r="D15681">
        <v>122</v>
      </c>
      <c r="E15681">
        <v>237</v>
      </c>
      <c r="F15681">
        <v>237</v>
      </c>
      <c r="G15681">
        <v>207</v>
      </c>
    </row>
    <row r="15682" spans="1:7">
      <c r="A15682" t="s">
        <v>1876</v>
      </c>
      <c r="B15682" t="s">
        <v>398</v>
      </c>
      <c r="C15682" t="s">
        <v>299</v>
      </c>
      <c r="D15682">
        <v>151</v>
      </c>
      <c r="E15682">
        <v>210</v>
      </c>
      <c r="F15682">
        <v>235</v>
      </c>
      <c r="G15682">
        <v>296</v>
      </c>
    </row>
    <row r="15683" spans="1:7">
      <c r="A15683" t="s">
        <v>1876</v>
      </c>
      <c r="B15683" t="s">
        <v>398</v>
      </c>
      <c r="C15683" t="s">
        <v>300</v>
      </c>
      <c r="D15683">
        <v>171</v>
      </c>
      <c r="E15683">
        <v>284</v>
      </c>
      <c r="F15683">
        <v>1243</v>
      </c>
      <c r="G15683">
        <v>1490</v>
      </c>
    </row>
    <row r="15684" spans="1:7">
      <c r="A15684" t="s">
        <v>1876</v>
      </c>
      <c r="B15684" t="s">
        <v>398</v>
      </c>
      <c r="C15684" t="s">
        <v>1722</v>
      </c>
      <c r="D15684">
        <v>23</v>
      </c>
      <c r="E15684">
        <v>188</v>
      </c>
      <c r="F15684">
        <v>188</v>
      </c>
      <c r="G15684">
        <v>268</v>
      </c>
    </row>
    <row r="15685" spans="1:7">
      <c r="A15685" t="s">
        <v>1876</v>
      </c>
      <c r="B15685" t="s">
        <v>398</v>
      </c>
      <c r="C15685" t="s">
        <v>301</v>
      </c>
      <c r="D15685">
        <v>2</v>
      </c>
      <c r="E15685">
        <v>3</v>
      </c>
      <c r="F15685">
        <v>5</v>
      </c>
      <c r="G15685">
        <v>6</v>
      </c>
    </row>
    <row r="15686" spans="1:7">
      <c r="A15686" t="s">
        <v>1876</v>
      </c>
      <c r="B15686" t="s">
        <v>398</v>
      </c>
      <c r="C15686" t="s">
        <v>302</v>
      </c>
      <c r="D15686">
        <v>1027</v>
      </c>
      <c r="E15686">
        <v>1256</v>
      </c>
      <c r="F15686">
        <v>1653</v>
      </c>
      <c r="G15686">
        <v>1987</v>
      </c>
    </row>
    <row r="15687" spans="1:7">
      <c r="A15687" t="s">
        <v>1876</v>
      </c>
      <c r="B15687" t="s">
        <v>398</v>
      </c>
      <c r="C15687" t="s">
        <v>303</v>
      </c>
      <c r="D15687">
        <v>1351</v>
      </c>
      <c r="E15687">
        <v>1753</v>
      </c>
      <c r="F15687">
        <v>3137</v>
      </c>
      <c r="G15687">
        <v>3780</v>
      </c>
    </row>
    <row r="15688" spans="1:7">
      <c r="A15688" t="s">
        <v>1876</v>
      </c>
      <c r="B15688" t="s">
        <v>398</v>
      </c>
      <c r="C15688" t="s">
        <v>304</v>
      </c>
      <c r="D15688">
        <v>1179</v>
      </c>
      <c r="E15688">
        <v>1469</v>
      </c>
      <c r="F15688">
        <v>1893</v>
      </c>
      <c r="G15688">
        <v>2290</v>
      </c>
    </row>
    <row r="15689" spans="1:7">
      <c r="A15689" t="s">
        <v>1876</v>
      </c>
      <c r="B15689" t="s">
        <v>398</v>
      </c>
      <c r="C15689" t="s">
        <v>1953</v>
      </c>
      <c r="D15689">
        <v>24.5</v>
      </c>
      <c r="E15689">
        <v>14.8</v>
      </c>
      <c r="F15689">
        <v>22.1</v>
      </c>
      <c r="G15689">
        <v>26.1</v>
      </c>
    </row>
    <row r="15690" spans="1:7">
      <c r="A15690" t="s">
        <v>1876</v>
      </c>
      <c r="B15690" t="s">
        <v>398</v>
      </c>
      <c r="C15690" t="s">
        <v>305</v>
      </c>
      <c r="D15690">
        <v>603217</v>
      </c>
      <c r="E15690">
        <v>621861</v>
      </c>
      <c r="F15690">
        <v>620655</v>
      </c>
      <c r="G15690">
        <v>638893</v>
      </c>
    </row>
    <row r="15691" spans="1:7">
      <c r="A15691" t="s">
        <v>1876</v>
      </c>
      <c r="B15691" t="s">
        <v>398</v>
      </c>
      <c r="C15691" t="s">
        <v>306</v>
      </c>
      <c r="D15691">
        <v>77.900000000000006</v>
      </c>
      <c r="E15691">
        <v>79.900000000000006</v>
      </c>
      <c r="F15691">
        <v>79.2</v>
      </c>
      <c r="G15691">
        <v>80.599999999999994</v>
      </c>
    </row>
    <row r="15692" spans="1:7">
      <c r="A15692" t="s">
        <v>1876</v>
      </c>
      <c r="B15692" t="s">
        <v>398</v>
      </c>
      <c r="C15692" t="s">
        <v>307</v>
      </c>
      <c r="D15692">
        <v>227892</v>
      </c>
      <c r="E15692">
        <v>238368</v>
      </c>
      <c r="F15692">
        <v>258470</v>
      </c>
      <c r="G15692">
        <v>267811</v>
      </c>
    </row>
    <row r="15693" spans="1:7">
      <c r="A15693" t="s">
        <v>1876</v>
      </c>
      <c r="B15693" t="s">
        <v>398</v>
      </c>
      <c r="C15693" t="s">
        <v>308</v>
      </c>
      <c r="D15693">
        <v>29.4</v>
      </c>
      <c r="E15693">
        <v>30.6</v>
      </c>
      <c r="F15693">
        <v>33</v>
      </c>
      <c r="G15693">
        <v>33.799999999999997</v>
      </c>
    </row>
    <row r="15694" spans="1:7">
      <c r="A15694" t="s">
        <v>1876</v>
      </c>
      <c r="B15694" t="s">
        <v>398</v>
      </c>
      <c r="C15694" t="s">
        <v>309</v>
      </c>
      <c r="D15694">
        <v>541064</v>
      </c>
      <c r="E15694">
        <v>564384</v>
      </c>
      <c r="F15694">
        <v>493332</v>
      </c>
      <c r="G15694">
        <v>491344</v>
      </c>
    </row>
    <row r="15695" spans="1:7">
      <c r="A15695" t="s">
        <v>1876</v>
      </c>
      <c r="B15695" t="s">
        <v>398</v>
      </c>
      <c r="C15695" t="s">
        <v>310</v>
      </c>
      <c r="D15695">
        <v>383143</v>
      </c>
      <c r="E15695">
        <v>386329</v>
      </c>
      <c r="F15695">
        <v>380031</v>
      </c>
      <c r="G15695">
        <v>369414</v>
      </c>
    </row>
    <row r="15696" spans="1:7">
      <c r="A15696" t="s">
        <v>1876</v>
      </c>
      <c r="B15696" t="s">
        <v>398</v>
      </c>
      <c r="C15696" t="s">
        <v>311</v>
      </c>
      <c r="D15696">
        <v>49.5</v>
      </c>
      <c r="E15696">
        <v>49.6</v>
      </c>
      <c r="F15696">
        <v>48.5</v>
      </c>
      <c r="G15696">
        <v>46.6</v>
      </c>
    </row>
    <row r="15697" spans="1:7">
      <c r="A15697" t="s">
        <v>1876</v>
      </c>
      <c r="B15697" t="s">
        <v>398</v>
      </c>
      <c r="C15697" t="s">
        <v>312</v>
      </c>
      <c r="D15697">
        <v>311523</v>
      </c>
      <c r="E15697">
        <v>325400</v>
      </c>
      <c r="F15697">
        <v>339072</v>
      </c>
      <c r="G15697">
        <v>330160</v>
      </c>
    </row>
    <row r="15698" spans="1:7">
      <c r="A15698" t="s">
        <v>1876</v>
      </c>
      <c r="B15698" t="s">
        <v>398</v>
      </c>
      <c r="C15698" t="s">
        <v>313</v>
      </c>
      <c r="D15698">
        <v>40.200000000000003</v>
      </c>
      <c r="E15698">
        <v>41.8</v>
      </c>
      <c r="F15698">
        <v>43.3</v>
      </c>
      <c r="G15698">
        <v>41.6</v>
      </c>
    </row>
    <row r="15699" spans="1:7">
      <c r="A15699" t="s">
        <v>1876</v>
      </c>
      <c r="B15699" t="s">
        <v>398</v>
      </c>
      <c r="C15699" t="s">
        <v>314</v>
      </c>
      <c r="D15699">
        <v>1525776</v>
      </c>
      <c r="E15699">
        <v>1571958</v>
      </c>
      <c r="F15699">
        <v>1598228</v>
      </c>
      <c r="G15699">
        <v>1606278</v>
      </c>
    </row>
    <row r="15700" spans="1:7">
      <c r="A15700" t="s">
        <v>1876</v>
      </c>
      <c r="B15700" t="s">
        <v>398</v>
      </c>
      <c r="C15700" t="s">
        <v>315</v>
      </c>
      <c r="D15700">
        <v>2.44</v>
      </c>
      <c r="E15700">
        <v>2.44</v>
      </c>
      <c r="F15700">
        <v>2.38</v>
      </c>
      <c r="G15700">
        <v>2.29</v>
      </c>
    </row>
    <row r="15701" spans="1:7">
      <c r="A15701" t="s">
        <v>1876</v>
      </c>
      <c r="B15701" t="s">
        <v>398</v>
      </c>
      <c r="C15701" t="s">
        <v>316</v>
      </c>
      <c r="D15701">
        <v>197</v>
      </c>
      <c r="E15701">
        <v>201.9</v>
      </c>
      <c r="F15701">
        <v>203.9</v>
      </c>
      <c r="G15701">
        <v>202.6</v>
      </c>
    </row>
    <row r="15702" spans="1:7">
      <c r="A15702" t="s">
        <v>1876</v>
      </c>
      <c r="B15702" t="s">
        <v>398</v>
      </c>
      <c r="C15702" t="s">
        <v>317</v>
      </c>
      <c r="D15702">
        <v>1525776</v>
      </c>
      <c r="E15702">
        <v>1571957</v>
      </c>
      <c r="F15702">
        <v>1598228</v>
      </c>
      <c r="G15702">
        <v>1606277</v>
      </c>
    </row>
    <row r="15703" spans="1:7">
      <c r="A15703" t="s">
        <v>1876</v>
      </c>
      <c r="B15703" t="s">
        <v>398</v>
      </c>
      <c r="C15703" t="s">
        <v>318</v>
      </c>
      <c r="D15703">
        <v>603057</v>
      </c>
      <c r="E15703">
        <v>621689</v>
      </c>
      <c r="F15703">
        <v>620464</v>
      </c>
      <c r="G15703">
        <v>638697</v>
      </c>
    </row>
    <row r="15704" spans="1:7">
      <c r="A15704" t="s">
        <v>1876</v>
      </c>
      <c r="B15704" t="s">
        <v>398</v>
      </c>
      <c r="C15704" t="s">
        <v>319</v>
      </c>
      <c r="D15704">
        <v>183667</v>
      </c>
      <c r="E15704">
        <v>193641</v>
      </c>
      <c r="F15704">
        <v>191378</v>
      </c>
      <c r="G15704">
        <v>198793</v>
      </c>
    </row>
    <row r="15705" spans="1:7">
      <c r="A15705" t="s">
        <v>1876</v>
      </c>
      <c r="B15705" t="s">
        <v>398</v>
      </c>
      <c r="C15705" t="s">
        <v>320</v>
      </c>
      <c r="D15705">
        <v>350039</v>
      </c>
      <c r="E15705">
        <v>354448</v>
      </c>
      <c r="F15705">
        <v>335501</v>
      </c>
      <c r="G15705">
        <v>331551</v>
      </c>
    </row>
    <row r="15706" spans="1:7">
      <c r="A15706" t="s">
        <v>1876</v>
      </c>
      <c r="B15706" t="s">
        <v>398</v>
      </c>
      <c r="C15706" t="s">
        <v>321</v>
      </c>
      <c r="D15706">
        <v>252806</v>
      </c>
      <c r="E15706">
        <v>265662</v>
      </c>
      <c r="F15706">
        <v>253045</v>
      </c>
      <c r="G15706">
        <v>249621</v>
      </c>
    </row>
    <row r="15707" spans="1:7">
      <c r="A15707" t="s">
        <v>1876</v>
      </c>
      <c r="B15707" t="s">
        <v>398</v>
      </c>
      <c r="C15707" t="s">
        <v>1954</v>
      </c>
      <c r="D15707">
        <v>1389569</v>
      </c>
      <c r="E15707">
        <v>1435441</v>
      </c>
      <c r="F15707">
        <v>1400387</v>
      </c>
      <c r="G15707">
        <v>1418662</v>
      </c>
    </row>
    <row r="15708" spans="1:7">
      <c r="A15708" t="s">
        <v>1876</v>
      </c>
      <c r="B15708" t="s">
        <v>398</v>
      </c>
      <c r="C15708" t="s">
        <v>323</v>
      </c>
      <c r="D15708">
        <v>7744</v>
      </c>
      <c r="E15708">
        <v>7787</v>
      </c>
      <c r="F15708">
        <v>7839</v>
      </c>
      <c r="G15708">
        <v>7928</v>
      </c>
    </row>
    <row r="15709" spans="1:7">
      <c r="A15709" t="s">
        <v>1876</v>
      </c>
      <c r="B15709" t="s">
        <v>398</v>
      </c>
      <c r="C15709" t="s">
        <v>324</v>
      </c>
      <c r="D15709">
        <v>1836</v>
      </c>
      <c r="E15709">
        <v>0</v>
      </c>
      <c r="F15709">
        <v>0</v>
      </c>
      <c r="G15709">
        <v>0</v>
      </c>
    </row>
    <row r="15710" spans="1:7">
      <c r="A15710" t="s">
        <v>1876</v>
      </c>
      <c r="B15710" t="s">
        <v>398</v>
      </c>
      <c r="C15710" t="s">
        <v>325</v>
      </c>
      <c r="D15710">
        <v>0</v>
      </c>
      <c r="E15710">
        <v>0</v>
      </c>
      <c r="F15710">
        <v>0</v>
      </c>
      <c r="G15710">
        <v>0</v>
      </c>
    </row>
    <row r="15711" spans="1:7">
      <c r="A15711" t="s">
        <v>1876</v>
      </c>
      <c r="B15711" t="s">
        <v>398</v>
      </c>
      <c r="C15711" t="s">
        <v>326</v>
      </c>
      <c r="D15711">
        <v>2110</v>
      </c>
      <c r="E15711">
        <v>2110</v>
      </c>
      <c r="F15711">
        <v>2110</v>
      </c>
      <c r="G15711">
        <v>2110</v>
      </c>
    </row>
    <row r="15712" spans="1:7">
      <c r="A15712" t="s">
        <v>1876</v>
      </c>
      <c r="B15712" t="s">
        <v>398</v>
      </c>
      <c r="C15712" t="s">
        <v>327</v>
      </c>
      <c r="D15712">
        <v>4551</v>
      </c>
      <c r="E15712">
        <v>4525</v>
      </c>
      <c r="F15712">
        <v>4670</v>
      </c>
      <c r="G15712">
        <v>4403</v>
      </c>
    </row>
    <row r="15713" spans="1:7">
      <c r="A15713" t="s">
        <v>1876</v>
      </c>
      <c r="B15713" t="s">
        <v>398</v>
      </c>
      <c r="C15713" t="s">
        <v>1723</v>
      </c>
      <c r="D15713">
        <v>281</v>
      </c>
      <c r="E15713">
        <v>293</v>
      </c>
      <c r="F15713">
        <v>238</v>
      </c>
      <c r="G15713">
        <v>238</v>
      </c>
    </row>
    <row r="15714" spans="1:7">
      <c r="A15714" t="s">
        <v>1876</v>
      </c>
      <c r="B15714" t="s">
        <v>398</v>
      </c>
      <c r="C15714" t="s">
        <v>328</v>
      </c>
      <c r="D15714">
        <v>66157</v>
      </c>
      <c r="E15714">
        <v>72584</v>
      </c>
      <c r="F15714">
        <v>73698</v>
      </c>
      <c r="G15714">
        <v>70059</v>
      </c>
    </row>
    <row r="15715" spans="1:7">
      <c r="A15715" t="s">
        <v>1876</v>
      </c>
      <c r="B15715" t="s">
        <v>398</v>
      </c>
      <c r="C15715" t="s">
        <v>329</v>
      </c>
      <c r="D15715">
        <v>10962</v>
      </c>
      <c r="E15715">
        <v>13810</v>
      </c>
      <c r="F15715">
        <v>11740</v>
      </c>
      <c r="G15715">
        <v>11006</v>
      </c>
    </row>
    <row r="15716" spans="1:7">
      <c r="A15716" t="s">
        <v>1876</v>
      </c>
      <c r="B15716" t="s">
        <v>398</v>
      </c>
      <c r="C15716" t="s">
        <v>330</v>
      </c>
      <c r="D15716">
        <v>83780</v>
      </c>
      <c r="E15716">
        <v>93030</v>
      </c>
      <c r="F15716">
        <v>92218</v>
      </c>
      <c r="G15716">
        <v>87577</v>
      </c>
    </row>
    <row r="15717" spans="1:7">
      <c r="A15717" t="s">
        <v>1876</v>
      </c>
      <c r="B15717" t="s">
        <v>398</v>
      </c>
      <c r="C15717" t="s">
        <v>331</v>
      </c>
      <c r="D15717">
        <v>118</v>
      </c>
      <c r="E15717">
        <v>113</v>
      </c>
      <c r="F15717">
        <v>78</v>
      </c>
      <c r="G15717">
        <v>104</v>
      </c>
    </row>
    <row r="15718" spans="1:7">
      <c r="A15718" t="s">
        <v>1876</v>
      </c>
      <c r="B15718" t="s">
        <v>398</v>
      </c>
      <c r="C15718" t="s">
        <v>332</v>
      </c>
      <c r="D15718">
        <v>1586</v>
      </c>
      <c r="E15718">
        <v>1535</v>
      </c>
      <c r="F15718">
        <v>1565</v>
      </c>
      <c r="G15718">
        <v>1546</v>
      </c>
    </row>
    <row r="15719" spans="1:7">
      <c r="A15719" t="s">
        <v>1876</v>
      </c>
      <c r="B15719" t="s">
        <v>398</v>
      </c>
      <c r="C15719" t="s">
        <v>1724</v>
      </c>
      <c r="D15719">
        <v>37</v>
      </c>
      <c r="E15719">
        <v>37</v>
      </c>
      <c r="F15719">
        <v>37</v>
      </c>
      <c r="G15719">
        <v>32</v>
      </c>
    </row>
    <row r="15720" spans="1:7">
      <c r="A15720" t="s">
        <v>1876</v>
      </c>
      <c r="B15720" t="s">
        <v>398</v>
      </c>
      <c r="C15720" t="s">
        <v>333</v>
      </c>
      <c r="D15720">
        <v>5985</v>
      </c>
      <c r="E15720">
        <v>4594</v>
      </c>
      <c r="F15720">
        <v>2333</v>
      </c>
      <c r="G15720">
        <v>2194</v>
      </c>
    </row>
    <row r="15721" spans="1:7">
      <c r="A15721" t="s">
        <v>1876</v>
      </c>
      <c r="B15721" t="s">
        <v>398</v>
      </c>
      <c r="C15721" t="s">
        <v>334</v>
      </c>
      <c r="D15721">
        <v>7689</v>
      </c>
      <c r="E15721">
        <v>6242</v>
      </c>
      <c r="F15721">
        <v>3975</v>
      </c>
      <c r="G15721">
        <v>3844</v>
      </c>
    </row>
    <row r="15722" spans="1:7">
      <c r="A15722" t="s">
        <v>1876</v>
      </c>
      <c r="B15722" t="s">
        <v>398</v>
      </c>
      <c r="C15722" t="s">
        <v>335</v>
      </c>
      <c r="D15722">
        <v>2228</v>
      </c>
      <c r="E15722">
        <v>2223</v>
      </c>
      <c r="F15722">
        <v>2188</v>
      </c>
      <c r="G15722">
        <v>2214</v>
      </c>
    </row>
    <row r="15723" spans="1:7">
      <c r="A15723" t="s">
        <v>1876</v>
      </c>
      <c r="B15723" t="s">
        <v>398</v>
      </c>
      <c r="C15723" t="s">
        <v>336</v>
      </c>
      <c r="D15723">
        <v>6137</v>
      </c>
      <c r="E15723">
        <v>6060</v>
      </c>
      <c r="F15723">
        <v>6234</v>
      </c>
      <c r="G15723">
        <v>5949</v>
      </c>
    </row>
    <row r="15724" spans="1:7">
      <c r="A15724" t="s">
        <v>1876</v>
      </c>
      <c r="B15724" t="s">
        <v>398</v>
      </c>
      <c r="C15724" t="s">
        <v>337</v>
      </c>
      <c r="D15724">
        <v>72142</v>
      </c>
      <c r="E15724">
        <v>77178</v>
      </c>
      <c r="F15724">
        <v>76030</v>
      </c>
      <c r="G15724">
        <v>72253</v>
      </c>
    </row>
    <row r="15725" spans="1:7">
      <c r="A15725" t="s">
        <v>1876</v>
      </c>
      <c r="B15725" t="s">
        <v>398</v>
      </c>
      <c r="C15725" t="s">
        <v>338</v>
      </c>
      <c r="D15725">
        <v>91469</v>
      </c>
      <c r="E15725">
        <v>99272</v>
      </c>
      <c r="F15725">
        <v>96193</v>
      </c>
      <c r="G15725">
        <v>91421</v>
      </c>
    </row>
    <row r="15726" spans="1:7">
      <c r="A15726" t="s">
        <v>1876</v>
      </c>
      <c r="B15726" t="s">
        <v>398</v>
      </c>
      <c r="C15726" t="s">
        <v>339</v>
      </c>
      <c r="D15726">
        <v>85332</v>
      </c>
      <c r="E15726">
        <v>93211</v>
      </c>
      <c r="F15726">
        <v>89959</v>
      </c>
      <c r="G15726">
        <v>85473</v>
      </c>
    </row>
    <row r="15727" spans="1:7">
      <c r="A15727" t="s">
        <v>1876</v>
      </c>
      <c r="B15727" t="s">
        <v>398</v>
      </c>
      <c r="C15727" t="s">
        <v>340</v>
      </c>
      <c r="D15727">
        <v>272</v>
      </c>
      <c r="E15727">
        <v>316</v>
      </c>
      <c r="F15727">
        <v>219</v>
      </c>
      <c r="G15727">
        <v>269</v>
      </c>
    </row>
    <row r="15728" spans="1:7">
      <c r="A15728" t="s">
        <v>1876</v>
      </c>
      <c r="B15728" t="s">
        <v>398</v>
      </c>
      <c r="C15728" t="s">
        <v>1955</v>
      </c>
      <c r="D15728">
        <v>31.4</v>
      </c>
      <c r="E15728">
        <v>27.3</v>
      </c>
      <c r="F15728">
        <v>25.5</v>
      </c>
      <c r="G15728">
        <v>29.9</v>
      </c>
    </row>
    <row r="15729" spans="1:7">
      <c r="A15729" t="s">
        <v>1876</v>
      </c>
      <c r="B15729" t="s">
        <v>398</v>
      </c>
      <c r="C15729" t="s">
        <v>341</v>
      </c>
      <c r="D15729">
        <v>0</v>
      </c>
      <c r="E15729">
        <v>0</v>
      </c>
      <c r="F15729">
        <v>0</v>
      </c>
      <c r="G15729">
        <v>0</v>
      </c>
    </row>
    <row r="15730" spans="1:7">
      <c r="A15730" t="s">
        <v>1876</v>
      </c>
      <c r="B15730" t="s">
        <v>398</v>
      </c>
      <c r="C15730" t="s">
        <v>342</v>
      </c>
      <c r="D15730">
        <v>31724</v>
      </c>
      <c r="E15730">
        <v>27504</v>
      </c>
      <c r="F15730">
        <v>25759</v>
      </c>
      <c r="G15730">
        <v>30242</v>
      </c>
    </row>
    <row r="15731" spans="1:7">
      <c r="A15731" t="s">
        <v>1876</v>
      </c>
      <c r="B15731" t="s">
        <v>398</v>
      </c>
      <c r="C15731" t="s">
        <v>1725</v>
      </c>
      <c r="D15731">
        <v>3375</v>
      </c>
      <c r="E15731">
        <v>3375</v>
      </c>
      <c r="F15731">
        <v>3375</v>
      </c>
      <c r="G15731">
        <v>3375</v>
      </c>
    </row>
    <row r="15732" spans="1:7">
      <c r="A15732" t="s">
        <v>1876</v>
      </c>
      <c r="B15732" t="s">
        <v>398</v>
      </c>
      <c r="C15732" t="s">
        <v>343</v>
      </c>
      <c r="D15732">
        <v>0</v>
      </c>
      <c r="E15732">
        <v>0</v>
      </c>
      <c r="F15732">
        <v>0</v>
      </c>
      <c r="G15732">
        <v>0</v>
      </c>
    </row>
    <row r="15733" spans="1:7">
      <c r="A15733" t="s">
        <v>1876</v>
      </c>
      <c r="B15733" t="s">
        <v>398</v>
      </c>
      <c r="C15733" t="s">
        <v>344</v>
      </c>
      <c r="D15733">
        <v>31724</v>
      </c>
      <c r="E15733">
        <v>27504</v>
      </c>
      <c r="F15733">
        <v>25759</v>
      </c>
      <c r="G15733">
        <v>30242</v>
      </c>
    </row>
    <row r="15734" spans="1:7">
      <c r="A15734" t="s">
        <v>1876</v>
      </c>
      <c r="B15734" t="s">
        <v>398</v>
      </c>
      <c r="C15734" t="s">
        <v>345</v>
      </c>
      <c r="D15734">
        <v>0</v>
      </c>
      <c r="E15734">
        <v>0</v>
      </c>
      <c r="F15734">
        <v>0</v>
      </c>
      <c r="G15734">
        <v>0</v>
      </c>
    </row>
    <row r="15735" spans="1:7">
      <c r="A15735" t="s">
        <v>1876</v>
      </c>
      <c r="B15735" t="s">
        <v>398</v>
      </c>
      <c r="C15735" t="s">
        <v>1956</v>
      </c>
      <c r="D15735">
        <v>1586</v>
      </c>
      <c r="E15735">
        <v>1535</v>
      </c>
      <c r="F15735">
        <v>1565</v>
      </c>
      <c r="G15735">
        <v>1546</v>
      </c>
    </row>
    <row r="15736" spans="1:7">
      <c r="A15736" t="s">
        <v>1876</v>
      </c>
      <c r="B15736" t="s">
        <v>398</v>
      </c>
      <c r="C15736" t="s">
        <v>1957</v>
      </c>
      <c r="D15736">
        <v>7689</v>
      </c>
      <c r="E15736">
        <v>6242</v>
      </c>
      <c r="F15736">
        <v>3975</v>
      </c>
      <c r="G15736">
        <v>3844</v>
      </c>
    </row>
    <row r="15737" spans="1:7">
      <c r="A15737" t="s">
        <v>1876</v>
      </c>
      <c r="B15737" t="s">
        <v>398</v>
      </c>
      <c r="C15737" t="s">
        <v>346</v>
      </c>
      <c r="D15737">
        <v>278</v>
      </c>
      <c r="E15737">
        <v>305</v>
      </c>
      <c r="F15737">
        <v>275</v>
      </c>
      <c r="G15737">
        <v>251</v>
      </c>
    </row>
    <row r="15738" spans="1:7">
      <c r="A15738" t="s">
        <v>1876</v>
      </c>
      <c r="B15738" t="s">
        <v>398</v>
      </c>
      <c r="C15738" t="s">
        <v>347</v>
      </c>
      <c r="D15738">
        <v>5562</v>
      </c>
      <c r="E15738">
        <v>5788</v>
      </c>
      <c r="F15738">
        <v>5337</v>
      </c>
      <c r="G15738">
        <v>5353</v>
      </c>
    </row>
    <row r="15739" spans="1:7">
      <c r="A15739" t="s">
        <v>1876</v>
      </c>
      <c r="B15739" t="s">
        <v>399</v>
      </c>
      <c r="C15739" t="s">
        <v>133</v>
      </c>
      <c r="D15739">
        <v>0</v>
      </c>
      <c r="E15739">
        <v>0</v>
      </c>
      <c r="F15739">
        <v>-1</v>
      </c>
      <c r="G15739">
        <v>-2</v>
      </c>
    </row>
    <row r="15740" spans="1:7">
      <c r="A15740" t="s">
        <v>1876</v>
      </c>
      <c r="B15740" t="s">
        <v>399</v>
      </c>
      <c r="C15740" t="s">
        <v>134</v>
      </c>
      <c r="D15740">
        <v>27483</v>
      </c>
      <c r="E15740">
        <v>24342</v>
      </c>
      <c r="F15740">
        <v>20301</v>
      </c>
      <c r="G15740">
        <v>20054</v>
      </c>
    </row>
    <row r="15741" spans="1:7">
      <c r="A15741" t="s">
        <v>1876</v>
      </c>
      <c r="B15741" t="s">
        <v>399</v>
      </c>
      <c r="C15741" t="s">
        <v>135</v>
      </c>
      <c r="D15741">
        <v>27483</v>
      </c>
      <c r="E15741">
        <v>24342</v>
      </c>
      <c r="F15741">
        <v>20301</v>
      </c>
      <c r="G15741">
        <v>20054</v>
      </c>
    </row>
    <row r="15742" spans="1:7">
      <c r="A15742" t="s">
        <v>1876</v>
      </c>
      <c r="B15742" t="s">
        <v>399</v>
      </c>
      <c r="C15742" t="s">
        <v>136</v>
      </c>
      <c r="D15742">
        <v>27483</v>
      </c>
      <c r="E15742">
        <v>24342</v>
      </c>
      <c r="F15742">
        <v>20301</v>
      </c>
      <c r="G15742">
        <v>20054</v>
      </c>
    </row>
    <row r="15743" spans="1:7">
      <c r="A15743" t="s">
        <v>1876</v>
      </c>
      <c r="B15743" t="s">
        <v>399</v>
      </c>
      <c r="C15743" t="s">
        <v>137</v>
      </c>
      <c r="D15743">
        <v>320</v>
      </c>
      <c r="E15743">
        <v>332</v>
      </c>
      <c r="F15743">
        <v>315</v>
      </c>
      <c r="G15743">
        <v>338</v>
      </c>
    </row>
    <row r="15744" spans="1:7">
      <c r="A15744" t="s">
        <v>1876</v>
      </c>
      <c r="B15744" t="s">
        <v>399</v>
      </c>
      <c r="C15744" t="s">
        <v>138</v>
      </c>
      <c r="D15744">
        <v>320</v>
      </c>
      <c r="E15744">
        <v>332</v>
      </c>
      <c r="F15744">
        <v>315</v>
      </c>
      <c r="G15744">
        <v>338</v>
      </c>
    </row>
    <row r="15745" spans="1:7">
      <c r="A15745" t="s">
        <v>1876</v>
      </c>
      <c r="B15745" t="s">
        <v>399</v>
      </c>
      <c r="C15745" t="s">
        <v>139</v>
      </c>
      <c r="D15745">
        <v>320</v>
      </c>
      <c r="E15745">
        <v>332</v>
      </c>
      <c r="F15745">
        <v>315</v>
      </c>
      <c r="G15745">
        <v>338</v>
      </c>
    </row>
    <row r="15746" spans="1:7">
      <c r="A15746" t="s">
        <v>1876</v>
      </c>
      <c r="B15746" t="s">
        <v>399</v>
      </c>
      <c r="C15746" t="s">
        <v>1877</v>
      </c>
      <c r="D15746">
        <v>0</v>
      </c>
      <c r="E15746">
        <v>0</v>
      </c>
      <c r="F15746">
        <v>0</v>
      </c>
      <c r="G15746">
        <v>0</v>
      </c>
    </row>
    <row r="15747" spans="1:7">
      <c r="A15747" t="s">
        <v>1876</v>
      </c>
      <c r="B15747" t="s">
        <v>399</v>
      </c>
      <c r="C15747" t="s">
        <v>1700</v>
      </c>
      <c r="D15747">
        <v>0</v>
      </c>
      <c r="E15747">
        <v>0</v>
      </c>
      <c r="F15747">
        <v>0</v>
      </c>
      <c r="G15747">
        <v>0</v>
      </c>
    </row>
    <row r="15748" spans="1:7">
      <c r="A15748" t="s">
        <v>1876</v>
      </c>
      <c r="B15748" t="s">
        <v>399</v>
      </c>
      <c r="C15748" t="s">
        <v>1878</v>
      </c>
      <c r="D15748">
        <v>0</v>
      </c>
      <c r="E15748">
        <v>0</v>
      </c>
      <c r="F15748">
        <v>0</v>
      </c>
      <c r="G15748">
        <v>0</v>
      </c>
    </row>
    <row r="15749" spans="1:7">
      <c r="A15749" t="s">
        <v>1876</v>
      </c>
      <c r="B15749" t="s">
        <v>399</v>
      </c>
      <c r="C15749" t="s">
        <v>1879</v>
      </c>
      <c r="D15749">
        <v>0</v>
      </c>
      <c r="E15749">
        <v>0</v>
      </c>
      <c r="F15749">
        <v>0</v>
      </c>
      <c r="G15749">
        <v>0</v>
      </c>
    </row>
    <row r="15750" spans="1:7">
      <c r="A15750" t="s">
        <v>1876</v>
      </c>
      <c r="B15750" t="s">
        <v>399</v>
      </c>
      <c r="C15750" t="s">
        <v>1701</v>
      </c>
      <c r="D15750">
        <v>0</v>
      </c>
      <c r="E15750">
        <v>0</v>
      </c>
      <c r="F15750">
        <v>0</v>
      </c>
      <c r="G15750">
        <v>0</v>
      </c>
    </row>
    <row r="15751" spans="1:7">
      <c r="A15751" t="s">
        <v>1876</v>
      </c>
      <c r="B15751" t="s">
        <v>399</v>
      </c>
      <c r="C15751" t="s">
        <v>1880</v>
      </c>
      <c r="D15751">
        <v>1241</v>
      </c>
      <c r="E15751">
        <v>1137</v>
      </c>
      <c r="F15751">
        <v>1335</v>
      </c>
      <c r="G15751">
        <v>1199</v>
      </c>
    </row>
    <row r="15752" spans="1:7">
      <c r="A15752" t="s">
        <v>1876</v>
      </c>
      <c r="B15752" t="s">
        <v>399</v>
      </c>
      <c r="C15752" t="s">
        <v>140</v>
      </c>
      <c r="D15752">
        <v>2916</v>
      </c>
      <c r="E15752">
        <v>2748</v>
      </c>
      <c r="F15752">
        <v>3600</v>
      </c>
      <c r="G15752">
        <v>3418</v>
      </c>
    </row>
    <row r="15753" spans="1:7">
      <c r="A15753" t="s">
        <v>1876</v>
      </c>
      <c r="B15753" t="s">
        <v>399</v>
      </c>
      <c r="C15753" t="s">
        <v>1881</v>
      </c>
      <c r="D15753">
        <v>1675</v>
      </c>
      <c r="E15753">
        <v>1611</v>
      </c>
      <c r="F15753">
        <v>2265</v>
      </c>
      <c r="G15753">
        <v>2219</v>
      </c>
    </row>
    <row r="15754" spans="1:7">
      <c r="A15754" t="s">
        <v>1876</v>
      </c>
      <c r="B15754" t="s">
        <v>399</v>
      </c>
      <c r="C15754" t="s">
        <v>1882</v>
      </c>
      <c r="D15754">
        <v>0</v>
      </c>
      <c r="E15754">
        <v>0</v>
      </c>
      <c r="F15754">
        <v>0</v>
      </c>
      <c r="G15754">
        <v>0</v>
      </c>
    </row>
    <row r="15755" spans="1:7">
      <c r="A15755" t="s">
        <v>1876</v>
      </c>
      <c r="B15755" t="s">
        <v>399</v>
      </c>
      <c r="C15755" t="s">
        <v>1883</v>
      </c>
      <c r="D15755">
        <v>0</v>
      </c>
      <c r="E15755">
        <v>0</v>
      </c>
      <c r="F15755">
        <v>0</v>
      </c>
      <c r="G15755">
        <v>0</v>
      </c>
    </row>
    <row r="15756" spans="1:7">
      <c r="A15756" t="s">
        <v>1876</v>
      </c>
      <c r="B15756" t="s">
        <v>399</v>
      </c>
      <c r="C15756" t="s">
        <v>1884</v>
      </c>
      <c r="D15756">
        <v>0</v>
      </c>
      <c r="E15756">
        <v>0</v>
      </c>
      <c r="F15756">
        <v>0</v>
      </c>
      <c r="G15756">
        <v>0</v>
      </c>
    </row>
    <row r="15757" spans="1:7">
      <c r="A15757" t="s">
        <v>1876</v>
      </c>
      <c r="B15757" t="s">
        <v>399</v>
      </c>
      <c r="C15757" t="s">
        <v>1885</v>
      </c>
      <c r="D15757">
        <v>0</v>
      </c>
      <c r="E15757">
        <v>0</v>
      </c>
      <c r="F15757">
        <v>0</v>
      </c>
      <c r="G15757">
        <v>0</v>
      </c>
    </row>
    <row r="15758" spans="1:7">
      <c r="A15758" t="s">
        <v>1876</v>
      </c>
      <c r="B15758" t="s">
        <v>399</v>
      </c>
      <c r="C15758" t="s">
        <v>1886</v>
      </c>
      <c r="D15758">
        <v>0</v>
      </c>
      <c r="E15758">
        <v>0</v>
      </c>
      <c r="F15758">
        <v>0</v>
      </c>
      <c r="G15758">
        <v>0</v>
      </c>
    </row>
    <row r="15759" spans="1:7">
      <c r="A15759" t="s">
        <v>1876</v>
      </c>
      <c r="B15759" t="s">
        <v>399</v>
      </c>
      <c r="C15759" t="s">
        <v>141</v>
      </c>
      <c r="D15759">
        <v>52</v>
      </c>
      <c r="E15759">
        <v>47</v>
      </c>
      <c r="F15759">
        <v>44</v>
      </c>
      <c r="G15759">
        <v>0</v>
      </c>
    </row>
    <row r="15760" spans="1:7">
      <c r="A15760" t="s">
        <v>1876</v>
      </c>
      <c r="B15760" t="s">
        <v>399</v>
      </c>
      <c r="C15760" t="s">
        <v>1887</v>
      </c>
      <c r="D15760">
        <v>0</v>
      </c>
      <c r="E15760">
        <v>0</v>
      </c>
      <c r="F15760">
        <v>0</v>
      </c>
      <c r="G15760">
        <v>0</v>
      </c>
    </row>
    <row r="15761" spans="1:7">
      <c r="A15761" t="s">
        <v>1876</v>
      </c>
      <c r="B15761" t="s">
        <v>399</v>
      </c>
      <c r="C15761" t="s">
        <v>1888</v>
      </c>
      <c r="D15761">
        <v>0</v>
      </c>
      <c r="E15761">
        <v>0</v>
      </c>
      <c r="F15761">
        <v>0</v>
      </c>
      <c r="G15761">
        <v>0</v>
      </c>
    </row>
    <row r="15762" spans="1:7">
      <c r="A15762" t="s">
        <v>1876</v>
      </c>
      <c r="B15762" t="s">
        <v>399</v>
      </c>
      <c r="C15762" t="s">
        <v>1889</v>
      </c>
      <c r="D15762">
        <v>1241</v>
      </c>
      <c r="E15762">
        <v>1137</v>
      </c>
      <c r="F15762">
        <v>1335</v>
      </c>
      <c r="G15762">
        <v>1199</v>
      </c>
    </row>
    <row r="15763" spans="1:7">
      <c r="A15763" t="s">
        <v>1876</v>
      </c>
      <c r="B15763" t="s">
        <v>399</v>
      </c>
      <c r="C15763" t="s">
        <v>1890</v>
      </c>
      <c r="D15763">
        <v>0</v>
      </c>
      <c r="E15763">
        <v>0</v>
      </c>
      <c r="F15763">
        <v>0</v>
      </c>
      <c r="G15763">
        <v>0</v>
      </c>
    </row>
    <row r="15764" spans="1:7">
      <c r="A15764" t="s">
        <v>1876</v>
      </c>
      <c r="B15764" t="s">
        <v>399</v>
      </c>
      <c r="C15764" t="s">
        <v>1891</v>
      </c>
    </row>
    <row r="15765" spans="1:7">
      <c r="A15765" t="s">
        <v>1876</v>
      </c>
      <c r="B15765" t="s">
        <v>399</v>
      </c>
      <c r="C15765" t="s">
        <v>1892</v>
      </c>
      <c r="D15765">
        <v>1675</v>
      </c>
      <c r="E15765">
        <v>1611</v>
      </c>
      <c r="F15765">
        <v>2265</v>
      </c>
      <c r="G15765">
        <v>2219</v>
      </c>
    </row>
    <row r="15766" spans="1:7">
      <c r="A15766" t="s">
        <v>1876</v>
      </c>
      <c r="B15766" t="s">
        <v>399</v>
      </c>
      <c r="C15766" t="s">
        <v>142</v>
      </c>
      <c r="D15766">
        <v>2916</v>
      </c>
      <c r="E15766">
        <v>2748</v>
      </c>
      <c r="F15766">
        <v>3600</v>
      </c>
      <c r="G15766">
        <v>3418</v>
      </c>
    </row>
    <row r="15767" spans="1:7">
      <c r="A15767" t="s">
        <v>1876</v>
      </c>
      <c r="B15767" t="s">
        <v>399</v>
      </c>
      <c r="C15767" t="s">
        <v>1893</v>
      </c>
      <c r="D15767">
        <v>2916</v>
      </c>
      <c r="E15767">
        <v>2748</v>
      </c>
      <c r="F15767">
        <v>3600</v>
      </c>
      <c r="G15767">
        <v>3418</v>
      </c>
    </row>
    <row r="15768" spans="1:7">
      <c r="A15768" t="s">
        <v>1876</v>
      </c>
      <c r="B15768" t="s">
        <v>399</v>
      </c>
      <c r="C15768" t="s">
        <v>1894</v>
      </c>
      <c r="D15768">
        <v>1675</v>
      </c>
      <c r="E15768">
        <v>1611</v>
      </c>
      <c r="F15768">
        <v>2265</v>
      </c>
      <c r="G15768">
        <v>2219</v>
      </c>
    </row>
    <row r="15769" spans="1:7">
      <c r="A15769" t="s">
        <v>1876</v>
      </c>
      <c r="B15769" t="s">
        <v>399</v>
      </c>
      <c r="C15769" t="s">
        <v>143</v>
      </c>
      <c r="D15769">
        <v>27770</v>
      </c>
      <c r="E15769">
        <v>28120</v>
      </c>
      <c r="F15769">
        <v>29395</v>
      </c>
      <c r="G15769">
        <v>33429</v>
      </c>
    </row>
    <row r="15770" spans="1:7">
      <c r="A15770" t="s">
        <v>1876</v>
      </c>
      <c r="B15770" t="s">
        <v>399</v>
      </c>
      <c r="C15770" t="s">
        <v>144</v>
      </c>
      <c r="D15770">
        <v>52913</v>
      </c>
      <c r="E15770">
        <v>53586</v>
      </c>
      <c r="F15770">
        <v>55985</v>
      </c>
      <c r="G15770">
        <v>58906</v>
      </c>
    </row>
    <row r="15771" spans="1:7">
      <c r="A15771" t="s">
        <v>1876</v>
      </c>
      <c r="B15771" t="s">
        <v>399</v>
      </c>
      <c r="C15771" t="s">
        <v>1895</v>
      </c>
      <c r="D15771">
        <v>39.4</v>
      </c>
      <c r="E15771">
        <v>37.9</v>
      </c>
      <c r="F15771">
        <v>37.799999999999997</v>
      </c>
      <c r="G15771">
        <v>40.9</v>
      </c>
    </row>
    <row r="15772" spans="1:7">
      <c r="A15772" t="s">
        <v>1876</v>
      </c>
      <c r="B15772" t="s">
        <v>399</v>
      </c>
      <c r="C15772" t="s">
        <v>145</v>
      </c>
      <c r="D15772">
        <v>130446</v>
      </c>
      <c r="E15772">
        <v>141229</v>
      </c>
      <c r="F15772">
        <v>139839</v>
      </c>
      <c r="G15772">
        <v>141183</v>
      </c>
    </row>
    <row r="15773" spans="1:7">
      <c r="A15773" t="s">
        <v>1876</v>
      </c>
      <c r="B15773" t="s">
        <v>399</v>
      </c>
      <c r="C15773" t="s">
        <v>146</v>
      </c>
      <c r="D15773">
        <v>0</v>
      </c>
      <c r="E15773">
        <v>0</v>
      </c>
      <c r="F15773">
        <v>0</v>
      </c>
      <c r="G15773">
        <v>0</v>
      </c>
    </row>
    <row r="15774" spans="1:7">
      <c r="A15774" t="s">
        <v>1876</v>
      </c>
      <c r="B15774" t="s">
        <v>399</v>
      </c>
      <c r="C15774" t="s">
        <v>147</v>
      </c>
      <c r="D15774">
        <v>0</v>
      </c>
      <c r="E15774">
        <v>0</v>
      </c>
      <c r="F15774">
        <v>0</v>
      </c>
      <c r="G15774">
        <v>0</v>
      </c>
    </row>
    <row r="15775" spans="1:7">
      <c r="A15775" t="s">
        <v>1876</v>
      </c>
      <c r="B15775" t="s">
        <v>399</v>
      </c>
      <c r="C15775" t="s">
        <v>1896</v>
      </c>
      <c r="D15775">
        <v>0</v>
      </c>
      <c r="E15775">
        <v>0</v>
      </c>
      <c r="F15775">
        <v>0</v>
      </c>
      <c r="G15775">
        <v>3.1</v>
      </c>
    </row>
    <row r="15776" spans="1:7">
      <c r="A15776" t="s">
        <v>1876</v>
      </c>
      <c r="B15776" t="s">
        <v>399</v>
      </c>
      <c r="C15776" t="s">
        <v>1702</v>
      </c>
      <c r="D15776">
        <v>0</v>
      </c>
      <c r="E15776">
        <v>5</v>
      </c>
      <c r="F15776">
        <v>6</v>
      </c>
      <c r="G15776">
        <v>6</v>
      </c>
    </row>
    <row r="15777" spans="1:7">
      <c r="A15777" t="s">
        <v>1876</v>
      </c>
      <c r="B15777" t="s">
        <v>399</v>
      </c>
      <c r="C15777" t="s">
        <v>1897</v>
      </c>
      <c r="D15777">
        <v>9</v>
      </c>
      <c r="E15777">
        <v>13.2</v>
      </c>
      <c r="F15777">
        <v>23.8</v>
      </c>
      <c r="G15777">
        <v>31.2</v>
      </c>
    </row>
    <row r="15778" spans="1:7">
      <c r="A15778" t="s">
        <v>1876</v>
      </c>
      <c r="B15778" t="s">
        <v>399</v>
      </c>
      <c r="C15778" t="s">
        <v>1898</v>
      </c>
      <c r="D15778">
        <v>15</v>
      </c>
      <c r="E15778">
        <v>26</v>
      </c>
      <c r="F15778">
        <v>73</v>
      </c>
      <c r="G15778">
        <v>106</v>
      </c>
    </row>
    <row r="15779" spans="1:7">
      <c r="A15779" t="s">
        <v>1876</v>
      </c>
      <c r="B15779" t="s">
        <v>399</v>
      </c>
      <c r="C15779" t="s">
        <v>1899</v>
      </c>
      <c r="D15779">
        <v>1675</v>
      </c>
      <c r="E15779">
        <v>1611</v>
      </c>
      <c r="F15779">
        <v>2265</v>
      </c>
      <c r="G15779">
        <v>2219</v>
      </c>
    </row>
    <row r="15780" spans="1:7">
      <c r="A15780" t="s">
        <v>1876</v>
      </c>
      <c r="B15780" t="s">
        <v>399</v>
      </c>
      <c r="C15780" t="s">
        <v>148</v>
      </c>
      <c r="D15780">
        <v>0</v>
      </c>
      <c r="E15780">
        <v>0</v>
      </c>
      <c r="F15780">
        <v>0</v>
      </c>
      <c r="G15780">
        <v>0</v>
      </c>
    </row>
    <row r="15781" spans="1:7">
      <c r="A15781" t="s">
        <v>1876</v>
      </c>
      <c r="B15781" t="s">
        <v>399</v>
      </c>
      <c r="C15781" t="s">
        <v>149</v>
      </c>
      <c r="D15781">
        <v>0</v>
      </c>
      <c r="E15781">
        <v>0</v>
      </c>
      <c r="F15781">
        <v>0</v>
      </c>
      <c r="G15781">
        <v>0</v>
      </c>
    </row>
    <row r="15782" spans="1:7">
      <c r="A15782" t="s">
        <v>1876</v>
      </c>
      <c r="B15782" t="s">
        <v>399</v>
      </c>
      <c r="C15782" t="s">
        <v>150</v>
      </c>
      <c r="D15782">
        <v>0</v>
      </c>
      <c r="E15782">
        <v>0</v>
      </c>
      <c r="F15782">
        <v>0</v>
      </c>
      <c r="G15782">
        <v>0</v>
      </c>
    </row>
    <row r="15783" spans="1:7">
      <c r="A15783" t="s">
        <v>1876</v>
      </c>
      <c r="B15783" t="s">
        <v>399</v>
      </c>
      <c r="C15783" t="s">
        <v>1900</v>
      </c>
      <c r="D15783">
        <v>58.1</v>
      </c>
      <c r="E15783">
        <v>47.6</v>
      </c>
      <c r="F15783">
        <v>46.2</v>
      </c>
      <c r="G15783">
        <v>50.1</v>
      </c>
    </row>
    <row r="15784" spans="1:7">
      <c r="A15784" t="s">
        <v>1876</v>
      </c>
      <c r="B15784" t="s">
        <v>399</v>
      </c>
      <c r="C15784" t="s">
        <v>151</v>
      </c>
      <c r="D15784">
        <v>0</v>
      </c>
      <c r="E15784">
        <v>0</v>
      </c>
      <c r="F15784">
        <v>0</v>
      </c>
      <c r="G15784">
        <v>0</v>
      </c>
    </row>
    <row r="15785" spans="1:7">
      <c r="A15785" t="s">
        <v>1876</v>
      </c>
      <c r="B15785" t="s">
        <v>399</v>
      </c>
      <c r="C15785" t="s">
        <v>152</v>
      </c>
      <c r="D15785">
        <v>275456</v>
      </c>
      <c r="E15785">
        <v>222523</v>
      </c>
      <c r="F15785">
        <v>213053</v>
      </c>
      <c r="G15785">
        <v>210855</v>
      </c>
    </row>
    <row r="15786" spans="1:7">
      <c r="A15786" t="s">
        <v>1876</v>
      </c>
      <c r="B15786" t="s">
        <v>399</v>
      </c>
      <c r="C15786" t="s">
        <v>1703</v>
      </c>
      <c r="D15786">
        <v>5270</v>
      </c>
      <c r="E15786">
        <v>5268</v>
      </c>
      <c r="F15786">
        <v>5226</v>
      </c>
      <c r="G15786">
        <v>4743</v>
      </c>
    </row>
    <row r="15787" spans="1:7">
      <c r="A15787" t="s">
        <v>1876</v>
      </c>
      <c r="B15787" t="s">
        <v>399</v>
      </c>
      <c r="C15787" t="s">
        <v>153</v>
      </c>
      <c r="D15787">
        <v>11304</v>
      </c>
      <c r="E15787">
        <v>9977</v>
      </c>
      <c r="F15787">
        <v>6942</v>
      </c>
      <c r="G15787">
        <v>6337</v>
      </c>
    </row>
    <row r="15788" spans="1:7">
      <c r="A15788" t="s">
        <v>1876</v>
      </c>
      <c r="B15788" t="s">
        <v>399</v>
      </c>
      <c r="C15788" t="s">
        <v>154</v>
      </c>
      <c r="D15788">
        <v>0</v>
      </c>
      <c r="E15788">
        <v>0</v>
      </c>
      <c r="F15788">
        <v>0</v>
      </c>
      <c r="G15788">
        <v>0</v>
      </c>
    </row>
    <row r="15789" spans="1:7">
      <c r="A15789" t="s">
        <v>1876</v>
      </c>
      <c r="B15789" t="s">
        <v>399</v>
      </c>
      <c r="C15789" t="s">
        <v>155</v>
      </c>
      <c r="D15789">
        <v>11304</v>
      </c>
      <c r="E15789">
        <v>9977</v>
      </c>
      <c r="F15789">
        <v>6942</v>
      </c>
      <c r="G15789">
        <v>6337</v>
      </c>
    </row>
    <row r="15790" spans="1:7">
      <c r="A15790" t="s">
        <v>1876</v>
      </c>
      <c r="B15790" t="s">
        <v>399</v>
      </c>
      <c r="C15790" t="s">
        <v>156</v>
      </c>
      <c r="D15790">
        <v>0</v>
      </c>
      <c r="E15790">
        <v>0</v>
      </c>
      <c r="F15790">
        <v>0</v>
      </c>
      <c r="G15790">
        <v>0</v>
      </c>
    </row>
    <row r="15791" spans="1:7">
      <c r="A15791" t="s">
        <v>1876</v>
      </c>
      <c r="B15791" t="s">
        <v>399</v>
      </c>
      <c r="C15791" t="s">
        <v>157</v>
      </c>
      <c r="D15791">
        <v>286760</v>
      </c>
      <c r="E15791">
        <v>232501</v>
      </c>
      <c r="F15791">
        <v>219995</v>
      </c>
      <c r="G15791">
        <v>217193</v>
      </c>
    </row>
    <row r="15792" spans="1:7">
      <c r="A15792" t="s">
        <v>1876</v>
      </c>
      <c r="B15792" t="s">
        <v>399</v>
      </c>
      <c r="C15792" t="s">
        <v>158</v>
      </c>
      <c r="D15792">
        <v>11304</v>
      </c>
      <c r="E15792">
        <v>9977</v>
      </c>
      <c r="F15792">
        <v>6942</v>
      </c>
      <c r="G15792">
        <v>6337</v>
      </c>
    </row>
    <row r="15793" spans="1:7">
      <c r="A15793" t="s">
        <v>1876</v>
      </c>
      <c r="B15793" t="s">
        <v>399</v>
      </c>
      <c r="C15793" t="s">
        <v>159</v>
      </c>
      <c r="D15793">
        <v>0</v>
      </c>
      <c r="E15793">
        <v>0</v>
      </c>
      <c r="F15793">
        <v>0</v>
      </c>
      <c r="G15793">
        <v>0</v>
      </c>
    </row>
    <row r="15794" spans="1:7">
      <c r="A15794" t="s">
        <v>1876</v>
      </c>
      <c r="B15794" t="s">
        <v>399</v>
      </c>
      <c r="C15794" t="s">
        <v>1901</v>
      </c>
      <c r="D15794">
        <v>58.5</v>
      </c>
      <c r="E15794">
        <v>63.2</v>
      </c>
      <c r="F15794">
        <v>72.3</v>
      </c>
      <c r="G15794">
        <v>70.599999999999994</v>
      </c>
    </row>
    <row r="15795" spans="1:7">
      <c r="A15795" t="s">
        <v>1876</v>
      </c>
      <c r="B15795" t="s">
        <v>399</v>
      </c>
      <c r="C15795" t="s">
        <v>1902</v>
      </c>
      <c r="D15795">
        <v>120330</v>
      </c>
      <c r="E15795">
        <v>122750</v>
      </c>
      <c r="F15795">
        <v>117270</v>
      </c>
      <c r="G15795">
        <v>106355</v>
      </c>
    </row>
    <row r="15796" spans="1:7">
      <c r="A15796" t="s">
        <v>1876</v>
      </c>
      <c r="B15796" t="s">
        <v>399</v>
      </c>
      <c r="C15796" t="s">
        <v>1903</v>
      </c>
      <c r="D15796">
        <v>3786</v>
      </c>
      <c r="E15796">
        <v>3997</v>
      </c>
      <c r="F15796">
        <v>3721</v>
      </c>
      <c r="G15796">
        <v>3453</v>
      </c>
    </row>
    <row r="15797" spans="1:7">
      <c r="A15797" t="s">
        <v>1876</v>
      </c>
      <c r="B15797" t="s">
        <v>399</v>
      </c>
      <c r="C15797" t="s">
        <v>1904</v>
      </c>
      <c r="D15797">
        <v>2655</v>
      </c>
      <c r="E15797">
        <v>392</v>
      </c>
      <c r="F15797">
        <v>1073</v>
      </c>
      <c r="G15797">
        <v>937</v>
      </c>
    </row>
    <row r="15798" spans="1:7">
      <c r="A15798" t="s">
        <v>1876</v>
      </c>
      <c r="B15798" t="s">
        <v>399</v>
      </c>
      <c r="C15798" t="s">
        <v>1905</v>
      </c>
      <c r="D15798">
        <v>24817</v>
      </c>
      <c r="E15798">
        <v>25088</v>
      </c>
      <c r="F15798">
        <v>24486</v>
      </c>
      <c r="G15798">
        <v>23761</v>
      </c>
    </row>
    <row r="15799" spans="1:7">
      <c r="A15799" t="s">
        <v>1876</v>
      </c>
      <c r="B15799" t="s">
        <v>399</v>
      </c>
      <c r="C15799" t="s">
        <v>1906</v>
      </c>
      <c r="D15799">
        <v>4516</v>
      </c>
      <c r="E15799">
        <v>4831</v>
      </c>
      <c r="F15799">
        <v>4494</v>
      </c>
      <c r="G15799">
        <v>4080</v>
      </c>
    </row>
    <row r="15800" spans="1:7">
      <c r="A15800" t="s">
        <v>1876</v>
      </c>
      <c r="B15800" t="s">
        <v>399</v>
      </c>
      <c r="C15800" t="s">
        <v>1907</v>
      </c>
      <c r="D15800">
        <v>156105</v>
      </c>
      <c r="E15800">
        <v>157057</v>
      </c>
      <c r="F15800">
        <v>151043</v>
      </c>
      <c r="G15800">
        <v>138586</v>
      </c>
    </row>
    <row r="15801" spans="1:7">
      <c r="A15801" t="s">
        <v>1876</v>
      </c>
      <c r="B15801" t="s">
        <v>399</v>
      </c>
      <c r="C15801" t="s">
        <v>160</v>
      </c>
      <c r="D15801">
        <v>118655</v>
      </c>
      <c r="E15801">
        <v>121139</v>
      </c>
      <c r="F15801">
        <v>115005</v>
      </c>
      <c r="G15801">
        <v>104137</v>
      </c>
    </row>
    <row r="15802" spans="1:7">
      <c r="A15802" t="s">
        <v>1876</v>
      </c>
      <c r="B15802" t="s">
        <v>399</v>
      </c>
      <c r="C15802" t="s">
        <v>161</v>
      </c>
      <c r="D15802">
        <v>3786</v>
      </c>
      <c r="E15802">
        <v>3997</v>
      </c>
      <c r="F15802">
        <v>3721</v>
      </c>
      <c r="G15802">
        <v>3453</v>
      </c>
    </row>
    <row r="15803" spans="1:7">
      <c r="A15803" t="s">
        <v>1876</v>
      </c>
      <c r="B15803" t="s">
        <v>399</v>
      </c>
      <c r="C15803" t="s">
        <v>162</v>
      </c>
      <c r="D15803">
        <v>2655</v>
      </c>
      <c r="E15803">
        <v>392</v>
      </c>
      <c r="F15803">
        <v>1073</v>
      </c>
      <c r="G15803">
        <v>937</v>
      </c>
    </row>
    <row r="15804" spans="1:7">
      <c r="A15804" t="s">
        <v>1876</v>
      </c>
      <c r="B15804" t="s">
        <v>399</v>
      </c>
      <c r="C15804" t="s">
        <v>163</v>
      </c>
      <c r="D15804">
        <v>24817</v>
      </c>
      <c r="E15804">
        <v>25088</v>
      </c>
      <c r="F15804">
        <v>24486</v>
      </c>
      <c r="G15804">
        <v>23761</v>
      </c>
    </row>
    <row r="15805" spans="1:7">
      <c r="A15805" t="s">
        <v>1876</v>
      </c>
      <c r="B15805" t="s">
        <v>399</v>
      </c>
      <c r="C15805" t="s">
        <v>164</v>
      </c>
      <c r="D15805">
        <v>4516</v>
      </c>
      <c r="E15805">
        <v>4831</v>
      </c>
      <c r="F15805">
        <v>4494</v>
      </c>
      <c r="G15805">
        <v>4080</v>
      </c>
    </row>
    <row r="15806" spans="1:7">
      <c r="A15806" t="s">
        <v>1876</v>
      </c>
      <c r="B15806" t="s">
        <v>399</v>
      </c>
      <c r="C15806" t="s">
        <v>165</v>
      </c>
      <c r="D15806">
        <v>154430</v>
      </c>
      <c r="E15806">
        <v>155446</v>
      </c>
      <c r="F15806">
        <v>148778</v>
      </c>
      <c r="G15806">
        <v>136367</v>
      </c>
    </row>
    <row r="15807" spans="1:7">
      <c r="A15807" t="s">
        <v>1876</v>
      </c>
      <c r="B15807" t="s">
        <v>399</v>
      </c>
      <c r="C15807" t="s">
        <v>166</v>
      </c>
      <c r="D15807">
        <v>151775</v>
      </c>
      <c r="E15807">
        <v>155054</v>
      </c>
      <c r="F15807">
        <v>147705</v>
      </c>
      <c r="G15807">
        <v>135430</v>
      </c>
    </row>
    <row r="15808" spans="1:7">
      <c r="A15808" t="s">
        <v>1876</v>
      </c>
      <c r="B15808" t="s">
        <v>399</v>
      </c>
      <c r="C15808" t="s">
        <v>167</v>
      </c>
      <c r="D15808">
        <v>2655</v>
      </c>
      <c r="E15808">
        <v>392</v>
      </c>
      <c r="F15808">
        <v>1073</v>
      </c>
      <c r="G15808">
        <v>937</v>
      </c>
    </row>
    <row r="15809" spans="1:7">
      <c r="A15809" t="s">
        <v>1876</v>
      </c>
      <c r="B15809" t="s">
        <v>399</v>
      </c>
      <c r="C15809" t="s">
        <v>1908</v>
      </c>
      <c r="D15809">
        <v>117414</v>
      </c>
      <c r="E15809">
        <v>120002</v>
      </c>
      <c r="F15809">
        <v>113670</v>
      </c>
      <c r="G15809">
        <v>102938</v>
      </c>
    </row>
    <row r="15810" spans="1:7">
      <c r="A15810" t="s">
        <v>1876</v>
      </c>
      <c r="B15810" t="s">
        <v>399</v>
      </c>
      <c r="C15810" t="s">
        <v>1909</v>
      </c>
      <c r="D15810">
        <v>3786</v>
      </c>
      <c r="E15810">
        <v>3997</v>
      </c>
      <c r="F15810">
        <v>3721</v>
      </c>
      <c r="G15810">
        <v>3453</v>
      </c>
    </row>
    <row r="15811" spans="1:7">
      <c r="A15811" t="s">
        <v>1876</v>
      </c>
      <c r="B15811" t="s">
        <v>399</v>
      </c>
      <c r="C15811" t="s">
        <v>1910</v>
      </c>
      <c r="D15811">
        <v>2655</v>
      </c>
      <c r="E15811">
        <v>392</v>
      </c>
      <c r="F15811">
        <v>1073</v>
      </c>
      <c r="G15811">
        <v>937</v>
      </c>
    </row>
    <row r="15812" spans="1:7">
      <c r="A15812" t="s">
        <v>1876</v>
      </c>
      <c r="B15812" t="s">
        <v>399</v>
      </c>
      <c r="C15812" t="s">
        <v>1911</v>
      </c>
      <c r="D15812">
        <v>24817</v>
      </c>
      <c r="E15812">
        <v>25088</v>
      </c>
      <c r="F15812">
        <v>24486</v>
      </c>
      <c r="G15812">
        <v>23761</v>
      </c>
    </row>
    <row r="15813" spans="1:7">
      <c r="A15813" t="s">
        <v>1876</v>
      </c>
      <c r="B15813" t="s">
        <v>399</v>
      </c>
      <c r="C15813" t="s">
        <v>1912</v>
      </c>
      <c r="D15813">
        <v>4516</v>
      </c>
      <c r="E15813">
        <v>4831</v>
      </c>
      <c r="F15813">
        <v>4494</v>
      </c>
      <c r="G15813">
        <v>4080</v>
      </c>
    </row>
    <row r="15814" spans="1:7">
      <c r="A15814" t="s">
        <v>1876</v>
      </c>
      <c r="B15814" t="s">
        <v>399</v>
      </c>
      <c r="C15814" t="s">
        <v>168</v>
      </c>
      <c r="D15814">
        <v>153189</v>
      </c>
      <c r="E15814">
        <v>154309</v>
      </c>
      <c r="F15814">
        <v>147443</v>
      </c>
      <c r="G15814">
        <v>135168</v>
      </c>
    </row>
    <row r="15815" spans="1:7">
      <c r="A15815" t="s">
        <v>1876</v>
      </c>
      <c r="B15815" t="s">
        <v>399</v>
      </c>
      <c r="C15815" t="s">
        <v>169</v>
      </c>
      <c r="D15815">
        <v>0</v>
      </c>
      <c r="E15815">
        <v>0</v>
      </c>
      <c r="F15815">
        <v>0</v>
      </c>
      <c r="G15815">
        <v>0</v>
      </c>
    </row>
    <row r="15816" spans="1:7">
      <c r="A15816" t="s">
        <v>1876</v>
      </c>
      <c r="B15816" t="s">
        <v>399</v>
      </c>
      <c r="C15816" t="s">
        <v>1704</v>
      </c>
      <c r="D15816">
        <v>16428</v>
      </c>
      <c r="E15816">
        <v>16724</v>
      </c>
      <c r="F15816">
        <v>17580</v>
      </c>
      <c r="G15816">
        <v>17430</v>
      </c>
    </row>
    <row r="15817" spans="1:7">
      <c r="A15817" t="s">
        <v>1876</v>
      </c>
      <c r="B15817" t="s">
        <v>399</v>
      </c>
      <c r="C15817" t="s">
        <v>170</v>
      </c>
      <c r="D15817">
        <v>0</v>
      </c>
      <c r="E15817">
        <v>0</v>
      </c>
      <c r="F15817">
        <v>0</v>
      </c>
      <c r="G15817">
        <v>0</v>
      </c>
    </row>
    <row r="15818" spans="1:7">
      <c r="A15818" t="s">
        <v>1876</v>
      </c>
      <c r="B15818" t="s">
        <v>399</v>
      </c>
      <c r="C15818" t="s">
        <v>171</v>
      </c>
      <c r="D15818">
        <v>90067</v>
      </c>
      <c r="E15818">
        <v>115884</v>
      </c>
      <c r="F15818">
        <v>93609</v>
      </c>
      <c r="G15818">
        <v>69314</v>
      </c>
    </row>
    <row r="15819" spans="1:7">
      <c r="A15819" t="s">
        <v>1876</v>
      </c>
      <c r="B15819" t="s">
        <v>399</v>
      </c>
      <c r="C15819" t="s">
        <v>172</v>
      </c>
      <c r="D15819">
        <v>0</v>
      </c>
      <c r="E15819">
        <v>0</v>
      </c>
      <c r="F15819">
        <v>0</v>
      </c>
      <c r="G15819">
        <v>0</v>
      </c>
    </row>
    <row r="15820" spans="1:7">
      <c r="A15820" t="s">
        <v>1876</v>
      </c>
      <c r="B15820" t="s">
        <v>399</v>
      </c>
      <c r="C15820" t="s">
        <v>1913</v>
      </c>
      <c r="D15820">
        <v>16.5</v>
      </c>
      <c r="E15820">
        <v>22.4</v>
      </c>
      <c r="F15820">
        <v>34.799999999999997</v>
      </c>
      <c r="G15820">
        <v>45.8</v>
      </c>
    </row>
    <row r="15821" spans="1:7">
      <c r="A15821" t="s">
        <v>1876</v>
      </c>
      <c r="B15821" t="s">
        <v>399</v>
      </c>
      <c r="C15821" t="s">
        <v>1914</v>
      </c>
      <c r="D15821">
        <v>0.3</v>
      </c>
      <c r="E15821">
        <v>0.4</v>
      </c>
      <c r="F15821">
        <v>0.7</v>
      </c>
      <c r="G15821">
        <v>0.9</v>
      </c>
    </row>
    <row r="15822" spans="1:7">
      <c r="A15822" t="s">
        <v>1876</v>
      </c>
      <c r="B15822" t="s">
        <v>399</v>
      </c>
      <c r="C15822" t="s">
        <v>173</v>
      </c>
      <c r="D15822">
        <v>21419</v>
      </c>
      <c r="E15822">
        <v>21868</v>
      </c>
      <c r="F15822">
        <v>22126</v>
      </c>
      <c r="G15822">
        <v>21339</v>
      </c>
    </row>
    <row r="15823" spans="1:7">
      <c r="A15823" t="s">
        <v>1876</v>
      </c>
      <c r="B15823" t="s">
        <v>399</v>
      </c>
      <c r="C15823" t="s">
        <v>174</v>
      </c>
      <c r="D15823">
        <v>441</v>
      </c>
      <c r="E15823">
        <v>457</v>
      </c>
      <c r="F15823">
        <v>459</v>
      </c>
      <c r="G15823">
        <v>369</v>
      </c>
    </row>
    <row r="15824" spans="1:7">
      <c r="A15824" t="s">
        <v>1876</v>
      </c>
      <c r="B15824" t="s">
        <v>399</v>
      </c>
      <c r="C15824" t="s">
        <v>175</v>
      </c>
      <c r="D15824">
        <v>366</v>
      </c>
      <c r="E15824">
        <v>393</v>
      </c>
      <c r="F15824">
        <v>405</v>
      </c>
      <c r="G15824">
        <v>350</v>
      </c>
    </row>
    <row r="15825" spans="1:7">
      <c r="A15825" t="s">
        <v>1876</v>
      </c>
      <c r="B15825" t="s">
        <v>399</v>
      </c>
      <c r="C15825" t="s">
        <v>176</v>
      </c>
      <c r="D15825">
        <v>27718</v>
      </c>
      <c r="E15825">
        <v>28073</v>
      </c>
      <c r="F15825">
        <v>29351</v>
      </c>
      <c r="G15825">
        <v>33429</v>
      </c>
    </row>
    <row r="15826" spans="1:7">
      <c r="A15826" t="s">
        <v>1876</v>
      </c>
      <c r="B15826" t="s">
        <v>399</v>
      </c>
      <c r="C15826" t="s">
        <v>177</v>
      </c>
      <c r="D15826">
        <v>22227</v>
      </c>
      <c r="E15826">
        <v>22718</v>
      </c>
      <c r="F15826">
        <v>22990</v>
      </c>
      <c r="G15826">
        <v>22059</v>
      </c>
    </row>
    <row r="15827" spans="1:7">
      <c r="A15827" t="s">
        <v>1876</v>
      </c>
      <c r="B15827" t="s">
        <v>399</v>
      </c>
      <c r="C15827" t="s">
        <v>178</v>
      </c>
      <c r="D15827">
        <v>0</v>
      </c>
      <c r="E15827">
        <v>0</v>
      </c>
      <c r="F15827">
        <v>0</v>
      </c>
      <c r="G15827">
        <v>0</v>
      </c>
    </row>
    <row r="15828" spans="1:7">
      <c r="A15828" t="s">
        <v>1876</v>
      </c>
      <c r="B15828" t="s">
        <v>399</v>
      </c>
      <c r="C15828" t="s">
        <v>179</v>
      </c>
      <c r="D15828">
        <v>0</v>
      </c>
      <c r="E15828">
        <v>0</v>
      </c>
      <c r="F15828">
        <v>0</v>
      </c>
      <c r="G15828">
        <v>0</v>
      </c>
    </row>
    <row r="15829" spans="1:7">
      <c r="A15829" t="s">
        <v>1876</v>
      </c>
      <c r="B15829" t="s">
        <v>399</v>
      </c>
      <c r="C15829" t="s">
        <v>180</v>
      </c>
      <c r="D15829">
        <v>4</v>
      </c>
      <c r="E15829">
        <v>4</v>
      </c>
      <c r="F15829">
        <v>4</v>
      </c>
      <c r="G15829">
        <v>4</v>
      </c>
    </row>
    <row r="15830" spans="1:7">
      <c r="A15830" t="s">
        <v>1876</v>
      </c>
      <c r="B15830" t="s">
        <v>399</v>
      </c>
      <c r="C15830" t="s">
        <v>181</v>
      </c>
      <c r="D15830">
        <v>79384</v>
      </c>
      <c r="E15830">
        <v>79932</v>
      </c>
      <c r="F15830">
        <v>79202</v>
      </c>
      <c r="G15830">
        <v>79487</v>
      </c>
    </row>
    <row r="15831" spans="1:7">
      <c r="A15831" t="s">
        <v>1876</v>
      </c>
      <c r="B15831" t="s">
        <v>399</v>
      </c>
      <c r="C15831" t="s">
        <v>182</v>
      </c>
      <c r="D15831">
        <v>79484</v>
      </c>
      <c r="E15831">
        <v>80387</v>
      </c>
      <c r="F15831">
        <v>78923</v>
      </c>
      <c r="G15831">
        <v>78399</v>
      </c>
    </row>
    <row r="15832" spans="1:7">
      <c r="A15832" t="s">
        <v>1876</v>
      </c>
      <c r="B15832" t="s">
        <v>399</v>
      </c>
      <c r="C15832" t="s">
        <v>183</v>
      </c>
      <c r="D15832">
        <v>78012</v>
      </c>
      <c r="E15832">
        <v>78094</v>
      </c>
      <c r="F15832">
        <v>75811</v>
      </c>
      <c r="G15832">
        <v>75120</v>
      </c>
    </row>
    <row r="15833" spans="1:7">
      <c r="A15833" t="s">
        <v>1876</v>
      </c>
      <c r="B15833" t="s">
        <v>399</v>
      </c>
      <c r="C15833" t="s">
        <v>184</v>
      </c>
      <c r="D15833">
        <v>236884</v>
      </c>
      <c r="E15833">
        <v>238416</v>
      </c>
      <c r="F15833">
        <v>233940</v>
      </c>
      <c r="G15833">
        <v>233010</v>
      </c>
    </row>
    <row r="15834" spans="1:7">
      <c r="A15834" t="s">
        <v>1876</v>
      </c>
      <c r="B15834" t="s">
        <v>399</v>
      </c>
      <c r="C15834" t="s">
        <v>185</v>
      </c>
      <c r="D15834">
        <v>236884</v>
      </c>
      <c r="E15834">
        <v>238416</v>
      </c>
      <c r="F15834">
        <v>233940</v>
      </c>
      <c r="G15834">
        <v>233010</v>
      </c>
    </row>
    <row r="15835" spans="1:7">
      <c r="A15835" t="s">
        <v>1876</v>
      </c>
      <c r="B15835" t="s">
        <v>399</v>
      </c>
      <c r="C15835" t="s">
        <v>1915</v>
      </c>
      <c r="D15835">
        <v>29</v>
      </c>
      <c r="E15835">
        <v>45</v>
      </c>
      <c r="F15835">
        <v>104</v>
      </c>
      <c r="G15835">
        <v>143</v>
      </c>
    </row>
    <row r="15836" spans="1:7">
      <c r="A15836" t="s">
        <v>1876</v>
      </c>
      <c r="B15836" t="s">
        <v>399</v>
      </c>
      <c r="C15836" t="s">
        <v>1916</v>
      </c>
      <c r="D15836">
        <v>0</v>
      </c>
      <c r="E15836">
        <v>0</v>
      </c>
      <c r="F15836">
        <v>0</v>
      </c>
      <c r="G15836">
        <v>0</v>
      </c>
    </row>
    <row r="15837" spans="1:7">
      <c r="A15837" t="s">
        <v>1876</v>
      </c>
      <c r="B15837" t="s">
        <v>399</v>
      </c>
      <c r="C15837" t="s">
        <v>1917</v>
      </c>
      <c r="D15837">
        <v>81</v>
      </c>
      <c r="E15837">
        <v>8</v>
      </c>
      <c r="F15837">
        <v>8</v>
      </c>
      <c r="G15837">
        <v>11</v>
      </c>
    </row>
    <row r="15838" spans="1:7">
      <c r="A15838" t="s">
        <v>1876</v>
      </c>
      <c r="B15838" t="s">
        <v>399</v>
      </c>
      <c r="C15838" t="s">
        <v>1918</v>
      </c>
      <c r="D15838">
        <v>799</v>
      </c>
      <c r="E15838">
        <v>1001</v>
      </c>
      <c r="F15838">
        <v>1113</v>
      </c>
      <c r="G15838">
        <v>1303</v>
      </c>
    </row>
    <row r="15839" spans="1:7">
      <c r="A15839" t="s">
        <v>1876</v>
      </c>
      <c r="B15839" t="s">
        <v>399</v>
      </c>
      <c r="C15839" t="s">
        <v>1919</v>
      </c>
      <c r="D15839">
        <v>2.3199999999999998</v>
      </c>
      <c r="E15839">
        <v>2.31</v>
      </c>
      <c r="F15839">
        <v>2.16</v>
      </c>
      <c r="G15839">
        <v>2.15</v>
      </c>
    </row>
    <row r="15840" spans="1:7">
      <c r="A15840" t="s">
        <v>1876</v>
      </c>
      <c r="B15840" t="s">
        <v>399</v>
      </c>
      <c r="C15840" t="s">
        <v>1920</v>
      </c>
      <c r="D15840">
        <v>1089</v>
      </c>
      <c r="E15840">
        <v>1287</v>
      </c>
      <c r="F15840">
        <v>1579</v>
      </c>
      <c r="G15840">
        <v>1962</v>
      </c>
    </row>
    <row r="15841" spans="1:7">
      <c r="A15841" t="s">
        <v>1876</v>
      </c>
      <c r="B15841" t="s">
        <v>399</v>
      </c>
      <c r="C15841" t="s">
        <v>1921</v>
      </c>
      <c r="D15841">
        <v>473</v>
      </c>
      <c r="E15841">
        <v>497</v>
      </c>
      <c r="F15841">
        <v>616</v>
      </c>
      <c r="G15841">
        <v>771</v>
      </c>
    </row>
    <row r="15842" spans="1:7">
      <c r="A15842" t="s">
        <v>1876</v>
      </c>
      <c r="B15842" t="s">
        <v>399</v>
      </c>
      <c r="C15842" t="s">
        <v>1922</v>
      </c>
      <c r="D15842">
        <v>209</v>
      </c>
      <c r="E15842">
        <v>278</v>
      </c>
      <c r="F15842">
        <v>458</v>
      </c>
      <c r="G15842">
        <v>648</v>
      </c>
    </row>
    <row r="15843" spans="1:7">
      <c r="A15843" t="s">
        <v>1876</v>
      </c>
      <c r="B15843" t="s">
        <v>399</v>
      </c>
      <c r="C15843" t="s">
        <v>1923</v>
      </c>
      <c r="D15843">
        <v>3.48</v>
      </c>
      <c r="E15843">
        <v>4.03</v>
      </c>
      <c r="F15843">
        <v>4.09</v>
      </c>
      <c r="G15843">
        <v>3.54</v>
      </c>
    </row>
    <row r="15844" spans="1:7">
      <c r="A15844" t="s">
        <v>1876</v>
      </c>
      <c r="B15844" t="s">
        <v>399</v>
      </c>
      <c r="C15844" t="s">
        <v>1924</v>
      </c>
      <c r="D15844">
        <v>29</v>
      </c>
      <c r="E15844">
        <v>7</v>
      </c>
      <c r="F15844">
        <v>7</v>
      </c>
      <c r="G15844">
        <v>7</v>
      </c>
    </row>
    <row r="15845" spans="1:7">
      <c r="A15845" t="s">
        <v>1876</v>
      </c>
      <c r="B15845" t="s">
        <v>399</v>
      </c>
      <c r="C15845" t="s">
        <v>1925</v>
      </c>
      <c r="D15845">
        <v>139</v>
      </c>
      <c r="E15845">
        <v>67</v>
      </c>
      <c r="F15845">
        <v>66</v>
      </c>
      <c r="G15845">
        <v>68</v>
      </c>
    </row>
    <row r="15846" spans="1:7">
      <c r="A15846" t="s">
        <v>1876</v>
      </c>
      <c r="B15846" t="s">
        <v>399</v>
      </c>
      <c r="C15846" t="s">
        <v>1926</v>
      </c>
      <c r="D15846">
        <v>305</v>
      </c>
      <c r="E15846">
        <v>423</v>
      </c>
      <c r="F15846">
        <v>543</v>
      </c>
      <c r="G15846">
        <v>696</v>
      </c>
    </row>
    <row r="15847" spans="1:7">
      <c r="A15847" t="s">
        <v>1876</v>
      </c>
      <c r="B15847" t="s">
        <v>399</v>
      </c>
      <c r="C15847" t="s">
        <v>1927</v>
      </c>
      <c r="D15847">
        <v>20</v>
      </c>
      <c r="E15847">
        <v>19</v>
      </c>
      <c r="F15847">
        <v>13</v>
      </c>
      <c r="G15847">
        <v>12</v>
      </c>
    </row>
    <row r="15848" spans="1:7">
      <c r="A15848" t="s">
        <v>1876</v>
      </c>
      <c r="B15848" t="s">
        <v>399</v>
      </c>
      <c r="C15848" t="s">
        <v>1928</v>
      </c>
      <c r="D15848">
        <v>442</v>
      </c>
      <c r="E15848">
        <v>462</v>
      </c>
      <c r="F15848">
        <v>580</v>
      </c>
      <c r="G15848">
        <v>732</v>
      </c>
    </row>
    <row r="15849" spans="1:7">
      <c r="A15849" t="s">
        <v>1876</v>
      </c>
      <c r="B15849" t="s">
        <v>399</v>
      </c>
      <c r="C15849" t="s">
        <v>1929</v>
      </c>
      <c r="D15849">
        <v>11</v>
      </c>
      <c r="E15849">
        <v>16</v>
      </c>
      <c r="F15849">
        <v>23</v>
      </c>
      <c r="G15849">
        <v>27</v>
      </c>
    </row>
    <row r="15850" spans="1:7">
      <c r="A15850" t="s">
        <v>1876</v>
      </c>
      <c r="B15850" t="s">
        <v>399</v>
      </c>
      <c r="C15850" t="s">
        <v>186</v>
      </c>
      <c r="D15850">
        <v>0</v>
      </c>
      <c r="E15850">
        <v>0</v>
      </c>
      <c r="F15850">
        <v>0</v>
      </c>
      <c r="G15850">
        <v>0</v>
      </c>
    </row>
    <row r="15851" spans="1:7">
      <c r="A15851" t="s">
        <v>1876</v>
      </c>
      <c r="B15851" t="s">
        <v>399</v>
      </c>
      <c r="C15851" t="s">
        <v>187</v>
      </c>
      <c r="D15851">
        <v>0</v>
      </c>
      <c r="E15851">
        <v>0</v>
      </c>
      <c r="F15851">
        <v>0</v>
      </c>
      <c r="G15851">
        <v>0</v>
      </c>
    </row>
    <row r="15852" spans="1:7">
      <c r="A15852" t="s">
        <v>1876</v>
      </c>
      <c r="B15852" t="s">
        <v>399</v>
      </c>
      <c r="C15852" t="s">
        <v>1705</v>
      </c>
      <c r="D15852">
        <v>13252</v>
      </c>
      <c r="E15852">
        <v>13262</v>
      </c>
      <c r="F15852">
        <v>13172</v>
      </c>
      <c r="G15852">
        <v>12617</v>
      </c>
    </row>
    <row r="15853" spans="1:7">
      <c r="A15853" t="s">
        <v>1876</v>
      </c>
      <c r="B15853" t="s">
        <v>399</v>
      </c>
      <c r="C15853" t="s">
        <v>188</v>
      </c>
      <c r="D15853">
        <v>1381520</v>
      </c>
      <c r="E15853">
        <v>1390671</v>
      </c>
      <c r="F15853">
        <v>1339078</v>
      </c>
      <c r="G15853">
        <v>1301868</v>
      </c>
    </row>
    <row r="15854" spans="1:7">
      <c r="A15854" t="s">
        <v>1876</v>
      </c>
      <c r="B15854" t="s">
        <v>399</v>
      </c>
      <c r="C15854" t="s">
        <v>189</v>
      </c>
      <c r="D15854">
        <v>0</v>
      </c>
      <c r="E15854">
        <v>0</v>
      </c>
      <c r="F15854">
        <v>0</v>
      </c>
      <c r="G15854">
        <v>0</v>
      </c>
    </row>
    <row r="15855" spans="1:7">
      <c r="A15855" t="s">
        <v>1876</v>
      </c>
      <c r="B15855" t="s">
        <v>399</v>
      </c>
      <c r="C15855" t="s">
        <v>190</v>
      </c>
      <c r="D15855">
        <v>0</v>
      </c>
      <c r="E15855">
        <v>0</v>
      </c>
      <c r="F15855">
        <v>0</v>
      </c>
      <c r="G15855">
        <v>0</v>
      </c>
    </row>
    <row r="15856" spans="1:7">
      <c r="A15856" t="s">
        <v>1876</v>
      </c>
      <c r="B15856" t="s">
        <v>399</v>
      </c>
      <c r="C15856" t="s">
        <v>191</v>
      </c>
      <c r="D15856">
        <v>0</v>
      </c>
      <c r="E15856">
        <v>0</v>
      </c>
      <c r="F15856">
        <v>0</v>
      </c>
      <c r="G15856">
        <v>0</v>
      </c>
    </row>
    <row r="15857" spans="1:7">
      <c r="A15857" t="s">
        <v>1876</v>
      </c>
      <c r="B15857" t="s">
        <v>399</v>
      </c>
      <c r="C15857" t="s">
        <v>192</v>
      </c>
      <c r="D15857">
        <v>368997.3</v>
      </c>
      <c r="E15857">
        <v>403570.3</v>
      </c>
      <c r="F15857">
        <v>431913.9</v>
      </c>
      <c r="G15857">
        <v>453298.6</v>
      </c>
    </row>
    <row r="15858" spans="1:7">
      <c r="A15858" t="s">
        <v>1876</v>
      </c>
      <c r="B15858" t="s">
        <v>399</v>
      </c>
      <c r="C15858" t="s">
        <v>193</v>
      </c>
      <c r="D15858">
        <v>334848.59999999998</v>
      </c>
      <c r="E15858">
        <v>341875.20000000001</v>
      </c>
      <c r="F15858">
        <v>347108.2</v>
      </c>
      <c r="G15858">
        <v>354382.1</v>
      </c>
    </row>
    <row r="15859" spans="1:7">
      <c r="A15859" t="s">
        <v>1876</v>
      </c>
      <c r="B15859" t="s">
        <v>399</v>
      </c>
      <c r="C15859" t="s">
        <v>1930</v>
      </c>
      <c r="D15859">
        <v>0</v>
      </c>
      <c r="E15859">
        <v>0</v>
      </c>
      <c r="F15859">
        <v>0</v>
      </c>
      <c r="G15859">
        <v>0</v>
      </c>
    </row>
    <row r="15860" spans="1:7">
      <c r="A15860" t="s">
        <v>1876</v>
      </c>
      <c r="B15860" t="s">
        <v>399</v>
      </c>
      <c r="C15860" t="s">
        <v>194</v>
      </c>
      <c r="D15860">
        <v>0</v>
      </c>
      <c r="E15860">
        <v>0</v>
      </c>
      <c r="F15860">
        <v>0</v>
      </c>
      <c r="G15860">
        <v>0</v>
      </c>
    </row>
    <row r="15861" spans="1:7">
      <c r="A15861" t="s">
        <v>1876</v>
      </c>
      <c r="B15861" t="s">
        <v>399</v>
      </c>
      <c r="C15861" t="s">
        <v>195</v>
      </c>
      <c r="D15861">
        <v>0</v>
      </c>
      <c r="E15861">
        <v>0</v>
      </c>
      <c r="F15861">
        <v>0</v>
      </c>
      <c r="G15861">
        <v>0</v>
      </c>
    </row>
    <row r="15862" spans="1:7">
      <c r="A15862" t="s">
        <v>1876</v>
      </c>
      <c r="B15862" t="s">
        <v>399</v>
      </c>
      <c r="C15862" t="s">
        <v>1706</v>
      </c>
      <c r="D15862">
        <v>0</v>
      </c>
      <c r="E15862">
        <v>0</v>
      </c>
      <c r="F15862">
        <v>0</v>
      </c>
      <c r="G15862">
        <v>0</v>
      </c>
    </row>
    <row r="15863" spans="1:7">
      <c r="A15863" t="s">
        <v>1876</v>
      </c>
      <c r="B15863" t="s">
        <v>399</v>
      </c>
      <c r="C15863" t="s">
        <v>196</v>
      </c>
      <c r="D15863">
        <v>0</v>
      </c>
      <c r="E15863">
        <v>0</v>
      </c>
      <c r="F15863">
        <v>0</v>
      </c>
      <c r="G15863">
        <v>0</v>
      </c>
    </row>
    <row r="15864" spans="1:7">
      <c r="A15864" t="s">
        <v>1876</v>
      </c>
      <c r="B15864" t="s">
        <v>399</v>
      </c>
      <c r="C15864" t="s">
        <v>197</v>
      </c>
      <c r="D15864">
        <v>615</v>
      </c>
      <c r="E15864">
        <v>615</v>
      </c>
      <c r="F15864">
        <v>615</v>
      </c>
      <c r="G15864">
        <v>615</v>
      </c>
    </row>
    <row r="15865" spans="1:7">
      <c r="A15865" t="s">
        <v>1876</v>
      </c>
      <c r="B15865" t="s">
        <v>399</v>
      </c>
      <c r="C15865" t="s">
        <v>198</v>
      </c>
      <c r="D15865">
        <v>615</v>
      </c>
      <c r="E15865">
        <v>615</v>
      </c>
      <c r="F15865">
        <v>615</v>
      </c>
      <c r="G15865">
        <v>615</v>
      </c>
    </row>
    <row r="15866" spans="1:7">
      <c r="A15866" t="s">
        <v>1876</v>
      </c>
      <c r="B15866" t="s">
        <v>399</v>
      </c>
      <c r="C15866" t="s">
        <v>199</v>
      </c>
      <c r="D15866">
        <v>615</v>
      </c>
      <c r="E15866">
        <v>615</v>
      </c>
      <c r="F15866">
        <v>615</v>
      </c>
      <c r="G15866">
        <v>615</v>
      </c>
    </row>
    <row r="15867" spans="1:7">
      <c r="A15867" t="s">
        <v>1876</v>
      </c>
      <c r="B15867" t="s">
        <v>399</v>
      </c>
      <c r="C15867" t="s">
        <v>200</v>
      </c>
      <c r="D15867">
        <v>256</v>
      </c>
      <c r="E15867">
        <v>311</v>
      </c>
      <c r="F15867">
        <v>309</v>
      </c>
      <c r="G15867">
        <v>283</v>
      </c>
    </row>
    <row r="15868" spans="1:7">
      <c r="A15868" t="s">
        <v>1876</v>
      </c>
      <c r="B15868" t="s">
        <v>399</v>
      </c>
      <c r="C15868" t="s">
        <v>201</v>
      </c>
      <c r="D15868">
        <v>5870</v>
      </c>
      <c r="E15868">
        <v>5550</v>
      </c>
      <c r="F15868">
        <v>4412</v>
      </c>
      <c r="G15868">
        <v>4198</v>
      </c>
    </row>
    <row r="15869" spans="1:7">
      <c r="A15869" t="s">
        <v>1876</v>
      </c>
      <c r="B15869" t="s">
        <v>399</v>
      </c>
      <c r="C15869" t="s">
        <v>202</v>
      </c>
      <c r="D15869">
        <v>5568</v>
      </c>
      <c r="E15869">
        <v>5513</v>
      </c>
      <c r="F15869">
        <v>3933</v>
      </c>
      <c r="G15869">
        <v>4203</v>
      </c>
    </row>
    <row r="15870" spans="1:7">
      <c r="A15870" t="s">
        <v>1876</v>
      </c>
      <c r="B15870" t="s">
        <v>399</v>
      </c>
      <c r="C15870" t="s">
        <v>203</v>
      </c>
      <c r="D15870">
        <v>29614</v>
      </c>
      <c r="E15870">
        <v>30006</v>
      </c>
      <c r="F15870">
        <v>28092</v>
      </c>
      <c r="G15870">
        <v>25466</v>
      </c>
    </row>
    <row r="15871" spans="1:7">
      <c r="A15871" t="s">
        <v>1876</v>
      </c>
      <c r="B15871" t="s">
        <v>399</v>
      </c>
      <c r="C15871" t="s">
        <v>204</v>
      </c>
      <c r="D15871">
        <v>41308</v>
      </c>
      <c r="E15871">
        <v>41380</v>
      </c>
      <c r="F15871">
        <v>36747</v>
      </c>
      <c r="G15871">
        <v>34150</v>
      </c>
    </row>
    <row r="15872" spans="1:7">
      <c r="A15872" t="s">
        <v>1876</v>
      </c>
      <c r="B15872" t="s">
        <v>399</v>
      </c>
      <c r="C15872" t="s">
        <v>205</v>
      </c>
      <c r="D15872">
        <v>41308</v>
      </c>
      <c r="E15872">
        <v>41380</v>
      </c>
      <c r="F15872">
        <v>36747</v>
      </c>
      <c r="G15872">
        <v>34150</v>
      </c>
    </row>
    <row r="15873" spans="1:7">
      <c r="A15873" t="s">
        <v>1876</v>
      </c>
      <c r="B15873" t="s">
        <v>399</v>
      </c>
      <c r="C15873" t="s">
        <v>1931</v>
      </c>
      <c r="D15873">
        <v>0</v>
      </c>
      <c r="E15873">
        <v>0</v>
      </c>
      <c r="F15873">
        <v>0</v>
      </c>
      <c r="G15873">
        <v>0</v>
      </c>
    </row>
    <row r="15874" spans="1:7">
      <c r="A15874" t="s">
        <v>1876</v>
      </c>
      <c r="B15874" t="s">
        <v>399</v>
      </c>
      <c r="C15874" t="s">
        <v>1707</v>
      </c>
      <c r="D15874">
        <v>0</v>
      </c>
      <c r="E15874">
        <v>0</v>
      </c>
      <c r="F15874">
        <v>0</v>
      </c>
      <c r="G15874">
        <v>0</v>
      </c>
    </row>
    <row r="15875" spans="1:7">
      <c r="A15875" t="s">
        <v>1876</v>
      </c>
      <c r="B15875" t="s">
        <v>399</v>
      </c>
      <c r="C15875" t="s">
        <v>1932</v>
      </c>
      <c r="D15875">
        <v>59.8</v>
      </c>
      <c r="E15875">
        <v>55.9</v>
      </c>
      <c r="F15875">
        <v>53.6</v>
      </c>
      <c r="G15875">
        <v>57.5</v>
      </c>
    </row>
    <row r="15876" spans="1:7">
      <c r="A15876" t="s">
        <v>1876</v>
      </c>
      <c r="B15876" t="s">
        <v>399</v>
      </c>
      <c r="C15876" t="s">
        <v>1708</v>
      </c>
      <c r="D15876">
        <v>410</v>
      </c>
      <c r="E15876">
        <v>406</v>
      </c>
      <c r="F15876">
        <v>410</v>
      </c>
      <c r="G15876">
        <v>411</v>
      </c>
    </row>
    <row r="15877" spans="1:7">
      <c r="A15877" t="s">
        <v>1876</v>
      </c>
      <c r="B15877" t="s">
        <v>399</v>
      </c>
      <c r="C15877" t="s">
        <v>206</v>
      </c>
      <c r="D15877">
        <v>0</v>
      </c>
      <c r="E15877">
        <v>0</v>
      </c>
      <c r="F15877">
        <v>0</v>
      </c>
      <c r="G15877">
        <v>0</v>
      </c>
    </row>
    <row r="15878" spans="1:7">
      <c r="A15878" t="s">
        <v>1876</v>
      </c>
      <c r="B15878" t="s">
        <v>399</v>
      </c>
      <c r="C15878" t="s">
        <v>207</v>
      </c>
      <c r="D15878">
        <v>6903</v>
      </c>
      <c r="E15878">
        <v>6464</v>
      </c>
      <c r="F15878">
        <v>6245</v>
      </c>
      <c r="G15878">
        <v>6708</v>
      </c>
    </row>
    <row r="15879" spans="1:7">
      <c r="A15879" t="s">
        <v>1876</v>
      </c>
      <c r="B15879" t="s">
        <v>399</v>
      </c>
      <c r="C15879" t="s">
        <v>208</v>
      </c>
      <c r="D15879">
        <v>415</v>
      </c>
      <c r="E15879">
        <v>330</v>
      </c>
      <c r="F15879">
        <v>326</v>
      </c>
      <c r="G15879">
        <v>361</v>
      </c>
    </row>
    <row r="15880" spans="1:7">
      <c r="A15880" t="s">
        <v>1876</v>
      </c>
      <c r="B15880" t="s">
        <v>399</v>
      </c>
      <c r="C15880" t="s">
        <v>209</v>
      </c>
      <c r="D15880">
        <v>7318</v>
      </c>
      <c r="E15880">
        <v>6793</v>
      </c>
      <c r="F15880">
        <v>6571</v>
      </c>
      <c r="G15880">
        <v>7069</v>
      </c>
    </row>
    <row r="15881" spans="1:7">
      <c r="A15881" t="s">
        <v>1876</v>
      </c>
      <c r="B15881" t="s">
        <v>399</v>
      </c>
      <c r="C15881" t="s">
        <v>210</v>
      </c>
      <c r="D15881">
        <v>415</v>
      </c>
      <c r="E15881">
        <v>330</v>
      </c>
      <c r="F15881">
        <v>326</v>
      </c>
      <c r="G15881">
        <v>361</v>
      </c>
    </row>
    <row r="15882" spans="1:7">
      <c r="A15882" t="s">
        <v>1876</v>
      </c>
      <c r="B15882" t="s">
        <v>399</v>
      </c>
      <c r="C15882" t="s">
        <v>211</v>
      </c>
      <c r="D15882">
        <v>0</v>
      </c>
      <c r="E15882">
        <v>0</v>
      </c>
      <c r="F15882">
        <v>0</v>
      </c>
      <c r="G15882">
        <v>0</v>
      </c>
    </row>
    <row r="15883" spans="1:7">
      <c r="A15883" t="s">
        <v>1876</v>
      </c>
      <c r="B15883" t="s">
        <v>399</v>
      </c>
      <c r="C15883" t="s">
        <v>212</v>
      </c>
      <c r="D15883">
        <v>0</v>
      </c>
      <c r="E15883">
        <v>0</v>
      </c>
      <c r="F15883">
        <v>0</v>
      </c>
      <c r="G15883">
        <v>0</v>
      </c>
    </row>
    <row r="15884" spans="1:7">
      <c r="A15884" t="s">
        <v>1876</v>
      </c>
      <c r="B15884" t="s">
        <v>399</v>
      </c>
      <c r="C15884" t="s">
        <v>213</v>
      </c>
      <c r="D15884">
        <v>0</v>
      </c>
      <c r="E15884">
        <v>0</v>
      </c>
      <c r="F15884">
        <v>0</v>
      </c>
      <c r="G15884">
        <v>0</v>
      </c>
    </row>
    <row r="15885" spans="1:7">
      <c r="A15885" t="s">
        <v>1876</v>
      </c>
      <c r="B15885" t="s">
        <v>399</v>
      </c>
      <c r="C15885" t="s">
        <v>214</v>
      </c>
      <c r="D15885">
        <v>0</v>
      </c>
      <c r="E15885">
        <v>0</v>
      </c>
      <c r="F15885">
        <v>0</v>
      </c>
      <c r="G15885">
        <v>0</v>
      </c>
    </row>
    <row r="15886" spans="1:7">
      <c r="A15886" t="s">
        <v>1876</v>
      </c>
      <c r="B15886" t="s">
        <v>399</v>
      </c>
      <c r="C15886" t="s">
        <v>215</v>
      </c>
      <c r="D15886">
        <v>11912</v>
      </c>
      <c r="E15886">
        <v>11928</v>
      </c>
      <c r="F15886">
        <v>13170</v>
      </c>
      <c r="G15886">
        <v>13386</v>
      </c>
    </row>
    <row r="15887" spans="1:7">
      <c r="A15887" t="s">
        <v>1876</v>
      </c>
      <c r="B15887" t="s">
        <v>399</v>
      </c>
      <c r="C15887" t="s">
        <v>216</v>
      </c>
      <c r="D15887">
        <v>11912</v>
      </c>
      <c r="E15887">
        <v>11928</v>
      </c>
      <c r="F15887">
        <v>13170</v>
      </c>
      <c r="G15887">
        <v>13386</v>
      </c>
    </row>
    <row r="15888" spans="1:7">
      <c r="A15888" t="s">
        <v>1876</v>
      </c>
      <c r="B15888" t="s">
        <v>399</v>
      </c>
      <c r="C15888" t="s">
        <v>217</v>
      </c>
      <c r="D15888">
        <v>11912</v>
      </c>
      <c r="E15888">
        <v>11928</v>
      </c>
      <c r="F15888">
        <v>13170</v>
      </c>
      <c r="G15888">
        <v>13386</v>
      </c>
    </row>
    <row r="15889" spans="1:7">
      <c r="A15889" t="s">
        <v>1876</v>
      </c>
      <c r="B15889" t="s">
        <v>399</v>
      </c>
      <c r="C15889" t="s">
        <v>218</v>
      </c>
      <c r="D15889">
        <v>15</v>
      </c>
      <c r="E15889">
        <v>14</v>
      </c>
      <c r="F15889">
        <v>25</v>
      </c>
      <c r="G15889">
        <v>18</v>
      </c>
    </row>
    <row r="15890" spans="1:7">
      <c r="A15890" t="s">
        <v>1876</v>
      </c>
      <c r="B15890" t="s">
        <v>399</v>
      </c>
      <c r="C15890" t="s">
        <v>219</v>
      </c>
      <c r="D15890">
        <v>19</v>
      </c>
      <c r="E15890">
        <v>15</v>
      </c>
      <c r="F15890">
        <v>59</v>
      </c>
      <c r="G15890">
        <v>32</v>
      </c>
    </row>
    <row r="15891" spans="1:7">
      <c r="A15891" t="s">
        <v>1876</v>
      </c>
      <c r="B15891" t="s">
        <v>399</v>
      </c>
      <c r="C15891" t="s">
        <v>220</v>
      </c>
      <c r="D15891">
        <v>57</v>
      </c>
      <c r="E15891">
        <v>55</v>
      </c>
      <c r="F15891">
        <v>93</v>
      </c>
      <c r="G15891">
        <v>67</v>
      </c>
    </row>
    <row r="15892" spans="1:7">
      <c r="A15892" t="s">
        <v>1876</v>
      </c>
      <c r="B15892" t="s">
        <v>399</v>
      </c>
      <c r="C15892" t="s">
        <v>221</v>
      </c>
      <c r="D15892">
        <v>92</v>
      </c>
      <c r="E15892">
        <v>84</v>
      </c>
      <c r="F15892">
        <v>176</v>
      </c>
      <c r="G15892">
        <v>117</v>
      </c>
    </row>
    <row r="15893" spans="1:7">
      <c r="A15893" t="s">
        <v>1876</v>
      </c>
      <c r="B15893" t="s">
        <v>399</v>
      </c>
      <c r="C15893" t="s">
        <v>222</v>
      </c>
      <c r="D15893">
        <v>92</v>
      </c>
      <c r="E15893">
        <v>84</v>
      </c>
      <c r="F15893">
        <v>176</v>
      </c>
      <c r="G15893">
        <v>117</v>
      </c>
    </row>
    <row r="15894" spans="1:7">
      <c r="A15894" t="s">
        <v>1876</v>
      </c>
      <c r="B15894" t="s">
        <v>399</v>
      </c>
      <c r="C15894" t="s">
        <v>1933</v>
      </c>
      <c r="D15894">
        <v>5156.7</v>
      </c>
      <c r="E15894">
        <v>5083.5</v>
      </c>
      <c r="F15894">
        <v>5098.3</v>
      </c>
      <c r="G15894">
        <v>5136.2</v>
      </c>
    </row>
    <row r="15895" spans="1:7">
      <c r="A15895" t="s">
        <v>1876</v>
      </c>
      <c r="B15895" t="s">
        <v>399</v>
      </c>
      <c r="C15895" t="s">
        <v>223</v>
      </c>
      <c r="D15895">
        <v>6</v>
      </c>
      <c r="E15895">
        <v>7</v>
      </c>
      <c r="F15895">
        <v>7</v>
      </c>
      <c r="G15895">
        <v>7</v>
      </c>
    </row>
    <row r="15896" spans="1:7">
      <c r="A15896" t="s">
        <v>1876</v>
      </c>
      <c r="B15896" t="s">
        <v>399</v>
      </c>
      <c r="C15896" t="s">
        <v>224</v>
      </c>
      <c r="D15896">
        <v>140423</v>
      </c>
      <c r="E15896">
        <v>140078</v>
      </c>
      <c r="F15896">
        <v>134278</v>
      </c>
      <c r="G15896">
        <v>131924</v>
      </c>
    </row>
    <row r="15897" spans="1:7">
      <c r="A15897" t="s">
        <v>1876</v>
      </c>
      <c r="B15897" t="s">
        <v>399</v>
      </c>
      <c r="C15897" t="s">
        <v>225</v>
      </c>
      <c r="D15897">
        <v>140601</v>
      </c>
      <c r="E15897">
        <v>140877</v>
      </c>
      <c r="F15897">
        <v>133806</v>
      </c>
      <c r="G15897">
        <v>130118</v>
      </c>
    </row>
    <row r="15898" spans="1:7">
      <c r="A15898" t="s">
        <v>1876</v>
      </c>
      <c r="B15898" t="s">
        <v>399</v>
      </c>
      <c r="C15898" t="s">
        <v>226</v>
      </c>
      <c r="D15898">
        <v>137997</v>
      </c>
      <c r="E15898">
        <v>136857</v>
      </c>
      <c r="F15898">
        <v>128529</v>
      </c>
      <c r="G15898">
        <v>124677</v>
      </c>
    </row>
    <row r="15899" spans="1:7">
      <c r="A15899" t="s">
        <v>1876</v>
      </c>
      <c r="B15899" t="s">
        <v>399</v>
      </c>
      <c r="C15899" t="s">
        <v>227</v>
      </c>
      <c r="D15899">
        <v>419027</v>
      </c>
      <c r="E15899">
        <v>417819</v>
      </c>
      <c r="F15899">
        <v>396619</v>
      </c>
      <c r="G15899">
        <v>386727</v>
      </c>
    </row>
    <row r="15900" spans="1:7">
      <c r="A15900" t="s">
        <v>1876</v>
      </c>
      <c r="B15900" t="s">
        <v>399</v>
      </c>
      <c r="C15900" t="s">
        <v>228</v>
      </c>
      <c r="D15900">
        <v>419027</v>
      </c>
      <c r="E15900">
        <v>417819</v>
      </c>
      <c r="F15900">
        <v>396619</v>
      </c>
      <c r="G15900">
        <v>386727</v>
      </c>
    </row>
    <row r="15901" spans="1:7">
      <c r="A15901" t="s">
        <v>1876</v>
      </c>
      <c r="B15901" t="s">
        <v>399</v>
      </c>
      <c r="C15901" t="s">
        <v>229</v>
      </c>
      <c r="D15901">
        <v>2256</v>
      </c>
      <c r="E15901">
        <v>2433</v>
      </c>
      <c r="F15901">
        <v>1734</v>
      </c>
      <c r="G15901">
        <v>1581</v>
      </c>
    </row>
    <row r="15902" spans="1:7">
      <c r="A15902" t="s">
        <v>1876</v>
      </c>
      <c r="B15902" t="s">
        <v>399</v>
      </c>
      <c r="C15902" t="s">
        <v>230</v>
      </c>
      <c r="D15902">
        <v>1957</v>
      </c>
      <c r="E15902">
        <v>2065</v>
      </c>
      <c r="F15902">
        <v>1481</v>
      </c>
      <c r="G15902">
        <v>1363</v>
      </c>
    </row>
    <row r="15903" spans="1:7">
      <c r="A15903" t="s">
        <v>1876</v>
      </c>
      <c r="B15903" t="s">
        <v>399</v>
      </c>
      <c r="C15903" t="s">
        <v>231</v>
      </c>
      <c r="D15903">
        <v>4214</v>
      </c>
      <c r="E15903">
        <v>4498</v>
      </c>
      <c r="F15903">
        <v>3215</v>
      </c>
      <c r="G15903">
        <v>2944</v>
      </c>
    </row>
    <row r="15904" spans="1:7">
      <c r="A15904" t="s">
        <v>1876</v>
      </c>
      <c r="B15904" t="s">
        <v>399</v>
      </c>
      <c r="C15904" t="s">
        <v>232</v>
      </c>
      <c r="D15904">
        <v>4214</v>
      </c>
      <c r="E15904">
        <v>4498</v>
      </c>
      <c r="F15904">
        <v>3215</v>
      </c>
      <c r="G15904">
        <v>2944</v>
      </c>
    </row>
    <row r="15905" spans="1:7">
      <c r="A15905" t="s">
        <v>1876</v>
      </c>
      <c r="B15905" t="s">
        <v>399</v>
      </c>
      <c r="C15905" t="s">
        <v>233</v>
      </c>
      <c r="D15905">
        <v>0</v>
      </c>
      <c r="E15905">
        <v>0</v>
      </c>
      <c r="F15905">
        <v>0</v>
      </c>
      <c r="G15905">
        <v>0</v>
      </c>
    </row>
    <row r="15906" spans="1:7">
      <c r="A15906" t="s">
        <v>1876</v>
      </c>
      <c r="B15906" t="s">
        <v>399</v>
      </c>
      <c r="C15906" t="s">
        <v>234</v>
      </c>
      <c r="D15906">
        <v>295003</v>
      </c>
      <c r="E15906">
        <v>298398</v>
      </c>
      <c r="F15906">
        <v>299974</v>
      </c>
      <c r="G15906">
        <v>290514</v>
      </c>
    </row>
    <row r="15907" spans="1:7">
      <c r="A15907" t="s">
        <v>1876</v>
      </c>
      <c r="B15907" t="s">
        <v>399</v>
      </c>
      <c r="C15907" t="s">
        <v>235</v>
      </c>
      <c r="D15907">
        <v>6071</v>
      </c>
      <c r="E15907">
        <v>6241</v>
      </c>
      <c r="F15907">
        <v>6217</v>
      </c>
      <c r="G15907">
        <v>5027</v>
      </c>
    </row>
    <row r="15908" spans="1:7">
      <c r="A15908" t="s">
        <v>1876</v>
      </c>
      <c r="B15908" t="s">
        <v>399</v>
      </c>
      <c r="C15908" t="s">
        <v>236</v>
      </c>
      <c r="D15908">
        <v>5047</v>
      </c>
      <c r="E15908">
        <v>5357</v>
      </c>
      <c r="F15908">
        <v>5487</v>
      </c>
      <c r="G15908">
        <v>4771</v>
      </c>
    </row>
    <row r="15909" spans="1:7">
      <c r="A15909" t="s">
        <v>1876</v>
      </c>
      <c r="B15909" t="s">
        <v>399</v>
      </c>
      <c r="C15909" t="s">
        <v>237</v>
      </c>
      <c r="D15909">
        <v>306121</v>
      </c>
      <c r="E15909">
        <v>309996</v>
      </c>
      <c r="F15909">
        <v>311678</v>
      </c>
      <c r="G15909">
        <v>300312</v>
      </c>
    </row>
    <row r="15910" spans="1:7">
      <c r="A15910" t="s">
        <v>1876</v>
      </c>
      <c r="B15910" t="s">
        <v>399</v>
      </c>
      <c r="C15910" t="s">
        <v>238</v>
      </c>
      <c r="D15910">
        <v>306121</v>
      </c>
      <c r="E15910">
        <v>309996</v>
      </c>
      <c r="F15910">
        <v>311678</v>
      </c>
      <c r="G15910">
        <v>300312</v>
      </c>
    </row>
    <row r="15911" spans="1:7">
      <c r="A15911" t="s">
        <v>1876</v>
      </c>
      <c r="B15911" t="s">
        <v>399</v>
      </c>
      <c r="C15911" t="s">
        <v>1934</v>
      </c>
      <c r="D15911">
        <v>273584</v>
      </c>
      <c r="E15911">
        <v>276530</v>
      </c>
      <c r="F15911">
        <v>277848</v>
      </c>
      <c r="G15911">
        <v>269174</v>
      </c>
    </row>
    <row r="15912" spans="1:7">
      <c r="A15912" t="s">
        <v>1876</v>
      </c>
      <c r="B15912" t="s">
        <v>399</v>
      </c>
      <c r="C15912" t="s">
        <v>1935</v>
      </c>
      <c r="D15912">
        <v>5630</v>
      </c>
      <c r="E15912">
        <v>5783</v>
      </c>
      <c r="F15912">
        <v>5759</v>
      </c>
      <c r="G15912">
        <v>4658</v>
      </c>
    </row>
    <row r="15913" spans="1:7">
      <c r="A15913" t="s">
        <v>1876</v>
      </c>
      <c r="B15913" t="s">
        <v>399</v>
      </c>
      <c r="C15913" t="s">
        <v>1936</v>
      </c>
      <c r="D15913">
        <v>4681</v>
      </c>
      <c r="E15913">
        <v>4965</v>
      </c>
      <c r="F15913">
        <v>5082</v>
      </c>
      <c r="G15913">
        <v>4421</v>
      </c>
    </row>
    <row r="15914" spans="1:7">
      <c r="A15914" t="s">
        <v>1876</v>
      </c>
      <c r="B15914" t="s">
        <v>399</v>
      </c>
      <c r="C15914" t="s">
        <v>239</v>
      </c>
      <c r="D15914">
        <v>283894</v>
      </c>
      <c r="E15914">
        <v>287279</v>
      </c>
      <c r="F15914">
        <v>288689</v>
      </c>
      <c r="G15914">
        <v>278253</v>
      </c>
    </row>
    <row r="15915" spans="1:7">
      <c r="A15915" t="s">
        <v>1876</v>
      </c>
      <c r="B15915" t="s">
        <v>399</v>
      </c>
      <c r="C15915" t="s">
        <v>240</v>
      </c>
      <c r="D15915">
        <v>2155</v>
      </c>
      <c r="E15915">
        <v>2087</v>
      </c>
      <c r="F15915">
        <v>2006</v>
      </c>
      <c r="G15915">
        <v>1964</v>
      </c>
    </row>
    <row r="15916" spans="1:7">
      <c r="A15916" t="s">
        <v>1876</v>
      </c>
      <c r="B15916" t="s">
        <v>399</v>
      </c>
      <c r="C15916" t="s">
        <v>241</v>
      </c>
      <c r="D15916">
        <v>0</v>
      </c>
      <c r="E15916">
        <v>0</v>
      </c>
      <c r="F15916">
        <v>0</v>
      </c>
      <c r="G15916">
        <v>0</v>
      </c>
    </row>
    <row r="15917" spans="1:7">
      <c r="A15917" t="s">
        <v>1876</v>
      </c>
      <c r="B15917" t="s">
        <v>399</v>
      </c>
      <c r="C15917" t="s">
        <v>242</v>
      </c>
      <c r="D15917">
        <v>4330</v>
      </c>
      <c r="E15917">
        <v>4870</v>
      </c>
      <c r="F15917">
        <v>3683</v>
      </c>
      <c r="G15917">
        <v>4134</v>
      </c>
    </row>
    <row r="15918" spans="1:7">
      <c r="A15918" t="s">
        <v>1876</v>
      </c>
      <c r="B15918" t="s">
        <v>399</v>
      </c>
      <c r="C15918" t="s">
        <v>243</v>
      </c>
      <c r="D15918">
        <v>105818</v>
      </c>
      <c r="E15918">
        <v>122538</v>
      </c>
      <c r="F15918">
        <v>115702</v>
      </c>
      <c r="G15918">
        <v>111813</v>
      </c>
    </row>
    <row r="15919" spans="1:7">
      <c r="A15919" t="s">
        <v>1876</v>
      </c>
      <c r="B15919" t="s">
        <v>399</v>
      </c>
      <c r="C15919" t="s">
        <v>244</v>
      </c>
      <c r="D15919">
        <v>154984</v>
      </c>
      <c r="E15919">
        <v>180174</v>
      </c>
      <c r="F15919">
        <v>190324</v>
      </c>
      <c r="G15919">
        <v>195207</v>
      </c>
    </row>
    <row r="15920" spans="1:7">
      <c r="A15920" t="s">
        <v>1876</v>
      </c>
      <c r="B15920" t="s">
        <v>399</v>
      </c>
      <c r="C15920" t="s">
        <v>1709</v>
      </c>
      <c r="D15920">
        <v>7345</v>
      </c>
      <c r="E15920">
        <v>7355</v>
      </c>
      <c r="F15920">
        <v>7309</v>
      </c>
      <c r="G15920">
        <v>7309</v>
      </c>
    </row>
    <row r="15921" spans="1:7">
      <c r="A15921" t="s">
        <v>1876</v>
      </c>
      <c r="B15921" t="s">
        <v>399</v>
      </c>
      <c r="C15921" t="s">
        <v>245</v>
      </c>
      <c r="D15921">
        <v>157134</v>
      </c>
      <c r="E15921">
        <v>157815</v>
      </c>
      <c r="F15921">
        <v>150566</v>
      </c>
      <c r="G15921">
        <v>148686</v>
      </c>
    </row>
    <row r="15922" spans="1:7">
      <c r="A15922" t="s">
        <v>1876</v>
      </c>
      <c r="B15922" t="s">
        <v>399</v>
      </c>
      <c r="C15922" t="s">
        <v>246</v>
      </c>
      <c r="D15922">
        <v>138811</v>
      </c>
      <c r="E15922">
        <v>156746</v>
      </c>
      <c r="F15922">
        <v>136487</v>
      </c>
      <c r="G15922">
        <v>129301</v>
      </c>
    </row>
    <row r="15923" spans="1:7">
      <c r="A15923" t="s">
        <v>1876</v>
      </c>
      <c r="B15923" t="s">
        <v>399</v>
      </c>
      <c r="C15923" t="s">
        <v>247</v>
      </c>
      <c r="D15923">
        <v>561076</v>
      </c>
      <c r="E15923">
        <v>622144</v>
      </c>
      <c r="F15923">
        <v>596761</v>
      </c>
      <c r="G15923">
        <v>589142</v>
      </c>
    </row>
    <row r="15924" spans="1:7">
      <c r="A15924" t="s">
        <v>1876</v>
      </c>
      <c r="B15924" t="s">
        <v>399</v>
      </c>
      <c r="C15924" t="s">
        <v>248</v>
      </c>
      <c r="D15924">
        <v>95.4</v>
      </c>
      <c r="E15924">
        <v>105.4</v>
      </c>
      <c r="F15924">
        <v>100.6</v>
      </c>
      <c r="G15924">
        <v>98.9</v>
      </c>
    </row>
    <row r="15925" spans="1:7">
      <c r="A15925" t="s">
        <v>1876</v>
      </c>
      <c r="B15925" t="s">
        <v>399</v>
      </c>
      <c r="C15925" t="s">
        <v>249</v>
      </c>
      <c r="D15925">
        <v>406093</v>
      </c>
      <c r="E15925">
        <v>441970</v>
      </c>
      <c r="F15925">
        <v>406438</v>
      </c>
      <c r="G15925">
        <v>393934</v>
      </c>
    </row>
    <row r="15926" spans="1:7">
      <c r="A15926" t="s">
        <v>1876</v>
      </c>
      <c r="B15926" t="s">
        <v>399</v>
      </c>
      <c r="C15926" t="s">
        <v>250</v>
      </c>
      <c r="D15926">
        <v>561076</v>
      </c>
      <c r="E15926">
        <v>622144</v>
      </c>
      <c r="F15926">
        <v>596579</v>
      </c>
      <c r="G15926">
        <v>588622</v>
      </c>
    </row>
    <row r="15927" spans="1:7">
      <c r="A15927" t="s">
        <v>1876</v>
      </c>
      <c r="B15927" t="s">
        <v>399</v>
      </c>
      <c r="C15927" t="s">
        <v>1937</v>
      </c>
      <c r="D15927">
        <v>8.8000000000000007</v>
      </c>
      <c r="E15927">
        <v>9.6</v>
      </c>
      <c r="F15927">
        <v>9.1999999999999993</v>
      </c>
      <c r="G15927">
        <v>9.4</v>
      </c>
    </row>
    <row r="15928" spans="1:7">
      <c r="A15928" t="s">
        <v>1876</v>
      </c>
      <c r="B15928" t="s">
        <v>399</v>
      </c>
      <c r="C15928" t="s">
        <v>1938</v>
      </c>
      <c r="D15928">
        <v>95.4</v>
      </c>
      <c r="E15928">
        <v>96.2</v>
      </c>
      <c r="F15928">
        <v>93.2</v>
      </c>
      <c r="G15928">
        <v>97.5</v>
      </c>
    </row>
    <row r="15929" spans="1:7">
      <c r="A15929" t="s">
        <v>1876</v>
      </c>
      <c r="B15929" t="s">
        <v>399</v>
      </c>
      <c r="C15929" t="s">
        <v>251</v>
      </c>
      <c r="D15929">
        <v>103979</v>
      </c>
      <c r="E15929">
        <v>105285</v>
      </c>
      <c r="F15929">
        <v>101204</v>
      </c>
      <c r="G15929">
        <v>105964</v>
      </c>
    </row>
    <row r="15930" spans="1:7">
      <c r="A15930" t="s">
        <v>1876</v>
      </c>
      <c r="B15930" t="s">
        <v>399</v>
      </c>
      <c r="C15930" t="s">
        <v>252</v>
      </c>
      <c r="D15930">
        <v>103979</v>
      </c>
      <c r="E15930">
        <v>105285</v>
      </c>
      <c r="F15930">
        <v>101204</v>
      </c>
      <c r="G15930">
        <v>105964</v>
      </c>
    </row>
    <row r="15931" spans="1:7">
      <c r="A15931" t="s">
        <v>1876</v>
      </c>
      <c r="B15931" t="s">
        <v>399</v>
      </c>
      <c r="C15931" t="s">
        <v>1710</v>
      </c>
      <c r="D15931">
        <v>1193</v>
      </c>
      <c r="E15931">
        <v>1196</v>
      </c>
      <c r="F15931">
        <v>1187</v>
      </c>
      <c r="G15931">
        <v>1185</v>
      </c>
    </row>
    <row r="15932" spans="1:7">
      <c r="A15932" t="s">
        <v>1876</v>
      </c>
      <c r="B15932" t="s">
        <v>399</v>
      </c>
      <c r="C15932" t="s">
        <v>1939</v>
      </c>
      <c r="D15932">
        <v>14.9</v>
      </c>
      <c r="E15932">
        <v>19.2</v>
      </c>
      <c r="F15932">
        <v>20.6</v>
      </c>
      <c r="G15932">
        <v>21.2</v>
      </c>
    </row>
    <row r="15933" spans="1:7">
      <c r="A15933" t="s">
        <v>1876</v>
      </c>
      <c r="B15933" t="s">
        <v>399</v>
      </c>
      <c r="C15933" t="s">
        <v>253</v>
      </c>
      <c r="D15933">
        <v>0</v>
      </c>
      <c r="E15933">
        <v>0</v>
      </c>
      <c r="F15933">
        <v>0</v>
      </c>
      <c r="G15933">
        <v>0</v>
      </c>
    </row>
    <row r="15934" spans="1:7">
      <c r="A15934" t="s">
        <v>1876</v>
      </c>
      <c r="B15934" t="s">
        <v>399</v>
      </c>
      <c r="C15934" t="s">
        <v>1711</v>
      </c>
      <c r="D15934">
        <v>0</v>
      </c>
      <c r="E15934">
        <v>0</v>
      </c>
      <c r="F15934">
        <v>0</v>
      </c>
      <c r="G15934">
        <v>0</v>
      </c>
    </row>
    <row r="15935" spans="1:7">
      <c r="A15935" t="s">
        <v>1876</v>
      </c>
      <c r="B15935" t="s">
        <v>399</v>
      </c>
      <c r="C15935" t="s">
        <v>1712</v>
      </c>
      <c r="D15935">
        <v>7187</v>
      </c>
      <c r="E15935">
        <v>7961</v>
      </c>
      <c r="F15935">
        <v>10070</v>
      </c>
      <c r="G15935">
        <v>10321</v>
      </c>
    </row>
    <row r="15936" spans="1:7">
      <c r="A15936" t="s">
        <v>1876</v>
      </c>
      <c r="B15936" t="s">
        <v>399</v>
      </c>
      <c r="C15936" t="s">
        <v>1713</v>
      </c>
      <c r="D15936">
        <v>1675</v>
      </c>
      <c r="E15936">
        <v>1611</v>
      </c>
      <c r="F15936">
        <v>2265</v>
      </c>
      <c r="G15936">
        <v>2219</v>
      </c>
    </row>
    <row r="15937" spans="1:7">
      <c r="A15937" t="s">
        <v>1876</v>
      </c>
      <c r="B15937" t="s">
        <v>399</v>
      </c>
      <c r="C15937" t="s">
        <v>1940</v>
      </c>
      <c r="D15937">
        <v>0</v>
      </c>
      <c r="E15937">
        <v>0</v>
      </c>
      <c r="F15937">
        <v>0</v>
      </c>
      <c r="G15937">
        <v>0</v>
      </c>
    </row>
    <row r="15938" spans="1:7">
      <c r="A15938" t="s">
        <v>1876</v>
      </c>
      <c r="B15938" t="s">
        <v>399</v>
      </c>
      <c r="C15938" t="s">
        <v>1941</v>
      </c>
      <c r="D15938">
        <v>0</v>
      </c>
      <c r="E15938">
        <v>0</v>
      </c>
      <c r="F15938">
        <v>0</v>
      </c>
      <c r="G15938">
        <v>0</v>
      </c>
    </row>
    <row r="15939" spans="1:7">
      <c r="A15939" t="s">
        <v>1876</v>
      </c>
      <c r="B15939" t="s">
        <v>399</v>
      </c>
      <c r="C15939" t="s">
        <v>254</v>
      </c>
      <c r="D15939">
        <v>7187</v>
      </c>
      <c r="E15939">
        <v>7961</v>
      </c>
      <c r="F15939">
        <v>10070</v>
      </c>
      <c r="G15939">
        <v>10321</v>
      </c>
    </row>
    <row r="15940" spans="1:7">
      <c r="A15940" t="s">
        <v>1876</v>
      </c>
      <c r="B15940" t="s">
        <v>399</v>
      </c>
      <c r="C15940" t="s">
        <v>1942</v>
      </c>
      <c r="D15940">
        <v>0</v>
      </c>
      <c r="E15940">
        <v>0</v>
      </c>
      <c r="F15940">
        <v>0</v>
      </c>
      <c r="G15940">
        <v>0</v>
      </c>
    </row>
    <row r="15941" spans="1:7">
      <c r="A15941" t="s">
        <v>1876</v>
      </c>
      <c r="B15941" t="s">
        <v>399</v>
      </c>
      <c r="C15941" t="s">
        <v>255</v>
      </c>
      <c r="D15941">
        <v>8862</v>
      </c>
      <c r="E15941">
        <v>9572</v>
      </c>
      <c r="F15941">
        <v>12335</v>
      </c>
      <c r="G15941">
        <v>12540</v>
      </c>
    </row>
    <row r="15942" spans="1:7">
      <c r="A15942" t="s">
        <v>1876</v>
      </c>
      <c r="B15942" t="s">
        <v>399</v>
      </c>
      <c r="C15942" t="s">
        <v>256</v>
      </c>
      <c r="D15942">
        <v>8862</v>
      </c>
      <c r="E15942">
        <v>9572</v>
      </c>
      <c r="F15942">
        <v>12335</v>
      </c>
      <c r="G15942">
        <v>12540</v>
      </c>
    </row>
    <row r="15943" spans="1:7">
      <c r="A15943" t="s">
        <v>1876</v>
      </c>
      <c r="B15943" t="s">
        <v>399</v>
      </c>
      <c r="C15943" t="s">
        <v>1714</v>
      </c>
      <c r="D15943">
        <v>0</v>
      </c>
      <c r="E15943">
        <v>0</v>
      </c>
      <c r="F15943">
        <v>0</v>
      </c>
      <c r="G15943">
        <v>0</v>
      </c>
    </row>
    <row r="15944" spans="1:7">
      <c r="A15944" t="s">
        <v>1876</v>
      </c>
      <c r="B15944" t="s">
        <v>399</v>
      </c>
      <c r="C15944" t="s">
        <v>257</v>
      </c>
      <c r="D15944">
        <v>37589</v>
      </c>
      <c r="E15944">
        <v>35250</v>
      </c>
      <c r="F15944">
        <v>32791</v>
      </c>
      <c r="G15944">
        <v>32084</v>
      </c>
    </row>
    <row r="15945" spans="1:7">
      <c r="A15945" t="s">
        <v>1876</v>
      </c>
      <c r="B15945" t="s">
        <v>399</v>
      </c>
      <c r="C15945" t="s">
        <v>258</v>
      </c>
      <c r="D15945">
        <v>44008</v>
      </c>
      <c r="E15945">
        <v>41667</v>
      </c>
      <c r="F15945">
        <v>37830</v>
      </c>
      <c r="G15945">
        <v>36351</v>
      </c>
    </row>
    <row r="15946" spans="1:7">
      <c r="A15946" t="s">
        <v>1876</v>
      </c>
      <c r="B15946" t="s">
        <v>399</v>
      </c>
      <c r="C15946" t="s">
        <v>259</v>
      </c>
      <c r="D15946">
        <v>41914</v>
      </c>
      <c r="E15946">
        <v>39695</v>
      </c>
      <c r="F15946">
        <v>37222</v>
      </c>
      <c r="G15946">
        <v>36308</v>
      </c>
    </row>
    <row r="15947" spans="1:7">
      <c r="A15947" t="s">
        <v>1876</v>
      </c>
      <c r="B15947" t="s">
        <v>399</v>
      </c>
      <c r="C15947" t="s">
        <v>260</v>
      </c>
      <c r="D15947">
        <v>430098</v>
      </c>
      <c r="E15947">
        <v>436173</v>
      </c>
      <c r="F15947">
        <v>432790</v>
      </c>
      <c r="G15947">
        <v>412477</v>
      </c>
    </row>
    <row r="15948" spans="1:7">
      <c r="A15948" t="s">
        <v>1876</v>
      </c>
      <c r="B15948" t="s">
        <v>399</v>
      </c>
      <c r="C15948" t="s">
        <v>1943</v>
      </c>
      <c r="D15948">
        <v>4.7</v>
      </c>
      <c r="E15948">
        <v>4.8</v>
      </c>
      <c r="F15948">
        <v>2.2000000000000002</v>
      </c>
      <c r="G15948">
        <v>1.9</v>
      </c>
    </row>
    <row r="15949" spans="1:7">
      <c r="A15949" t="s">
        <v>1876</v>
      </c>
      <c r="B15949" t="s">
        <v>399</v>
      </c>
      <c r="C15949" t="s">
        <v>261</v>
      </c>
      <c r="D15949">
        <v>15742</v>
      </c>
      <c r="E15949">
        <v>15802</v>
      </c>
      <c r="F15949">
        <v>14374</v>
      </c>
      <c r="G15949">
        <v>12696</v>
      </c>
    </row>
    <row r="15950" spans="1:7">
      <c r="A15950" t="s">
        <v>1876</v>
      </c>
      <c r="B15950" t="s">
        <v>399</v>
      </c>
      <c r="C15950" t="s">
        <v>262</v>
      </c>
      <c r="D15950">
        <v>4749</v>
      </c>
      <c r="E15950">
        <v>2364</v>
      </c>
      <c r="F15950">
        <v>1681</v>
      </c>
      <c r="G15950">
        <v>980</v>
      </c>
    </row>
    <row r="15951" spans="1:7">
      <c r="A15951" t="s">
        <v>1876</v>
      </c>
      <c r="B15951" t="s">
        <v>399</v>
      </c>
      <c r="C15951" t="s">
        <v>1715</v>
      </c>
      <c r="D15951">
        <v>637</v>
      </c>
      <c r="E15951">
        <v>639</v>
      </c>
      <c r="F15951">
        <v>636</v>
      </c>
      <c r="G15951">
        <v>565</v>
      </c>
    </row>
    <row r="15952" spans="1:7">
      <c r="A15952" t="s">
        <v>1876</v>
      </c>
      <c r="B15952" t="s">
        <v>399</v>
      </c>
      <c r="C15952" t="s">
        <v>263</v>
      </c>
      <c r="D15952">
        <v>74050</v>
      </c>
      <c r="E15952">
        <v>72260</v>
      </c>
      <c r="F15952">
        <v>67570</v>
      </c>
      <c r="G15952">
        <v>65766</v>
      </c>
    </row>
    <row r="15953" spans="1:7">
      <c r="A15953" t="s">
        <v>1876</v>
      </c>
      <c r="B15953" t="s">
        <v>399</v>
      </c>
      <c r="C15953" t="s">
        <v>264</v>
      </c>
      <c r="D15953">
        <v>34188</v>
      </c>
      <c r="E15953">
        <v>34891</v>
      </c>
      <c r="F15953">
        <v>32679</v>
      </c>
      <c r="G15953">
        <v>29613</v>
      </c>
    </row>
    <row r="15954" spans="1:7">
      <c r="A15954" t="s">
        <v>1876</v>
      </c>
      <c r="B15954" t="s">
        <v>399</v>
      </c>
      <c r="C15954" t="s">
        <v>265</v>
      </c>
      <c r="D15954">
        <v>558828</v>
      </c>
      <c r="E15954">
        <v>561491</v>
      </c>
      <c r="F15954">
        <v>549095</v>
      </c>
      <c r="G15954">
        <v>521531</v>
      </c>
    </row>
    <row r="15955" spans="1:7">
      <c r="A15955" t="s">
        <v>1876</v>
      </c>
      <c r="B15955" t="s">
        <v>399</v>
      </c>
      <c r="C15955" t="s">
        <v>266</v>
      </c>
      <c r="D15955">
        <v>95</v>
      </c>
      <c r="E15955">
        <v>95.1</v>
      </c>
      <c r="F15955">
        <v>92.6</v>
      </c>
      <c r="G15955">
        <v>87.5</v>
      </c>
    </row>
    <row r="15956" spans="1:7">
      <c r="A15956" t="s">
        <v>1876</v>
      </c>
      <c r="B15956" t="s">
        <v>399</v>
      </c>
      <c r="C15956" t="s">
        <v>267</v>
      </c>
      <c r="D15956">
        <v>554079</v>
      </c>
      <c r="E15956">
        <v>559128</v>
      </c>
      <c r="F15956">
        <v>547414</v>
      </c>
      <c r="G15956">
        <v>520551</v>
      </c>
    </row>
    <row r="15957" spans="1:7">
      <c r="A15957" t="s">
        <v>1876</v>
      </c>
      <c r="B15957" t="s">
        <v>399</v>
      </c>
      <c r="C15957" t="s">
        <v>268</v>
      </c>
      <c r="D15957">
        <v>0</v>
      </c>
      <c r="E15957">
        <v>0</v>
      </c>
      <c r="F15957">
        <v>0</v>
      </c>
      <c r="G15957">
        <v>0</v>
      </c>
    </row>
    <row r="15958" spans="1:7">
      <c r="A15958" t="s">
        <v>1876</v>
      </c>
      <c r="B15958" t="s">
        <v>399</v>
      </c>
      <c r="C15958" t="s">
        <v>269</v>
      </c>
      <c r="D15958">
        <v>2094</v>
      </c>
      <c r="E15958">
        <v>1972</v>
      </c>
      <c r="F15958">
        <v>608</v>
      </c>
      <c r="G15958">
        <v>43</v>
      </c>
    </row>
    <row r="15959" spans="1:7">
      <c r="A15959" t="s">
        <v>1876</v>
      </c>
      <c r="B15959" t="s">
        <v>399</v>
      </c>
      <c r="C15959" t="s">
        <v>270</v>
      </c>
      <c r="D15959">
        <v>943</v>
      </c>
      <c r="E15959">
        <v>868</v>
      </c>
      <c r="F15959">
        <v>880</v>
      </c>
      <c r="G15959">
        <v>314</v>
      </c>
    </row>
    <row r="15960" spans="1:7">
      <c r="A15960" t="s">
        <v>1876</v>
      </c>
      <c r="B15960" t="s">
        <v>399</v>
      </c>
      <c r="C15960" t="s">
        <v>271</v>
      </c>
      <c r="D15960">
        <v>3037</v>
      </c>
      <c r="E15960">
        <v>2840</v>
      </c>
      <c r="F15960">
        <v>1488</v>
      </c>
      <c r="G15960">
        <v>358</v>
      </c>
    </row>
    <row r="15961" spans="1:7">
      <c r="A15961" t="s">
        <v>1876</v>
      </c>
      <c r="B15961" t="s">
        <v>399</v>
      </c>
      <c r="C15961" t="s">
        <v>272</v>
      </c>
      <c r="D15961">
        <v>943</v>
      </c>
      <c r="E15961">
        <v>868</v>
      </c>
      <c r="F15961">
        <v>880</v>
      </c>
      <c r="G15961">
        <v>314</v>
      </c>
    </row>
    <row r="15962" spans="1:7">
      <c r="A15962" t="s">
        <v>1876</v>
      </c>
      <c r="B15962" t="s">
        <v>399</v>
      </c>
      <c r="C15962" t="s">
        <v>1944</v>
      </c>
      <c r="D15962">
        <v>7.5</v>
      </c>
      <c r="E15962">
        <v>9.1999999999999993</v>
      </c>
      <c r="F15962">
        <v>11</v>
      </c>
      <c r="G15962">
        <v>14.6</v>
      </c>
    </row>
    <row r="15963" spans="1:7">
      <c r="A15963" t="s">
        <v>1876</v>
      </c>
      <c r="B15963" t="s">
        <v>399</v>
      </c>
      <c r="C15963" t="s">
        <v>1945</v>
      </c>
      <c r="D15963">
        <v>14</v>
      </c>
      <c r="E15963">
        <v>19</v>
      </c>
      <c r="F15963">
        <v>30</v>
      </c>
      <c r="G15963">
        <v>37</v>
      </c>
    </row>
    <row r="15964" spans="1:7">
      <c r="A15964" t="s">
        <v>1876</v>
      </c>
      <c r="B15964" t="s">
        <v>399</v>
      </c>
      <c r="C15964" t="s">
        <v>273</v>
      </c>
      <c r="D15964">
        <v>0</v>
      </c>
      <c r="E15964">
        <v>0</v>
      </c>
      <c r="F15964">
        <v>0</v>
      </c>
      <c r="G15964">
        <v>0</v>
      </c>
    </row>
    <row r="15965" spans="1:7">
      <c r="A15965" t="s">
        <v>1876</v>
      </c>
      <c r="B15965" t="s">
        <v>399</v>
      </c>
      <c r="C15965" t="s">
        <v>1946</v>
      </c>
      <c r="D15965">
        <v>405763</v>
      </c>
      <c r="E15965">
        <v>411557</v>
      </c>
      <c r="F15965">
        <v>407063</v>
      </c>
      <c r="G15965">
        <v>387720</v>
      </c>
    </row>
    <row r="15966" spans="1:7">
      <c r="A15966" t="s">
        <v>1876</v>
      </c>
      <c r="B15966" t="s">
        <v>399</v>
      </c>
      <c r="C15966" t="s">
        <v>1947</v>
      </c>
      <c r="D15966">
        <v>15301</v>
      </c>
      <c r="E15966">
        <v>15345</v>
      </c>
      <c r="F15966">
        <v>13916</v>
      </c>
      <c r="G15966">
        <v>12326</v>
      </c>
    </row>
    <row r="15967" spans="1:7">
      <c r="A15967" t="s">
        <v>1876</v>
      </c>
      <c r="B15967" t="s">
        <v>399</v>
      </c>
      <c r="C15967" t="s">
        <v>1948</v>
      </c>
      <c r="D15967">
        <v>4749</v>
      </c>
      <c r="E15967">
        <v>2364</v>
      </c>
      <c r="F15967">
        <v>1681</v>
      </c>
      <c r="G15967">
        <v>980</v>
      </c>
    </row>
    <row r="15968" spans="1:7">
      <c r="A15968" t="s">
        <v>1876</v>
      </c>
      <c r="B15968" t="s">
        <v>399</v>
      </c>
      <c r="C15968" t="s">
        <v>1949</v>
      </c>
      <c r="D15968">
        <v>73683</v>
      </c>
      <c r="E15968">
        <v>71868</v>
      </c>
      <c r="F15968">
        <v>67166</v>
      </c>
      <c r="G15968">
        <v>65415</v>
      </c>
    </row>
    <row r="15969" spans="1:7">
      <c r="A15969" t="s">
        <v>1876</v>
      </c>
      <c r="B15969" t="s">
        <v>399</v>
      </c>
      <c r="C15969" t="s">
        <v>1950</v>
      </c>
      <c r="D15969">
        <v>34188</v>
      </c>
      <c r="E15969">
        <v>34891</v>
      </c>
      <c r="F15969">
        <v>32679</v>
      </c>
      <c r="G15969">
        <v>29613</v>
      </c>
    </row>
    <row r="15970" spans="1:7">
      <c r="A15970" t="s">
        <v>1876</v>
      </c>
      <c r="B15970" t="s">
        <v>399</v>
      </c>
      <c r="C15970" t="s">
        <v>274</v>
      </c>
      <c r="D15970">
        <v>533685</v>
      </c>
      <c r="E15970">
        <v>536026</v>
      </c>
      <c r="F15970">
        <v>522505</v>
      </c>
      <c r="G15970">
        <v>496054</v>
      </c>
    </row>
    <row r="15971" spans="1:7">
      <c r="A15971" t="s">
        <v>1876</v>
      </c>
      <c r="B15971" t="s">
        <v>399</v>
      </c>
      <c r="C15971" t="s">
        <v>275</v>
      </c>
      <c r="D15971">
        <v>0</v>
      </c>
      <c r="E15971">
        <v>0</v>
      </c>
      <c r="F15971">
        <v>0</v>
      </c>
      <c r="G15971">
        <v>0</v>
      </c>
    </row>
    <row r="15972" spans="1:7">
      <c r="A15972" t="s">
        <v>1876</v>
      </c>
      <c r="B15972" t="s">
        <v>399</v>
      </c>
      <c r="C15972" t="s">
        <v>276</v>
      </c>
      <c r="D15972">
        <v>0</v>
      </c>
      <c r="E15972">
        <v>0</v>
      </c>
      <c r="F15972">
        <v>0</v>
      </c>
      <c r="G15972">
        <v>0</v>
      </c>
    </row>
    <row r="15973" spans="1:7">
      <c r="A15973" t="s">
        <v>1876</v>
      </c>
      <c r="B15973" t="s">
        <v>399</v>
      </c>
      <c r="C15973" t="s">
        <v>277</v>
      </c>
      <c r="D15973">
        <v>256</v>
      </c>
      <c r="E15973">
        <v>311</v>
      </c>
      <c r="F15973">
        <v>309</v>
      </c>
      <c r="G15973">
        <v>283</v>
      </c>
    </row>
    <row r="15974" spans="1:7">
      <c r="A15974" t="s">
        <v>1876</v>
      </c>
      <c r="B15974" t="s">
        <v>399</v>
      </c>
      <c r="C15974" t="s">
        <v>278</v>
      </c>
      <c r="D15974">
        <v>5870</v>
      </c>
      <c r="E15974">
        <v>5550</v>
      </c>
      <c r="F15974">
        <v>4412</v>
      </c>
      <c r="G15974">
        <v>4198</v>
      </c>
    </row>
    <row r="15975" spans="1:7">
      <c r="A15975" t="s">
        <v>1876</v>
      </c>
      <c r="B15975" t="s">
        <v>399</v>
      </c>
      <c r="C15975" t="s">
        <v>279</v>
      </c>
      <c r="D15975">
        <v>5568</v>
      </c>
      <c r="E15975">
        <v>5513</v>
      </c>
      <c r="F15975">
        <v>3933</v>
      </c>
      <c r="G15975">
        <v>4203</v>
      </c>
    </row>
    <row r="15976" spans="1:7">
      <c r="A15976" t="s">
        <v>1876</v>
      </c>
      <c r="B15976" t="s">
        <v>399</v>
      </c>
      <c r="C15976" t="s">
        <v>280</v>
      </c>
      <c r="D15976">
        <v>29614</v>
      </c>
      <c r="E15976">
        <v>30006</v>
      </c>
      <c r="F15976">
        <v>28092</v>
      </c>
      <c r="G15976">
        <v>25466</v>
      </c>
    </row>
    <row r="15977" spans="1:7">
      <c r="A15977" t="s">
        <v>1876</v>
      </c>
      <c r="B15977" t="s">
        <v>399</v>
      </c>
      <c r="C15977" t="s">
        <v>281</v>
      </c>
      <c r="D15977">
        <v>41308</v>
      </c>
      <c r="E15977">
        <v>41380</v>
      </c>
      <c r="F15977">
        <v>36747</v>
      </c>
      <c r="G15977">
        <v>34150</v>
      </c>
    </row>
    <row r="15978" spans="1:7">
      <c r="A15978" t="s">
        <v>1876</v>
      </c>
      <c r="B15978" t="s">
        <v>399</v>
      </c>
      <c r="C15978" t="s">
        <v>282</v>
      </c>
      <c r="D15978">
        <v>41308</v>
      </c>
      <c r="E15978">
        <v>41380</v>
      </c>
      <c r="F15978">
        <v>36747</v>
      </c>
      <c r="G15978">
        <v>34150</v>
      </c>
    </row>
    <row r="15979" spans="1:7">
      <c r="A15979" t="s">
        <v>1876</v>
      </c>
      <c r="B15979" t="s">
        <v>399</v>
      </c>
      <c r="C15979" t="s">
        <v>283</v>
      </c>
      <c r="D15979">
        <v>0</v>
      </c>
      <c r="E15979">
        <v>0</v>
      </c>
      <c r="F15979">
        <v>0</v>
      </c>
      <c r="G15979">
        <v>0</v>
      </c>
    </row>
    <row r="15980" spans="1:7">
      <c r="A15980" t="s">
        <v>1876</v>
      </c>
      <c r="B15980" t="s">
        <v>399</v>
      </c>
      <c r="C15980" t="s">
        <v>284</v>
      </c>
      <c r="D15980">
        <v>0</v>
      </c>
      <c r="E15980">
        <v>0</v>
      </c>
      <c r="F15980">
        <v>0</v>
      </c>
      <c r="G15980">
        <v>0</v>
      </c>
    </row>
    <row r="15981" spans="1:7">
      <c r="A15981" t="s">
        <v>1876</v>
      </c>
      <c r="B15981" t="s">
        <v>399</v>
      </c>
      <c r="C15981" t="s">
        <v>1716</v>
      </c>
      <c r="D15981">
        <v>24336</v>
      </c>
      <c r="E15981">
        <v>24616</v>
      </c>
      <c r="F15981">
        <v>25727</v>
      </c>
      <c r="G15981">
        <v>24757</v>
      </c>
    </row>
    <row r="15982" spans="1:7">
      <c r="A15982" t="s">
        <v>1876</v>
      </c>
      <c r="B15982" t="s">
        <v>399</v>
      </c>
      <c r="C15982" t="s">
        <v>1717</v>
      </c>
      <c r="D15982">
        <v>4285</v>
      </c>
      <c r="E15982">
        <v>4370</v>
      </c>
      <c r="F15982">
        <v>4439</v>
      </c>
      <c r="G15982">
        <v>4317</v>
      </c>
    </row>
    <row r="15983" spans="1:7">
      <c r="A15983" t="s">
        <v>1876</v>
      </c>
      <c r="B15983" t="s">
        <v>399</v>
      </c>
      <c r="C15983" t="s">
        <v>1718</v>
      </c>
      <c r="D15983">
        <v>26676</v>
      </c>
      <c r="E15983">
        <v>30006</v>
      </c>
      <c r="F15983">
        <v>30747</v>
      </c>
      <c r="G15983">
        <v>37591</v>
      </c>
    </row>
    <row r="15984" spans="1:7">
      <c r="A15984" t="s">
        <v>1876</v>
      </c>
      <c r="B15984" t="s">
        <v>399</v>
      </c>
      <c r="C15984" t="s">
        <v>1719</v>
      </c>
      <c r="D15984">
        <v>1984</v>
      </c>
      <c r="E15984">
        <v>2261</v>
      </c>
      <c r="F15984">
        <v>3216</v>
      </c>
      <c r="G15984">
        <v>3622</v>
      </c>
    </row>
    <row r="15985" spans="1:7">
      <c r="A15985" t="s">
        <v>1876</v>
      </c>
      <c r="B15985" t="s">
        <v>399</v>
      </c>
      <c r="C15985" t="s">
        <v>1720</v>
      </c>
      <c r="D15985">
        <v>73783</v>
      </c>
      <c r="E15985">
        <v>78566</v>
      </c>
      <c r="F15985">
        <v>79419</v>
      </c>
      <c r="G15985">
        <v>83040</v>
      </c>
    </row>
    <row r="15986" spans="1:7">
      <c r="A15986" t="s">
        <v>1876</v>
      </c>
      <c r="B15986" t="s">
        <v>399</v>
      </c>
      <c r="C15986" t="s">
        <v>1721</v>
      </c>
      <c r="D15986">
        <v>16851</v>
      </c>
      <c r="E15986">
        <v>21021</v>
      </c>
      <c r="F15986">
        <v>18197</v>
      </c>
      <c r="G15986">
        <v>17292</v>
      </c>
    </row>
    <row r="15987" spans="1:7">
      <c r="A15987" t="s">
        <v>1876</v>
      </c>
      <c r="B15987" t="s">
        <v>399</v>
      </c>
      <c r="C15987" t="s">
        <v>285</v>
      </c>
      <c r="D15987">
        <v>145930</v>
      </c>
      <c r="E15987">
        <v>158579</v>
      </c>
      <c r="F15987">
        <v>158529</v>
      </c>
      <c r="G15987">
        <v>166998</v>
      </c>
    </row>
    <row r="15988" spans="1:7">
      <c r="A15988" t="s">
        <v>1876</v>
      </c>
      <c r="B15988" t="s">
        <v>399</v>
      </c>
      <c r="C15988" t="s">
        <v>1951</v>
      </c>
      <c r="D15988">
        <v>8.5</v>
      </c>
      <c r="E15988">
        <v>9</v>
      </c>
      <c r="F15988">
        <v>9.4</v>
      </c>
      <c r="G15988">
        <v>10.199999999999999</v>
      </c>
    </row>
    <row r="15989" spans="1:7">
      <c r="A15989" t="s">
        <v>1876</v>
      </c>
      <c r="B15989" t="s">
        <v>399</v>
      </c>
      <c r="C15989" t="s">
        <v>286</v>
      </c>
      <c r="D15989">
        <v>21</v>
      </c>
      <c r="E15989">
        <v>22</v>
      </c>
      <c r="F15989">
        <v>18</v>
      </c>
      <c r="G15989">
        <v>19</v>
      </c>
    </row>
    <row r="15990" spans="1:7">
      <c r="A15990" t="s">
        <v>1876</v>
      </c>
      <c r="B15990" t="s">
        <v>399</v>
      </c>
      <c r="C15990" t="s">
        <v>287</v>
      </c>
      <c r="D15990">
        <v>0</v>
      </c>
      <c r="E15990">
        <v>0</v>
      </c>
      <c r="F15990">
        <v>0</v>
      </c>
      <c r="G15990">
        <v>0</v>
      </c>
    </row>
    <row r="15991" spans="1:7">
      <c r="A15991" t="s">
        <v>1876</v>
      </c>
      <c r="B15991" t="s">
        <v>399</v>
      </c>
      <c r="C15991" t="s">
        <v>288</v>
      </c>
      <c r="D15991">
        <v>0</v>
      </c>
      <c r="E15991">
        <v>0</v>
      </c>
      <c r="F15991">
        <v>0</v>
      </c>
      <c r="G15991">
        <v>0</v>
      </c>
    </row>
    <row r="15992" spans="1:7">
      <c r="A15992" t="s">
        <v>1876</v>
      </c>
      <c r="B15992" t="s">
        <v>399</v>
      </c>
      <c r="C15992" t="s">
        <v>289</v>
      </c>
      <c r="D15992">
        <v>1028</v>
      </c>
      <c r="E15992">
        <v>1053</v>
      </c>
      <c r="F15992">
        <v>874</v>
      </c>
      <c r="G15992">
        <v>946</v>
      </c>
    </row>
    <row r="15993" spans="1:7">
      <c r="A15993" t="s">
        <v>1876</v>
      </c>
      <c r="B15993" t="s">
        <v>399</v>
      </c>
      <c r="C15993" t="s">
        <v>290</v>
      </c>
      <c r="D15993">
        <v>1049</v>
      </c>
      <c r="E15993">
        <v>1075</v>
      </c>
      <c r="F15993">
        <v>892</v>
      </c>
      <c r="G15993">
        <v>966</v>
      </c>
    </row>
    <row r="15994" spans="1:7">
      <c r="A15994" t="s">
        <v>1876</v>
      </c>
      <c r="B15994" t="s">
        <v>399</v>
      </c>
      <c r="C15994" t="s">
        <v>291</v>
      </c>
      <c r="D15994">
        <v>1049</v>
      </c>
      <c r="E15994">
        <v>1075</v>
      </c>
      <c r="F15994">
        <v>892</v>
      </c>
      <c r="G15994">
        <v>966</v>
      </c>
    </row>
    <row r="15995" spans="1:7">
      <c r="A15995" t="s">
        <v>1876</v>
      </c>
      <c r="B15995" t="s">
        <v>399</v>
      </c>
      <c r="C15995" t="s">
        <v>292</v>
      </c>
      <c r="D15995">
        <v>0</v>
      </c>
      <c r="E15995">
        <v>0</v>
      </c>
      <c r="F15995">
        <v>36</v>
      </c>
      <c r="G15995">
        <v>100</v>
      </c>
    </row>
    <row r="15996" spans="1:7">
      <c r="A15996" t="s">
        <v>1876</v>
      </c>
      <c r="B15996" t="s">
        <v>399</v>
      </c>
      <c r="C15996" t="s">
        <v>293</v>
      </c>
      <c r="D15996">
        <v>0</v>
      </c>
      <c r="E15996">
        <v>0</v>
      </c>
      <c r="F15996">
        <v>59</v>
      </c>
      <c r="G15996">
        <v>174</v>
      </c>
    </row>
    <row r="15997" spans="1:7">
      <c r="A15997" t="s">
        <v>1876</v>
      </c>
      <c r="B15997" t="s">
        <v>399</v>
      </c>
      <c r="C15997" t="s">
        <v>294</v>
      </c>
      <c r="D15997">
        <v>0</v>
      </c>
      <c r="E15997">
        <v>0</v>
      </c>
      <c r="F15997">
        <v>46</v>
      </c>
      <c r="G15997">
        <v>132</v>
      </c>
    </row>
    <row r="15998" spans="1:7">
      <c r="A15998" t="s">
        <v>1876</v>
      </c>
      <c r="B15998" t="s">
        <v>399</v>
      </c>
      <c r="C15998" t="s">
        <v>295</v>
      </c>
      <c r="D15998">
        <v>0</v>
      </c>
      <c r="E15998">
        <v>0</v>
      </c>
      <c r="F15998">
        <v>42</v>
      </c>
      <c r="G15998">
        <v>115</v>
      </c>
    </row>
    <row r="15999" spans="1:7">
      <c r="A15999" t="s">
        <v>1876</v>
      </c>
      <c r="B15999" t="s">
        <v>399</v>
      </c>
      <c r="C15999" t="s">
        <v>296</v>
      </c>
      <c r="D15999">
        <v>0</v>
      </c>
      <c r="E15999">
        <v>0</v>
      </c>
      <c r="F15999">
        <v>183</v>
      </c>
      <c r="G15999">
        <v>521</v>
      </c>
    </row>
    <row r="16000" spans="1:7">
      <c r="A16000" t="s">
        <v>1876</v>
      </c>
      <c r="B16000" t="s">
        <v>399</v>
      </c>
      <c r="C16000" t="s">
        <v>297</v>
      </c>
      <c r="D16000">
        <v>0</v>
      </c>
      <c r="E16000">
        <v>0</v>
      </c>
      <c r="F16000">
        <v>2381</v>
      </c>
      <c r="G16000">
        <v>3232</v>
      </c>
    </row>
    <row r="16001" spans="1:7">
      <c r="A16001" t="s">
        <v>1876</v>
      </c>
      <c r="B16001" t="s">
        <v>399</v>
      </c>
      <c r="C16001" t="s">
        <v>1952</v>
      </c>
      <c r="D16001">
        <v>0</v>
      </c>
      <c r="E16001">
        <v>0</v>
      </c>
      <c r="F16001">
        <v>0</v>
      </c>
      <c r="G16001">
        <v>0</v>
      </c>
    </row>
    <row r="16002" spans="1:7">
      <c r="A16002" t="s">
        <v>1876</v>
      </c>
      <c r="B16002" t="s">
        <v>399</v>
      </c>
      <c r="C16002" t="s">
        <v>298</v>
      </c>
      <c r="D16002">
        <v>4401</v>
      </c>
      <c r="E16002">
        <v>5238</v>
      </c>
      <c r="F16002">
        <v>5243</v>
      </c>
      <c r="G16002">
        <v>4585</v>
      </c>
    </row>
    <row r="16003" spans="1:7">
      <c r="A16003" t="s">
        <v>1876</v>
      </c>
      <c r="B16003" t="s">
        <v>399</v>
      </c>
      <c r="C16003" t="s">
        <v>299</v>
      </c>
      <c r="D16003">
        <v>291</v>
      </c>
      <c r="E16003">
        <v>336</v>
      </c>
      <c r="F16003">
        <v>403</v>
      </c>
      <c r="G16003">
        <v>519</v>
      </c>
    </row>
    <row r="16004" spans="1:7">
      <c r="A16004" t="s">
        <v>1876</v>
      </c>
      <c r="B16004" t="s">
        <v>399</v>
      </c>
      <c r="C16004" t="s">
        <v>300</v>
      </c>
      <c r="D16004">
        <v>1239</v>
      </c>
      <c r="E16004">
        <v>2736</v>
      </c>
      <c r="F16004">
        <v>4346</v>
      </c>
      <c r="G16004">
        <v>9803</v>
      </c>
    </row>
    <row r="16005" spans="1:7">
      <c r="A16005" t="s">
        <v>1876</v>
      </c>
      <c r="B16005" t="s">
        <v>399</v>
      </c>
      <c r="C16005" t="s">
        <v>1722</v>
      </c>
      <c r="D16005">
        <v>503</v>
      </c>
      <c r="E16005">
        <v>774</v>
      </c>
      <c r="F16005">
        <v>1648</v>
      </c>
      <c r="G16005">
        <v>2106</v>
      </c>
    </row>
    <row r="16006" spans="1:7">
      <c r="A16006" t="s">
        <v>1876</v>
      </c>
      <c r="B16006" t="s">
        <v>399</v>
      </c>
      <c r="C16006" t="s">
        <v>301</v>
      </c>
      <c r="D16006">
        <v>83</v>
      </c>
      <c r="E16006">
        <v>91</v>
      </c>
      <c r="F16006">
        <v>94</v>
      </c>
      <c r="G16006">
        <v>124</v>
      </c>
    </row>
    <row r="16007" spans="1:7">
      <c r="A16007" t="s">
        <v>1876</v>
      </c>
      <c r="B16007" t="s">
        <v>399</v>
      </c>
      <c r="C16007" t="s">
        <v>302</v>
      </c>
      <c r="D16007">
        <v>501</v>
      </c>
      <c r="E16007">
        <v>583</v>
      </c>
      <c r="F16007">
        <v>731</v>
      </c>
      <c r="G16007">
        <v>881</v>
      </c>
    </row>
    <row r="16008" spans="1:7">
      <c r="A16008" t="s">
        <v>1876</v>
      </c>
      <c r="B16008" t="s">
        <v>399</v>
      </c>
      <c r="C16008" t="s">
        <v>303</v>
      </c>
      <c r="D16008">
        <v>2114</v>
      </c>
      <c r="E16008">
        <v>3747</v>
      </c>
      <c r="F16008">
        <v>5574</v>
      </c>
      <c r="G16008">
        <v>11327</v>
      </c>
    </row>
    <row r="16009" spans="1:7">
      <c r="A16009" t="s">
        <v>1876</v>
      </c>
      <c r="B16009" t="s">
        <v>399</v>
      </c>
      <c r="C16009" t="s">
        <v>304</v>
      </c>
      <c r="D16009">
        <v>875</v>
      </c>
      <c r="E16009">
        <v>1011</v>
      </c>
      <c r="F16009">
        <v>1228</v>
      </c>
      <c r="G16009">
        <v>1524</v>
      </c>
    </row>
    <row r="16010" spans="1:7">
      <c r="A16010" t="s">
        <v>1876</v>
      </c>
      <c r="B16010" t="s">
        <v>399</v>
      </c>
      <c r="C16010" t="s">
        <v>1953</v>
      </c>
      <c r="D16010">
        <v>14.7</v>
      </c>
      <c r="E16010">
        <v>16.8</v>
      </c>
      <c r="F16010">
        <v>17.600000000000001</v>
      </c>
      <c r="G16010">
        <v>18.3</v>
      </c>
    </row>
    <row r="16011" spans="1:7">
      <c r="A16011" t="s">
        <v>1876</v>
      </c>
      <c r="B16011" t="s">
        <v>399</v>
      </c>
      <c r="C16011" t="s">
        <v>305</v>
      </c>
      <c r="D16011">
        <v>434438</v>
      </c>
      <c r="E16011">
        <v>441054</v>
      </c>
      <c r="F16011">
        <v>436483</v>
      </c>
      <c r="G16011">
        <v>416623</v>
      </c>
    </row>
    <row r="16012" spans="1:7">
      <c r="A16012" t="s">
        <v>1876</v>
      </c>
      <c r="B16012" t="s">
        <v>399</v>
      </c>
      <c r="C16012" t="s">
        <v>306</v>
      </c>
      <c r="D16012">
        <v>73.900000000000006</v>
      </c>
      <c r="E16012">
        <v>74.7</v>
      </c>
      <c r="F16012">
        <v>73.599999999999994</v>
      </c>
      <c r="G16012">
        <v>69.900000000000006</v>
      </c>
    </row>
    <row r="16013" spans="1:7">
      <c r="A16013" t="s">
        <v>1876</v>
      </c>
      <c r="B16013" t="s">
        <v>399</v>
      </c>
      <c r="C16013" t="s">
        <v>307</v>
      </c>
      <c r="D16013">
        <v>345211</v>
      </c>
      <c r="E16013">
        <v>362263</v>
      </c>
      <c r="F16013">
        <v>347502</v>
      </c>
      <c r="G16013">
        <v>339768</v>
      </c>
    </row>
    <row r="16014" spans="1:7">
      <c r="A16014" t="s">
        <v>1876</v>
      </c>
      <c r="B16014" t="s">
        <v>399</v>
      </c>
      <c r="C16014" t="s">
        <v>308</v>
      </c>
      <c r="D16014">
        <v>58.7</v>
      </c>
      <c r="E16014">
        <v>61.4</v>
      </c>
      <c r="F16014">
        <v>58.6</v>
      </c>
      <c r="G16014">
        <v>57</v>
      </c>
    </row>
    <row r="16015" spans="1:7">
      <c r="A16015" t="s">
        <v>1876</v>
      </c>
      <c r="B16015" t="s">
        <v>399</v>
      </c>
      <c r="C16015" t="s">
        <v>309</v>
      </c>
      <c r="D16015">
        <v>565843</v>
      </c>
      <c r="E16015">
        <v>540352</v>
      </c>
      <c r="F16015">
        <v>536951</v>
      </c>
      <c r="G16015">
        <v>550424</v>
      </c>
    </row>
    <row r="16016" spans="1:7">
      <c r="A16016" t="s">
        <v>1876</v>
      </c>
      <c r="B16016" t="s">
        <v>399</v>
      </c>
      <c r="C16016" t="s">
        <v>310</v>
      </c>
      <c r="D16016">
        <v>535990</v>
      </c>
      <c r="E16016">
        <v>539490</v>
      </c>
      <c r="F16016">
        <v>516776</v>
      </c>
      <c r="G16016">
        <v>511862</v>
      </c>
    </row>
    <row r="16017" spans="1:7">
      <c r="A16017" t="s">
        <v>1876</v>
      </c>
      <c r="B16017" t="s">
        <v>399</v>
      </c>
      <c r="C16017" t="s">
        <v>311</v>
      </c>
      <c r="D16017">
        <v>91.1</v>
      </c>
      <c r="E16017">
        <v>91.4</v>
      </c>
      <c r="F16017">
        <v>87.1</v>
      </c>
      <c r="G16017">
        <v>85.9</v>
      </c>
    </row>
    <row r="16018" spans="1:7">
      <c r="A16018" t="s">
        <v>1876</v>
      </c>
      <c r="B16018" t="s">
        <v>399</v>
      </c>
      <c r="C16018" t="s">
        <v>312</v>
      </c>
      <c r="D16018">
        <v>405859</v>
      </c>
      <c r="E16018">
        <v>427609</v>
      </c>
      <c r="F16018">
        <v>391661</v>
      </c>
      <c r="G16018">
        <v>375889</v>
      </c>
    </row>
    <row r="16019" spans="1:7">
      <c r="A16019" t="s">
        <v>1876</v>
      </c>
      <c r="B16019" t="s">
        <v>399</v>
      </c>
      <c r="C16019" t="s">
        <v>313</v>
      </c>
      <c r="D16019">
        <v>69</v>
      </c>
      <c r="E16019">
        <v>72.400000000000006</v>
      </c>
      <c r="F16019">
        <v>66</v>
      </c>
      <c r="G16019">
        <v>63.1</v>
      </c>
    </row>
    <row r="16020" spans="1:7">
      <c r="A16020" t="s">
        <v>1876</v>
      </c>
      <c r="B16020" t="s">
        <v>399</v>
      </c>
      <c r="C16020" t="s">
        <v>314</v>
      </c>
      <c r="D16020">
        <v>1721496</v>
      </c>
      <c r="E16020">
        <v>1770418</v>
      </c>
      <c r="F16020">
        <v>1692421</v>
      </c>
      <c r="G16020">
        <v>1644143</v>
      </c>
    </row>
    <row r="16021" spans="1:7">
      <c r="A16021" t="s">
        <v>1876</v>
      </c>
      <c r="B16021" t="s">
        <v>399</v>
      </c>
      <c r="C16021" t="s">
        <v>315</v>
      </c>
      <c r="D16021">
        <v>5.14</v>
      </c>
      <c r="E16021">
        <v>5.18</v>
      </c>
      <c r="F16021">
        <v>4.88</v>
      </c>
      <c r="G16021">
        <v>4.6399999999999997</v>
      </c>
    </row>
    <row r="16022" spans="1:7">
      <c r="A16022" t="s">
        <v>1876</v>
      </c>
      <c r="B16022" t="s">
        <v>399</v>
      </c>
      <c r="C16022" t="s">
        <v>316</v>
      </c>
      <c r="D16022">
        <v>292.7</v>
      </c>
      <c r="E16022">
        <v>299.89999999999998</v>
      </c>
      <c r="F16022">
        <v>285.39999999999998</v>
      </c>
      <c r="G16022">
        <v>276</v>
      </c>
    </row>
    <row r="16023" spans="1:7">
      <c r="A16023" t="s">
        <v>1876</v>
      </c>
      <c r="B16023" t="s">
        <v>399</v>
      </c>
      <c r="C16023" t="s">
        <v>317</v>
      </c>
      <c r="D16023">
        <v>1721497</v>
      </c>
      <c r="E16023">
        <v>1770417</v>
      </c>
      <c r="F16023">
        <v>1692421</v>
      </c>
      <c r="G16023">
        <v>1644142</v>
      </c>
    </row>
    <row r="16024" spans="1:7">
      <c r="A16024" t="s">
        <v>1876</v>
      </c>
      <c r="B16024" t="s">
        <v>399</v>
      </c>
      <c r="C16024" t="s">
        <v>318</v>
      </c>
      <c r="D16024">
        <v>434432</v>
      </c>
      <c r="E16024">
        <v>441048</v>
      </c>
      <c r="F16024">
        <v>436476</v>
      </c>
      <c r="G16024">
        <v>416615</v>
      </c>
    </row>
    <row r="16025" spans="1:7">
      <c r="A16025" t="s">
        <v>1876</v>
      </c>
      <c r="B16025" t="s">
        <v>399</v>
      </c>
      <c r="C16025" t="s">
        <v>319</v>
      </c>
      <c r="D16025">
        <v>204788</v>
      </c>
      <c r="E16025">
        <v>222185</v>
      </c>
      <c r="F16025">
        <v>213223</v>
      </c>
      <c r="G16025">
        <v>207843</v>
      </c>
    </row>
    <row r="16026" spans="1:7">
      <c r="A16026" t="s">
        <v>1876</v>
      </c>
      <c r="B16026" t="s">
        <v>399</v>
      </c>
      <c r="C16026" t="s">
        <v>320</v>
      </c>
      <c r="D16026">
        <v>395389</v>
      </c>
      <c r="E16026">
        <v>398614</v>
      </c>
      <c r="F16026">
        <v>382970</v>
      </c>
      <c r="G16026">
        <v>381744</v>
      </c>
    </row>
    <row r="16027" spans="1:7">
      <c r="A16027" t="s">
        <v>1876</v>
      </c>
      <c r="B16027" t="s">
        <v>399</v>
      </c>
      <c r="C16027" t="s">
        <v>321</v>
      </c>
      <c r="D16027">
        <v>267863</v>
      </c>
      <c r="E16027">
        <v>290752</v>
      </c>
      <c r="F16027">
        <v>263132</v>
      </c>
      <c r="G16027">
        <v>251212</v>
      </c>
    </row>
    <row r="16028" spans="1:7">
      <c r="A16028" t="s">
        <v>1876</v>
      </c>
      <c r="B16028" t="s">
        <v>399</v>
      </c>
      <c r="C16028" t="s">
        <v>1954</v>
      </c>
      <c r="D16028">
        <v>1302471</v>
      </c>
      <c r="E16028">
        <v>1352598</v>
      </c>
      <c r="F16028">
        <v>1295802</v>
      </c>
      <c r="G16028">
        <v>1257415</v>
      </c>
    </row>
    <row r="16029" spans="1:7">
      <c r="A16029" t="s">
        <v>1876</v>
      </c>
      <c r="B16029" t="s">
        <v>399</v>
      </c>
      <c r="C16029" t="s">
        <v>323</v>
      </c>
      <c r="D16029">
        <v>5882</v>
      </c>
      <c r="E16029">
        <v>5903</v>
      </c>
      <c r="F16029">
        <v>5930</v>
      </c>
      <c r="G16029">
        <v>5957</v>
      </c>
    </row>
    <row r="16030" spans="1:7">
      <c r="A16030" t="s">
        <v>1876</v>
      </c>
      <c r="B16030" t="s">
        <v>399</v>
      </c>
      <c r="C16030" t="s">
        <v>324</v>
      </c>
      <c r="D16030">
        <v>0</v>
      </c>
      <c r="E16030">
        <v>0</v>
      </c>
      <c r="F16030">
        <v>0</v>
      </c>
      <c r="G16030">
        <v>0</v>
      </c>
    </row>
    <row r="16031" spans="1:7">
      <c r="A16031" t="s">
        <v>1876</v>
      </c>
      <c r="B16031" t="s">
        <v>399</v>
      </c>
      <c r="C16031" t="s">
        <v>325</v>
      </c>
      <c r="D16031">
        <v>0</v>
      </c>
      <c r="E16031">
        <v>0</v>
      </c>
      <c r="F16031">
        <v>0</v>
      </c>
      <c r="G16031">
        <v>0</v>
      </c>
    </row>
    <row r="16032" spans="1:7">
      <c r="A16032" t="s">
        <v>1876</v>
      </c>
      <c r="B16032" t="s">
        <v>399</v>
      </c>
      <c r="C16032" t="s">
        <v>326</v>
      </c>
      <c r="D16032">
        <v>3029</v>
      </c>
      <c r="E16032">
        <v>3029</v>
      </c>
      <c r="F16032">
        <v>3029</v>
      </c>
      <c r="G16032">
        <v>3029</v>
      </c>
    </row>
    <row r="16033" spans="1:7">
      <c r="A16033" t="s">
        <v>1876</v>
      </c>
      <c r="B16033" t="s">
        <v>399</v>
      </c>
      <c r="C16033" t="s">
        <v>327</v>
      </c>
      <c r="D16033">
        <v>8250</v>
      </c>
      <c r="E16033">
        <v>10282</v>
      </c>
      <c r="F16033">
        <v>9684</v>
      </c>
      <c r="G16033">
        <v>9484</v>
      </c>
    </row>
    <row r="16034" spans="1:7">
      <c r="A16034" t="s">
        <v>1876</v>
      </c>
      <c r="B16034" t="s">
        <v>399</v>
      </c>
      <c r="C16034" t="s">
        <v>1723</v>
      </c>
      <c r="D16034">
        <v>265</v>
      </c>
      <c r="E16034">
        <v>266</v>
      </c>
      <c r="F16034">
        <v>252</v>
      </c>
      <c r="G16034">
        <v>185</v>
      </c>
    </row>
    <row r="16035" spans="1:7">
      <c r="A16035" t="s">
        <v>1876</v>
      </c>
      <c r="B16035" t="s">
        <v>399</v>
      </c>
      <c r="C16035" t="s">
        <v>328</v>
      </c>
      <c r="D16035">
        <v>42203</v>
      </c>
      <c r="E16035">
        <v>47263</v>
      </c>
      <c r="F16035">
        <v>46353</v>
      </c>
      <c r="G16035">
        <v>46195</v>
      </c>
    </row>
    <row r="16036" spans="1:7">
      <c r="A16036" t="s">
        <v>1876</v>
      </c>
      <c r="B16036" t="s">
        <v>399</v>
      </c>
      <c r="C16036" t="s">
        <v>329</v>
      </c>
      <c r="D16036">
        <v>15734</v>
      </c>
      <c r="E16036">
        <v>19823</v>
      </c>
      <c r="F16036">
        <v>16851</v>
      </c>
      <c r="G16036">
        <v>15797</v>
      </c>
    </row>
    <row r="16037" spans="1:7">
      <c r="A16037" t="s">
        <v>1876</v>
      </c>
      <c r="B16037" t="s">
        <v>399</v>
      </c>
      <c r="C16037" t="s">
        <v>330</v>
      </c>
      <c r="D16037">
        <v>69216</v>
      </c>
      <c r="E16037">
        <v>80396</v>
      </c>
      <c r="F16037">
        <v>75917</v>
      </c>
      <c r="G16037">
        <v>74505</v>
      </c>
    </row>
    <row r="16038" spans="1:7">
      <c r="A16038" t="s">
        <v>1876</v>
      </c>
      <c r="B16038" t="s">
        <v>399</v>
      </c>
      <c r="C16038" t="s">
        <v>331</v>
      </c>
      <c r="D16038">
        <v>454</v>
      </c>
      <c r="E16038">
        <v>467</v>
      </c>
      <c r="F16038">
        <v>479</v>
      </c>
      <c r="G16038">
        <v>325</v>
      </c>
    </row>
    <row r="16039" spans="1:7">
      <c r="A16039" t="s">
        <v>1876</v>
      </c>
      <c r="B16039" t="s">
        <v>399</v>
      </c>
      <c r="C16039" t="s">
        <v>332</v>
      </c>
      <c r="D16039">
        <v>4941</v>
      </c>
      <c r="E16039">
        <v>4437</v>
      </c>
      <c r="F16039">
        <v>4633</v>
      </c>
      <c r="G16039">
        <v>4884</v>
      </c>
    </row>
    <row r="16040" spans="1:7">
      <c r="A16040" t="s">
        <v>1876</v>
      </c>
      <c r="B16040" t="s">
        <v>399</v>
      </c>
      <c r="C16040" t="s">
        <v>1724</v>
      </c>
      <c r="D16040">
        <v>83</v>
      </c>
      <c r="E16040">
        <v>80</v>
      </c>
      <c r="F16040">
        <v>79</v>
      </c>
      <c r="G16040">
        <v>94</v>
      </c>
    </row>
    <row r="16041" spans="1:7">
      <c r="A16041" t="s">
        <v>1876</v>
      </c>
      <c r="B16041" t="s">
        <v>399</v>
      </c>
      <c r="C16041" t="s">
        <v>333</v>
      </c>
      <c r="D16041">
        <v>2922</v>
      </c>
      <c r="E16041">
        <v>2343</v>
      </c>
      <c r="F16041">
        <v>2825</v>
      </c>
      <c r="G16041">
        <v>2564</v>
      </c>
    </row>
    <row r="16042" spans="1:7">
      <c r="A16042" t="s">
        <v>1876</v>
      </c>
      <c r="B16042" t="s">
        <v>399</v>
      </c>
      <c r="C16042" t="s">
        <v>334</v>
      </c>
      <c r="D16042">
        <v>8317</v>
      </c>
      <c r="E16042">
        <v>7247</v>
      </c>
      <c r="F16042">
        <v>7937</v>
      </c>
      <c r="G16042">
        <v>7772</v>
      </c>
    </row>
    <row r="16043" spans="1:7">
      <c r="A16043" t="s">
        <v>1876</v>
      </c>
      <c r="B16043" t="s">
        <v>399</v>
      </c>
      <c r="C16043" t="s">
        <v>335</v>
      </c>
      <c r="D16043">
        <v>3482</v>
      </c>
      <c r="E16043">
        <v>3495</v>
      </c>
      <c r="F16043">
        <v>3508</v>
      </c>
      <c r="G16043">
        <v>3353</v>
      </c>
    </row>
    <row r="16044" spans="1:7">
      <c r="A16044" t="s">
        <v>1876</v>
      </c>
      <c r="B16044" t="s">
        <v>399</v>
      </c>
      <c r="C16044" t="s">
        <v>336</v>
      </c>
      <c r="D16044">
        <v>13191</v>
      </c>
      <c r="E16044">
        <v>14719</v>
      </c>
      <c r="F16044">
        <v>14317</v>
      </c>
      <c r="G16044">
        <v>14368</v>
      </c>
    </row>
    <row r="16045" spans="1:7">
      <c r="A16045" t="s">
        <v>1876</v>
      </c>
      <c r="B16045" t="s">
        <v>399</v>
      </c>
      <c r="C16045" t="s">
        <v>337</v>
      </c>
      <c r="D16045">
        <v>45125</v>
      </c>
      <c r="E16045">
        <v>49606</v>
      </c>
      <c r="F16045">
        <v>49178</v>
      </c>
      <c r="G16045">
        <v>48759</v>
      </c>
    </row>
    <row r="16046" spans="1:7">
      <c r="A16046" t="s">
        <v>1876</v>
      </c>
      <c r="B16046" t="s">
        <v>399</v>
      </c>
      <c r="C16046" t="s">
        <v>338</v>
      </c>
      <c r="D16046">
        <v>77533</v>
      </c>
      <c r="E16046">
        <v>87643</v>
      </c>
      <c r="F16046">
        <v>83854</v>
      </c>
      <c r="G16046">
        <v>82277</v>
      </c>
    </row>
    <row r="16047" spans="1:7">
      <c r="A16047" t="s">
        <v>1876</v>
      </c>
      <c r="B16047" t="s">
        <v>399</v>
      </c>
      <c r="C16047" t="s">
        <v>339</v>
      </c>
      <c r="D16047">
        <v>64342</v>
      </c>
      <c r="E16047">
        <v>72924</v>
      </c>
      <c r="F16047">
        <v>69537</v>
      </c>
      <c r="G16047">
        <v>67909</v>
      </c>
    </row>
    <row r="16048" spans="1:7">
      <c r="A16048" t="s">
        <v>1876</v>
      </c>
      <c r="B16048" t="s">
        <v>399</v>
      </c>
      <c r="C16048" t="s">
        <v>340</v>
      </c>
      <c r="D16048">
        <v>632</v>
      </c>
      <c r="E16048">
        <v>636</v>
      </c>
      <c r="F16048">
        <v>441</v>
      </c>
      <c r="G16048">
        <v>543</v>
      </c>
    </row>
    <row r="16049" spans="1:7">
      <c r="A16049" t="s">
        <v>1876</v>
      </c>
      <c r="B16049" t="s">
        <v>399</v>
      </c>
      <c r="C16049" t="s">
        <v>1955</v>
      </c>
      <c r="D16049">
        <v>25.1</v>
      </c>
      <c r="E16049">
        <v>28.2</v>
      </c>
      <c r="F16049">
        <v>24.6</v>
      </c>
      <c r="G16049">
        <v>27.5</v>
      </c>
    </row>
    <row r="16050" spans="1:7">
      <c r="A16050" t="s">
        <v>1876</v>
      </c>
      <c r="B16050" t="s">
        <v>399</v>
      </c>
      <c r="C16050" t="s">
        <v>341</v>
      </c>
      <c r="D16050">
        <v>71</v>
      </c>
      <c r="E16050">
        <v>81</v>
      </c>
      <c r="F16050">
        <v>69</v>
      </c>
      <c r="G16050">
        <v>75</v>
      </c>
    </row>
    <row r="16051" spans="1:7">
      <c r="A16051" t="s">
        <v>1876</v>
      </c>
      <c r="B16051" t="s">
        <v>399</v>
      </c>
      <c r="C16051" t="s">
        <v>342</v>
      </c>
      <c r="D16051">
        <v>5343</v>
      </c>
      <c r="E16051">
        <v>6087</v>
      </c>
      <c r="F16051">
        <v>5838</v>
      </c>
      <c r="G16051">
        <v>6712</v>
      </c>
    </row>
    <row r="16052" spans="1:7">
      <c r="A16052" t="s">
        <v>1876</v>
      </c>
      <c r="B16052" t="s">
        <v>399</v>
      </c>
      <c r="C16052" t="s">
        <v>1725</v>
      </c>
      <c r="D16052">
        <v>724</v>
      </c>
      <c r="E16052">
        <v>735</v>
      </c>
      <c r="F16052">
        <v>826</v>
      </c>
      <c r="G16052">
        <v>826</v>
      </c>
    </row>
    <row r="16053" spans="1:7">
      <c r="A16053" t="s">
        <v>1876</v>
      </c>
      <c r="B16053" t="s">
        <v>399</v>
      </c>
      <c r="C16053" t="s">
        <v>343</v>
      </c>
      <c r="D16053">
        <v>23</v>
      </c>
      <c r="E16053">
        <v>26</v>
      </c>
      <c r="F16053">
        <v>22</v>
      </c>
      <c r="G16053">
        <v>17</v>
      </c>
    </row>
    <row r="16054" spans="1:7">
      <c r="A16054" t="s">
        <v>1876</v>
      </c>
      <c r="B16054" t="s">
        <v>399</v>
      </c>
      <c r="C16054" t="s">
        <v>344</v>
      </c>
      <c r="D16054">
        <v>5437</v>
      </c>
      <c r="E16054">
        <v>6195</v>
      </c>
      <c r="F16054">
        <v>5930</v>
      </c>
      <c r="G16054">
        <v>6804</v>
      </c>
    </row>
    <row r="16055" spans="1:7">
      <c r="A16055" t="s">
        <v>1876</v>
      </c>
      <c r="B16055" t="s">
        <v>399</v>
      </c>
      <c r="C16055" t="s">
        <v>345</v>
      </c>
      <c r="D16055">
        <v>94</v>
      </c>
      <c r="E16055">
        <v>108</v>
      </c>
      <c r="F16055">
        <v>92</v>
      </c>
      <c r="G16055">
        <v>92</v>
      </c>
    </row>
    <row r="16056" spans="1:7">
      <c r="A16056" t="s">
        <v>1876</v>
      </c>
      <c r="B16056" t="s">
        <v>399</v>
      </c>
      <c r="C16056" t="s">
        <v>1956</v>
      </c>
      <c r="D16056">
        <v>4941</v>
      </c>
      <c r="E16056">
        <v>4437</v>
      </c>
      <c r="F16056">
        <v>4633</v>
      </c>
      <c r="G16056">
        <v>4884</v>
      </c>
    </row>
    <row r="16057" spans="1:7">
      <c r="A16057" t="s">
        <v>1876</v>
      </c>
      <c r="B16057" t="s">
        <v>399</v>
      </c>
      <c r="C16057" t="s">
        <v>1957</v>
      </c>
      <c r="D16057">
        <v>8317</v>
      </c>
      <c r="E16057">
        <v>7247</v>
      </c>
      <c r="F16057">
        <v>7937</v>
      </c>
      <c r="G16057">
        <v>7772</v>
      </c>
    </row>
    <row r="16058" spans="1:7">
      <c r="A16058" t="s">
        <v>1876</v>
      </c>
      <c r="B16058" t="s">
        <v>399</v>
      </c>
      <c r="C16058" t="s">
        <v>346</v>
      </c>
      <c r="D16058">
        <v>670</v>
      </c>
      <c r="E16058">
        <v>536</v>
      </c>
      <c r="F16058">
        <v>563</v>
      </c>
      <c r="G16058">
        <v>587</v>
      </c>
    </row>
    <row r="16059" spans="1:7">
      <c r="A16059" t="s">
        <v>1876</v>
      </c>
      <c r="B16059" t="s">
        <v>399</v>
      </c>
      <c r="C16059" t="s">
        <v>347</v>
      </c>
      <c r="D16059">
        <v>6934</v>
      </c>
      <c r="E16059">
        <v>7747</v>
      </c>
      <c r="F16059">
        <v>6647</v>
      </c>
      <c r="G16059">
        <v>6293</v>
      </c>
    </row>
    <row r="16060" spans="1:7">
      <c r="A16060" t="s">
        <v>1876</v>
      </c>
      <c r="B16060" t="s">
        <v>400</v>
      </c>
      <c r="C16060" t="s">
        <v>133</v>
      </c>
      <c r="D16060">
        <v>-1</v>
      </c>
      <c r="E16060">
        <v>-1</v>
      </c>
      <c r="F16060">
        <v>-1</v>
      </c>
      <c r="G16060">
        <v>-1</v>
      </c>
    </row>
    <row r="16061" spans="1:7">
      <c r="A16061" t="s">
        <v>1876</v>
      </c>
      <c r="B16061" t="s">
        <v>400</v>
      </c>
      <c r="C16061" t="s">
        <v>134</v>
      </c>
      <c r="D16061">
        <v>8538</v>
      </c>
      <c r="E16061">
        <v>8292</v>
      </c>
      <c r="F16061">
        <v>10411</v>
      </c>
      <c r="G16061">
        <v>8595</v>
      </c>
    </row>
    <row r="16062" spans="1:7">
      <c r="A16062" t="s">
        <v>1876</v>
      </c>
      <c r="B16062" t="s">
        <v>400</v>
      </c>
      <c r="C16062" t="s">
        <v>135</v>
      </c>
      <c r="D16062">
        <v>8538</v>
      </c>
      <c r="E16062">
        <v>8292</v>
      </c>
      <c r="F16062">
        <v>10411</v>
      </c>
      <c r="G16062">
        <v>8595</v>
      </c>
    </row>
    <row r="16063" spans="1:7">
      <c r="A16063" t="s">
        <v>1876</v>
      </c>
      <c r="B16063" t="s">
        <v>400</v>
      </c>
      <c r="C16063" t="s">
        <v>136</v>
      </c>
      <c r="D16063">
        <v>8538</v>
      </c>
      <c r="E16063">
        <v>8292</v>
      </c>
      <c r="F16063">
        <v>10411</v>
      </c>
      <c r="G16063">
        <v>8595</v>
      </c>
    </row>
    <row r="16064" spans="1:7">
      <c r="A16064" t="s">
        <v>1876</v>
      </c>
      <c r="B16064" t="s">
        <v>400</v>
      </c>
      <c r="C16064" t="s">
        <v>137</v>
      </c>
      <c r="D16064">
        <v>67</v>
      </c>
      <c r="E16064">
        <v>70</v>
      </c>
      <c r="F16064">
        <v>66</v>
      </c>
      <c r="G16064">
        <v>71</v>
      </c>
    </row>
    <row r="16065" spans="1:7">
      <c r="A16065" t="s">
        <v>1876</v>
      </c>
      <c r="B16065" t="s">
        <v>400</v>
      </c>
      <c r="C16065" t="s">
        <v>138</v>
      </c>
      <c r="D16065">
        <v>67</v>
      </c>
      <c r="E16065">
        <v>70</v>
      </c>
      <c r="F16065">
        <v>66</v>
      </c>
      <c r="G16065">
        <v>71</v>
      </c>
    </row>
    <row r="16066" spans="1:7">
      <c r="A16066" t="s">
        <v>1876</v>
      </c>
      <c r="B16066" t="s">
        <v>400</v>
      </c>
      <c r="C16066" t="s">
        <v>139</v>
      </c>
      <c r="D16066">
        <v>67</v>
      </c>
      <c r="E16066">
        <v>70</v>
      </c>
      <c r="F16066">
        <v>66</v>
      </c>
      <c r="G16066">
        <v>71</v>
      </c>
    </row>
    <row r="16067" spans="1:7">
      <c r="A16067" t="s">
        <v>1876</v>
      </c>
      <c r="B16067" t="s">
        <v>400</v>
      </c>
      <c r="C16067" t="s">
        <v>1877</v>
      </c>
      <c r="D16067">
        <v>0</v>
      </c>
      <c r="E16067">
        <v>0</v>
      </c>
      <c r="F16067">
        <v>0</v>
      </c>
      <c r="G16067">
        <v>0</v>
      </c>
    </row>
    <row r="16068" spans="1:7">
      <c r="A16068" t="s">
        <v>1876</v>
      </c>
      <c r="B16068" t="s">
        <v>400</v>
      </c>
      <c r="C16068" t="s">
        <v>1700</v>
      </c>
      <c r="D16068">
        <v>0</v>
      </c>
      <c r="E16068">
        <v>0</v>
      </c>
      <c r="F16068">
        <v>0</v>
      </c>
      <c r="G16068">
        <v>0</v>
      </c>
    </row>
    <row r="16069" spans="1:7">
      <c r="A16069" t="s">
        <v>1876</v>
      </c>
      <c r="B16069" t="s">
        <v>400</v>
      </c>
      <c r="C16069" t="s">
        <v>1878</v>
      </c>
      <c r="D16069">
        <v>0</v>
      </c>
      <c r="E16069">
        <v>0</v>
      </c>
      <c r="F16069">
        <v>0</v>
      </c>
      <c r="G16069">
        <v>0</v>
      </c>
    </row>
    <row r="16070" spans="1:7">
      <c r="A16070" t="s">
        <v>1876</v>
      </c>
      <c r="B16070" t="s">
        <v>400</v>
      </c>
      <c r="C16070" t="s">
        <v>1879</v>
      </c>
      <c r="D16070">
        <v>0</v>
      </c>
      <c r="E16070">
        <v>0</v>
      </c>
      <c r="F16070">
        <v>0</v>
      </c>
      <c r="G16070">
        <v>0</v>
      </c>
    </row>
    <row r="16071" spans="1:7">
      <c r="A16071" t="s">
        <v>1876</v>
      </c>
      <c r="B16071" t="s">
        <v>400</v>
      </c>
      <c r="C16071" t="s">
        <v>1701</v>
      </c>
      <c r="D16071">
        <v>0</v>
      </c>
      <c r="E16071">
        <v>0</v>
      </c>
      <c r="F16071">
        <v>0</v>
      </c>
      <c r="G16071">
        <v>0</v>
      </c>
    </row>
    <row r="16072" spans="1:7">
      <c r="A16072" t="s">
        <v>1876</v>
      </c>
      <c r="B16072" t="s">
        <v>400</v>
      </c>
      <c r="C16072" t="s">
        <v>1880</v>
      </c>
      <c r="D16072">
        <v>667</v>
      </c>
      <c r="E16072">
        <v>605</v>
      </c>
      <c r="F16072">
        <v>737</v>
      </c>
      <c r="G16072">
        <v>638</v>
      </c>
    </row>
    <row r="16073" spans="1:7">
      <c r="A16073" t="s">
        <v>1876</v>
      </c>
      <c r="B16073" t="s">
        <v>400</v>
      </c>
      <c r="C16073" t="s">
        <v>140</v>
      </c>
      <c r="D16073">
        <v>1567</v>
      </c>
      <c r="E16073">
        <v>1462</v>
      </c>
      <c r="F16073">
        <v>1989</v>
      </c>
      <c r="G16073">
        <v>1818</v>
      </c>
    </row>
    <row r="16074" spans="1:7">
      <c r="A16074" t="s">
        <v>1876</v>
      </c>
      <c r="B16074" t="s">
        <v>400</v>
      </c>
      <c r="C16074" t="s">
        <v>1881</v>
      </c>
      <c r="D16074">
        <v>900</v>
      </c>
      <c r="E16074">
        <v>857</v>
      </c>
      <c r="F16074">
        <v>1252</v>
      </c>
      <c r="G16074">
        <v>1180</v>
      </c>
    </row>
    <row r="16075" spans="1:7">
      <c r="A16075" t="s">
        <v>1876</v>
      </c>
      <c r="B16075" t="s">
        <v>400</v>
      </c>
      <c r="C16075" t="s">
        <v>1882</v>
      </c>
      <c r="D16075">
        <v>0</v>
      </c>
      <c r="E16075">
        <v>0</v>
      </c>
      <c r="F16075">
        <v>0</v>
      </c>
      <c r="G16075">
        <v>0</v>
      </c>
    </row>
    <row r="16076" spans="1:7">
      <c r="A16076" t="s">
        <v>1876</v>
      </c>
      <c r="B16076" t="s">
        <v>400</v>
      </c>
      <c r="C16076" t="s">
        <v>1883</v>
      </c>
      <c r="D16076">
        <v>0</v>
      </c>
      <c r="E16076">
        <v>0</v>
      </c>
      <c r="F16076">
        <v>0</v>
      </c>
      <c r="G16076">
        <v>0</v>
      </c>
    </row>
    <row r="16077" spans="1:7">
      <c r="A16077" t="s">
        <v>1876</v>
      </c>
      <c r="B16077" t="s">
        <v>400</v>
      </c>
      <c r="C16077" t="s">
        <v>1884</v>
      </c>
      <c r="D16077">
        <v>0</v>
      </c>
      <c r="E16077">
        <v>0</v>
      </c>
      <c r="F16077">
        <v>0</v>
      </c>
      <c r="G16077">
        <v>0</v>
      </c>
    </row>
    <row r="16078" spans="1:7">
      <c r="A16078" t="s">
        <v>1876</v>
      </c>
      <c r="B16078" t="s">
        <v>400</v>
      </c>
      <c r="C16078" t="s">
        <v>1885</v>
      </c>
      <c r="D16078">
        <v>0</v>
      </c>
      <c r="E16078">
        <v>0</v>
      </c>
      <c r="F16078">
        <v>0</v>
      </c>
      <c r="G16078">
        <v>0</v>
      </c>
    </row>
    <row r="16079" spans="1:7">
      <c r="A16079" t="s">
        <v>1876</v>
      </c>
      <c r="B16079" t="s">
        <v>400</v>
      </c>
      <c r="C16079" t="s">
        <v>1886</v>
      </c>
      <c r="D16079">
        <v>0</v>
      </c>
      <c r="E16079">
        <v>0</v>
      </c>
      <c r="F16079">
        <v>0</v>
      </c>
      <c r="G16079">
        <v>0</v>
      </c>
    </row>
    <row r="16080" spans="1:7">
      <c r="A16080" t="s">
        <v>1876</v>
      </c>
      <c r="B16080" t="s">
        <v>400</v>
      </c>
      <c r="C16080" t="s">
        <v>141</v>
      </c>
      <c r="D16080">
        <v>0</v>
      </c>
      <c r="E16080">
        <v>0</v>
      </c>
      <c r="F16080">
        <v>0</v>
      </c>
      <c r="G16080">
        <v>0</v>
      </c>
    </row>
    <row r="16081" spans="1:7">
      <c r="A16081" t="s">
        <v>1876</v>
      </c>
      <c r="B16081" t="s">
        <v>400</v>
      </c>
      <c r="C16081" t="s">
        <v>1887</v>
      </c>
      <c r="D16081">
        <v>0</v>
      </c>
      <c r="E16081">
        <v>0</v>
      </c>
      <c r="F16081">
        <v>0</v>
      </c>
      <c r="G16081">
        <v>0</v>
      </c>
    </row>
    <row r="16082" spans="1:7">
      <c r="A16082" t="s">
        <v>1876</v>
      </c>
      <c r="B16082" t="s">
        <v>400</v>
      </c>
      <c r="C16082" t="s">
        <v>1888</v>
      </c>
      <c r="D16082">
        <v>0</v>
      </c>
      <c r="E16082">
        <v>0</v>
      </c>
      <c r="F16082">
        <v>0</v>
      </c>
      <c r="G16082">
        <v>0</v>
      </c>
    </row>
    <row r="16083" spans="1:7">
      <c r="A16083" t="s">
        <v>1876</v>
      </c>
      <c r="B16083" t="s">
        <v>400</v>
      </c>
      <c r="C16083" t="s">
        <v>1889</v>
      </c>
      <c r="D16083">
        <v>667</v>
      </c>
      <c r="E16083">
        <v>605</v>
      </c>
      <c r="F16083">
        <v>737</v>
      </c>
      <c r="G16083">
        <v>638</v>
      </c>
    </row>
    <row r="16084" spans="1:7">
      <c r="A16084" t="s">
        <v>1876</v>
      </c>
      <c r="B16084" t="s">
        <v>400</v>
      </c>
      <c r="C16084" t="s">
        <v>1890</v>
      </c>
      <c r="D16084">
        <v>0</v>
      </c>
      <c r="E16084">
        <v>0</v>
      </c>
      <c r="F16084">
        <v>0</v>
      </c>
      <c r="G16084">
        <v>0</v>
      </c>
    </row>
    <row r="16085" spans="1:7">
      <c r="A16085" t="s">
        <v>1876</v>
      </c>
      <c r="B16085" t="s">
        <v>400</v>
      </c>
      <c r="C16085" t="s">
        <v>1891</v>
      </c>
    </row>
    <row r="16086" spans="1:7">
      <c r="A16086" t="s">
        <v>1876</v>
      </c>
      <c r="B16086" t="s">
        <v>400</v>
      </c>
      <c r="C16086" t="s">
        <v>1892</v>
      </c>
      <c r="D16086">
        <v>900</v>
      </c>
      <c r="E16086">
        <v>857</v>
      </c>
      <c r="F16086">
        <v>1252</v>
      </c>
      <c r="G16086">
        <v>1180</v>
      </c>
    </row>
    <row r="16087" spans="1:7">
      <c r="A16087" t="s">
        <v>1876</v>
      </c>
      <c r="B16087" t="s">
        <v>400</v>
      </c>
      <c r="C16087" t="s">
        <v>142</v>
      </c>
      <c r="D16087">
        <v>1567</v>
      </c>
      <c r="E16087">
        <v>1462</v>
      </c>
      <c r="F16087">
        <v>1989</v>
      </c>
      <c r="G16087">
        <v>1818</v>
      </c>
    </row>
    <row r="16088" spans="1:7">
      <c r="A16088" t="s">
        <v>1876</v>
      </c>
      <c r="B16088" t="s">
        <v>400</v>
      </c>
      <c r="C16088" t="s">
        <v>1893</v>
      </c>
      <c r="D16088">
        <v>1567</v>
      </c>
      <c r="E16088">
        <v>1462</v>
      </c>
      <c r="F16088">
        <v>1989</v>
      </c>
      <c r="G16088">
        <v>1818</v>
      </c>
    </row>
    <row r="16089" spans="1:7">
      <c r="A16089" t="s">
        <v>1876</v>
      </c>
      <c r="B16089" t="s">
        <v>400</v>
      </c>
      <c r="C16089" t="s">
        <v>1894</v>
      </c>
      <c r="D16089">
        <v>900</v>
      </c>
      <c r="E16089">
        <v>857</v>
      </c>
      <c r="F16089">
        <v>1252</v>
      </c>
      <c r="G16089">
        <v>1180</v>
      </c>
    </row>
    <row r="16090" spans="1:7">
      <c r="A16090" t="s">
        <v>1876</v>
      </c>
      <c r="B16090" t="s">
        <v>400</v>
      </c>
      <c r="C16090" t="s">
        <v>143</v>
      </c>
      <c r="D16090">
        <v>0</v>
      </c>
      <c r="E16090">
        <v>0</v>
      </c>
      <c r="F16090">
        <v>0</v>
      </c>
      <c r="G16090">
        <v>0</v>
      </c>
    </row>
    <row r="16091" spans="1:7">
      <c r="A16091" t="s">
        <v>1876</v>
      </c>
      <c r="B16091" t="s">
        <v>400</v>
      </c>
      <c r="C16091" t="s">
        <v>144</v>
      </c>
      <c r="D16091">
        <v>8175</v>
      </c>
      <c r="E16091">
        <v>7888</v>
      </c>
      <c r="F16091">
        <v>8822</v>
      </c>
      <c r="G16091">
        <v>7966</v>
      </c>
    </row>
    <row r="16092" spans="1:7">
      <c r="A16092" t="s">
        <v>1876</v>
      </c>
      <c r="B16092" t="s">
        <v>400</v>
      </c>
      <c r="C16092" t="s">
        <v>1895</v>
      </c>
      <c r="D16092">
        <v>36.299999999999997</v>
      </c>
      <c r="E16092">
        <v>36.4</v>
      </c>
      <c r="F16092">
        <v>32.4</v>
      </c>
      <c r="G16092">
        <v>27.1</v>
      </c>
    </row>
    <row r="16093" spans="1:7">
      <c r="A16093" t="s">
        <v>1876</v>
      </c>
      <c r="B16093" t="s">
        <v>400</v>
      </c>
      <c r="C16093" t="s">
        <v>145</v>
      </c>
      <c r="D16093">
        <v>14909</v>
      </c>
      <c r="E16093">
        <v>16074</v>
      </c>
      <c r="F16093">
        <v>16132</v>
      </c>
      <c r="G16093">
        <v>14942</v>
      </c>
    </row>
    <row r="16094" spans="1:7">
      <c r="A16094" t="s">
        <v>1876</v>
      </c>
      <c r="B16094" t="s">
        <v>400</v>
      </c>
      <c r="C16094" t="s">
        <v>146</v>
      </c>
      <c r="D16094">
        <v>0</v>
      </c>
      <c r="E16094">
        <v>0</v>
      </c>
      <c r="F16094">
        <v>0</v>
      </c>
      <c r="G16094">
        <v>0</v>
      </c>
    </row>
    <row r="16095" spans="1:7">
      <c r="A16095" t="s">
        <v>1876</v>
      </c>
      <c r="B16095" t="s">
        <v>400</v>
      </c>
      <c r="C16095" t="s">
        <v>147</v>
      </c>
      <c r="D16095">
        <v>0</v>
      </c>
      <c r="E16095">
        <v>0</v>
      </c>
      <c r="F16095">
        <v>0</v>
      </c>
      <c r="G16095">
        <v>0</v>
      </c>
    </row>
    <row r="16096" spans="1:7">
      <c r="A16096" t="s">
        <v>1876</v>
      </c>
      <c r="B16096" t="s">
        <v>400</v>
      </c>
      <c r="C16096" t="s">
        <v>1896</v>
      </c>
      <c r="D16096">
        <v>3.5</v>
      </c>
      <c r="E16096">
        <v>3</v>
      </c>
      <c r="F16096">
        <v>3.2</v>
      </c>
      <c r="G16096">
        <v>2.8</v>
      </c>
    </row>
    <row r="16097" spans="1:7">
      <c r="A16097" t="s">
        <v>1876</v>
      </c>
      <c r="B16097" t="s">
        <v>400</v>
      </c>
      <c r="C16097" t="s">
        <v>1702</v>
      </c>
      <c r="D16097">
        <v>48</v>
      </c>
      <c r="E16097">
        <v>48</v>
      </c>
      <c r="F16097">
        <v>48</v>
      </c>
      <c r="G16097">
        <v>48</v>
      </c>
    </row>
    <row r="16098" spans="1:7">
      <c r="A16098" t="s">
        <v>1876</v>
      </c>
      <c r="B16098" t="s">
        <v>400</v>
      </c>
      <c r="C16098" t="s">
        <v>1897</v>
      </c>
      <c r="D16098">
        <v>1</v>
      </c>
      <c r="E16098">
        <v>1.6</v>
      </c>
      <c r="F16098">
        <v>2.7</v>
      </c>
      <c r="G16098">
        <v>3.7</v>
      </c>
    </row>
    <row r="16099" spans="1:7">
      <c r="A16099" t="s">
        <v>1876</v>
      </c>
      <c r="B16099" t="s">
        <v>400</v>
      </c>
      <c r="C16099" t="s">
        <v>1898</v>
      </c>
      <c r="D16099">
        <v>1</v>
      </c>
      <c r="E16099">
        <v>3</v>
      </c>
      <c r="F16099">
        <v>8</v>
      </c>
      <c r="G16099">
        <v>12</v>
      </c>
    </row>
    <row r="16100" spans="1:7">
      <c r="A16100" t="s">
        <v>1876</v>
      </c>
      <c r="B16100" t="s">
        <v>400</v>
      </c>
      <c r="C16100" t="s">
        <v>1899</v>
      </c>
      <c r="D16100">
        <v>900</v>
      </c>
      <c r="E16100">
        <v>857</v>
      </c>
      <c r="F16100">
        <v>1252</v>
      </c>
      <c r="G16100">
        <v>1180</v>
      </c>
    </row>
    <row r="16101" spans="1:7">
      <c r="A16101" t="s">
        <v>1876</v>
      </c>
      <c r="B16101" t="s">
        <v>400</v>
      </c>
      <c r="C16101" t="s">
        <v>148</v>
      </c>
      <c r="D16101">
        <v>0</v>
      </c>
      <c r="E16101">
        <v>0</v>
      </c>
      <c r="F16101">
        <v>0</v>
      </c>
      <c r="G16101">
        <v>0</v>
      </c>
    </row>
    <row r="16102" spans="1:7">
      <c r="A16102" t="s">
        <v>1876</v>
      </c>
      <c r="B16102" t="s">
        <v>400</v>
      </c>
      <c r="C16102" t="s">
        <v>149</v>
      </c>
      <c r="D16102">
        <v>0</v>
      </c>
      <c r="E16102">
        <v>0</v>
      </c>
      <c r="F16102">
        <v>0</v>
      </c>
      <c r="G16102">
        <v>0</v>
      </c>
    </row>
    <row r="16103" spans="1:7">
      <c r="A16103" t="s">
        <v>1876</v>
      </c>
      <c r="B16103" t="s">
        <v>400</v>
      </c>
      <c r="C16103" t="s">
        <v>150</v>
      </c>
      <c r="D16103">
        <v>0</v>
      </c>
      <c r="E16103">
        <v>0</v>
      </c>
      <c r="F16103">
        <v>0</v>
      </c>
      <c r="G16103">
        <v>0</v>
      </c>
    </row>
    <row r="16104" spans="1:7">
      <c r="A16104" t="s">
        <v>1876</v>
      </c>
      <c r="B16104" t="s">
        <v>400</v>
      </c>
      <c r="C16104" t="s">
        <v>1900</v>
      </c>
      <c r="D16104">
        <v>54.4</v>
      </c>
      <c r="E16104">
        <v>46.3</v>
      </c>
      <c r="F16104">
        <v>41</v>
      </c>
      <c r="G16104">
        <v>39.4</v>
      </c>
    </row>
    <row r="16105" spans="1:7">
      <c r="A16105" t="s">
        <v>1876</v>
      </c>
      <c r="B16105" t="s">
        <v>400</v>
      </c>
      <c r="C16105" t="s">
        <v>151</v>
      </c>
      <c r="D16105">
        <v>0</v>
      </c>
      <c r="E16105">
        <v>0</v>
      </c>
      <c r="F16105">
        <v>0</v>
      </c>
      <c r="G16105">
        <v>0</v>
      </c>
    </row>
    <row r="16106" spans="1:7">
      <c r="A16106" t="s">
        <v>1876</v>
      </c>
      <c r="B16106" t="s">
        <v>400</v>
      </c>
      <c r="C16106" t="s">
        <v>152</v>
      </c>
      <c r="D16106">
        <v>602541</v>
      </c>
      <c r="E16106">
        <v>525472</v>
      </c>
      <c r="F16106">
        <v>466030</v>
      </c>
      <c r="G16106">
        <v>446915</v>
      </c>
    </row>
    <row r="16107" spans="1:7">
      <c r="A16107" t="s">
        <v>1876</v>
      </c>
      <c r="B16107" t="s">
        <v>400</v>
      </c>
      <c r="C16107" t="s">
        <v>1703</v>
      </c>
      <c r="D16107">
        <v>12558</v>
      </c>
      <c r="E16107">
        <v>12558</v>
      </c>
      <c r="F16107">
        <v>12542</v>
      </c>
      <c r="G16107">
        <v>12543</v>
      </c>
    </row>
    <row r="16108" spans="1:7">
      <c r="A16108" t="s">
        <v>1876</v>
      </c>
      <c r="B16108" t="s">
        <v>400</v>
      </c>
      <c r="C16108" t="s">
        <v>153</v>
      </c>
      <c r="D16108">
        <v>31042</v>
      </c>
      <c r="E16108">
        <v>11170</v>
      </c>
      <c r="F16108">
        <v>6279</v>
      </c>
      <c r="G16108">
        <v>6848</v>
      </c>
    </row>
    <row r="16109" spans="1:7">
      <c r="A16109" t="s">
        <v>1876</v>
      </c>
      <c r="B16109" t="s">
        <v>400</v>
      </c>
      <c r="C16109" t="s">
        <v>154</v>
      </c>
      <c r="D16109">
        <v>22717</v>
      </c>
      <c r="E16109">
        <v>4286</v>
      </c>
      <c r="F16109">
        <v>0</v>
      </c>
      <c r="G16109">
        <v>0</v>
      </c>
    </row>
    <row r="16110" spans="1:7">
      <c r="A16110" t="s">
        <v>1876</v>
      </c>
      <c r="B16110" t="s">
        <v>400</v>
      </c>
      <c r="C16110" t="s">
        <v>155</v>
      </c>
      <c r="D16110">
        <v>8325</v>
      </c>
      <c r="E16110">
        <v>6884</v>
      </c>
      <c r="F16110">
        <v>6279</v>
      </c>
      <c r="G16110">
        <v>6848</v>
      </c>
    </row>
    <row r="16111" spans="1:7">
      <c r="A16111" t="s">
        <v>1876</v>
      </c>
      <c r="B16111" t="s">
        <v>400</v>
      </c>
      <c r="C16111" t="s">
        <v>156</v>
      </c>
      <c r="D16111">
        <v>0</v>
      </c>
      <c r="E16111">
        <v>0</v>
      </c>
      <c r="F16111">
        <v>0</v>
      </c>
      <c r="G16111">
        <v>0</v>
      </c>
    </row>
    <row r="16112" spans="1:7">
      <c r="A16112" t="s">
        <v>1876</v>
      </c>
      <c r="B16112" t="s">
        <v>400</v>
      </c>
      <c r="C16112" t="s">
        <v>157</v>
      </c>
      <c r="D16112">
        <v>633582</v>
      </c>
      <c r="E16112">
        <v>536642</v>
      </c>
      <c r="F16112">
        <v>472309</v>
      </c>
      <c r="G16112">
        <v>453763</v>
      </c>
    </row>
    <row r="16113" spans="1:7">
      <c r="A16113" t="s">
        <v>1876</v>
      </c>
      <c r="B16113" t="s">
        <v>400</v>
      </c>
      <c r="C16113" t="s">
        <v>158</v>
      </c>
      <c r="D16113">
        <v>31042</v>
      </c>
      <c r="E16113">
        <v>11170</v>
      </c>
      <c r="F16113">
        <v>6279</v>
      </c>
      <c r="G16113">
        <v>6848</v>
      </c>
    </row>
    <row r="16114" spans="1:7">
      <c r="A16114" t="s">
        <v>1876</v>
      </c>
      <c r="B16114" t="s">
        <v>400</v>
      </c>
      <c r="C16114" t="s">
        <v>159</v>
      </c>
      <c r="D16114">
        <v>0</v>
      </c>
      <c r="E16114">
        <v>0</v>
      </c>
      <c r="F16114">
        <v>0</v>
      </c>
      <c r="G16114">
        <v>0</v>
      </c>
    </row>
    <row r="16115" spans="1:7">
      <c r="A16115" t="s">
        <v>1876</v>
      </c>
      <c r="B16115" t="s">
        <v>400</v>
      </c>
      <c r="C16115" t="s">
        <v>1901</v>
      </c>
      <c r="D16115">
        <v>0</v>
      </c>
      <c r="E16115">
        <v>0</v>
      </c>
      <c r="F16115">
        <v>0</v>
      </c>
      <c r="G16115">
        <v>0</v>
      </c>
    </row>
    <row r="16116" spans="1:7">
      <c r="A16116" t="s">
        <v>1876</v>
      </c>
      <c r="B16116" t="s">
        <v>400</v>
      </c>
      <c r="C16116" t="s">
        <v>1902</v>
      </c>
      <c r="D16116">
        <v>64680</v>
      </c>
      <c r="E16116">
        <v>65307</v>
      </c>
      <c r="F16116">
        <v>64789</v>
      </c>
      <c r="G16116">
        <v>56577</v>
      </c>
    </row>
    <row r="16117" spans="1:7">
      <c r="A16117" t="s">
        <v>1876</v>
      </c>
      <c r="B16117" t="s">
        <v>400</v>
      </c>
      <c r="C16117" t="s">
        <v>1903</v>
      </c>
      <c r="D16117">
        <v>2197</v>
      </c>
      <c r="E16117">
        <v>2260</v>
      </c>
      <c r="F16117">
        <v>2121</v>
      </c>
      <c r="G16117">
        <v>2010</v>
      </c>
    </row>
    <row r="16118" spans="1:7">
      <c r="A16118" t="s">
        <v>1876</v>
      </c>
      <c r="B16118" t="s">
        <v>400</v>
      </c>
      <c r="C16118" t="s">
        <v>1904</v>
      </c>
      <c r="D16118">
        <v>1735</v>
      </c>
      <c r="E16118">
        <v>1657</v>
      </c>
      <c r="F16118">
        <v>1733</v>
      </c>
      <c r="G16118">
        <v>1319</v>
      </c>
    </row>
    <row r="16119" spans="1:7">
      <c r="A16119" t="s">
        <v>1876</v>
      </c>
      <c r="B16119" t="s">
        <v>400</v>
      </c>
      <c r="C16119" t="s">
        <v>1905</v>
      </c>
      <c r="D16119">
        <v>16804</v>
      </c>
      <c r="E16119">
        <v>16987</v>
      </c>
      <c r="F16119">
        <v>16580</v>
      </c>
      <c r="G16119">
        <v>16089</v>
      </c>
    </row>
    <row r="16120" spans="1:7">
      <c r="A16120" t="s">
        <v>1876</v>
      </c>
      <c r="B16120" t="s">
        <v>400</v>
      </c>
      <c r="C16120" t="s">
        <v>1906</v>
      </c>
      <c r="D16120">
        <v>1389</v>
      </c>
      <c r="E16120">
        <v>1447</v>
      </c>
      <c r="F16120">
        <v>1358</v>
      </c>
      <c r="G16120">
        <v>1259</v>
      </c>
    </row>
    <row r="16121" spans="1:7">
      <c r="A16121" t="s">
        <v>1876</v>
      </c>
      <c r="B16121" t="s">
        <v>400</v>
      </c>
      <c r="C16121" t="s">
        <v>1907</v>
      </c>
      <c r="D16121">
        <v>86805</v>
      </c>
      <c r="E16121">
        <v>87658</v>
      </c>
      <c r="F16121">
        <v>86580</v>
      </c>
      <c r="G16121">
        <v>77253</v>
      </c>
    </row>
    <row r="16122" spans="1:7">
      <c r="A16122" t="s">
        <v>1876</v>
      </c>
      <c r="B16122" t="s">
        <v>400</v>
      </c>
      <c r="C16122" t="s">
        <v>160</v>
      </c>
      <c r="D16122">
        <v>63780</v>
      </c>
      <c r="E16122">
        <v>64449</v>
      </c>
      <c r="F16122">
        <v>63537</v>
      </c>
      <c r="G16122">
        <v>55397</v>
      </c>
    </row>
    <row r="16123" spans="1:7">
      <c r="A16123" t="s">
        <v>1876</v>
      </c>
      <c r="B16123" t="s">
        <v>400</v>
      </c>
      <c r="C16123" t="s">
        <v>161</v>
      </c>
      <c r="D16123">
        <v>2197</v>
      </c>
      <c r="E16123">
        <v>2260</v>
      </c>
      <c r="F16123">
        <v>2121</v>
      </c>
      <c r="G16123">
        <v>2010</v>
      </c>
    </row>
    <row r="16124" spans="1:7">
      <c r="A16124" t="s">
        <v>1876</v>
      </c>
      <c r="B16124" t="s">
        <v>400</v>
      </c>
      <c r="C16124" t="s">
        <v>162</v>
      </c>
      <c r="D16124">
        <v>1735</v>
      </c>
      <c r="E16124">
        <v>1657</v>
      </c>
      <c r="F16124">
        <v>1733</v>
      </c>
      <c r="G16124">
        <v>1319</v>
      </c>
    </row>
    <row r="16125" spans="1:7">
      <c r="A16125" t="s">
        <v>1876</v>
      </c>
      <c r="B16125" t="s">
        <v>400</v>
      </c>
      <c r="C16125" t="s">
        <v>163</v>
      </c>
      <c r="D16125">
        <v>16804</v>
      </c>
      <c r="E16125">
        <v>16987</v>
      </c>
      <c r="F16125">
        <v>16580</v>
      </c>
      <c r="G16125">
        <v>16089</v>
      </c>
    </row>
    <row r="16126" spans="1:7">
      <c r="A16126" t="s">
        <v>1876</v>
      </c>
      <c r="B16126" t="s">
        <v>400</v>
      </c>
      <c r="C16126" t="s">
        <v>164</v>
      </c>
      <c r="D16126">
        <v>1389</v>
      </c>
      <c r="E16126">
        <v>1447</v>
      </c>
      <c r="F16126">
        <v>1358</v>
      </c>
      <c r="G16126">
        <v>1259</v>
      </c>
    </row>
    <row r="16127" spans="1:7">
      <c r="A16127" t="s">
        <v>1876</v>
      </c>
      <c r="B16127" t="s">
        <v>400</v>
      </c>
      <c r="C16127" t="s">
        <v>165</v>
      </c>
      <c r="D16127">
        <v>85905</v>
      </c>
      <c r="E16127">
        <v>86800</v>
      </c>
      <c r="F16127">
        <v>85328</v>
      </c>
      <c r="G16127">
        <v>76073</v>
      </c>
    </row>
    <row r="16128" spans="1:7">
      <c r="A16128" t="s">
        <v>1876</v>
      </c>
      <c r="B16128" t="s">
        <v>400</v>
      </c>
      <c r="C16128" t="s">
        <v>166</v>
      </c>
      <c r="D16128">
        <v>84170</v>
      </c>
      <c r="E16128">
        <v>85144</v>
      </c>
      <c r="F16128">
        <v>83596</v>
      </c>
      <c r="G16128">
        <v>74754</v>
      </c>
    </row>
    <row r="16129" spans="1:7">
      <c r="A16129" t="s">
        <v>1876</v>
      </c>
      <c r="B16129" t="s">
        <v>400</v>
      </c>
      <c r="C16129" t="s">
        <v>167</v>
      </c>
      <c r="D16129">
        <v>1735</v>
      </c>
      <c r="E16129">
        <v>1657</v>
      </c>
      <c r="F16129">
        <v>1733</v>
      </c>
      <c r="G16129">
        <v>1319</v>
      </c>
    </row>
    <row r="16130" spans="1:7">
      <c r="A16130" t="s">
        <v>1876</v>
      </c>
      <c r="B16130" t="s">
        <v>400</v>
      </c>
      <c r="C16130" t="s">
        <v>1908</v>
      </c>
      <c r="D16130">
        <v>63112</v>
      </c>
      <c r="E16130">
        <v>63844</v>
      </c>
      <c r="F16130">
        <v>62800</v>
      </c>
      <c r="G16130">
        <v>54759</v>
      </c>
    </row>
    <row r="16131" spans="1:7">
      <c r="A16131" t="s">
        <v>1876</v>
      </c>
      <c r="B16131" t="s">
        <v>400</v>
      </c>
      <c r="C16131" t="s">
        <v>1909</v>
      </c>
      <c r="D16131">
        <v>2197</v>
      </c>
      <c r="E16131">
        <v>2260</v>
      </c>
      <c r="F16131">
        <v>2121</v>
      </c>
      <c r="G16131">
        <v>2010</v>
      </c>
    </row>
    <row r="16132" spans="1:7">
      <c r="A16132" t="s">
        <v>1876</v>
      </c>
      <c r="B16132" t="s">
        <v>400</v>
      </c>
      <c r="C16132" t="s">
        <v>1910</v>
      </c>
      <c r="D16132">
        <v>1735</v>
      </c>
      <c r="E16132">
        <v>1657</v>
      </c>
      <c r="F16132">
        <v>1733</v>
      </c>
      <c r="G16132">
        <v>1319</v>
      </c>
    </row>
    <row r="16133" spans="1:7">
      <c r="A16133" t="s">
        <v>1876</v>
      </c>
      <c r="B16133" t="s">
        <v>400</v>
      </c>
      <c r="C16133" t="s">
        <v>1911</v>
      </c>
      <c r="D16133">
        <v>16804</v>
      </c>
      <c r="E16133">
        <v>16987</v>
      </c>
      <c r="F16133">
        <v>16580</v>
      </c>
      <c r="G16133">
        <v>16089</v>
      </c>
    </row>
    <row r="16134" spans="1:7">
      <c r="A16134" t="s">
        <v>1876</v>
      </c>
      <c r="B16134" t="s">
        <v>400</v>
      </c>
      <c r="C16134" t="s">
        <v>1912</v>
      </c>
      <c r="D16134">
        <v>1389</v>
      </c>
      <c r="E16134">
        <v>1447</v>
      </c>
      <c r="F16134">
        <v>1358</v>
      </c>
      <c r="G16134">
        <v>1259</v>
      </c>
    </row>
    <row r="16135" spans="1:7">
      <c r="A16135" t="s">
        <v>1876</v>
      </c>
      <c r="B16135" t="s">
        <v>400</v>
      </c>
      <c r="C16135" t="s">
        <v>168</v>
      </c>
      <c r="D16135">
        <v>85238</v>
      </c>
      <c r="E16135">
        <v>86195</v>
      </c>
      <c r="F16135">
        <v>84591</v>
      </c>
      <c r="G16135">
        <v>75435</v>
      </c>
    </row>
    <row r="16136" spans="1:7">
      <c r="A16136" t="s">
        <v>1876</v>
      </c>
      <c r="B16136" t="s">
        <v>400</v>
      </c>
      <c r="C16136" t="s">
        <v>169</v>
      </c>
      <c r="D16136">
        <v>0</v>
      </c>
      <c r="E16136">
        <v>0</v>
      </c>
      <c r="F16136">
        <v>0</v>
      </c>
      <c r="G16136">
        <v>0</v>
      </c>
    </row>
    <row r="16137" spans="1:7">
      <c r="A16137" t="s">
        <v>1876</v>
      </c>
      <c r="B16137" t="s">
        <v>400</v>
      </c>
      <c r="C16137" t="s">
        <v>1704</v>
      </c>
      <c r="D16137">
        <v>14907</v>
      </c>
      <c r="E16137">
        <v>15021</v>
      </c>
      <c r="F16137">
        <v>15005</v>
      </c>
      <c r="G16137">
        <v>15128</v>
      </c>
    </row>
    <row r="16138" spans="1:7">
      <c r="A16138" t="s">
        <v>1876</v>
      </c>
      <c r="B16138" t="s">
        <v>400</v>
      </c>
      <c r="C16138" t="s">
        <v>170</v>
      </c>
      <c r="D16138">
        <v>0</v>
      </c>
      <c r="E16138">
        <v>0</v>
      </c>
      <c r="F16138">
        <v>0</v>
      </c>
      <c r="G16138">
        <v>0</v>
      </c>
    </row>
    <row r="16139" spans="1:7">
      <c r="A16139" t="s">
        <v>1876</v>
      </c>
      <c r="B16139" t="s">
        <v>400</v>
      </c>
      <c r="C16139" t="s">
        <v>171</v>
      </c>
      <c r="D16139">
        <v>-306143</v>
      </c>
      <c r="E16139">
        <v>-218783</v>
      </c>
      <c r="F16139">
        <v>-183860</v>
      </c>
      <c r="G16139">
        <v>-154555</v>
      </c>
    </row>
    <row r="16140" spans="1:7">
      <c r="A16140" t="s">
        <v>1876</v>
      </c>
      <c r="B16140" t="s">
        <v>400</v>
      </c>
      <c r="C16140" t="s">
        <v>172</v>
      </c>
      <c r="D16140">
        <v>0</v>
      </c>
      <c r="E16140">
        <v>0</v>
      </c>
      <c r="F16140">
        <v>0</v>
      </c>
      <c r="G16140">
        <v>0</v>
      </c>
    </row>
    <row r="16141" spans="1:7">
      <c r="A16141" t="s">
        <v>1876</v>
      </c>
      <c r="B16141" t="s">
        <v>400</v>
      </c>
      <c r="C16141" t="s">
        <v>1913</v>
      </c>
      <c r="D16141">
        <v>1.9</v>
      </c>
      <c r="E16141">
        <v>2.9</v>
      </c>
      <c r="F16141">
        <v>4.3</v>
      </c>
      <c r="G16141">
        <v>5.8</v>
      </c>
    </row>
    <row r="16142" spans="1:7">
      <c r="A16142" t="s">
        <v>1876</v>
      </c>
      <c r="B16142" t="s">
        <v>400</v>
      </c>
      <c r="C16142" t="s">
        <v>1914</v>
      </c>
      <c r="D16142">
        <v>0.1</v>
      </c>
      <c r="E16142">
        <v>0.2</v>
      </c>
      <c r="F16142">
        <v>0.3</v>
      </c>
      <c r="G16142">
        <v>0.4</v>
      </c>
    </row>
    <row r="16143" spans="1:7">
      <c r="A16143" t="s">
        <v>1876</v>
      </c>
      <c r="B16143" t="s">
        <v>400</v>
      </c>
      <c r="C16143" t="s">
        <v>173</v>
      </c>
      <c r="D16143">
        <v>6385</v>
      </c>
      <c r="E16143">
        <v>6195</v>
      </c>
      <c r="F16143">
        <v>6608</v>
      </c>
      <c r="G16143">
        <v>5974</v>
      </c>
    </row>
    <row r="16144" spans="1:7">
      <c r="A16144" t="s">
        <v>1876</v>
      </c>
      <c r="B16144" t="s">
        <v>400</v>
      </c>
      <c r="C16144" t="s">
        <v>174</v>
      </c>
      <c r="D16144">
        <v>131</v>
      </c>
      <c r="E16144">
        <v>137</v>
      </c>
      <c r="F16144">
        <v>133</v>
      </c>
      <c r="G16144">
        <v>97</v>
      </c>
    </row>
    <row r="16145" spans="1:7">
      <c r="A16145" t="s">
        <v>1876</v>
      </c>
      <c r="B16145" t="s">
        <v>400</v>
      </c>
      <c r="C16145" t="s">
        <v>175</v>
      </c>
      <c r="D16145">
        <v>91</v>
      </c>
      <c r="E16145">
        <v>94</v>
      </c>
      <c r="F16145">
        <v>92</v>
      </c>
      <c r="G16145">
        <v>77</v>
      </c>
    </row>
    <row r="16146" spans="1:7">
      <c r="A16146" t="s">
        <v>1876</v>
      </c>
      <c r="B16146" t="s">
        <v>400</v>
      </c>
      <c r="C16146" t="s">
        <v>176</v>
      </c>
      <c r="D16146">
        <v>0</v>
      </c>
      <c r="E16146">
        <v>0</v>
      </c>
      <c r="F16146">
        <v>0</v>
      </c>
      <c r="G16146">
        <v>0</v>
      </c>
    </row>
    <row r="16147" spans="1:7">
      <c r="A16147" t="s">
        <v>1876</v>
      </c>
      <c r="B16147" t="s">
        <v>400</v>
      </c>
      <c r="C16147" t="s">
        <v>177</v>
      </c>
      <c r="D16147">
        <v>6608</v>
      </c>
      <c r="E16147">
        <v>6425</v>
      </c>
      <c r="F16147">
        <v>6833</v>
      </c>
      <c r="G16147">
        <v>6148</v>
      </c>
    </row>
    <row r="16148" spans="1:7">
      <c r="A16148" t="s">
        <v>1876</v>
      </c>
      <c r="B16148" t="s">
        <v>400</v>
      </c>
      <c r="C16148" t="s">
        <v>178</v>
      </c>
      <c r="D16148">
        <v>0</v>
      </c>
      <c r="E16148">
        <v>0</v>
      </c>
      <c r="F16148">
        <v>0</v>
      </c>
      <c r="G16148">
        <v>0</v>
      </c>
    </row>
    <row r="16149" spans="1:7">
      <c r="A16149" t="s">
        <v>1876</v>
      </c>
      <c r="B16149" t="s">
        <v>400</v>
      </c>
      <c r="C16149" t="s">
        <v>179</v>
      </c>
      <c r="D16149">
        <v>0</v>
      </c>
      <c r="E16149">
        <v>0</v>
      </c>
      <c r="F16149">
        <v>0</v>
      </c>
      <c r="G16149">
        <v>0</v>
      </c>
    </row>
    <row r="16150" spans="1:7">
      <c r="A16150" t="s">
        <v>1876</v>
      </c>
      <c r="B16150" t="s">
        <v>400</v>
      </c>
      <c r="C16150" t="s">
        <v>180</v>
      </c>
      <c r="D16150">
        <v>0</v>
      </c>
      <c r="E16150">
        <v>0</v>
      </c>
      <c r="F16150">
        <v>0</v>
      </c>
      <c r="G16150">
        <v>0</v>
      </c>
    </row>
    <row r="16151" spans="1:7">
      <c r="A16151" t="s">
        <v>1876</v>
      </c>
      <c r="B16151" t="s">
        <v>400</v>
      </c>
      <c r="C16151" t="s">
        <v>181</v>
      </c>
      <c r="D16151">
        <v>24417</v>
      </c>
      <c r="E16151">
        <v>24822</v>
      </c>
      <c r="F16151">
        <v>24478</v>
      </c>
      <c r="G16151">
        <v>26153</v>
      </c>
    </row>
    <row r="16152" spans="1:7">
      <c r="A16152" t="s">
        <v>1876</v>
      </c>
      <c r="B16152" t="s">
        <v>400</v>
      </c>
      <c r="C16152" t="s">
        <v>182</v>
      </c>
      <c r="D16152">
        <v>49716</v>
      </c>
      <c r="E16152">
        <v>49727</v>
      </c>
      <c r="F16152">
        <v>50030</v>
      </c>
      <c r="G16152">
        <v>49989</v>
      </c>
    </row>
    <row r="16153" spans="1:7">
      <c r="A16153" t="s">
        <v>1876</v>
      </c>
      <c r="B16153" t="s">
        <v>400</v>
      </c>
      <c r="C16153" t="s">
        <v>183</v>
      </c>
      <c r="D16153">
        <v>37705</v>
      </c>
      <c r="E16153">
        <v>37999</v>
      </c>
      <c r="F16153">
        <v>34918</v>
      </c>
      <c r="G16153">
        <v>36421</v>
      </c>
    </row>
    <row r="16154" spans="1:7">
      <c r="A16154" t="s">
        <v>1876</v>
      </c>
      <c r="B16154" t="s">
        <v>400</v>
      </c>
      <c r="C16154" t="s">
        <v>184</v>
      </c>
      <c r="D16154">
        <v>111838</v>
      </c>
      <c r="E16154">
        <v>112549</v>
      </c>
      <c r="F16154">
        <v>109425</v>
      </c>
      <c r="G16154">
        <v>112564</v>
      </c>
    </row>
    <row r="16155" spans="1:7">
      <c r="A16155" t="s">
        <v>1876</v>
      </c>
      <c r="B16155" t="s">
        <v>400</v>
      </c>
      <c r="C16155" t="s">
        <v>185</v>
      </c>
      <c r="D16155">
        <v>111838</v>
      </c>
      <c r="E16155">
        <v>112549</v>
      </c>
      <c r="F16155">
        <v>109425</v>
      </c>
      <c r="G16155">
        <v>112564</v>
      </c>
    </row>
    <row r="16156" spans="1:7">
      <c r="A16156" t="s">
        <v>1876</v>
      </c>
      <c r="B16156" t="s">
        <v>400</v>
      </c>
      <c r="C16156" t="s">
        <v>1915</v>
      </c>
      <c r="D16156">
        <v>3</v>
      </c>
      <c r="E16156">
        <v>5</v>
      </c>
      <c r="F16156">
        <v>12</v>
      </c>
      <c r="G16156">
        <v>17</v>
      </c>
    </row>
    <row r="16157" spans="1:7">
      <c r="A16157" t="s">
        <v>1876</v>
      </c>
      <c r="B16157" t="s">
        <v>400</v>
      </c>
      <c r="C16157" t="s">
        <v>1916</v>
      </c>
      <c r="D16157">
        <v>0</v>
      </c>
      <c r="E16157">
        <v>0</v>
      </c>
      <c r="F16157">
        <v>0</v>
      </c>
      <c r="G16157">
        <v>0</v>
      </c>
    </row>
    <row r="16158" spans="1:7">
      <c r="A16158" t="s">
        <v>1876</v>
      </c>
      <c r="B16158" t="s">
        <v>400</v>
      </c>
      <c r="C16158" t="s">
        <v>1917</v>
      </c>
      <c r="D16158">
        <v>20</v>
      </c>
      <c r="E16158">
        <v>20</v>
      </c>
      <c r="F16158">
        <v>20</v>
      </c>
      <c r="G16158">
        <v>20</v>
      </c>
    </row>
    <row r="16159" spans="1:7">
      <c r="A16159" t="s">
        <v>1876</v>
      </c>
      <c r="B16159" t="s">
        <v>400</v>
      </c>
      <c r="C16159" t="s">
        <v>1918</v>
      </c>
      <c r="D16159">
        <v>229</v>
      </c>
      <c r="E16159">
        <v>296</v>
      </c>
      <c r="F16159">
        <v>325</v>
      </c>
      <c r="G16159">
        <v>349</v>
      </c>
    </row>
    <row r="16160" spans="1:7">
      <c r="A16160" t="s">
        <v>1876</v>
      </c>
      <c r="B16160" t="s">
        <v>400</v>
      </c>
      <c r="C16160" t="s">
        <v>1919</v>
      </c>
      <c r="D16160">
        <v>2.6</v>
      </c>
      <c r="E16160">
        <v>2.67</v>
      </c>
      <c r="F16160">
        <v>2.71</v>
      </c>
      <c r="G16160">
        <v>2.5099999999999998</v>
      </c>
    </row>
    <row r="16161" spans="1:7">
      <c r="A16161" t="s">
        <v>1876</v>
      </c>
      <c r="B16161" t="s">
        <v>400</v>
      </c>
      <c r="C16161" t="s">
        <v>1920</v>
      </c>
      <c r="D16161">
        <v>331</v>
      </c>
      <c r="E16161">
        <v>428</v>
      </c>
      <c r="F16161">
        <v>492</v>
      </c>
      <c r="G16161">
        <v>533</v>
      </c>
    </row>
    <row r="16162" spans="1:7">
      <c r="A16162" t="s">
        <v>1876</v>
      </c>
      <c r="B16162" t="s">
        <v>400</v>
      </c>
      <c r="C16162" t="s">
        <v>1921</v>
      </c>
      <c r="D16162">
        <v>109</v>
      </c>
      <c r="E16162">
        <v>140</v>
      </c>
      <c r="F16162">
        <v>158</v>
      </c>
      <c r="G16162">
        <v>182</v>
      </c>
    </row>
    <row r="16163" spans="1:7">
      <c r="A16163" t="s">
        <v>1876</v>
      </c>
      <c r="B16163" t="s">
        <v>400</v>
      </c>
      <c r="C16163" t="s">
        <v>1922</v>
      </c>
      <c r="D16163">
        <v>82</v>
      </c>
      <c r="E16163">
        <v>112</v>
      </c>
      <c r="F16163">
        <v>147</v>
      </c>
      <c r="G16163">
        <v>164</v>
      </c>
    </row>
    <row r="16164" spans="1:7">
      <c r="A16164" t="s">
        <v>1876</v>
      </c>
      <c r="B16164" t="s">
        <v>400</v>
      </c>
      <c r="C16164" t="s">
        <v>1923</v>
      </c>
      <c r="D16164">
        <v>5.13</v>
      </c>
      <c r="E16164">
        <v>4.67</v>
      </c>
      <c r="F16164">
        <v>4.2</v>
      </c>
      <c r="G16164">
        <v>4.0999999999999996</v>
      </c>
    </row>
    <row r="16165" spans="1:7">
      <c r="A16165" t="s">
        <v>1876</v>
      </c>
      <c r="B16165" t="s">
        <v>400</v>
      </c>
      <c r="C16165" t="s">
        <v>1924</v>
      </c>
      <c r="D16165">
        <v>19</v>
      </c>
      <c r="E16165">
        <v>4</v>
      </c>
      <c r="F16165">
        <v>2</v>
      </c>
      <c r="G16165">
        <v>2</v>
      </c>
    </row>
    <row r="16166" spans="1:7">
      <c r="A16166" t="s">
        <v>1876</v>
      </c>
      <c r="B16166" t="s">
        <v>400</v>
      </c>
      <c r="C16166" t="s">
        <v>1925</v>
      </c>
      <c r="D16166">
        <v>57</v>
      </c>
      <c r="E16166">
        <v>57</v>
      </c>
      <c r="F16166">
        <v>62</v>
      </c>
      <c r="G16166">
        <v>66</v>
      </c>
    </row>
    <row r="16167" spans="1:7">
      <c r="A16167" t="s">
        <v>1876</v>
      </c>
      <c r="B16167" t="s">
        <v>400</v>
      </c>
      <c r="C16167" t="s">
        <v>1926</v>
      </c>
      <c r="D16167">
        <v>33</v>
      </c>
      <c r="E16167">
        <v>79</v>
      </c>
      <c r="F16167">
        <v>94</v>
      </c>
      <c r="G16167">
        <v>114</v>
      </c>
    </row>
    <row r="16168" spans="1:7">
      <c r="A16168" t="s">
        <v>1876</v>
      </c>
      <c r="B16168" t="s">
        <v>400</v>
      </c>
      <c r="C16168" t="s">
        <v>1927</v>
      </c>
      <c r="D16168">
        <v>7</v>
      </c>
      <c r="E16168">
        <v>8</v>
      </c>
      <c r="F16168">
        <v>8</v>
      </c>
      <c r="G16168">
        <v>5</v>
      </c>
    </row>
    <row r="16169" spans="1:7">
      <c r="A16169" t="s">
        <v>1876</v>
      </c>
      <c r="B16169" t="s">
        <v>400</v>
      </c>
      <c r="C16169" t="s">
        <v>1928</v>
      </c>
      <c r="D16169">
        <v>90</v>
      </c>
      <c r="E16169">
        <v>119</v>
      </c>
      <c r="F16169">
        <v>137</v>
      </c>
      <c r="G16169">
        <v>164</v>
      </c>
    </row>
    <row r="16170" spans="1:7">
      <c r="A16170" t="s">
        <v>1876</v>
      </c>
      <c r="B16170" t="s">
        <v>400</v>
      </c>
      <c r="C16170" t="s">
        <v>1929</v>
      </c>
      <c r="D16170">
        <v>12</v>
      </c>
      <c r="E16170">
        <v>13</v>
      </c>
      <c r="F16170">
        <v>13</v>
      </c>
      <c r="G16170">
        <v>13</v>
      </c>
    </row>
    <row r="16171" spans="1:7">
      <c r="A16171" t="s">
        <v>1876</v>
      </c>
      <c r="B16171" t="s">
        <v>400</v>
      </c>
      <c r="C16171" t="s">
        <v>186</v>
      </c>
      <c r="D16171">
        <v>0</v>
      </c>
      <c r="E16171">
        <v>0</v>
      </c>
      <c r="F16171">
        <v>0</v>
      </c>
      <c r="G16171">
        <v>0</v>
      </c>
    </row>
    <row r="16172" spans="1:7">
      <c r="A16172" t="s">
        <v>1876</v>
      </c>
      <c r="B16172" t="s">
        <v>400</v>
      </c>
      <c r="C16172" t="s">
        <v>187</v>
      </c>
      <c r="D16172">
        <v>0</v>
      </c>
      <c r="E16172">
        <v>0</v>
      </c>
      <c r="F16172">
        <v>0</v>
      </c>
      <c r="G16172">
        <v>0</v>
      </c>
    </row>
    <row r="16173" spans="1:7">
      <c r="A16173" t="s">
        <v>1876</v>
      </c>
      <c r="B16173" t="s">
        <v>400</v>
      </c>
      <c r="C16173" t="s">
        <v>1705</v>
      </c>
      <c r="D16173">
        <v>13774</v>
      </c>
      <c r="E16173">
        <v>13774</v>
      </c>
      <c r="F16173">
        <v>13758</v>
      </c>
      <c r="G16173">
        <v>13757</v>
      </c>
    </row>
    <row r="16174" spans="1:7">
      <c r="A16174" t="s">
        <v>1876</v>
      </c>
      <c r="B16174" t="s">
        <v>400</v>
      </c>
      <c r="C16174" t="s">
        <v>188</v>
      </c>
      <c r="D16174">
        <v>1115623</v>
      </c>
      <c r="E16174">
        <v>1020111</v>
      </c>
      <c r="F16174">
        <v>988749</v>
      </c>
      <c r="G16174">
        <v>962641</v>
      </c>
    </row>
    <row r="16175" spans="1:7">
      <c r="A16175" t="s">
        <v>1876</v>
      </c>
      <c r="B16175" t="s">
        <v>400</v>
      </c>
      <c r="C16175" t="s">
        <v>189</v>
      </c>
      <c r="D16175">
        <v>0</v>
      </c>
      <c r="E16175">
        <v>0</v>
      </c>
      <c r="F16175">
        <v>0</v>
      </c>
      <c r="G16175">
        <v>0</v>
      </c>
    </row>
    <row r="16176" spans="1:7">
      <c r="A16176" t="s">
        <v>1876</v>
      </c>
      <c r="B16176" t="s">
        <v>400</v>
      </c>
      <c r="C16176" t="s">
        <v>190</v>
      </c>
      <c r="D16176">
        <v>0</v>
      </c>
      <c r="E16176">
        <v>0</v>
      </c>
      <c r="F16176">
        <v>0</v>
      </c>
      <c r="G16176">
        <v>0</v>
      </c>
    </row>
    <row r="16177" spans="1:7">
      <c r="A16177" t="s">
        <v>1876</v>
      </c>
      <c r="B16177" t="s">
        <v>400</v>
      </c>
      <c r="C16177" t="s">
        <v>191</v>
      </c>
      <c r="D16177">
        <v>0</v>
      </c>
      <c r="E16177">
        <v>0</v>
      </c>
      <c r="F16177">
        <v>0</v>
      </c>
      <c r="G16177">
        <v>0</v>
      </c>
    </row>
    <row r="16178" spans="1:7">
      <c r="A16178" t="s">
        <v>1876</v>
      </c>
      <c r="B16178" t="s">
        <v>400</v>
      </c>
      <c r="C16178" t="s">
        <v>192</v>
      </c>
      <c r="D16178">
        <v>87178.8</v>
      </c>
      <c r="E16178">
        <v>98824.1</v>
      </c>
      <c r="F16178">
        <v>101479.9</v>
      </c>
      <c r="G16178">
        <v>106475.1</v>
      </c>
    </row>
    <row r="16179" spans="1:7">
      <c r="A16179" t="s">
        <v>1876</v>
      </c>
      <c r="B16179" t="s">
        <v>400</v>
      </c>
      <c r="C16179" t="s">
        <v>193</v>
      </c>
      <c r="D16179">
        <v>76230.8</v>
      </c>
      <c r="E16179">
        <v>77549.100000000006</v>
      </c>
      <c r="F16179">
        <v>80364.899999999994</v>
      </c>
      <c r="G16179">
        <v>82716.5</v>
      </c>
    </row>
    <row r="16180" spans="1:7">
      <c r="A16180" t="s">
        <v>1876</v>
      </c>
      <c r="B16180" t="s">
        <v>400</v>
      </c>
      <c r="C16180" t="s">
        <v>1930</v>
      </c>
      <c r="D16180">
        <v>0</v>
      </c>
      <c r="E16180">
        <v>0</v>
      </c>
      <c r="F16180">
        <v>0</v>
      </c>
      <c r="G16180">
        <v>0</v>
      </c>
    </row>
    <row r="16181" spans="1:7">
      <c r="A16181" t="s">
        <v>1876</v>
      </c>
      <c r="B16181" t="s">
        <v>400</v>
      </c>
      <c r="C16181" t="s">
        <v>194</v>
      </c>
      <c r="D16181">
        <v>3</v>
      </c>
      <c r="E16181">
        <v>3</v>
      </c>
      <c r="F16181">
        <v>3</v>
      </c>
      <c r="G16181">
        <v>3</v>
      </c>
    </row>
    <row r="16182" spans="1:7">
      <c r="A16182" t="s">
        <v>1876</v>
      </c>
      <c r="B16182" t="s">
        <v>400</v>
      </c>
      <c r="C16182" t="s">
        <v>195</v>
      </c>
      <c r="D16182">
        <v>0</v>
      </c>
      <c r="E16182">
        <v>0</v>
      </c>
      <c r="F16182">
        <v>0</v>
      </c>
      <c r="G16182">
        <v>0</v>
      </c>
    </row>
    <row r="16183" spans="1:7">
      <c r="A16183" t="s">
        <v>1876</v>
      </c>
      <c r="B16183" t="s">
        <v>400</v>
      </c>
      <c r="C16183" t="s">
        <v>1706</v>
      </c>
      <c r="D16183">
        <v>0</v>
      </c>
      <c r="E16183">
        <v>0</v>
      </c>
      <c r="F16183">
        <v>0</v>
      </c>
      <c r="G16183">
        <v>0</v>
      </c>
    </row>
    <row r="16184" spans="1:7">
      <c r="A16184" t="s">
        <v>1876</v>
      </c>
      <c r="B16184" t="s">
        <v>400</v>
      </c>
      <c r="C16184" t="s">
        <v>196</v>
      </c>
      <c r="D16184">
        <v>0</v>
      </c>
      <c r="E16184">
        <v>0</v>
      </c>
      <c r="F16184">
        <v>0</v>
      </c>
      <c r="G16184">
        <v>0</v>
      </c>
    </row>
    <row r="16185" spans="1:7">
      <c r="A16185" t="s">
        <v>1876</v>
      </c>
      <c r="B16185" t="s">
        <v>400</v>
      </c>
      <c r="C16185" t="s">
        <v>197</v>
      </c>
      <c r="D16185">
        <v>29</v>
      </c>
      <c r="E16185">
        <v>29</v>
      </c>
      <c r="F16185">
        <v>29</v>
      </c>
      <c r="G16185">
        <v>29</v>
      </c>
    </row>
    <row r="16186" spans="1:7">
      <c r="A16186" t="s">
        <v>1876</v>
      </c>
      <c r="B16186" t="s">
        <v>400</v>
      </c>
      <c r="C16186" t="s">
        <v>198</v>
      </c>
      <c r="D16186">
        <v>32</v>
      </c>
      <c r="E16186">
        <v>32</v>
      </c>
      <c r="F16186">
        <v>32</v>
      </c>
      <c r="G16186">
        <v>32</v>
      </c>
    </row>
    <row r="16187" spans="1:7">
      <c r="A16187" t="s">
        <v>1876</v>
      </c>
      <c r="B16187" t="s">
        <v>400</v>
      </c>
      <c r="C16187" t="s">
        <v>199</v>
      </c>
      <c r="D16187">
        <v>32</v>
      </c>
      <c r="E16187">
        <v>32</v>
      </c>
      <c r="F16187">
        <v>32</v>
      </c>
      <c r="G16187">
        <v>32</v>
      </c>
    </row>
    <row r="16188" spans="1:7">
      <c r="A16188" t="s">
        <v>1876</v>
      </c>
      <c r="B16188" t="s">
        <v>400</v>
      </c>
      <c r="C16188" t="s">
        <v>200</v>
      </c>
      <c r="D16188">
        <v>36</v>
      </c>
      <c r="E16188">
        <v>41</v>
      </c>
      <c r="F16188">
        <v>32</v>
      </c>
      <c r="G16188">
        <v>28</v>
      </c>
    </row>
    <row r="16189" spans="1:7">
      <c r="A16189" t="s">
        <v>1876</v>
      </c>
      <c r="B16189" t="s">
        <v>400</v>
      </c>
      <c r="C16189" t="s">
        <v>201</v>
      </c>
      <c r="D16189">
        <v>996</v>
      </c>
      <c r="E16189">
        <v>1144</v>
      </c>
      <c r="F16189">
        <v>1047</v>
      </c>
      <c r="G16189">
        <v>751</v>
      </c>
    </row>
    <row r="16190" spans="1:7">
      <c r="A16190" t="s">
        <v>1876</v>
      </c>
      <c r="B16190" t="s">
        <v>400</v>
      </c>
      <c r="C16190" t="s">
        <v>202</v>
      </c>
      <c r="D16190">
        <v>10512</v>
      </c>
      <c r="E16190">
        <v>10919</v>
      </c>
      <c r="F16190">
        <v>10575</v>
      </c>
      <c r="G16190">
        <v>10410</v>
      </c>
    </row>
    <row r="16191" spans="1:7">
      <c r="A16191" t="s">
        <v>1876</v>
      </c>
      <c r="B16191" t="s">
        <v>400</v>
      </c>
      <c r="C16191" t="s">
        <v>203</v>
      </c>
      <c r="D16191">
        <v>2903</v>
      </c>
      <c r="E16191">
        <v>2940</v>
      </c>
      <c r="F16191">
        <v>2602</v>
      </c>
      <c r="G16191">
        <v>2823</v>
      </c>
    </row>
    <row r="16192" spans="1:7">
      <c r="A16192" t="s">
        <v>1876</v>
      </c>
      <c r="B16192" t="s">
        <v>400</v>
      </c>
      <c r="C16192" t="s">
        <v>204</v>
      </c>
      <c r="D16192">
        <v>14447</v>
      </c>
      <c r="E16192">
        <v>15043</v>
      </c>
      <c r="F16192">
        <v>14256</v>
      </c>
      <c r="G16192">
        <v>14012</v>
      </c>
    </row>
    <row r="16193" spans="1:7">
      <c r="A16193" t="s">
        <v>1876</v>
      </c>
      <c r="B16193" t="s">
        <v>400</v>
      </c>
      <c r="C16193" t="s">
        <v>205</v>
      </c>
      <c r="D16193">
        <v>14447</v>
      </c>
      <c r="E16193">
        <v>15043</v>
      </c>
      <c r="F16193">
        <v>14256</v>
      </c>
      <c r="G16193">
        <v>14012</v>
      </c>
    </row>
    <row r="16194" spans="1:7">
      <c r="A16194" t="s">
        <v>1876</v>
      </c>
      <c r="B16194" t="s">
        <v>400</v>
      </c>
      <c r="C16194" t="s">
        <v>1931</v>
      </c>
      <c r="D16194">
        <v>0</v>
      </c>
      <c r="E16194">
        <v>0</v>
      </c>
      <c r="F16194">
        <v>0</v>
      </c>
      <c r="G16194">
        <v>0</v>
      </c>
    </row>
    <row r="16195" spans="1:7">
      <c r="A16195" t="s">
        <v>1876</v>
      </c>
      <c r="B16195" t="s">
        <v>400</v>
      </c>
      <c r="C16195" t="s">
        <v>1707</v>
      </c>
      <c r="D16195">
        <v>0</v>
      </c>
      <c r="E16195">
        <v>0</v>
      </c>
      <c r="F16195">
        <v>0</v>
      </c>
      <c r="G16195">
        <v>0</v>
      </c>
    </row>
    <row r="16196" spans="1:7">
      <c r="A16196" t="s">
        <v>1876</v>
      </c>
      <c r="B16196" t="s">
        <v>400</v>
      </c>
      <c r="C16196" t="s">
        <v>1932</v>
      </c>
      <c r="D16196">
        <v>57.1</v>
      </c>
      <c r="E16196">
        <v>55.2</v>
      </c>
      <c r="F16196">
        <v>51.3</v>
      </c>
      <c r="G16196">
        <v>45.5</v>
      </c>
    </row>
    <row r="16197" spans="1:7">
      <c r="A16197" t="s">
        <v>1876</v>
      </c>
      <c r="B16197" t="s">
        <v>400</v>
      </c>
      <c r="C16197" t="s">
        <v>1708</v>
      </c>
      <c r="D16197">
        <v>341</v>
      </c>
      <c r="E16197">
        <v>341</v>
      </c>
      <c r="F16197">
        <v>341</v>
      </c>
      <c r="G16197">
        <v>341</v>
      </c>
    </row>
    <row r="16198" spans="1:7">
      <c r="A16198" t="s">
        <v>1876</v>
      </c>
      <c r="B16198" t="s">
        <v>400</v>
      </c>
      <c r="C16198" t="s">
        <v>206</v>
      </c>
      <c r="D16198">
        <v>0</v>
      </c>
      <c r="E16198">
        <v>0</v>
      </c>
      <c r="F16198">
        <v>0</v>
      </c>
      <c r="G16198">
        <v>0</v>
      </c>
    </row>
    <row r="16199" spans="1:7">
      <c r="A16199" t="s">
        <v>1876</v>
      </c>
      <c r="B16199" t="s">
        <v>400</v>
      </c>
      <c r="C16199" t="s">
        <v>207</v>
      </c>
      <c r="D16199">
        <v>4055</v>
      </c>
      <c r="E16199">
        <v>3827</v>
      </c>
      <c r="F16199">
        <v>3698</v>
      </c>
      <c r="G16199">
        <v>3117</v>
      </c>
    </row>
    <row r="16200" spans="1:7">
      <c r="A16200" t="s">
        <v>1876</v>
      </c>
      <c r="B16200" t="s">
        <v>400</v>
      </c>
      <c r="C16200" t="s">
        <v>208</v>
      </c>
      <c r="D16200">
        <v>1761</v>
      </c>
      <c r="E16200">
        <v>1794</v>
      </c>
      <c r="F16200">
        <v>1523</v>
      </c>
      <c r="G16200">
        <v>1528</v>
      </c>
    </row>
    <row r="16201" spans="1:7">
      <c r="A16201" t="s">
        <v>1876</v>
      </c>
      <c r="B16201" t="s">
        <v>400</v>
      </c>
      <c r="C16201" t="s">
        <v>209</v>
      </c>
      <c r="D16201">
        <v>5816</v>
      </c>
      <c r="E16201">
        <v>5620</v>
      </c>
      <c r="F16201">
        <v>5221</v>
      </c>
      <c r="G16201">
        <v>4645</v>
      </c>
    </row>
    <row r="16202" spans="1:7">
      <c r="A16202" t="s">
        <v>1876</v>
      </c>
      <c r="B16202" t="s">
        <v>400</v>
      </c>
      <c r="C16202" t="s">
        <v>210</v>
      </c>
      <c r="D16202">
        <v>1761</v>
      </c>
      <c r="E16202">
        <v>1794</v>
      </c>
      <c r="F16202">
        <v>1523</v>
      </c>
      <c r="G16202">
        <v>1528</v>
      </c>
    </row>
    <row r="16203" spans="1:7">
      <c r="A16203" t="s">
        <v>1876</v>
      </c>
      <c r="B16203" t="s">
        <v>400</v>
      </c>
      <c r="C16203" t="s">
        <v>211</v>
      </c>
      <c r="D16203">
        <v>0</v>
      </c>
      <c r="E16203">
        <v>0</v>
      </c>
      <c r="F16203">
        <v>0</v>
      </c>
      <c r="G16203">
        <v>0</v>
      </c>
    </row>
    <row r="16204" spans="1:7">
      <c r="A16204" t="s">
        <v>1876</v>
      </c>
      <c r="B16204" t="s">
        <v>400</v>
      </c>
      <c r="C16204" t="s">
        <v>212</v>
      </c>
      <c r="D16204">
        <v>0</v>
      </c>
      <c r="E16204">
        <v>0</v>
      </c>
      <c r="F16204">
        <v>0</v>
      </c>
      <c r="G16204">
        <v>0</v>
      </c>
    </row>
    <row r="16205" spans="1:7">
      <c r="A16205" t="s">
        <v>1876</v>
      </c>
      <c r="B16205" t="s">
        <v>400</v>
      </c>
      <c r="C16205" t="s">
        <v>213</v>
      </c>
      <c r="D16205">
        <v>0</v>
      </c>
      <c r="E16205">
        <v>0</v>
      </c>
      <c r="F16205">
        <v>0</v>
      </c>
      <c r="G16205">
        <v>0</v>
      </c>
    </row>
    <row r="16206" spans="1:7">
      <c r="A16206" t="s">
        <v>1876</v>
      </c>
      <c r="B16206" t="s">
        <v>400</v>
      </c>
      <c r="C16206" t="s">
        <v>214</v>
      </c>
      <c r="D16206">
        <v>0</v>
      </c>
      <c r="E16206">
        <v>0</v>
      </c>
      <c r="F16206">
        <v>0</v>
      </c>
      <c r="G16206">
        <v>0</v>
      </c>
    </row>
    <row r="16207" spans="1:7">
      <c r="A16207" t="s">
        <v>1876</v>
      </c>
      <c r="B16207" t="s">
        <v>400</v>
      </c>
      <c r="C16207" t="s">
        <v>215</v>
      </c>
      <c r="D16207">
        <v>988</v>
      </c>
      <c r="E16207">
        <v>996</v>
      </c>
      <c r="F16207">
        <v>1400</v>
      </c>
      <c r="G16207">
        <v>1221</v>
      </c>
    </row>
    <row r="16208" spans="1:7">
      <c r="A16208" t="s">
        <v>1876</v>
      </c>
      <c r="B16208" t="s">
        <v>400</v>
      </c>
      <c r="C16208" t="s">
        <v>216</v>
      </c>
      <c r="D16208">
        <v>988</v>
      </c>
      <c r="E16208">
        <v>996</v>
      </c>
      <c r="F16208">
        <v>1400</v>
      </c>
      <c r="G16208">
        <v>1221</v>
      </c>
    </row>
    <row r="16209" spans="1:7">
      <c r="A16209" t="s">
        <v>1876</v>
      </c>
      <c r="B16209" t="s">
        <v>400</v>
      </c>
      <c r="C16209" t="s">
        <v>217</v>
      </c>
      <c r="D16209">
        <v>988</v>
      </c>
      <c r="E16209">
        <v>996</v>
      </c>
      <c r="F16209">
        <v>1400</v>
      </c>
      <c r="G16209">
        <v>1221</v>
      </c>
    </row>
    <row r="16210" spans="1:7">
      <c r="A16210" t="s">
        <v>1876</v>
      </c>
      <c r="B16210" t="s">
        <v>400</v>
      </c>
      <c r="C16210" t="s">
        <v>218</v>
      </c>
      <c r="D16210">
        <v>16</v>
      </c>
      <c r="E16210">
        <v>15</v>
      </c>
      <c r="F16210">
        <v>25</v>
      </c>
      <c r="G16210">
        <v>19</v>
      </c>
    </row>
    <row r="16211" spans="1:7">
      <c r="A16211" t="s">
        <v>1876</v>
      </c>
      <c r="B16211" t="s">
        <v>400</v>
      </c>
      <c r="C16211" t="s">
        <v>219</v>
      </c>
      <c r="D16211">
        <v>13</v>
      </c>
      <c r="E16211">
        <v>10</v>
      </c>
      <c r="F16211">
        <v>40</v>
      </c>
      <c r="G16211">
        <v>22</v>
      </c>
    </row>
    <row r="16212" spans="1:7">
      <c r="A16212" t="s">
        <v>1876</v>
      </c>
      <c r="B16212" t="s">
        <v>400</v>
      </c>
      <c r="C16212" t="s">
        <v>220</v>
      </c>
      <c r="D16212">
        <v>140</v>
      </c>
      <c r="E16212">
        <v>130</v>
      </c>
      <c r="F16212">
        <v>224</v>
      </c>
      <c r="G16212">
        <v>164</v>
      </c>
    </row>
    <row r="16213" spans="1:7">
      <c r="A16213" t="s">
        <v>1876</v>
      </c>
      <c r="B16213" t="s">
        <v>400</v>
      </c>
      <c r="C16213" t="s">
        <v>221</v>
      </c>
      <c r="D16213">
        <v>170</v>
      </c>
      <c r="E16213">
        <v>154</v>
      </c>
      <c r="F16213">
        <v>289</v>
      </c>
      <c r="G16213">
        <v>205</v>
      </c>
    </row>
    <row r="16214" spans="1:7">
      <c r="A16214" t="s">
        <v>1876</v>
      </c>
      <c r="B16214" t="s">
        <v>400</v>
      </c>
      <c r="C16214" t="s">
        <v>222</v>
      </c>
      <c r="D16214">
        <v>170</v>
      </c>
      <c r="E16214">
        <v>154</v>
      </c>
      <c r="F16214">
        <v>289</v>
      </c>
      <c r="G16214">
        <v>205</v>
      </c>
    </row>
    <row r="16215" spans="1:7">
      <c r="A16215" t="s">
        <v>1876</v>
      </c>
      <c r="B16215" t="s">
        <v>400</v>
      </c>
      <c r="C16215" t="s">
        <v>1933</v>
      </c>
      <c r="D16215">
        <v>1388</v>
      </c>
      <c r="E16215">
        <v>1382.1</v>
      </c>
      <c r="F16215">
        <v>1393.2</v>
      </c>
      <c r="G16215">
        <v>1402.4</v>
      </c>
    </row>
    <row r="16216" spans="1:7">
      <c r="A16216" t="s">
        <v>1876</v>
      </c>
      <c r="B16216" t="s">
        <v>400</v>
      </c>
      <c r="C16216" t="s">
        <v>223</v>
      </c>
      <c r="D16216">
        <v>0</v>
      </c>
      <c r="E16216">
        <v>0</v>
      </c>
      <c r="F16216">
        <v>0</v>
      </c>
      <c r="G16216">
        <v>0</v>
      </c>
    </row>
    <row r="16217" spans="1:7">
      <c r="A16217" t="s">
        <v>1876</v>
      </c>
      <c r="B16217" t="s">
        <v>400</v>
      </c>
      <c r="C16217" t="s">
        <v>224</v>
      </c>
      <c r="D16217">
        <v>47350</v>
      </c>
      <c r="E16217">
        <v>49504</v>
      </c>
      <c r="F16217">
        <v>48954</v>
      </c>
      <c r="G16217">
        <v>52321</v>
      </c>
    </row>
    <row r="16218" spans="1:7">
      <c r="A16218" t="s">
        <v>1876</v>
      </c>
      <c r="B16218" t="s">
        <v>400</v>
      </c>
      <c r="C16218" t="s">
        <v>225</v>
      </c>
      <c r="D16218">
        <v>96409</v>
      </c>
      <c r="E16218">
        <v>99173</v>
      </c>
      <c r="F16218">
        <v>100058</v>
      </c>
      <c r="G16218">
        <v>100006</v>
      </c>
    </row>
    <row r="16219" spans="1:7">
      <c r="A16219" t="s">
        <v>1876</v>
      </c>
      <c r="B16219" t="s">
        <v>400</v>
      </c>
      <c r="C16219" t="s">
        <v>226</v>
      </c>
      <c r="D16219">
        <v>73117</v>
      </c>
      <c r="E16219">
        <v>75783</v>
      </c>
      <c r="F16219">
        <v>69834</v>
      </c>
      <c r="G16219">
        <v>72863</v>
      </c>
    </row>
    <row r="16220" spans="1:7">
      <c r="A16220" t="s">
        <v>1876</v>
      </c>
      <c r="B16220" t="s">
        <v>400</v>
      </c>
      <c r="C16220" t="s">
        <v>227</v>
      </c>
      <c r="D16220">
        <v>216875</v>
      </c>
      <c r="E16220">
        <v>224460</v>
      </c>
      <c r="F16220">
        <v>218846</v>
      </c>
      <c r="G16220">
        <v>225190</v>
      </c>
    </row>
    <row r="16221" spans="1:7">
      <c r="A16221" t="s">
        <v>1876</v>
      </c>
      <c r="B16221" t="s">
        <v>400</v>
      </c>
      <c r="C16221" t="s">
        <v>228</v>
      </c>
      <c r="D16221">
        <v>216875</v>
      </c>
      <c r="E16221">
        <v>224460</v>
      </c>
      <c r="F16221">
        <v>218846</v>
      </c>
      <c r="G16221">
        <v>225190</v>
      </c>
    </row>
    <row r="16222" spans="1:7">
      <c r="A16222" t="s">
        <v>1876</v>
      </c>
      <c r="B16222" t="s">
        <v>400</v>
      </c>
      <c r="C16222" t="s">
        <v>229</v>
      </c>
      <c r="D16222">
        <v>958</v>
      </c>
      <c r="E16222">
        <v>1011</v>
      </c>
      <c r="F16222">
        <v>747</v>
      </c>
      <c r="G16222">
        <v>647</v>
      </c>
    </row>
    <row r="16223" spans="1:7">
      <c r="A16223" t="s">
        <v>1876</v>
      </c>
      <c r="B16223" t="s">
        <v>400</v>
      </c>
      <c r="C16223" t="s">
        <v>230</v>
      </c>
      <c r="D16223">
        <v>853</v>
      </c>
      <c r="E16223">
        <v>963</v>
      </c>
      <c r="F16223">
        <v>736</v>
      </c>
      <c r="G16223">
        <v>685</v>
      </c>
    </row>
    <row r="16224" spans="1:7">
      <c r="A16224" t="s">
        <v>1876</v>
      </c>
      <c r="B16224" t="s">
        <v>400</v>
      </c>
      <c r="C16224" t="s">
        <v>231</v>
      </c>
      <c r="D16224">
        <v>1811</v>
      </c>
      <c r="E16224">
        <v>1973</v>
      </c>
      <c r="F16224">
        <v>1483</v>
      </c>
      <c r="G16224">
        <v>1331</v>
      </c>
    </row>
    <row r="16225" spans="1:7">
      <c r="A16225" t="s">
        <v>1876</v>
      </c>
      <c r="B16225" t="s">
        <v>400</v>
      </c>
      <c r="C16225" t="s">
        <v>232</v>
      </c>
      <c r="D16225">
        <v>1811</v>
      </c>
      <c r="E16225">
        <v>1973</v>
      </c>
      <c r="F16225">
        <v>1483</v>
      </c>
      <c r="G16225">
        <v>1331</v>
      </c>
    </row>
    <row r="16226" spans="1:7">
      <c r="A16226" t="s">
        <v>1876</v>
      </c>
      <c r="B16226" t="s">
        <v>400</v>
      </c>
      <c r="C16226" t="s">
        <v>233</v>
      </c>
      <c r="D16226">
        <v>0</v>
      </c>
      <c r="E16226">
        <v>0</v>
      </c>
      <c r="F16226">
        <v>0</v>
      </c>
      <c r="G16226">
        <v>0</v>
      </c>
    </row>
    <row r="16227" spans="1:7">
      <c r="A16227" t="s">
        <v>1876</v>
      </c>
      <c r="B16227" t="s">
        <v>400</v>
      </c>
      <c r="C16227" t="s">
        <v>234</v>
      </c>
      <c r="D16227">
        <v>92790</v>
      </c>
      <c r="E16227">
        <v>89172</v>
      </c>
      <c r="F16227">
        <v>95623</v>
      </c>
      <c r="G16227">
        <v>86588</v>
      </c>
    </row>
    <row r="16228" spans="1:7">
      <c r="A16228" t="s">
        <v>1876</v>
      </c>
      <c r="B16228" t="s">
        <v>400</v>
      </c>
      <c r="C16228" t="s">
        <v>235</v>
      </c>
      <c r="D16228">
        <v>1910</v>
      </c>
      <c r="E16228">
        <v>1966</v>
      </c>
      <c r="F16228">
        <v>1929</v>
      </c>
      <c r="G16228">
        <v>1399</v>
      </c>
    </row>
    <row r="16229" spans="1:7">
      <c r="A16229" t="s">
        <v>1876</v>
      </c>
      <c r="B16229" t="s">
        <v>400</v>
      </c>
      <c r="C16229" t="s">
        <v>236</v>
      </c>
      <c r="D16229">
        <v>1326</v>
      </c>
      <c r="E16229">
        <v>1353</v>
      </c>
      <c r="F16229">
        <v>1331</v>
      </c>
      <c r="G16229">
        <v>1123</v>
      </c>
    </row>
    <row r="16230" spans="1:7">
      <c r="A16230" t="s">
        <v>1876</v>
      </c>
      <c r="B16230" t="s">
        <v>400</v>
      </c>
      <c r="C16230" t="s">
        <v>237</v>
      </c>
      <c r="D16230">
        <v>96026</v>
      </c>
      <c r="E16230">
        <v>92492</v>
      </c>
      <c r="F16230">
        <v>98883</v>
      </c>
      <c r="G16230">
        <v>89110</v>
      </c>
    </row>
    <row r="16231" spans="1:7">
      <c r="A16231" t="s">
        <v>1876</v>
      </c>
      <c r="B16231" t="s">
        <v>400</v>
      </c>
      <c r="C16231" t="s">
        <v>238</v>
      </c>
      <c r="D16231">
        <v>96026</v>
      </c>
      <c r="E16231">
        <v>92492</v>
      </c>
      <c r="F16231">
        <v>98883</v>
      </c>
      <c r="G16231">
        <v>89110</v>
      </c>
    </row>
    <row r="16232" spans="1:7">
      <c r="A16232" t="s">
        <v>1876</v>
      </c>
      <c r="B16232" t="s">
        <v>400</v>
      </c>
      <c r="C16232" t="s">
        <v>1934</v>
      </c>
      <c r="D16232">
        <v>86405</v>
      </c>
      <c r="E16232">
        <v>82977</v>
      </c>
      <c r="F16232">
        <v>89015</v>
      </c>
      <c r="G16232">
        <v>80614</v>
      </c>
    </row>
    <row r="16233" spans="1:7">
      <c r="A16233" t="s">
        <v>1876</v>
      </c>
      <c r="B16233" t="s">
        <v>400</v>
      </c>
      <c r="C16233" t="s">
        <v>1935</v>
      </c>
      <c r="D16233">
        <v>1778</v>
      </c>
      <c r="E16233">
        <v>1830</v>
      </c>
      <c r="F16233">
        <v>1796</v>
      </c>
      <c r="G16233">
        <v>1302</v>
      </c>
    </row>
    <row r="16234" spans="1:7">
      <c r="A16234" t="s">
        <v>1876</v>
      </c>
      <c r="B16234" t="s">
        <v>400</v>
      </c>
      <c r="C16234" t="s">
        <v>1936</v>
      </c>
      <c r="D16234">
        <v>1235</v>
      </c>
      <c r="E16234">
        <v>1259</v>
      </c>
      <c r="F16234">
        <v>1239</v>
      </c>
      <c r="G16234">
        <v>1045</v>
      </c>
    </row>
    <row r="16235" spans="1:7">
      <c r="A16235" t="s">
        <v>1876</v>
      </c>
      <c r="B16235" t="s">
        <v>400</v>
      </c>
      <c r="C16235" t="s">
        <v>239</v>
      </c>
      <c r="D16235">
        <v>89418</v>
      </c>
      <c r="E16235">
        <v>86066</v>
      </c>
      <c r="F16235">
        <v>92049</v>
      </c>
      <c r="G16235">
        <v>82962</v>
      </c>
    </row>
    <row r="16236" spans="1:7">
      <c r="A16236" t="s">
        <v>1876</v>
      </c>
      <c r="B16236" t="s">
        <v>400</v>
      </c>
      <c r="C16236" t="s">
        <v>240</v>
      </c>
      <c r="D16236">
        <v>2329</v>
      </c>
      <c r="E16236">
        <v>982</v>
      </c>
      <c r="F16236">
        <v>943</v>
      </c>
      <c r="G16236">
        <v>924</v>
      </c>
    </row>
    <row r="16237" spans="1:7">
      <c r="A16237" t="s">
        <v>1876</v>
      </c>
      <c r="B16237" t="s">
        <v>400</v>
      </c>
      <c r="C16237" t="s">
        <v>241</v>
      </c>
      <c r="D16237">
        <v>0</v>
      </c>
      <c r="E16237">
        <v>0</v>
      </c>
      <c r="F16237">
        <v>0</v>
      </c>
      <c r="G16237">
        <v>0</v>
      </c>
    </row>
    <row r="16238" spans="1:7">
      <c r="A16238" t="s">
        <v>1876</v>
      </c>
      <c r="B16238" t="s">
        <v>400</v>
      </c>
      <c r="C16238" t="s">
        <v>242</v>
      </c>
      <c r="D16238">
        <v>36760</v>
      </c>
      <c r="E16238">
        <v>36010</v>
      </c>
      <c r="F16238">
        <v>35600</v>
      </c>
      <c r="G16238">
        <v>34901</v>
      </c>
    </row>
    <row r="16239" spans="1:7">
      <c r="A16239" t="s">
        <v>1876</v>
      </c>
      <c r="B16239" t="s">
        <v>400</v>
      </c>
      <c r="C16239" t="s">
        <v>243</v>
      </c>
      <c r="D16239">
        <v>24671</v>
      </c>
      <c r="E16239">
        <v>25926</v>
      </c>
      <c r="F16239">
        <v>23706</v>
      </c>
      <c r="G16239">
        <v>23438</v>
      </c>
    </row>
    <row r="16240" spans="1:7">
      <c r="A16240" t="s">
        <v>1876</v>
      </c>
      <c r="B16240" t="s">
        <v>400</v>
      </c>
      <c r="C16240" t="s">
        <v>244</v>
      </c>
      <c r="D16240">
        <v>20941</v>
      </c>
      <c r="E16240">
        <v>17946</v>
      </c>
      <c r="F16240">
        <v>33501</v>
      </c>
      <c r="G16240">
        <v>33459</v>
      </c>
    </row>
    <row r="16241" spans="1:7">
      <c r="A16241" t="s">
        <v>1876</v>
      </c>
      <c r="B16241" t="s">
        <v>400</v>
      </c>
      <c r="C16241" t="s">
        <v>1709</v>
      </c>
      <c r="D16241">
        <v>1205</v>
      </c>
      <c r="E16241">
        <v>1205</v>
      </c>
      <c r="F16241">
        <v>1205</v>
      </c>
      <c r="G16241">
        <v>1204</v>
      </c>
    </row>
    <row r="16242" spans="1:7">
      <c r="A16242" t="s">
        <v>1876</v>
      </c>
      <c r="B16242" t="s">
        <v>400</v>
      </c>
      <c r="C16242" t="s">
        <v>245</v>
      </c>
      <c r="D16242">
        <v>168736</v>
      </c>
      <c r="E16242">
        <v>174543</v>
      </c>
      <c r="F16242">
        <v>192664</v>
      </c>
      <c r="G16242">
        <v>207789</v>
      </c>
    </row>
    <row r="16243" spans="1:7">
      <c r="A16243" t="s">
        <v>1876</v>
      </c>
      <c r="B16243" t="s">
        <v>400</v>
      </c>
      <c r="C16243" t="s">
        <v>246</v>
      </c>
      <c r="D16243">
        <v>25895</v>
      </c>
      <c r="E16243">
        <v>27231</v>
      </c>
      <c r="F16243">
        <v>23487</v>
      </c>
      <c r="G16243">
        <v>22610</v>
      </c>
    </row>
    <row r="16244" spans="1:7">
      <c r="A16244" t="s">
        <v>1876</v>
      </c>
      <c r="B16244" t="s">
        <v>400</v>
      </c>
      <c r="C16244" t="s">
        <v>247</v>
      </c>
      <c r="D16244">
        <v>277002</v>
      </c>
      <c r="E16244">
        <v>281657</v>
      </c>
      <c r="F16244">
        <v>308956</v>
      </c>
      <c r="G16244">
        <v>322197</v>
      </c>
    </row>
    <row r="16245" spans="1:7">
      <c r="A16245" t="s">
        <v>1876</v>
      </c>
      <c r="B16245" t="s">
        <v>400</v>
      </c>
      <c r="C16245" t="s">
        <v>248</v>
      </c>
      <c r="D16245">
        <v>155.1</v>
      </c>
      <c r="E16245">
        <v>158.80000000000001</v>
      </c>
      <c r="F16245">
        <v>174.5</v>
      </c>
      <c r="G16245">
        <v>182.3</v>
      </c>
    </row>
    <row r="16246" spans="1:7">
      <c r="A16246" t="s">
        <v>1876</v>
      </c>
      <c r="B16246" t="s">
        <v>400</v>
      </c>
      <c r="C16246" t="s">
        <v>249</v>
      </c>
      <c r="D16246">
        <v>256061</v>
      </c>
      <c r="E16246">
        <v>263709</v>
      </c>
      <c r="F16246">
        <v>275457</v>
      </c>
      <c r="G16246">
        <v>288737</v>
      </c>
    </row>
    <row r="16247" spans="1:7">
      <c r="A16247" t="s">
        <v>1876</v>
      </c>
      <c r="B16247" t="s">
        <v>400</v>
      </c>
      <c r="C16247" t="s">
        <v>250</v>
      </c>
      <c r="D16247">
        <v>277002</v>
      </c>
      <c r="E16247">
        <v>281657</v>
      </c>
      <c r="F16247">
        <v>308956</v>
      </c>
      <c r="G16247">
        <v>322197</v>
      </c>
    </row>
    <row r="16248" spans="1:7">
      <c r="A16248" t="s">
        <v>1876</v>
      </c>
      <c r="B16248" t="s">
        <v>400</v>
      </c>
      <c r="C16248" t="s">
        <v>1937</v>
      </c>
      <c r="D16248">
        <v>19.600000000000001</v>
      </c>
      <c r="E16248">
        <v>16.399999999999999</v>
      </c>
      <c r="F16248">
        <v>31.4</v>
      </c>
      <c r="G16248">
        <v>31.4</v>
      </c>
    </row>
    <row r="16249" spans="1:7">
      <c r="A16249" t="s">
        <v>1876</v>
      </c>
      <c r="B16249" t="s">
        <v>400</v>
      </c>
      <c r="C16249" t="s">
        <v>1938</v>
      </c>
      <c r="D16249">
        <v>0</v>
      </c>
      <c r="E16249">
        <v>0</v>
      </c>
      <c r="F16249">
        <v>0</v>
      </c>
      <c r="G16249">
        <v>0</v>
      </c>
    </row>
    <row r="16250" spans="1:7">
      <c r="A16250" t="s">
        <v>1876</v>
      </c>
      <c r="B16250" t="s">
        <v>400</v>
      </c>
      <c r="C16250" t="s">
        <v>251</v>
      </c>
      <c r="D16250">
        <v>0</v>
      </c>
      <c r="E16250">
        <v>0</v>
      </c>
      <c r="F16250">
        <v>0</v>
      </c>
      <c r="G16250">
        <v>0</v>
      </c>
    </row>
    <row r="16251" spans="1:7">
      <c r="A16251" t="s">
        <v>1876</v>
      </c>
      <c r="B16251" t="s">
        <v>400</v>
      </c>
      <c r="C16251" t="s">
        <v>252</v>
      </c>
      <c r="D16251">
        <v>0</v>
      </c>
      <c r="E16251">
        <v>0</v>
      </c>
      <c r="F16251">
        <v>0</v>
      </c>
      <c r="G16251">
        <v>0</v>
      </c>
    </row>
    <row r="16252" spans="1:7">
      <c r="A16252" t="s">
        <v>1876</v>
      </c>
      <c r="B16252" t="s">
        <v>400</v>
      </c>
      <c r="C16252" t="s">
        <v>1710</v>
      </c>
      <c r="D16252">
        <v>0</v>
      </c>
      <c r="E16252">
        <v>0</v>
      </c>
      <c r="F16252">
        <v>0</v>
      </c>
      <c r="G16252">
        <v>0</v>
      </c>
    </row>
    <row r="16253" spans="1:7">
      <c r="A16253" t="s">
        <v>1876</v>
      </c>
      <c r="B16253" t="s">
        <v>400</v>
      </c>
      <c r="C16253" t="s">
        <v>1939</v>
      </c>
      <c r="D16253">
        <v>74.400000000000006</v>
      </c>
      <c r="E16253">
        <v>50.8</v>
      </c>
      <c r="F16253">
        <v>66</v>
      </c>
      <c r="G16253">
        <v>70.2</v>
      </c>
    </row>
    <row r="16254" spans="1:7">
      <c r="A16254" t="s">
        <v>1876</v>
      </c>
      <c r="B16254" t="s">
        <v>400</v>
      </c>
      <c r="C16254" t="s">
        <v>253</v>
      </c>
      <c r="D16254">
        <v>9723</v>
      </c>
      <c r="E16254">
        <v>9723</v>
      </c>
      <c r="F16254">
        <v>9723</v>
      </c>
      <c r="G16254">
        <v>9723</v>
      </c>
    </row>
    <row r="16255" spans="1:7">
      <c r="A16255" t="s">
        <v>1876</v>
      </c>
      <c r="B16255" t="s">
        <v>400</v>
      </c>
      <c r="C16255" t="s">
        <v>1711</v>
      </c>
      <c r="D16255">
        <v>0</v>
      </c>
      <c r="E16255">
        <v>0</v>
      </c>
      <c r="F16255">
        <v>0</v>
      </c>
      <c r="G16255">
        <v>0</v>
      </c>
    </row>
    <row r="16256" spans="1:7">
      <c r="A16256" t="s">
        <v>1876</v>
      </c>
      <c r="B16256" t="s">
        <v>400</v>
      </c>
      <c r="C16256" t="s">
        <v>1712</v>
      </c>
      <c r="D16256">
        <v>4316</v>
      </c>
      <c r="E16256">
        <v>2976</v>
      </c>
      <c r="F16256">
        <v>2901</v>
      </c>
      <c r="G16256">
        <v>2808</v>
      </c>
    </row>
    <row r="16257" spans="1:7">
      <c r="A16257" t="s">
        <v>1876</v>
      </c>
      <c r="B16257" t="s">
        <v>400</v>
      </c>
      <c r="C16257" t="s">
        <v>1713</v>
      </c>
      <c r="D16257">
        <v>900</v>
      </c>
      <c r="E16257">
        <v>857</v>
      </c>
      <c r="F16257">
        <v>1252</v>
      </c>
      <c r="G16257">
        <v>1180</v>
      </c>
    </row>
    <row r="16258" spans="1:7">
      <c r="A16258" t="s">
        <v>1876</v>
      </c>
      <c r="B16258" t="s">
        <v>400</v>
      </c>
      <c r="C16258" t="s">
        <v>1940</v>
      </c>
      <c r="D16258">
        <v>0</v>
      </c>
      <c r="E16258">
        <v>0</v>
      </c>
      <c r="F16258">
        <v>0</v>
      </c>
      <c r="G16258">
        <v>0</v>
      </c>
    </row>
    <row r="16259" spans="1:7">
      <c r="A16259" t="s">
        <v>1876</v>
      </c>
      <c r="B16259" t="s">
        <v>400</v>
      </c>
      <c r="C16259" t="s">
        <v>1941</v>
      </c>
      <c r="D16259">
        <v>0</v>
      </c>
      <c r="E16259">
        <v>0</v>
      </c>
      <c r="F16259">
        <v>0</v>
      </c>
      <c r="G16259">
        <v>0</v>
      </c>
    </row>
    <row r="16260" spans="1:7">
      <c r="A16260" t="s">
        <v>1876</v>
      </c>
      <c r="B16260" t="s">
        <v>400</v>
      </c>
      <c r="C16260" t="s">
        <v>254</v>
      </c>
      <c r="D16260">
        <v>4316</v>
      </c>
      <c r="E16260">
        <v>2976</v>
      </c>
      <c r="F16260">
        <v>2901</v>
      </c>
      <c r="G16260">
        <v>2808</v>
      </c>
    </row>
    <row r="16261" spans="1:7">
      <c r="A16261" t="s">
        <v>1876</v>
      </c>
      <c r="B16261" t="s">
        <v>400</v>
      </c>
      <c r="C16261" t="s">
        <v>1942</v>
      </c>
      <c r="D16261">
        <v>0</v>
      </c>
      <c r="E16261">
        <v>0</v>
      </c>
      <c r="F16261">
        <v>0</v>
      </c>
      <c r="G16261">
        <v>0</v>
      </c>
    </row>
    <row r="16262" spans="1:7">
      <c r="A16262" t="s">
        <v>1876</v>
      </c>
      <c r="B16262" t="s">
        <v>400</v>
      </c>
      <c r="C16262" t="s">
        <v>255</v>
      </c>
      <c r="D16262">
        <v>5216</v>
      </c>
      <c r="E16262">
        <v>3833</v>
      </c>
      <c r="F16262">
        <v>4152</v>
      </c>
      <c r="G16262">
        <v>3988</v>
      </c>
    </row>
    <row r="16263" spans="1:7">
      <c r="A16263" t="s">
        <v>1876</v>
      </c>
      <c r="B16263" t="s">
        <v>400</v>
      </c>
      <c r="C16263" t="s">
        <v>256</v>
      </c>
      <c r="D16263">
        <v>5216</v>
      </c>
      <c r="E16263">
        <v>3833</v>
      </c>
      <c r="F16263">
        <v>4152</v>
      </c>
      <c r="G16263">
        <v>3988</v>
      </c>
    </row>
    <row r="16264" spans="1:7">
      <c r="A16264" t="s">
        <v>1876</v>
      </c>
      <c r="B16264" t="s">
        <v>400</v>
      </c>
      <c r="C16264" t="s">
        <v>1714</v>
      </c>
      <c r="D16264">
        <v>0</v>
      </c>
      <c r="E16264">
        <v>0</v>
      </c>
      <c r="F16264">
        <v>0</v>
      </c>
      <c r="G16264">
        <v>0</v>
      </c>
    </row>
    <row r="16265" spans="1:7">
      <c r="A16265" t="s">
        <v>1876</v>
      </c>
      <c r="B16265" t="s">
        <v>400</v>
      </c>
      <c r="C16265" t="s">
        <v>257</v>
      </c>
      <c r="D16265">
        <v>13720</v>
      </c>
      <c r="E16265">
        <v>12241</v>
      </c>
      <c r="F16265">
        <v>14087</v>
      </c>
      <c r="G16265">
        <v>12109</v>
      </c>
    </row>
    <row r="16266" spans="1:7">
      <c r="A16266" t="s">
        <v>1876</v>
      </c>
      <c r="B16266" t="s">
        <v>400</v>
      </c>
      <c r="C16266" t="s">
        <v>258</v>
      </c>
      <c r="D16266">
        <v>15803</v>
      </c>
      <c r="E16266">
        <v>14323</v>
      </c>
      <c r="F16266">
        <v>16400</v>
      </c>
      <c r="G16266">
        <v>14190</v>
      </c>
    </row>
    <row r="16267" spans="1:7">
      <c r="A16267" t="s">
        <v>1876</v>
      </c>
      <c r="B16267" t="s">
        <v>400</v>
      </c>
      <c r="C16267" t="s">
        <v>259</v>
      </c>
      <c r="D16267">
        <v>15803</v>
      </c>
      <c r="E16267">
        <v>14323</v>
      </c>
      <c r="F16267">
        <v>16400</v>
      </c>
      <c r="G16267">
        <v>14190</v>
      </c>
    </row>
    <row r="16268" spans="1:7">
      <c r="A16268" t="s">
        <v>1876</v>
      </c>
      <c r="B16268" t="s">
        <v>400</v>
      </c>
      <c r="C16268" t="s">
        <v>260</v>
      </c>
      <c r="D16268">
        <v>159520</v>
      </c>
      <c r="E16268">
        <v>156596</v>
      </c>
      <c r="F16268">
        <v>162656</v>
      </c>
      <c r="G16268">
        <v>145131</v>
      </c>
    </row>
    <row r="16269" spans="1:7">
      <c r="A16269" t="s">
        <v>1876</v>
      </c>
      <c r="B16269" t="s">
        <v>400</v>
      </c>
      <c r="C16269" t="s">
        <v>1943</v>
      </c>
      <c r="D16269">
        <v>0</v>
      </c>
      <c r="E16269">
        <v>0.1</v>
      </c>
      <c r="F16269">
        <v>0</v>
      </c>
      <c r="G16269">
        <v>0</v>
      </c>
    </row>
    <row r="16270" spans="1:7">
      <c r="A16270" t="s">
        <v>1876</v>
      </c>
      <c r="B16270" t="s">
        <v>400</v>
      </c>
      <c r="C16270" t="s">
        <v>261</v>
      </c>
      <c r="D16270">
        <v>5119</v>
      </c>
      <c r="E16270">
        <v>5385</v>
      </c>
      <c r="F16270">
        <v>5123</v>
      </c>
      <c r="G16270">
        <v>4179</v>
      </c>
    </row>
    <row r="16271" spans="1:7">
      <c r="A16271" t="s">
        <v>1876</v>
      </c>
      <c r="B16271" t="s">
        <v>400</v>
      </c>
      <c r="C16271" t="s">
        <v>262</v>
      </c>
      <c r="D16271">
        <v>1735</v>
      </c>
      <c r="E16271">
        <v>1657</v>
      </c>
      <c r="F16271">
        <v>1733</v>
      </c>
      <c r="G16271">
        <v>1319</v>
      </c>
    </row>
    <row r="16272" spans="1:7">
      <c r="A16272" t="s">
        <v>1876</v>
      </c>
      <c r="B16272" t="s">
        <v>400</v>
      </c>
      <c r="C16272" t="s">
        <v>1715</v>
      </c>
      <c r="D16272">
        <v>11</v>
      </c>
      <c r="E16272">
        <v>11</v>
      </c>
      <c r="F16272">
        <v>11</v>
      </c>
      <c r="G16272">
        <v>11</v>
      </c>
    </row>
    <row r="16273" spans="1:7">
      <c r="A16273" t="s">
        <v>1876</v>
      </c>
      <c r="B16273" t="s">
        <v>400</v>
      </c>
      <c r="C16273" t="s">
        <v>263</v>
      </c>
      <c r="D16273">
        <v>42408</v>
      </c>
      <c r="E16273">
        <v>41546</v>
      </c>
      <c r="F16273">
        <v>42611</v>
      </c>
      <c r="G16273">
        <v>39772</v>
      </c>
    </row>
    <row r="16274" spans="1:7">
      <c r="A16274" t="s">
        <v>1876</v>
      </c>
      <c r="B16274" t="s">
        <v>400</v>
      </c>
      <c r="C16274" t="s">
        <v>264</v>
      </c>
      <c r="D16274">
        <v>4432</v>
      </c>
      <c r="E16274">
        <v>4517</v>
      </c>
      <c r="F16274">
        <v>4183</v>
      </c>
      <c r="G16274">
        <v>4246</v>
      </c>
    </row>
    <row r="16275" spans="1:7">
      <c r="A16275" t="s">
        <v>1876</v>
      </c>
      <c r="B16275" t="s">
        <v>400</v>
      </c>
      <c r="C16275" t="s">
        <v>265</v>
      </c>
      <c r="D16275">
        <v>213214</v>
      </c>
      <c r="E16275">
        <v>209701</v>
      </c>
      <c r="F16275">
        <v>216305</v>
      </c>
      <c r="G16275">
        <v>194647</v>
      </c>
    </row>
    <row r="16276" spans="1:7">
      <c r="A16276" t="s">
        <v>1876</v>
      </c>
      <c r="B16276" t="s">
        <v>400</v>
      </c>
      <c r="C16276" t="s">
        <v>266</v>
      </c>
      <c r="D16276">
        <v>119.4</v>
      </c>
      <c r="E16276">
        <v>118.2</v>
      </c>
      <c r="F16276">
        <v>122.2</v>
      </c>
      <c r="G16276">
        <v>110.1</v>
      </c>
    </row>
    <row r="16277" spans="1:7">
      <c r="A16277" t="s">
        <v>1876</v>
      </c>
      <c r="B16277" t="s">
        <v>400</v>
      </c>
      <c r="C16277" t="s">
        <v>267</v>
      </c>
      <c r="D16277">
        <v>211479</v>
      </c>
      <c r="E16277">
        <v>208044</v>
      </c>
      <c r="F16277">
        <v>214573</v>
      </c>
      <c r="G16277">
        <v>193329</v>
      </c>
    </row>
    <row r="16278" spans="1:7">
      <c r="A16278" t="s">
        <v>1876</v>
      </c>
      <c r="B16278" t="s">
        <v>400</v>
      </c>
      <c r="C16278" t="s">
        <v>268</v>
      </c>
      <c r="D16278">
        <v>0</v>
      </c>
      <c r="E16278">
        <v>0</v>
      </c>
      <c r="F16278">
        <v>0</v>
      </c>
      <c r="G16278">
        <v>0</v>
      </c>
    </row>
    <row r="16279" spans="1:7">
      <c r="A16279" t="s">
        <v>1876</v>
      </c>
      <c r="B16279" t="s">
        <v>400</v>
      </c>
      <c r="C16279" t="s">
        <v>269</v>
      </c>
      <c r="D16279">
        <v>0</v>
      </c>
      <c r="E16279">
        <v>0</v>
      </c>
      <c r="F16279">
        <v>0</v>
      </c>
      <c r="G16279">
        <v>0</v>
      </c>
    </row>
    <row r="16280" spans="1:7">
      <c r="A16280" t="s">
        <v>1876</v>
      </c>
      <c r="B16280" t="s">
        <v>400</v>
      </c>
      <c r="C16280" t="s">
        <v>270</v>
      </c>
      <c r="D16280">
        <v>0</v>
      </c>
      <c r="E16280">
        <v>0</v>
      </c>
      <c r="F16280">
        <v>0</v>
      </c>
      <c r="G16280">
        <v>0</v>
      </c>
    </row>
    <row r="16281" spans="1:7">
      <c r="A16281" t="s">
        <v>1876</v>
      </c>
      <c r="B16281" t="s">
        <v>400</v>
      </c>
      <c r="C16281" t="s">
        <v>271</v>
      </c>
      <c r="D16281">
        <v>0</v>
      </c>
      <c r="E16281">
        <v>0</v>
      </c>
      <c r="F16281">
        <v>0</v>
      </c>
      <c r="G16281">
        <v>0</v>
      </c>
    </row>
    <row r="16282" spans="1:7">
      <c r="A16282" t="s">
        <v>1876</v>
      </c>
      <c r="B16282" t="s">
        <v>400</v>
      </c>
      <c r="C16282" t="s">
        <v>272</v>
      </c>
      <c r="D16282">
        <v>0</v>
      </c>
      <c r="E16282">
        <v>0</v>
      </c>
      <c r="F16282">
        <v>0</v>
      </c>
      <c r="G16282">
        <v>0</v>
      </c>
    </row>
    <row r="16283" spans="1:7">
      <c r="A16283" t="s">
        <v>1876</v>
      </c>
      <c r="B16283" t="s">
        <v>400</v>
      </c>
      <c r="C16283" t="s">
        <v>1944</v>
      </c>
      <c r="D16283">
        <v>1</v>
      </c>
      <c r="E16283">
        <v>1.3</v>
      </c>
      <c r="F16283">
        <v>1.6</v>
      </c>
      <c r="G16283">
        <v>2.1</v>
      </c>
    </row>
    <row r="16284" spans="1:7">
      <c r="A16284" t="s">
        <v>1876</v>
      </c>
      <c r="B16284" t="s">
        <v>400</v>
      </c>
      <c r="C16284" t="s">
        <v>1945</v>
      </c>
      <c r="D16284">
        <v>2</v>
      </c>
      <c r="E16284">
        <v>2</v>
      </c>
      <c r="F16284">
        <v>4</v>
      </c>
      <c r="G16284">
        <v>6</v>
      </c>
    </row>
    <row r="16285" spans="1:7">
      <c r="A16285" t="s">
        <v>1876</v>
      </c>
      <c r="B16285" t="s">
        <v>400</v>
      </c>
      <c r="C16285" t="s">
        <v>273</v>
      </c>
      <c r="D16285">
        <v>0</v>
      </c>
      <c r="E16285">
        <v>0</v>
      </c>
      <c r="F16285">
        <v>0</v>
      </c>
      <c r="G16285">
        <v>0</v>
      </c>
    </row>
    <row r="16286" spans="1:7">
      <c r="A16286" t="s">
        <v>1876</v>
      </c>
      <c r="B16286" t="s">
        <v>400</v>
      </c>
      <c r="C16286" t="s">
        <v>1946</v>
      </c>
      <c r="D16286">
        <v>151567</v>
      </c>
      <c r="E16286">
        <v>148939</v>
      </c>
      <c r="F16286">
        <v>154059</v>
      </c>
      <c r="G16286">
        <v>137339</v>
      </c>
    </row>
    <row r="16287" spans="1:7">
      <c r="A16287" t="s">
        <v>1876</v>
      </c>
      <c r="B16287" t="s">
        <v>400</v>
      </c>
      <c r="C16287" t="s">
        <v>1947</v>
      </c>
      <c r="D16287">
        <v>4987</v>
      </c>
      <c r="E16287">
        <v>5248</v>
      </c>
      <c r="F16287">
        <v>4989</v>
      </c>
      <c r="G16287">
        <v>4082</v>
      </c>
    </row>
    <row r="16288" spans="1:7">
      <c r="A16288" t="s">
        <v>1876</v>
      </c>
      <c r="B16288" t="s">
        <v>400</v>
      </c>
      <c r="C16288" t="s">
        <v>1948</v>
      </c>
      <c r="D16288">
        <v>1735</v>
      </c>
      <c r="E16288">
        <v>1657</v>
      </c>
      <c r="F16288">
        <v>1733</v>
      </c>
      <c r="G16288">
        <v>1319</v>
      </c>
    </row>
    <row r="16289" spans="1:7">
      <c r="A16289" t="s">
        <v>1876</v>
      </c>
      <c r="B16289" t="s">
        <v>400</v>
      </c>
      <c r="C16289" t="s">
        <v>1949</v>
      </c>
      <c r="D16289">
        <v>42317</v>
      </c>
      <c r="E16289">
        <v>41452</v>
      </c>
      <c r="F16289">
        <v>42519</v>
      </c>
      <c r="G16289">
        <v>39695</v>
      </c>
    </row>
    <row r="16290" spans="1:7">
      <c r="A16290" t="s">
        <v>1876</v>
      </c>
      <c r="B16290" t="s">
        <v>400</v>
      </c>
      <c r="C16290" t="s">
        <v>1950</v>
      </c>
      <c r="D16290">
        <v>4432</v>
      </c>
      <c r="E16290">
        <v>4517</v>
      </c>
      <c r="F16290">
        <v>4183</v>
      </c>
      <c r="G16290">
        <v>4246</v>
      </c>
    </row>
    <row r="16291" spans="1:7">
      <c r="A16291" t="s">
        <v>1876</v>
      </c>
      <c r="B16291" t="s">
        <v>400</v>
      </c>
      <c r="C16291" t="s">
        <v>274</v>
      </c>
      <c r="D16291">
        <v>205038</v>
      </c>
      <c r="E16291">
        <v>201813</v>
      </c>
      <c r="F16291">
        <v>207483</v>
      </c>
      <c r="G16291">
        <v>186682</v>
      </c>
    </row>
    <row r="16292" spans="1:7">
      <c r="A16292" t="s">
        <v>1876</v>
      </c>
      <c r="B16292" t="s">
        <v>400</v>
      </c>
      <c r="C16292" t="s">
        <v>275</v>
      </c>
      <c r="D16292">
        <v>0</v>
      </c>
      <c r="E16292">
        <v>0</v>
      </c>
      <c r="F16292">
        <v>0</v>
      </c>
      <c r="G16292">
        <v>0</v>
      </c>
    </row>
    <row r="16293" spans="1:7">
      <c r="A16293" t="s">
        <v>1876</v>
      </c>
      <c r="B16293" t="s">
        <v>400</v>
      </c>
      <c r="C16293" t="s">
        <v>276</v>
      </c>
      <c r="D16293">
        <v>0</v>
      </c>
      <c r="E16293">
        <v>0</v>
      </c>
      <c r="F16293">
        <v>0</v>
      </c>
      <c r="G16293">
        <v>0</v>
      </c>
    </row>
    <row r="16294" spans="1:7">
      <c r="A16294" t="s">
        <v>1876</v>
      </c>
      <c r="B16294" t="s">
        <v>400</v>
      </c>
      <c r="C16294" t="s">
        <v>277</v>
      </c>
      <c r="D16294">
        <v>36</v>
      </c>
      <c r="E16294">
        <v>41</v>
      </c>
      <c r="F16294">
        <v>32</v>
      </c>
      <c r="G16294">
        <v>28</v>
      </c>
    </row>
    <row r="16295" spans="1:7">
      <c r="A16295" t="s">
        <v>1876</v>
      </c>
      <c r="B16295" t="s">
        <v>400</v>
      </c>
      <c r="C16295" t="s">
        <v>278</v>
      </c>
      <c r="D16295">
        <v>996</v>
      </c>
      <c r="E16295">
        <v>1144</v>
      </c>
      <c r="F16295">
        <v>1047</v>
      </c>
      <c r="G16295">
        <v>751</v>
      </c>
    </row>
    <row r="16296" spans="1:7">
      <c r="A16296" t="s">
        <v>1876</v>
      </c>
      <c r="B16296" t="s">
        <v>400</v>
      </c>
      <c r="C16296" t="s">
        <v>279</v>
      </c>
      <c r="D16296">
        <v>789</v>
      </c>
      <c r="E16296">
        <v>1195</v>
      </c>
      <c r="F16296">
        <v>852</v>
      </c>
      <c r="G16296">
        <v>686</v>
      </c>
    </row>
    <row r="16297" spans="1:7">
      <c r="A16297" t="s">
        <v>1876</v>
      </c>
      <c r="B16297" t="s">
        <v>400</v>
      </c>
      <c r="C16297" t="s">
        <v>280</v>
      </c>
      <c r="D16297">
        <v>2903</v>
      </c>
      <c r="E16297">
        <v>2940</v>
      </c>
      <c r="F16297">
        <v>2602</v>
      </c>
      <c r="G16297">
        <v>2823</v>
      </c>
    </row>
    <row r="16298" spans="1:7">
      <c r="A16298" t="s">
        <v>1876</v>
      </c>
      <c r="B16298" t="s">
        <v>400</v>
      </c>
      <c r="C16298" t="s">
        <v>281</v>
      </c>
      <c r="D16298">
        <v>4724</v>
      </c>
      <c r="E16298">
        <v>5320</v>
      </c>
      <c r="F16298">
        <v>4532</v>
      </c>
      <c r="G16298">
        <v>4289</v>
      </c>
    </row>
    <row r="16299" spans="1:7">
      <c r="A16299" t="s">
        <v>1876</v>
      </c>
      <c r="B16299" t="s">
        <v>400</v>
      </c>
      <c r="C16299" t="s">
        <v>282</v>
      </c>
      <c r="D16299">
        <v>4724</v>
      </c>
      <c r="E16299">
        <v>5320</v>
      </c>
      <c r="F16299">
        <v>4532</v>
      </c>
      <c r="G16299">
        <v>4289</v>
      </c>
    </row>
    <row r="16300" spans="1:7">
      <c r="A16300" t="s">
        <v>1876</v>
      </c>
      <c r="B16300" t="s">
        <v>400</v>
      </c>
      <c r="C16300" t="s">
        <v>283</v>
      </c>
      <c r="D16300">
        <v>9723</v>
      </c>
      <c r="E16300">
        <v>9723</v>
      </c>
      <c r="F16300">
        <v>9723</v>
      </c>
      <c r="G16300">
        <v>9723</v>
      </c>
    </row>
    <row r="16301" spans="1:7">
      <c r="A16301" t="s">
        <v>1876</v>
      </c>
      <c r="B16301" t="s">
        <v>400</v>
      </c>
      <c r="C16301" t="s">
        <v>284</v>
      </c>
      <c r="D16301">
        <v>9723</v>
      </c>
      <c r="E16301">
        <v>9723</v>
      </c>
      <c r="F16301">
        <v>9723</v>
      </c>
      <c r="G16301">
        <v>9723</v>
      </c>
    </row>
    <row r="16302" spans="1:7">
      <c r="A16302" t="s">
        <v>1876</v>
      </c>
      <c r="B16302" t="s">
        <v>400</v>
      </c>
      <c r="C16302" t="s">
        <v>1716</v>
      </c>
      <c r="D16302">
        <v>7953</v>
      </c>
      <c r="E16302">
        <v>7657</v>
      </c>
      <c r="F16302">
        <v>8597</v>
      </c>
      <c r="G16302">
        <v>7792</v>
      </c>
    </row>
    <row r="16303" spans="1:7">
      <c r="A16303" t="s">
        <v>1876</v>
      </c>
      <c r="B16303" t="s">
        <v>400</v>
      </c>
      <c r="C16303" t="s">
        <v>1717</v>
      </c>
      <c r="D16303">
        <v>1046</v>
      </c>
      <c r="E16303">
        <v>1059</v>
      </c>
      <c r="F16303">
        <v>1062</v>
      </c>
      <c r="G16303">
        <v>1037</v>
      </c>
    </row>
    <row r="16304" spans="1:7">
      <c r="A16304" t="s">
        <v>1876</v>
      </c>
      <c r="B16304" t="s">
        <v>400</v>
      </c>
      <c r="C16304" t="s">
        <v>1718</v>
      </c>
      <c r="D16304">
        <v>9641</v>
      </c>
      <c r="E16304">
        <v>10718</v>
      </c>
      <c r="F16304">
        <v>10867</v>
      </c>
      <c r="G16304">
        <v>10618</v>
      </c>
    </row>
    <row r="16305" spans="1:7">
      <c r="A16305" t="s">
        <v>1876</v>
      </c>
      <c r="B16305" t="s">
        <v>400</v>
      </c>
      <c r="C16305" t="s">
        <v>1719</v>
      </c>
      <c r="D16305">
        <v>1085</v>
      </c>
      <c r="E16305">
        <v>1199</v>
      </c>
      <c r="F16305">
        <v>1199</v>
      </c>
      <c r="G16305">
        <v>1324</v>
      </c>
    </row>
    <row r="16306" spans="1:7">
      <c r="A16306" t="s">
        <v>1876</v>
      </c>
      <c r="B16306" t="s">
        <v>400</v>
      </c>
      <c r="C16306" t="s">
        <v>1720</v>
      </c>
      <c r="D16306">
        <v>3033</v>
      </c>
      <c r="E16306">
        <v>3325</v>
      </c>
      <c r="F16306">
        <v>3053</v>
      </c>
      <c r="G16306">
        <v>3029</v>
      </c>
    </row>
    <row r="16307" spans="1:7">
      <c r="A16307" t="s">
        <v>1876</v>
      </c>
      <c r="B16307" t="s">
        <v>400</v>
      </c>
      <c r="C16307" t="s">
        <v>1721</v>
      </c>
      <c r="D16307">
        <v>4753</v>
      </c>
      <c r="E16307">
        <v>5982</v>
      </c>
      <c r="F16307">
        <v>5148</v>
      </c>
      <c r="G16307">
        <v>4871</v>
      </c>
    </row>
    <row r="16308" spans="1:7">
      <c r="A16308" t="s">
        <v>1876</v>
      </c>
      <c r="B16308" t="s">
        <v>400</v>
      </c>
      <c r="C16308" t="s">
        <v>285</v>
      </c>
      <c r="D16308">
        <v>26426</v>
      </c>
      <c r="E16308">
        <v>28740</v>
      </c>
      <c r="F16308">
        <v>28727</v>
      </c>
      <c r="G16308">
        <v>27347</v>
      </c>
    </row>
    <row r="16309" spans="1:7">
      <c r="A16309" t="s">
        <v>1876</v>
      </c>
      <c r="B16309" t="s">
        <v>400</v>
      </c>
      <c r="C16309" t="s">
        <v>1951</v>
      </c>
      <c r="D16309">
        <v>3.2</v>
      </c>
      <c r="E16309">
        <v>3.5</v>
      </c>
      <c r="F16309">
        <v>3.4</v>
      </c>
      <c r="G16309">
        <v>3.3</v>
      </c>
    </row>
    <row r="16310" spans="1:7">
      <c r="A16310" t="s">
        <v>1876</v>
      </c>
      <c r="B16310" t="s">
        <v>400</v>
      </c>
      <c r="C16310" t="s">
        <v>286</v>
      </c>
      <c r="D16310">
        <v>0</v>
      </c>
      <c r="E16310">
        <v>0</v>
      </c>
      <c r="F16310">
        <v>0</v>
      </c>
      <c r="G16310">
        <v>0</v>
      </c>
    </row>
    <row r="16311" spans="1:7">
      <c r="A16311" t="s">
        <v>1876</v>
      </c>
      <c r="B16311" t="s">
        <v>400</v>
      </c>
      <c r="C16311" t="s">
        <v>287</v>
      </c>
      <c r="D16311">
        <v>0</v>
      </c>
      <c r="E16311">
        <v>0</v>
      </c>
      <c r="F16311">
        <v>0</v>
      </c>
      <c r="G16311">
        <v>0</v>
      </c>
    </row>
    <row r="16312" spans="1:7">
      <c r="A16312" t="s">
        <v>1876</v>
      </c>
      <c r="B16312" t="s">
        <v>400</v>
      </c>
      <c r="C16312" t="s">
        <v>288</v>
      </c>
      <c r="D16312">
        <v>0</v>
      </c>
      <c r="E16312">
        <v>0</v>
      </c>
      <c r="F16312">
        <v>0</v>
      </c>
      <c r="G16312">
        <v>0</v>
      </c>
    </row>
    <row r="16313" spans="1:7">
      <c r="A16313" t="s">
        <v>1876</v>
      </c>
      <c r="B16313" t="s">
        <v>400</v>
      </c>
      <c r="C16313" t="s">
        <v>289</v>
      </c>
      <c r="D16313">
        <v>45</v>
      </c>
      <c r="E16313">
        <v>46</v>
      </c>
      <c r="F16313">
        <v>38</v>
      </c>
      <c r="G16313">
        <v>41</v>
      </c>
    </row>
    <row r="16314" spans="1:7">
      <c r="A16314" t="s">
        <v>1876</v>
      </c>
      <c r="B16314" t="s">
        <v>400</v>
      </c>
      <c r="C16314" t="s">
        <v>290</v>
      </c>
      <c r="D16314">
        <v>45</v>
      </c>
      <c r="E16314">
        <v>46</v>
      </c>
      <c r="F16314">
        <v>38</v>
      </c>
      <c r="G16314">
        <v>41</v>
      </c>
    </row>
    <row r="16315" spans="1:7">
      <c r="A16315" t="s">
        <v>1876</v>
      </c>
      <c r="B16315" t="s">
        <v>400</v>
      </c>
      <c r="C16315" t="s">
        <v>291</v>
      </c>
      <c r="D16315">
        <v>45</v>
      </c>
      <c r="E16315">
        <v>46</v>
      </c>
      <c r="F16315">
        <v>38</v>
      </c>
      <c r="G16315">
        <v>41</v>
      </c>
    </row>
    <row r="16316" spans="1:7">
      <c r="A16316" t="s">
        <v>1876</v>
      </c>
      <c r="B16316" t="s">
        <v>400</v>
      </c>
      <c r="C16316" t="s">
        <v>292</v>
      </c>
      <c r="D16316">
        <v>0</v>
      </c>
      <c r="E16316">
        <v>0</v>
      </c>
      <c r="F16316">
        <v>0</v>
      </c>
      <c r="G16316">
        <v>0</v>
      </c>
    </row>
    <row r="16317" spans="1:7">
      <c r="A16317" t="s">
        <v>1876</v>
      </c>
      <c r="B16317" t="s">
        <v>400</v>
      </c>
      <c r="C16317" t="s">
        <v>293</v>
      </c>
      <c r="D16317">
        <v>0</v>
      </c>
      <c r="E16317">
        <v>0</v>
      </c>
      <c r="F16317">
        <v>0</v>
      </c>
      <c r="G16317">
        <v>0</v>
      </c>
    </row>
    <row r="16318" spans="1:7">
      <c r="A16318" t="s">
        <v>1876</v>
      </c>
      <c r="B16318" t="s">
        <v>400</v>
      </c>
      <c r="C16318" t="s">
        <v>294</v>
      </c>
      <c r="D16318">
        <v>0</v>
      </c>
      <c r="E16318">
        <v>0</v>
      </c>
      <c r="F16318">
        <v>0</v>
      </c>
      <c r="G16318">
        <v>0</v>
      </c>
    </row>
    <row r="16319" spans="1:7">
      <c r="A16319" t="s">
        <v>1876</v>
      </c>
      <c r="B16319" t="s">
        <v>400</v>
      </c>
      <c r="C16319" t="s">
        <v>295</v>
      </c>
      <c r="D16319">
        <v>0</v>
      </c>
      <c r="E16319">
        <v>0</v>
      </c>
      <c r="F16319">
        <v>0</v>
      </c>
      <c r="G16319">
        <v>0</v>
      </c>
    </row>
    <row r="16320" spans="1:7">
      <c r="A16320" t="s">
        <v>1876</v>
      </c>
      <c r="B16320" t="s">
        <v>400</v>
      </c>
      <c r="C16320" t="s">
        <v>296</v>
      </c>
      <c r="D16320">
        <v>0</v>
      </c>
      <c r="E16320">
        <v>0</v>
      </c>
      <c r="F16320">
        <v>0</v>
      </c>
      <c r="G16320">
        <v>0</v>
      </c>
    </row>
    <row r="16321" spans="1:7">
      <c r="A16321" t="s">
        <v>1876</v>
      </c>
      <c r="B16321" t="s">
        <v>400</v>
      </c>
      <c r="C16321" t="s">
        <v>297</v>
      </c>
      <c r="D16321">
        <v>1892</v>
      </c>
      <c r="E16321">
        <v>1901</v>
      </c>
      <c r="F16321">
        <v>1863</v>
      </c>
      <c r="G16321">
        <v>1803</v>
      </c>
    </row>
    <row r="16322" spans="1:7">
      <c r="A16322" t="s">
        <v>1876</v>
      </c>
      <c r="B16322" t="s">
        <v>400</v>
      </c>
      <c r="C16322" t="s">
        <v>1952</v>
      </c>
      <c r="D16322">
        <v>0</v>
      </c>
      <c r="E16322">
        <v>0</v>
      </c>
      <c r="F16322">
        <v>0</v>
      </c>
      <c r="G16322">
        <v>0</v>
      </c>
    </row>
    <row r="16323" spans="1:7">
      <c r="A16323" t="s">
        <v>1876</v>
      </c>
      <c r="B16323" t="s">
        <v>400</v>
      </c>
      <c r="C16323" t="s">
        <v>298</v>
      </c>
      <c r="D16323">
        <v>33</v>
      </c>
      <c r="E16323">
        <v>95</v>
      </c>
      <c r="F16323">
        <v>95</v>
      </c>
      <c r="G16323">
        <v>83</v>
      </c>
    </row>
    <row r="16324" spans="1:7">
      <c r="A16324" t="s">
        <v>1876</v>
      </c>
      <c r="B16324" t="s">
        <v>400</v>
      </c>
      <c r="C16324" t="s">
        <v>299</v>
      </c>
      <c r="D16324">
        <v>21</v>
      </c>
      <c r="E16324">
        <v>29</v>
      </c>
      <c r="F16324">
        <v>36</v>
      </c>
      <c r="G16324">
        <v>47</v>
      </c>
    </row>
    <row r="16325" spans="1:7">
      <c r="A16325" t="s">
        <v>1876</v>
      </c>
      <c r="B16325" t="s">
        <v>400</v>
      </c>
      <c r="C16325" t="s">
        <v>300</v>
      </c>
      <c r="D16325">
        <v>0</v>
      </c>
      <c r="E16325">
        <v>0</v>
      </c>
      <c r="F16325">
        <v>0</v>
      </c>
      <c r="G16325">
        <v>634</v>
      </c>
    </row>
    <row r="16326" spans="1:7">
      <c r="A16326" t="s">
        <v>1876</v>
      </c>
      <c r="B16326" t="s">
        <v>400</v>
      </c>
      <c r="C16326" t="s">
        <v>1722</v>
      </c>
      <c r="D16326">
        <v>0</v>
      </c>
      <c r="E16326">
        <v>0</v>
      </c>
      <c r="F16326">
        <v>0</v>
      </c>
      <c r="G16326">
        <v>124</v>
      </c>
    </row>
    <row r="16327" spans="1:7">
      <c r="A16327" t="s">
        <v>1876</v>
      </c>
      <c r="B16327" t="s">
        <v>400</v>
      </c>
      <c r="C16327" t="s">
        <v>301</v>
      </c>
      <c r="D16327">
        <v>2</v>
      </c>
      <c r="E16327">
        <v>4</v>
      </c>
      <c r="F16327">
        <v>6</v>
      </c>
      <c r="G16327">
        <v>9</v>
      </c>
    </row>
    <row r="16328" spans="1:7">
      <c r="A16328" t="s">
        <v>1876</v>
      </c>
      <c r="B16328" t="s">
        <v>400</v>
      </c>
      <c r="C16328" t="s">
        <v>302</v>
      </c>
      <c r="D16328">
        <v>104</v>
      </c>
      <c r="E16328">
        <v>133</v>
      </c>
      <c r="F16328">
        <v>170</v>
      </c>
      <c r="G16328">
        <v>204</v>
      </c>
    </row>
    <row r="16329" spans="1:7">
      <c r="A16329" t="s">
        <v>1876</v>
      </c>
      <c r="B16329" t="s">
        <v>400</v>
      </c>
      <c r="C16329" t="s">
        <v>303</v>
      </c>
      <c r="D16329">
        <v>128</v>
      </c>
      <c r="E16329">
        <v>166</v>
      </c>
      <c r="F16329">
        <v>213</v>
      </c>
      <c r="G16329">
        <v>894</v>
      </c>
    </row>
    <row r="16330" spans="1:7">
      <c r="A16330" t="s">
        <v>1876</v>
      </c>
      <c r="B16330" t="s">
        <v>400</v>
      </c>
      <c r="C16330" t="s">
        <v>304</v>
      </c>
      <c r="D16330">
        <v>128</v>
      </c>
      <c r="E16330">
        <v>166</v>
      </c>
      <c r="F16330">
        <v>213</v>
      </c>
      <c r="G16330">
        <v>260</v>
      </c>
    </row>
    <row r="16331" spans="1:7">
      <c r="A16331" t="s">
        <v>1876</v>
      </c>
      <c r="B16331" t="s">
        <v>400</v>
      </c>
      <c r="C16331" t="s">
        <v>1953</v>
      </c>
      <c r="D16331">
        <v>0</v>
      </c>
      <c r="E16331">
        <v>0</v>
      </c>
      <c r="F16331">
        <v>0</v>
      </c>
      <c r="G16331">
        <v>22.5</v>
      </c>
    </row>
    <row r="16332" spans="1:7">
      <c r="A16332" t="s">
        <v>1876</v>
      </c>
      <c r="B16332" t="s">
        <v>400</v>
      </c>
      <c r="C16332" t="s">
        <v>305</v>
      </c>
      <c r="D16332">
        <v>196280</v>
      </c>
      <c r="E16332">
        <v>192606</v>
      </c>
      <c r="F16332">
        <v>198257</v>
      </c>
      <c r="G16332">
        <v>180032</v>
      </c>
    </row>
    <row r="16333" spans="1:7">
      <c r="A16333" t="s">
        <v>1876</v>
      </c>
      <c r="B16333" t="s">
        <v>400</v>
      </c>
      <c r="C16333" t="s">
        <v>306</v>
      </c>
      <c r="D16333">
        <v>109.9</v>
      </c>
      <c r="E16333">
        <v>108.6</v>
      </c>
      <c r="F16333">
        <v>112</v>
      </c>
      <c r="G16333">
        <v>101.9</v>
      </c>
    </row>
    <row r="16334" spans="1:7">
      <c r="A16334" t="s">
        <v>1876</v>
      </c>
      <c r="B16334" t="s">
        <v>400</v>
      </c>
      <c r="C16334" t="s">
        <v>307</v>
      </c>
      <c r="D16334">
        <v>102470</v>
      </c>
      <c r="E16334">
        <v>106559</v>
      </c>
      <c r="F16334">
        <v>103189</v>
      </c>
      <c r="G16334">
        <v>107031</v>
      </c>
    </row>
    <row r="16335" spans="1:7">
      <c r="A16335" t="s">
        <v>1876</v>
      </c>
      <c r="B16335" t="s">
        <v>400</v>
      </c>
      <c r="C16335" t="s">
        <v>308</v>
      </c>
      <c r="D16335">
        <v>57.4</v>
      </c>
      <c r="E16335">
        <v>60.1</v>
      </c>
      <c r="F16335">
        <v>58.3</v>
      </c>
      <c r="G16335">
        <v>60.6</v>
      </c>
    </row>
    <row r="16336" spans="1:7">
      <c r="A16336" t="s">
        <v>1876</v>
      </c>
      <c r="B16336" t="s">
        <v>400</v>
      </c>
      <c r="C16336" t="s">
        <v>309</v>
      </c>
      <c r="D16336">
        <v>634857</v>
      </c>
      <c r="E16336">
        <v>555792</v>
      </c>
      <c r="F16336">
        <v>512131</v>
      </c>
      <c r="G16336">
        <v>492310</v>
      </c>
    </row>
    <row r="16337" spans="1:7">
      <c r="A16337" t="s">
        <v>1876</v>
      </c>
      <c r="B16337" t="s">
        <v>400</v>
      </c>
      <c r="C16337" t="s">
        <v>310</v>
      </c>
      <c r="D16337">
        <v>391252</v>
      </c>
      <c r="E16337">
        <v>379391</v>
      </c>
      <c r="F16337">
        <v>394602</v>
      </c>
      <c r="G16337">
        <v>407357</v>
      </c>
    </row>
    <row r="16338" spans="1:7">
      <c r="A16338" t="s">
        <v>1876</v>
      </c>
      <c r="B16338" t="s">
        <v>400</v>
      </c>
      <c r="C16338" t="s">
        <v>311</v>
      </c>
      <c r="D16338">
        <v>219.1</v>
      </c>
      <c r="E16338">
        <v>213.9</v>
      </c>
      <c r="F16338">
        <v>222.9</v>
      </c>
      <c r="G16338">
        <v>230.5</v>
      </c>
    </row>
    <row r="16339" spans="1:7">
      <c r="A16339" t="s">
        <v>1876</v>
      </c>
      <c r="B16339" t="s">
        <v>400</v>
      </c>
      <c r="C16339" t="s">
        <v>312</v>
      </c>
      <c r="D16339">
        <v>145903</v>
      </c>
      <c r="E16339">
        <v>151512</v>
      </c>
      <c r="F16339">
        <v>137569</v>
      </c>
      <c r="G16339">
        <v>141012</v>
      </c>
    </row>
    <row r="16340" spans="1:7">
      <c r="A16340" t="s">
        <v>1876</v>
      </c>
      <c r="B16340" t="s">
        <v>400</v>
      </c>
      <c r="C16340" t="s">
        <v>313</v>
      </c>
      <c r="D16340">
        <v>81.7</v>
      </c>
      <c r="E16340">
        <v>85.4</v>
      </c>
      <c r="F16340">
        <v>77.7</v>
      </c>
      <c r="G16340">
        <v>79.8</v>
      </c>
    </row>
    <row r="16341" spans="1:7">
      <c r="A16341" t="s">
        <v>1876</v>
      </c>
      <c r="B16341" t="s">
        <v>400</v>
      </c>
      <c r="C16341" t="s">
        <v>314</v>
      </c>
      <c r="D16341">
        <v>835906</v>
      </c>
      <c r="E16341">
        <v>830068</v>
      </c>
      <c r="F16341">
        <v>833616</v>
      </c>
      <c r="G16341">
        <v>835433</v>
      </c>
    </row>
    <row r="16342" spans="1:7">
      <c r="A16342" t="s">
        <v>1876</v>
      </c>
      <c r="B16342" t="s">
        <v>400</v>
      </c>
      <c r="C16342" t="s">
        <v>315</v>
      </c>
      <c r="D16342">
        <v>10.97</v>
      </c>
      <c r="E16342">
        <v>10.7</v>
      </c>
      <c r="F16342">
        <v>10.37</v>
      </c>
      <c r="G16342">
        <v>10.1</v>
      </c>
    </row>
    <row r="16343" spans="1:7">
      <c r="A16343" t="s">
        <v>1876</v>
      </c>
      <c r="B16343" t="s">
        <v>400</v>
      </c>
      <c r="C16343" t="s">
        <v>316</v>
      </c>
      <c r="D16343">
        <v>468.1</v>
      </c>
      <c r="E16343">
        <v>467.9</v>
      </c>
      <c r="F16343">
        <v>471</v>
      </c>
      <c r="G16343">
        <v>472.7</v>
      </c>
    </row>
    <row r="16344" spans="1:7">
      <c r="A16344" t="s">
        <v>1876</v>
      </c>
      <c r="B16344" t="s">
        <v>400</v>
      </c>
      <c r="C16344" t="s">
        <v>317</v>
      </c>
      <c r="D16344">
        <v>835905</v>
      </c>
      <c r="E16344">
        <v>830067</v>
      </c>
      <c r="F16344">
        <v>833617</v>
      </c>
      <c r="G16344">
        <v>835432</v>
      </c>
    </row>
    <row r="16345" spans="1:7">
      <c r="A16345" t="s">
        <v>1876</v>
      </c>
      <c r="B16345" t="s">
        <v>400</v>
      </c>
      <c r="C16345" t="s">
        <v>318</v>
      </c>
      <c r="D16345">
        <v>196280</v>
      </c>
      <c r="E16345">
        <v>192606</v>
      </c>
      <c r="F16345">
        <v>198257</v>
      </c>
      <c r="G16345">
        <v>180032</v>
      </c>
    </row>
    <row r="16346" spans="1:7">
      <c r="A16346" t="s">
        <v>1876</v>
      </c>
      <c r="B16346" t="s">
        <v>400</v>
      </c>
      <c r="C16346" t="s">
        <v>319</v>
      </c>
      <c r="D16346">
        <v>55121</v>
      </c>
      <c r="E16346">
        <v>57055</v>
      </c>
      <c r="F16346">
        <v>54235</v>
      </c>
      <c r="G16346">
        <v>54710</v>
      </c>
    </row>
    <row r="16347" spans="1:7">
      <c r="A16347" t="s">
        <v>1876</v>
      </c>
      <c r="B16347" t="s">
        <v>400</v>
      </c>
      <c r="C16347" t="s">
        <v>320</v>
      </c>
      <c r="D16347">
        <v>294843</v>
      </c>
      <c r="E16347">
        <v>280218</v>
      </c>
      <c r="F16347">
        <v>294544</v>
      </c>
      <c r="G16347">
        <v>307350</v>
      </c>
    </row>
    <row r="16348" spans="1:7">
      <c r="A16348" t="s">
        <v>1876</v>
      </c>
      <c r="B16348" t="s">
        <v>400</v>
      </c>
      <c r="C16348" t="s">
        <v>321</v>
      </c>
      <c r="D16348">
        <v>72786</v>
      </c>
      <c r="E16348">
        <v>75729</v>
      </c>
      <c r="F16348">
        <v>67735</v>
      </c>
      <c r="G16348">
        <v>68149</v>
      </c>
    </row>
    <row r="16349" spans="1:7">
      <c r="A16349" t="s">
        <v>1876</v>
      </c>
      <c r="B16349" t="s">
        <v>400</v>
      </c>
      <c r="C16349" t="s">
        <v>1954</v>
      </c>
      <c r="D16349">
        <v>619029</v>
      </c>
      <c r="E16349">
        <v>605607</v>
      </c>
      <c r="F16349">
        <v>614771</v>
      </c>
      <c r="G16349">
        <v>610241</v>
      </c>
    </row>
    <row r="16350" spans="1:7">
      <c r="A16350" t="s">
        <v>1876</v>
      </c>
      <c r="B16350" t="s">
        <v>400</v>
      </c>
      <c r="C16350" t="s">
        <v>323</v>
      </c>
      <c r="D16350">
        <v>1786</v>
      </c>
      <c r="E16350">
        <v>1774</v>
      </c>
      <c r="F16350">
        <v>1770</v>
      </c>
      <c r="G16350">
        <v>1767</v>
      </c>
    </row>
    <row r="16351" spans="1:7">
      <c r="A16351" t="s">
        <v>1876</v>
      </c>
      <c r="B16351" t="s">
        <v>400</v>
      </c>
      <c r="C16351" t="s">
        <v>324</v>
      </c>
      <c r="D16351">
        <v>63</v>
      </c>
      <c r="E16351">
        <v>0</v>
      </c>
      <c r="F16351">
        <v>0</v>
      </c>
      <c r="G16351">
        <v>0</v>
      </c>
    </row>
    <row r="16352" spans="1:7">
      <c r="A16352" t="s">
        <v>1876</v>
      </c>
      <c r="B16352" t="s">
        <v>400</v>
      </c>
      <c r="C16352" t="s">
        <v>325</v>
      </c>
      <c r="D16352">
        <v>0</v>
      </c>
      <c r="E16352">
        <v>0</v>
      </c>
      <c r="F16352">
        <v>0</v>
      </c>
      <c r="G16352">
        <v>0</v>
      </c>
    </row>
    <row r="16353" spans="1:7">
      <c r="A16353" t="s">
        <v>1876</v>
      </c>
      <c r="B16353" t="s">
        <v>400</v>
      </c>
      <c r="C16353" t="s">
        <v>326</v>
      </c>
      <c r="D16353">
        <v>889</v>
      </c>
      <c r="E16353">
        <v>889</v>
      </c>
      <c r="F16353">
        <v>889</v>
      </c>
      <c r="G16353">
        <v>889</v>
      </c>
    </row>
    <row r="16354" spans="1:7">
      <c r="A16354" t="s">
        <v>1876</v>
      </c>
      <c r="B16354" t="s">
        <v>400</v>
      </c>
      <c r="C16354" t="s">
        <v>327</v>
      </c>
      <c r="D16354">
        <v>0</v>
      </c>
      <c r="E16354">
        <v>0</v>
      </c>
      <c r="F16354">
        <v>0</v>
      </c>
      <c r="G16354">
        <v>0</v>
      </c>
    </row>
    <row r="16355" spans="1:7">
      <c r="A16355" t="s">
        <v>1876</v>
      </c>
      <c r="B16355" t="s">
        <v>400</v>
      </c>
      <c r="C16355" t="s">
        <v>1723</v>
      </c>
      <c r="D16355">
        <v>0</v>
      </c>
      <c r="E16355">
        <v>0</v>
      </c>
      <c r="F16355">
        <v>0</v>
      </c>
      <c r="G16355">
        <v>0</v>
      </c>
    </row>
    <row r="16356" spans="1:7">
      <c r="A16356" t="s">
        <v>1876</v>
      </c>
      <c r="B16356" t="s">
        <v>400</v>
      </c>
      <c r="C16356" t="s">
        <v>328</v>
      </c>
      <c r="D16356">
        <v>911</v>
      </c>
      <c r="E16356">
        <v>1261</v>
      </c>
      <c r="F16356">
        <v>1261</v>
      </c>
      <c r="G16356">
        <v>1261</v>
      </c>
    </row>
    <row r="16357" spans="1:7">
      <c r="A16357" t="s">
        <v>1876</v>
      </c>
      <c r="B16357" t="s">
        <v>400</v>
      </c>
      <c r="C16357" t="s">
        <v>329</v>
      </c>
      <c r="D16357">
        <v>4620</v>
      </c>
      <c r="E16357">
        <v>5821</v>
      </c>
      <c r="F16357">
        <v>4948</v>
      </c>
      <c r="G16357">
        <v>4639</v>
      </c>
    </row>
    <row r="16358" spans="1:7">
      <c r="A16358" t="s">
        <v>1876</v>
      </c>
      <c r="B16358" t="s">
        <v>400</v>
      </c>
      <c r="C16358" t="s">
        <v>330</v>
      </c>
      <c r="D16358">
        <v>6420</v>
      </c>
      <c r="E16358">
        <v>7971</v>
      </c>
      <c r="F16358">
        <v>7099</v>
      </c>
      <c r="G16358">
        <v>6789</v>
      </c>
    </row>
    <row r="16359" spans="1:7">
      <c r="A16359" t="s">
        <v>1876</v>
      </c>
      <c r="B16359" t="s">
        <v>400</v>
      </c>
      <c r="C16359" t="s">
        <v>331</v>
      </c>
      <c r="D16359">
        <v>0</v>
      </c>
      <c r="E16359">
        <v>0</v>
      </c>
      <c r="F16359">
        <v>0</v>
      </c>
      <c r="G16359">
        <v>0</v>
      </c>
    </row>
    <row r="16360" spans="1:7">
      <c r="A16360" t="s">
        <v>1876</v>
      </c>
      <c r="B16360" t="s">
        <v>400</v>
      </c>
      <c r="C16360" t="s">
        <v>332</v>
      </c>
      <c r="D16360">
        <v>45</v>
      </c>
      <c r="E16360">
        <v>43</v>
      </c>
      <c r="F16360">
        <v>41</v>
      </c>
      <c r="G16360">
        <v>33</v>
      </c>
    </row>
    <row r="16361" spans="1:7">
      <c r="A16361" t="s">
        <v>1876</v>
      </c>
      <c r="B16361" t="s">
        <v>400</v>
      </c>
      <c r="C16361" t="s">
        <v>1724</v>
      </c>
      <c r="D16361">
        <v>3</v>
      </c>
      <c r="E16361">
        <v>3</v>
      </c>
      <c r="F16361">
        <v>3</v>
      </c>
      <c r="G16361">
        <v>3</v>
      </c>
    </row>
    <row r="16362" spans="1:7">
      <c r="A16362" t="s">
        <v>1876</v>
      </c>
      <c r="B16362" t="s">
        <v>400</v>
      </c>
      <c r="C16362" t="s">
        <v>333</v>
      </c>
      <c r="D16362">
        <v>268</v>
      </c>
      <c r="E16362">
        <v>172</v>
      </c>
      <c r="F16362">
        <v>171</v>
      </c>
      <c r="G16362">
        <v>154</v>
      </c>
    </row>
    <row r="16363" spans="1:7">
      <c r="A16363" t="s">
        <v>1876</v>
      </c>
      <c r="B16363" t="s">
        <v>400</v>
      </c>
      <c r="C16363" t="s">
        <v>334</v>
      </c>
      <c r="D16363">
        <v>313</v>
      </c>
      <c r="E16363">
        <v>215</v>
      </c>
      <c r="F16363">
        <v>211</v>
      </c>
      <c r="G16363">
        <v>187</v>
      </c>
    </row>
    <row r="16364" spans="1:7">
      <c r="A16364" t="s">
        <v>1876</v>
      </c>
      <c r="B16364" t="s">
        <v>400</v>
      </c>
      <c r="C16364" t="s">
        <v>335</v>
      </c>
      <c r="D16364">
        <v>889</v>
      </c>
      <c r="E16364">
        <v>889</v>
      </c>
      <c r="F16364">
        <v>889</v>
      </c>
      <c r="G16364">
        <v>889</v>
      </c>
    </row>
    <row r="16365" spans="1:7">
      <c r="A16365" t="s">
        <v>1876</v>
      </c>
      <c r="B16365" t="s">
        <v>400</v>
      </c>
      <c r="C16365" t="s">
        <v>336</v>
      </c>
      <c r="D16365">
        <v>45</v>
      </c>
      <c r="E16365">
        <v>43</v>
      </c>
      <c r="F16365">
        <v>41</v>
      </c>
      <c r="G16365">
        <v>33</v>
      </c>
    </row>
    <row r="16366" spans="1:7">
      <c r="A16366" t="s">
        <v>1876</v>
      </c>
      <c r="B16366" t="s">
        <v>400</v>
      </c>
      <c r="C16366" t="s">
        <v>337</v>
      </c>
      <c r="D16366">
        <v>1179</v>
      </c>
      <c r="E16366">
        <v>1433</v>
      </c>
      <c r="F16366">
        <v>1432</v>
      </c>
      <c r="G16366">
        <v>1415</v>
      </c>
    </row>
    <row r="16367" spans="1:7">
      <c r="A16367" t="s">
        <v>1876</v>
      </c>
      <c r="B16367" t="s">
        <v>400</v>
      </c>
      <c r="C16367" t="s">
        <v>338</v>
      </c>
      <c r="D16367">
        <v>6733</v>
      </c>
      <c r="E16367">
        <v>8186</v>
      </c>
      <c r="F16367">
        <v>7310</v>
      </c>
      <c r="G16367">
        <v>6976</v>
      </c>
    </row>
    <row r="16368" spans="1:7">
      <c r="A16368" t="s">
        <v>1876</v>
      </c>
      <c r="B16368" t="s">
        <v>400</v>
      </c>
      <c r="C16368" t="s">
        <v>339</v>
      </c>
      <c r="D16368">
        <v>6688</v>
      </c>
      <c r="E16368">
        <v>8143</v>
      </c>
      <c r="F16368">
        <v>7269</v>
      </c>
      <c r="G16368">
        <v>6943</v>
      </c>
    </row>
    <row r="16369" spans="1:7">
      <c r="A16369" t="s">
        <v>1876</v>
      </c>
      <c r="B16369" t="s">
        <v>400</v>
      </c>
      <c r="C16369" t="s">
        <v>340</v>
      </c>
      <c r="D16369">
        <v>0</v>
      </c>
      <c r="E16369">
        <v>0</v>
      </c>
      <c r="F16369">
        <v>0</v>
      </c>
      <c r="G16369">
        <v>0</v>
      </c>
    </row>
    <row r="16370" spans="1:7">
      <c r="A16370" t="s">
        <v>1876</v>
      </c>
      <c r="B16370" t="s">
        <v>400</v>
      </c>
      <c r="C16370" t="s">
        <v>1955</v>
      </c>
      <c r="D16370">
        <v>25</v>
      </c>
      <c r="E16370">
        <v>27</v>
      </c>
      <c r="F16370">
        <v>27.9</v>
      </c>
      <c r="G16370">
        <v>26.7</v>
      </c>
    </row>
    <row r="16371" spans="1:7">
      <c r="A16371" t="s">
        <v>1876</v>
      </c>
      <c r="B16371" t="s">
        <v>400</v>
      </c>
      <c r="C16371" t="s">
        <v>341</v>
      </c>
      <c r="D16371">
        <v>0</v>
      </c>
      <c r="E16371">
        <v>0</v>
      </c>
      <c r="F16371">
        <v>0</v>
      </c>
      <c r="G16371">
        <v>0</v>
      </c>
    </row>
    <row r="16372" spans="1:7">
      <c r="A16372" t="s">
        <v>1876</v>
      </c>
      <c r="B16372" t="s">
        <v>400</v>
      </c>
      <c r="C16372" t="s">
        <v>342</v>
      </c>
      <c r="D16372">
        <v>5542</v>
      </c>
      <c r="E16372">
        <v>6848</v>
      </c>
      <c r="F16372">
        <v>7129</v>
      </c>
      <c r="G16372">
        <v>6834</v>
      </c>
    </row>
    <row r="16373" spans="1:7">
      <c r="A16373" t="s">
        <v>1876</v>
      </c>
      <c r="B16373" t="s">
        <v>400</v>
      </c>
      <c r="C16373" t="s">
        <v>1725</v>
      </c>
      <c r="D16373">
        <v>741</v>
      </c>
      <c r="E16373">
        <v>855</v>
      </c>
      <c r="F16373">
        <v>855</v>
      </c>
      <c r="G16373">
        <v>855</v>
      </c>
    </row>
    <row r="16374" spans="1:7">
      <c r="A16374" t="s">
        <v>1876</v>
      </c>
      <c r="B16374" t="s">
        <v>400</v>
      </c>
      <c r="C16374" t="s">
        <v>343</v>
      </c>
      <c r="D16374">
        <v>0</v>
      </c>
      <c r="E16374">
        <v>0</v>
      </c>
      <c r="F16374">
        <v>0</v>
      </c>
      <c r="G16374">
        <v>0</v>
      </c>
    </row>
    <row r="16375" spans="1:7">
      <c r="A16375" t="s">
        <v>1876</v>
      </c>
      <c r="B16375" t="s">
        <v>400</v>
      </c>
      <c r="C16375" t="s">
        <v>344</v>
      </c>
      <c r="D16375">
        <v>5542</v>
      </c>
      <c r="E16375">
        <v>6848</v>
      </c>
      <c r="F16375">
        <v>7129</v>
      </c>
      <c r="G16375">
        <v>6834</v>
      </c>
    </row>
    <row r="16376" spans="1:7">
      <c r="A16376" t="s">
        <v>1876</v>
      </c>
      <c r="B16376" t="s">
        <v>400</v>
      </c>
      <c r="C16376" t="s">
        <v>345</v>
      </c>
      <c r="D16376">
        <v>0</v>
      </c>
      <c r="E16376">
        <v>0</v>
      </c>
      <c r="F16376">
        <v>0</v>
      </c>
      <c r="G16376">
        <v>0</v>
      </c>
    </row>
    <row r="16377" spans="1:7">
      <c r="A16377" t="s">
        <v>1876</v>
      </c>
      <c r="B16377" t="s">
        <v>400</v>
      </c>
      <c r="C16377" t="s">
        <v>1956</v>
      </c>
      <c r="D16377">
        <v>45</v>
      </c>
      <c r="E16377">
        <v>43</v>
      </c>
      <c r="F16377">
        <v>41</v>
      </c>
      <c r="G16377">
        <v>33</v>
      </c>
    </row>
    <row r="16378" spans="1:7">
      <c r="A16378" t="s">
        <v>1876</v>
      </c>
      <c r="B16378" t="s">
        <v>400</v>
      </c>
      <c r="C16378" t="s">
        <v>1957</v>
      </c>
      <c r="D16378">
        <v>313</v>
      </c>
      <c r="E16378">
        <v>215</v>
      </c>
      <c r="F16378">
        <v>211</v>
      </c>
      <c r="G16378">
        <v>187</v>
      </c>
    </row>
    <row r="16379" spans="1:7">
      <c r="A16379" t="s">
        <v>1876</v>
      </c>
      <c r="B16379" t="s">
        <v>400</v>
      </c>
      <c r="C16379" t="s">
        <v>346</v>
      </c>
      <c r="D16379">
        <v>880</v>
      </c>
      <c r="E16379">
        <v>815</v>
      </c>
      <c r="F16379">
        <v>693</v>
      </c>
      <c r="G16379">
        <v>1002</v>
      </c>
    </row>
    <row r="16380" spans="1:7">
      <c r="A16380" t="s">
        <v>1876</v>
      </c>
      <c r="B16380" t="s">
        <v>400</v>
      </c>
      <c r="C16380" t="s">
        <v>347</v>
      </c>
      <c r="D16380">
        <v>4759</v>
      </c>
      <c r="E16380">
        <v>5190</v>
      </c>
      <c r="F16380">
        <v>4481</v>
      </c>
      <c r="G16380">
        <v>4306</v>
      </c>
    </row>
    <row r="16381" spans="1:7">
      <c r="A16381" t="s">
        <v>1876</v>
      </c>
      <c r="B16381" t="s">
        <v>401</v>
      </c>
      <c r="C16381" t="s">
        <v>133</v>
      </c>
      <c r="D16381">
        <v>-6</v>
      </c>
      <c r="E16381">
        <v>-5</v>
      </c>
      <c r="F16381">
        <v>-5</v>
      </c>
      <c r="G16381">
        <v>-7</v>
      </c>
    </row>
    <row r="16382" spans="1:7">
      <c r="A16382" t="s">
        <v>1876</v>
      </c>
      <c r="B16382" t="s">
        <v>401</v>
      </c>
      <c r="C16382" t="s">
        <v>134</v>
      </c>
      <c r="D16382">
        <v>5846</v>
      </c>
      <c r="E16382">
        <v>5656</v>
      </c>
      <c r="F16382">
        <v>5144</v>
      </c>
      <c r="G16382">
        <v>5474</v>
      </c>
    </row>
    <row r="16383" spans="1:7">
      <c r="A16383" t="s">
        <v>1876</v>
      </c>
      <c r="B16383" t="s">
        <v>401</v>
      </c>
      <c r="C16383" t="s">
        <v>135</v>
      </c>
      <c r="D16383">
        <v>5846</v>
      </c>
      <c r="E16383">
        <v>5656</v>
      </c>
      <c r="F16383">
        <v>5144</v>
      </c>
      <c r="G16383">
        <v>5474</v>
      </c>
    </row>
    <row r="16384" spans="1:7">
      <c r="A16384" t="s">
        <v>1876</v>
      </c>
      <c r="B16384" t="s">
        <v>401</v>
      </c>
      <c r="C16384" t="s">
        <v>136</v>
      </c>
      <c r="D16384">
        <v>5846</v>
      </c>
      <c r="E16384">
        <v>5656</v>
      </c>
      <c r="F16384">
        <v>5144</v>
      </c>
      <c r="G16384">
        <v>5474</v>
      </c>
    </row>
    <row r="16385" spans="1:7">
      <c r="A16385" t="s">
        <v>1876</v>
      </c>
      <c r="B16385" t="s">
        <v>401</v>
      </c>
      <c r="C16385" t="s">
        <v>137</v>
      </c>
      <c r="D16385">
        <v>107</v>
      </c>
      <c r="E16385">
        <v>111</v>
      </c>
      <c r="F16385">
        <v>105</v>
      </c>
      <c r="G16385">
        <v>113</v>
      </c>
    </row>
    <row r="16386" spans="1:7">
      <c r="A16386" t="s">
        <v>1876</v>
      </c>
      <c r="B16386" t="s">
        <v>401</v>
      </c>
      <c r="C16386" t="s">
        <v>138</v>
      </c>
      <c r="D16386">
        <v>107</v>
      </c>
      <c r="E16386">
        <v>111</v>
      </c>
      <c r="F16386">
        <v>105</v>
      </c>
      <c r="G16386">
        <v>113</v>
      </c>
    </row>
    <row r="16387" spans="1:7">
      <c r="A16387" t="s">
        <v>1876</v>
      </c>
      <c r="B16387" t="s">
        <v>401</v>
      </c>
      <c r="C16387" t="s">
        <v>139</v>
      </c>
      <c r="D16387">
        <v>107</v>
      </c>
      <c r="E16387">
        <v>111</v>
      </c>
      <c r="F16387">
        <v>105</v>
      </c>
      <c r="G16387">
        <v>113</v>
      </c>
    </row>
    <row r="16388" spans="1:7">
      <c r="A16388" t="s">
        <v>1876</v>
      </c>
      <c r="B16388" t="s">
        <v>401</v>
      </c>
      <c r="C16388" t="s">
        <v>1877</v>
      </c>
      <c r="D16388">
        <v>0</v>
      </c>
      <c r="E16388">
        <v>0</v>
      </c>
      <c r="F16388">
        <v>0</v>
      </c>
      <c r="G16388">
        <v>0</v>
      </c>
    </row>
    <row r="16389" spans="1:7">
      <c r="A16389" t="s">
        <v>1876</v>
      </c>
      <c r="B16389" t="s">
        <v>401</v>
      </c>
      <c r="C16389" t="s">
        <v>1700</v>
      </c>
      <c r="D16389">
        <v>0</v>
      </c>
      <c r="E16389">
        <v>0</v>
      </c>
      <c r="F16389">
        <v>0</v>
      </c>
      <c r="G16389">
        <v>0</v>
      </c>
    </row>
    <row r="16390" spans="1:7">
      <c r="A16390" t="s">
        <v>1876</v>
      </c>
      <c r="B16390" t="s">
        <v>401</v>
      </c>
      <c r="C16390" t="s">
        <v>1878</v>
      </c>
      <c r="D16390">
        <v>0</v>
      </c>
      <c r="E16390">
        <v>0</v>
      </c>
      <c r="F16390">
        <v>0</v>
      </c>
      <c r="G16390">
        <v>0</v>
      </c>
    </row>
    <row r="16391" spans="1:7">
      <c r="A16391" t="s">
        <v>1876</v>
      </c>
      <c r="B16391" t="s">
        <v>401</v>
      </c>
      <c r="C16391" t="s">
        <v>1879</v>
      </c>
      <c r="D16391">
        <v>0</v>
      </c>
      <c r="E16391">
        <v>0</v>
      </c>
      <c r="F16391">
        <v>0</v>
      </c>
      <c r="G16391">
        <v>0</v>
      </c>
    </row>
    <row r="16392" spans="1:7">
      <c r="A16392" t="s">
        <v>1876</v>
      </c>
      <c r="B16392" t="s">
        <v>401</v>
      </c>
      <c r="C16392" t="s">
        <v>1701</v>
      </c>
      <c r="D16392">
        <v>0</v>
      </c>
      <c r="E16392">
        <v>0</v>
      </c>
      <c r="F16392">
        <v>0</v>
      </c>
      <c r="G16392">
        <v>0</v>
      </c>
    </row>
    <row r="16393" spans="1:7">
      <c r="A16393" t="s">
        <v>1876</v>
      </c>
      <c r="B16393" t="s">
        <v>401</v>
      </c>
      <c r="C16393" t="s">
        <v>1880</v>
      </c>
      <c r="D16393">
        <v>208</v>
      </c>
      <c r="E16393">
        <v>129</v>
      </c>
      <c r="F16393">
        <v>134</v>
      </c>
      <c r="G16393">
        <v>48</v>
      </c>
    </row>
    <row r="16394" spans="1:7">
      <c r="A16394" t="s">
        <v>1876</v>
      </c>
      <c r="B16394" t="s">
        <v>401</v>
      </c>
      <c r="C16394" t="s">
        <v>140</v>
      </c>
      <c r="D16394">
        <v>488</v>
      </c>
      <c r="E16394">
        <v>313</v>
      </c>
      <c r="F16394">
        <v>363</v>
      </c>
      <c r="G16394">
        <v>138</v>
      </c>
    </row>
    <row r="16395" spans="1:7">
      <c r="A16395" t="s">
        <v>1876</v>
      </c>
      <c r="B16395" t="s">
        <v>401</v>
      </c>
      <c r="C16395" t="s">
        <v>1881</v>
      </c>
      <c r="D16395">
        <v>281</v>
      </c>
      <c r="E16395">
        <v>183</v>
      </c>
      <c r="F16395">
        <v>228</v>
      </c>
      <c r="G16395">
        <v>90</v>
      </c>
    </row>
    <row r="16396" spans="1:7">
      <c r="A16396" t="s">
        <v>1876</v>
      </c>
      <c r="B16396" t="s">
        <v>401</v>
      </c>
      <c r="C16396" t="s">
        <v>1882</v>
      </c>
      <c r="D16396">
        <v>0</v>
      </c>
      <c r="E16396">
        <v>0</v>
      </c>
      <c r="F16396">
        <v>0</v>
      </c>
      <c r="G16396">
        <v>0</v>
      </c>
    </row>
    <row r="16397" spans="1:7">
      <c r="A16397" t="s">
        <v>1876</v>
      </c>
      <c r="B16397" t="s">
        <v>401</v>
      </c>
      <c r="C16397" t="s">
        <v>1883</v>
      </c>
      <c r="D16397">
        <v>0</v>
      </c>
      <c r="E16397">
        <v>0</v>
      </c>
      <c r="F16397">
        <v>0</v>
      </c>
      <c r="G16397">
        <v>0</v>
      </c>
    </row>
    <row r="16398" spans="1:7">
      <c r="A16398" t="s">
        <v>1876</v>
      </c>
      <c r="B16398" t="s">
        <v>401</v>
      </c>
      <c r="C16398" t="s">
        <v>1884</v>
      </c>
      <c r="D16398">
        <v>0</v>
      </c>
      <c r="E16398">
        <v>0</v>
      </c>
      <c r="F16398">
        <v>0</v>
      </c>
      <c r="G16398">
        <v>0</v>
      </c>
    </row>
    <row r="16399" spans="1:7">
      <c r="A16399" t="s">
        <v>1876</v>
      </c>
      <c r="B16399" t="s">
        <v>401</v>
      </c>
      <c r="C16399" t="s">
        <v>1885</v>
      </c>
      <c r="D16399">
        <v>0</v>
      </c>
      <c r="E16399">
        <v>0</v>
      </c>
      <c r="F16399">
        <v>0</v>
      </c>
      <c r="G16399">
        <v>0</v>
      </c>
    </row>
    <row r="16400" spans="1:7">
      <c r="A16400" t="s">
        <v>1876</v>
      </c>
      <c r="B16400" t="s">
        <v>401</v>
      </c>
      <c r="C16400" t="s">
        <v>1886</v>
      </c>
      <c r="D16400">
        <v>0</v>
      </c>
      <c r="E16400">
        <v>0</v>
      </c>
      <c r="F16400">
        <v>0</v>
      </c>
      <c r="G16400">
        <v>0</v>
      </c>
    </row>
    <row r="16401" spans="1:7">
      <c r="A16401" t="s">
        <v>1876</v>
      </c>
      <c r="B16401" t="s">
        <v>401</v>
      </c>
      <c r="C16401" t="s">
        <v>141</v>
      </c>
      <c r="D16401">
        <v>0</v>
      </c>
      <c r="E16401">
        <v>0</v>
      </c>
      <c r="F16401">
        <v>0</v>
      </c>
      <c r="G16401">
        <v>0</v>
      </c>
    </row>
    <row r="16402" spans="1:7">
      <c r="A16402" t="s">
        <v>1876</v>
      </c>
      <c r="B16402" t="s">
        <v>401</v>
      </c>
      <c r="C16402" t="s">
        <v>1887</v>
      </c>
      <c r="D16402">
        <v>0</v>
      </c>
      <c r="E16402">
        <v>0</v>
      </c>
      <c r="F16402">
        <v>0</v>
      </c>
      <c r="G16402">
        <v>0</v>
      </c>
    </row>
    <row r="16403" spans="1:7">
      <c r="A16403" t="s">
        <v>1876</v>
      </c>
      <c r="B16403" t="s">
        <v>401</v>
      </c>
      <c r="C16403" t="s">
        <v>1888</v>
      </c>
      <c r="D16403">
        <v>0</v>
      </c>
      <c r="E16403">
        <v>0</v>
      </c>
      <c r="F16403">
        <v>0</v>
      </c>
      <c r="G16403">
        <v>0</v>
      </c>
    </row>
    <row r="16404" spans="1:7">
      <c r="A16404" t="s">
        <v>1876</v>
      </c>
      <c r="B16404" t="s">
        <v>401</v>
      </c>
      <c r="C16404" t="s">
        <v>1889</v>
      </c>
      <c r="D16404">
        <v>208</v>
      </c>
      <c r="E16404">
        <v>129</v>
      </c>
      <c r="F16404">
        <v>134</v>
      </c>
      <c r="G16404">
        <v>48</v>
      </c>
    </row>
    <row r="16405" spans="1:7">
      <c r="A16405" t="s">
        <v>1876</v>
      </c>
      <c r="B16405" t="s">
        <v>401</v>
      </c>
      <c r="C16405" t="s">
        <v>1890</v>
      </c>
      <c r="D16405">
        <v>0</v>
      </c>
      <c r="E16405">
        <v>0</v>
      </c>
      <c r="F16405">
        <v>0</v>
      </c>
      <c r="G16405">
        <v>0</v>
      </c>
    </row>
    <row r="16406" spans="1:7">
      <c r="A16406" t="s">
        <v>1876</v>
      </c>
      <c r="B16406" t="s">
        <v>401</v>
      </c>
      <c r="C16406" t="s">
        <v>1891</v>
      </c>
    </row>
    <row r="16407" spans="1:7">
      <c r="A16407" t="s">
        <v>1876</v>
      </c>
      <c r="B16407" t="s">
        <v>401</v>
      </c>
      <c r="C16407" t="s">
        <v>1892</v>
      </c>
      <c r="D16407">
        <v>281</v>
      </c>
      <c r="E16407">
        <v>183</v>
      </c>
      <c r="F16407">
        <v>228</v>
      </c>
      <c r="G16407">
        <v>90</v>
      </c>
    </row>
    <row r="16408" spans="1:7">
      <c r="A16408" t="s">
        <v>1876</v>
      </c>
      <c r="B16408" t="s">
        <v>401</v>
      </c>
      <c r="C16408" t="s">
        <v>142</v>
      </c>
      <c r="D16408">
        <v>488</v>
      </c>
      <c r="E16408">
        <v>313</v>
      </c>
      <c r="F16408">
        <v>363</v>
      </c>
      <c r="G16408">
        <v>138</v>
      </c>
    </row>
    <row r="16409" spans="1:7">
      <c r="A16409" t="s">
        <v>1876</v>
      </c>
      <c r="B16409" t="s">
        <v>401</v>
      </c>
      <c r="C16409" t="s">
        <v>1893</v>
      </c>
      <c r="D16409">
        <v>488</v>
      </c>
      <c r="E16409">
        <v>313</v>
      </c>
      <c r="F16409">
        <v>363</v>
      </c>
      <c r="G16409">
        <v>138</v>
      </c>
    </row>
    <row r="16410" spans="1:7">
      <c r="A16410" t="s">
        <v>1876</v>
      </c>
      <c r="B16410" t="s">
        <v>401</v>
      </c>
      <c r="C16410" t="s">
        <v>1894</v>
      </c>
      <c r="D16410">
        <v>281</v>
      </c>
      <c r="E16410">
        <v>183</v>
      </c>
      <c r="F16410">
        <v>228</v>
      </c>
      <c r="G16410">
        <v>90</v>
      </c>
    </row>
    <row r="16411" spans="1:7">
      <c r="A16411" t="s">
        <v>1876</v>
      </c>
      <c r="B16411" t="s">
        <v>401</v>
      </c>
      <c r="C16411" t="s">
        <v>143</v>
      </c>
      <c r="D16411">
        <v>0</v>
      </c>
      <c r="E16411">
        <v>0</v>
      </c>
      <c r="F16411">
        <v>0</v>
      </c>
      <c r="G16411">
        <v>0</v>
      </c>
    </row>
    <row r="16412" spans="1:7">
      <c r="A16412" t="s">
        <v>1876</v>
      </c>
      <c r="B16412" t="s">
        <v>401</v>
      </c>
      <c r="C16412" t="s">
        <v>144</v>
      </c>
      <c r="D16412">
        <v>3220</v>
      </c>
      <c r="E16412">
        <v>2786</v>
      </c>
      <c r="F16412">
        <v>2793</v>
      </c>
      <c r="G16412">
        <v>2717</v>
      </c>
    </row>
    <row r="16413" spans="1:7">
      <c r="A16413" t="s">
        <v>1876</v>
      </c>
      <c r="B16413" t="s">
        <v>401</v>
      </c>
      <c r="C16413" t="s">
        <v>1895</v>
      </c>
      <c r="D16413">
        <v>0</v>
      </c>
      <c r="E16413">
        <v>0</v>
      </c>
      <c r="F16413">
        <v>0</v>
      </c>
      <c r="G16413">
        <v>0</v>
      </c>
    </row>
    <row r="16414" spans="1:7">
      <c r="A16414" t="s">
        <v>1876</v>
      </c>
      <c r="B16414" t="s">
        <v>401</v>
      </c>
      <c r="C16414" t="s">
        <v>145</v>
      </c>
      <c r="D16414">
        <v>4876</v>
      </c>
      <c r="E16414">
        <v>4829</v>
      </c>
      <c r="F16414">
        <v>4588</v>
      </c>
      <c r="G16414">
        <v>4424</v>
      </c>
    </row>
    <row r="16415" spans="1:7">
      <c r="A16415" t="s">
        <v>1876</v>
      </c>
      <c r="B16415" t="s">
        <v>401</v>
      </c>
      <c r="C16415" t="s">
        <v>146</v>
      </c>
      <c r="D16415">
        <v>0</v>
      </c>
      <c r="E16415">
        <v>0</v>
      </c>
      <c r="F16415">
        <v>0</v>
      </c>
      <c r="G16415">
        <v>0</v>
      </c>
    </row>
    <row r="16416" spans="1:7">
      <c r="A16416" t="s">
        <v>1876</v>
      </c>
      <c r="B16416" t="s">
        <v>401</v>
      </c>
      <c r="C16416" t="s">
        <v>147</v>
      </c>
      <c r="D16416">
        <v>0</v>
      </c>
      <c r="E16416">
        <v>0</v>
      </c>
      <c r="F16416">
        <v>0</v>
      </c>
      <c r="G16416">
        <v>0</v>
      </c>
    </row>
    <row r="16417" spans="1:7">
      <c r="A16417" t="s">
        <v>1876</v>
      </c>
      <c r="B16417" t="s">
        <v>401</v>
      </c>
      <c r="C16417" t="s">
        <v>1896</v>
      </c>
      <c r="D16417">
        <v>0</v>
      </c>
      <c r="E16417">
        <v>0</v>
      </c>
      <c r="F16417">
        <v>0</v>
      </c>
      <c r="G16417">
        <v>0</v>
      </c>
    </row>
    <row r="16418" spans="1:7">
      <c r="A16418" t="s">
        <v>1876</v>
      </c>
      <c r="B16418" t="s">
        <v>401</v>
      </c>
      <c r="C16418" t="s">
        <v>1702</v>
      </c>
      <c r="D16418">
        <v>0</v>
      </c>
      <c r="E16418">
        <v>0</v>
      </c>
      <c r="F16418">
        <v>0</v>
      </c>
      <c r="G16418">
        <v>0</v>
      </c>
    </row>
    <row r="16419" spans="1:7">
      <c r="A16419" t="s">
        <v>1876</v>
      </c>
      <c r="B16419" t="s">
        <v>401</v>
      </c>
      <c r="C16419" t="s">
        <v>1897</v>
      </c>
      <c r="D16419">
        <v>0.5</v>
      </c>
      <c r="E16419">
        <v>0.7</v>
      </c>
      <c r="F16419">
        <v>1.1000000000000001</v>
      </c>
      <c r="G16419">
        <v>1.4</v>
      </c>
    </row>
    <row r="16420" spans="1:7">
      <c r="A16420" t="s">
        <v>1876</v>
      </c>
      <c r="B16420" t="s">
        <v>401</v>
      </c>
      <c r="C16420" t="s">
        <v>1898</v>
      </c>
      <c r="D16420">
        <v>1</v>
      </c>
      <c r="E16420">
        <v>1</v>
      </c>
      <c r="F16420">
        <v>4</v>
      </c>
      <c r="G16420">
        <v>5</v>
      </c>
    </row>
    <row r="16421" spans="1:7">
      <c r="A16421" t="s">
        <v>1876</v>
      </c>
      <c r="B16421" t="s">
        <v>401</v>
      </c>
      <c r="C16421" t="s">
        <v>1899</v>
      </c>
      <c r="D16421">
        <v>281</v>
      </c>
      <c r="E16421">
        <v>183</v>
      </c>
      <c r="F16421">
        <v>228</v>
      </c>
      <c r="G16421">
        <v>90</v>
      </c>
    </row>
    <row r="16422" spans="1:7">
      <c r="A16422" t="s">
        <v>1876</v>
      </c>
      <c r="B16422" t="s">
        <v>401</v>
      </c>
      <c r="C16422" t="s">
        <v>148</v>
      </c>
      <c r="D16422">
        <v>0</v>
      </c>
      <c r="E16422">
        <v>0</v>
      </c>
      <c r="F16422">
        <v>0</v>
      </c>
      <c r="G16422">
        <v>0</v>
      </c>
    </row>
    <row r="16423" spans="1:7">
      <c r="A16423" t="s">
        <v>1876</v>
      </c>
      <c r="B16423" t="s">
        <v>401</v>
      </c>
      <c r="C16423" t="s">
        <v>149</v>
      </c>
      <c r="D16423">
        <v>0</v>
      </c>
      <c r="E16423">
        <v>0</v>
      </c>
      <c r="F16423">
        <v>0</v>
      </c>
      <c r="G16423">
        <v>0</v>
      </c>
    </row>
    <row r="16424" spans="1:7">
      <c r="A16424" t="s">
        <v>1876</v>
      </c>
      <c r="B16424" t="s">
        <v>401</v>
      </c>
      <c r="C16424" t="s">
        <v>150</v>
      </c>
      <c r="D16424">
        <v>0</v>
      </c>
      <c r="E16424">
        <v>0</v>
      </c>
      <c r="F16424">
        <v>0</v>
      </c>
      <c r="G16424">
        <v>0</v>
      </c>
    </row>
    <row r="16425" spans="1:7">
      <c r="A16425" t="s">
        <v>1876</v>
      </c>
      <c r="B16425" t="s">
        <v>401</v>
      </c>
      <c r="C16425" t="s">
        <v>1900</v>
      </c>
      <c r="D16425">
        <v>60.7</v>
      </c>
      <c r="E16425">
        <v>63.5</v>
      </c>
      <c r="F16425">
        <v>58.4</v>
      </c>
      <c r="G16425">
        <v>55.6</v>
      </c>
    </row>
    <row r="16426" spans="1:7">
      <c r="A16426" t="s">
        <v>1876</v>
      </c>
      <c r="B16426" t="s">
        <v>401</v>
      </c>
      <c r="C16426" t="s">
        <v>151</v>
      </c>
      <c r="D16426">
        <v>129</v>
      </c>
      <c r="E16426">
        <v>200</v>
      </c>
      <c r="F16426">
        <v>16</v>
      </c>
      <c r="G16426">
        <v>97</v>
      </c>
    </row>
    <row r="16427" spans="1:7">
      <c r="A16427" t="s">
        <v>1876</v>
      </c>
      <c r="B16427" t="s">
        <v>401</v>
      </c>
      <c r="C16427" t="s">
        <v>152</v>
      </c>
      <c r="D16427">
        <v>350643</v>
      </c>
      <c r="E16427">
        <v>362817</v>
      </c>
      <c r="F16427">
        <v>342325</v>
      </c>
      <c r="G16427">
        <v>274867</v>
      </c>
    </row>
    <row r="16428" spans="1:7">
      <c r="A16428" t="s">
        <v>1876</v>
      </c>
      <c r="B16428" t="s">
        <v>401</v>
      </c>
      <c r="C16428" t="s">
        <v>1703</v>
      </c>
      <c r="D16428">
        <v>6069</v>
      </c>
      <c r="E16428">
        <v>6069</v>
      </c>
      <c r="F16428">
        <v>6069</v>
      </c>
      <c r="G16428">
        <v>4999</v>
      </c>
    </row>
    <row r="16429" spans="1:7">
      <c r="A16429" t="s">
        <v>1876</v>
      </c>
      <c r="B16429" t="s">
        <v>401</v>
      </c>
      <c r="C16429" t="s">
        <v>153</v>
      </c>
      <c r="D16429">
        <v>26199</v>
      </c>
      <c r="E16429">
        <v>27285</v>
      </c>
      <c r="F16429">
        <v>23757</v>
      </c>
      <c r="G16429">
        <v>22301</v>
      </c>
    </row>
    <row r="16430" spans="1:7">
      <c r="A16430" t="s">
        <v>1876</v>
      </c>
      <c r="B16430" t="s">
        <v>401</v>
      </c>
      <c r="C16430" t="s">
        <v>154</v>
      </c>
      <c r="D16430">
        <v>0</v>
      </c>
      <c r="E16430">
        <v>0</v>
      </c>
      <c r="F16430">
        <v>0</v>
      </c>
      <c r="G16430">
        <v>0</v>
      </c>
    </row>
    <row r="16431" spans="1:7">
      <c r="A16431" t="s">
        <v>1876</v>
      </c>
      <c r="B16431" t="s">
        <v>401</v>
      </c>
      <c r="C16431" t="s">
        <v>155</v>
      </c>
      <c r="D16431">
        <v>26199</v>
      </c>
      <c r="E16431">
        <v>27285</v>
      </c>
      <c r="F16431">
        <v>23757</v>
      </c>
      <c r="G16431">
        <v>22301</v>
      </c>
    </row>
    <row r="16432" spans="1:7">
      <c r="A16432" t="s">
        <v>1876</v>
      </c>
      <c r="B16432" t="s">
        <v>401</v>
      </c>
      <c r="C16432" t="s">
        <v>156</v>
      </c>
      <c r="D16432">
        <v>0</v>
      </c>
      <c r="E16432">
        <v>0</v>
      </c>
      <c r="F16432">
        <v>0</v>
      </c>
      <c r="G16432">
        <v>0</v>
      </c>
    </row>
    <row r="16433" spans="1:7">
      <c r="A16433" t="s">
        <v>1876</v>
      </c>
      <c r="B16433" t="s">
        <v>401</v>
      </c>
      <c r="C16433" t="s">
        <v>157</v>
      </c>
      <c r="D16433">
        <v>376971</v>
      </c>
      <c r="E16433">
        <v>390303</v>
      </c>
      <c r="F16433">
        <v>366098</v>
      </c>
      <c r="G16433">
        <v>297265</v>
      </c>
    </row>
    <row r="16434" spans="1:7">
      <c r="A16434" t="s">
        <v>1876</v>
      </c>
      <c r="B16434" t="s">
        <v>401</v>
      </c>
      <c r="C16434" t="s">
        <v>158</v>
      </c>
      <c r="D16434">
        <v>26328</v>
      </c>
      <c r="E16434">
        <v>27485</v>
      </c>
      <c r="F16434">
        <v>23773</v>
      </c>
      <c r="G16434">
        <v>22398</v>
      </c>
    </row>
    <row r="16435" spans="1:7">
      <c r="A16435" t="s">
        <v>1876</v>
      </c>
      <c r="B16435" t="s">
        <v>401</v>
      </c>
      <c r="C16435" t="s">
        <v>159</v>
      </c>
      <c r="D16435">
        <v>0</v>
      </c>
      <c r="E16435">
        <v>0</v>
      </c>
      <c r="F16435">
        <v>0</v>
      </c>
      <c r="G16435">
        <v>0</v>
      </c>
    </row>
    <row r="16436" spans="1:7">
      <c r="A16436" t="s">
        <v>1876</v>
      </c>
      <c r="B16436" t="s">
        <v>401</v>
      </c>
      <c r="C16436" t="s">
        <v>1901</v>
      </c>
      <c r="D16436">
        <v>42.8</v>
      </c>
      <c r="E16436">
        <v>32.799999999999997</v>
      </c>
      <c r="F16436">
        <v>49.2</v>
      </c>
      <c r="G16436">
        <v>53.3</v>
      </c>
    </row>
    <row r="16437" spans="1:7">
      <c r="A16437" t="s">
        <v>1876</v>
      </c>
      <c r="B16437" t="s">
        <v>401</v>
      </c>
      <c r="C16437" t="s">
        <v>1902</v>
      </c>
      <c r="D16437">
        <v>54204</v>
      </c>
      <c r="E16437">
        <v>53875</v>
      </c>
      <c r="F16437">
        <v>52587</v>
      </c>
      <c r="G16437">
        <v>53054</v>
      </c>
    </row>
    <row r="16438" spans="1:7">
      <c r="A16438" t="s">
        <v>1876</v>
      </c>
      <c r="B16438" t="s">
        <v>401</v>
      </c>
      <c r="C16438" t="s">
        <v>1903</v>
      </c>
      <c r="D16438">
        <v>1618</v>
      </c>
      <c r="E16438">
        <v>1643</v>
      </c>
      <c r="F16438">
        <v>1758</v>
      </c>
      <c r="G16438">
        <v>1566</v>
      </c>
    </row>
    <row r="16439" spans="1:7">
      <c r="A16439" t="s">
        <v>1876</v>
      </c>
      <c r="B16439" t="s">
        <v>401</v>
      </c>
      <c r="C16439" t="s">
        <v>1904</v>
      </c>
      <c r="D16439">
        <v>618</v>
      </c>
      <c r="E16439">
        <v>507</v>
      </c>
      <c r="F16439">
        <v>433</v>
      </c>
      <c r="G16439">
        <v>443</v>
      </c>
    </row>
    <row r="16440" spans="1:7">
      <c r="A16440" t="s">
        <v>1876</v>
      </c>
      <c r="B16440" t="s">
        <v>401</v>
      </c>
      <c r="C16440" t="s">
        <v>1905</v>
      </c>
      <c r="D16440">
        <v>24636</v>
      </c>
      <c r="E16440">
        <v>24905</v>
      </c>
      <c r="F16440">
        <v>24307</v>
      </c>
      <c r="G16440">
        <v>23588</v>
      </c>
    </row>
    <row r="16441" spans="1:7">
      <c r="A16441" t="s">
        <v>1876</v>
      </c>
      <c r="B16441" t="s">
        <v>401</v>
      </c>
      <c r="C16441" t="s">
        <v>1906</v>
      </c>
      <c r="D16441">
        <v>128</v>
      </c>
      <c r="E16441">
        <v>131</v>
      </c>
      <c r="F16441">
        <v>141</v>
      </c>
      <c r="G16441">
        <v>122</v>
      </c>
    </row>
    <row r="16442" spans="1:7">
      <c r="A16442" t="s">
        <v>1876</v>
      </c>
      <c r="B16442" t="s">
        <v>401</v>
      </c>
      <c r="C16442" t="s">
        <v>1907</v>
      </c>
      <c r="D16442">
        <v>81204</v>
      </c>
      <c r="E16442">
        <v>81060</v>
      </c>
      <c r="F16442">
        <v>79227</v>
      </c>
      <c r="G16442">
        <v>78773</v>
      </c>
    </row>
    <row r="16443" spans="1:7">
      <c r="A16443" t="s">
        <v>1876</v>
      </c>
      <c r="B16443" t="s">
        <v>401</v>
      </c>
      <c r="C16443" t="s">
        <v>160</v>
      </c>
      <c r="D16443">
        <v>53924</v>
      </c>
      <c r="E16443">
        <v>53692</v>
      </c>
      <c r="F16443">
        <v>52359</v>
      </c>
      <c r="G16443">
        <v>52965</v>
      </c>
    </row>
    <row r="16444" spans="1:7">
      <c r="A16444" t="s">
        <v>1876</v>
      </c>
      <c r="B16444" t="s">
        <v>401</v>
      </c>
      <c r="C16444" t="s">
        <v>161</v>
      </c>
      <c r="D16444">
        <v>1618</v>
      </c>
      <c r="E16444">
        <v>1643</v>
      </c>
      <c r="F16444">
        <v>1758</v>
      </c>
      <c r="G16444">
        <v>1566</v>
      </c>
    </row>
    <row r="16445" spans="1:7">
      <c r="A16445" t="s">
        <v>1876</v>
      </c>
      <c r="B16445" t="s">
        <v>401</v>
      </c>
      <c r="C16445" t="s">
        <v>162</v>
      </c>
      <c r="D16445">
        <v>618</v>
      </c>
      <c r="E16445">
        <v>507</v>
      </c>
      <c r="F16445">
        <v>433</v>
      </c>
      <c r="G16445">
        <v>443</v>
      </c>
    </row>
    <row r="16446" spans="1:7">
      <c r="A16446" t="s">
        <v>1876</v>
      </c>
      <c r="B16446" t="s">
        <v>401</v>
      </c>
      <c r="C16446" t="s">
        <v>163</v>
      </c>
      <c r="D16446">
        <v>24636</v>
      </c>
      <c r="E16446">
        <v>24905</v>
      </c>
      <c r="F16446">
        <v>24307</v>
      </c>
      <c r="G16446">
        <v>23588</v>
      </c>
    </row>
    <row r="16447" spans="1:7">
      <c r="A16447" t="s">
        <v>1876</v>
      </c>
      <c r="B16447" t="s">
        <v>401</v>
      </c>
      <c r="C16447" t="s">
        <v>164</v>
      </c>
      <c r="D16447">
        <v>128</v>
      </c>
      <c r="E16447">
        <v>131</v>
      </c>
      <c r="F16447">
        <v>141</v>
      </c>
      <c r="G16447">
        <v>122</v>
      </c>
    </row>
    <row r="16448" spans="1:7">
      <c r="A16448" t="s">
        <v>1876</v>
      </c>
      <c r="B16448" t="s">
        <v>401</v>
      </c>
      <c r="C16448" t="s">
        <v>165</v>
      </c>
      <c r="D16448">
        <v>80924</v>
      </c>
      <c r="E16448">
        <v>80877</v>
      </c>
      <c r="F16448">
        <v>78999</v>
      </c>
      <c r="G16448">
        <v>78684</v>
      </c>
    </row>
    <row r="16449" spans="1:7">
      <c r="A16449" t="s">
        <v>1876</v>
      </c>
      <c r="B16449" t="s">
        <v>401</v>
      </c>
      <c r="C16449" t="s">
        <v>166</v>
      </c>
      <c r="D16449">
        <v>80305</v>
      </c>
      <c r="E16449">
        <v>80370</v>
      </c>
      <c r="F16449">
        <v>78565</v>
      </c>
      <c r="G16449">
        <v>78241</v>
      </c>
    </row>
    <row r="16450" spans="1:7">
      <c r="A16450" t="s">
        <v>1876</v>
      </c>
      <c r="B16450" t="s">
        <v>401</v>
      </c>
      <c r="C16450" t="s">
        <v>167</v>
      </c>
      <c r="D16450">
        <v>618</v>
      </c>
      <c r="E16450">
        <v>507</v>
      </c>
      <c r="F16450">
        <v>433</v>
      </c>
      <c r="G16450">
        <v>443</v>
      </c>
    </row>
    <row r="16451" spans="1:7">
      <c r="A16451" t="s">
        <v>1876</v>
      </c>
      <c r="B16451" t="s">
        <v>401</v>
      </c>
      <c r="C16451" t="s">
        <v>1908</v>
      </c>
      <c r="D16451">
        <v>53716</v>
      </c>
      <c r="E16451">
        <v>53562</v>
      </c>
      <c r="F16451">
        <v>52225</v>
      </c>
      <c r="G16451">
        <v>52916</v>
      </c>
    </row>
    <row r="16452" spans="1:7">
      <c r="A16452" t="s">
        <v>1876</v>
      </c>
      <c r="B16452" t="s">
        <v>401</v>
      </c>
      <c r="C16452" t="s">
        <v>1909</v>
      </c>
      <c r="D16452">
        <v>1618</v>
      </c>
      <c r="E16452">
        <v>1643</v>
      </c>
      <c r="F16452">
        <v>1758</v>
      </c>
      <c r="G16452">
        <v>1566</v>
      </c>
    </row>
    <row r="16453" spans="1:7">
      <c r="A16453" t="s">
        <v>1876</v>
      </c>
      <c r="B16453" t="s">
        <v>401</v>
      </c>
      <c r="C16453" t="s">
        <v>1910</v>
      </c>
      <c r="D16453">
        <v>618</v>
      </c>
      <c r="E16453">
        <v>507</v>
      </c>
      <c r="F16453">
        <v>433</v>
      </c>
      <c r="G16453">
        <v>443</v>
      </c>
    </row>
    <row r="16454" spans="1:7">
      <c r="A16454" t="s">
        <v>1876</v>
      </c>
      <c r="B16454" t="s">
        <v>401</v>
      </c>
      <c r="C16454" t="s">
        <v>1911</v>
      </c>
      <c r="D16454">
        <v>24636</v>
      </c>
      <c r="E16454">
        <v>24905</v>
      </c>
      <c r="F16454">
        <v>24307</v>
      </c>
      <c r="G16454">
        <v>23588</v>
      </c>
    </row>
    <row r="16455" spans="1:7">
      <c r="A16455" t="s">
        <v>1876</v>
      </c>
      <c r="B16455" t="s">
        <v>401</v>
      </c>
      <c r="C16455" t="s">
        <v>1912</v>
      </c>
      <c r="D16455">
        <v>128</v>
      </c>
      <c r="E16455">
        <v>131</v>
      </c>
      <c r="F16455">
        <v>141</v>
      </c>
      <c r="G16455">
        <v>122</v>
      </c>
    </row>
    <row r="16456" spans="1:7">
      <c r="A16456" t="s">
        <v>1876</v>
      </c>
      <c r="B16456" t="s">
        <v>401</v>
      </c>
      <c r="C16456" t="s">
        <v>168</v>
      </c>
      <c r="D16456">
        <v>80716</v>
      </c>
      <c r="E16456">
        <v>80747</v>
      </c>
      <c r="F16456">
        <v>78864</v>
      </c>
      <c r="G16456">
        <v>78635</v>
      </c>
    </row>
    <row r="16457" spans="1:7">
      <c r="A16457" t="s">
        <v>1876</v>
      </c>
      <c r="B16457" t="s">
        <v>401</v>
      </c>
      <c r="C16457" t="s">
        <v>169</v>
      </c>
      <c r="D16457">
        <v>0</v>
      </c>
      <c r="E16457">
        <v>0</v>
      </c>
      <c r="F16457">
        <v>0</v>
      </c>
      <c r="G16457">
        <v>0</v>
      </c>
    </row>
    <row r="16458" spans="1:7">
      <c r="A16458" t="s">
        <v>1876</v>
      </c>
      <c r="B16458" t="s">
        <v>401</v>
      </c>
      <c r="C16458" t="s">
        <v>1704</v>
      </c>
      <c r="D16458">
        <v>10096</v>
      </c>
      <c r="E16458">
        <v>10092</v>
      </c>
      <c r="F16458">
        <v>10192</v>
      </c>
      <c r="G16458">
        <v>10846</v>
      </c>
    </row>
    <row r="16459" spans="1:7">
      <c r="A16459" t="s">
        <v>1876</v>
      </c>
      <c r="B16459" t="s">
        <v>401</v>
      </c>
      <c r="C16459" t="s">
        <v>170</v>
      </c>
      <c r="D16459">
        <v>0</v>
      </c>
      <c r="E16459">
        <v>0</v>
      </c>
      <c r="F16459">
        <v>0</v>
      </c>
      <c r="G16459">
        <v>0</v>
      </c>
    </row>
    <row r="16460" spans="1:7">
      <c r="A16460" t="s">
        <v>1876</v>
      </c>
      <c r="B16460" t="s">
        <v>401</v>
      </c>
      <c r="C16460" t="s">
        <v>171</v>
      </c>
      <c r="D16460">
        <v>-241436</v>
      </c>
      <c r="E16460">
        <v>-256535</v>
      </c>
      <c r="F16460">
        <v>-230146</v>
      </c>
      <c r="G16460">
        <v>-198928</v>
      </c>
    </row>
    <row r="16461" spans="1:7">
      <c r="A16461" t="s">
        <v>1876</v>
      </c>
      <c r="B16461" t="s">
        <v>401</v>
      </c>
      <c r="C16461" t="s">
        <v>172</v>
      </c>
      <c r="D16461">
        <v>0</v>
      </c>
      <c r="E16461">
        <v>0</v>
      </c>
      <c r="F16461">
        <v>0</v>
      </c>
      <c r="G16461">
        <v>0</v>
      </c>
    </row>
    <row r="16462" spans="1:7">
      <c r="A16462" t="s">
        <v>1876</v>
      </c>
      <c r="B16462" t="s">
        <v>401</v>
      </c>
      <c r="C16462" t="s">
        <v>1913</v>
      </c>
      <c r="D16462">
        <v>0.9</v>
      </c>
      <c r="E16462">
        <v>1.2</v>
      </c>
      <c r="F16462">
        <v>1.8</v>
      </c>
      <c r="G16462">
        <v>2.4</v>
      </c>
    </row>
    <row r="16463" spans="1:7">
      <c r="A16463" t="s">
        <v>1876</v>
      </c>
      <c r="B16463" t="s">
        <v>401</v>
      </c>
      <c r="C16463" t="s">
        <v>1914</v>
      </c>
      <c r="D16463">
        <v>0.1</v>
      </c>
      <c r="E16463">
        <v>0.2</v>
      </c>
      <c r="F16463">
        <v>0.3</v>
      </c>
      <c r="G16463">
        <v>0.4</v>
      </c>
    </row>
    <row r="16464" spans="1:7">
      <c r="A16464" t="s">
        <v>1876</v>
      </c>
      <c r="B16464" t="s">
        <v>401</v>
      </c>
      <c r="C16464" t="s">
        <v>173</v>
      </c>
      <c r="D16464">
        <v>2615</v>
      </c>
      <c r="E16464">
        <v>2267</v>
      </c>
      <c r="F16464">
        <v>2325</v>
      </c>
      <c r="G16464">
        <v>2489</v>
      </c>
    </row>
    <row r="16465" spans="1:7">
      <c r="A16465" t="s">
        <v>1876</v>
      </c>
      <c r="B16465" t="s">
        <v>401</v>
      </c>
      <c r="C16465" t="s">
        <v>174</v>
      </c>
      <c r="D16465">
        <v>34</v>
      </c>
      <c r="E16465">
        <v>121</v>
      </c>
      <c r="F16465">
        <v>30</v>
      </c>
      <c r="G16465">
        <v>27</v>
      </c>
    </row>
    <row r="16466" spans="1:7">
      <c r="A16466" t="s">
        <v>1876</v>
      </c>
      <c r="B16466" t="s">
        <v>401</v>
      </c>
      <c r="C16466" t="s">
        <v>175</v>
      </c>
      <c r="D16466">
        <v>83</v>
      </c>
      <c r="E16466">
        <v>85</v>
      </c>
      <c r="F16466">
        <v>75</v>
      </c>
      <c r="G16466">
        <v>63</v>
      </c>
    </row>
    <row r="16467" spans="1:7">
      <c r="A16467" t="s">
        <v>1876</v>
      </c>
      <c r="B16467" t="s">
        <v>401</v>
      </c>
      <c r="C16467" t="s">
        <v>176</v>
      </c>
      <c r="D16467">
        <v>0</v>
      </c>
      <c r="E16467">
        <v>0</v>
      </c>
      <c r="F16467">
        <v>0</v>
      </c>
      <c r="G16467">
        <v>0</v>
      </c>
    </row>
    <row r="16468" spans="1:7">
      <c r="A16468" t="s">
        <v>1876</v>
      </c>
      <c r="B16468" t="s">
        <v>401</v>
      </c>
      <c r="C16468" t="s">
        <v>177</v>
      </c>
      <c r="D16468">
        <v>2732</v>
      </c>
      <c r="E16468">
        <v>2473</v>
      </c>
      <c r="F16468">
        <v>2431</v>
      </c>
      <c r="G16468">
        <v>2579</v>
      </c>
    </row>
    <row r="16469" spans="1:7">
      <c r="A16469" t="s">
        <v>1876</v>
      </c>
      <c r="B16469" t="s">
        <v>401</v>
      </c>
      <c r="C16469" t="s">
        <v>178</v>
      </c>
      <c r="D16469">
        <v>0</v>
      </c>
      <c r="E16469">
        <v>0</v>
      </c>
      <c r="F16469">
        <v>0</v>
      </c>
      <c r="G16469">
        <v>0</v>
      </c>
    </row>
    <row r="16470" spans="1:7">
      <c r="A16470" t="s">
        <v>1876</v>
      </c>
      <c r="B16470" t="s">
        <v>401</v>
      </c>
      <c r="C16470" t="s">
        <v>179</v>
      </c>
      <c r="D16470">
        <v>0</v>
      </c>
      <c r="E16470">
        <v>0</v>
      </c>
      <c r="F16470">
        <v>0</v>
      </c>
      <c r="G16470">
        <v>0</v>
      </c>
    </row>
    <row r="16471" spans="1:7">
      <c r="A16471" t="s">
        <v>1876</v>
      </c>
      <c r="B16471" t="s">
        <v>401</v>
      </c>
      <c r="C16471" t="s">
        <v>180</v>
      </c>
      <c r="D16471">
        <v>0</v>
      </c>
      <c r="E16471">
        <v>0</v>
      </c>
      <c r="F16471">
        <v>0</v>
      </c>
      <c r="G16471">
        <v>0</v>
      </c>
    </row>
    <row r="16472" spans="1:7">
      <c r="A16472" t="s">
        <v>1876</v>
      </c>
      <c r="B16472" t="s">
        <v>401</v>
      </c>
      <c r="C16472" t="s">
        <v>181</v>
      </c>
      <c r="D16472">
        <v>11749</v>
      </c>
      <c r="E16472">
        <v>12320</v>
      </c>
      <c r="F16472">
        <v>17217</v>
      </c>
      <c r="G16472">
        <v>17997</v>
      </c>
    </row>
    <row r="16473" spans="1:7">
      <c r="A16473" t="s">
        <v>1876</v>
      </c>
      <c r="B16473" t="s">
        <v>401</v>
      </c>
      <c r="C16473" t="s">
        <v>182</v>
      </c>
      <c r="D16473">
        <v>32223</v>
      </c>
      <c r="E16473">
        <v>33710</v>
      </c>
      <c r="F16473">
        <v>30013</v>
      </c>
      <c r="G16473">
        <v>30620</v>
      </c>
    </row>
    <row r="16474" spans="1:7">
      <c r="A16474" t="s">
        <v>1876</v>
      </c>
      <c r="B16474" t="s">
        <v>401</v>
      </c>
      <c r="C16474" t="s">
        <v>183</v>
      </c>
      <c r="D16474">
        <v>9886</v>
      </c>
      <c r="E16474">
        <v>10266</v>
      </c>
      <c r="F16474">
        <v>10058</v>
      </c>
      <c r="G16474">
        <v>10127</v>
      </c>
    </row>
    <row r="16475" spans="1:7">
      <c r="A16475" t="s">
        <v>1876</v>
      </c>
      <c r="B16475" t="s">
        <v>401</v>
      </c>
      <c r="C16475" t="s">
        <v>184</v>
      </c>
      <c r="D16475">
        <v>53857</v>
      </c>
      <c r="E16475">
        <v>56296</v>
      </c>
      <c r="F16475">
        <v>57288</v>
      </c>
      <c r="G16475">
        <v>58744</v>
      </c>
    </row>
    <row r="16476" spans="1:7">
      <c r="A16476" t="s">
        <v>1876</v>
      </c>
      <c r="B16476" t="s">
        <v>401</v>
      </c>
      <c r="C16476" t="s">
        <v>185</v>
      </c>
      <c r="D16476">
        <v>53857</v>
      </c>
      <c r="E16476">
        <v>56296</v>
      </c>
      <c r="F16476">
        <v>57288</v>
      </c>
      <c r="G16476">
        <v>58744</v>
      </c>
    </row>
    <row r="16477" spans="1:7">
      <c r="A16477" t="s">
        <v>1876</v>
      </c>
      <c r="B16477" t="s">
        <v>401</v>
      </c>
      <c r="C16477" t="s">
        <v>1915</v>
      </c>
      <c r="D16477">
        <v>2</v>
      </c>
      <c r="E16477">
        <v>3</v>
      </c>
      <c r="F16477">
        <v>6</v>
      </c>
      <c r="G16477">
        <v>8</v>
      </c>
    </row>
    <row r="16478" spans="1:7">
      <c r="A16478" t="s">
        <v>1876</v>
      </c>
      <c r="B16478" t="s">
        <v>401</v>
      </c>
      <c r="C16478" t="s">
        <v>1916</v>
      </c>
      <c r="D16478">
        <v>0</v>
      </c>
      <c r="E16478">
        <v>0</v>
      </c>
      <c r="F16478">
        <v>0</v>
      </c>
      <c r="G16478">
        <v>0</v>
      </c>
    </row>
    <row r="16479" spans="1:7">
      <c r="A16479" t="s">
        <v>1876</v>
      </c>
      <c r="B16479" t="s">
        <v>401</v>
      </c>
      <c r="C16479" t="s">
        <v>1917</v>
      </c>
      <c r="D16479">
        <v>7</v>
      </c>
      <c r="E16479">
        <v>7</v>
      </c>
      <c r="F16479">
        <v>4</v>
      </c>
      <c r="G16479">
        <v>3</v>
      </c>
    </row>
    <row r="16480" spans="1:7">
      <c r="A16480" t="s">
        <v>1876</v>
      </c>
      <c r="B16480" t="s">
        <v>401</v>
      </c>
      <c r="C16480" t="s">
        <v>1918</v>
      </c>
      <c r="D16480">
        <v>110</v>
      </c>
      <c r="E16480">
        <v>135</v>
      </c>
      <c r="F16480">
        <v>151</v>
      </c>
      <c r="G16480">
        <v>164</v>
      </c>
    </row>
    <row r="16481" spans="1:7">
      <c r="A16481" t="s">
        <v>1876</v>
      </c>
      <c r="B16481" t="s">
        <v>401</v>
      </c>
      <c r="C16481" t="s">
        <v>1919</v>
      </c>
      <c r="D16481">
        <v>2.12</v>
      </c>
      <c r="E16481">
        <v>2.1800000000000002</v>
      </c>
      <c r="F16481">
        <v>2.04</v>
      </c>
      <c r="G16481">
        <v>2.08</v>
      </c>
    </row>
    <row r="16482" spans="1:7">
      <c r="A16482" t="s">
        <v>1876</v>
      </c>
      <c r="B16482" t="s">
        <v>401</v>
      </c>
      <c r="C16482" t="s">
        <v>1920</v>
      </c>
      <c r="D16482">
        <v>194</v>
      </c>
      <c r="E16482">
        <v>237</v>
      </c>
      <c r="F16482">
        <v>272</v>
      </c>
      <c r="G16482">
        <v>308</v>
      </c>
    </row>
    <row r="16483" spans="1:7">
      <c r="A16483" t="s">
        <v>1876</v>
      </c>
      <c r="B16483" t="s">
        <v>401</v>
      </c>
      <c r="C16483" t="s">
        <v>1921</v>
      </c>
      <c r="D16483">
        <v>69</v>
      </c>
      <c r="E16483">
        <v>85</v>
      </c>
      <c r="F16483">
        <v>106</v>
      </c>
      <c r="G16483">
        <v>119</v>
      </c>
    </row>
    <row r="16484" spans="1:7">
      <c r="A16484" t="s">
        <v>1876</v>
      </c>
      <c r="B16484" t="s">
        <v>401</v>
      </c>
      <c r="C16484" t="s">
        <v>1922</v>
      </c>
      <c r="D16484">
        <v>77</v>
      </c>
      <c r="E16484">
        <v>95</v>
      </c>
      <c r="F16484">
        <v>117</v>
      </c>
      <c r="G16484">
        <v>141</v>
      </c>
    </row>
    <row r="16485" spans="1:7">
      <c r="A16485" t="s">
        <v>1876</v>
      </c>
      <c r="B16485" t="s">
        <v>401</v>
      </c>
      <c r="C16485" t="s">
        <v>1923</v>
      </c>
      <c r="D16485">
        <v>5.13</v>
      </c>
      <c r="E16485">
        <v>4.5199999999999996</v>
      </c>
      <c r="F16485">
        <v>3.66</v>
      </c>
      <c r="G16485">
        <v>3.44</v>
      </c>
    </row>
    <row r="16486" spans="1:7">
      <c r="A16486" t="s">
        <v>1876</v>
      </c>
      <c r="B16486" t="s">
        <v>401</v>
      </c>
      <c r="C16486" t="s">
        <v>1924</v>
      </c>
      <c r="D16486">
        <v>4</v>
      </c>
      <c r="E16486">
        <v>0</v>
      </c>
      <c r="F16486">
        <v>0</v>
      </c>
      <c r="G16486">
        <v>0</v>
      </c>
    </row>
    <row r="16487" spans="1:7">
      <c r="A16487" t="s">
        <v>1876</v>
      </c>
      <c r="B16487" t="s">
        <v>401</v>
      </c>
      <c r="C16487" t="s">
        <v>1925</v>
      </c>
      <c r="D16487">
        <v>27</v>
      </c>
      <c r="E16487">
        <v>28</v>
      </c>
      <c r="F16487">
        <v>32</v>
      </c>
      <c r="G16487">
        <v>32</v>
      </c>
    </row>
    <row r="16488" spans="1:7">
      <c r="A16488" t="s">
        <v>1876</v>
      </c>
      <c r="B16488" t="s">
        <v>401</v>
      </c>
      <c r="C16488" t="s">
        <v>1926</v>
      </c>
      <c r="D16488">
        <v>38</v>
      </c>
      <c r="E16488">
        <v>57</v>
      </c>
      <c r="F16488">
        <v>74</v>
      </c>
      <c r="G16488">
        <v>87</v>
      </c>
    </row>
    <row r="16489" spans="1:7">
      <c r="A16489" t="s">
        <v>1876</v>
      </c>
      <c r="B16489" t="s">
        <v>401</v>
      </c>
      <c r="C16489" t="s">
        <v>1927</v>
      </c>
      <c r="D16489">
        <v>2</v>
      </c>
      <c r="E16489">
        <v>2</v>
      </c>
      <c r="F16489">
        <v>2</v>
      </c>
      <c r="G16489">
        <v>2</v>
      </c>
    </row>
    <row r="16490" spans="1:7">
      <c r="A16490" t="s">
        <v>1876</v>
      </c>
      <c r="B16490" t="s">
        <v>401</v>
      </c>
      <c r="C16490" t="s">
        <v>1928</v>
      </c>
      <c r="D16490">
        <v>58</v>
      </c>
      <c r="E16490">
        <v>74</v>
      </c>
      <c r="F16490">
        <v>96</v>
      </c>
      <c r="G16490">
        <v>109</v>
      </c>
    </row>
    <row r="16491" spans="1:7">
      <c r="A16491" t="s">
        <v>1876</v>
      </c>
      <c r="B16491" t="s">
        <v>401</v>
      </c>
      <c r="C16491" t="s">
        <v>1929</v>
      </c>
      <c r="D16491">
        <v>9</v>
      </c>
      <c r="E16491">
        <v>9</v>
      </c>
      <c r="F16491">
        <v>8</v>
      </c>
      <c r="G16491">
        <v>8</v>
      </c>
    </row>
    <row r="16492" spans="1:7">
      <c r="A16492" t="s">
        <v>1876</v>
      </c>
      <c r="B16492" t="s">
        <v>401</v>
      </c>
      <c r="C16492" t="s">
        <v>186</v>
      </c>
      <c r="D16492">
        <v>0</v>
      </c>
      <c r="E16492">
        <v>0</v>
      </c>
      <c r="F16492">
        <v>0</v>
      </c>
      <c r="G16492">
        <v>0</v>
      </c>
    </row>
    <row r="16493" spans="1:7">
      <c r="A16493" t="s">
        <v>1876</v>
      </c>
      <c r="B16493" t="s">
        <v>401</v>
      </c>
      <c r="C16493" t="s">
        <v>187</v>
      </c>
      <c r="D16493">
        <v>0</v>
      </c>
      <c r="E16493">
        <v>0</v>
      </c>
      <c r="F16493">
        <v>0</v>
      </c>
      <c r="G16493">
        <v>0</v>
      </c>
    </row>
    <row r="16494" spans="1:7">
      <c r="A16494" t="s">
        <v>1876</v>
      </c>
      <c r="B16494" t="s">
        <v>401</v>
      </c>
      <c r="C16494" t="s">
        <v>1705</v>
      </c>
      <c r="D16494">
        <v>6677</v>
      </c>
      <c r="E16494">
        <v>6673</v>
      </c>
      <c r="F16494">
        <v>6673</v>
      </c>
      <c r="G16494">
        <v>6679</v>
      </c>
    </row>
    <row r="16495" spans="1:7">
      <c r="A16495" t="s">
        <v>1876</v>
      </c>
      <c r="B16495" t="s">
        <v>401</v>
      </c>
      <c r="C16495" t="s">
        <v>188</v>
      </c>
      <c r="D16495">
        <v>685080</v>
      </c>
      <c r="E16495">
        <v>708808</v>
      </c>
      <c r="F16495">
        <v>691930</v>
      </c>
      <c r="G16495">
        <v>665166</v>
      </c>
    </row>
    <row r="16496" spans="1:7">
      <c r="A16496" t="s">
        <v>1876</v>
      </c>
      <c r="B16496" t="s">
        <v>401</v>
      </c>
      <c r="C16496" t="s">
        <v>189</v>
      </c>
      <c r="D16496">
        <v>0</v>
      </c>
      <c r="E16496">
        <v>0</v>
      </c>
      <c r="F16496">
        <v>0</v>
      </c>
      <c r="G16496">
        <v>0</v>
      </c>
    </row>
    <row r="16497" spans="1:7">
      <c r="A16497" t="s">
        <v>1876</v>
      </c>
      <c r="B16497" t="s">
        <v>401</v>
      </c>
      <c r="C16497" t="s">
        <v>190</v>
      </c>
      <c r="D16497">
        <v>0</v>
      </c>
      <c r="E16497">
        <v>0</v>
      </c>
      <c r="F16497">
        <v>0</v>
      </c>
      <c r="G16497">
        <v>0</v>
      </c>
    </row>
    <row r="16498" spans="1:7">
      <c r="A16498" t="s">
        <v>1876</v>
      </c>
      <c r="B16498" t="s">
        <v>401</v>
      </c>
      <c r="C16498" t="s">
        <v>191</v>
      </c>
      <c r="D16498">
        <v>0</v>
      </c>
      <c r="E16498">
        <v>0</v>
      </c>
      <c r="F16498">
        <v>0</v>
      </c>
      <c r="G16498">
        <v>0</v>
      </c>
    </row>
    <row r="16499" spans="1:7">
      <c r="A16499" t="s">
        <v>1876</v>
      </c>
      <c r="B16499" t="s">
        <v>401</v>
      </c>
      <c r="C16499" t="s">
        <v>192</v>
      </c>
      <c r="D16499">
        <v>42410.6</v>
      </c>
      <c r="E16499">
        <v>49570.400000000001</v>
      </c>
      <c r="F16499">
        <v>51350.1</v>
      </c>
      <c r="G16499">
        <v>51498.1</v>
      </c>
    </row>
    <row r="16500" spans="1:7">
      <c r="A16500" t="s">
        <v>1876</v>
      </c>
      <c r="B16500" t="s">
        <v>401</v>
      </c>
      <c r="C16500" t="s">
        <v>193</v>
      </c>
      <c r="D16500">
        <v>37182.6</v>
      </c>
      <c r="E16500">
        <v>37690.6</v>
      </c>
      <c r="F16500">
        <v>39843.199999999997</v>
      </c>
      <c r="G16500">
        <v>39780.699999999997</v>
      </c>
    </row>
    <row r="16501" spans="1:7">
      <c r="A16501" t="s">
        <v>1876</v>
      </c>
      <c r="B16501" t="s">
        <v>401</v>
      </c>
      <c r="C16501" t="s">
        <v>1930</v>
      </c>
      <c r="D16501">
        <v>0</v>
      </c>
      <c r="E16501">
        <v>0</v>
      </c>
      <c r="F16501">
        <v>0</v>
      </c>
      <c r="G16501">
        <v>0</v>
      </c>
    </row>
    <row r="16502" spans="1:7">
      <c r="A16502" t="s">
        <v>1876</v>
      </c>
      <c r="B16502" t="s">
        <v>401</v>
      </c>
      <c r="C16502" t="s">
        <v>194</v>
      </c>
      <c r="D16502">
        <v>528</v>
      </c>
      <c r="E16502">
        <v>528</v>
      </c>
      <c r="F16502">
        <v>528</v>
      </c>
      <c r="G16502">
        <v>528</v>
      </c>
    </row>
    <row r="16503" spans="1:7">
      <c r="A16503" t="s">
        <v>1876</v>
      </c>
      <c r="B16503" t="s">
        <v>401</v>
      </c>
      <c r="C16503" t="s">
        <v>195</v>
      </c>
      <c r="D16503">
        <v>0</v>
      </c>
      <c r="E16503">
        <v>0</v>
      </c>
      <c r="F16503">
        <v>0</v>
      </c>
      <c r="G16503">
        <v>0</v>
      </c>
    </row>
    <row r="16504" spans="1:7">
      <c r="A16504" t="s">
        <v>1876</v>
      </c>
      <c r="B16504" t="s">
        <v>401</v>
      </c>
      <c r="C16504" t="s">
        <v>1706</v>
      </c>
      <c r="D16504">
        <v>0</v>
      </c>
      <c r="E16504">
        <v>0</v>
      </c>
      <c r="F16504">
        <v>0</v>
      </c>
      <c r="G16504">
        <v>0</v>
      </c>
    </row>
    <row r="16505" spans="1:7">
      <c r="A16505" t="s">
        <v>1876</v>
      </c>
      <c r="B16505" t="s">
        <v>401</v>
      </c>
      <c r="C16505" t="s">
        <v>196</v>
      </c>
      <c r="D16505">
        <v>65</v>
      </c>
      <c r="E16505">
        <v>65</v>
      </c>
      <c r="F16505">
        <v>65</v>
      </c>
      <c r="G16505">
        <v>65</v>
      </c>
    </row>
    <row r="16506" spans="1:7">
      <c r="A16506" t="s">
        <v>1876</v>
      </c>
      <c r="B16506" t="s">
        <v>401</v>
      </c>
      <c r="C16506" t="s">
        <v>197</v>
      </c>
      <c r="D16506">
        <v>70</v>
      </c>
      <c r="E16506">
        <v>70</v>
      </c>
      <c r="F16506">
        <v>70</v>
      </c>
      <c r="G16506">
        <v>70</v>
      </c>
    </row>
    <row r="16507" spans="1:7">
      <c r="A16507" t="s">
        <v>1876</v>
      </c>
      <c r="B16507" t="s">
        <v>401</v>
      </c>
      <c r="C16507" t="s">
        <v>198</v>
      </c>
      <c r="D16507">
        <v>663</v>
      </c>
      <c r="E16507">
        <v>663</v>
      </c>
      <c r="F16507">
        <v>663</v>
      </c>
      <c r="G16507">
        <v>663</v>
      </c>
    </row>
    <row r="16508" spans="1:7">
      <c r="A16508" t="s">
        <v>1876</v>
      </c>
      <c r="B16508" t="s">
        <v>401</v>
      </c>
      <c r="C16508" t="s">
        <v>199</v>
      </c>
      <c r="D16508">
        <v>663</v>
      </c>
      <c r="E16508">
        <v>663</v>
      </c>
      <c r="F16508">
        <v>663</v>
      </c>
      <c r="G16508">
        <v>663</v>
      </c>
    </row>
    <row r="16509" spans="1:7">
      <c r="A16509" t="s">
        <v>1876</v>
      </c>
      <c r="B16509" t="s">
        <v>401</v>
      </c>
      <c r="C16509" t="s">
        <v>200</v>
      </c>
      <c r="D16509">
        <v>6</v>
      </c>
      <c r="E16509">
        <v>20</v>
      </c>
      <c r="F16509">
        <v>9</v>
      </c>
      <c r="G16509">
        <v>1</v>
      </c>
    </row>
    <row r="16510" spans="1:7">
      <c r="A16510" t="s">
        <v>1876</v>
      </c>
      <c r="B16510" t="s">
        <v>401</v>
      </c>
      <c r="C16510" t="s">
        <v>201</v>
      </c>
      <c r="D16510">
        <v>984</v>
      </c>
      <c r="E16510">
        <v>1249</v>
      </c>
      <c r="F16510">
        <v>1423</v>
      </c>
      <c r="G16510">
        <v>1869</v>
      </c>
    </row>
    <row r="16511" spans="1:7">
      <c r="A16511" t="s">
        <v>1876</v>
      </c>
      <c r="B16511" t="s">
        <v>401</v>
      </c>
      <c r="C16511" t="s">
        <v>202</v>
      </c>
      <c r="D16511">
        <v>1146</v>
      </c>
      <c r="E16511">
        <v>1375</v>
      </c>
      <c r="F16511">
        <v>855</v>
      </c>
      <c r="G16511">
        <v>851</v>
      </c>
    </row>
    <row r="16512" spans="1:7">
      <c r="A16512" t="s">
        <v>1876</v>
      </c>
      <c r="B16512" t="s">
        <v>401</v>
      </c>
      <c r="C16512" t="s">
        <v>203</v>
      </c>
      <c r="D16512">
        <v>3351</v>
      </c>
      <c r="E16512">
        <v>3332</v>
      </c>
      <c r="F16512">
        <v>3924</v>
      </c>
      <c r="G16512">
        <v>3007</v>
      </c>
    </row>
    <row r="16513" spans="1:7">
      <c r="A16513" t="s">
        <v>1876</v>
      </c>
      <c r="B16513" t="s">
        <v>401</v>
      </c>
      <c r="C16513" t="s">
        <v>204</v>
      </c>
      <c r="D16513">
        <v>5487</v>
      </c>
      <c r="E16513">
        <v>5975</v>
      </c>
      <c r="F16513">
        <v>6210</v>
      </c>
      <c r="G16513">
        <v>5728</v>
      </c>
    </row>
    <row r="16514" spans="1:7">
      <c r="A16514" t="s">
        <v>1876</v>
      </c>
      <c r="B16514" t="s">
        <v>401</v>
      </c>
      <c r="C16514" t="s">
        <v>205</v>
      </c>
      <c r="D16514">
        <v>5487</v>
      </c>
      <c r="E16514">
        <v>5975</v>
      </c>
      <c r="F16514">
        <v>6210</v>
      </c>
      <c r="G16514">
        <v>5728</v>
      </c>
    </row>
    <row r="16515" spans="1:7">
      <c r="A16515" t="s">
        <v>1876</v>
      </c>
      <c r="B16515" t="s">
        <v>401</v>
      </c>
      <c r="C16515" t="s">
        <v>1931</v>
      </c>
      <c r="D16515">
        <v>0</v>
      </c>
      <c r="E16515">
        <v>0</v>
      </c>
      <c r="F16515">
        <v>0</v>
      </c>
      <c r="G16515">
        <v>0</v>
      </c>
    </row>
    <row r="16516" spans="1:7">
      <c r="A16516" t="s">
        <v>1876</v>
      </c>
      <c r="B16516" t="s">
        <v>401</v>
      </c>
      <c r="C16516" t="s">
        <v>1707</v>
      </c>
      <c r="D16516">
        <v>0</v>
      </c>
      <c r="E16516">
        <v>0</v>
      </c>
      <c r="F16516">
        <v>0</v>
      </c>
      <c r="G16516">
        <v>0</v>
      </c>
    </row>
    <row r="16517" spans="1:7">
      <c r="A16517" t="s">
        <v>1876</v>
      </c>
      <c r="B16517" t="s">
        <v>401</v>
      </c>
      <c r="C16517" t="s">
        <v>1932</v>
      </c>
      <c r="D16517">
        <v>29.4</v>
      </c>
      <c r="E16517">
        <v>27.7</v>
      </c>
      <c r="F16517">
        <v>34.1</v>
      </c>
      <c r="G16517">
        <v>37.700000000000003</v>
      </c>
    </row>
    <row r="16518" spans="1:7">
      <c r="A16518" t="s">
        <v>1876</v>
      </c>
      <c r="B16518" t="s">
        <v>401</v>
      </c>
      <c r="C16518" t="s">
        <v>1708</v>
      </c>
      <c r="D16518">
        <v>307</v>
      </c>
      <c r="E16518">
        <v>307</v>
      </c>
      <c r="F16518">
        <v>307</v>
      </c>
      <c r="G16518">
        <v>307</v>
      </c>
    </row>
    <row r="16519" spans="1:7">
      <c r="A16519" t="s">
        <v>1876</v>
      </c>
      <c r="B16519" t="s">
        <v>401</v>
      </c>
      <c r="C16519" t="s">
        <v>206</v>
      </c>
      <c r="D16519">
        <v>0</v>
      </c>
      <c r="E16519">
        <v>0</v>
      </c>
      <c r="F16519">
        <v>0</v>
      </c>
      <c r="G16519">
        <v>0</v>
      </c>
    </row>
    <row r="16520" spans="1:7">
      <c r="A16520" t="s">
        <v>1876</v>
      </c>
      <c r="B16520" t="s">
        <v>401</v>
      </c>
      <c r="C16520" t="s">
        <v>207</v>
      </c>
      <c r="D16520">
        <v>2697</v>
      </c>
      <c r="E16520">
        <v>2541</v>
      </c>
      <c r="F16520">
        <v>3130</v>
      </c>
      <c r="G16520">
        <v>3469</v>
      </c>
    </row>
    <row r="16521" spans="1:7">
      <c r="A16521" t="s">
        <v>1876</v>
      </c>
      <c r="B16521" t="s">
        <v>401</v>
      </c>
      <c r="C16521" t="s">
        <v>208</v>
      </c>
      <c r="D16521">
        <v>0</v>
      </c>
      <c r="E16521">
        <v>0</v>
      </c>
      <c r="F16521">
        <v>0</v>
      </c>
      <c r="G16521">
        <v>0</v>
      </c>
    </row>
    <row r="16522" spans="1:7">
      <c r="A16522" t="s">
        <v>1876</v>
      </c>
      <c r="B16522" t="s">
        <v>401</v>
      </c>
      <c r="C16522" t="s">
        <v>209</v>
      </c>
      <c r="D16522">
        <v>2697</v>
      </c>
      <c r="E16522">
        <v>2541</v>
      </c>
      <c r="F16522">
        <v>3130</v>
      </c>
      <c r="G16522">
        <v>3469</v>
      </c>
    </row>
    <row r="16523" spans="1:7">
      <c r="A16523" t="s">
        <v>1876</v>
      </c>
      <c r="B16523" t="s">
        <v>401</v>
      </c>
      <c r="C16523" t="s">
        <v>210</v>
      </c>
      <c r="D16523">
        <v>0</v>
      </c>
      <c r="E16523">
        <v>0</v>
      </c>
      <c r="F16523">
        <v>0</v>
      </c>
      <c r="G16523">
        <v>0</v>
      </c>
    </row>
    <row r="16524" spans="1:7">
      <c r="A16524" t="s">
        <v>1876</v>
      </c>
      <c r="B16524" t="s">
        <v>401</v>
      </c>
      <c r="C16524" t="s">
        <v>211</v>
      </c>
      <c r="D16524">
        <v>0</v>
      </c>
      <c r="E16524">
        <v>0</v>
      </c>
      <c r="F16524">
        <v>0</v>
      </c>
      <c r="G16524">
        <v>0</v>
      </c>
    </row>
    <row r="16525" spans="1:7">
      <c r="A16525" t="s">
        <v>1876</v>
      </c>
      <c r="B16525" t="s">
        <v>401</v>
      </c>
      <c r="C16525" t="s">
        <v>212</v>
      </c>
      <c r="D16525">
        <v>0</v>
      </c>
      <c r="E16525">
        <v>0</v>
      </c>
      <c r="F16525">
        <v>0</v>
      </c>
      <c r="G16525">
        <v>0</v>
      </c>
    </row>
    <row r="16526" spans="1:7">
      <c r="A16526" t="s">
        <v>1876</v>
      </c>
      <c r="B16526" t="s">
        <v>401</v>
      </c>
      <c r="C16526" t="s">
        <v>213</v>
      </c>
      <c r="D16526">
        <v>0</v>
      </c>
      <c r="E16526">
        <v>0</v>
      </c>
      <c r="F16526">
        <v>0</v>
      </c>
      <c r="G16526">
        <v>0</v>
      </c>
    </row>
    <row r="16527" spans="1:7">
      <c r="A16527" t="s">
        <v>1876</v>
      </c>
      <c r="B16527" t="s">
        <v>401</v>
      </c>
      <c r="C16527" t="s">
        <v>214</v>
      </c>
      <c r="D16527">
        <v>0</v>
      </c>
      <c r="E16527">
        <v>0</v>
      </c>
      <c r="F16527">
        <v>0</v>
      </c>
      <c r="G16527">
        <v>0</v>
      </c>
    </row>
    <row r="16528" spans="1:7">
      <c r="A16528" t="s">
        <v>1876</v>
      </c>
      <c r="B16528" t="s">
        <v>401</v>
      </c>
      <c r="C16528" t="s">
        <v>215</v>
      </c>
      <c r="D16528">
        <v>2750</v>
      </c>
      <c r="E16528">
        <v>2366</v>
      </c>
      <c r="F16528">
        <v>3429</v>
      </c>
      <c r="G16528">
        <v>2833</v>
      </c>
    </row>
    <row r="16529" spans="1:7">
      <c r="A16529" t="s">
        <v>1876</v>
      </c>
      <c r="B16529" t="s">
        <v>401</v>
      </c>
      <c r="C16529" t="s">
        <v>216</v>
      </c>
      <c r="D16529">
        <v>2750</v>
      </c>
      <c r="E16529">
        <v>2366</v>
      </c>
      <c r="F16529">
        <v>3429</v>
      </c>
      <c r="G16529">
        <v>2833</v>
      </c>
    </row>
    <row r="16530" spans="1:7">
      <c r="A16530" t="s">
        <v>1876</v>
      </c>
      <c r="B16530" t="s">
        <v>401</v>
      </c>
      <c r="C16530" t="s">
        <v>217</v>
      </c>
      <c r="D16530">
        <v>2750</v>
      </c>
      <c r="E16530">
        <v>2366</v>
      </c>
      <c r="F16530">
        <v>3429</v>
      </c>
      <c r="G16530">
        <v>2833</v>
      </c>
    </row>
    <row r="16531" spans="1:7">
      <c r="A16531" t="s">
        <v>1876</v>
      </c>
      <c r="B16531" t="s">
        <v>401</v>
      </c>
      <c r="C16531" t="s">
        <v>218</v>
      </c>
      <c r="D16531">
        <v>1</v>
      </c>
      <c r="E16531">
        <v>1</v>
      </c>
      <c r="F16531">
        <v>2</v>
      </c>
      <c r="G16531">
        <v>2</v>
      </c>
    </row>
    <row r="16532" spans="1:7">
      <c r="A16532" t="s">
        <v>1876</v>
      </c>
      <c r="B16532" t="s">
        <v>401</v>
      </c>
      <c r="C16532" t="s">
        <v>219</v>
      </c>
      <c r="D16532">
        <v>0</v>
      </c>
      <c r="E16532">
        <v>0</v>
      </c>
      <c r="F16532">
        <v>1</v>
      </c>
      <c r="G16532">
        <v>0</v>
      </c>
    </row>
    <row r="16533" spans="1:7">
      <c r="A16533" t="s">
        <v>1876</v>
      </c>
      <c r="B16533" t="s">
        <v>401</v>
      </c>
      <c r="C16533" t="s">
        <v>220</v>
      </c>
      <c r="D16533">
        <v>0</v>
      </c>
      <c r="E16533">
        <v>0</v>
      </c>
      <c r="F16533">
        <v>1</v>
      </c>
      <c r="G16533">
        <v>0</v>
      </c>
    </row>
    <row r="16534" spans="1:7">
      <c r="A16534" t="s">
        <v>1876</v>
      </c>
      <c r="B16534" t="s">
        <v>401</v>
      </c>
      <c r="C16534" t="s">
        <v>221</v>
      </c>
      <c r="D16534">
        <v>2</v>
      </c>
      <c r="E16534">
        <v>2</v>
      </c>
      <c r="F16534">
        <v>4</v>
      </c>
      <c r="G16534">
        <v>2</v>
      </c>
    </row>
    <row r="16535" spans="1:7">
      <c r="A16535" t="s">
        <v>1876</v>
      </c>
      <c r="B16535" t="s">
        <v>401</v>
      </c>
      <c r="C16535" t="s">
        <v>222</v>
      </c>
      <c r="D16535">
        <v>2</v>
      </c>
      <c r="E16535">
        <v>2</v>
      </c>
      <c r="F16535">
        <v>4</v>
      </c>
      <c r="G16535">
        <v>2</v>
      </c>
    </row>
    <row r="16536" spans="1:7">
      <c r="A16536" t="s">
        <v>1876</v>
      </c>
      <c r="B16536" t="s">
        <v>401</v>
      </c>
      <c r="C16536" t="s">
        <v>1933</v>
      </c>
      <c r="D16536">
        <v>601</v>
      </c>
      <c r="E16536">
        <v>598.20000000000005</v>
      </c>
      <c r="F16536">
        <v>602</v>
      </c>
      <c r="G16536">
        <v>615</v>
      </c>
    </row>
    <row r="16537" spans="1:7">
      <c r="A16537" t="s">
        <v>1876</v>
      </c>
      <c r="B16537" t="s">
        <v>401</v>
      </c>
      <c r="C16537" t="s">
        <v>223</v>
      </c>
      <c r="D16537">
        <v>0</v>
      </c>
      <c r="E16537">
        <v>0</v>
      </c>
      <c r="F16537">
        <v>0</v>
      </c>
      <c r="G16537">
        <v>0</v>
      </c>
    </row>
    <row r="16538" spans="1:7">
      <c r="A16538" t="s">
        <v>1876</v>
      </c>
      <c r="B16538" t="s">
        <v>401</v>
      </c>
      <c r="C16538" t="s">
        <v>224</v>
      </c>
      <c r="D16538">
        <v>21039</v>
      </c>
      <c r="E16538">
        <v>21375</v>
      </c>
      <c r="F16538">
        <v>31111</v>
      </c>
      <c r="G16538">
        <v>31903</v>
      </c>
    </row>
    <row r="16539" spans="1:7">
      <c r="A16539" t="s">
        <v>1876</v>
      </c>
      <c r="B16539" t="s">
        <v>401</v>
      </c>
      <c r="C16539" t="s">
        <v>225</v>
      </c>
      <c r="D16539">
        <v>57705</v>
      </c>
      <c r="E16539">
        <v>58488</v>
      </c>
      <c r="F16539">
        <v>54233</v>
      </c>
      <c r="G16539">
        <v>54279</v>
      </c>
    </row>
    <row r="16540" spans="1:7">
      <c r="A16540" t="s">
        <v>1876</v>
      </c>
      <c r="B16540" t="s">
        <v>401</v>
      </c>
      <c r="C16540" t="s">
        <v>226</v>
      </c>
      <c r="D16540">
        <v>17704</v>
      </c>
      <c r="E16540">
        <v>17811</v>
      </c>
      <c r="F16540">
        <v>18175</v>
      </c>
      <c r="G16540">
        <v>17952</v>
      </c>
    </row>
    <row r="16541" spans="1:7">
      <c r="A16541" t="s">
        <v>1876</v>
      </c>
      <c r="B16541" t="s">
        <v>401</v>
      </c>
      <c r="C16541" t="s">
        <v>227</v>
      </c>
      <c r="D16541">
        <v>96449</v>
      </c>
      <c r="E16541">
        <v>97674</v>
      </c>
      <c r="F16541">
        <v>103519</v>
      </c>
      <c r="G16541">
        <v>104134</v>
      </c>
    </row>
    <row r="16542" spans="1:7">
      <c r="A16542" t="s">
        <v>1876</v>
      </c>
      <c r="B16542" t="s">
        <v>401</v>
      </c>
      <c r="C16542" t="s">
        <v>228</v>
      </c>
      <c r="D16542">
        <v>96449</v>
      </c>
      <c r="E16542">
        <v>97674</v>
      </c>
      <c r="F16542">
        <v>103519</v>
      </c>
      <c r="G16542">
        <v>104134</v>
      </c>
    </row>
    <row r="16543" spans="1:7">
      <c r="A16543" t="s">
        <v>1876</v>
      </c>
      <c r="B16543" t="s">
        <v>401</v>
      </c>
      <c r="C16543" t="s">
        <v>229</v>
      </c>
      <c r="D16543">
        <v>638</v>
      </c>
      <c r="E16543">
        <v>662</v>
      </c>
      <c r="F16543">
        <v>480</v>
      </c>
      <c r="G16543">
        <v>489</v>
      </c>
    </row>
    <row r="16544" spans="1:7">
      <c r="A16544" t="s">
        <v>1876</v>
      </c>
      <c r="B16544" t="s">
        <v>401</v>
      </c>
      <c r="C16544" t="s">
        <v>230</v>
      </c>
      <c r="D16544">
        <v>551</v>
      </c>
      <c r="E16544">
        <v>620</v>
      </c>
      <c r="F16544">
        <v>506</v>
      </c>
      <c r="G16544">
        <v>431</v>
      </c>
    </row>
    <row r="16545" spans="1:7">
      <c r="A16545" t="s">
        <v>1876</v>
      </c>
      <c r="B16545" t="s">
        <v>401</v>
      </c>
      <c r="C16545" t="s">
        <v>231</v>
      </c>
      <c r="D16545">
        <v>1188</v>
      </c>
      <c r="E16545">
        <v>1282</v>
      </c>
      <c r="F16545">
        <v>986</v>
      </c>
      <c r="G16545">
        <v>920</v>
      </c>
    </row>
    <row r="16546" spans="1:7">
      <c r="A16546" t="s">
        <v>1876</v>
      </c>
      <c r="B16546" t="s">
        <v>401</v>
      </c>
      <c r="C16546" t="s">
        <v>232</v>
      </c>
      <c r="D16546">
        <v>1188</v>
      </c>
      <c r="E16546">
        <v>1282</v>
      </c>
      <c r="F16546">
        <v>986</v>
      </c>
      <c r="G16546">
        <v>920</v>
      </c>
    </row>
    <row r="16547" spans="1:7">
      <c r="A16547" t="s">
        <v>1876</v>
      </c>
      <c r="B16547" t="s">
        <v>401</v>
      </c>
      <c r="C16547" t="s">
        <v>233</v>
      </c>
      <c r="D16547">
        <v>0</v>
      </c>
      <c r="E16547">
        <v>0</v>
      </c>
      <c r="F16547">
        <v>0</v>
      </c>
      <c r="G16547">
        <v>0</v>
      </c>
    </row>
    <row r="16548" spans="1:7">
      <c r="A16548" t="s">
        <v>1876</v>
      </c>
      <c r="B16548" t="s">
        <v>401</v>
      </c>
      <c r="C16548" t="s">
        <v>234</v>
      </c>
      <c r="D16548">
        <v>37660</v>
      </c>
      <c r="E16548">
        <v>34991</v>
      </c>
      <c r="F16548">
        <v>36773</v>
      </c>
      <c r="G16548">
        <v>41021</v>
      </c>
    </row>
    <row r="16549" spans="1:7">
      <c r="A16549" t="s">
        <v>1876</v>
      </c>
      <c r="B16549" t="s">
        <v>401</v>
      </c>
      <c r="C16549" t="s">
        <v>235</v>
      </c>
      <c r="D16549">
        <v>488</v>
      </c>
      <c r="E16549">
        <v>1863</v>
      </c>
      <c r="F16549">
        <v>472</v>
      </c>
      <c r="G16549">
        <v>450</v>
      </c>
    </row>
    <row r="16550" spans="1:7">
      <c r="A16550" t="s">
        <v>1876</v>
      </c>
      <c r="B16550" t="s">
        <v>401</v>
      </c>
      <c r="C16550" t="s">
        <v>236</v>
      </c>
      <c r="D16550">
        <v>1196</v>
      </c>
      <c r="E16550">
        <v>1309</v>
      </c>
      <c r="F16550">
        <v>1194</v>
      </c>
      <c r="G16550">
        <v>1033</v>
      </c>
    </row>
    <row r="16551" spans="1:7">
      <c r="A16551" t="s">
        <v>1876</v>
      </c>
      <c r="B16551" t="s">
        <v>401</v>
      </c>
      <c r="C16551" t="s">
        <v>237</v>
      </c>
      <c r="D16551">
        <v>39344</v>
      </c>
      <c r="E16551">
        <v>38164</v>
      </c>
      <c r="F16551">
        <v>38439</v>
      </c>
      <c r="G16551">
        <v>42504</v>
      </c>
    </row>
    <row r="16552" spans="1:7">
      <c r="A16552" t="s">
        <v>1876</v>
      </c>
      <c r="B16552" t="s">
        <v>401</v>
      </c>
      <c r="C16552" t="s">
        <v>238</v>
      </c>
      <c r="D16552">
        <v>39344</v>
      </c>
      <c r="E16552">
        <v>38164</v>
      </c>
      <c r="F16552">
        <v>38439</v>
      </c>
      <c r="G16552">
        <v>42504</v>
      </c>
    </row>
    <row r="16553" spans="1:7">
      <c r="A16553" t="s">
        <v>1876</v>
      </c>
      <c r="B16553" t="s">
        <v>401</v>
      </c>
      <c r="C16553" t="s">
        <v>1934</v>
      </c>
      <c r="D16553">
        <v>35045</v>
      </c>
      <c r="E16553">
        <v>32723</v>
      </c>
      <c r="F16553">
        <v>34448</v>
      </c>
      <c r="G16553">
        <v>38532</v>
      </c>
    </row>
    <row r="16554" spans="1:7">
      <c r="A16554" t="s">
        <v>1876</v>
      </c>
      <c r="B16554" t="s">
        <v>401</v>
      </c>
      <c r="C16554" t="s">
        <v>1935</v>
      </c>
      <c r="D16554">
        <v>454</v>
      </c>
      <c r="E16554">
        <v>1743</v>
      </c>
      <c r="F16554">
        <v>442</v>
      </c>
      <c r="G16554">
        <v>422</v>
      </c>
    </row>
    <row r="16555" spans="1:7">
      <c r="A16555" t="s">
        <v>1876</v>
      </c>
      <c r="B16555" t="s">
        <v>401</v>
      </c>
      <c r="C16555" t="s">
        <v>1936</v>
      </c>
      <c r="D16555">
        <v>1113</v>
      </c>
      <c r="E16555">
        <v>1225</v>
      </c>
      <c r="F16555">
        <v>1118</v>
      </c>
      <c r="G16555">
        <v>971</v>
      </c>
    </row>
    <row r="16556" spans="1:7">
      <c r="A16556" t="s">
        <v>1876</v>
      </c>
      <c r="B16556" t="s">
        <v>401</v>
      </c>
      <c r="C16556" t="s">
        <v>239</v>
      </c>
      <c r="D16556">
        <v>36612</v>
      </c>
      <c r="E16556">
        <v>35691</v>
      </c>
      <c r="F16556">
        <v>36008</v>
      </c>
      <c r="G16556">
        <v>39925</v>
      </c>
    </row>
    <row r="16557" spans="1:7">
      <c r="A16557" t="s">
        <v>1876</v>
      </c>
      <c r="B16557" t="s">
        <v>401</v>
      </c>
      <c r="C16557" t="s">
        <v>240</v>
      </c>
      <c r="D16557">
        <v>264</v>
      </c>
      <c r="E16557">
        <v>354</v>
      </c>
      <c r="F16557">
        <v>340</v>
      </c>
      <c r="G16557">
        <v>333</v>
      </c>
    </row>
    <row r="16558" spans="1:7">
      <c r="A16558" t="s">
        <v>1876</v>
      </c>
      <c r="B16558" t="s">
        <v>401</v>
      </c>
      <c r="C16558" t="s">
        <v>241</v>
      </c>
      <c r="D16558">
        <v>0</v>
      </c>
      <c r="E16558">
        <v>0</v>
      </c>
      <c r="F16558">
        <v>0</v>
      </c>
      <c r="G16558">
        <v>0</v>
      </c>
    </row>
    <row r="16559" spans="1:7">
      <c r="A16559" t="s">
        <v>1876</v>
      </c>
      <c r="B16559" t="s">
        <v>401</v>
      </c>
      <c r="C16559" t="s">
        <v>242</v>
      </c>
      <c r="D16559">
        <v>13758</v>
      </c>
      <c r="E16559">
        <v>13255</v>
      </c>
      <c r="F16559">
        <v>13979</v>
      </c>
      <c r="G16559">
        <v>12818</v>
      </c>
    </row>
    <row r="16560" spans="1:7">
      <c r="A16560" t="s">
        <v>1876</v>
      </c>
      <c r="B16560" t="s">
        <v>401</v>
      </c>
      <c r="C16560" t="s">
        <v>243</v>
      </c>
      <c r="D16560">
        <v>12984</v>
      </c>
      <c r="E16560">
        <v>13734</v>
      </c>
      <c r="F16560">
        <v>14423</v>
      </c>
      <c r="G16560">
        <v>13555</v>
      </c>
    </row>
    <row r="16561" spans="1:7">
      <c r="A16561" t="s">
        <v>1876</v>
      </c>
      <c r="B16561" t="s">
        <v>401</v>
      </c>
      <c r="C16561" t="s">
        <v>244</v>
      </c>
      <c r="D16561">
        <v>8349</v>
      </c>
      <c r="E16561">
        <v>10636</v>
      </c>
      <c r="F16561">
        <v>15004</v>
      </c>
      <c r="G16561">
        <v>50869</v>
      </c>
    </row>
    <row r="16562" spans="1:7">
      <c r="A16562" t="s">
        <v>1876</v>
      </c>
      <c r="B16562" t="s">
        <v>401</v>
      </c>
      <c r="C16562" t="s">
        <v>1709</v>
      </c>
      <c r="D16562">
        <v>599</v>
      </c>
      <c r="E16562">
        <v>595</v>
      </c>
      <c r="F16562">
        <v>595</v>
      </c>
      <c r="G16562">
        <v>1671</v>
      </c>
    </row>
    <row r="16563" spans="1:7">
      <c r="A16563" t="s">
        <v>1876</v>
      </c>
      <c r="B16563" t="s">
        <v>401</v>
      </c>
      <c r="C16563" t="s">
        <v>245</v>
      </c>
      <c r="D16563">
        <v>112925</v>
      </c>
      <c r="E16563">
        <v>120609</v>
      </c>
      <c r="F16563">
        <v>123815</v>
      </c>
      <c r="G16563">
        <v>132560</v>
      </c>
    </row>
    <row r="16564" spans="1:7">
      <c r="A16564" t="s">
        <v>1876</v>
      </c>
      <c r="B16564" t="s">
        <v>401</v>
      </c>
      <c r="C16564" t="s">
        <v>246</v>
      </c>
      <c r="D16564">
        <v>13566</v>
      </c>
      <c r="E16564">
        <v>14217</v>
      </c>
      <c r="F16564">
        <v>14264</v>
      </c>
      <c r="G16564">
        <v>12851</v>
      </c>
    </row>
    <row r="16565" spans="1:7">
      <c r="A16565" t="s">
        <v>1876</v>
      </c>
      <c r="B16565" t="s">
        <v>401</v>
      </c>
      <c r="C16565" t="s">
        <v>247</v>
      </c>
      <c r="D16565">
        <v>161580</v>
      </c>
      <c r="E16565">
        <v>172450</v>
      </c>
      <c r="F16565">
        <v>181484</v>
      </c>
      <c r="G16565">
        <v>222653</v>
      </c>
    </row>
    <row r="16566" spans="1:7">
      <c r="A16566" t="s">
        <v>1876</v>
      </c>
      <c r="B16566" t="s">
        <v>401</v>
      </c>
      <c r="C16566" t="s">
        <v>248</v>
      </c>
      <c r="D16566">
        <v>278.7</v>
      </c>
      <c r="E16566">
        <v>296.39999999999998</v>
      </c>
      <c r="F16566">
        <v>310.39999999999998</v>
      </c>
      <c r="G16566">
        <v>379.5</v>
      </c>
    </row>
    <row r="16567" spans="1:7">
      <c r="A16567" t="s">
        <v>1876</v>
      </c>
      <c r="B16567" t="s">
        <v>401</v>
      </c>
      <c r="C16567" t="s">
        <v>249</v>
      </c>
      <c r="D16567">
        <v>153232</v>
      </c>
      <c r="E16567">
        <v>161815</v>
      </c>
      <c r="F16567">
        <v>166481</v>
      </c>
      <c r="G16567">
        <v>171783</v>
      </c>
    </row>
    <row r="16568" spans="1:7">
      <c r="A16568" t="s">
        <v>1876</v>
      </c>
      <c r="B16568" t="s">
        <v>401</v>
      </c>
      <c r="C16568" t="s">
        <v>250</v>
      </c>
      <c r="D16568">
        <v>161580</v>
      </c>
      <c r="E16568">
        <v>172450</v>
      </c>
      <c r="F16568">
        <v>181484</v>
      </c>
      <c r="G16568">
        <v>222653</v>
      </c>
    </row>
    <row r="16569" spans="1:7">
      <c r="A16569" t="s">
        <v>1876</v>
      </c>
      <c r="B16569" t="s">
        <v>401</v>
      </c>
      <c r="C16569" t="s">
        <v>1937</v>
      </c>
      <c r="D16569">
        <v>44.4</v>
      </c>
      <c r="E16569">
        <v>42.7</v>
      </c>
      <c r="F16569">
        <v>45.7</v>
      </c>
      <c r="G16569">
        <v>42.4</v>
      </c>
    </row>
    <row r="16570" spans="1:7">
      <c r="A16570" t="s">
        <v>1876</v>
      </c>
      <c r="B16570" t="s">
        <v>401</v>
      </c>
      <c r="C16570" t="s">
        <v>1938</v>
      </c>
      <c r="D16570">
        <v>0</v>
      </c>
      <c r="E16570">
        <v>0</v>
      </c>
      <c r="F16570">
        <v>0</v>
      </c>
      <c r="G16570">
        <v>0</v>
      </c>
    </row>
    <row r="16571" spans="1:7">
      <c r="A16571" t="s">
        <v>1876</v>
      </c>
      <c r="B16571" t="s">
        <v>401</v>
      </c>
      <c r="C16571" t="s">
        <v>251</v>
      </c>
      <c r="D16571">
        <v>0</v>
      </c>
      <c r="E16571">
        <v>0</v>
      </c>
      <c r="F16571">
        <v>0</v>
      </c>
      <c r="G16571">
        <v>0</v>
      </c>
    </row>
    <row r="16572" spans="1:7">
      <c r="A16572" t="s">
        <v>1876</v>
      </c>
      <c r="B16572" t="s">
        <v>401</v>
      </c>
      <c r="C16572" t="s">
        <v>252</v>
      </c>
      <c r="D16572">
        <v>0</v>
      </c>
      <c r="E16572">
        <v>0</v>
      </c>
      <c r="F16572">
        <v>0</v>
      </c>
      <c r="G16572">
        <v>0</v>
      </c>
    </row>
    <row r="16573" spans="1:7">
      <c r="A16573" t="s">
        <v>1876</v>
      </c>
      <c r="B16573" t="s">
        <v>401</v>
      </c>
      <c r="C16573" t="s">
        <v>1710</v>
      </c>
      <c r="D16573">
        <v>0</v>
      </c>
      <c r="E16573">
        <v>0</v>
      </c>
      <c r="F16573">
        <v>0</v>
      </c>
      <c r="G16573">
        <v>0</v>
      </c>
    </row>
    <row r="16574" spans="1:7">
      <c r="A16574" t="s">
        <v>1876</v>
      </c>
      <c r="B16574" t="s">
        <v>401</v>
      </c>
      <c r="C16574" t="s">
        <v>1939</v>
      </c>
      <c r="D16574">
        <v>15.1</v>
      </c>
      <c r="E16574">
        <v>26.8</v>
      </c>
      <c r="F16574">
        <v>40.700000000000003</v>
      </c>
      <c r="G16574">
        <v>37.200000000000003</v>
      </c>
    </row>
    <row r="16575" spans="1:7">
      <c r="A16575" t="s">
        <v>1876</v>
      </c>
      <c r="B16575" t="s">
        <v>401</v>
      </c>
      <c r="C16575" t="s">
        <v>253</v>
      </c>
      <c r="D16575">
        <v>0</v>
      </c>
      <c r="E16575">
        <v>0</v>
      </c>
      <c r="F16575">
        <v>0</v>
      </c>
      <c r="G16575">
        <v>0</v>
      </c>
    </row>
    <row r="16576" spans="1:7">
      <c r="A16576" t="s">
        <v>1876</v>
      </c>
      <c r="B16576" t="s">
        <v>401</v>
      </c>
      <c r="C16576" t="s">
        <v>1711</v>
      </c>
      <c r="D16576">
        <v>3</v>
      </c>
      <c r="E16576">
        <v>3</v>
      </c>
      <c r="F16576">
        <v>3</v>
      </c>
      <c r="G16576">
        <v>3</v>
      </c>
    </row>
    <row r="16577" spans="1:7">
      <c r="A16577" t="s">
        <v>1876</v>
      </c>
      <c r="B16577" t="s">
        <v>401</v>
      </c>
      <c r="C16577" t="s">
        <v>1712</v>
      </c>
      <c r="D16577">
        <v>10853</v>
      </c>
      <c r="E16577">
        <v>11075</v>
      </c>
      <c r="F16577">
        <v>10850</v>
      </c>
      <c r="G16577">
        <v>10499</v>
      </c>
    </row>
    <row r="16578" spans="1:7">
      <c r="A16578" t="s">
        <v>1876</v>
      </c>
      <c r="B16578" t="s">
        <v>401</v>
      </c>
      <c r="C16578" t="s">
        <v>1713</v>
      </c>
      <c r="D16578">
        <v>281</v>
      </c>
      <c r="E16578">
        <v>183</v>
      </c>
      <c r="F16578">
        <v>228</v>
      </c>
      <c r="G16578">
        <v>90</v>
      </c>
    </row>
    <row r="16579" spans="1:7">
      <c r="A16579" t="s">
        <v>1876</v>
      </c>
      <c r="B16579" t="s">
        <v>401</v>
      </c>
      <c r="C16579" t="s">
        <v>1940</v>
      </c>
      <c r="D16579">
        <v>0</v>
      </c>
      <c r="E16579">
        <v>0</v>
      </c>
      <c r="F16579">
        <v>0</v>
      </c>
      <c r="G16579">
        <v>0</v>
      </c>
    </row>
    <row r="16580" spans="1:7">
      <c r="A16580" t="s">
        <v>1876</v>
      </c>
      <c r="B16580" t="s">
        <v>401</v>
      </c>
      <c r="C16580" t="s">
        <v>1941</v>
      </c>
      <c r="D16580">
        <v>0</v>
      </c>
      <c r="E16580">
        <v>0</v>
      </c>
      <c r="F16580">
        <v>0</v>
      </c>
      <c r="G16580">
        <v>0</v>
      </c>
    </row>
    <row r="16581" spans="1:7">
      <c r="A16581" t="s">
        <v>1876</v>
      </c>
      <c r="B16581" t="s">
        <v>401</v>
      </c>
      <c r="C16581" t="s">
        <v>254</v>
      </c>
      <c r="D16581">
        <v>10853</v>
      </c>
      <c r="E16581">
        <v>11075</v>
      </c>
      <c r="F16581">
        <v>10850</v>
      </c>
      <c r="G16581">
        <v>10499</v>
      </c>
    </row>
    <row r="16582" spans="1:7">
      <c r="A16582" t="s">
        <v>1876</v>
      </c>
      <c r="B16582" t="s">
        <v>401</v>
      </c>
      <c r="C16582" t="s">
        <v>1942</v>
      </c>
      <c r="D16582">
        <v>0</v>
      </c>
      <c r="E16582">
        <v>0</v>
      </c>
      <c r="F16582">
        <v>0</v>
      </c>
      <c r="G16582">
        <v>0</v>
      </c>
    </row>
    <row r="16583" spans="1:7">
      <c r="A16583" t="s">
        <v>1876</v>
      </c>
      <c r="B16583" t="s">
        <v>401</v>
      </c>
      <c r="C16583" t="s">
        <v>255</v>
      </c>
      <c r="D16583">
        <v>11133</v>
      </c>
      <c r="E16583">
        <v>11259</v>
      </c>
      <c r="F16583">
        <v>11078</v>
      </c>
      <c r="G16583">
        <v>10588</v>
      </c>
    </row>
    <row r="16584" spans="1:7">
      <c r="A16584" t="s">
        <v>1876</v>
      </c>
      <c r="B16584" t="s">
        <v>401</v>
      </c>
      <c r="C16584" t="s">
        <v>256</v>
      </c>
      <c r="D16584">
        <v>11133</v>
      </c>
      <c r="E16584">
        <v>11259</v>
      </c>
      <c r="F16584">
        <v>11078</v>
      </c>
      <c r="G16584">
        <v>10588</v>
      </c>
    </row>
    <row r="16585" spans="1:7">
      <c r="A16585" t="s">
        <v>1876</v>
      </c>
      <c r="B16585" t="s">
        <v>401</v>
      </c>
      <c r="C16585" t="s">
        <v>1714</v>
      </c>
      <c r="D16585">
        <v>12</v>
      </c>
      <c r="E16585">
        <v>12</v>
      </c>
      <c r="F16585">
        <v>13</v>
      </c>
      <c r="G16585">
        <v>13</v>
      </c>
    </row>
    <row r="16586" spans="1:7">
      <c r="A16586" t="s">
        <v>1876</v>
      </c>
      <c r="B16586" t="s">
        <v>401</v>
      </c>
      <c r="C16586" t="s">
        <v>257</v>
      </c>
      <c r="D16586">
        <v>20217</v>
      </c>
      <c r="E16586">
        <v>20501</v>
      </c>
      <c r="F16586">
        <v>19248</v>
      </c>
      <c r="G16586">
        <v>17523</v>
      </c>
    </row>
    <row r="16587" spans="1:7">
      <c r="A16587" t="s">
        <v>1876</v>
      </c>
      <c r="B16587" t="s">
        <v>401</v>
      </c>
      <c r="C16587" t="s">
        <v>258</v>
      </c>
      <c r="D16587">
        <v>21244</v>
      </c>
      <c r="E16587">
        <v>21459</v>
      </c>
      <c r="F16587">
        <v>20064</v>
      </c>
      <c r="G16587">
        <v>18216</v>
      </c>
    </row>
    <row r="16588" spans="1:7">
      <c r="A16588" t="s">
        <v>1876</v>
      </c>
      <c r="B16588" t="s">
        <v>401</v>
      </c>
      <c r="C16588" t="s">
        <v>259</v>
      </c>
      <c r="D16588">
        <v>21244</v>
      </c>
      <c r="E16588">
        <v>21459</v>
      </c>
      <c r="F16588">
        <v>20064</v>
      </c>
      <c r="G16588">
        <v>18216</v>
      </c>
    </row>
    <row r="16589" spans="1:7">
      <c r="A16589" t="s">
        <v>1876</v>
      </c>
      <c r="B16589" t="s">
        <v>401</v>
      </c>
      <c r="C16589" t="s">
        <v>260</v>
      </c>
      <c r="D16589">
        <v>95365</v>
      </c>
      <c r="E16589">
        <v>92025</v>
      </c>
      <c r="F16589">
        <v>93383</v>
      </c>
      <c r="G16589">
        <v>97511</v>
      </c>
    </row>
    <row r="16590" spans="1:7">
      <c r="A16590" t="s">
        <v>1876</v>
      </c>
      <c r="B16590" t="s">
        <v>401</v>
      </c>
      <c r="C16590" t="s">
        <v>1943</v>
      </c>
      <c r="D16590">
        <v>1.5</v>
      </c>
      <c r="E16590">
        <v>1.2</v>
      </c>
      <c r="F16590">
        <v>1</v>
      </c>
      <c r="G16590">
        <v>1.7</v>
      </c>
    </row>
    <row r="16591" spans="1:7">
      <c r="A16591" t="s">
        <v>1876</v>
      </c>
      <c r="B16591" t="s">
        <v>401</v>
      </c>
      <c r="C16591" t="s">
        <v>261</v>
      </c>
      <c r="D16591">
        <v>3090</v>
      </c>
      <c r="E16591">
        <v>4756</v>
      </c>
      <c r="F16591">
        <v>3656</v>
      </c>
      <c r="G16591">
        <v>3886</v>
      </c>
    </row>
    <row r="16592" spans="1:7">
      <c r="A16592" t="s">
        <v>1876</v>
      </c>
      <c r="B16592" t="s">
        <v>401</v>
      </c>
      <c r="C16592" t="s">
        <v>262</v>
      </c>
      <c r="D16592">
        <v>618</v>
      </c>
      <c r="E16592">
        <v>507</v>
      </c>
      <c r="F16592">
        <v>433</v>
      </c>
      <c r="G16592">
        <v>443</v>
      </c>
    </row>
    <row r="16593" spans="1:7">
      <c r="A16593" t="s">
        <v>1876</v>
      </c>
      <c r="B16593" t="s">
        <v>401</v>
      </c>
      <c r="C16593" t="s">
        <v>1715</v>
      </c>
      <c r="D16593">
        <v>6</v>
      </c>
      <c r="E16593">
        <v>6</v>
      </c>
      <c r="F16593">
        <v>6</v>
      </c>
      <c r="G16593">
        <v>6</v>
      </c>
    </row>
    <row r="16594" spans="1:7">
      <c r="A16594" t="s">
        <v>1876</v>
      </c>
      <c r="B16594" t="s">
        <v>401</v>
      </c>
      <c r="C16594" t="s">
        <v>263</v>
      </c>
      <c r="D16594">
        <v>47196</v>
      </c>
      <c r="E16594">
        <v>48090</v>
      </c>
      <c r="F16594">
        <v>45605</v>
      </c>
      <c r="G16594">
        <v>42995</v>
      </c>
    </row>
    <row r="16595" spans="1:7">
      <c r="A16595" t="s">
        <v>1876</v>
      </c>
      <c r="B16595" t="s">
        <v>401</v>
      </c>
      <c r="C16595" t="s">
        <v>264</v>
      </c>
      <c r="D16595">
        <v>3479</v>
      </c>
      <c r="E16595">
        <v>3464</v>
      </c>
      <c r="F16595">
        <v>4065</v>
      </c>
      <c r="G16595">
        <v>3130</v>
      </c>
    </row>
    <row r="16596" spans="1:7">
      <c r="A16596" t="s">
        <v>1876</v>
      </c>
      <c r="B16596" t="s">
        <v>401</v>
      </c>
      <c r="C16596" t="s">
        <v>265</v>
      </c>
      <c r="D16596">
        <v>149749</v>
      </c>
      <c r="E16596">
        <v>148841</v>
      </c>
      <c r="F16596">
        <v>147141</v>
      </c>
      <c r="G16596">
        <v>147965</v>
      </c>
    </row>
    <row r="16597" spans="1:7">
      <c r="A16597" t="s">
        <v>1876</v>
      </c>
      <c r="B16597" t="s">
        <v>401</v>
      </c>
      <c r="C16597" t="s">
        <v>266</v>
      </c>
      <c r="D16597">
        <v>258.3</v>
      </c>
      <c r="E16597">
        <v>255.9</v>
      </c>
      <c r="F16597">
        <v>251.7</v>
      </c>
      <c r="G16597">
        <v>252.2</v>
      </c>
    </row>
    <row r="16598" spans="1:7">
      <c r="A16598" t="s">
        <v>1876</v>
      </c>
      <c r="B16598" t="s">
        <v>401</v>
      </c>
      <c r="C16598" t="s">
        <v>267</v>
      </c>
      <c r="D16598">
        <v>149130</v>
      </c>
      <c r="E16598">
        <v>148334</v>
      </c>
      <c r="F16598">
        <v>146708</v>
      </c>
      <c r="G16598">
        <v>147522</v>
      </c>
    </row>
    <row r="16599" spans="1:7">
      <c r="A16599" t="s">
        <v>1876</v>
      </c>
      <c r="B16599" t="s">
        <v>401</v>
      </c>
      <c r="C16599" t="s">
        <v>268</v>
      </c>
      <c r="D16599">
        <v>0</v>
      </c>
      <c r="E16599">
        <v>0</v>
      </c>
      <c r="F16599">
        <v>0</v>
      </c>
      <c r="G16599">
        <v>0</v>
      </c>
    </row>
    <row r="16600" spans="1:7">
      <c r="A16600" t="s">
        <v>1876</v>
      </c>
      <c r="B16600" t="s">
        <v>401</v>
      </c>
      <c r="C16600" t="s">
        <v>269</v>
      </c>
      <c r="D16600">
        <v>0</v>
      </c>
      <c r="E16600">
        <v>0</v>
      </c>
      <c r="F16600">
        <v>0</v>
      </c>
      <c r="G16600">
        <v>0</v>
      </c>
    </row>
    <row r="16601" spans="1:7">
      <c r="A16601" t="s">
        <v>1876</v>
      </c>
      <c r="B16601" t="s">
        <v>401</v>
      </c>
      <c r="C16601" t="s">
        <v>270</v>
      </c>
      <c r="D16601">
        <v>2967</v>
      </c>
      <c r="E16601">
        <v>3150</v>
      </c>
      <c r="F16601">
        <v>2747</v>
      </c>
      <c r="G16601">
        <v>1119</v>
      </c>
    </row>
    <row r="16602" spans="1:7">
      <c r="A16602" t="s">
        <v>1876</v>
      </c>
      <c r="B16602" t="s">
        <v>401</v>
      </c>
      <c r="C16602" t="s">
        <v>271</v>
      </c>
      <c r="D16602">
        <v>2967</v>
      </c>
      <c r="E16602">
        <v>3150</v>
      </c>
      <c r="F16602">
        <v>2747</v>
      </c>
      <c r="G16602">
        <v>1119</v>
      </c>
    </row>
    <row r="16603" spans="1:7">
      <c r="A16603" t="s">
        <v>1876</v>
      </c>
      <c r="B16603" t="s">
        <v>401</v>
      </c>
      <c r="C16603" t="s">
        <v>272</v>
      </c>
      <c r="D16603">
        <v>2967</v>
      </c>
      <c r="E16603">
        <v>3150</v>
      </c>
      <c r="F16603">
        <v>2747</v>
      </c>
      <c r="G16603">
        <v>1119</v>
      </c>
    </row>
    <row r="16604" spans="1:7">
      <c r="A16604" t="s">
        <v>1876</v>
      </c>
      <c r="B16604" t="s">
        <v>401</v>
      </c>
      <c r="C16604" t="s">
        <v>1944</v>
      </c>
      <c r="D16604">
        <v>0.4</v>
      </c>
      <c r="E16604">
        <v>0.6</v>
      </c>
      <c r="F16604">
        <v>0.7</v>
      </c>
      <c r="G16604">
        <v>1</v>
      </c>
    </row>
    <row r="16605" spans="1:7">
      <c r="A16605" t="s">
        <v>1876</v>
      </c>
      <c r="B16605" t="s">
        <v>401</v>
      </c>
      <c r="C16605" t="s">
        <v>1945</v>
      </c>
      <c r="D16605">
        <v>1</v>
      </c>
      <c r="E16605">
        <v>1</v>
      </c>
      <c r="F16605">
        <v>2</v>
      </c>
      <c r="G16605">
        <v>2</v>
      </c>
    </row>
    <row r="16606" spans="1:7">
      <c r="A16606" t="s">
        <v>1876</v>
      </c>
      <c r="B16606" t="s">
        <v>401</v>
      </c>
      <c r="C16606" t="s">
        <v>273</v>
      </c>
      <c r="D16606">
        <v>0</v>
      </c>
      <c r="E16606">
        <v>0</v>
      </c>
      <c r="F16606">
        <v>0</v>
      </c>
      <c r="G16606">
        <v>0</v>
      </c>
    </row>
    <row r="16607" spans="1:7">
      <c r="A16607" t="s">
        <v>1876</v>
      </c>
      <c r="B16607" t="s">
        <v>401</v>
      </c>
      <c r="C16607" t="s">
        <v>1946</v>
      </c>
      <c r="D16607">
        <v>92262</v>
      </c>
      <c r="E16607">
        <v>89444</v>
      </c>
      <c r="F16607">
        <v>90695</v>
      </c>
      <c r="G16607">
        <v>94883</v>
      </c>
    </row>
    <row r="16608" spans="1:7">
      <c r="A16608" t="s">
        <v>1876</v>
      </c>
      <c r="B16608" t="s">
        <v>401</v>
      </c>
      <c r="C16608" t="s">
        <v>1947</v>
      </c>
      <c r="D16608">
        <v>3056</v>
      </c>
      <c r="E16608">
        <v>4635</v>
      </c>
      <c r="F16608">
        <v>3626</v>
      </c>
      <c r="G16608">
        <v>3859</v>
      </c>
    </row>
    <row r="16609" spans="1:7">
      <c r="A16609" t="s">
        <v>1876</v>
      </c>
      <c r="B16609" t="s">
        <v>401</v>
      </c>
      <c r="C16609" t="s">
        <v>1948</v>
      </c>
      <c r="D16609">
        <v>618</v>
      </c>
      <c r="E16609">
        <v>507</v>
      </c>
      <c r="F16609">
        <v>433</v>
      </c>
      <c r="G16609">
        <v>443</v>
      </c>
    </row>
    <row r="16610" spans="1:7">
      <c r="A16610" t="s">
        <v>1876</v>
      </c>
      <c r="B16610" t="s">
        <v>401</v>
      </c>
      <c r="C16610" t="s">
        <v>1949</v>
      </c>
      <c r="D16610">
        <v>47113</v>
      </c>
      <c r="E16610">
        <v>48005</v>
      </c>
      <c r="F16610">
        <v>45529</v>
      </c>
      <c r="G16610">
        <v>42933</v>
      </c>
    </row>
    <row r="16611" spans="1:7">
      <c r="A16611" t="s">
        <v>1876</v>
      </c>
      <c r="B16611" t="s">
        <v>401</v>
      </c>
      <c r="C16611" t="s">
        <v>1950</v>
      </c>
      <c r="D16611">
        <v>3479</v>
      </c>
      <c r="E16611">
        <v>3464</v>
      </c>
      <c r="F16611">
        <v>4065</v>
      </c>
      <c r="G16611">
        <v>3130</v>
      </c>
    </row>
    <row r="16612" spans="1:7">
      <c r="A16612" t="s">
        <v>1876</v>
      </c>
      <c r="B16612" t="s">
        <v>401</v>
      </c>
      <c r="C16612" t="s">
        <v>274</v>
      </c>
      <c r="D16612">
        <v>146529</v>
      </c>
      <c r="E16612">
        <v>146055</v>
      </c>
      <c r="F16612">
        <v>144348</v>
      </c>
      <c r="G16612">
        <v>145248</v>
      </c>
    </row>
    <row r="16613" spans="1:7">
      <c r="A16613" t="s">
        <v>1876</v>
      </c>
      <c r="B16613" t="s">
        <v>401</v>
      </c>
      <c r="C16613" t="s">
        <v>275</v>
      </c>
      <c r="D16613">
        <v>0</v>
      </c>
      <c r="E16613">
        <v>0</v>
      </c>
      <c r="F16613">
        <v>0</v>
      </c>
      <c r="G16613">
        <v>0</v>
      </c>
    </row>
    <row r="16614" spans="1:7">
      <c r="A16614" t="s">
        <v>1876</v>
      </c>
      <c r="B16614" t="s">
        <v>401</v>
      </c>
      <c r="C16614" t="s">
        <v>276</v>
      </c>
      <c r="D16614">
        <v>0</v>
      </c>
      <c r="E16614">
        <v>0</v>
      </c>
      <c r="F16614">
        <v>0</v>
      </c>
      <c r="G16614">
        <v>0</v>
      </c>
    </row>
    <row r="16615" spans="1:7">
      <c r="A16615" t="s">
        <v>1876</v>
      </c>
      <c r="B16615" t="s">
        <v>401</v>
      </c>
      <c r="C16615" t="s">
        <v>277</v>
      </c>
      <c r="D16615">
        <v>6</v>
      </c>
      <c r="E16615">
        <v>20</v>
      </c>
      <c r="F16615">
        <v>9</v>
      </c>
      <c r="G16615">
        <v>1</v>
      </c>
    </row>
    <row r="16616" spans="1:7">
      <c r="A16616" t="s">
        <v>1876</v>
      </c>
      <c r="B16616" t="s">
        <v>401</v>
      </c>
      <c r="C16616" t="s">
        <v>278</v>
      </c>
      <c r="D16616">
        <v>984</v>
      </c>
      <c r="E16616">
        <v>1249</v>
      </c>
      <c r="F16616">
        <v>1423</v>
      </c>
      <c r="G16616">
        <v>1869</v>
      </c>
    </row>
    <row r="16617" spans="1:7">
      <c r="A16617" t="s">
        <v>1876</v>
      </c>
      <c r="B16617" t="s">
        <v>401</v>
      </c>
      <c r="C16617" t="s">
        <v>279</v>
      </c>
      <c r="D16617">
        <v>1146</v>
      </c>
      <c r="E16617">
        <v>1375</v>
      </c>
      <c r="F16617">
        <v>855</v>
      </c>
      <c r="G16617">
        <v>851</v>
      </c>
    </row>
    <row r="16618" spans="1:7">
      <c r="A16618" t="s">
        <v>1876</v>
      </c>
      <c r="B16618" t="s">
        <v>401</v>
      </c>
      <c r="C16618" t="s">
        <v>280</v>
      </c>
      <c r="D16618">
        <v>3351</v>
      </c>
      <c r="E16618">
        <v>3332</v>
      </c>
      <c r="F16618">
        <v>3924</v>
      </c>
      <c r="G16618">
        <v>3007</v>
      </c>
    </row>
    <row r="16619" spans="1:7">
      <c r="A16619" t="s">
        <v>1876</v>
      </c>
      <c r="B16619" t="s">
        <v>401</v>
      </c>
      <c r="C16619" t="s">
        <v>281</v>
      </c>
      <c r="D16619">
        <v>5487</v>
      </c>
      <c r="E16619">
        <v>5975</v>
      </c>
      <c r="F16619">
        <v>6210</v>
      </c>
      <c r="G16619">
        <v>5728</v>
      </c>
    </row>
    <row r="16620" spans="1:7">
      <c r="A16620" t="s">
        <v>1876</v>
      </c>
      <c r="B16620" t="s">
        <v>401</v>
      </c>
      <c r="C16620" t="s">
        <v>282</v>
      </c>
      <c r="D16620">
        <v>5487</v>
      </c>
      <c r="E16620">
        <v>5975</v>
      </c>
      <c r="F16620">
        <v>6210</v>
      </c>
      <c r="G16620">
        <v>5728</v>
      </c>
    </row>
    <row r="16621" spans="1:7">
      <c r="A16621" t="s">
        <v>1876</v>
      </c>
      <c r="B16621" t="s">
        <v>401</v>
      </c>
      <c r="C16621" t="s">
        <v>283</v>
      </c>
      <c r="D16621">
        <v>0</v>
      </c>
      <c r="E16621">
        <v>0</v>
      </c>
      <c r="F16621">
        <v>0</v>
      </c>
      <c r="G16621">
        <v>0</v>
      </c>
    </row>
    <row r="16622" spans="1:7">
      <c r="A16622" t="s">
        <v>1876</v>
      </c>
      <c r="B16622" t="s">
        <v>401</v>
      </c>
      <c r="C16622" t="s">
        <v>284</v>
      </c>
      <c r="D16622">
        <v>0</v>
      </c>
      <c r="E16622">
        <v>0</v>
      </c>
      <c r="F16622">
        <v>0</v>
      </c>
      <c r="G16622">
        <v>0</v>
      </c>
    </row>
    <row r="16623" spans="1:7">
      <c r="A16623" t="s">
        <v>1876</v>
      </c>
      <c r="B16623" t="s">
        <v>401</v>
      </c>
      <c r="C16623" t="s">
        <v>1716</v>
      </c>
      <c r="D16623">
        <v>3103</v>
      </c>
      <c r="E16623">
        <v>2580</v>
      </c>
      <c r="F16623">
        <v>2688</v>
      </c>
      <c r="G16623">
        <v>2627</v>
      </c>
    </row>
    <row r="16624" spans="1:7">
      <c r="A16624" t="s">
        <v>1876</v>
      </c>
      <c r="B16624" t="s">
        <v>401</v>
      </c>
      <c r="C16624" t="s">
        <v>1717</v>
      </c>
      <c r="D16624">
        <v>824</v>
      </c>
      <c r="E16624">
        <v>912</v>
      </c>
      <c r="F16624">
        <v>822</v>
      </c>
      <c r="G16624">
        <v>820</v>
      </c>
    </row>
    <row r="16625" spans="1:7">
      <c r="A16625" t="s">
        <v>1876</v>
      </c>
      <c r="B16625" t="s">
        <v>401</v>
      </c>
      <c r="C16625" t="s">
        <v>1718</v>
      </c>
      <c r="D16625">
        <v>32132</v>
      </c>
      <c r="E16625">
        <v>36545</v>
      </c>
      <c r="F16625">
        <v>33191</v>
      </c>
      <c r="G16625">
        <v>35627</v>
      </c>
    </row>
    <row r="16626" spans="1:7">
      <c r="A16626" t="s">
        <v>1876</v>
      </c>
      <c r="B16626" t="s">
        <v>401</v>
      </c>
      <c r="C16626" t="s">
        <v>1719</v>
      </c>
      <c r="D16626">
        <v>3406</v>
      </c>
      <c r="E16626">
        <v>3406</v>
      </c>
      <c r="F16626">
        <v>3505</v>
      </c>
      <c r="G16626">
        <v>4153</v>
      </c>
    </row>
    <row r="16627" spans="1:7">
      <c r="A16627" t="s">
        <v>1876</v>
      </c>
      <c r="B16627" t="s">
        <v>401</v>
      </c>
      <c r="C16627" t="s">
        <v>1720</v>
      </c>
      <c r="D16627">
        <v>237</v>
      </c>
      <c r="E16627">
        <v>285</v>
      </c>
      <c r="F16627">
        <v>276</v>
      </c>
      <c r="G16627">
        <v>263</v>
      </c>
    </row>
    <row r="16628" spans="1:7">
      <c r="A16628" t="s">
        <v>1876</v>
      </c>
      <c r="B16628" t="s">
        <v>401</v>
      </c>
      <c r="C16628" t="s">
        <v>1721</v>
      </c>
      <c r="D16628">
        <v>1437</v>
      </c>
      <c r="E16628">
        <v>1795</v>
      </c>
      <c r="F16628">
        <v>1565</v>
      </c>
      <c r="G16628">
        <v>1489</v>
      </c>
    </row>
    <row r="16629" spans="1:7">
      <c r="A16629" t="s">
        <v>1876</v>
      </c>
      <c r="B16629" t="s">
        <v>401</v>
      </c>
      <c r="C16629" t="s">
        <v>285</v>
      </c>
      <c r="D16629">
        <v>37734</v>
      </c>
      <c r="E16629">
        <v>42118</v>
      </c>
      <c r="F16629">
        <v>38541</v>
      </c>
      <c r="G16629">
        <v>40827</v>
      </c>
    </row>
    <row r="16630" spans="1:7">
      <c r="A16630" t="s">
        <v>1876</v>
      </c>
      <c r="B16630" t="s">
        <v>401</v>
      </c>
      <c r="C16630" t="s">
        <v>1951</v>
      </c>
      <c r="D16630">
        <v>7.8</v>
      </c>
      <c r="E16630">
        <v>8.5</v>
      </c>
      <c r="F16630">
        <v>7.7</v>
      </c>
      <c r="G16630">
        <v>8.1</v>
      </c>
    </row>
    <row r="16631" spans="1:7">
      <c r="A16631" t="s">
        <v>1876</v>
      </c>
      <c r="B16631" t="s">
        <v>401</v>
      </c>
      <c r="C16631" t="s">
        <v>286</v>
      </c>
      <c r="D16631">
        <v>0</v>
      </c>
      <c r="E16631">
        <v>0</v>
      </c>
      <c r="F16631">
        <v>0</v>
      </c>
      <c r="G16631">
        <v>0</v>
      </c>
    </row>
    <row r="16632" spans="1:7">
      <c r="A16632" t="s">
        <v>1876</v>
      </c>
      <c r="B16632" t="s">
        <v>401</v>
      </c>
      <c r="C16632" t="s">
        <v>287</v>
      </c>
      <c r="D16632">
        <v>0</v>
      </c>
      <c r="E16632">
        <v>0</v>
      </c>
      <c r="F16632">
        <v>0</v>
      </c>
      <c r="G16632">
        <v>0</v>
      </c>
    </row>
    <row r="16633" spans="1:7">
      <c r="A16633" t="s">
        <v>1876</v>
      </c>
      <c r="B16633" t="s">
        <v>401</v>
      </c>
      <c r="C16633" t="s">
        <v>288</v>
      </c>
      <c r="D16633">
        <v>0</v>
      </c>
      <c r="E16633">
        <v>0</v>
      </c>
      <c r="F16633">
        <v>0</v>
      </c>
      <c r="G16633">
        <v>0</v>
      </c>
    </row>
    <row r="16634" spans="1:7">
      <c r="A16634" t="s">
        <v>1876</v>
      </c>
      <c r="B16634" t="s">
        <v>401</v>
      </c>
      <c r="C16634" t="s">
        <v>289</v>
      </c>
      <c r="D16634">
        <v>0</v>
      </c>
      <c r="E16634">
        <v>0</v>
      </c>
      <c r="F16634">
        <v>0</v>
      </c>
      <c r="G16634">
        <v>0</v>
      </c>
    </row>
    <row r="16635" spans="1:7">
      <c r="A16635" t="s">
        <v>1876</v>
      </c>
      <c r="B16635" t="s">
        <v>401</v>
      </c>
      <c r="C16635" t="s">
        <v>290</v>
      </c>
      <c r="D16635">
        <v>0</v>
      </c>
      <c r="E16635">
        <v>0</v>
      </c>
      <c r="F16635">
        <v>0</v>
      </c>
      <c r="G16635">
        <v>0</v>
      </c>
    </row>
    <row r="16636" spans="1:7">
      <c r="A16636" t="s">
        <v>1876</v>
      </c>
      <c r="B16636" t="s">
        <v>401</v>
      </c>
      <c r="C16636" t="s">
        <v>291</v>
      </c>
      <c r="D16636">
        <v>0</v>
      </c>
      <c r="E16636">
        <v>0</v>
      </c>
      <c r="F16636">
        <v>0</v>
      </c>
      <c r="G16636">
        <v>0</v>
      </c>
    </row>
    <row r="16637" spans="1:7">
      <c r="A16637" t="s">
        <v>1876</v>
      </c>
      <c r="B16637" t="s">
        <v>401</v>
      </c>
      <c r="C16637" t="s">
        <v>292</v>
      </c>
      <c r="D16637">
        <v>0</v>
      </c>
      <c r="E16637">
        <v>0</v>
      </c>
      <c r="F16637">
        <v>0</v>
      </c>
      <c r="G16637">
        <v>0</v>
      </c>
    </row>
    <row r="16638" spans="1:7">
      <c r="A16638" t="s">
        <v>1876</v>
      </c>
      <c r="B16638" t="s">
        <v>401</v>
      </c>
      <c r="C16638" t="s">
        <v>293</v>
      </c>
      <c r="D16638">
        <v>0</v>
      </c>
      <c r="E16638">
        <v>0</v>
      </c>
      <c r="F16638">
        <v>0</v>
      </c>
      <c r="G16638">
        <v>0</v>
      </c>
    </row>
    <row r="16639" spans="1:7">
      <c r="A16639" t="s">
        <v>1876</v>
      </c>
      <c r="B16639" t="s">
        <v>401</v>
      </c>
      <c r="C16639" t="s">
        <v>294</v>
      </c>
      <c r="D16639">
        <v>0</v>
      </c>
      <c r="E16639">
        <v>0</v>
      </c>
      <c r="F16639">
        <v>0</v>
      </c>
      <c r="G16639">
        <v>0</v>
      </c>
    </row>
    <row r="16640" spans="1:7">
      <c r="A16640" t="s">
        <v>1876</v>
      </c>
      <c r="B16640" t="s">
        <v>401</v>
      </c>
      <c r="C16640" t="s">
        <v>295</v>
      </c>
      <c r="D16640">
        <v>0</v>
      </c>
      <c r="E16640">
        <v>0</v>
      </c>
      <c r="F16640">
        <v>0</v>
      </c>
      <c r="G16640">
        <v>0</v>
      </c>
    </row>
    <row r="16641" spans="1:7">
      <c r="A16641" t="s">
        <v>1876</v>
      </c>
      <c r="B16641" t="s">
        <v>401</v>
      </c>
      <c r="C16641" t="s">
        <v>296</v>
      </c>
      <c r="D16641">
        <v>0</v>
      </c>
      <c r="E16641">
        <v>0</v>
      </c>
      <c r="F16641">
        <v>0</v>
      </c>
      <c r="G16641">
        <v>0</v>
      </c>
    </row>
    <row r="16642" spans="1:7">
      <c r="A16642" t="s">
        <v>1876</v>
      </c>
      <c r="B16642" t="s">
        <v>401</v>
      </c>
      <c r="C16642" t="s">
        <v>297</v>
      </c>
      <c r="D16642">
        <v>10254</v>
      </c>
      <c r="E16642">
        <v>10726</v>
      </c>
      <c r="F16642">
        <v>10514</v>
      </c>
      <c r="G16642">
        <v>10172</v>
      </c>
    </row>
    <row r="16643" spans="1:7">
      <c r="A16643" t="s">
        <v>1876</v>
      </c>
      <c r="B16643" t="s">
        <v>401</v>
      </c>
      <c r="C16643" t="s">
        <v>1952</v>
      </c>
      <c r="D16643">
        <v>0</v>
      </c>
      <c r="E16643">
        <v>0</v>
      </c>
      <c r="F16643">
        <v>0</v>
      </c>
      <c r="G16643">
        <v>0</v>
      </c>
    </row>
    <row r="16644" spans="1:7">
      <c r="A16644" t="s">
        <v>1876</v>
      </c>
      <c r="B16644" t="s">
        <v>401</v>
      </c>
      <c r="C16644" t="s">
        <v>298</v>
      </c>
      <c r="D16644">
        <v>0</v>
      </c>
      <c r="E16644">
        <v>0</v>
      </c>
      <c r="F16644">
        <v>0</v>
      </c>
      <c r="G16644">
        <v>0</v>
      </c>
    </row>
    <row r="16645" spans="1:7">
      <c r="A16645" t="s">
        <v>1876</v>
      </c>
      <c r="B16645" t="s">
        <v>401</v>
      </c>
      <c r="C16645" t="s">
        <v>299</v>
      </c>
      <c r="D16645">
        <v>9</v>
      </c>
      <c r="E16645">
        <v>10</v>
      </c>
      <c r="F16645">
        <v>11</v>
      </c>
      <c r="G16645">
        <v>12</v>
      </c>
    </row>
    <row r="16646" spans="1:7">
      <c r="A16646" t="s">
        <v>1876</v>
      </c>
      <c r="B16646" t="s">
        <v>401</v>
      </c>
      <c r="C16646" t="s">
        <v>300</v>
      </c>
      <c r="D16646">
        <v>611</v>
      </c>
      <c r="E16646">
        <v>634</v>
      </c>
      <c r="F16646">
        <v>593</v>
      </c>
      <c r="G16646">
        <v>1444</v>
      </c>
    </row>
    <row r="16647" spans="1:7">
      <c r="A16647" t="s">
        <v>1876</v>
      </c>
      <c r="B16647" t="s">
        <v>401</v>
      </c>
      <c r="C16647" t="s">
        <v>1722</v>
      </c>
      <c r="D16647">
        <v>92</v>
      </c>
      <c r="E16647">
        <v>92</v>
      </c>
      <c r="F16647">
        <v>92</v>
      </c>
      <c r="G16647">
        <v>242</v>
      </c>
    </row>
    <row r="16648" spans="1:7">
      <c r="A16648" t="s">
        <v>1876</v>
      </c>
      <c r="B16648" t="s">
        <v>401</v>
      </c>
      <c r="C16648" t="s">
        <v>301</v>
      </c>
      <c r="D16648">
        <v>2</v>
      </c>
      <c r="E16648">
        <v>2</v>
      </c>
      <c r="F16648">
        <v>2</v>
      </c>
      <c r="G16648">
        <v>2</v>
      </c>
    </row>
    <row r="16649" spans="1:7">
      <c r="A16649" t="s">
        <v>1876</v>
      </c>
      <c r="B16649" t="s">
        <v>401</v>
      </c>
      <c r="C16649" t="s">
        <v>302</v>
      </c>
      <c r="D16649">
        <v>52</v>
      </c>
      <c r="E16649">
        <v>68</v>
      </c>
      <c r="F16649">
        <v>87</v>
      </c>
      <c r="G16649">
        <v>99</v>
      </c>
    </row>
    <row r="16650" spans="1:7">
      <c r="A16650" t="s">
        <v>1876</v>
      </c>
      <c r="B16650" t="s">
        <v>401</v>
      </c>
      <c r="C16650" t="s">
        <v>303</v>
      </c>
      <c r="D16650">
        <v>674</v>
      </c>
      <c r="E16650">
        <v>715</v>
      </c>
      <c r="F16650">
        <v>692</v>
      </c>
      <c r="G16650">
        <v>1557</v>
      </c>
    </row>
    <row r="16651" spans="1:7">
      <c r="A16651" t="s">
        <v>1876</v>
      </c>
      <c r="B16651" t="s">
        <v>401</v>
      </c>
      <c r="C16651" t="s">
        <v>304</v>
      </c>
      <c r="D16651">
        <v>63</v>
      </c>
      <c r="E16651">
        <v>80</v>
      </c>
      <c r="F16651">
        <v>100</v>
      </c>
      <c r="G16651">
        <v>113</v>
      </c>
    </row>
    <row r="16652" spans="1:7">
      <c r="A16652" t="s">
        <v>1876</v>
      </c>
      <c r="B16652" t="s">
        <v>401</v>
      </c>
      <c r="C16652" t="s">
        <v>1953</v>
      </c>
      <c r="D16652">
        <v>22.2</v>
      </c>
      <c r="E16652">
        <v>23.1</v>
      </c>
      <c r="F16652">
        <v>21.6</v>
      </c>
      <c r="G16652">
        <v>24.8</v>
      </c>
    </row>
    <row r="16653" spans="1:7">
      <c r="A16653" t="s">
        <v>1876</v>
      </c>
      <c r="B16653" t="s">
        <v>401</v>
      </c>
      <c r="C16653" t="s">
        <v>305</v>
      </c>
      <c r="D16653">
        <v>109123</v>
      </c>
      <c r="E16653">
        <v>105280</v>
      </c>
      <c r="F16653">
        <v>107362</v>
      </c>
      <c r="G16653">
        <v>110328</v>
      </c>
    </row>
    <row r="16654" spans="1:7">
      <c r="A16654" t="s">
        <v>1876</v>
      </c>
      <c r="B16654" t="s">
        <v>401</v>
      </c>
      <c r="C16654" t="s">
        <v>306</v>
      </c>
      <c r="D16654">
        <v>188.3</v>
      </c>
      <c r="E16654">
        <v>181</v>
      </c>
      <c r="F16654">
        <v>183.6</v>
      </c>
      <c r="G16654">
        <v>188</v>
      </c>
    </row>
    <row r="16655" spans="1:7">
      <c r="A16655" t="s">
        <v>1876</v>
      </c>
      <c r="B16655" t="s">
        <v>401</v>
      </c>
      <c r="C16655" t="s">
        <v>307</v>
      </c>
      <c r="D16655">
        <v>49782</v>
      </c>
      <c r="E16655">
        <v>53176</v>
      </c>
      <c r="F16655">
        <v>67214</v>
      </c>
      <c r="G16655">
        <v>68231</v>
      </c>
    </row>
    <row r="16656" spans="1:7">
      <c r="A16656" t="s">
        <v>1876</v>
      </c>
      <c r="B16656" t="s">
        <v>401</v>
      </c>
      <c r="C16656" t="s">
        <v>308</v>
      </c>
      <c r="D16656">
        <v>85.9</v>
      </c>
      <c r="E16656">
        <v>91.4</v>
      </c>
      <c r="F16656">
        <v>115</v>
      </c>
      <c r="G16656">
        <v>116.3</v>
      </c>
    </row>
    <row r="16657" spans="1:7">
      <c r="A16657" t="s">
        <v>1876</v>
      </c>
      <c r="B16657" t="s">
        <v>401</v>
      </c>
      <c r="C16657" t="s">
        <v>309</v>
      </c>
      <c r="D16657">
        <v>391742</v>
      </c>
      <c r="E16657">
        <v>410505</v>
      </c>
      <c r="F16657">
        <v>390952</v>
      </c>
      <c r="G16657">
        <v>361806</v>
      </c>
    </row>
    <row r="16658" spans="1:7">
      <c r="A16658" t="s">
        <v>1876</v>
      </c>
      <c r="B16658" t="s">
        <v>401</v>
      </c>
      <c r="C16658" t="s">
        <v>310</v>
      </c>
      <c r="D16658">
        <v>276400</v>
      </c>
      <c r="E16658">
        <v>288383</v>
      </c>
      <c r="F16658">
        <v>277623</v>
      </c>
      <c r="G16658">
        <v>282956</v>
      </c>
    </row>
    <row r="16659" spans="1:7">
      <c r="A16659" t="s">
        <v>1876</v>
      </c>
      <c r="B16659" t="s">
        <v>401</v>
      </c>
      <c r="C16659" t="s">
        <v>311</v>
      </c>
      <c r="D16659">
        <v>476.8</v>
      </c>
      <c r="E16659">
        <v>495.7</v>
      </c>
      <c r="F16659">
        <v>474.8</v>
      </c>
      <c r="G16659">
        <v>482.3</v>
      </c>
    </row>
    <row r="16660" spans="1:7">
      <c r="A16660" t="s">
        <v>1876</v>
      </c>
      <c r="B16660" t="s">
        <v>401</v>
      </c>
      <c r="C16660" t="s">
        <v>312</v>
      </c>
      <c r="D16660">
        <v>46073</v>
      </c>
      <c r="E16660">
        <v>47552</v>
      </c>
      <c r="F16660">
        <v>48127</v>
      </c>
      <c r="G16660">
        <v>45549</v>
      </c>
    </row>
    <row r="16661" spans="1:7">
      <c r="A16661" t="s">
        <v>1876</v>
      </c>
      <c r="B16661" t="s">
        <v>401</v>
      </c>
      <c r="C16661" t="s">
        <v>313</v>
      </c>
      <c r="D16661">
        <v>79.5</v>
      </c>
      <c r="E16661">
        <v>81.7</v>
      </c>
      <c r="F16661">
        <v>82.3</v>
      </c>
      <c r="G16661">
        <v>77.599999999999994</v>
      </c>
    </row>
    <row r="16662" spans="1:7">
      <c r="A16662" t="s">
        <v>1876</v>
      </c>
      <c r="B16662" t="s">
        <v>401</v>
      </c>
      <c r="C16662" t="s">
        <v>314</v>
      </c>
      <c r="D16662">
        <v>481378</v>
      </c>
      <c r="E16662">
        <v>494391</v>
      </c>
      <c r="F16662">
        <v>500326</v>
      </c>
      <c r="G16662">
        <v>507065</v>
      </c>
    </row>
    <row r="16663" spans="1:7">
      <c r="A16663" t="s">
        <v>1876</v>
      </c>
      <c r="B16663" t="s">
        <v>401</v>
      </c>
      <c r="C16663" t="s">
        <v>315</v>
      </c>
      <c r="D16663">
        <v>12.95</v>
      </c>
      <c r="E16663">
        <v>13.12</v>
      </c>
      <c r="F16663">
        <v>12.56</v>
      </c>
      <c r="G16663">
        <v>12.75</v>
      </c>
    </row>
    <row r="16664" spans="1:7">
      <c r="A16664" t="s">
        <v>1876</v>
      </c>
      <c r="B16664" t="s">
        <v>401</v>
      </c>
      <c r="C16664" t="s">
        <v>316</v>
      </c>
      <c r="D16664">
        <v>830.4</v>
      </c>
      <c r="E16664">
        <v>849.8</v>
      </c>
      <c r="F16664">
        <v>855.7</v>
      </c>
      <c r="G16664">
        <v>864.2</v>
      </c>
    </row>
    <row r="16665" spans="1:7">
      <c r="A16665" t="s">
        <v>1876</v>
      </c>
      <c r="B16665" t="s">
        <v>401</v>
      </c>
      <c r="C16665" t="s">
        <v>317</v>
      </c>
      <c r="D16665">
        <v>481378</v>
      </c>
      <c r="E16665">
        <v>494391</v>
      </c>
      <c r="F16665">
        <v>500327</v>
      </c>
      <c r="G16665">
        <v>507064</v>
      </c>
    </row>
    <row r="16666" spans="1:7">
      <c r="A16666" t="s">
        <v>1876</v>
      </c>
      <c r="B16666" t="s">
        <v>401</v>
      </c>
      <c r="C16666" t="s">
        <v>318</v>
      </c>
      <c r="D16666">
        <v>109123</v>
      </c>
      <c r="E16666">
        <v>105280</v>
      </c>
      <c r="F16666">
        <v>107362</v>
      </c>
      <c r="G16666">
        <v>110328</v>
      </c>
    </row>
    <row r="16667" spans="1:7">
      <c r="A16667" t="s">
        <v>1876</v>
      </c>
      <c r="B16667" t="s">
        <v>401</v>
      </c>
      <c r="C16667" t="s">
        <v>319</v>
      </c>
      <c r="D16667">
        <v>28742</v>
      </c>
      <c r="E16667">
        <v>31800</v>
      </c>
      <c r="F16667">
        <v>36104</v>
      </c>
      <c r="G16667">
        <v>36328</v>
      </c>
    </row>
    <row r="16668" spans="1:7">
      <c r="A16668" t="s">
        <v>1876</v>
      </c>
      <c r="B16668" t="s">
        <v>401</v>
      </c>
      <c r="C16668" t="s">
        <v>320</v>
      </c>
      <c r="D16668">
        <v>218696</v>
      </c>
      <c r="E16668">
        <v>229895</v>
      </c>
      <c r="F16668">
        <v>223390</v>
      </c>
      <c r="G16668">
        <v>228677</v>
      </c>
    </row>
    <row r="16669" spans="1:7">
      <c r="A16669" t="s">
        <v>1876</v>
      </c>
      <c r="B16669" t="s">
        <v>401</v>
      </c>
      <c r="C16669" t="s">
        <v>321</v>
      </c>
      <c r="D16669">
        <v>28369</v>
      </c>
      <c r="E16669">
        <v>29741</v>
      </c>
      <c r="F16669">
        <v>29952</v>
      </c>
      <c r="G16669">
        <v>27597</v>
      </c>
    </row>
    <row r="16670" spans="1:7">
      <c r="A16670" t="s">
        <v>1876</v>
      </c>
      <c r="B16670" t="s">
        <v>401</v>
      </c>
      <c r="C16670" t="s">
        <v>1954</v>
      </c>
      <c r="D16670">
        <v>384930</v>
      </c>
      <c r="E16670">
        <v>396717</v>
      </c>
      <c r="F16670">
        <v>396808</v>
      </c>
      <c r="G16670">
        <v>402930</v>
      </c>
    </row>
    <row r="16671" spans="1:7">
      <c r="A16671" t="s">
        <v>1876</v>
      </c>
      <c r="B16671" t="s">
        <v>401</v>
      </c>
      <c r="C16671" t="s">
        <v>323</v>
      </c>
      <c r="D16671">
        <v>580</v>
      </c>
      <c r="E16671">
        <v>582</v>
      </c>
      <c r="F16671">
        <v>585</v>
      </c>
      <c r="G16671">
        <v>587</v>
      </c>
    </row>
    <row r="16672" spans="1:7">
      <c r="A16672" t="s">
        <v>1876</v>
      </c>
      <c r="B16672" t="s">
        <v>401</v>
      </c>
      <c r="C16672" t="s">
        <v>324</v>
      </c>
      <c r="D16672">
        <v>341</v>
      </c>
      <c r="E16672">
        <v>0</v>
      </c>
      <c r="F16672">
        <v>0</v>
      </c>
      <c r="G16672">
        <v>0</v>
      </c>
    </row>
    <row r="16673" spans="1:7">
      <c r="A16673" t="s">
        <v>1876</v>
      </c>
      <c r="B16673" t="s">
        <v>401</v>
      </c>
      <c r="C16673" t="s">
        <v>325</v>
      </c>
      <c r="D16673">
        <v>0</v>
      </c>
      <c r="E16673">
        <v>0</v>
      </c>
      <c r="F16673">
        <v>0</v>
      </c>
      <c r="G16673">
        <v>0</v>
      </c>
    </row>
    <row r="16674" spans="1:7">
      <c r="A16674" t="s">
        <v>1876</v>
      </c>
      <c r="B16674" t="s">
        <v>401</v>
      </c>
      <c r="C16674" t="s">
        <v>326</v>
      </c>
      <c r="D16674">
        <v>253</v>
      </c>
      <c r="E16674">
        <v>253</v>
      </c>
      <c r="F16674">
        <v>253</v>
      </c>
      <c r="G16674">
        <v>253</v>
      </c>
    </row>
    <row r="16675" spans="1:7">
      <c r="A16675" t="s">
        <v>1876</v>
      </c>
      <c r="B16675" t="s">
        <v>401</v>
      </c>
      <c r="C16675" t="s">
        <v>327</v>
      </c>
      <c r="D16675">
        <v>0</v>
      </c>
      <c r="E16675">
        <v>0</v>
      </c>
      <c r="F16675">
        <v>0</v>
      </c>
      <c r="G16675">
        <v>0</v>
      </c>
    </row>
    <row r="16676" spans="1:7">
      <c r="A16676" t="s">
        <v>1876</v>
      </c>
      <c r="B16676" t="s">
        <v>401</v>
      </c>
      <c r="C16676" t="s">
        <v>1723</v>
      </c>
      <c r="D16676">
        <v>0</v>
      </c>
      <c r="E16676">
        <v>0</v>
      </c>
      <c r="F16676">
        <v>0</v>
      </c>
      <c r="G16676">
        <v>0</v>
      </c>
    </row>
    <row r="16677" spans="1:7">
      <c r="A16677" t="s">
        <v>1876</v>
      </c>
      <c r="B16677" t="s">
        <v>401</v>
      </c>
      <c r="C16677" t="s">
        <v>328</v>
      </c>
      <c r="D16677">
        <v>87</v>
      </c>
      <c r="E16677">
        <v>132</v>
      </c>
      <c r="F16677">
        <v>132</v>
      </c>
      <c r="G16677">
        <v>132</v>
      </c>
    </row>
    <row r="16678" spans="1:7">
      <c r="A16678" t="s">
        <v>1876</v>
      </c>
      <c r="B16678" t="s">
        <v>401</v>
      </c>
      <c r="C16678" t="s">
        <v>329</v>
      </c>
      <c r="D16678">
        <v>1315</v>
      </c>
      <c r="E16678">
        <v>1657</v>
      </c>
      <c r="F16678">
        <v>1409</v>
      </c>
      <c r="G16678">
        <v>1321</v>
      </c>
    </row>
    <row r="16679" spans="1:7">
      <c r="A16679" t="s">
        <v>1876</v>
      </c>
      <c r="B16679" t="s">
        <v>401</v>
      </c>
      <c r="C16679" t="s">
        <v>330</v>
      </c>
      <c r="D16679">
        <v>1655</v>
      </c>
      <c r="E16679">
        <v>2042</v>
      </c>
      <c r="F16679">
        <v>1794</v>
      </c>
      <c r="G16679">
        <v>1706</v>
      </c>
    </row>
    <row r="16680" spans="1:7">
      <c r="A16680" t="s">
        <v>1876</v>
      </c>
      <c r="B16680" t="s">
        <v>401</v>
      </c>
      <c r="C16680" t="s">
        <v>331</v>
      </c>
      <c r="D16680">
        <v>0</v>
      </c>
      <c r="E16680">
        <v>0</v>
      </c>
      <c r="F16680">
        <v>0</v>
      </c>
      <c r="G16680">
        <v>0</v>
      </c>
    </row>
    <row r="16681" spans="1:7">
      <c r="A16681" t="s">
        <v>1876</v>
      </c>
      <c r="B16681" t="s">
        <v>401</v>
      </c>
      <c r="C16681" t="s">
        <v>332</v>
      </c>
      <c r="D16681">
        <v>0</v>
      </c>
      <c r="E16681">
        <v>0</v>
      </c>
      <c r="F16681">
        <v>0</v>
      </c>
      <c r="G16681">
        <v>0</v>
      </c>
    </row>
    <row r="16682" spans="1:7">
      <c r="A16682" t="s">
        <v>1876</v>
      </c>
      <c r="B16682" t="s">
        <v>401</v>
      </c>
      <c r="C16682" t="s">
        <v>1724</v>
      </c>
      <c r="D16682">
        <v>0</v>
      </c>
      <c r="E16682">
        <v>0</v>
      </c>
      <c r="F16682">
        <v>0</v>
      </c>
      <c r="G16682">
        <v>0</v>
      </c>
    </row>
    <row r="16683" spans="1:7">
      <c r="A16683" t="s">
        <v>1876</v>
      </c>
      <c r="B16683" t="s">
        <v>401</v>
      </c>
      <c r="C16683" t="s">
        <v>333</v>
      </c>
      <c r="D16683">
        <v>0</v>
      </c>
      <c r="E16683">
        <v>0</v>
      </c>
      <c r="F16683">
        <v>0</v>
      </c>
      <c r="G16683">
        <v>0</v>
      </c>
    </row>
    <row r="16684" spans="1:7">
      <c r="A16684" t="s">
        <v>1876</v>
      </c>
      <c r="B16684" t="s">
        <v>401</v>
      </c>
      <c r="C16684" t="s">
        <v>334</v>
      </c>
      <c r="D16684">
        <v>0</v>
      </c>
      <c r="E16684">
        <v>0</v>
      </c>
      <c r="F16684">
        <v>0</v>
      </c>
      <c r="G16684">
        <v>0</v>
      </c>
    </row>
    <row r="16685" spans="1:7">
      <c r="A16685" t="s">
        <v>1876</v>
      </c>
      <c r="B16685" t="s">
        <v>401</v>
      </c>
      <c r="C16685" t="s">
        <v>335</v>
      </c>
      <c r="D16685">
        <v>253</v>
      </c>
      <c r="E16685">
        <v>253</v>
      </c>
      <c r="F16685">
        <v>253</v>
      </c>
      <c r="G16685">
        <v>253</v>
      </c>
    </row>
    <row r="16686" spans="1:7">
      <c r="A16686" t="s">
        <v>1876</v>
      </c>
      <c r="B16686" t="s">
        <v>401</v>
      </c>
      <c r="C16686" t="s">
        <v>336</v>
      </c>
      <c r="D16686">
        <v>0</v>
      </c>
      <c r="E16686">
        <v>0</v>
      </c>
      <c r="F16686">
        <v>0</v>
      </c>
      <c r="G16686">
        <v>0</v>
      </c>
    </row>
    <row r="16687" spans="1:7">
      <c r="A16687" t="s">
        <v>1876</v>
      </c>
      <c r="B16687" t="s">
        <v>401</v>
      </c>
      <c r="C16687" t="s">
        <v>337</v>
      </c>
      <c r="D16687">
        <v>87</v>
      </c>
      <c r="E16687">
        <v>133</v>
      </c>
      <c r="F16687">
        <v>133</v>
      </c>
      <c r="G16687">
        <v>133</v>
      </c>
    </row>
    <row r="16688" spans="1:7">
      <c r="A16688" t="s">
        <v>1876</v>
      </c>
      <c r="B16688" t="s">
        <v>401</v>
      </c>
      <c r="C16688" t="s">
        <v>338</v>
      </c>
      <c r="D16688">
        <v>1656</v>
      </c>
      <c r="E16688">
        <v>2043</v>
      </c>
      <c r="F16688">
        <v>1794</v>
      </c>
      <c r="G16688">
        <v>1706</v>
      </c>
    </row>
    <row r="16689" spans="1:7">
      <c r="A16689" t="s">
        <v>1876</v>
      </c>
      <c r="B16689" t="s">
        <v>401</v>
      </c>
      <c r="C16689" t="s">
        <v>339</v>
      </c>
      <c r="D16689">
        <v>1656</v>
      </c>
      <c r="E16689">
        <v>2043</v>
      </c>
      <c r="F16689">
        <v>1794</v>
      </c>
      <c r="G16689">
        <v>1706</v>
      </c>
    </row>
    <row r="16690" spans="1:7">
      <c r="A16690" t="s">
        <v>1876</v>
      </c>
      <c r="B16690" t="s">
        <v>401</v>
      </c>
      <c r="C16690" t="s">
        <v>340</v>
      </c>
      <c r="D16690">
        <v>0</v>
      </c>
      <c r="E16690">
        <v>0</v>
      </c>
      <c r="F16690">
        <v>0</v>
      </c>
      <c r="G16690">
        <v>0</v>
      </c>
    </row>
    <row r="16691" spans="1:7">
      <c r="A16691" t="s">
        <v>1876</v>
      </c>
      <c r="B16691" t="s">
        <v>401</v>
      </c>
      <c r="C16691" t="s">
        <v>1955</v>
      </c>
      <c r="D16691">
        <v>36.9</v>
      </c>
      <c r="E16691">
        <v>37.1</v>
      </c>
      <c r="F16691">
        <v>32.9</v>
      </c>
      <c r="G16691">
        <v>33.6</v>
      </c>
    </row>
    <row r="16692" spans="1:7">
      <c r="A16692" t="s">
        <v>1876</v>
      </c>
      <c r="B16692" t="s">
        <v>401</v>
      </c>
      <c r="C16692" t="s">
        <v>341</v>
      </c>
      <c r="D16692">
        <v>0</v>
      </c>
      <c r="E16692">
        <v>0</v>
      </c>
      <c r="F16692">
        <v>0</v>
      </c>
      <c r="G16692">
        <v>0</v>
      </c>
    </row>
    <row r="16693" spans="1:7">
      <c r="A16693" t="s">
        <v>1876</v>
      </c>
      <c r="B16693" t="s">
        <v>401</v>
      </c>
      <c r="C16693" t="s">
        <v>342</v>
      </c>
      <c r="D16693">
        <v>28824</v>
      </c>
      <c r="E16693">
        <v>33370</v>
      </c>
      <c r="F16693">
        <v>29468</v>
      </c>
      <c r="G16693">
        <v>30714</v>
      </c>
    </row>
    <row r="16694" spans="1:7">
      <c r="A16694" t="s">
        <v>1876</v>
      </c>
      <c r="B16694" t="s">
        <v>401</v>
      </c>
      <c r="C16694" t="s">
        <v>1725</v>
      </c>
      <c r="D16694">
        <v>3007</v>
      </c>
      <c r="E16694">
        <v>3007</v>
      </c>
      <c r="F16694">
        <v>3106</v>
      </c>
      <c r="G16694">
        <v>3604</v>
      </c>
    </row>
    <row r="16695" spans="1:7">
      <c r="A16695" t="s">
        <v>1876</v>
      </c>
      <c r="B16695" t="s">
        <v>401</v>
      </c>
      <c r="C16695" t="s">
        <v>343</v>
      </c>
      <c r="D16695">
        <v>0</v>
      </c>
      <c r="E16695">
        <v>0</v>
      </c>
      <c r="F16695">
        <v>0</v>
      </c>
      <c r="G16695">
        <v>0</v>
      </c>
    </row>
    <row r="16696" spans="1:7">
      <c r="A16696" t="s">
        <v>1876</v>
      </c>
      <c r="B16696" t="s">
        <v>401</v>
      </c>
      <c r="C16696" t="s">
        <v>344</v>
      </c>
      <c r="D16696">
        <v>28824</v>
      </c>
      <c r="E16696">
        <v>33370</v>
      </c>
      <c r="F16696">
        <v>29468</v>
      </c>
      <c r="G16696">
        <v>30714</v>
      </c>
    </row>
    <row r="16697" spans="1:7">
      <c r="A16697" t="s">
        <v>1876</v>
      </c>
      <c r="B16697" t="s">
        <v>401</v>
      </c>
      <c r="C16697" t="s">
        <v>345</v>
      </c>
      <c r="D16697">
        <v>0</v>
      </c>
      <c r="E16697">
        <v>0</v>
      </c>
      <c r="F16697">
        <v>0</v>
      </c>
      <c r="G16697">
        <v>0</v>
      </c>
    </row>
    <row r="16698" spans="1:7">
      <c r="A16698" t="s">
        <v>1876</v>
      </c>
      <c r="B16698" t="s">
        <v>401</v>
      </c>
      <c r="C16698" t="s">
        <v>1956</v>
      </c>
      <c r="D16698">
        <v>0</v>
      </c>
      <c r="E16698">
        <v>0</v>
      </c>
      <c r="F16698">
        <v>0</v>
      </c>
      <c r="G16698">
        <v>0</v>
      </c>
    </row>
    <row r="16699" spans="1:7">
      <c r="A16699" t="s">
        <v>1876</v>
      </c>
      <c r="B16699" t="s">
        <v>401</v>
      </c>
      <c r="C16699" t="s">
        <v>1957</v>
      </c>
      <c r="D16699">
        <v>0</v>
      </c>
      <c r="E16699">
        <v>0</v>
      </c>
      <c r="F16699">
        <v>0</v>
      </c>
      <c r="G16699">
        <v>0</v>
      </c>
    </row>
    <row r="16700" spans="1:7">
      <c r="A16700" t="s">
        <v>1876</v>
      </c>
      <c r="B16700" t="s">
        <v>401</v>
      </c>
      <c r="C16700" t="s">
        <v>346</v>
      </c>
      <c r="D16700">
        <v>413</v>
      </c>
      <c r="E16700">
        <v>393</v>
      </c>
      <c r="F16700">
        <v>256</v>
      </c>
      <c r="G16700">
        <v>359</v>
      </c>
    </row>
    <row r="16701" spans="1:7">
      <c r="A16701" t="s">
        <v>1876</v>
      </c>
      <c r="B16701" t="s">
        <v>401</v>
      </c>
      <c r="C16701" t="s">
        <v>347</v>
      </c>
      <c r="D16701">
        <v>7865</v>
      </c>
      <c r="E16701">
        <v>8441</v>
      </c>
      <c r="F16701">
        <v>8339</v>
      </c>
      <c r="G16701">
        <v>7573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17"/>
  <sheetViews>
    <sheetView workbookViewId="0">
      <selection activeCell="A11" sqref="A11"/>
    </sheetView>
  </sheetViews>
  <sheetFormatPr defaultColWidth="11.3984375" defaultRowHeight="14.25"/>
  <sheetData>
    <row r="1" spans="1:31">
      <c r="A1" t="s">
        <v>77</v>
      </c>
    </row>
    <row r="2" spans="1:31">
      <c r="A2" t="s">
        <v>78</v>
      </c>
      <c r="B2">
        <v>2024</v>
      </c>
      <c r="C2">
        <v>2025</v>
      </c>
      <c r="D2">
        <v>2026</v>
      </c>
      <c r="E2">
        <v>2027</v>
      </c>
      <c r="F2">
        <v>2028</v>
      </c>
      <c r="G2">
        <v>2029</v>
      </c>
      <c r="H2">
        <v>2030</v>
      </c>
      <c r="I2">
        <v>2031</v>
      </c>
      <c r="J2">
        <v>2032</v>
      </c>
      <c r="K2">
        <v>2033</v>
      </c>
      <c r="L2">
        <v>2034</v>
      </c>
      <c r="M2">
        <v>2035</v>
      </c>
      <c r="N2">
        <v>2036</v>
      </c>
      <c r="O2">
        <v>2037</v>
      </c>
      <c r="P2">
        <v>2038</v>
      </c>
      <c r="Q2">
        <v>2039</v>
      </c>
      <c r="R2">
        <v>2040</v>
      </c>
      <c r="S2">
        <v>2041</v>
      </c>
      <c r="T2">
        <v>2042</v>
      </c>
      <c r="U2">
        <v>2043</v>
      </c>
      <c r="V2">
        <v>2044</v>
      </c>
      <c r="W2">
        <v>2045</v>
      </c>
      <c r="X2">
        <v>2046</v>
      </c>
      <c r="Y2">
        <v>2047</v>
      </c>
      <c r="Z2">
        <v>2048</v>
      </c>
      <c r="AA2">
        <v>2049</v>
      </c>
      <c r="AB2">
        <v>2050</v>
      </c>
      <c r="AC2">
        <v>2048</v>
      </c>
      <c r="AD2">
        <v>2049</v>
      </c>
      <c r="AE2">
        <v>2050</v>
      </c>
    </row>
    <row r="3" spans="1:31">
      <c r="A3" t="s">
        <v>38</v>
      </c>
      <c r="B3">
        <v>11354</v>
      </c>
      <c r="C3">
        <v>10518</v>
      </c>
      <c r="D3">
        <v>10488</v>
      </c>
      <c r="E3">
        <v>10461</v>
      </c>
      <c r="F3">
        <v>10399</v>
      </c>
      <c r="G3">
        <v>10327</v>
      </c>
      <c r="H3">
        <v>10237</v>
      </c>
      <c r="I3">
        <v>10141</v>
      </c>
      <c r="J3">
        <v>10051</v>
      </c>
      <c r="K3">
        <v>9948</v>
      </c>
      <c r="L3">
        <v>9859</v>
      </c>
      <c r="M3">
        <v>9767</v>
      </c>
      <c r="N3">
        <v>9694</v>
      </c>
      <c r="O3">
        <v>9628</v>
      </c>
      <c r="P3">
        <v>9565</v>
      </c>
      <c r="Q3">
        <v>9500</v>
      </c>
      <c r="R3">
        <v>9440</v>
      </c>
      <c r="S3">
        <v>9380</v>
      </c>
      <c r="T3">
        <v>9325</v>
      </c>
      <c r="U3">
        <v>9274</v>
      </c>
      <c r="V3">
        <v>9232</v>
      </c>
      <c r="W3">
        <v>9195</v>
      </c>
      <c r="X3">
        <v>9164</v>
      </c>
      <c r="Y3">
        <v>9133</v>
      </c>
      <c r="Z3">
        <v>9112</v>
      </c>
      <c r="AA3">
        <v>9095</v>
      </c>
      <c r="AB3">
        <v>9092</v>
      </c>
      <c r="AC3">
        <v>11804</v>
      </c>
      <c r="AD3">
        <v>11849</v>
      </c>
      <c r="AE3">
        <v>11900</v>
      </c>
    </row>
    <row r="4" spans="1:31">
      <c r="A4" t="s">
        <v>39</v>
      </c>
      <c r="B4">
        <v>16361</v>
      </c>
      <c r="C4">
        <v>16361</v>
      </c>
      <c r="D4">
        <v>16361</v>
      </c>
      <c r="E4">
        <v>16361</v>
      </c>
      <c r="F4">
        <v>16361</v>
      </c>
      <c r="G4">
        <v>16361</v>
      </c>
      <c r="H4">
        <v>16361</v>
      </c>
      <c r="I4">
        <v>16361</v>
      </c>
      <c r="J4">
        <v>16361</v>
      </c>
      <c r="K4">
        <v>16361</v>
      </c>
      <c r="L4">
        <v>16361</v>
      </c>
      <c r="M4">
        <v>16361</v>
      </c>
      <c r="N4">
        <v>16361</v>
      </c>
      <c r="O4">
        <v>16361</v>
      </c>
      <c r="P4">
        <v>16361</v>
      </c>
      <c r="Q4">
        <v>16361</v>
      </c>
      <c r="R4">
        <v>16361</v>
      </c>
      <c r="S4">
        <v>16361</v>
      </c>
      <c r="T4">
        <v>16361</v>
      </c>
      <c r="U4">
        <v>16361</v>
      </c>
      <c r="V4">
        <v>16361</v>
      </c>
      <c r="W4">
        <v>16361</v>
      </c>
      <c r="X4">
        <v>16361</v>
      </c>
      <c r="Y4">
        <v>16361</v>
      </c>
      <c r="Z4">
        <v>16361</v>
      </c>
      <c r="AA4">
        <v>16361</v>
      </c>
      <c r="AB4">
        <v>16361</v>
      </c>
      <c r="AC4">
        <v>16680</v>
      </c>
      <c r="AD4">
        <v>16680</v>
      </c>
      <c r="AE4">
        <v>16680</v>
      </c>
    </row>
    <row r="5" spans="1:31">
      <c r="A5" t="s">
        <v>40</v>
      </c>
      <c r="B5">
        <v>685003</v>
      </c>
      <c r="C5">
        <v>685003</v>
      </c>
      <c r="D5">
        <v>685003</v>
      </c>
      <c r="E5">
        <v>685003</v>
      </c>
      <c r="F5">
        <v>685003</v>
      </c>
      <c r="G5">
        <v>685003</v>
      </c>
      <c r="H5">
        <v>685003</v>
      </c>
      <c r="I5">
        <v>685003</v>
      </c>
      <c r="J5">
        <v>685003</v>
      </c>
      <c r="K5">
        <v>685003</v>
      </c>
      <c r="L5">
        <v>685003</v>
      </c>
      <c r="M5">
        <v>685003</v>
      </c>
      <c r="N5">
        <v>685003</v>
      </c>
      <c r="O5">
        <v>685003</v>
      </c>
      <c r="P5">
        <v>685003</v>
      </c>
      <c r="Q5">
        <v>685003</v>
      </c>
      <c r="R5">
        <v>685003</v>
      </c>
      <c r="S5">
        <v>685003</v>
      </c>
      <c r="T5">
        <v>685003</v>
      </c>
      <c r="U5">
        <v>685003</v>
      </c>
      <c r="V5">
        <v>685003</v>
      </c>
      <c r="W5">
        <v>685003</v>
      </c>
      <c r="X5">
        <v>685003</v>
      </c>
      <c r="Y5">
        <v>685003</v>
      </c>
      <c r="Z5">
        <v>685003</v>
      </c>
      <c r="AA5">
        <v>685003</v>
      </c>
      <c r="AB5">
        <v>685003</v>
      </c>
      <c r="AC5">
        <v>1366021</v>
      </c>
      <c r="AD5">
        <v>1370295</v>
      </c>
      <c r="AE5">
        <v>1374610</v>
      </c>
    </row>
    <row r="6" spans="1:31">
      <c r="A6" t="s">
        <v>41</v>
      </c>
      <c r="B6">
        <v>395569</v>
      </c>
      <c r="C6">
        <v>395569</v>
      </c>
      <c r="D6">
        <v>395569</v>
      </c>
      <c r="E6">
        <v>395569</v>
      </c>
      <c r="F6">
        <v>395569</v>
      </c>
      <c r="G6">
        <v>395569</v>
      </c>
      <c r="H6">
        <v>395569</v>
      </c>
      <c r="I6">
        <v>395569</v>
      </c>
      <c r="J6">
        <v>395569</v>
      </c>
      <c r="K6">
        <v>395569</v>
      </c>
      <c r="L6">
        <v>395569</v>
      </c>
      <c r="M6">
        <v>395569</v>
      </c>
      <c r="N6">
        <v>395569</v>
      </c>
      <c r="O6">
        <v>395569</v>
      </c>
      <c r="P6">
        <v>395569</v>
      </c>
      <c r="Q6">
        <v>395569</v>
      </c>
      <c r="R6">
        <v>395569</v>
      </c>
      <c r="S6">
        <v>395569</v>
      </c>
      <c r="T6">
        <v>395569</v>
      </c>
      <c r="U6">
        <v>395569</v>
      </c>
      <c r="V6">
        <v>395569</v>
      </c>
      <c r="W6">
        <v>395569</v>
      </c>
      <c r="X6">
        <v>395569</v>
      </c>
      <c r="Y6">
        <v>395569</v>
      </c>
      <c r="Z6">
        <v>395569</v>
      </c>
      <c r="AA6">
        <v>395569</v>
      </c>
      <c r="AB6">
        <v>395569</v>
      </c>
      <c r="AC6">
        <v>395569</v>
      </c>
      <c r="AD6">
        <v>395569</v>
      </c>
      <c r="AE6">
        <v>395569</v>
      </c>
    </row>
    <row r="7" spans="1:31">
      <c r="A7" t="s">
        <v>42</v>
      </c>
      <c r="B7">
        <v>194</v>
      </c>
      <c r="C7">
        <v>194</v>
      </c>
      <c r="D7">
        <v>194</v>
      </c>
      <c r="E7">
        <v>194</v>
      </c>
      <c r="F7">
        <v>194</v>
      </c>
      <c r="G7">
        <v>194</v>
      </c>
      <c r="H7">
        <v>194</v>
      </c>
      <c r="I7">
        <v>194</v>
      </c>
      <c r="J7">
        <v>194</v>
      </c>
      <c r="K7">
        <v>194</v>
      </c>
      <c r="L7">
        <v>194</v>
      </c>
      <c r="M7">
        <v>194</v>
      </c>
      <c r="N7">
        <v>194</v>
      </c>
      <c r="O7">
        <v>194</v>
      </c>
      <c r="P7">
        <v>194</v>
      </c>
      <c r="Q7">
        <v>194</v>
      </c>
      <c r="R7">
        <v>194</v>
      </c>
      <c r="S7">
        <v>194</v>
      </c>
      <c r="T7">
        <v>194</v>
      </c>
      <c r="U7">
        <v>194</v>
      </c>
      <c r="V7">
        <v>194</v>
      </c>
      <c r="W7">
        <v>194</v>
      </c>
      <c r="X7">
        <v>194</v>
      </c>
      <c r="Y7">
        <v>194</v>
      </c>
      <c r="Z7">
        <v>194</v>
      </c>
      <c r="AA7">
        <v>194</v>
      </c>
      <c r="AB7">
        <v>194</v>
      </c>
      <c r="AC7">
        <v>194</v>
      </c>
      <c r="AD7">
        <v>194</v>
      </c>
      <c r="AE7">
        <v>194</v>
      </c>
    </row>
    <row r="8" spans="1:31">
      <c r="A8" t="s">
        <v>43</v>
      </c>
      <c r="B8">
        <v>8797</v>
      </c>
      <c r="C8">
        <v>8797</v>
      </c>
      <c r="D8">
        <v>8797</v>
      </c>
      <c r="E8">
        <v>8797</v>
      </c>
      <c r="F8">
        <v>8797</v>
      </c>
      <c r="G8">
        <v>8797</v>
      </c>
      <c r="H8">
        <v>8797</v>
      </c>
      <c r="I8">
        <v>8797</v>
      </c>
      <c r="J8">
        <v>8797</v>
      </c>
      <c r="K8">
        <v>8797</v>
      </c>
      <c r="L8">
        <v>8797</v>
      </c>
      <c r="M8">
        <v>8797</v>
      </c>
      <c r="N8">
        <v>8797</v>
      </c>
      <c r="O8">
        <v>8797</v>
      </c>
      <c r="P8">
        <v>8797</v>
      </c>
      <c r="Q8">
        <v>8797</v>
      </c>
      <c r="R8">
        <v>8797</v>
      </c>
      <c r="S8">
        <v>8797</v>
      </c>
      <c r="T8">
        <v>8797</v>
      </c>
      <c r="U8">
        <v>8797</v>
      </c>
      <c r="V8">
        <v>8797</v>
      </c>
      <c r="W8">
        <v>8797</v>
      </c>
      <c r="X8">
        <v>8797</v>
      </c>
      <c r="Y8">
        <v>8797</v>
      </c>
      <c r="Z8">
        <v>8797</v>
      </c>
      <c r="AA8">
        <v>8797</v>
      </c>
      <c r="AB8">
        <v>8797</v>
      </c>
      <c r="AC8">
        <v>2093</v>
      </c>
      <c r="AD8">
        <v>2093</v>
      </c>
      <c r="AE8">
        <v>2093</v>
      </c>
    </row>
    <row r="10" spans="1:31">
      <c r="A10" t="s">
        <v>79</v>
      </c>
    </row>
    <row r="11" spans="1:31">
      <c r="A11" t="s">
        <v>78</v>
      </c>
      <c r="B11">
        <v>2024</v>
      </c>
      <c r="C11">
        <v>2025</v>
      </c>
      <c r="D11">
        <v>2026</v>
      </c>
      <c r="E11">
        <v>2027</v>
      </c>
      <c r="F11">
        <v>2028</v>
      </c>
      <c r="G11">
        <v>2029</v>
      </c>
      <c r="H11">
        <v>2030</v>
      </c>
      <c r="I11">
        <v>2031</v>
      </c>
      <c r="J11">
        <v>2032</v>
      </c>
      <c r="K11">
        <v>2033</v>
      </c>
      <c r="L11">
        <v>2034</v>
      </c>
      <c r="M11">
        <v>2035</v>
      </c>
      <c r="N11">
        <v>2036</v>
      </c>
      <c r="O11">
        <v>2037</v>
      </c>
      <c r="P11">
        <v>2038</v>
      </c>
      <c r="Q11">
        <v>2039</v>
      </c>
      <c r="R11">
        <v>2040</v>
      </c>
      <c r="S11">
        <v>2041</v>
      </c>
      <c r="T11">
        <v>2042</v>
      </c>
      <c r="U11">
        <v>2043</v>
      </c>
      <c r="V11">
        <v>2044</v>
      </c>
      <c r="W11">
        <v>2045</v>
      </c>
      <c r="X11">
        <v>2046</v>
      </c>
      <c r="Y11">
        <v>2047</v>
      </c>
      <c r="Z11">
        <v>2048</v>
      </c>
      <c r="AA11">
        <v>2049</v>
      </c>
      <c r="AB11">
        <v>2050</v>
      </c>
      <c r="AC11">
        <v>2048</v>
      </c>
      <c r="AD11">
        <v>2049</v>
      </c>
      <c r="AE11">
        <v>2050</v>
      </c>
    </row>
    <row r="12" spans="1:31">
      <c r="A12" t="s">
        <v>38</v>
      </c>
      <c r="B12">
        <v>9797</v>
      </c>
      <c r="C12">
        <v>9797</v>
      </c>
      <c r="D12">
        <v>9782</v>
      </c>
      <c r="E12">
        <v>9778</v>
      </c>
      <c r="F12">
        <v>9750</v>
      </c>
      <c r="G12">
        <v>9718</v>
      </c>
      <c r="H12">
        <v>9714</v>
      </c>
      <c r="I12">
        <v>9691</v>
      </c>
      <c r="J12">
        <v>9669</v>
      </c>
      <c r="K12">
        <v>9644</v>
      </c>
      <c r="L12">
        <v>9645</v>
      </c>
      <c r="M12">
        <v>9658</v>
      </c>
      <c r="N12">
        <v>9681</v>
      </c>
      <c r="O12">
        <v>9721</v>
      </c>
      <c r="P12">
        <v>9777</v>
      </c>
      <c r="Q12">
        <v>9839</v>
      </c>
      <c r="R12">
        <v>9911</v>
      </c>
      <c r="S12">
        <v>9969</v>
      </c>
      <c r="T12">
        <v>10020</v>
      </c>
      <c r="U12">
        <v>10030</v>
      </c>
      <c r="V12">
        <v>10027</v>
      </c>
      <c r="W12">
        <v>10040</v>
      </c>
      <c r="X12">
        <v>10066</v>
      </c>
      <c r="Y12">
        <v>10101</v>
      </c>
      <c r="Z12">
        <v>10132</v>
      </c>
      <c r="AA12">
        <v>10185</v>
      </c>
      <c r="AB12">
        <v>10246</v>
      </c>
      <c r="AC12">
        <v>10690</v>
      </c>
      <c r="AD12">
        <v>10741</v>
      </c>
      <c r="AE12">
        <v>10830</v>
      </c>
    </row>
    <row r="13" spans="1:31">
      <c r="A13" t="s">
        <v>39</v>
      </c>
      <c r="B13">
        <v>35195</v>
      </c>
      <c r="C13">
        <v>35195</v>
      </c>
      <c r="D13">
        <v>35195</v>
      </c>
      <c r="E13">
        <v>35195</v>
      </c>
      <c r="F13">
        <v>35195</v>
      </c>
      <c r="G13">
        <v>35195</v>
      </c>
      <c r="H13">
        <v>35195</v>
      </c>
      <c r="I13">
        <v>35195</v>
      </c>
      <c r="J13">
        <v>35195</v>
      </c>
      <c r="K13">
        <v>35195</v>
      </c>
      <c r="L13">
        <v>35195</v>
      </c>
      <c r="M13">
        <v>35195</v>
      </c>
      <c r="N13">
        <v>35195</v>
      </c>
      <c r="O13">
        <v>35195</v>
      </c>
      <c r="P13">
        <v>35195</v>
      </c>
      <c r="Q13">
        <v>35195</v>
      </c>
      <c r="R13">
        <v>35195</v>
      </c>
      <c r="S13">
        <v>35195</v>
      </c>
      <c r="T13">
        <v>35195</v>
      </c>
      <c r="U13">
        <v>35195</v>
      </c>
      <c r="V13">
        <v>35195</v>
      </c>
      <c r="W13">
        <v>35195</v>
      </c>
      <c r="X13">
        <v>35195</v>
      </c>
      <c r="Y13">
        <v>35195</v>
      </c>
      <c r="Z13">
        <v>35195</v>
      </c>
      <c r="AA13">
        <v>35195</v>
      </c>
      <c r="AB13">
        <v>35195</v>
      </c>
      <c r="AC13">
        <v>31564</v>
      </c>
      <c r="AD13">
        <v>31573</v>
      </c>
      <c r="AE13">
        <v>31720</v>
      </c>
    </row>
    <row r="14" spans="1:31">
      <c r="A14" t="s">
        <v>40</v>
      </c>
      <c r="B14">
        <v>889421</v>
      </c>
      <c r="C14">
        <v>889421</v>
      </c>
      <c r="D14">
        <v>889421</v>
      </c>
      <c r="E14">
        <v>889421</v>
      </c>
      <c r="F14">
        <v>889421</v>
      </c>
      <c r="G14">
        <v>889421</v>
      </c>
      <c r="H14">
        <v>889421</v>
      </c>
      <c r="I14">
        <v>889421</v>
      </c>
      <c r="J14">
        <v>889421</v>
      </c>
      <c r="K14">
        <v>889421</v>
      </c>
      <c r="L14">
        <v>889421</v>
      </c>
      <c r="M14">
        <v>889421</v>
      </c>
      <c r="N14">
        <v>889421</v>
      </c>
      <c r="O14">
        <v>889421</v>
      </c>
      <c r="P14">
        <v>889421</v>
      </c>
      <c r="Q14">
        <v>889421</v>
      </c>
      <c r="R14">
        <v>889421</v>
      </c>
      <c r="S14">
        <v>889421</v>
      </c>
      <c r="T14">
        <v>889421</v>
      </c>
      <c r="U14">
        <v>889421</v>
      </c>
      <c r="V14">
        <v>889421</v>
      </c>
      <c r="W14">
        <v>889421</v>
      </c>
      <c r="X14">
        <v>889421</v>
      </c>
      <c r="Y14">
        <v>889421</v>
      </c>
      <c r="Z14">
        <v>889421</v>
      </c>
      <c r="AA14">
        <v>889421</v>
      </c>
      <c r="AB14">
        <v>889421</v>
      </c>
      <c r="AC14">
        <v>988086</v>
      </c>
      <c r="AD14">
        <v>988086</v>
      </c>
      <c r="AE14">
        <v>988086</v>
      </c>
    </row>
    <row r="15" spans="1:31">
      <c r="A15" t="s">
        <v>41</v>
      </c>
      <c r="B15">
        <v>17005</v>
      </c>
      <c r="C15">
        <v>17005</v>
      </c>
      <c r="D15">
        <v>17005</v>
      </c>
      <c r="E15">
        <v>17005</v>
      </c>
      <c r="F15">
        <v>17005</v>
      </c>
      <c r="G15">
        <v>17005</v>
      </c>
      <c r="H15">
        <v>17005</v>
      </c>
      <c r="I15">
        <v>17005</v>
      </c>
      <c r="J15">
        <v>17005</v>
      </c>
      <c r="K15">
        <v>17005</v>
      </c>
      <c r="L15">
        <v>17005</v>
      </c>
      <c r="M15">
        <v>17005</v>
      </c>
      <c r="N15">
        <v>17005</v>
      </c>
      <c r="O15">
        <v>17005</v>
      </c>
      <c r="P15">
        <v>17005</v>
      </c>
      <c r="Q15">
        <v>17005</v>
      </c>
      <c r="R15">
        <v>17005</v>
      </c>
      <c r="S15">
        <v>17005</v>
      </c>
      <c r="T15">
        <v>17005</v>
      </c>
      <c r="U15">
        <v>17005</v>
      </c>
      <c r="V15">
        <v>17005</v>
      </c>
      <c r="W15">
        <v>17005</v>
      </c>
      <c r="X15">
        <v>17005</v>
      </c>
      <c r="Y15">
        <v>17005</v>
      </c>
      <c r="Z15">
        <v>17005</v>
      </c>
      <c r="AA15">
        <v>17005</v>
      </c>
      <c r="AB15">
        <v>17005</v>
      </c>
      <c r="AC15">
        <v>18501</v>
      </c>
      <c r="AD15">
        <v>18501</v>
      </c>
      <c r="AE15">
        <v>18501</v>
      </c>
    </row>
    <row r="16" spans="1:31">
      <c r="A16" t="s">
        <v>42</v>
      </c>
      <c r="B16">
        <v>7513092</v>
      </c>
      <c r="C16">
        <v>7513092</v>
      </c>
      <c r="D16">
        <v>7513092</v>
      </c>
      <c r="E16">
        <v>7513092</v>
      </c>
      <c r="F16">
        <v>7513092</v>
      </c>
      <c r="G16">
        <v>7513092</v>
      </c>
      <c r="H16">
        <v>7513092</v>
      </c>
      <c r="I16">
        <v>7513092</v>
      </c>
      <c r="J16">
        <v>7513092</v>
      </c>
      <c r="K16">
        <v>7513092</v>
      </c>
      <c r="L16">
        <v>7513092</v>
      </c>
      <c r="M16">
        <v>7513092</v>
      </c>
      <c r="N16">
        <v>7513092</v>
      </c>
      <c r="O16">
        <v>7513092</v>
      </c>
      <c r="P16">
        <v>7513092</v>
      </c>
      <c r="Q16">
        <v>7513092</v>
      </c>
      <c r="R16">
        <v>7513092</v>
      </c>
      <c r="S16">
        <v>7513092</v>
      </c>
      <c r="T16">
        <v>7513092</v>
      </c>
      <c r="U16">
        <v>7513092</v>
      </c>
      <c r="V16">
        <v>7513092</v>
      </c>
      <c r="W16">
        <v>7513092</v>
      </c>
      <c r="X16">
        <v>7513092</v>
      </c>
      <c r="Y16">
        <v>7513092</v>
      </c>
      <c r="Z16">
        <v>7513092</v>
      </c>
      <c r="AA16">
        <v>7513092</v>
      </c>
      <c r="AB16">
        <v>7513092</v>
      </c>
      <c r="AC16">
        <v>218680</v>
      </c>
      <c r="AD16">
        <v>218680</v>
      </c>
      <c r="AE16">
        <v>218680</v>
      </c>
    </row>
    <row r="17" spans="1:31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0C2C-8E09-4BA4-BE90-BE1845B6E34C}">
  <dimension ref="A1:B11"/>
  <sheetViews>
    <sheetView workbookViewId="0">
      <selection activeCell="C14" sqref="C14"/>
    </sheetView>
  </sheetViews>
  <sheetFormatPr defaultRowHeight="14.25"/>
  <cols>
    <col min="1" max="1" width="23.265625" bestFit="1" customWidth="1"/>
  </cols>
  <sheetData>
    <row r="1" spans="1:2" ht="28.5">
      <c r="A1" s="5" t="s">
        <v>1730</v>
      </c>
      <c r="B1">
        <v>2021</v>
      </c>
    </row>
    <row r="2" spans="1:2">
      <c r="A2" t="s">
        <v>1731</v>
      </c>
      <c r="B2">
        <v>0</v>
      </c>
    </row>
    <row r="3" spans="1:2">
      <c r="A3" t="s">
        <v>1732</v>
      </c>
      <c r="B3">
        <v>0</v>
      </c>
    </row>
    <row r="4" spans="1:2">
      <c r="A4" t="s">
        <v>69</v>
      </c>
      <c r="B4">
        <v>0</v>
      </c>
    </row>
    <row r="5" spans="1:2">
      <c r="A5" t="s">
        <v>68</v>
      </c>
      <c r="B5">
        <v>0.25</v>
      </c>
    </row>
    <row r="6" spans="1:2">
      <c r="A6" t="s">
        <v>1733</v>
      </c>
      <c r="B6">
        <v>0</v>
      </c>
    </row>
    <row r="7" spans="1:2">
      <c r="A7" t="s">
        <v>1734</v>
      </c>
      <c r="B7">
        <v>0</v>
      </c>
    </row>
    <row r="8" spans="1:2">
      <c r="A8" t="s">
        <v>67</v>
      </c>
      <c r="B8">
        <v>0</v>
      </c>
    </row>
    <row r="9" spans="1:2">
      <c r="A9" t="s">
        <v>1735</v>
      </c>
      <c r="B9">
        <v>0.75</v>
      </c>
    </row>
    <row r="10" spans="1:2">
      <c r="A10" t="s">
        <v>1736</v>
      </c>
      <c r="B10">
        <v>0</v>
      </c>
    </row>
    <row r="11" spans="1:2">
      <c r="A11" t="s">
        <v>1737</v>
      </c>
      <c r="B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4E2D4-6B4B-4085-A2CA-91F7D50795B5}">
  <sheetPr>
    <tabColor theme="6"/>
  </sheetPr>
  <dimension ref="A2:AO161"/>
  <sheetViews>
    <sheetView topLeftCell="A56" workbookViewId="0">
      <selection activeCell="A68" sqref="A68"/>
    </sheetView>
  </sheetViews>
  <sheetFormatPr defaultColWidth="8.86328125" defaultRowHeight="14.25"/>
  <cols>
    <col min="2" max="4" width="16.73046875" customWidth="1"/>
    <col min="5" max="5" width="21.86328125" bestFit="1" customWidth="1"/>
    <col min="6" max="7" width="20.73046875" bestFit="1" customWidth="1"/>
    <col min="8" max="8" width="27.265625" bestFit="1" customWidth="1"/>
    <col min="9" max="10" width="16.73046875" customWidth="1"/>
    <col min="11" max="11" width="22.73046875" bestFit="1" customWidth="1"/>
  </cols>
  <sheetData>
    <row r="2" spans="1:7">
      <c r="B2" s="2" t="s">
        <v>57</v>
      </c>
      <c r="C2" s="2" t="s">
        <v>58</v>
      </c>
      <c r="D2" s="12"/>
      <c r="E2" s="12"/>
    </row>
    <row r="3" spans="1:7">
      <c r="C3" t="s">
        <v>59</v>
      </c>
      <c r="D3">
        <v>120476</v>
      </c>
      <c r="E3" s="27"/>
    </row>
    <row r="4" spans="1:7">
      <c r="C4" t="s">
        <v>60</v>
      </c>
      <c r="D4">
        <v>137452</v>
      </c>
    </row>
    <row r="5" spans="1:7">
      <c r="C5" t="s">
        <v>1531</v>
      </c>
      <c r="D5">
        <f>10^9</f>
        <v>1000000000</v>
      </c>
    </row>
    <row r="7" spans="1:7">
      <c r="B7" s="2" t="s">
        <v>61</v>
      </c>
      <c r="C7" s="2" t="s">
        <v>62</v>
      </c>
      <c r="D7" s="2"/>
      <c r="E7" s="2"/>
    </row>
    <row r="8" spans="1:7">
      <c r="C8" s="13" t="s">
        <v>63</v>
      </c>
      <c r="D8" s="14"/>
      <c r="E8" s="14"/>
    </row>
    <row r="9" spans="1:7">
      <c r="C9" t="s">
        <v>64</v>
      </c>
      <c r="E9" t="s">
        <v>65</v>
      </c>
    </row>
    <row r="10" spans="1:7">
      <c r="E10" s="16">
        <v>2024</v>
      </c>
    </row>
    <row r="11" spans="1:7">
      <c r="A11" s="82" t="s">
        <v>215</v>
      </c>
      <c r="B11" s="83" t="s">
        <v>137</v>
      </c>
      <c r="C11" t="s">
        <v>66</v>
      </c>
      <c r="D11" t="s">
        <v>48</v>
      </c>
      <c r="E11" s="40">
        <f>SUM(SUMIFS(SEDS_use_all_btu!G:G,SEDS_use_all_btu!B:B,About!$B$2,SEDS_use_all_btu!C:C,$A11),SUMIFS(SEDS_use_all_btu!G:G,SEDS_use_all_btu!B:B,About!$B$2,SEDS_use_all_btu!C:C,$B11))*$D$5</f>
        <v>145987000000000</v>
      </c>
    </row>
    <row r="12" spans="1:7">
      <c r="A12" s="82" t="s">
        <v>140</v>
      </c>
      <c r="B12" s="83" t="s">
        <v>160</v>
      </c>
      <c r="C12" t="s">
        <v>66</v>
      </c>
      <c r="D12" t="s">
        <v>1530</v>
      </c>
      <c r="E12" s="40">
        <f>SUM(SUMIFS(SEDS_use_all_btu!G:G,SEDS_use_all_btu!B:B,About!$B$2,SEDS_use_all_btu!C:C,$A12),SUMIFS(SEDS_use_all_btu!G:G,SEDS_use_all_btu!B:B,About!$B$2,SEDS_use_all_btu!C:C,$B12))*$D$5</f>
        <v>195720000000000</v>
      </c>
    </row>
    <row r="13" spans="1:7">
      <c r="A13" s="82"/>
      <c r="B13" s="83" t="s">
        <v>234</v>
      </c>
      <c r="C13" t="s">
        <v>66</v>
      </c>
      <c r="D13" t="s">
        <v>1534</v>
      </c>
      <c r="E13" s="40">
        <f>SUMIFS(SEDS_use_all_btu!G:G,SEDS_use_all_btu!B:B,About!$B$2,SEDS_use_all_btu!C:C,$B13)*$D$5</f>
        <v>571598000000000</v>
      </c>
    </row>
    <row r="14" spans="1:7">
      <c r="B14" s="83" t="s">
        <v>286</v>
      </c>
      <c r="C14" t="s">
        <v>66</v>
      </c>
      <c r="D14" t="s">
        <v>1728</v>
      </c>
      <c r="E14" s="40">
        <f>SUMIFS(SEDS_use_all_btu!G:G,SEDS_use_all_btu!B:B,About!$B$2,SEDS_use_all_btu!C:C,$B14)*$D$5</f>
        <v>6307000000000</v>
      </c>
      <c r="G14" s="33"/>
    </row>
    <row r="15" spans="1:7">
      <c r="B15" s="44"/>
      <c r="G15" s="33"/>
    </row>
    <row r="16" spans="1:7" ht="15.95" customHeight="1">
      <c r="G16" s="25"/>
    </row>
    <row r="17" spans="2:9" ht="15.95" customHeight="1">
      <c r="B17" s="2" t="s">
        <v>1538</v>
      </c>
      <c r="C17" s="2"/>
      <c r="D17" s="12"/>
      <c r="E17" s="12"/>
      <c r="F17" s="12"/>
      <c r="G17" s="12"/>
    </row>
    <row r="18" spans="2:9" ht="15.95" customHeight="1">
      <c r="C18" s="13" t="s">
        <v>1540</v>
      </c>
      <c r="D18" s="14"/>
      <c r="E18" s="14"/>
      <c r="F18" s="15"/>
      <c r="G18" s="14"/>
    </row>
    <row r="19" spans="2:9" ht="15.95" customHeight="1">
      <c r="C19" s="16"/>
      <c r="E19" s="18" t="s">
        <v>70</v>
      </c>
      <c r="F19" s="17" t="s">
        <v>71</v>
      </c>
      <c r="G19" s="18" t="s">
        <v>67</v>
      </c>
    </row>
    <row r="20" spans="2:9" ht="15.95" customHeight="1">
      <c r="C20" s="5" t="s">
        <v>66</v>
      </c>
      <c r="E20" t="s">
        <v>69</v>
      </c>
      <c r="F20" t="s">
        <v>68</v>
      </c>
      <c r="G20" t="s">
        <v>67</v>
      </c>
    </row>
    <row r="21" spans="2:9" ht="15.95" customHeight="1">
      <c r="D21" s="19" t="s">
        <v>52</v>
      </c>
      <c r="E21" s="26">
        <f>IFERROR(E101*E117*E132/E86,0)</f>
        <v>516030376802168.06</v>
      </c>
      <c r="F21" s="26">
        <f t="shared" ref="F21" si="0">IFERROR(F101*F117*F132/F86,0)</f>
        <v>2556429508254.8755</v>
      </c>
      <c r="G21" s="20"/>
    </row>
    <row r="22" spans="2:9" ht="15.95" customHeight="1">
      <c r="D22" s="21" t="s">
        <v>51</v>
      </c>
      <c r="E22" s="33">
        <f t="shared" ref="E22:G31" si="1">IFERROR(E102*E118*E133/E87,0)</f>
        <v>1500263156574.9495</v>
      </c>
      <c r="F22" s="33">
        <f t="shared" si="1"/>
        <v>9828310856152.8809</v>
      </c>
      <c r="G22" s="22"/>
    </row>
    <row r="23" spans="2:9" ht="15.95" customHeight="1">
      <c r="D23" s="21" t="s">
        <v>72</v>
      </c>
      <c r="E23" s="33"/>
      <c r="F23" s="33"/>
      <c r="G23" s="22">
        <f t="shared" si="1"/>
        <v>103944914937359.44</v>
      </c>
    </row>
    <row r="24" spans="2:9">
      <c r="D24" s="21" t="s">
        <v>54</v>
      </c>
      <c r="E24" s="33">
        <f>IFERROR(E104*E120*E135/E89,0)</f>
        <v>0</v>
      </c>
      <c r="F24" s="33">
        <f>IFERROR(F104*F120*F135/F89,0)</f>
        <v>0</v>
      </c>
      <c r="G24" s="22"/>
    </row>
    <row r="25" spans="2:9">
      <c r="D25" s="21" t="s">
        <v>53</v>
      </c>
      <c r="E25" s="90">
        <f t="shared" si="1"/>
        <v>4636839223745.8311</v>
      </c>
      <c r="F25" s="90">
        <f t="shared" si="1"/>
        <v>1130364879889.4917</v>
      </c>
      <c r="G25" s="22"/>
    </row>
    <row r="26" spans="2:9">
      <c r="D26" s="23" t="s">
        <v>43</v>
      </c>
      <c r="E26" s="28">
        <f t="shared" si="1"/>
        <v>1356726372222.1885</v>
      </c>
      <c r="F26" s="28">
        <f t="shared" si="1"/>
        <v>0</v>
      </c>
      <c r="G26" s="24"/>
    </row>
    <row r="27" spans="2:9">
      <c r="D27" s="19" t="s">
        <v>49</v>
      </c>
      <c r="E27" s="29">
        <f t="shared" si="1"/>
        <v>14230710580135.469</v>
      </c>
      <c r="F27" s="29">
        <f t="shared" si="1"/>
        <v>12669250419999.389</v>
      </c>
      <c r="G27" s="20"/>
    </row>
    <row r="28" spans="2:9">
      <c r="D28" s="21" t="s">
        <v>50</v>
      </c>
      <c r="E28" s="33">
        <f t="shared" si="1"/>
        <v>1243432323237.7524</v>
      </c>
      <c r="F28" s="33">
        <f t="shared" si="1"/>
        <v>159228750037097.41</v>
      </c>
      <c r="G28" s="22"/>
    </row>
    <row r="29" spans="2:9">
      <c r="D29" s="21" t="s">
        <v>73</v>
      </c>
      <c r="E29" s="33"/>
      <c r="F29" s="33"/>
      <c r="G29" s="22">
        <f t="shared" si="1"/>
        <v>7610190283869.4141</v>
      </c>
    </row>
    <row r="30" spans="2:9">
      <c r="D30" s="21" t="s">
        <v>55</v>
      </c>
      <c r="E30" s="33">
        <f t="shared" si="1"/>
        <v>0</v>
      </c>
      <c r="F30" s="33">
        <f>IFERROR(F110*F126*F141/F95,0)</f>
        <v>18962288454292.266</v>
      </c>
      <c r="G30" s="22"/>
    </row>
    <row r="31" spans="2:9">
      <c r="D31" s="23" t="s">
        <v>56</v>
      </c>
      <c r="E31" s="30">
        <f t="shared" si="1"/>
        <v>0</v>
      </c>
      <c r="F31" s="30">
        <f>IFERROR(F111*F127*F142/F96,0)*'BPoEFUbVT-ships-frgt-dslveh'!B5</f>
        <v>61579919944.364906</v>
      </c>
      <c r="G31" s="24"/>
      <c r="H31" s="37"/>
      <c r="I31" s="37"/>
    </row>
    <row r="32" spans="2:9">
      <c r="D32" s="91" t="s">
        <v>1541</v>
      </c>
      <c r="E32" s="92">
        <f>SUM(E21:E31)</f>
        <v>538998348458084.25</v>
      </c>
      <c r="F32" s="92">
        <f t="shared" ref="F32:G32" si="2">SUM(F21:F31)</f>
        <v>204436974075630.69</v>
      </c>
      <c r="G32" s="92">
        <f t="shared" si="2"/>
        <v>111555105221228.84</v>
      </c>
    </row>
    <row r="33" spans="3:41">
      <c r="D33" s="16"/>
      <c r="E33" s="92"/>
      <c r="F33" s="92"/>
      <c r="G33" s="92"/>
    </row>
    <row r="34" spans="3:41">
      <c r="C34" s="13" t="s">
        <v>1542</v>
      </c>
      <c r="D34" s="14"/>
      <c r="E34" s="14"/>
      <c r="F34" s="15"/>
      <c r="G34" s="14"/>
    </row>
    <row r="35" spans="3:41">
      <c r="C35" s="16"/>
      <c r="E35" s="18" t="s">
        <v>70</v>
      </c>
      <c r="F35" s="17" t="s">
        <v>71</v>
      </c>
      <c r="G35" s="18" t="s">
        <v>67</v>
      </c>
    </row>
    <row r="36" spans="3:41">
      <c r="C36" s="5" t="s">
        <v>66</v>
      </c>
      <c r="E36" t="s">
        <v>69</v>
      </c>
      <c r="F36" t="s">
        <v>68</v>
      </c>
      <c r="G36" t="s">
        <v>67</v>
      </c>
    </row>
    <row r="37" spans="3:41">
      <c r="D37" s="19" t="s">
        <v>52</v>
      </c>
      <c r="E37" s="109">
        <f>E21/E$32</f>
        <v>0.95738767712067985</v>
      </c>
      <c r="F37" s="94">
        <f t="shared" ref="F37:G37" si="3">F21/F$32</f>
        <v>1.2504731689626427E-2</v>
      </c>
      <c r="G37" s="95">
        <f t="shared" si="3"/>
        <v>0</v>
      </c>
    </row>
    <row r="38" spans="3:41">
      <c r="D38" s="21" t="s">
        <v>51</v>
      </c>
      <c r="E38" s="37">
        <f t="shared" ref="E38:E47" si="4">E22/E$32</f>
        <v>2.7834281141431343E-3</v>
      </c>
      <c r="F38" s="110">
        <f t="shared" ref="F38:G47" si="5">F22/F$32</f>
        <v>4.8075016276248224E-2</v>
      </c>
      <c r="G38" s="96">
        <f t="shared" si="5"/>
        <v>0</v>
      </c>
    </row>
    <row r="39" spans="3:41">
      <c r="D39" s="21" t="s">
        <v>72</v>
      </c>
      <c r="E39" s="37">
        <f t="shared" si="4"/>
        <v>0</v>
      </c>
      <c r="F39" s="37">
        <f t="shared" si="5"/>
        <v>0</v>
      </c>
      <c r="G39" s="111">
        <f t="shared" si="5"/>
        <v>0.93178088740289056</v>
      </c>
    </row>
    <row r="40" spans="3:41">
      <c r="D40" s="21" t="s">
        <v>54</v>
      </c>
      <c r="E40" s="37">
        <f t="shared" si="4"/>
        <v>0</v>
      </c>
      <c r="F40" s="110">
        <f>F24/F$32</f>
        <v>0</v>
      </c>
      <c r="G40" s="96">
        <f t="shared" si="5"/>
        <v>0</v>
      </c>
    </row>
    <row r="41" spans="3:41">
      <c r="D41" s="21" t="s">
        <v>53</v>
      </c>
      <c r="E41" s="110">
        <f t="shared" si="4"/>
        <v>8.6026965333204902E-3</v>
      </c>
      <c r="F41" s="37">
        <f t="shared" si="5"/>
        <v>5.5291606863214354E-3</v>
      </c>
      <c r="G41" s="96">
        <f t="shared" si="5"/>
        <v>0</v>
      </c>
    </row>
    <row r="42" spans="3:41">
      <c r="D42" s="23" t="s">
        <v>43</v>
      </c>
      <c r="E42" s="113">
        <f t="shared" si="4"/>
        <v>2.517125286382386E-3</v>
      </c>
      <c r="F42" s="97">
        <f t="shared" si="5"/>
        <v>0</v>
      </c>
      <c r="G42" s="98">
        <f t="shared" si="5"/>
        <v>0</v>
      </c>
    </row>
    <row r="43" spans="3:41">
      <c r="D43" s="19" t="s">
        <v>49</v>
      </c>
      <c r="E43" s="109">
        <f t="shared" si="4"/>
        <v>2.6402141343930544E-2</v>
      </c>
      <c r="F43" s="94">
        <f t="shared" si="5"/>
        <v>6.1971424089423507E-2</v>
      </c>
      <c r="G43" s="95">
        <f t="shared" si="5"/>
        <v>0</v>
      </c>
    </row>
    <row r="44" spans="3:41">
      <c r="D44" s="21" t="s">
        <v>50</v>
      </c>
      <c r="E44" s="37">
        <f t="shared" si="4"/>
        <v>2.3069316015435792E-3</v>
      </c>
      <c r="F44" s="110">
        <f t="shared" si="5"/>
        <v>0.7788647369540469</v>
      </c>
      <c r="G44" s="96">
        <f t="shared" si="5"/>
        <v>0</v>
      </c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</row>
    <row r="45" spans="3:41">
      <c r="D45" s="21" t="s">
        <v>73</v>
      </c>
      <c r="E45" s="37">
        <f t="shared" si="4"/>
        <v>0</v>
      </c>
      <c r="F45" s="37">
        <f t="shared" si="5"/>
        <v>0</v>
      </c>
      <c r="G45" s="111">
        <f t="shared" si="5"/>
        <v>6.8219112597109555E-2</v>
      </c>
    </row>
    <row r="46" spans="3:41">
      <c r="D46" s="21" t="s">
        <v>55</v>
      </c>
      <c r="E46" s="37">
        <f t="shared" si="4"/>
        <v>0</v>
      </c>
      <c r="F46" s="110">
        <f t="shared" si="5"/>
        <v>9.275371316774253E-2</v>
      </c>
      <c r="G46" s="96">
        <f t="shared" si="5"/>
        <v>0</v>
      </c>
    </row>
    <row r="47" spans="3:41">
      <c r="D47" s="23" t="s">
        <v>56</v>
      </c>
      <c r="E47" s="97">
        <f t="shared" si="4"/>
        <v>0</v>
      </c>
      <c r="F47" s="112">
        <f t="shared" si="5"/>
        <v>3.0121713659087739E-4</v>
      </c>
      <c r="G47" s="98">
        <f t="shared" si="5"/>
        <v>0</v>
      </c>
    </row>
    <row r="48" spans="3:41">
      <c r="D48" s="91" t="s">
        <v>1541</v>
      </c>
      <c r="E48" s="93">
        <f>SUM(E37:E47)</f>
        <v>1</v>
      </c>
      <c r="F48" s="93">
        <f t="shared" ref="F48:G48" si="6">SUM(F37:F47)</f>
        <v>0.99999999999999989</v>
      </c>
      <c r="G48" s="93">
        <f t="shared" si="6"/>
        <v>1</v>
      </c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</row>
    <row r="49" spans="3:41">
      <c r="E49" s="37"/>
      <c r="F49" s="37"/>
      <c r="G49" s="37"/>
    </row>
    <row r="50" spans="3:41">
      <c r="C50" s="13" t="s">
        <v>1543</v>
      </c>
      <c r="D50" s="14"/>
      <c r="E50" s="14"/>
      <c r="F50" s="15"/>
      <c r="G50" s="14"/>
      <c r="K50" s="100"/>
      <c r="L50" s="37"/>
    </row>
    <row r="51" spans="3:41">
      <c r="C51" s="16"/>
      <c r="E51" s="18" t="s">
        <v>70</v>
      </c>
      <c r="F51" s="17" t="s">
        <v>71</v>
      </c>
      <c r="G51" s="18" t="s">
        <v>67</v>
      </c>
      <c r="H51" t="s">
        <v>1546</v>
      </c>
      <c r="L51" s="37"/>
    </row>
    <row r="52" spans="3:41">
      <c r="C52" s="5" t="s">
        <v>66</v>
      </c>
      <c r="E52" t="s">
        <v>69</v>
      </c>
      <c r="F52" t="s">
        <v>68</v>
      </c>
      <c r="G52" t="s">
        <v>67</v>
      </c>
      <c r="K52" s="33"/>
    </row>
    <row r="53" spans="3:41">
      <c r="D53" s="19" t="s">
        <v>52</v>
      </c>
      <c r="E53" s="89">
        <f>E37*$E$13</f>
        <v>547240881466826.38</v>
      </c>
      <c r="F53" s="89">
        <f>F37*$E$12</f>
        <v>2447426086293.6841</v>
      </c>
      <c r="G53" s="99">
        <f>G37*$E$11</f>
        <v>0</v>
      </c>
    </row>
    <row r="54" spans="3:41">
      <c r="D54" s="21" t="s">
        <v>51</v>
      </c>
      <c r="E54" s="100">
        <f t="shared" ref="E54:E63" si="7">E38*$E$13</f>
        <v>1591001943187.9873</v>
      </c>
      <c r="F54" s="100">
        <f t="shared" ref="F54:F62" si="8">F38*$E$12</f>
        <v>9409242185587.3027</v>
      </c>
      <c r="G54" s="101">
        <f t="shared" ref="G54:G63" si="9">G38*$E$11</f>
        <v>0</v>
      </c>
    </row>
    <row r="55" spans="3:41">
      <c r="D55" s="21" t="s">
        <v>72</v>
      </c>
      <c r="E55" s="100">
        <f t="shared" si="7"/>
        <v>0</v>
      </c>
      <c r="F55" s="100">
        <f t="shared" si="8"/>
        <v>0</v>
      </c>
      <c r="G55" s="101">
        <f t="shared" si="9"/>
        <v>136027896409285.78</v>
      </c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</row>
    <row r="56" spans="3:41">
      <c r="D56" s="21" t="s">
        <v>54</v>
      </c>
      <c r="E56" s="100">
        <f t="shared" si="7"/>
        <v>0</v>
      </c>
      <c r="F56" s="100">
        <f>F40*$E$12</f>
        <v>0</v>
      </c>
      <c r="G56" s="101">
        <f t="shared" si="9"/>
        <v>0</v>
      </c>
    </row>
    <row r="57" spans="3:41">
      <c r="D57" s="21" t="s">
        <v>53</v>
      </c>
      <c r="E57" s="100">
        <f t="shared" si="7"/>
        <v>4917284133052.9258</v>
      </c>
      <c r="F57" s="100">
        <f t="shared" si="8"/>
        <v>1082167329526.8313</v>
      </c>
      <c r="G57" s="101">
        <f t="shared" si="9"/>
        <v>0</v>
      </c>
      <c r="K57" s="37"/>
    </row>
    <row r="58" spans="3:41">
      <c r="D58" s="23" t="s">
        <v>43</v>
      </c>
      <c r="E58" s="102">
        <f t="shared" si="7"/>
        <v>1438783779445.5991</v>
      </c>
      <c r="F58" s="102">
        <f t="shared" si="8"/>
        <v>0</v>
      </c>
      <c r="G58" s="103">
        <f t="shared" si="9"/>
        <v>0</v>
      </c>
      <c r="K58" s="37"/>
    </row>
    <row r="59" spans="3:41">
      <c r="D59" s="19" t="s">
        <v>49</v>
      </c>
      <c r="E59" s="89">
        <f t="shared" si="7"/>
        <v>15091411187908.012</v>
      </c>
      <c r="F59" s="89">
        <f t="shared" si="8"/>
        <v>12129047122781.969</v>
      </c>
      <c r="G59" s="99">
        <f t="shared" si="9"/>
        <v>0</v>
      </c>
    </row>
    <row r="60" spans="3:41">
      <c r="D60" s="21" t="s">
        <v>50</v>
      </c>
      <c r="E60" s="100">
        <f t="shared" si="7"/>
        <v>1318637489579.1067</v>
      </c>
      <c r="F60" s="100">
        <f t="shared" si="8"/>
        <v>152439406316646.06</v>
      </c>
      <c r="G60" s="101">
        <f t="shared" si="9"/>
        <v>0</v>
      </c>
    </row>
    <row r="61" spans="3:41">
      <c r="D61" s="21" t="s">
        <v>73</v>
      </c>
      <c r="E61" s="100">
        <f t="shared" si="7"/>
        <v>0</v>
      </c>
      <c r="F61" s="100">
        <f t="shared" si="8"/>
        <v>0</v>
      </c>
      <c r="G61" s="101">
        <f t="shared" si="9"/>
        <v>9959103590714.2324</v>
      </c>
    </row>
    <row r="62" spans="3:41">
      <c r="D62" s="21" t="s">
        <v>55</v>
      </c>
      <c r="E62" s="100">
        <f t="shared" si="7"/>
        <v>0</v>
      </c>
      <c r="F62" s="100">
        <f t="shared" si="8"/>
        <v>18153756741190.566</v>
      </c>
      <c r="G62" s="101">
        <f t="shared" si="9"/>
        <v>0</v>
      </c>
    </row>
    <row r="63" spans="3:41">
      <c r="D63" s="23" t="s">
        <v>56</v>
      </c>
      <c r="E63" s="102">
        <f t="shared" si="7"/>
        <v>0</v>
      </c>
      <c r="F63" s="130">
        <f>F47*$E$12+E14</f>
        <v>6365954217973.5664</v>
      </c>
      <c r="G63" s="103">
        <f t="shared" si="9"/>
        <v>0</v>
      </c>
      <c r="H63" t="s">
        <v>1729</v>
      </c>
    </row>
    <row r="64" spans="3:41">
      <c r="D64" s="91"/>
      <c r="E64" s="37"/>
      <c r="F64" s="37"/>
      <c r="G64" s="92"/>
    </row>
    <row r="65" spans="2:41">
      <c r="D65" s="16"/>
      <c r="E65" s="37"/>
      <c r="F65" s="92"/>
      <c r="G65" s="92"/>
    </row>
    <row r="66" spans="2:41">
      <c r="B66" s="2" t="s">
        <v>1544</v>
      </c>
      <c r="C66" s="2"/>
      <c r="D66" s="12"/>
      <c r="E66" s="12"/>
      <c r="F66" s="12"/>
      <c r="G66" s="12"/>
    </row>
    <row r="67" spans="2:41">
      <c r="C67" s="16"/>
      <c r="E67" s="18" t="s">
        <v>70</v>
      </c>
      <c r="F67" s="17" t="s">
        <v>71</v>
      </c>
      <c r="G67" s="18" t="s">
        <v>67</v>
      </c>
      <c r="J67" s="33"/>
    </row>
    <row r="68" spans="2:41">
      <c r="C68" s="5" t="s">
        <v>66</v>
      </c>
      <c r="E68" t="s">
        <v>69</v>
      </c>
      <c r="F68" t="s">
        <v>68</v>
      </c>
      <c r="G68" t="s">
        <v>67</v>
      </c>
      <c r="J68" s="3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</row>
    <row r="69" spans="2:41">
      <c r="D69" s="19" t="s">
        <v>52</v>
      </c>
      <c r="E69" s="116">
        <f t="shared" ref="E69:G79" si="10">IFERROR(E53*E86/E101/E117,0)</f>
        <v>12040.711647012951</v>
      </c>
      <c r="F69" s="104">
        <f t="shared" si="10"/>
        <v>10869.877574972828</v>
      </c>
      <c r="G69" s="105">
        <f t="shared" si="10"/>
        <v>0</v>
      </c>
    </row>
    <row r="70" spans="2:41">
      <c r="D70" s="21" t="s">
        <v>51</v>
      </c>
      <c r="E70" s="78">
        <f t="shared" si="10"/>
        <v>17350.544588407512</v>
      </c>
      <c r="F70" s="117">
        <f t="shared" si="10"/>
        <v>15663.384446374012</v>
      </c>
      <c r="G70" s="106">
        <f t="shared" si="10"/>
        <v>0</v>
      </c>
    </row>
    <row r="71" spans="2:41">
      <c r="D71" s="21" t="s">
        <v>72</v>
      </c>
      <c r="E71" s="78">
        <f t="shared" si="10"/>
        <v>0</v>
      </c>
      <c r="F71" s="78">
        <f t="shared" si="10"/>
        <v>0</v>
      </c>
      <c r="G71" s="118">
        <f t="shared" si="10"/>
        <v>896431.70308237756</v>
      </c>
    </row>
    <row r="72" spans="2:41">
      <c r="D72" s="21" t="s">
        <v>54</v>
      </c>
      <c r="E72" s="78">
        <f t="shared" si="10"/>
        <v>0</v>
      </c>
      <c r="F72" s="117">
        <f>IFERROR(F56*F89/F104/F120,0)</f>
        <v>0</v>
      </c>
      <c r="G72" s="106">
        <f t="shared" si="10"/>
        <v>0</v>
      </c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</row>
    <row r="73" spans="2:41">
      <c r="D73" s="21" t="s">
        <v>53</v>
      </c>
      <c r="E73" s="117">
        <f t="shared" si="10"/>
        <v>205.73349123837525</v>
      </c>
      <c r="F73" s="78">
        <f t="shared" si="10"/>
        <v>185.72804734408396</v>
      </c>
      <c r="G73" s="106">
        <f t="shared" si="10"/>
        <v>0</v>
      </c>
    </row>
    <row r="74" spans="2:41">
      <c r="D74" s="23" t="s">
        <v>43</v>
      </c>
      <c r="E74" s="119">
        <f t="shared" si="10"/>
        <v>9329.0593939380778</v>
      </c>
      <c r="F74" s="107">
        <f t="shared" si="10"/>
        <v>0</v>
      </c>
      <c r="G74" s="108">
        <f t="shared" si="10"/>
        <v>0</v>
      </c>
      <c r="K74" s="33"/>
    </row>
    <row r="75" spans="2:41">
      <c r="D75" s="19" t="s">
        <v>49</v>
      </c>
      <c r="E75" s="116">
        <f t="shared" si="10"/>
        <v>10389.541307537951</v>
      </c>
      <c r="F75" s="104">
        <f t="shared" si="10"/>
        <v>9379.2663908762388</v>
      </c>
      <c r="G75" s="105">
        <f t="shared" si="10"/>
        <v>0</v>
      </c>
      <c r="K75" s="37"/>
    </row>
    <row r="76" spans="2:41">
      <c r="D76" s="21" t="s">
        <v>50</v>
      </c>
      <c r="E76" s="78">
        <f t="shared" si="10"/>
        <v>37323.660949147503</v>
      </c>
      <c r="F76" s="117">
        <f t="shared" si="10"/>
        <v>33694.322815850697</v>
      </c>
      <c r="G76" s="106">
        <f t="shared" si="10"/>
        <v>0</v>
      </c>
    </row>
    <row r="77" spans="2:41">
      <c r="D77" s="21" t="s">
        <v>73</v>
      </c>
      <c r="E77" s="78">
        <f t="shared" si="10"/>
        <v>0</v>
      </c>
      <c r="F77" s="78">
        <f t="shared" si="10"/>
        <v>0</v>
      </c>
      <c r="G77" s="118">
        <f t="shared" si="10"/>
        <v>1163944.0729270254</v>
      </c>
    </row>
    <row r="78" spans="2:41">
      <c r="D78" s="21" t="s">
        <v>55</v>
      </c>
      <c r="E78" s="78">
        <f t="shared" si="10"/>
        <v>0</v>
      </c>
      <c r="F78" s="117">
        <f t="shared" si="10"/>
        <v>16279.924974670865</v>
      </c>
      <c r="G78" s="106">
        <f t="shared" si="10"/>
        <v>0</v>
      </c>
    </row>
    <row r="79" spans="2:41">
      <c r="D79" s="23" t="s">
        <v>56</v>
      </c>
      <c r="E79" s="107">
        <f t="shared" si="10"/>
        <v>0</v>
      </c>
      <c r="F79" s="119">
        <f>IFERROR(F63*F96/F111/F127,0)</f>
        <v>5220699.1699477062</v>
      </c>
      <c r="G79" s="108">
        <f t="shared" si="10"/>
        <v>0</v>
      </c>
    </row>
    <row r="80" spans="2:41">
      <c r="D80" s="16"/>
      <c r="E80" s="37"/>
      <c r="F80" s="92"/>
      <c r="G80" s="92"/>
    </row>
    <row r="81" spans="2:7">
      <c r="F81" s="33"/>
      <c r="G81" s="33"/>
    </row>
    <row r="82" spans="2:7">
      <c r="B82" s="114" t="s">
        <v>1545</v>
      </c>
      <c r="C82" s="114"/>
      <c r="D82" s="114"/>
      <c r="E82" s="114"/>
      <c r="F82" s="115"/>
      <c r="G82" s="115"/>
    </row>
    <row r="83" spans="2:7">
      <c r="C83" s="2" t="s">
        <v>1539</v>
      </c>
      <c r="D83" s="12"/>
      <c r="E83" s="12"/>
      <c r="F83" s="12"/>
      <c r="G83" s="33"/>
    </row>
    <row r="84" spans="2:7">
      <c r="C84" s="31"/>
      <c r="E84" s="18" t="s">
        <v>33</v>
      </c>
      <c r="F84" s="17" t="s">
        <v>34</v>
      </c>
      <c r="G84" s="17" t="s">
        <v>34</v>
      </c>
    </row>
    <row r="85" spans="2:7" ht="15.95" customHeight="1" thickBot="1">
      <c r="C85" s="5" t="s">
        <v>66</v>
      </c>
      <c r="E85" s="33" t="s">
        <v>69</v>
      </c>
      <c r="F85" s="33" t="s">
        <v>68</v>
      </c>
      <c r="G85" s="33" t="s">
        <v>67</v>
      </c>
    </row>
    <row r="86" spans="2:7">
      <c r="C86" s="129" t="s">
        <v>38</v>
      </c>
      <c r="D86" s="39" t="s">
        <v>52</v>
      </c>
      <c r="E86" s="202">
        <f>SUMIFS('all_csv_SYFAFE-psgr'!E:E,'all_csv_SYFAFE-psgr'!$B:$B,$C86)</f>
        <v>3.0811499999999997E-4</v>
      </c>
      <c r="F86" s="202">
        <f>SUMIFS('all_csv_SYFAFE-psgr'!F:F,'all_csv_SYFAFE-psgr'!$B:$B,$C86)</f>
        <v>3.4955099999999997E-4</v>
      </c>
      <c r="G86" s="203"/>
    </row>
    <row r="87" spans="2:7">
      <c r="C87" s="129" t="s">
        <v>39</v>
      </c>
      <c r="D87" s="38" t="s">
        <v>51</v>
      </c>
      <c r="E87" s="27">
        <f>SUMIFS('all_csv_SYFAFE-psgr'!E:E,'all_csv_SYFAFE-psgr'!$B:$B,$C87)</f>
        <v>8.5179799999999996E-4</v>
      </c>
      <c r="F87" s="27">
        <f>SUMIFS('all_csv_SYFAFE-psgr'!F:F,'all_csv_SYFAFE-psgr'!$B:$B,$C87)</f>
        <v>1.033139E-3</v>
      </c>
      <c r="G87" s="204"/>
    </row>
    <row r="88" spans="2:7">
      <c r="C88" s="129" t="s">
        <v>40</v>
      </c>
      <c r="D88" s="38" t="s">
        <v>72</v>
      </c>
      <c r="E88" s="27">
        <f>SUMIFS('all_csv_SYFAFE-psgr'!E:E,'all_csv_SYFAFE-psgr'!$B:$B,$C88)</f>
        <v>3.0464899999999999E-4</v>
      </c>
      <c r="F88" s="27">
        <f>SUMIFS('all_csv_SYFAFE-psgr'!F:F,'all_csv_SYFAFE-psgr'!$B:$B,$C88)</f>
        <v>3.0464899999999999E-4</v>
      </c>
      <c r="G88" s="204">
        <f>F88</f>
        <v>3.0464899999999999E-4</v>
      </c>
    </row>
    <row r="89" spans="2:7">
      <c r="C89" s="129" t="s">
        <v>41</v>
      </c>
      <c r="D89" s="38" t="s">
        <v>54</v>
      </c>
      <c r="E89" s="27">
        <f>SUMIFS('all_csv_SYFAFE-psgr'!E:E,'all_csv_SYFAFE-psgr'!$B:$B,$C89)</f>
        <v>5.05863E-5</v>
      </c>
      <c r="F89" s="27">
        <f>SUMIFS('all_csv_SYFAFE-psgr'!F:F,'all_csv_SYFAFE-psgr'!$B:$B,$C89)</f>
        <v>5.05863E-5</v>
      </c>
      <c r="G89" s="204"/>
    </row>
    <row r="90" spans="2:7">
      <c r="C90" s="129" t="s">
        <v>42</v>
      </c>
      <c r="D90" s="38" t="s">
        <v>53</v>
      </c>
      <c r="E90" s="27">
        <f>SUMIFS('all_csv_SYFAFE-psgr'!E:E,'all_csv_SYFAFE-psgr'!$B:$B,$C90)</f>
        <v>1.18724E-5</v>
      </c>
      <c r="F90" s="27">
        <f>SUMIFS('all_csv_SYFAFE-psgr'!F:F,'all_csv_SYFAFE-psgr'!$B:$B,$C90)</f>
        <v>1.18724E-5</v>
      </c>
      <c r="G90" s="204"/>
    </row>
    <row r="91" spans="2:7" ht="14.65" thickBot="1">
      <c r="C91" s="129" t="s">
        <v>43</v>
      </c>
      <c r="D91" s="38" t="s">
        <v>43</v>
      </c>
      <c r="E91" s="27">
        <f>SUMIFS('all_csv_SYFAFE-psgr'!E:E,'all_csv_SYFAFE-psgr'!$B:$B,$C91)</f>
        <v>1.822391E-3</v>
      </c>
      <c r="F91" s="27">
        <f>SUMIFS('all_csv_SYFAFE-psgr'!F:F,'all_csv_SYFAFE-psgr'!$B:$B,$C91)</f>
        <v>1.822391E-3</v>
      </c>
      <c r="G91" s="204"/>
    </row>
    <row r="92" spans="2:7">
      <c r="C92" s="129" t="s">
        <v>38</v>
      </c>
      <c r="D92" s="193" t="s">
        <v>49</v>
      </c>
      <c r="E92" s="209">
        <f>SUMIFS('all_csv_SYFAFE-frgt'!E:E,'all_csv_SYFAFE-frgt'!$B:$B,$C92)</f>
        <v>9.3322264163941547E-5</v>
      </c>
      <c r="F92" s="209">
        <f>SUMIFS('all_csv_SYFAFE-frgt'!F:F,'all_csv_SYFAFE-frgt'!$B:$B,$C92)</f>
        <v>8.9590243650741159E-5</v>
      </c>
      <c r="G92" s="210"/>
    </row>
    <row r="93" spans="2:7">
      <c r="C93" s="129" t="s">
        <v>39</v>
      </c>
      <c r="D93" s="196" t="s">
        <v>50</v>
      </c>
      <c r="E93" s="205">
        <f>SUMIFS('all_csv_SYFAFE-frgt'!E:E,'all_csv_SYFAFE-frgt'!$B:$B,$C93)</f>
        <v>6.720672001062452E-4</v>
      </c>
      <c r="F93" s="205">
        <f>SUMIFS('all_csv_SYFAFE-frgt'!F:F,'all_csv_SYFAFE-frgt'!$B:$B,$C93)</f>
        <v>7.5059325437243547E-4</v>
      </c>
      <c r="G93" s="206"/>
    </row>
    <row r="94" spans="2:7">
      <c r="C94" s="129" t="s">
        <v>40</v>
      </c>
      <c r="D94" s="196" t="s">
        <v>73</v>
      </c>
      <c r="E94" s="205">
        <f>SUMIFS('all_csv_SYFAFE-frgt'!E:E,'all_csv_SYFAFE-frgt'!$B:$B,$C94)</f>
        <v>9.3239985476639982E-5</v>
      </c>
      <c r="F94" s="205">
        <f>SUMIFS('all_csv_SYFAFE-frgt'!F:F,'all_csv_SYFAFE-frgt'!$B:$B,$C94)</f>
        <v>9.3239985476639982E-5</v>
      </c>
      <c r="G94" s="206">
        <f>F94</f>
        <v>9.3239985476639982E-5</v>
      </c>
    </row>
    <row r="95" spans="2:7">
      <c r="C95" s="129" t="s">
        <v>41</v>
      </c>
      <c r="D95" s="196" t="s">
        <v>55</v>
      </c>
      <c r="E95" s="205">
        <f>SUMIFS('all_csv_SYFAFE-frgt'!E:E,'all_csv_SYFAFE-frgt'!$B:$B,$C95)</f>
        <v>3.3734500000000001E-3</v>
      </c>
      <c r="F95" s="205">
        <f>SUMIFS('all_csv_SYFAFE-frgt'!F:F,'all_csv_SYFAFE-frgt'!$B:$B,$C95)</f>
        <v>3.3734500000000001E-3</v>
      </c>
      <c r="G95" s="206"/>
    </row>
    <row r="96" spans="2:7" ht="14.65" thickBot="1">
      <c r="C96" s="129" t="s">
        <v>42</v>
      </c>
      <c r="D96" s="199" t="s">
        <v>56</v>
      </c>
      <c r="E96" s="207">
        <f>SUMIFS('all_csv_SYFAFE-frgt'!E:E,'all_csv_SYFAFE-frgt'!$B:$B,$C96)</f>
        <v>4.8577789999999996E-3</v>
      </c>
      <c r="F96" s="207">
        <f>SUMIFS('all_csv_SYFAFE-frgt'!F:F,'all_csv_SYFAFE-frgt'!$B:$B,$C96)</f>
        <v>4.8577789999999996E-3</v>
      </c>
      <c r="G96" s="208"/>
    </row>
    <row r="97" spans="3:7">
      <c r="E97" s="33"/>
    </row>
    <row r="98" spans="3:7">
      <c r="C98" s="2" t="s">
        <v>75</v>
      </c>
      <c r="D98" s="12"/>
      <c r="E98" s="12"/>
      <c r="F98" s="12"/>
    </row>
    <row r="99" spans="3:7">
      <c r="C99" s="32" t="s">
        <v>74</v>
      </c>
      <c r="E99" s="18" t="s">
        <v>70</v>
      </c>
      <c r="F99" s="17" t="s">
        <v>71</v>
      </c>
      <c r="G99" s="18" t="s">
        <v>67</v>
      </c>
    </row>
    <row r="100" spans="3:7" ht="15.95" customHeight="1" thickBot="1">
      <c r="C100" s="5" t="s">
        <v>66</v>
      </c>
      <c r="E100" s="33" t="s">
        <v>69</v>
      </c>
      <c r="F100" s="33" t="s">
        <v>68</v>
      </c>
      <c r="G100" s="33" t="s">
        <v>67</v>
      </c>
    </row>
    <row r="101" spans="3:7">
      <c r="C101" t="s">
        <v>1535</v>
      </c>
      <c r="D101" s="39" t="s">
        <v>38</v>
      </c>
      <c r="E101" s="76">
        <f>SUMIFS('all_csv_SYVbT-passenger'!E:E,'all_csv_SYVbT-passenger'!$B:$B,$D101,'all_csv_SYVbT-passenger'!$A:$A,About!$B$2)</f>
        <v>8385380</v>
      </c>
      <c r="F101" s="76">
        <f>SUMIFS('all_csv_SYVbT-passenger'!F:F,'all_csv_SYVbT-passenger'!$B:$B,$D101,'all_csv_SYVbT-passenger'!$A:$A,About!$B$2)</f>
        <v>47128</v>
      </c>
      <c r="G101" s="77"/>
    </row>
    <row r="102" spans="3:7">
      <c r="C102" t="s">
        <v>1535</v>
      </c>
      <c r="D102" s="38" t="s">
        <v>39</v>
      </c>
      <c r="E102" s="78">
        <f>SUMIFS('all_csv_SYVbT-passenger'!E:E,'all_csv_SYVbT-passenger'!$B:$B,$D102,'all_csv_SYVbT-passenger'!$A:$A,About!$B$2)</f>
        <v>3685</v>
      </c>
      <c r="F102" s="78">
        <f>SUMIFS('all_csv_SYVbT-passenger'!F:F,'all_csv_SYVbT-passenger'!$B:$B,$D102,'all_csv_SYVbT-passenger'!$A:$A,About!$B$2)</f>
        <v>29280</v>
      </c>
      <c r="G102" s="79"/>
    </row>
    <row r="103" spans="3:7">
      <c r="C103" t="s">
        <v>1535</v>
      </c>
      <c r="D103" s="38" t="s">
        <v>40</v>
      </c>
      <c r="E103" s="78">
        <f>SUMIFS('all_csv_SYVbT-passenger'!E:E,'all_csv_SYVbT-passenger'!$B:$B,$D103,'all_csv_SYVbT-passenger'!$A:$A,About!$B$2)</f>
        <v>0</v>
      </c>
      <c r="F103" s="78">
        <f>SUMIFS('all_csv_SYVbT-passenger'!F:F,'all_csv_SYVbT-passenger'!$B:$B,$D103,'all_csv_SYVbT-passenger'!$A:$A,About!$B$2)</f>
        <v>415</v>
      </c>
      <c r="G103" s="79">
        <f>F103</f>
        <v>415</v>
      </c>
    </row>
    <row r="104" spans="3:7">
      <c r="C104" t="s">
        <v>1535</v>
      </c>
      <c r="D104" s="38" t="s">
        <v>41</v>
      </c>
      <c r="E104" s="78">
        <f>SUMIFS('all_csv_SYVbT-passenger'!E:E,'all_csv_SYVbT-passenger'!$B:$B,$D104,'all_csv_SYVbT-passenger'!$A:$A,About!$B$2)</f>
        <v>0</v>
      </c>
      <c r="F104" s="78">
        <f>SUMIFS('all_csv_SYVbT-passenger'!F:F,'all_csv_SYVbT-passenger'!$B:$B,$D104,'all_csv_SYVbT-passenger'!$A:$A,About!$B$2)</f>
        <v>0</v>
      </c>
      <c r="G104" s="79"/>
    </row>
    <row r="105" spans="3:7">
      <c r="C105" t="s">
        <v>1535</v>
      </c>
      <c r="D105" s="38" t="s">
        <v>42</v>
      </c>
      <c r="E105" s="78">
        <f>SUMIFS('all_csv_SYVbT-passenger'!E:E,'all_csv_SYVbT-passenger'!$B:$B,$D105,'all_csv_SYVbT-passenger'!$A:$A,About!$B$2)</f>
        <v>283765</v>
      </c>
      <c r="F105" s="78">
        <f>SUMIFS('all_csv_SYVbT-passenger'!F:F,'all_csv_SYVbT-passenger'!$B:$B,$D105,'all_csv_SYVbT-passenger'!$A:$A,About!$B$2)</f>
        <v>69176</v>
      </c>
      <c r="G105" s="79"/>
    </row>
    <row r="106" spans="3:7" ht="14.65" thickBot="1">
      <c r="C106" t="s">
        <v>1535</v>
      </c>
      <c r="D106" s="36" t="s">
        <v>43</v>
      </c>
      <c r="E106" s="80">
        <f>SUMIFS('all_csv_SYVbT-passenger'!E:E,'all_csv_SYVbT-passenger'!$B:$B,$D106,'all_csv_SYVbT-passenger'!$A:$A,About!$B$2)</f>
        <v>221294</v>
      </c>
      <c r="F106" s="80">
        <f>SUMIFS('all_csv_SYVbT-passenger'!F:F,'all_csv_SYVbT-passenger'!$B:$B,$D106,'all_csv_SYVbT-passenger'!$A:$A,About!$B$2)</f>
        <v>0</v>
      </c>
      <c r="G106" s="81"/>
    </row>
    <row r="107" spans="3:7">
      <c r="C107" t="s">
        <v>1536</v>
      </c>
      <c r="D107" s="193" t="s">
        <v>38</v>
      </c>
      <c r="E107" s="194">
        <f>SUMIFS('all_csv_SYVbT-freight'!E:E,'all_csv_SYVbT-freight'!$B:$B,$D107,'all_csv_SYVbT-freight'!$A:$A,About!$B$2)</f>
        <v>135556</v>
      </c>
      <c r="F107" s="194">
        <f>SUMIFS('all_csv_SYVbT-freight'!F:F,'all_csv_SYVbT-freight'!$B:$B,$D107,'all_csv_SYVbT-freight'!$A:$A,About!$B$2)</f>
        <v>115856</v>
      </c>
      <c r="G107" s="195"/>
    </row>
    <row r="108" spans="3:7">
      <c r="C108" t="s">
        <v>1536</v>
      </c>
      <c r="D108" s="196" t="s">
        <v>39</v>
      </c>
      <c r="E108" s="197">
        <f>SUMIFS('all_csv_SYVbT-freight'!E:E,'all_csv_SYVbT-freight'!$B:$B,$D108,'all_csv_SYVbT-freight'!$A:$A,About!$B$2)</f>
        <v>1484</v>
      </c>
      <c r="F108" s="197">
        <f>SUMIFS('all_csv_SYVbT-freight'!F:F,'all_csv_SYVbT-freight'!$B:$B,$D108,'all_csv_SYVbT-freight'!$A:$A,About!$B$2)</f>
        <v>212239</v>
      </c>
      <c r="G108" s="198"/>
    </row>
    <row r="109" spans="3:7">
      <c r="C109" t="s">
        <v>1536</v>
      </c>
      <c r="D109" s="196" t="s">
        <v>40</v>
      </c>
      <c r="E109" s="197">
        <f>SUMIFS('all_csv_SYVbT-freight'!E:E,'all_csv_SYVbT-freight'!$B:$B,$D109,'all_csv_SYVbT-freight'!$A:$A,About!$B$2)</f>
        <v>0</v>
      </c>
      <c r="F109" s="197">
        <f>SUMIFS('all_csv_SYVbT-freight'!F:F,'all_csv_SYVbT-freight'!$B:$B,$D109,'all_csv_SYVbT-freight'!$A:$A,About!$B$2)</f>
        <v>19</v>
      </c>
      <c r="G109" s="198">
        <f>F109</f>
        <v>19</v>
      </c>
    </row>
    <row r="110" spans="3:7">
      <c r="C110" t="s">
        <v>1536</v>
      </c>
      <c r="D110" s="196" t="s">
        <v>41</v>
      </c>
      <c r="E110" s="197">
        <f>SUMIFS('all_csv_SYVbT-freight'!E:E,'all_csv_SYVbT-freight'!$B:$B,$D110,'all_csv_SYVbT-freight'!$A:$A,About!$B$2)</f>
        <v>0</v>
      </c>
      <c r="F110" s="197">
        <f>SUMIFS('all_csv_SYVbT-freight'!F:F,'all_csv_SYVbT-freight'!$B:$B,$D110,'all_csv_SYVbT-freight'!$A:$A,About!$B$2)</f>
        <v>1071</v>
      </c>
      <c r="G110" s="198"/>
    </row>
    <row r="111" spans="3:7" ht="14.65" thickBot="1">
      <c r="C111" t="s">
        <v>1536</v>
      </c>
      <c r="D111" s="199" t="s">
        <v>42</v>
      </c>
      <c r="E111" s="200">
        <f>SUMIFS('all_csv_SYVbT-freight'!E:E,'all_csv_SYVbT-freight'!$B:$B,$D111,'all_csv_SYVbT-freight'!$A:$A,About!$B$2)</f>
        <v>0</v>
      </c>
      <c r="F111" s="200">
        <f>SUMIFS('all_csv_SYVbT-freight'!F:F,'all_csv_SYVbT-freight'!$B:$B,$D111,'all_csv_SYVbT-freight'!$A:$A,About!$B$2)</f>
        <v>3</v>
      </c>
      <c r="G111" s="201"/>
    </row>
    <row r="114" spans="3:7">
      <c r="C114" s="2" t="s">
        <v>76</v>
      </c>
      <c r="D114" s="12"/>
      <c r="E114" s="12"/>
      <c r="F114" s="12"/>
    </row>
    <row r="115" spans="3:7">
      <c r="C115" s="16"/>
      <c r="E115" s="18" t="s">
        <v>70</v>
      </c>
      <c r="F115" s="17" t="s">
        <v>71</v>
      </c>
      <c r="G115" s="18" t="s">
        <v>67</v>
      </c>
    </row>
    <row r="116" spans="3:7" ht="15.95" customHeight="1" thickBot="1">
      <c r="C116" s="5" t="s">
        <v>66</v>
      </c>
      <c r="E116" s="33" t="s">
        <v>69</v>
      </c>
      <c r="F116" s="33" t="s">
        <v>68</v>
      </c>
      <c r="G116" s="33" t="s">
        <v>67</v>
      </c>
    </row>
    <row r="117" spans="3:7">
      <c r="C117" t="s">
        <v>38</v>
      </c>
      <c r="D117" s="84" t="s">
        <v>52</v>
      </c>
      <c r="E117" s="85">
        <f>SUMIFS('all_csv_AVLo-passengers'!$C:$C,'all_csv_AVLo-passengers'!$B:$B,$C117)</f>
        <v>1.67</v>
      </c>
      <c r="F117" s="85">
        <f>E117</f>
        <v>1.67</v>
      </c>
      <c r="G117" s="86">
        <f>F117</f>
        <v>1.67</v>
      </c>
    </row>
    <row r="118" spans="3:7">
      <c r="C118" t="s">
        <v>39</v>
      </c>
      <c r="D118" s="87" t="s">
        <v>51</v>
      </c>
      <c r="E118" s="186">
        <f>SUMIFS('all_csv_AVLo-passengers'!$C:$C,'all_csv_AVLo-passengers'!$B:$B,$C118)</f>
        <v>21.196137259</v>
      </c>
      <c r="F118" s="186">
        <f t="shared" ref="F118:G122" si="11">E118</f>
        <v>21.196137259</v>
      </c>
      <c r="G118" s="88">
        <f t="shared" si="11"/>
        <v>21.196137259</v>
      </c>
    </row>
    <row r="119" spans="3:7">
      <c r="C119" t="s">
        <v>40</v>
      </c>
      <c r="D119" s="87" t="s">
        <v>40</v>
      </c>
      <c r="E119" s="186">
        <f>SUMIFS('all_csv_AVLo-passengers'!$C:$C,'all_csv_AVLo-passengers'!$B:$B,$C119)</f>
        <v>111.394163064</v>
      </c>
      <c r="F119" s="186">
        <f t="shared" si="11"/>
        <v>111.394163064</v>
      </c>
      <c r="G119" s="88">
        <f t="shared" si="11"/>
        <v>111.394163064</v>
      </c>
    </row>
    <row r="120" spans="3:7">
      <c r="C120" t="s">
        <v>41</v>
      </c>
      <c r="D120" s="87" t="s">
        <v>54</v>
      </c>
      <c r="E120" s="186">
        <f>SUMIFS('all_csv_AVLo-passengers'!$C:$C,'all_csv_AVLo-passengers'!$B:$B,$C120)</f>
        <v>15.34784043</v>
      </c>
      <c r="F120" s="186">
        <f t="shared" si="11"/>
        <v>15.34784043</v>
      </c>
      <c r="G120" s="88">
        <f t="shared" si="11"/>
        <v>15.34784043</v>
      </c>
    </row>
    <row r="121" spans="3:7">
      <c r="C121" t="s">
        <v>42</v>
      </c>
      <c r="D121" s="87" t="s">
        <v>53</v>
      </c>
      <c r="E121" s="186">
        <f>SUMIFS('all_csv_AVLo-passengers'!$C:$C,'all_csv_AVLo-passengers'!$B:$B,$C121)</f>
        <v>1</v>
      </c>
      <c r="F121" s="186">
        <f t="shared" si="11"/>
        <v>1</v>
      </c>
      <c r="G121" s="88">
        <f t="shared" si="11"/>
        <v>1</v>
      </c>
    </row>
    <row r="122" spans="3:7">
      <c r="C122" t="s">
        <v>43</v>
      </c>
      <c r="D122" s="87" t="s">
        <v>43</v>
      </c>
      <c r="E122" s="186">
        <f>SUMIFS('all_csv_AVLo-passengers'!$C:$C,'all_csv_AVLo-passengers'!$B:$B,$C122)</f>
        <v>1.2700756740000001</v>
      </c>
      <c r="F122" s="186">
        <f t="shared" si="11"/>
        <v>1.2700756740000001</v>
      </c>
      <c r="G122" s="88">
        <f t="shared" si="11"/>
        <v>1.2700756740000001</v>
      </c>
    </row>
    <row r="123" spans="3:7">
      <c r="C123" t="s">
        <v>38</v>
      </c>
      <c r="D123" s="187" t="s">
        <v>49</v>
      </c>
      <c r="E123" s="188">
        <f>SUMIFS('all_csv_AVLo-freight'!$C:$C,'all_csv_AVLo-freight'!$B:$B,$C123)</f>
        <v>1</v>
      </c>
      <c r="F123" s="188">
        <f t="shared" ref="F123:G123" si="12">E123</f>
        <v>1</v>
      </c>
      <c r="G123" s="189">
        <f t="shared" si="12"/>
        <v>1</v>
      </c>
    </row>
    <row r="124" spans="3:7">
      <c r="C124" t="s">
        <v>39</v>
      </c>
      <c r="D124" s="187" t="s">
        <v>50</v>
      </c>
      <c r="E124" s="188">
        <f>SUMIFS('all_csv_AVLo-freight'!$C:$C,'all_csv_AVLo-freight'!$B:$B,$C124)</f>
        <v>16</v>
      </c>
      <c r="F124" s="188">
        <f t="shared" ref="F124:G124" si="13">E124</f>
        <v>16</v>
      </c>
      <c r="G124" s="189">
        <f t="shared" si="13"/>
        <v>16</v>
      </c>
    </row>
    <row r="125" spans="3:7">
      <c r="C125" t="s">
        <v>40</v>
      </c>
      <c r="D125" s="187" t="s">
        <v>73</v>
      </c>
      <c r="E125" s="188">
        <f>SUMIFS('all_csv_AVLo-freight'!$C:$C,'all_csv_AVLo-freight'!$B:$B,$C125)</f>
        <v>41.989116133000003</v>
      </c>
      <c r="F125" s="188">
        <f t="shared" ref="F125:G125" si="14">E125</f>
        <v>41.989116133000003</v>
      </c>
      <c r="G125" s="189">
        <f t="shared" si="14"/>
        <v>41.989116133000003</v>
      </c>
    </row>
    <row r="126" spans="3:7">
      <c r="C126" t="s">
        <v>41</v>
      </c>
      <c r="D126" s="187" t="s">
        <v>55</v>
      </c>
      <c r="E126" s="188">
        <f>SUMIFS('all_csv_AVLo-freight'!$C:$C,'all_csv_AVLo-freight'!$B:$B,$C126)</f>
        <v>3512.359164212</v>
      </c>
      <c r="F126" s="188">
        <f t="shared" ref="F126:G126" si="15">E126</f>
        <v>3512.359164212</v>
      </c>
      <c r="G126" s="189">
        <f t="shared" si="15"/>
        <v>3512.359164212</v>
      </c>
    </row>
    <row r="127" spans="3:7" ht="14.65" thickBot="1">
      <c r="C127" t="s">
        <v>42</v>
      </c>
      <c r="D127" s="190" t="s">
        <v>56</v>
      </c>
      <c r="E127" s="191">
        <f>SUMIFS('all_csv_AVLo-freight'!$C:$C,'all_csv_AVLo-freight'!$B:$B,$C127)</f>
        <v>1974.4736422179999</v>
      </c>
      <c r="F127" s="191">
        <f t="shared" ref="F127:G127" si="16">E127</f>
        <v>1974.4736422179999</v>
      </c>
      <c r="G127" s="192">
        <f t="shared" si="16"/>
        <v>1974.4736422179999</v>
      </c>
    </row>
    <row r="129" spans="3:9">
      <c r="C129" s="2" t="s">
        <v>1537</v>
      </c>
      <c r="D129" s="2"/>
      <c r="E129" s="2"/>
      <c r="F129" s="2"/>
    </row>
    <row r="130" spans="3:9">
      <c r="C130" s="16"/>
      <c r="E130" s="18" t="s">
        <v>70</v>
      </c>
      <c r="F130" s="17" t="s">
        <v>71</v>
      </c>
      <c r="G130" s="18" t="s">
        <v>67</v>
      </c>
    </row>
    <row r="131" spans="3:9" ht="15.95" customHeight="1" thickBot="1">
      <c r="C131" s="5" t="s">
        <v>66</v>
      </c>
      <c r="E131" s="33" t="s">
        <v>69</v>
      </c>
      <c r="F131" s="33" t="s">
        <v>68</v>
      </c>
      <c r="G131" s="33" t="s">
        <v>67</v>
      </c>
    </row>
    <row r="132" spans="3:9">
      <c r="D132" s="39" t="s">
        <v>52</v>
      </c>
      <c r="E132" s="76">
        <f>'BAADTBVT-USA'!B3</f>
        <v>11354</v>
      </c>
      <c r="F132" s="76">
        <f>E132</f>
        <v>11354</v>
      </c>
      <c r="G132" s="77">
        <f>F132</f>
        <v>11354</v>
      </c>
    </row>
    <row r="133" spans="3:9">
      <c r="D133" s="38" t="s">
        <v>51</v>
      </c>
      <c r="E133" s="78">
        <f>'BAADTBVT-USA'!B4</f>
        <v>16361</v>
      </c>
      <c r="F133" s="78">
        <f t="shared" ref="F133:G142" si="17">E133</f>
        <v>16361</v>
      </c>
      <c r="G133" s="79">
        <f t="shared" si="17"/>
        <v>16361</v>
      </c>
    </row>
    <row r="134" spans="3:9">
      <c r="D134" s="38" t="s">
        <v>72</v>
      </c>
      <c r="E134" s="78">
        <f>'BAADTBVT-USA'!B5</f>
        <v>685003</v>
      </c>
      <c r="F134" s="78">
        <f t="shared" si="17"/>
        <v>685003</v>
      </c>
      <c r="G134" s="79">
        <f t="shared" si="17"/>
        <v>685003</v>
      </c>
    </row>
    <row r="135" spans="3:9">
      <c r="D135" s="38" t="s">
        <v>54</v>
      </c>
      <c r="E135" s="78">
        <v>0</v>
      </c>
      <c r="F135" s="78">
        <f>'BAADTBVT-USA'!B6</f>
        <v>395569</v>
      </c>
      <c r="G135" s="79">
        <v>0</v>
      </c>
    </row>
    <row r="136" spans="3:9">
      <c r="D136" s="38" t="s">
        <v>53</v>
      </c>
      <c r="E136" s="78">
        <f>'BAADTBVT-USA'!B7</f>
        <v>194</v>
      </c>
      <c r="F136" s="78">
        <f t="shared" si="17"/>
        <v>194</v>
      </c>
      <c r="G136" s="79">
        <f t="shared" si="17"/>
        <v>194</v>
      </c>
    </row>
    <row r="137" spans="3:9" ht="14.65" thickBot="1">
      <c r="D137" s="36" t="s">
        <v>43</v>
      </c>
      <c r="E137" s="80">
        <f>'BAADTBVT-USA'!B8</f>
        <v>8797</v>
      </c>
      <c r="F137" s="80">
        <f t="shared" si="17"/>
        <v>8797</v>
      </c>
      <c r="G137" s="81">
        <f t="shared" si="17"/>
        <v>8797</v>
      </c>
    </row>
    <row r="138" spans="3:9">
      <c r="D138" s="39" t="s">
        <v>49</v>
      </c>
      <c r="E138" s="76">
        <f>'BAADTBVT-USA'!B12</f>
        <v>9797</v>
      </c>
      <c r="F138" s="76">
        <f t="shared" si="17"/>
        <v>9797</v>
      </c>
      <c r="G138" s="77">
        <f t="shared" si="17"/>
        <v>9797</v>
      </c>
    </row>
    <row r="139" spans="3:9">
      <c r="D139" s="38" t="s">
        <v>50</v>
      </c>
      <c r="E139" s="78">
        <f>'BAADTBVT-USA'!B13</f>
        <v>35195</v>
      </c>
      <c r="F139" s="78">
        <f t="shared" si="17"/>
        <v>35195</v>
      </c>
      <c r="G139" s="79">
        <f t="shared" si="17"/>
        <v>35195</v>
      </c>
    </row>
    <row r="140" spans="3:9">
      <c r="D140" s="38" t="s">
        <v>73</v>
      </c>
      <c r="E140" s="78">
        <f>'BAADTBVT-USA'!B14</f>
        <v>889421</v>
      </c>
      <c r="F140" s="78">
        <f t="shared" si="17"/>
        <v>889421</v>
      </c>
      <c r="G140" s="79">
        <f t="shared" si="17"/>
        <v>889421</v>
      </c>
      <c r="H140" s="34"/>
      <c r="I140" s="34"/>
    </row>
    <row r="141" spans="3:9">
      <c r="D141" s="38" t="s">
        <v>55</v>
      </c>
      <c r="E141" s="78">
        <f>'BAADTBVT-USA'!B15</f>
        <v>17005</v>
      </c>
      <c r="F141" s="78">
        <f t="shared" si="17"/>
        <v>17005</v>
      </c>
      <c r="G141" s="79">
        <f t="shared" si="17"/>
        <v>17005</v>
      </c>
    </row>
    <row r="142" spans="3:9" ht="14.65" thickBot="1">
      <c r="D142" s="36" t="s">
        <v>56</v>
      </c>
      <c r="E142" s="80">
        <f>'BAADTBVT-USA'!B16</f>
        <v>7513092</v>
      </c>
      <c r="F142" s="80">
        <v>202006</v>
      </c>
      <c r="G142" s="81">
        <f t="shared" si="17"/>
        <v>202006</v>
      </c>
    </row>
    <row r="143" spans="3:9">
      <c r="E143" s="16"/>
      <c r="F143" s="16"/>
      <c r="G143" s="16"/>
    </row>
    <row r="144" spans="3:9">
      <c r="C144" s="16"/>
      <c r="D144" s="16"/>
      <c r="E144" s="16"/>
      <c r="F144" s="16"/>
      <c r="G144" s="16"/>
    </row>
    <row r="146" spans="2:7">
      <c r="B146" s="114" t="s">
        <v>1547</v>
      </c>
      <c r="C146" s="114"/>
      <c r="D146" s="114"/>
      <c r="E146" s="114"/>
      <c r="F146" s="115"/>
      <c r="G146" s="115"/>
    </row>
    <row r="147" spans="2:7">
      <c r="C147" s="16"/>
      <c r="E147" s="18" t="s">
        <v>70</v>
      </c>
      <c r="F147" s="17" t="s">
        <v>71</v>
      </c>
      <c r="G147" s="18" t="s">
        <v>67</v>
      </c>
    </row>
    <row r="148" spans="2:7">
      <c r="C148" s="5" t="s">
        <v>66</v>
      </c>
      <c r="E148" s="33" t="s">
        <v>69</v>
      </c>
      <c r="F148" s="33" t="s">
        <v>68</v>
      </c>
      <c r="G148" s="33" t="s">
        <v>67</v>
      </c>
    </row>
    <row r="149" spans="2:7">
      <c r="D149" s="19" t="s">
        <v>52</v>
      </c>
      <c r="E149" s="26">
        <f t="shared" ref="E149:F159" si="18">E117*E101*E69/E86</f>
        <v>547240881466826.31</v>
      </c>
      <c r="F149" s="26">
        <f t="shared" si="18"/>
        <v>2447426086293.6836</v>
      </c>
      <c r="G149" s="20"/>
    </row>
    <row r="150" spans="2:7">
      <c r="D150" s="21" t="s">
        <v>51</v>
      </c>
      <c r="E150" s="33">
        <f t="shared" si="18"/>
        <v>1591001943187.9875</v>
      </c>
      <c r="F150" s="33">
        <f t="shared" si="18"/>
        <v>9409242185587.3047</v>
      </c>
      <c r="G150" s="22"/>
    </row>
    <row r="151" spans="2:7">
      <c r="D151" s="21" t="s">
        <v>72</v>
      </c>
      <c r="E151" s="33">
        <f t="shared" si="18"/>
        <v>0</v>
      </c>
      <c r="F151" s="33">
        <f t="shared" si="18"/>
        <v>0</v>
      </c>
      <c r="G151" s="22">
        <f>G119*G103*G71/G88</f>
        <v>136027896409285.78</v>
      </c>
    </row>
    <row r="152" spans="2:7">
      <c r="D152" s="21" t="s">
        <v>54</v>
      </c>
      <c r="E152" s="33">
        <f t="shared" si="18"/>
        <v>0</v>
      </c>
      <c r="F152" s="33">
        <f>F120*F104*F72/F89</f>
        <v>0</v>
      </c>
      <c r="G152" s="22"/>
    </row>
    <row r="153" spans="2:7">
      <c r="D153" s="21" t="s">
        <v>53</v>
      </c>
      <c r="E153" s="90">
        <f t="shared" si="18"/>
        <v>4917284133052.9258</v>
      </c>
      <c r="F153" s="90">
        <f t="shared" si="18"/>
        <v>1082167329526.8313</v>
      </c>
      <c r="G153" s="22"/>
    </row>
    <row r="154" spans="2:7">
      <c r="D154" s="23" t="s">
        <v>43</v>
      </c>
      <c r="E154" s="28">
        <f t="shared" si="18"/>
        <v>1438783779445.5991</v>
      </c>
      <c r="F154" s="28">
        <f t="shared" si="18"/>
        <v>0</v>
      </c>
      <c r="G154" s="24"/>
    </row>
    <row r="155" spans="2:7">
      <c r="D155" s="19" t="s">
        <v>49</v>
      </c>
      <c r="E155" s="29">
        <f t="shared" si="18"/>
        <v>15091411187908.014</v>
      </c>
      <c r="F155" s="29">
        <f t="shared" si="18"/>
        <v>12129047122781.969</v>
      </c>
      <c r="G155" s="20"/>
    </row>
    <row r="156" spans="2:7">
      <c r="D156" s="21" t="s">
        <v>50</v>
      </c>
      <c r="E156" s="33">
        <f t="shared" si="18"/>
        <v>1318637489579.1067</v>
      </c>
      <c r="F156" s="33">
        <f t="shared" si="18"/>
        <v>152439406316646.09</v>
      </c>
      <c r="G156" s="22"/>
    </row>
    <row r="157" spans="2:7">
      <c r="D157" s="21" t="s">
        <v>73</v>
      </c>
      <c r="E157" s="33">
        <f t="shared" si="18"/>
        <v>0</v>
      </c>
      <c r="F157" s="33">
        <f t="shared" si="18"/>
        <v>0</v>
      </c>
      <c r="G157" s="22">
        <f>G125*G109*G77/G94</f>
        <v>9959103590714.2305</v>
      </c>
    </row>
    <row r="158" spans="2:7">
      <c r="D158" s="21" t="s">
        <v>55</v>
      </c>
      <c r="E158" s="33">
        <f t="shared" si="18"/>
        <v>0</v>
      </c>
      <c r="F158" s="33">
        <f t="shared" si="18"/>
        <v>18153756741190.566</v>
      </c>
      <c r="G158" s="22"/>
    </row>
    <row r="159" spans="2:7">
      <c r="D159" s="23" t="s">
        <v>56</v>
      </c>
      <c r="E159" s="30">
        <f t="shared" si="18"/>
        <v>0</v>
      </c>
      <c r="F159" s="30">
        <f t="shared" si="18"/>
        <v>6365954217973.5664</v>
      </c>
      <c r="G159" s="24"/>
    </row>
    <row r="160" spans="2:7">
      <c r="D160" s="91" t="s">
        <v>1548</v>
      </c>
      <c r="E160" s="92">
        <f>SUM(E149:E159)</f>
        <v>571598000000000</v>
      </c>
      <c r="F160" s="92">
        <f>SUM(F149:F159)</f>
        <v>202027000000000</v>
      </c>
      <c r="G160" s="92">
        <f t="shared" ref="G160" si="19">SUM(G149:G159)</f>
        <v>145987000000000</v>
      </c>
    </row>
    <row r="161" spans="5:7">
      <c r="E161" s="37">
        <f>E160/E13</f>
        <v>1</v>
      </c>
      <c r="F161" s="37">
        <f>F160/SUM(E12,E14)</f>
        <v>1</v>
      </c>
      <c r="G161" s="37">
        <f>G160/E11</f>
        <v>1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788F-B5AA-4B09-865C-8F40DE1FE0DD}">
  <dimension ref="A1:AX71"/>
  <sheetViews>
    <sheetView workbookViewId="0">
      <selection activeCell="N71" sqref="N71"/>
    </sheetView>
  </sheetViews>
  <sheetFormatPr defaultRowHeight="14.25"/>
  <cols>
    <col min="14" max="14" width="9.1328125" style="145"/>
    <col min="15" max="23" width="0" hidden="1" customWidth="1"/>
    <col min="24" max="24" width="11.3984375" style="145" customWidth="1"/>
    <col min="25" max="45" width="0" hidden="1" customWidth="1"/>
    <col min="46" max="46" width="13.59765625" style="145" customWidth="1"/>
  </cols>
  <sheetData>
    <row r="1" spans="1:50" ht="61.9">
      <c r="A1" s="120" t="s">
        <v>1551</v>
      </c>
      <c r="B1" s="120" t="s">
        <v>1552</v>
      </c>
      <c r="C1" s="120" t="s">
        <v>130</v>
      </c>
      <c r="D1" s="120" t="s">
        <v>1553</v>
      </c>
      <c r="E1" s="120" t="s">
        <v>1554</v>
      </c>
      <c r="F1" s="120" t="s">
        <v>1555</v>
      </c>
      <c r="G1" s="120" t="s">
        <v>1556</v>
      </c>
      <c r="H1" s="120" t="s">
        <v>1557</v>
      </c>
      <c r="I1" s="120" t="s">
        <v>1558</v>
      </c>
      <c r="J1" s="120" t="s">
        <v>1549</v>
      </c>
      <c r="K1" s="120" t="s">
        <v>1559</v>
      </c>
      <c r="L1" s="120" t="s">
        <v>1560</v>
      </c>
      <c r="M1" s="120" t="s">
        <v>1561</v>
      </c>
      <c r="N1" s="133" t="s">
        <v>1562</v>
      </c>
      <c r="O1" s="120" t="s">
        <v>1563</v>
      </c>
      <c r="P1" s="120" t="s">
        <v>1564</v>
      </c>
      <c r="Q1" s="120" t="s">
        <v>1565</v>
      </c>
      <c r="R1" s="120" t="s">
        <v>1566</v>
      </c>
      <c r="S1" s="120" t="s">
        <v>1567</v>
      </c>
      <c r="T1" s="120" t="s">
        <v>1568</v>
      </c>
      <c r="U1" s="120" t="s">
        <v>1569</v>
      </c>
      <c r="V1" s="120" t="s">
        <v>1570</v>
      </c>
      <c r="W1" s="120" t="s">
        <v>1571</v>
      </c>
      <c r="X1" s="134" t="s">
        <v>1572</v>
      </c>
      <c r="Y1" s="120" t="s">
        <v>1573</v>
      </c>
      <c r="Z1" s="120" t="s">
        <v>1574</v>
      </c>
      <c r="AA1" s="120" t="s">
        <v>1575</v>
      </c>
      <c r="AB1" s="120" t="s">
        <v>1576</v>
      </c>
      <c r="AC1" s="135" t="s">
        <v>1577</v>
      </c>
      <c r="AD1" s="136" t="s">
        <v>1578</v>
      </c>
      <c r="AE1" s="135" t="s">
        <v>1579</v>
      </c>
      <c r="AF1" s="136" t="s">
        <v>1580</v>
      </c>
      <c r="AG1" s="135" t="s">
        <v>1581</v>
      </c>
      <c r="AH1" s="136" t="s">
        <v>1582</v>
      </c>
      <c r="AI1" s="135" t="s">
        <v>1583</v>
      </c>
      <c r="AJ1" s="136" t="s">
        <v>1584</v>
      </c>
      <c r="AK1" s="135" t="s">
        <v>1585</v>
      </c>
      <c r="AL1" s="136" t="s">
        <v>1586</v>
      </c>
      <c r="AM1" s="135" t="s">
        <v>1587</v>
      </c>
      <c r="AN1" s="136" t="s">
        <v>1588</v>
      </c>
      <c r="AO1" s="135" t="s">
        <v>1589</v>
      </c>
      <c r="AP1" s="136" t="s">
        <v>1590</v>
      </c>
      <c r="AQ1" s="135" t="s">
        <v>1591</v>
      </c>
      <c r="AR1" s="136" t="s">
        <v>1592</v>
      </c>
      <c r="AS1" s="135" t="s">
        <v>1593</v>
      </c>
      <c r="AT1" s="137" t="s">
        <v>1594</v>
      </c>
      <c r="AU1" s="121" t="s">
        <v>1595</v>
      </c>
      <c r="AV1" s="122" t="s">
        <v>1596</v>
      </c>
      <c r="AW1" s="121" t="s">
        <v>1597</v>
      </c>
      <c r="AX1" s="120" t="s">
        <v>1598</v>
      </c>
    </row>
    <row r="2" spans="1:50">
      <c r="A2" s="123" t="s">
        <v>1599</v>
      </c>
      <c r="B2" s="123" t="s">
        <v>1697</v>
      </c>
      <c r="C2" s="123" t="s">
        <v>381</v>
      </c>
      <c r="D2" s="124">
        <v>2008</v>
      </c>
      <c r="E2" s="125">
        <v>20008</v>
      </c>
      <c r="F2" s="123" t="s">
        <v>1600</v>
      </c>
      <c r="G2" s="123" t="s">
        <v>1601</v>
      </c>
      <c r="H2" s="138">
        <v>18351295</v>
      </c>
      <c r="I2" s="139">
        <v>10427</v>
      </c>
      <c r="J2" s="123" t="s">
        <v>1604</v>
      </c>
      <c r="K2" s="123" t="s">
        <v>1602</v>
      </c>
      <c r="L2" s="126">
        <v>5413</v>
      </c>
      <c r="M2" s="123"/>
      <c r="N2" s="140">
        <v>527</v>
      </c>
      <c r="O2" s="139"/>
      <c r="P2" s="141">
        <v>18.215599999999998</v>
      </c>
      <c r="Q2" s="139"/>
      <c r="R2" s="141">
        <v>4.2031999999999998</v>
      </c>
      <c r="S2" s="139"/>
      <c r="T2" s="141">
        <v>62.403700000000001</v>
      </c>
      <c r="U2" s="139"/>
      <c r="V2" s="138">
        <v>376401985</v>
      </c>
      <c r="W2" s="139"/>
      <c r="X2" s="142">
        <v>334949157</v>
      </c>
      <c r="Y2" s="139"/>
      <c r="Z2" s="138">
        <v>324782077</v>
      </c>
      <c r="AA2" s="139"/>
      <c r="AB2" s="138">
        <v>10167080</v>
      </c>
      <c r="AC2" s="139"/>
      <c r="AD2" s="138">
        <v>18782357</v>
      </c>
      <c r="AE2" s="139"/>
      <c r="AF2" s="138">
        <v>17829918</v>
      </c>
      <c r="AG2" s="139"/>
      <c r="AH2" s="138">
        <v>952439</v>
      </c>
      <c r="AI2" s="139"/>
      <c r="AJ2" s="138">
        <v>36770774</v>
      </c>
      <c r="AK2" s="139"/>
      <c r="AL2" s="138">
        <v>35625281</v>
      </c>
      <c r="AM2" s="139"/>
      <c r="AN2" s="138">
        <v>2060234</v>
      </c>
      <c r="AO2" s="139"/>
      <c r="AP2" s="143">
        <v>1955760</v>
      </c>
      <c r="AQ2" s="139"/>
      <c r="AR2" s="138">
        <v>1112653405</v>
      </c>
      <c r="AS2" s="139"/>
      <c r="AT2" s="142">
        <v>4676670633</v>
      </c>
      <c r="AU2" s="123"/>
      <c r="AV2" s="127">
        <v>493.68</v>
      </c>
      <c r="AW2" s="123" t="s">
        <v>1603</v>
      </c>
      <c r="AX2" s="123" t="s">
        <v>1743</v>
      </c>
    </row>
    <row r="3" spans="1:50">
      <c r="A3" s="123" t="s">
        <v>1606</v>
      </c>
      <c r="B3" s="123" t="s">
        <v>1607</v>
      </c>
      <c r="C3" s="123" t="s">
        <v>378</v>
      </c>
      <c r="D3" s="124">
        <v>2080</v>
      </c>
      <c r="E3" s="125">
        <v>20080</v>
      </c>
      <c r="F3" s="123" t="s">
        <v>1608</v>
      </c>
      <c r="G3" s="123" t="s">
        <v>1601</v>
      </c>
      <c r="H3" s="138">
        <v>18351295</v>
      </c>
      <c r="I3" s="139">
        <v>3646</v>
      </c>
      <c r="J3" s="123" t="s">
        <v>1609</v>
      </c>
      <c r="K3" s="123" t="s">
        <v>1605</v>
      </c>
      <c r="L3" s="126">
        <v>42</v>
      </c>
      <c r="M3" s="123"/>
      <c r="N3" s="140">
        <v>20</v>
      </c>
      <c r="O3" s="139"/>
      <c r="P3" s="141">
        <v>16.576499999999999</v>
      </c>
      <c r="Q3" s="139"/>
      <c r="R3" s="141">
        <v>3.7544</v>
      </c>
      <c r="S3" s="139"/>
      <c r="T3" s="141">
        <v>104.70910000000001</v>
      </c>
      <c r="U3" s="139"/>
      <c r="V3" s="138">
        <v>1809860</v>
      </c>
      <c r="W3" s="139"/>
      <c r="X3" s="142">
        <v>1929113</v>
      </c>
      <c r="Y3" s="139"/>
      <c r="Z3" s="138">
        <v>1893039</v>
      </c>
      <c r="AA3" s="139"/>
      <c r="AB3" s="138">
        <v>36074</v>
      </c>
      <c r="AC3" s="139"/>
      <c r="AD3" s="138">
        <v>115699</v>
      </c>
      <c r="AE3" s="139"/>
      <c r="AF3" s="138">
        <v>114200</v>
      </c>
      <c r="AG3" s="139"/>
      <c r="AH3" s="138">
        <v>1499</v>
      </c>
      <c r="AI3" s="139"/>
      <c r="AJ3" s="138">
        <v>1096779</v>
      </c>
      <c r="AK3" s="139"/>
      <c r="AL3" s="138">
        <v>1076347</v>
      </c>
      <c r="AM3" s="139"/>
      <c r="AN3" s="138">
        <v>64689</v>
      </c>
      <c r="AO3" s="139"/>
      <c r="AP3" s="143">
        <v>63804</v>
      </c>
      <c r="AQ3" s="139"/>
      <c r="AR3" s="138">
        <v>11957780</v>
      </c>
      <c r="AS3" s="139"/>
      <c r="AT3" s="142">
        <v>44894834</v>
      </c>
      <c r="AU3" s="123"/>
      <c r="AV3" s="127">
        <v>34.08</v>
      </c>
      <c r="AW3" s="123" t="s">
        <v>1603</v>
      </c>
      <c r="AX3" s="123" t="s">
        <v>1743</v>
      </c>
    </row>
    <row r="4" spans="1:50">
      <c r="A4" s="123" t="s">
        <v>1606</v>
      </c>
      <c r="B4" s="123" t="s">
        <v>1607</v>
      </c>
      <c r="C4" s="123" t="s">
        <v>378</v>
      </c>
      <c r="D4" s="124">
        <v>2080</v>
      </c>
      <c r="E4" s="125">
        <v>20080</v>
      </c>
      <c r="F4" s="123" t="s">
        <v>1608</v>
      </c>
      <c r="G4" s="123" t="s">
        <v>1601</v>
      </c>
      <c r="H4" s="138">
        <v>18351295</v>
      </c>
      <c r="I4" s="139">
        <v>3646</v>
      </c>
      <c r="J4" s="123" t="s">
        <v>1609</v>
      </c>
      <c r="K4" s="123" t="s">
        <v>1602</v>
      </c>
      <c r="L4" s="126">
        <v>15</v>
      </c>
      <c r="M4" s="123"/>
      <c r="N4" s="140">
        <v>15</v>
      </c>
      <c r="O4" s="139"/>
      <c r="P4" s="141">
        <v>9.3912999999999993</v>
      </c>
      <c r="Q4" s="139"/>
      <c r="R4" s="141">
        <v>2.2517</v>
      </c>
      <c r="S4" s="139"/>
      <c r="T4" s="141">
        <v>88.662099999999995</v>
      </c>
      <c r="U4" s="139"/>
      <c r="V4" s="138">
        <v>458806</v>
      </c>
      <c r="W4" s="139"/>
      <c r="X4" s="142">
        <v>481308</v>
      </c>
      <c r="Y4" s="139"/>
      <c r="Z4" s="138">
        <v>470004</v>
      </c>
      <c r="AA4" s="139"/>
      <c r="AB4" s="138">
        <v>11304</v>
      </c>
      <c r="AC4" s="139"/>
      <c r="AD4" s="138">
        <v>55608</v>
      </c>
      <c r="AE4" s="139"/>
      <c r="AF4" s="138">
        <v>50047</v>
      </c>
      <c r="AG4" s="139"/>
      <c r="AH4" s="138">
        <v>5561</v>
      </c>
      <c r="AI4" s="139"/>
      <c r="AJ4" s="138">
        <v>481308</v>
      </c>
      <c r="AK4" s="139"/>
      <c r="AL4" s="138">
        <v>470004</v>
      </c>
      <c r="AM4" s="139"/>
      <c r="AN4" s="138">
        <v>55608</v>
      </c>
      <c r="AO4" s="139"/>
      <c r="AP4" s="143">
        <v>50047</v>
      </c>
      <c r="AQ4" s="139"/>
      <c r="AR4" s="138">
        <v>4437270</v>
      </c>
      <c r="AS4" s="139"/>
      <c r="AT4" s="142">
        <v>9991369</v>
      </c>
      <c r="AU4" s="123"/>
      <c r="AV4" s="127">
        <v>12.42</v>
      </c>
      <c r="AW4" s="123" t="s">
        <v>1603</v>
      </c>
      <c r="AX4" s="123" t="s">
        <v>1743</v>
      </c>
    </row>
    <row r="5" spans="1:50">
      <c r="A5" s="123" t="s">
        <v>1606</v>
      </c>
      <c r="B5" s="123" t="s">
        <v>1607</v>
      </c>
      <c r="C5" s="123" t="s">
        <v>378</v>
      </c>
      <c r="D5" s="124">
        <v>2080</v>
      </c>
      <c r="E5" s="125">
        <v>20080</v>
      </c>
      <c r="F5" s="123" t="s">
        <v>1608</v>
      </c>
      <c r="G5" s="123" t="s">
        <v>1601</v>
      </c>
      <c r="H5" s="138">
        <v>18351295</v>
      </c>
      <c r="I5" s="139">
        <v>3646</v>
      </c>
      <c r="J5" s="123" t="s">
        <v>1610</v>
      </c>
      <c r="K5" s="123" t="s">
        <v>1602</v>
      </c>
      <c r="L5" s="126">
        <v>904</v>
      </c>
      <c r="M5" s="123"/>
      <c r="N5" s="140">
        <v>105</v>
      </c>
      <c r="O5" s="139"/>
      <c r="P5" s="141">
        <v>32.758000000000003</v>
      </c>
      <c r="Q5" s="139"/>
      <c r="R5" s="141">
        <v>22.010100000000001</v>
      </c>
      <c r="S5" s="139"/>
      <c r="T5" s="141">
        <v>40.014699999999998</v>
      </c>
      <c r="U5" s="139"/>
      <c r="V5" s="138">
        <v>54847772</v>
      </c>
      <c r="W5" s="139"/>
      <c r="X5" s="142">
        <v>57155030</v>
      </c>
      <c r="Y5" s="139"/>
      <c r="Z5" s="138">
        <v>54301350</v>
      </c>
      <c r="AA5" s="139"/>
      <c r="AB5" s="138">
        <v>2853680</v>
      </c>
      <c r="AC5" s="139"/>
      <c r="AD5" s="138">
        <v>1953118</v>
      </c>
      <c r="AE5" s="139"/>
      <c r="AF5" s="138">
        <v>1657653</v>
      </c>
      <c r="AG5" s="139"/>
      <c r="AH5" s="138">
        <v>295465</v>
      </c>
      <c r="AI5" s="139"/>
      <c r="AJ5" s="138">
        <v>8422625</v>
      </c>
      <c r="AK5" s="139"/>
      <c r="AL5" s="138">
        <v>7942892</v>
      </c>
      <c r="AM5" s="139"/>
      <c r="AN5" s="138">
        <v>287491</v>
      </c>
      <c r="AO5" s="139"/>
      <c r="AP5" s="143">
        <v>248272</v>
      </c>
      <c r="AQ5" s="139"/>
      <c r="AR5" s="138">
        <v>66330426</v>
      </c>
      <c r="AS5" s="139"/>
      <c r="AT5" s="142">
        <v>1459936301</v>
      </c>
      <c r="AU5" s="123"/>
      <c r="AV5" s="127">
        <v>920.4</v>
      </c>
      <c r="AW5" s="123" t="s">
        <v>1603</v>
      </c>
      <c r="AX5" s="123" t="s">
        <v>1743</v>
      </c>
    </row>
    <row r="6" spans="1:50">
      <c r="A6" s="123" t="s">
        <v>1744</v>
      </c>
      <c r="B6" s="123" t="s">
        <v>1611</v>
      </c>
      <c r="C6" s="123" t="s">
        <v>351</v>
      </c>
      <c r="D6" s="124">
        <v>9154</v>
      </c>
      <c r="E6" s="125">
        <v>90154</v>
      </c>
      <c r="F6" s="123" t="s">
        <v>1612</v>
      </c>
      <c r="G6" s="123" t="s">
        <v>1601</v>
      </c>
      <c r="H6" s="138">
        <v>12150996</v>
      </c>
      <c r="I6" s="139">
        <v>3482</v>
      </c>
      <c r="J6" s="123" t="s">
        <v>1609</v>
      </c>
      <c r="K6" s="123" t="s">
        <v>1602</v>
      </c>
      <c r="L6" s="126">
        <v>203</v>
      </c>
      <c r="M6" s="123"/>
      <c r="N6" s="140">
        <v>74</v>
      </c>
      <c r="O6" s="139"/>
      <c r="P6" s="141">
        <v>20.558</v>
      </c>
      <c r="Q6" s="139"/>
      <c r="R6" s="141">
        <v>7.5712999999999999</v>
      </c>
      <c r="S6" s="139"/>
      <c r="T6" s="141">
        <v>55.704000000000001</v>
      </c>
      <c r="U6" s="139"/>
      <c r="V6" s="138">
        <v>15592469</v>
      </c>
      <c r="W6" s="139"/>
      <c r="X6" s="142">
        <v>16090545</v>
      </c>
      <c r="Y6" s="139"/>
      <c r="Z6" s="138">
        <v>15536688</v>
      </c>
      <c r="AA6" s="139"/>
      <c r="AB6" s="138">
        <v>553857</v>
      </c>
      <c r="AC6" s="139"/>
      <c r="AD6" s="138">
        <v>792734</v>
      </c>
      <c r="AE6" s="139"/>
      <c r="AF6" s="138">
        <v>755749</v>
      </c>
      <c r="AG6" s="139"/>
      <c r="AH6" s="138">
        <v>36985</v>
      </c>
      <c r="AI6" s="139"/>
      <c r="AJ6" s="138">
        <v>6384468</v>
      </c>
      <c r="AK6" s="139"/>
      <c r="AL6" s="138">
        <v>6156417</v>
      </c>
      <c r="AM6" s="139"/>
      <c r="AN6" s="138">
        <v>309440</v>
      </c>
      <c r="AO6" s="139"/>
      <c r="AP6" s="143">
        <v>294220</v>
      </c>
      <c r="AQ6" s="139"/>
      <c r="AR6" s="138">
        <v>42098255</v>
      </c>
      <c r="AS6" s="139"/>
      <c r="AT6" s="142">
        <v>318737668</v>
      </c>
      <c r="AU6" s="123"/>
      <c r="AV6" s="127">
        <v>171.92</v>
      </c>
      <c r="AW6" s="123" t="s">
        <v>1603</v>
      </c>
      <c r="AX6" s="123" t="s">
        <v>1743</v>
      </c>
    </row>
    <row r="7" spans="1:50">
      <c r="A7" s="123" t="s">
        <v>1744</v>
      </c>
      <c r="B7" s="123" t="s">
        <v>1611</v>
      </c>
      <c r="C7" s="123" t="s">
        <v>351</v>
      </c>
      <c r="D7" s="124">
        <v>9154</v>
      </c>
      <c r="E7" s="125">
        <v>90154</v>
      </c>
      <c r="F7" s="123" t="s">
        <v>1612</v>
      </c>
      <c r="G7" s="123" t="s">
        <v>1601</v>
      </c>
      <c r="H7" s="138">
        <v>12150996</v>
      </c>
      <c r="I7" s="139">
        <v>3482</v>
      </c>
      <c r="J7" s="123" t="s">
        <v>1604</v>
      </c>
      <c r="K7" s="123" t="s">
        <v>1602</v>
      </c>
      <c r="L7" s="126">
        <v>68</v>
      </c>
      <c r="M7" s="123"/>
      <c r="N7" s="140">
        <v>13</v>
      </c>
      <c r="O7" s="139"/>
      <c r="P7" s="141">
        <v>21.8993</v>
      </c>
      <c r="Q7" s="139"/>
      <c r="R7" s="141">
        <v>4.8391999999999999</v>
      </c>
      <c r="S7" s="139"/>
      <c r="T7" s="141">
        <v>108.40730000000001</v>
      </c>
      <c r="U7" s="139"/>
      <c r="V7" s="138">
        <v>6821561</v>
      </c>
      <c r="W7" s="139"/>
      <c r="X7" s="142">
        <v>6973555</v>
      </c>
      <c r="Y7" s="139"/>
      <c r="Z7" s="138">
        <v>6801301</v>
      </c>
      <c r="AA7" s="139"/>
      <c r="AB7" s="138">
        <v>172254</v>
      </c>
      <c r="AC7" s="139"/>
      <c r="AD7" s="138">
        <v>327668</v>
      </c>
      <c r="AE7" s="139"/>
      <c r="AF7" s="138">
        <v>310572</v>
      </c>
      <c r="AG7" s="139"/>
      <c r="AH7" s="138">
        <v>17096</v>
      </c>
      <c r="AI7" s="139"/>
      <c r="AJ7" s="138">
        <v>1383514</v>
      </c>
      <c r="AK7" s="139"/>
      <c r="AL7" s="138">
        <v>1350454</v>
      </c>
      <c r="AM7" s="139"/>
      <c r="AN7" s="138">
        <v>66480</v>
      </c>
      <c r="AO7" s="139"/>
      <c r="AP7" s="143">
        <v>63158</v>
      </c>
      <c r="AQ7" s="139"/>
      <c r="AR7" s="138">
        <v>33668265</v>
      </c>
      <c r="AS7" s="139"/>
      <c r="AT7" s="142">
        <v>162927528</v>
      </c>
      <c r="AU7" s="123"/>
      <c r="AV7" s="127">
        <v>31.9</v>
      </c>
      <c r="AW7" s="123" t="s">
        <v>1603</v>
      </c>
      <c r="AX7" s="123" t="s">
        <v>1743</v>
      </c>
    </row>
    <row r="8" spans="1:50">
      <c r="A8" s="123" t="s">
        <v>1613</v>
      </c>
      <c r="B8" s="123" t="s">
        <v>128</v>
      </c>
      <c r="C8" s="123" t="s">
        <v>354</v>
      </c>
      <c r="D8" s="124">
        <v>3030</v>
      </c>
      <c r="E8" s="125">
        <v>30030</v>
      </c>
      <c r="F8" s="123" t="s">
        <v>1612</v>
      </c>
      <c r="G8" s="123" t="s">
        <v>1601</v>
      </c>
      <c r="H8" s="138">
        <v>4586770</v>
      </c>
      <c r="I8" s="139">
        <v>3304</v>
      </c>
      <c r="J8" s="123" t="s">
        <v>1604</v>
      </c>
      <c r="K8" s="123" t="s">
        <v>1602</v>
      </c>
      <c r="L8" s="126">
        <v>998</v>
      </c>
      <c r="M8" s="123"/>
      <c r="N8" s="140">
        <v>129</v>
      </c>
      <c r="O8" s="139"/>
      <c r="P8" s="141">
        <v>23.3386</v>
      </c>
      <c r="Q8" s="139"/>
      <c r="R8" s="141">
        <v>5.6486999999999998</v>
      </c>
      <c r="S8" s="139"/>
      <c r="T8" s="141">
        <v>51.016399999999997</v>
      </c>
      <c r="U8" s="139"/>
      <c r="V8" s="138">
        <v>81860566</v>
      </c>
      <c r="W8" s="139"/>
      <c r="X8" s="142">
        <v>82234530</v>
      </c>
      <c r="Y8" s="139"/>
      <c r="Z8" s="138">
        <v>79847615</v>
      </c>
      <c r="AA8" s="139"/>
      <c r="AB8" s="138">
        <v>2386915</v>
      </c>
      <c r="AC8" s="139"/>
      <c r="AD8" s="138">
        <v>3524685</v>
      </c>
      <c r="AE8" s="139"/>
      <c r="AF8" s="138">
        <v>3421264</v>
      </c>
      <c r="AG8" s="139"/>
      <c r="AH8" s="138">
        <v>103421</v>
      </c>
      <c r="AI8" s="139"/>
      <c r="AJ8" s="138">
        <v>11770449</v>
      </c>
      <c r="AK8" s="139"/>
      <c r="AL8" s="138">
        <v>11432619</v>
      </c>
      <c r="AM8" s="139"/>
      <c r="AN8" s="138">
        <v>505929</v>
      </c>
      <c r="AO8" s="139"/>
      <c r="AP8" s="143">
        <v>489793</v>
      </c>
      <c r="AQ8" s="139"/>
      <c r="AR8" s="138">
        <v>174540714</v>
      </c>
      <c r="AS8" s="139"/>
      <c r="AT8" s="142">
        <v>985922295</v>
      </c>
      <c r="AU8" s="123"/>
      <c r="AV8" s="127">
        <v>234.2</v>
      </c>
      <c r="AW8" s="123" t="s">
        <v>1603</v>
      </c>
      <c r="AX8" s="123" t="s">
        <v>1743</v>
      </c>
    </row>
    <row r="9" spans="1:50">
      <c r="A9" s="123" t="s">
        <v>1617</v>
      </c>
      <c r="B9" s="123" t="s">
        <v>1618</v>
      </c>
      <c r="C9" s="123" t="s">
        <v>361</v>
      </c>
      <c r="D9" s="124">
        <v>5066</v>
      </c>
      <c r="E9" s="125">
        <v>50066</v>
      </c>
      <c r="F9" s="123" t="s">
        <v>1612</v>
      </c>
      <c r="G9" s="123" t="s">
        <v>1601</v>
      </c>
      <c r="H9" s="138">
        <v>8608208</v>
      </c>
      <c r="I9" s="139">
        <v>2703</v>
      </c>
      <c r="J9" s="123" t="s">
        <v>1604</v>
      </c>
      <c r="K9" s="123" t="s">
        <v>1602</v>
      </c>
      <c r="L9" s="126">
        <v>1148</v>
      </c>
      <c r="M9" s="123"/>
      <c r="N9" s="140">
        <v>158</v>
      </c>
      <c r="O9" s="139"/>
      <c r="P9" s="141">
        <v>18.0276</v>
      </c>
      <c r="Q9" s="139"/>
      <c r="R9" s="141">
        <v>6.3144</v>
      </c>
      <c r="S9" s="139" t="s">
        <v>1616</v>
      </c>
      <c r="T9" s="141">
        <v>19.723500000000001</v>
      </c>
      <c r="U9" s="139"/>
      <c r="V9" s="138">
        <v>82996946</v>
      </c>
      <c r="W9" s="139"/>
      <c r="X9" s="142">
        <v>70519745</v>
      </c>
      <c r="Y9" s="139"/>
      <c r="Z9" s="138">
        <v>69510641</v>
      </c>
      <c r="AA9" s="139"/>
      <c r="AB9" s="138">
        <v>1009104</v>
      </c>
      <c r="AC9" s="139"/>
      <c r="AD9" s="138">
        <v>4177041</v>
      </c>
      <c r="AE9" s="139"/>
      <c r="AF9" s="138">
        <v>3855798</v>
      </c>
      <c r="AG9" s="139"/>
      <c r="AH9" s="138">
        <v>321243</v>
      </c>
      <c r="AI9" s="139"/>
      <c r="AJ9" s="138">
        <v>10533049</v>
      </c>
      <c r="AK9" s="139"/>
      <c r="AL9" s="138">
        <v>10388783</v>
      </c>
      <c r="AM9" s="139"/>
      <c r="AN9" s="138">
        <v>631507</v>
      </c>
      <c r="AO9" s="139"/>
      <c r="AP9" s="143">
        <v>582079</v>
      </c>
      <c r="AQ9" s="139"/>
      <c r="AR9" s="138">
        <v>76049871</v>
      </c>
      <c r="AS9" s="139"/>
      <c r="AT9" s="142">
        <v>480210760</v>
      </c>
      <c r="AU9" s="123" t="s">
        <v>1616</v>
      </c>
      <c r="AV9" s="127">
        <v>207.84</v>
      </c>
      <c r="AW9" s="123" t="s">
        <v>1603</v>
      </c>
      <c r="AX9" s="123" t="s">
        <v>1745</v>
      </c>
    </row>
    <row r="10" spans="1:50">
      <c r="A10" s="123" t="s">
        <v>1619</v>
      </c>
      <c r="B10" s="123" t="s">
        <v>1620</v>
      </c>
      <c r="C10" s="123" t="s">
        <v>366</v>
      </c>
      <c r="D10" s="124">
        <v>1003</v>
      </c>
      <c r="E10" s="125">
        <v>10003</v>
      </c>
      <c r="F10" s="123" t="s">
        <v>1612</v>
      </c>
      <c r="G10" s="123" t="s">
        <v>1601</v>
      </c>
      <c r="H10" s="138">
        <v>4181019</v>
      </c>
      <c r="I10" s="139">
        <v>2428</v>
      </c>
      <c r="J10" s="123" t="s">
        <v>1609</v>
      </c>
      <c r="K10" s="123" t="s">
        <v>1602</v>
      </c>
      <c r="L10" s="126">
        <v>154</v>
      </c>
      <c r="M10" s="123"/>
      <c r="N10" s="140">
        <v>86</v>
      </c>
      <c r="O10" s="139"/>
      <c r="P10" s="141">
        <v>7.3029000000000002</v>
      </c>
      <c r="Q10" s="139"/>
      <c r="R10" s="141">
        <v>2.3538000000000001</v>
      </c>
      <c r="S10" s="139"/>
      <c r="T10" s="141">
        <v>57.774500000000003</v>
      </c>
      <c r="U10" s="139"/>
      <c r="V10" s="138">
        <v>5714964</v>
      </c>
      <c r="W10" s="139"/>
      <c r="X10" s="142">
        <v>5260506</v>
      </c>
      <c r="Y10" s="139"/>
      <c r="Z10" s="138">
        <v>5241369</v>
      </c>
      <c r="AA10" s="139"/>
      <c r="AB10" s="138">
        <v>19137</v>
      </c>
      <c r="AC10" s="139"/>
      <c r="AD10" s="138">
        <v>726323</v>
      </c>
      <c r="AE10" s="139"/>
      <c r="AF10" s="138">
        <v>717709</v>
      </c>
      <c r="AG10" s="139"/>
      <c r="AH10" s="138">
        <v>8614</v>
      </c>
      <c r="AI10" s="139" t="s">
        <v>1653</v>
      </c>
      <c r="AJ10" s="138">
        <v>2876932</v>
      </c>
      <c r="AK10" s="139"/>
      <c r="AL10" s="138">
        <v>2870560</v>
      </c>
      <c r="AM10" s="139"/>
      <c r="AN10" s="138">
        <v>321018</v>
      </c>
      <c r="AO10" s="139"/>
      <c r="AP10" s="143">
        <v>315916</v>
      </c>
      <c r="AQ10" s="139"/>
      <c r="AR10" s="138">
        <v>41465243</v>
      </c>
      <c r="AS10" s="139"/>
      <c r="AT10" s="142">
        <v>97602251</v>
      </c>
      <c r="AU10" s="123"/>
      <c r="AV10" s="127">
        <v>51</v>
      </c>
      <c r="AW10" s="123" t="s">
        <v>1603</v>
      </c>
      <c r="AX10" s="123" t="s">
        <v>1745</v>
      </c>
    </row>
    <row r="11" spans="1:50">
      <c r="A11" s="123" t="s">
        <v>1619</v>
      </c>
      <c r="B11" s="123" t="s">
        <v>1620</v>
      </c>
      <c r="C11" s="123" t="s">
        <v>366</v>
      </c>
      <c r="D11" s="124">
        <v>1003</v>
      </c>
      <c r="E11" s="125">
        <v>10003</v>
      </c>
      <c r="F11" s="123" t="s">
        <v>1612</v>
      </c>
      <c r="G11" s="123" t="s">
        <v>1601</v>
      </c>
      <c r="H11" s="138">
        <v>4181019</v>
      </c>
      <c r="I11" s="139">
        <v>2428</v>
      </c>
      <c r="J11" s="123" t="s">
        <v>1604</v>
      </c>
      <c r="K11" s="123" t="s">
        <v>1602</v>
      </c>
      <c r="L11" s="126">
        <v>338</v>
      </c>
      <c r="M11" s="123"/>
      <c r="N11" s="140">
        <v>56</v>
      </c>
      <c r="O11" s="139"/>
      <c r="P11" s="141">
        <v>16.707100000000001</v>
      </c>
      <c r="Q11" s="139"/>
      <c r="R11" s="141">
        <v>3.5198</v>
      </c>
      <c r="S11" s="139"/>
      <c r="T11" s="141">
        <v>87.046400000000006</v>
      </c>
      <c r="U11" s="139"/>
      <c r="V11" s="138">
        <v>23317516</v>
      </c>
      <c r="W11" s="139"/>
      <c r="X11" s="142">
        <v>22746421</v>
      </c>
      <c r="Y11" s="139"/>
      <c r="Z11" s="138">
        <v>22203578</v>
      </c>
      <c r="AA11" s="139"/>
      <c r="AB11" s="138">
        <v>542843</v>
      </c>
      <c r="AC11" s="139"/>
      <c r="AD11" s="138">
        <v>1393950</v>
      </c>
      <c r="AE11" s="139"/>
      <c r="AF11" s="138">
        <v>1328990</v>
      </c>
      <c r="AG11" s="139"/>
      <c r="AH11" s="138">
        <v>64960</v>
      </c>
      <c r="AI11" s="139"/>
      <c r="AJ11" s="138">
        <v>3791070</v>
      </c>
      <c r="AK11" s="139"/>
      <c r="AL11" s="138">
        <v>3700596</v>
      </c>
      <c r="AM11" s="139"/>
      <c r="AN11" s="138">
        <v>253575</v>
      </c>
      <c r="AO11" s="139"/>
      <c r="AP11" s="143">
        <v>242748</v>
      </c>
      <c r="AQ11" s="139"/>
      <c r="AR11" s="138">
        <v>115683733</v>
      </c>
      <c r="AS11" s="139"/>
      <c r="AT11" s="142">
        <v>407181618</v>
      </c>
      <c r="AU11" s="123"/>
      <c r="AV11" s="127">
        <v>76.3</v>
      </c>
      <c r="AW11" s="123" t="s">
        <v>1603</v>
      </c>
      <c r="AX11" s="123" t="s">
        <v>1743</v>
      </c>
    </row>
    <row r="12" spans="1:50">
      <c r="A12" s="123" t="s">
        <v>1619</v>
      </c>
      <c r="B12" s="123" t="s">
        <v>1620</v>
      </c>
      <c r="C12" s="123" t="s">
        <v>366</v>
      </c>
      <c r="D12" s="124">
        <v>1003</v>
      </c>
      <c r="E12" s="125">
        <v>10003</v>
      </c>
      <c r="F12" s="123" t="s">
        <v>1612</v>
      </c>
      <c r="G12" s="123" t="s">
        <v>1601</v>
      </c>
      <c r="H12" s="138">
        <v>4181019</v>
      </c>
      <c r="I12" s="139">
        <v>2428</v>
      </c>
      <c r="J12" s="123" t="s">
        <v>1610</v>
      </c>
      <c r="K12" s="123" t="s">
        <v>1605</v>
      </c>
      <c r="L12" s="126">
        <v>436</v>
      </c>
      <c r="M12" s="123"/>
      <c r="N12" s="140">
        <v>67</v>
      </c>
      <c r="O12" s="139"/>
      <c r="P12" s="141">
        <v>29.729199999999999</v>
      </c>
      <c r="Q12" s="139"/>
      <c r="R12" s="141">
        <v>20.751000000000001</v>
      </c>
      <c r="S12" s="139"/>
      <c r="T12" s="141">
        <v>33.01</v>
      </c>
      <c r="U12" s="139"/>
      <c r="V12" s="138">
        <v>22195183</v>
      </c>
      <c r="W12" s="139"/>
      <c r="X12" s="142">
        <v>22810502</v>
      </c>
      <c r="Y12" s="139"/>
      <c r="Z12" s="138">
        <v>22300695</v>
      </c>
      <c r="AA12" s="139"/>
      <c r="AB12" s="138">
        <v>509807</v>
      </c>
      <c r="AC12" s="139"/>
      <c r="AD12" s="138">
        <v>768699</v>
      </c>
      <c r="AE12" s="139"/>
      <c r="AF12" s="138">
        <v>750128</v>
      </c>
      <c r="AG12" s="139"/>
      <c r="AH12" s="138">
        <v>18571</v>
      </c>
      <c r="AI12" s="139"/>
      <c r="AJ12" s="138">
        <v>4189947</v>
      </c>
      <c r="AK12" s="139"/>
      <c r="AL12" s="138">
        <v>4093393</v>
      </c>
      <c r="AM12" s="139"/>
      <c r="AN12" s="138">
        <v>141215</v>
      </c>
      <c r="AO12" s="139"/>
      <c r="AP12" s="143">
        <v>137738</v>
      </c>
      <c r="AQ12" s="139"/>
      <c r="AR12" s="138">
        <v>24761705</v>
      </c>
      <c r="AS12" s="139"/>
      <c r="AT12" s="142">
        <v>513830968</v>
      </c>
      <c r="AU12" s="123"/>
      <c r="AV12" s="127">
        <v>776.08</v>
      </c>
      <c r="AW12" s="123" t="s">
        <v>1603</v>
      </c>
      <c r="AX12" s="123" t="s">
        <v>1743</v>
      </c>
    </row>
    <row r="13" spans="1:50">
      <c r="A13" s="123" t="s">
        <v>1621</v>
      </c>
      <c r="B13" s="123" t="s">
        <v>1622</v>
      </c>
      <c r="C13" s="123" t="s">
        <v>385</v>
      </c>
      <c r="D13" s="124">
        <v>3019</v>
      </c>
      <c r="E13" s="125">
        <v>30019</v>
      </c>
      <c r="F13" s="123" t="s">
        <v>1612</v>
      </c>
      <c r="G13" s="123" t="s">
        <v>1601</v>
      </c>
      <c r="H13" s="138">
        <v>5441567</v>
      </c>
      <c r="I13" s="139">
        <v>2406</v>
      </c>
      <c r="J13" s="123" t="s">
        <v>1604</v>
      </c>
      <c r="K13" s="123" t="s">
        <v>1602</v>
      </c>
      <c r="L13" s="126">
        <v>286</v>
      </c>
      <c r="M13" s="123"/>
      <c r="N13" s="140">
        <v>61</v>
      </c>
      <c r="O13" s="139"/>
      <c r="P13" s="141">
        <v>17.097100000000001</v>
      </c>
      <c r="Q13" s="139"/>
      <c r="R13" s="141">
        <v>4.4253999999999998</v>
      </c>
      <c r="S13" s="139" t="s">
        <v>1616</v>
      </c>
      <c r="T13" s="141">
        <v>75.514099999999999</v>
      </c>
      <c r="U13" s="139" t="s">
        <v>1616</v>
      </c>
      <c r="V13" s="138">
        <v>16431036</v>
      </c>
      <c r="W13" s="139"/>
      <c r="X13" s="142">
        <v>16168711</v>
      </c>
      <c r="Y13" s="139"/>
      <c r="Z13" s="138">
        <v>16089713</v>
      </c>
      <c r="AA13" s="139"/>
      <c r="AB13" s="138">
        <v>78998</v>
      </c>
      <c r="AC13" s="139"/>
      <c r="AD13" s="138">
        <v>945947</v>
      </c>
      <c r="AE13" s="139"/>
      <c r="AF13" s="138">
        <v>941080</v>
      </c>
      <c r="AG13" s="139"/>
      <c r="AH13" s="138">
        <v>4867</v>
      </c>
      <c r="AI13" s="139"/>
      <c r="AJ13" s="138">
        <v>3121305</v>
      </c>
      <c r="AK13" s="139"/>
      <c r="AL13" s="138">
        <v>3101700</v>
      </c>
      <c r="AM13" s="139"/>
      <c r="AN13" s="138">
        <v>182557</v>
      </c>
      <c r="AO13" s="139"/>
      <c r="AP13" s="143">
        <v>181391</v>
      </c>
      <c r="AQ13" s="139"/>
      <c r="AR13" s="138">
        <v>71064786</v>
      </c>
      <c r="AS13" s="139" t="s">
        <v>1616</v>
      </c>
      <c r="AT13" s="142">
        <v>314489396</v>
      </c>
      <c r="AU13" s="123" t="s">
        <v>1616</v>
      </c>
      <c r="AV13" s="127">
        <v>74.900000000000006</v>
      </c>
      <c r="AW13" s="123" t="s">
        <v>1603</v>
      </c>
      <c r="AX13" s="123" t="s">
        <v>1745</v>
      </c>
    </row>
    <row r="14" spans="1:50">
      <c r="A14" s="123" t="s">
        <v>1621</v>
      </c>
      <c r="B14" s="123" t="s">
        <v>1622</v>
      </c>
      <c r="C14" s="123" t="s">
        <v>385</v>
      </c>
      <c r="D14" s="124">
        <v>3019</v>
      </c>
      <c r="E14" s="125">
        <v>30019</v>
      </c>
      <c r="F14" s="123" t="s">
        <v>1612</v>
      </c>
      <c r="G14" s="123" t="s">
        <v>1601</v>
      </c>
      <c r="H14" s="138">
        <v>5441567</v>
      </c>
      <c r="I14" s="139">
        <v>2406</v>
      </c>
      <c r="J14" s="123" t="s">
        <v>1610</v>
      </c>
      <c r="K14" s="123" t="s">
        <v>1602</v>
      </c>
      <c r="L14" s="126">
        <v>357</v>
      </c>
      <c r="M14" s="123"/>
      <c r="N14" s="140">
        <v>84</v>
      </c>
      <c r="O14" s="139"/>
      <c r="P14" s="141">
        <v>19.690899999999999</v>
      </c>
      <c r="Q14" s="139"/>
      <c r="R14" s="141">
        <v>13.449400000000001</v>
      </c>
      <c r="S14" s="139" t="s">
        <v>1616</v>
      </c>
      <c r="T14" s="141">
        <v>29.793900000000001</v>
      </c>
      <c r="U14" s="139" t="s">
        <v>1616</v>
      </c>
      <c r="V14" s="138">
        <v>16896038</v>
      </c>
      <c r="W14" s="139"/>
      <c r="X14" s="142">
        <v>17498310</v>
      </c>
      <c r="Y14" s="139"/>
      <c r="Z14" s="138">
        <v>16621821</v>
      </c>
      <c r="AA14" s="139"/>
      <c r="AB14" s="138">
        <v>876489</v>
      </c>
      <c r="AC14" s="139"/>
      <c r="AD14" s="138">
        <v>882766</v>
      </c>
      <c r="AE14" s="139"/>
      <c r="AF14" s="138">
        <v>844136</v>
      </c>
      <c r="AG14" s="139"/>
      <c r="AH14" s="138">
        <v>38630</v>
      </c>
      <c r="AI14" s="139"/>
      <c r="AJ14" s="138">
        <v>4453116</v>
      </c>
      <c r="AK14" s="139"/>
      <c r="AL14" s="138">
        <v>4225898</v>
      </c>
      <c r="AM14" s="139"/>
      <c r="AN14" s="138">
        <v>224140</v>
      </c>
      <c r="AO14" s="139"/>
      <c r="AP14" s="143">
        <v>214329</v>
      </c>
      <c r="AQ14" s="139"/>
      <c r="AR14" s="138">
        <v>25150117</v>
      </c>
      <c r="AS14" s="139" t="s">
        <v>1616</v>
      </c>
      <c r="AT14" s="142">
        <v>338253606</v>
      </c>
      <c r="AU14" s="123" t="s">
        <v>1616</v>
      </c>
      <c r="AV14" s="127">
        <v>446.94</v>
      </c>
      <c r="AW14" s="123" t="s">
        <v>1603</v>
      </c>
      <c r="AX14" s="123" t="s">
        <v>1745</v>
      </c>
    </row>
    <row r="15" spans="1:50">
      <c r="A15" s="123" t="s">
        <v>1746</v>
      </c>
      <c r="B15" s="123" t="s">
        <v>1623</v>
      </c>
      <c r="C15" s="123" t="s">
        <v>390</v>
      </c>
      <c r="D15" s="124">
        <v>6008</v>
      </c>
      <c r="E15" s="125">
        <v>60008</v>
      </c>
      <c r="F15" s="123" t="s">
        <v>1612</v>
      </c>
      <c r="G15" s="123" t="s">
        <v>1601</v>
      </c>
      <c r="H15" s="138">
        <v>4944332</v>
      </c>
      <c r="I15" s="139">
        <v>2157</v>
      </c>
      <c r="J15" s="123" t="s">
        <v>1609</v>
      </c>
      <c r="K15" s="123" t="s">
        <v>1602</v>
      </c>
      <c r="L15" s="126">
        <v>56</v>
      </c>
      <c r="M15" s="123"/>
      <c r="N15" s="140">
        <v>29</v>
      </c>
      <c r="O15" s="139"/>
      <c r="P15" s="141">
        <v>12.147399999999999</v>
      </c>
      <c r="Q15" s="139"/>
      <c r="R15" s="141">
        <v>2.9095</v>
      </c>
      <c r="S15" s="139"/>
      <c r="T15" s="141">
        <v>48.3795</v>
      </c>
      <c r="U15" s="139"/>
      <c r="V15" s="138">
        <v>3257209</v>
      </c>
      <c r="W15" s="139"/>
      <c r="X15" s="142">
        <v>3247125</v>
      </c>
      <c r="Y15" s="139"/>
      <c r="Z15" s="138">
        <v>3236011</v>
      </c>
      <c r="AA15" s="139"/>
      <c r="AB15" s="138">
        <v>11114</v>
      </c>
      <c r="AC15" s="139"/>
      <c r="AD15" s="138">
        <v>268268</v>
      </c>
      <c r="AE15" s="139"/>
      <c r="AF15" s="138">
        <v>266396</v>
      </c>
      <c r="AG15" s="139"/>
      <c r="AH15" s="138">
        <v>1872</v>
      </c>
      <c r="AI15" s="139"/>
      <c r="AJ15" s="138">
        <v>1940638</v>
      </c>
      <c r="AK15" s="139"/>
      <c r="AL15" s="138">
        <v>1929524</v>
      </c>
      <c r="AM15" s="139"/>
      <c r="AN15" s="138">
        <v>176143</v>
      </c>
      <c r="AO15" s="139"/>
      <c r="AP15" s="143">
        <v>174271</v>
      </c>
      <c r="AQ15" s="139"/>
      <c r="AR15" s="138">
        <v>12888105</v>
      </c>
      <c r="AS15" s="139"/>
      <c r="AT15" s="142">
        <v>37497523</v>
      </c>
      <c r="AU15" s="123"/>
      <c r="AV15" s="127">
        <v>43.59</v>
      </c>
      <c r="AW15" s="123" t="s">
        <v>1603</v>
      </c>
      <c r="AX15" s="123" t="s">
        <v>1743</v>
      </c>
    </row>
    <row r="16" spans="1:50">
      <c r="A16" s="123" t="s">
        <v>1624</v>
      </c>
      <c r="B16" s="123" t="s">
        <v>1625</v>
      </c>
      <c r="C16" s="123" t="s">
        <v>367</v>
      </c>
      <c r="D16" s="124">
        <v>3034</v>
      </c>
      <c r="E16" s="125">
        <v>30034</v>
      </c>
      <c r="F16" s="123" t="s">
        <v>1626</v>
      </c>
      <c r="G16" s="123" t="s">
        <v>1601</v>
      </c>
      <c r="H16" s="138">
        <v>2203663</v>
      </c>
      <c r="I16" s="139">
        <v>1888</v>
      </c>
      <c r="J16" s="123" t="s">
        <v>1609</v>
      </c>
      <c r="K16" s="123" t="s">
        <v>1602</v>
      </c>
      <c r="L16" s="126">
        <v>38</v>
      </c>
      <c r="M16" s="123"/>
      <c r="N16" s="140">
        <v>18</v>
      </c>
      <c r="O16" s="139"/>
      <c r="P16" s="141">
        <v>19.6769</v>
      </c>
      <c r="Q16" s="139"/>
      <c r="R16" s="141">
        <v>5.7127999999999997</v>
      </c>
      <c r="S16" s="139" t="s">
        <v>1616</v>
      </c>
      <c r="T16" s="141">
        <v>35.373800000000003</v>
      </c>
      <c r="U16" s="139"/>
      <c r="V16" s="138">
        <v>2774375</v>
      </c>
      <c r="W16" s="139"/>
      <c r="X16" s="142">
        <v>2676810</v>
      </c>
      <c r="Y16" s="139"/>
      <c r="Z16" s="138">
        <v>2588105</v>
      </c>
      <c r="AA16" s="139"/>
      <c r="AB16" s="138">
        <v>88705</v>
      </c>
      <c r="AC16" s="139"/>
      <c r="AD16" s="138">
        <v>138492</v>
      </c>
      <c r="AE16" s="139"/>
      <c r="AF16" s="138">
        <v>131530</v>
      </c>
      <c r="AG16" s="139"/>
      <c r="AH16" s="138">
        <v>6962</v>
      </c>
      <c r="AI16" s="139"/>
      <c r="AJ16" s="138">
        <v>1046361</v>
      </c>
      <c r="AK16" s="139"/>
      <c r="AL16" s="138">
        <v>1044905</v>
      </c>
      <c r="AM16" s="139"/>
      <c r="AN16" s="138">
        <v>58730</v>
      </c>
      <c r="AO16" s="139"/>
      <c r="AP16" s="143">
        <v>58193</v>
      </c>
      <c r="AQ16" s="139"/>
      <c r="AR16" s="138">
        <v>4652718</v>
      </c>
      <c r="AS16" s="139"/>
      <c r="AT16" s="142">
        <v>26579844</v>
      </c>
      <c r="AU16" s="123" t="s">
        <v>1616</v>
      </c>
      <c r="AV16" s="127">
        <v>57.6</v>
      </c>
      <c r="AW16" s="123" t="s">
        <v>1603</v>
      </c>
      <c r="AX16" s="123" t="s">
        <v>1745</v>
      </c>
    </row>
    <row r="17" spans="1:50">
      <c r="A17" s="123" t="s">
        <v>1624</v>
      </c>
      <c r="B17" s="123" t="s">
        <v>1625</v>
      </c>
      <c r="C17" s="123" t="s">
        <v>367</v>
      </c>
      <c r="D17" s="124">
        <v>3034</v>
      </c>
      <c r="E17" s="125">
        <v>30034</v>
      </c>
      <c r="F17" s="123" t="s">
        <v>1626</v>
      </c>
      <c r="G17" s="123" t="s">
        <v>1601</v>
      </c>
      <c r="H17" s="138">
        <v>2203663</v>
      </c>
      <c r="I17" s="139">
        <v>1888</v>
      </c>
      <c r="J17" s="123" t="s">
        <v>1604</v>
      </c>
      <c r="K17" s="123" t="s">
        <v>1602</v>
      </c>
      <c r="L17" s="126">
        <v>54</v>
      </c>
      <c r="M17" s="123"/>
      <c r="N17" s="140">
        <v>9</v>
      </c>
      <c r="O17" s="139"/>
      <c r="P17" s="141">
        <v>26.092600000000001</v>
      </c>
      <c r="Q17" s="139"/>
      <c r="R17" s="141">
        <v>4.7674000000000003</v>
      </c>
      <c r="S17" s="139" t="s">
        <v>1616</v>
      </c>
      <c r="T17" s="141">
        <v>36.698</v>
      </c>
      <c r="U17" s="139"/>
      <c r="V17" s="138">
        <v>4289979</v>
      </c>
      <c r="W17" s="139"/>
      <c r="X17" s="142">
        <v>4659371</v>
      </c>
      <c r="Y17" s="139"/>
      <c r="Z17" s="138">
        <v>4169492</v>
      </c>
      <c r="AA17" s="139"/>
      <c r="AB17" s="138">
        <v>489879</v>
      </c>
      <c r="AC17" s="139"/>
      <c r="AD17" s="138">
        <v>180401</v>
      </c>
      <c r="AE17" s="139"/>
      <c r="AF17" s="138">
        <v>159796</v>
      </c>
      <c r="AG17" s="139"/>
      <c r="AH17" s="138">
        <v>20605</v>
      </c>
      <c r="AI17" s="139"/>
      <c r="AJ17" s="138">
        <v>845652</v>
      </c>
      <c r="AK17" s="139"/>
      <c r="AL17" s="138">
        <v>734915</v>
      </c>
      <c r="AM17" s="139"/>
      <c r="AN17" s="138">
        <v>32887</v>
      </c>
      <c r="AO17" s="139"/>
      <c r="AP17" s="143">
        <v>28462</v>
      </c>
      <c r="AQ17" s="139"/>
      <c r="AR17" s="138">
        <v>5864191</v>
      </c>
      <c r="AS17" s="139"/>
      <c r="AT17" s="142">
        <v>27957087</v>
      </c>
      <c r="AU17" s="123" t="s">
        <v>1616</v>
      </c>
      <c r="AV17" s="127">
        <v>29.4</v>
      </c>
      <c r="AW17" s="123" t="s">
        <v>1603</v>
      </c>
      <c r="AX17" s="123" t="s">
        <v>1745</v>
      </c>
    </row>
    <row r="18" spans="1:50">
      <c r="A18" s="123" t="s">
        <v>1624</v>
      </c>
      <c r="B18" s="123" t="s">
        <v>1625</v>
      </c>
      <c r="C18" s="123" t="s">
        <v>367</v>
      </c>
      <c r="D18" s="124">
        <v>3034</v>
      </c>
      <c r="E18" s="125">
        <v>30034</v>
      </c>
      <c r="F18" s="123" t="s">
        <v>1626</v>
      </c>
      <c r="G18" s="123" t="s">
        <v>1601</v>
      </c>
      <c r="H18" s="138">
        <v>2203663</v>
      </c>
      <c r="I18" s="139">
        <v>1888</v>
      </c>
      <c r="J18" s="123" t="s">
        <v>1610</v>
      </c>
      <c r="K18" s="123" t="s">
        <v>1605</v>
      </c>
      <c r="L18" s="126">
        <v>149</v>
      </c>
      <c r="M18" s="123"/>
      <c r="N18" s="140">
        <v>28</v>
      </c>
      <c r="O18" s="139"/>
      <c r="P18" s="141">
        <v>38.328299999999999</v>
      </c>
      <c r="Q18" s="139"/>
      <c r="R18" s="141">
        <v>29.584599999999998</v>
      </c>
      <c r="S18" s="139" t="s">
        <v>1616</v>
      </c>
      <c r="T18" s="141">
        <v>45.747900000000001</v>
      </c>
      <c r="U18" s="139"/>
      <c r="V18" s="138">
        <v>6001808</v>
      </c>
      <c r="W18" s="139"/>
      <c r="X18" s="142">
        <v>5996542</v>
      </c>
      <c r="Y18" s="139"/>
      <c r="Z18" s="138">
        <v>5596811</v>
      </c>
      <c r="AA18" s="139"/>
      <c r="AB18" s="138">
        <v>399731</v>
      </c>
      <c r="AC18" s="139"/>
      <c r="AD18" s="138">
        <v>155174</v>
      </c>
      <c r="AE18" s="139"/>
      <c r="AF18" s="138">
        <v>146023</v>
      </c>
      <c r="AG18" s="139"/>
      <c r="AH18" s="138">
        <v>9151</v>
      </c>
      <c r="AI18" s="139"/>
      <c r="AJ18" s="138">
        <v>1094365</v>
      </c>
      <c r="AK18" s="139"/>
      <c r="AL18" s="138">
        <v>1036558</v>
      </c>
      <c r="AM18" s="139"/>
      <c r="AN18" s="138">
        <v>30902</v>
      </c>
      <c r="AO18" s="139"/>
      <c r="AP18" s="143">
        <v>28513</v>
      </c>
      <c r="AQ18" s="139"/>
      <c r="AR18" s="138">
        <v>6680248</v>
      </c>
      <c r="AS18" s="139"/>
      <c r="AT18" s="142">
        <v>197632189</v>
      </c>
      <c r="AU18" s="123" t="s">
        <v>1616</v>
      </c>
      <c r="AV18" s="127">
        <v>400.4</v>
      </c>
      <c r="AW18" s="123" t="s">
        <v>1603</v>
      </c>
      <c r="AX18" s="123" t="s">
        <v>1745</v>
      </c>
    </row>
    <row r="19" spans="1:50">
      <c r="A19" s="123" t="s">
        <v>1747</v>
      </c>
      <c r="B19" s="123" t="s">
        <v>1630</v>
      </c>
      <c r="C19" s="123" t="s">
        <v>356</v>
      </c>
      <c r="D19" s="124">
        <v>4034</v>
      </c>
      <c r="E19" s="125">
        <v>40034</v>
      </c>
      <c r="F19" s="123" t="s">
        <v>1615</v>
      </c>
      <c r="G19" s="123" t="s">
        <v>1601</v>
      </c>
      <c r="H19" s="138">
        <v>5502379</v>
      </c>
      <c r="I19" s="139">
        <v>1452</v>
      </c>
      <c r="J19" s="123" t="s">
        <v>1604</v>
      </c>
      <c r="K19" s="123" t="s">
        <v>1602</v>
      </c>
      <c r="L19" s="126">
        <v>76</v>
      </c>
      <c r="M19" s="123"/>
      <c r="N19" s="140">
        <v>18</v>
      </c>
      <c r="O19" s="139"/>
      <c r="P19" s="141">
        <v>21.7622</v>
      </c>
      <c r="Q19" s="139"/>
      <c r="R19" s="141">
        <v>7.3830999999999998</v>
      </c>
      <c r="S19" s="139" t="s">
        <v>1616</v>
      </c>
      <c r="T19" s="141">
        <v>35.960099999999997</v>
      </c>
      <c r="U19" s="139"/>
      <c r="V19" s="138">
        <v>7212362</v>
      </c>
      <c r="W19" s="139"/>
      <c r="X19" s="142">
        <v>7598157</v>
      </c>
      <c r="Y19" s="139"/>
      <c r="Z19" s="138">
        <v>7178627</v>
      </c>
      <c r="AA19" s="139"/>
      <c r="AB19" s="138">
        <v>419530</v>
      </c>
      <c r="AC19" s="139"/>
      <c r="AD19" s="138">
        <v>362201</v>
      </c>
      <c r="AE19" s="139"/>
      <c r="AF19" s="138">
        <v>329867</v>
      </c>
      <c r="AG19" s="139"/>
      <c r="AH19" s="138">
        <v>32334</v>
      </c>
      <c r="AI19" s="139"/>
      <c r="AJ19" s="138">
        <v>1899556</v>
      </c>
      <c r="AK19" s="139"/>
      <c r="AL19" s="138">
        <v>1794673</v>
      </c>
      <c r="AM19" s="139"/>
      <c r="AN19" s="138">
        <v>90549</v>
      </c>
      <c r="AO19" s="139"/>
      <c r="AP19" s="143">
        <v>82465</v>
      </c>
      <c r="AQ19" s="139"/>
      <c r="AR19" s="138">
        <v>11862059</v>
      </c>
      <c r="AS19" s="139"/>
      <c r="AT19" s="142">
        <v>87578321</v>
      </c>
      <c r="AU19" s="123" t="s">
        <v>1616</v>
      </c>
      <c r="AV19" s="127">
        <v>49.84</v>
      </c>
      <c r="AW19" s="123" t="s">
        <v>1603</v>
      </c>
      <c r="AX19" s="123" t="s">
        <v>1745</v>
      </c>
    </row>
    <row r="20" spans="1:50">
      <c r="A20" s="123" t="s">
        <v>1627</v>
      </c>
      <c r="B20" s="123" t="s">
        <v>1628</v>
      </c>
      <c r="C20" s="123" t="s">
        <v>352</v>
      </c>
      <c r="D20" s="124">
        <v>8006</v>
      </c>
      <c r="E20" s="125">
        <v>80006</v>
      </c>
      <c r="F20" s="123" t="s">
        <v>1612</v>
      </c>
      <c r="G20" s="123" t="s">
        <v>1601</v>
      </c>
      <c r="H20" s="138">
        <v>2374203</v>
      </c>
      <c r="I20" s="139">
        <v>1431</v>
      </c>
      <c r="J20" s="123" t="s">
        <v>1609</v>
      </c>
      <c r="K20" s="123" t="s">
        <v>1602</v>
      </c>
      <c r="L20" s="126">
        <v>156</v>
      </c>
      <c r="M20" s="123"/>
      <c r="N20" s="140">
        <v>41</v>
      </c>
      <c r="O20" s="139"/>
      <c r="P20" s="141">
        <v>17.200199999999999</v>
      </c>
      <c r="Q20" s="139"/>
      <c r="R20" s="141">
        <v>6.9672999999999998</v>
      </c>
      <c r="S20" s="139"/>
      <c r="T20" s="141">
        <v>19.858599999999999</v>
      </c>
      <c r="U20" s="139"/>
      <c r="V20" s="138">
        <v>9004264</v>
      </c>
      <c r="W20" s="139"/>
      <c r="X20" s="142">
        <v>9327859</v>
      </c>
      <c r="Y20" s="139"/>
      <c r="Z20" s="138">
        <v>9063803</v>
      </c>
      <c r="AA20" s="139"/>
      <c r="AB20" s="138">
        <v>264056</v>
      </c>
      <c r="AC20" s="139"/>
      <c r="AD20" s="138">
        <v>590892</v>
      </c>
      <c r="AE20" s="139"/>
      <c r="AF20" s="138">
        <v>526960</v>
      </c>
      <c r="AG20" s="139"/>
      <c r="AH20" s="138">
        <v>63932</v>
      </c>
      <c r="AI20" s="139"/>
      <c r="AJ20" s="138">
        <v>3900081</v>
      </c>
      <c r="AK20" s="139"/>
      <c r="AL20" s="138">
        <v>3745938</v>
      </c>
      <c r="AM20" s="139"/>
      <c r="AN20" s="138">
        <v>267096</v>
      </c>
      <c r="AO20" s="139"/>
      <c r="AP20" s="143">
        <v>226007</v>
      </c>
      <c r="AQ20" s="139"/>
      <c r="AR20" s="138">
        <v>10464678</v>
      </c>
      <c r="AS20" s="139"/>
      <c r="AT20" s="142">
        <v>72910951</v>
      </c>
      <c r="AU20" s="123"/>
      <c r="AV20" s="127">
        <v>119.78</v>
      </c>
      <c r="AW20" s="123" t="s">
        <v>1603</v>
      </c>
      <c r="AX20" s="123" t="s">
        <v>1743</v>
      </c>
    </row>
    <row r="21" spans="1:50">
      <c r="A21" s="123" t="s">
        <v>1627</v>
      </c>
      <c r="B21" s="123" t="s">
        <v>1628</v>
      </c>
      <c r="C21" s="123" t="s">
        <v>352</v>
      </c>
      <c r="D21" s="124">
        <v>8006</v>
      </c>
      <c r="E21" s="125">
        <v>80006</v>
      </c>
      <c r="F21" s="123" t="s">
        <v>1612</v>
      </c>
      <c r="G21" s="123" t="s">
        <v>1601</v>
      </c>
      <c r="H21" s="138">
        <v>2374203</v>
      </c>
      <c r="I21" s="139">
        <v>1431</v>
      </c>
      <c r="J21" s="123" t="s">
        <v>1610</v>
      </c>
      <c r="K21" s="123" t="s">
        <v>1605</v>
      </c>
      <c r="L21" s="126">
        <v>44</v>
      </c>
      <c r="M21" s="123"/>
      <c r="N21" s="140">
        <v>12</v>
      </c>
      <c r="O21" s="139"/>
      <c r="P21" s="141">
        <v>27.563099999999999</v>
      </c>
      <c r="Q21" s="139"/>
      <c r="R21" s="141">
        <v>11.5166</v>
      </c>
      <c r="S21" s="139"/>
      <c r="T21" s="141">
        <v>21.7837</v>
      </c>
      <c r="U21" s="139"/>
      <c r="V21" s="138">
        <v>6222945</v>
      </c>
      <c r="W21" s="139"/>
      <c r="X21" s="142">
        <v>6197643</v>
      </c>
      <c r="Y21" s="139"/>
      <c r="Z21" s="138">
        <v>6048702</v>
      </c>
      <c r="AA21" s="139"/>
      <c r="AB21" s="138">
        <v>148941</v>
      </c>
      <c r="AC21" s="139"/>
      <c r="AD21" s="138">
        <v>228257</v>
      </c>
      <c r="AE21" s="139"/>
      <c r="AF21" s="138">
        <v>219449</v>
      </c>
      <c r="AG21" s="139"/>
      <c r="AH21" s="138">
        <v>8808</v>
      </c>
      <c r="AI21" s="139"/>
      <c r="AJ21" s="138">
        <v>2010537</v>
      </c>
      <c r="AK21" s="139"/>
      <c r="AL21" s="138">
        <v>1917204</v>
      </c>
      <c r="AM21" s="139"/>
      <c r="AN21" s="138">
        <v>74540</v>
      </c>
      <c r="AO21" s="139"/>
      <c r="AP21" s="143">
        <v>70293</v>
      </c>
      <c r="AQ21" s="139"/>
      <c r="AR21" s="138">
        <v>4780402</v>
      </c>
      <c r="AS21" s="139"/>
      <c r="AT21" s="142">
        <v>55053882</v>
      </c>
      <c r="AU21" s="123"/>
      <c r="AV21" s="127">
        <v>72.760000000000005</v>
      </c>
      <c r="AW21" s="123" t="s">
        <v>1603</v>
      </c>
      <c r="AX21" s="123" t="s">
        <v>1743</v>
      </c>
    </row>
    <row r="22" spans="1:50">
      <c r="A22" s="123" t="s">
        <v>1627</v>
      </c>
      <c r="B22" s="123" t="s">
        <v>1628</v>
      </c>
      <c r="C22" s="123" t="s">
        <v>352</v>
      </c>
      <c r="D22" s="124">
        <v>8006</v>
      </c>
      <c r="E22" s="125">
        <v>80006</v>
      </c>
      <c r="F22" s="123" t="s">
        <v>1612</v>
      </c>
      <c r="G22" s="123" t="s">
        <v>1601</v>
      </c>
      <c r="H22" s="138">
        <v>2374203</v>
      </c>
      <c r="I22" s="139">
        <v>1431</v>
      </c>
      <c r="J22" s="123" t="s">
        <v>1610</v>
      </c>
      <c r="K22" s="123" t="s">
        <v>1602</v>
      </c>
      <c r="L22" s="126">
        <v>8</v>
      </c>
      <c r="M22" s="123"/>
      <c r="N22" s="140">
        <v>3</v>
      </c>
      <c r="O22" s="139"/>
      <c r="P22" s="141">
        <v>20.484200000000001</v>
      </c>
      <c r="Q22" s="139"/>
      <c r="R22" s="141">
        <v>8.6130999999999993</v>
      </c>
      <c r="S22" s="139"/>
      <c r="T22" s="141">
        <v>18.016100000000002</v>
      </c>
      <c r="U22" s="139"/>
      <c r="V22" s="138">
        <v>203262</v>
      </c>
      <c r="W22" s="139"/>
      <c r="X22" s="142">
        <v>223786</v>
      </c>
      <c r="Y22" s="139"/>
      <c r="Z22" s="138">
        <v>197570</v>
      </c>
      <c r="AA22" s="139"/>
      <c r="AB22" s="138">
        <v>26216</v>
      </c>
      <c r="AC22" s="139"/>
      <c r="AD22" s="138">
        <v>12511</v>
      </c>
      <c r="AE22" s="139"/>
      <c r="AF22" s="138">
        <v>9645</v>
      </c>
      <c r="AG22" s="139"/>
      <c r="AH22" s="138">
        <v>2866</v>
      </c>
      <c r="AI22" s="139"/>
      <c r="AJ22" s="138">
        <v>115030</v>
      </c>
      <c r="AK22" s="139"/>
      <c r="AL22" s="138">
        <v>98743</v>
      </c>
      <c r="AM22" s="139"/>
      <c r="AN22" s="138">
        <v>6243</v>
      </c>
      <c r="AO22" s="139"/>
      <c r="AP22" s="143">
        <v>4937</v>
      </c>
      <c r="AQ22" s="139"/>
      <c r="AR22" s="138">
        <v>173765</v>
      </c>
      <c r="AS22" s="139"/>
      <c r="AT22" s="142">
        <v>1496661</v>
      </c>
      <c r="AU22" s="123"/>
      <c r="AV22" s="127">
        <v>26.32</v>
      </c>
      <c r="AW22" s="123" t="s">
        <v>1603</v>
      </c>
      <c r="AX22" s="123" t="s">
        <v>1743</v>
      </c>
    </row>
    <row r="23" spans="1:50">
      <c r="A23" s="123" t="s">
        <v>1631</v>
      </c>
      <c r="B23" s="123" t="s">
        <v>89</v>
      </c>
      <c r="C23" s="123" t="s">
        <v>381</v>
      </c>
      <c r="D23" s="124">
        <v>2078</v>
      </c>
      <c r="E23" s="125">
        <v>20078</v>
      </c>
      <c r="F23" s="123" t="s">
        <v>1600</v>
      </c>
      <c r="G23" s="123" t="s">
        <v>1601</v>
      </c>
      <c r="H23" s="138">
        <v>18351295</v>
      </c>
      <c r="I23" s="139">
        <v>1133</v>
      </c>
      <c r="J23" s="123" t="s">
        <v>1610</v>
      </c>
      <c r="K23" s="123" t="s">
        <v>1602</v>
      </c>
      <c r="L23" s="126">
        <v>1122</v>
      </c>
      <c r="M23" s="123"/>
      <c r="N23" s="140">
        <v>135</v>
      </c>
      <c r="O23" s="139"/>
      <c r="P23" s="141">
        <v>31.299700000000001</v>
      </c>
      <c r="Q23" s="139"/>
      <c r="R23" s="141">
        <v>22.852399999999999</v>
      </c>
      <c r="S23" s="139" t="s">
        <v>1616</v>
      </c>
      <c r="T23" s="141">
        <v>18.882400000000001</v>
      </c>
      <c r="U23" s="139"/>
      <c r="V23" s="138">
        <v>47488237</v>
      </c>
      <c r="W23" s="139"/>
      <c r="X23" s="142">
        <v>53139671</v>
      </c>
      <c r="Y23" s="139"/>
      <c r="Z23" s="138">
        <v>48719168</v>
      </c>
      <c r="AA23" s="139"/>
      <c r="AB23" s="138">
        <v>4420503</v>
      </c>
      <c r="AC23" s="139"/>
      <c r="AD23" s="138">
        <v>1709469</v>
      </c>
      <c r="AE23" s="139"/>
      <c r="AF23" s="138">
        <v>1556539</v>
      </c>
      <c r="AG23" s="139"/>
      <c r="AH23" s="138">
        <v>152930</v>
      </c>
      <c r="AI23" s="139"/>
      <c r="AJ23" s="138">
        <v>7201726</v>
      </c>
      <c r="AK23" s="139"/>
      <c r="AL23" s="138">
        <v>6564652</v>
      </c>
      <c r="AM23" s="139"/>
      <c r="AN23" s="138">
        <v>225218</v>
      </c>
      <c r="AO23" s="139"/>
      <c r="AP23" s="143">
        <v>203440</v>
      </c>
      <c r="AQ23" s="139"/>
      <c r="AR23" s="138">
        <v>29391259</v>
      </c>
      <c r="AS23" s="139"/>
      <c r="AT23" s="142">
        <v>671661254</v>
      </c>
      <c r="AU23" s="123" t="s">
        <v>1616</v>
      </c>
      <c r="AV23" s="127">
        <v>545.74</v>
      </c>
      <c r="AW23" s="123" t="s">
        <v>1603</v>
      </c>
      <c r="AX23" s="123" t="s">
        <v>1745</v>
      </c>
    </row>
    <row r="24" spans="1:50">
      <c r="A24" s="123" t="s">
        <v>1634</v>
      </c>
      <c r="B24" s="123" t="s">
        <v>1635</v>
      </c>
      <c r="C24" s="123" t="s">
        <v>390</v>
      </c>
      <c r="D24" s="124">
        <v>6056</v>
      </c>
      <c r="E24" s="125">
        <v>60056</v>
      </c>
      <c r="F24" s="123" t="s">
        <v>1612</v>
      </c>
      <c r="G24" s="123" t="s">
        <v>1601</v>
      </c>
      <c r="H24" s="138">
        <v>5121892</v>
      </c>
      <c r="I24" s="139">
        <v>1082</v>
      </c>
      <c r="J24" s="123" t="s">
        <v>1609</v>
      </c>
      <c r="K24" s="123" t="s">
        <v>1602</v>
      </c>
      <c r="L24" s="126">
        <v>117</v>
      </c>
      <c r="M24" s="123"/>
      <c r="N24" s="140">
        <v>44</v>
      </c>
      <c r="O24" s="139"/>
      <c r="P24" s="141">
        <v>20.510100000000001</v>
      </c>
      <c r="Q24" s="139"/>
      <c r="R24" s="141">
        <v>8.1821999999999999</v>
      </c>
      <c r="S24" s="139"/>
      <c r="T24" s="141">
        <v>41.742400000000004</v>
      </c>
      <c r="U24" s="139"/>
      <c r="V24" s="138">
        <v>9953657</v>
      </c>
      <c r="W24" s="139"/>
      <c r="X24" s="142">
        <v>9937246</v>
      </c>
      <c r="Y24" s="139"/>
      <c r="Z24" s="138">
        <v>9866803</v>
      </c>
      <c r="AA24" s="139"/>
      <c r="AB24" s="138">
        <v>70443</v>
      </c>
      <c r="AC24" s="139"/>
      <c r="AD24" s="138">
        <v>486886</v>
      </c>
      <c r="AE24" s="139"/>
      <c r="AF24" s="138">
        <v>481071</v>
      </c>
      <c r="AG24" s="139"/>
      <c r="AH24" s="138">
        <v>5815</v>
      </c>
      <c r="AI24" s="139"/>
      <c r="AJ24" s="138">
        <v>5348975</v>
      </c>
      <c r="AK24" s="139"/>
      <c r="AL24" s="138">
        <v>5310292</v>
      </c>
      <c r="AM24" s="139"/>
      <c r="AN24" s="138">
        <v>261692</v>
      </c>
      <c r="AO24" s="139"/>
      <c r="AP24" s="143">
        <v>258495</v>
      </c>
      <c r="AQ24" s="139"/>
      <c r="AR24" s="138">
        <v>20081036</v>
      </c>
      <c r="AS24" s="139"/>
      <c r="AT24" s="142">
        <v>164306746</v>
      </c>
      <c r="AU24" s="123"/>
      <c r="AV24" s="127">
        <v>182.44</v>
      </c>
      <c r="AW24" s="123" t="s">
        <v>1603</v>
      </c>
      <c r="AX24" s="123" t="s">
        <v>1743</v>
      </c>
    </row>
    <row r="25" spans="1:50">
      <c r="A25" s="123" t="s">
        <v>1634</v>
      </c>
      <c r="B25" s="123" t="s">
        <v>1635</v>
      </c>
      <c r="C25" s="123" t="s">
        <v>390</v>
      </c>
      <c r="D25" s="124">
        <v>6056</v>
      </c>
      <c r="E25" s="125">
        <v>60056</v>
      </c>
      <c r="F25" s="123" t="s">
        <v>1612</v>
      </c>
      <c r="G25" s="123" t="s">
        <v>1601</v>
      </c>
      <c r="H25" s="138">
        <v>5121892</v>
      </c>
      <c r="I25" s="139">
        <v>1082</v>
      </c>
      <c r="J25" s="123" t="s">
        <v>1610</v>
      </c>
      <c r="K25" s="123" t="s">
        <v>1605</v>
      </c>
      <c r="L25" s="126">
        <v>23</v>
      </c>
      <c r="M25" s="123"/>
      <c r="N25" s="140">
        <v>3</v>
      </c>
      <c r="O25" s="139"/>
      <c r="P25" s="141">
        <v>22.474</v>
      </c>
      <c r="Q25" s="139"/>
      <c r="R25" s="141">
        <v>17.300799999999999</v>
      </c>
      <c r="S25" s="139"/>
      <c r="T25" s="141">
        <v>20.252400000000002</v>
      </c>
      <c r="U25" s="139"/>
      <c r="V25" s="138">
        <v>1390207</v>
      </c>
      <c r="W25" s="139"/>
      <c r="X25" s="142">
        <v>1437340</v>
      </c>
      <c r="Y25" s="139"/>
      <c r="Z25" s="138">
        <v>1404961</v>
      </c>
      <c r="AA25" s="139"/>
      <c r="AB25" s="138">
        <v>32379</v>
      </c>
      <c r="AC25" s="139"/>
      <c r="AD25" s="138">
        <v>63773</v>
      </c>
      <c r="AE25" s="139"/>
      <c r="AF25" s="138">
        <v>62515</v>
      </c>
      <c r="AG25" s="139"/>
      <c r="AH25" s="138">
        <v>1258</v>
      </c>
      <c r="AI25" s="139"/>
      <c r="AJ25" s="138">
        <v>506768</v>
      </c>
      <c r="AK25" s="139"/>
      <c r="AL25" s="138">
        <v>495677</v>
      </c>
      <c r="AM25" s="139"/>
      <c r="AN25" s="138">
        <v>22535</v>
      </c>
      <c r="AO25" s="139"/>
      <c r="AP25" s="143">
        <v>22090</v>
      </c>
      <c r="AQ25" s="139"/>
      <c r="AR25" s="138">
        <v>1266076</v>
      </c>
      <c r="AS25" s="139"/>
      <c r="AT25" s="142">
        <v>21904126</v>
      </c>
      <c r="AU25" s="123"/>
      <c r="AV25" s="127">
        <v>72.3</v>
      </c>
      <c r="AW25" s="123" t="s">
        <v>1603</v>
      </c>
      <c r="AX25" s="123" t="s">
        <v>1743</v>
      </c>
    </row>
    <row r="26" spans="1:50">
      <c r="A26" s="123" t="s">
        <v>1632</v>
      </c>
      <c r="B26" s="123" t="s">
        <v>1633</v>
      </c>
      <c r="C26" s="123" t="s">
        <v>395</v>
      </c>
      <c r="D26" s="124">
        <v>8001</v>
      </c>
      <c r="E26" s="125">
        <v>80001</v>
      </c>
      <c r="F26" s="123" t="s">
        <v>1612</v>
      </c>
      <c r="G26" s="123" t="s">
        <v>1601</v>
      </c>
      <c r="H26" s="138">
        <v>1021243</v>
      </c>
      <c r="I26" s="139">
        <v>1081</v>
      </c>
      <c r="J26" s="123" t="s">
        <v>1609</v>
      </c>
      <c r="K26" s="123" t="s">
        <v>1602</v>
      </c>
      <c r="L26" s="126">
        <v>89</v>
      </c>
      <c r="M26" s="123"/>
      <c r="N26" s="140">
        <v>22</v>
      </c>
      <c r="O26" s="139"/>
      <c r="P26" s="141">
        <v>17.192799999999998</v>
      </c>
      <c r="Q26" s="139"/>
      <c r="R26" s="141">
        <v>4.7436999999999996</v>
      </c>
      <c r="S26" s="139"/>
      <c r="T26" s="141">
        <v>23.191400000000002</v>
      </c>
      <c r="U26" s="139"/>
      <c r="V26" s="138">
        <v>6112222</v>
      </c>
      <c r="W26" s="139"/>
      <c r="X26" s="142">
        <v>6204641</v>
      </c>
      <c r="Y26" s="139"/>
      <c r="Z26" s="138">
        <v>6114108</v>
      </c>
      <c r="AA26" s="139"/>
      <c r="AB26" s="138">
        <v>90533</v>
      </c>
      <c r="AC26" s="139"/>
      <c r="AD26" s="138">
        <v>367255</v>
      </c>
      <c r="AE26" s="139"/>
      <c r="AF26" s="138">
        <v>355621</v>
      </c>
      <c r="AG26" s="139"/>
      <c r="AH26" s="138">
        <v>11634</v>
      </c>
      <c r="AI26" s="139"/>
      <c r="AJ26" s="138">
        <v>2255583</v>
      </c>
      <c r="AK26" s="139"/>
      <c r="AL26" s="138">
        <v>2223959</v>
      </c>
      <c r="AM26" s="139"/>
      <c r="AN26" s="138">
        <v>136213</v>
      </c>
      <c r="AO26" s="139"/>
      <c r="AP26" s="143">
        <v>131989</v>
      </c>
      <c r="AQ26" s="139"/>
      <c r="AR26" s="138">
        <v>8247364</v>
      </c>
      <c r="AS26" s="139"/>
      <c r="AT26" s="142">
        <v>39122864</v>
      </c>
      <c r="AU26" s="123"/>
      <c r="AV26" s="127">
        <v>93.91</v>
      </c>
      <c r="AW26" s="123" t="s">
        <v>1603</v>
      </c>
      <c r="AX26" s="123" t="s">
        <v>1743</v>
      </c>
    </row>
    <row r="27" spans="1:50">
      <c r="A27" s="123" t="s">
        <v>1632</v>
      </c>
      <c r="B27" s="123" t="s">
        <v>1633</v>
      </c>
      <c r="C27" s="123" t="s">
        <v>395</v>
      </c>
      <c r="D27" s="124">
        <v>8001</v>
      </c>
      <c r="E27" s="125">
        <v>80001</v>
      </c>
      <c r="F27" s="123" t="s">
        <v>1612</v>
      </c>
      <c r="G27" s="123" t="s">
        <v>1601</v>
      </c>
      <c r="H27" s="138">
        <v>1021243</v>
      </c>
      <c r="I27" s="139">
        <v>1081</v>
      </c>
      <c r="J27" s="123" t="s">
        <v>1610</v>
      </c>
      <c r="K27" s="123" t="s">
        <v>1602</v>
      </c>
      <c r="L27" s="126">
        <v>50</v>
      </c>
      <c r="M27" s="123"/>
      <c r="N27" s="140">
        <v>9</v>
      </c>
      <c r="O27" s="139"/>
      <c r="P27" s="141">
        <v>32.473599999999998</v>
      </c>
      <c r="Q27" s="139"/>
      <c r="R27" s="141">
        <v>25.643899999999999</v>
      </c>
      <c r="S27" s="139"/>
      <c r="T27" s="141">
        <v>16.274799999999999</v>
      </c>
      <c r="U27" s="139"/>
      <c r="V27" s="138">
        <v>4053946</v>
      </c>
      <c r="W27" s="139"/>
      <c r="X27" s="142">
        <v>4051779</v>
      </c>
      <c r="Y27" s="139"/>
      <c r="Z27" s="138">
        <v>4039581</v>
      </c>
      <c r="AA27" s="139"/>
      <c r="AB27" s="138">
        <v>12198</v>
      </c>
      <c r="AC27" s="139"/>
      <c r="AD27" s="138">
        <v>128674</v>
      </c>
      <c r="AE27" s="139"/>
      <c r="AF27" s="138">
        <v>124396</v>
      </c>
      <c r="AG27" s="139"/>
      <c r="AH27" s="138">
        <v>4278</v>
      </c>
      <c r="AI27" s="139"/>
      <c r="AJ27" s="138">
        <v>1067699</v>
      </c>
      <c r="AK27" s="139"/>
      <c r="AL27" s="138">
        <v>1064546</v>
      </c>
      <c r="AM27" s="139"/>
      <c r="AN27" s="138">
        <v>33846</v>
      </c>
      <c r="AO27" s="139"/>
      <c r="AP27" s="143">
        <v>32741</v>
      </c>
      <c r="AQ27" s="139"/>
      <c r="AR27" s="138">
        <v>2024524</v>
      </c>
      <c r="AS27" s="139"/>
      <c r="AT27" s="142">
        <v>51916777</v>
      </c>
      <c r="AU27" s="123"/>
      <c r="AV27" s="127">
        <v>174.46</v>
      </c>
      <c r="AW27" s="123" t="s">
        <v>1603</v>
      </c>
      <c r="AX27" s="123" t="s">
        <v>1743</v>
      </c>
    </row>
    <row r="28" spans="1:50">
      <c r="A28" s="123" t="s">
        <v>1636</v>
      </c>
      <c r="B28" s="123" t="s">
        <v>1618</v>
      </c>
      <c r="C28" s="123" t="s">
        <v>361</v>
      </c>
      <c r="D28" s="124">
        <v>5118</v>
      </c>
      <c r="E28" s="125">
        <v>50118</v>
      </c>
      <c r="F28" s="123" t="s">
        <v>1612</v>
      </c>
      <c r="G28" s="123" t="s">
        <v>1601</v>
      </c>
      <c r="H28" s="138">
        <v>8608208</v>
      </c>
      <c r="I28" s="139">
        <v>1066</v>
      </c>
      <c r="J28" s="123" t="s">
        <v>1610</v>
      </c>
      <c r="K28" s="123" t="s">
        <v>1605</v>
      </c>
      <c r="L28" s="126">
        <v>527</v>
      </c>
      <c r="M28" s="123"/>
      <c r="N28" s="140">
        <v>40</v>
      </c>
      <c r="O28" s="139"/>
      <c r="P28" s="141">
        <v>30.932500000000001</v>
      </c>
      <c r="Q28" s="139"/>
      <c r="R28" s="141">
        <v>21.712499999999999</v>
      </c>
      <c r="S28" s="139"/>
      <c r="T28" s="141">
        <v>18.979099999999999</v>
      </c>
      <c r="U28" s="139"/>
      <c r="V28" s="138">
        <v>16284231</v>
      </c>
      <c r="W28" s="139"/>
      <c r="X28" s="142">
        <v>16302662</v>
      </c>
      <c r="Y28" s="139"/>
      <c r="Z28" s="138">
        <v>15388572</v>
      </c>
      <c r="AA28" s="139"/>
      <c r="AB28" s="138">
        <v>914090</v>
      </c>
      <c r="AC28" s="139"/>
      <c r="AD28" s="138">
        <v>520340</v>
      </c>
      <c r="AE28" s="139"/>
      <c r="AF28" s="138">
        <v>497488</v>
      </c>
      <c r="AG28" s="139"/>
      <c r="AH28" s="138">
        <v>22852</v>
      </c>
      <c r="AI28" s="139"/>
      <c r="AJ28" s="138">
        <v>2394714</v>
      </c>
      <c r="AK28" s="139"/>
      <c r="AL28" s="138">
        <v>2258067</v>
      </c>
      <c r="AM28" s="139"/>
      <c r="AN28" s="138">
        <v>76862</v>
      </c>
      <c r="AO28" s="139"/>
      <c r="AP28" s="143">
        <v>73504</v>
      </c>
      <c r="AQ28" s="139"/>
      <c r="AR28" s="138">
        <v>9441882</v>
      </c>
      <c r="AS28" s="139"/>
      <c r="AT28" s="142">
        <v>205006670</v>
      </c>
      <c r="AU28" s="123"/>
      <c r="AV28" s="127">
        <v>399.6</v>
      </c>
      <c r="AW28" s="123" t="s">
        <v>1603</v>
      </c>
      <c r="AX28" s="123" t="s">
        <v>1743</v>
      </c>
    </row>
    <row r="29" spans="1:50">
      <c r="A29" s="123" t="s">
        <v>1636</v>
      </c>
      <c r="B29" s="123" t="s">
        <v>1618</v>
      </c>
      <c r="C29" s="123" t="s">
        <v>361</v>
      </c>
      <c r="D29" s="124">
        <v>5118</v>
      </c>
      <c r="E29" s="125">
        <v>50118</v>
      </c>
      <c r="F29" s="123" t="s">
        <v>1612</v>
      </c>
      <c r="G29" s="123" t="s">
        <v>1601</v>
      </c>
      <c r="H29" s="138">
        <v>8608208</v>
      </c>
      <c r="I29" s="139">
        <v>1066</v>
      </c>
      <c r="J29" s="123" t="s">
        <v>1610</v>
      </c>
      <c r="K29" s="123" t="s">
        <v>1602</v>
      </c>
      <c r="L29" s="126">
        <v>539</v>
      </c>
      <c r="M29" s="123"/>
      <c r="N29" s="140">
        <v>53</v>
      </c>
      <c r="O29" s="139"/>
      <c r="P29" s="141">
        <v>29.0824</v>
      </c>
      <c r="Q29" s="139"/>
      <c r="R29" s="141">
        <v>21.172499999999999</v>
      </c>
      <c r="S29" s="139"/>
      <c r="T29" s="141">
        <v>13.8796</v>
      </c>
      <c r="U29" s="139"/>
      <c r="V29" s="138">
        <v>16028080</v>
      </c>
      <c r="W29" s="139"/>
      <c r="X29" s="142">
        <v>15585872</v>
      </c>
      <c r="Y29" s="139"/>
      <c r="Z29" s="138">
        <v>15273179</v>
      </c>
      <c r="AA29" s="139"/>
      <c r="AB29" s="138">
        <v>312693</v>
      </c>
      <c r="AC29" s="139"/>
      <c r="AD29" s="138">
        <v>535954</v>
      </c>
      <c r="AE29" s="139"/>
      <c r="AF29" s="138">
        <v>525169</v>
      </c>
      <c r="AG29" s="139"/>
      <c r="AH29" s="138">
        <v>10785</v>
      </c>
      <c r="AI29" s="139"/>
      <c r="AJ29" s="138">
        <v>2545102</v>
      </c>
      <c r="AK29" s="139"/>
      <c r="AL29" s="138">
        <v>2494601</v>
      </c>
      <c r="AM29" s="139"/>
      <c r="AN29" s="138">
        <v>89035</v>
      </c>
      <c r="AO29" s="139"/>
      <c r="AP29" s="143">
        <v>87312</v>
      </c>
      <c r="AQ29" s="139"/>
      <c r="AR29" s="138">
        <v>7289149</v>
      </c>
      <c r="AS29" s="139"/>
      <c r="AT29" s="142">
        <v>154329520</v>
      </c>
      <c r="AU29" s="123"/>
      <c r="AV29" s="127">
        <v>575.4</v>
      </c>
      <c r="AW29" s="123" t="s">
        <v>1603</v>
      </c>
      <c r="AX29" s="123" t="s">
        <v>1743</v>
      </c>
    </row>
    <row r="30" spans="1:50">
      <c r="A30" s="123" t="s">
        <v>1637</v>
      </c>
      <c r="B30" s="123" t="s">
        <v>1638</v>
      </c>
      <c r="C30" s="123" t="s">
        <v>381</v>
      </c>
      <c r="D30" s="124">
        <v>2100</v>
      </c>
      <c r="E30" s="125">
        <v>20100</v>
      </c>
      <c r="F30" s="123" t="s">
        <v>1600</v>
      </c>
      <c r="G30" s="123" t="s">
        <v>1601</v>
      </c>
      <c r="H30" s="138">
        <v>18351295</v>
      </c>
      <c r="I30" s="139">
        <v>1022</v>
      </c>
      <c r="J30" s="123" t="s">
        <v>1610</v>
      </c>
      <c r="K30" s="123" t="s">
        <v>1602</v>
      </c>
      <c r="L30" s="126">
        <v>1022</v>
      </c>
      <c r="M30" s="123"/>
      <c r="N30" s="140">
        <v>107</v>
      </c>
      <c r="O30" s="139"/>
      <c r="P30" s="141">
        <v>29.212299999999999</v>
      </c>
      <c r="Q30" s="139"/>
      <c r="R30" s="141">
        <v>28.269200000000001</v>
      </c>
      <c r="S30" s="139" t="s">
        <v>1616</v>
      </c>
      <c r="T30" s="141">
        <v>20.565999999999999</v>
      </c>
      <c r="U30" s="139" t="s">
        <v>1616</v>
      </c>
      <c r="V30" s="138">
        <v>61301708</v>
      </c>
      <c r="W30" s="139"/>
      <c r="X30" s="142">
        <v>68469245</v>
      </c>
      <c r="Y30" s="139"/>
      <c r="Z30" s="138">
        <v>61766650</v>
      </c>
      <c r="AA30" s="139"/>
      <c r="AB30" s="138">
        <v>6702595</v>
      </c>
      <c r="AC30" s="139"/>
      <c r="AD30" s="138">
        <v>2305899</v>
      </c>
      <c r="AE30" s="139"/>
      <c r="AF30" s="138">
        <v>2114409</v>
      </c>
      <c r="AG30" s="139"/>
      <c r="AH30" s="138">
        <v>191490</v>
      </c>
      <c r="AI30" s="139"/>
      <c r="AJ30" s="138">
        <v>7765181</v>
      </c>
      <c r="AK30" s="139"/>
      <c r="AL30" s="138">
        <v>6968685</v>
      </c>
      <c r="AM30" s="139"/>
      <c r="AN30" s="138">
        <v>266731</v>
      </c>
      <c r="AO30" s="139"/>
      <c r="AP30" s="143">
        <v>199752</v>
      </c>
      <c r="AQ30" s="139"/>
      <c r="AR30" s="138">
        <v>43484907</v>
      </c>
      <c r="AS30" s="139" t="s">
        <v>1616</v>
      </c>
      <c r="AT30" s="142">
        <v>1229284540</v>
      </c>
      <c r="AU30" s="123" t="s">
        <v>1616</v>
      </c>
      <c r="AV30" s="127">
        <v>638.20000000000005</v>
      </c>
      <c r="AW30" s="123" t="s">
        <v>1603</v>
      </c>
      <c r="AX30" s="123" t="s">
        <v>1745</v>
      </c>
    </row>
    <row r="31" spans="1:50">
      <c r="A31" s="123" t="s">
        <v>1748</v>
      </c>
      <c r="B31" s="123" t="s">
        <v>1640</v>
      </c>
      <c r="C31" s="123" t="s">
        <v>351</v>
      </c>
      <c r="D31" s="124">
        <v>9015</v>
      </c>
      <c r="E31" s="125">
        <v>90015</v>
      </c>
      <c r="F31" s="123" t="s">
        <v>1615</v>
      </c>
      <c r="G31" s="123" t="s">
        <v>1601</v>
      </c>
      <c r="H31" s="138">
        <v>3281212</v>
      </c>
      <c r="I31" s="139">
        <v>996</v>
      </c>
      <c r="J31" s="123" t="s">
        <v>1609</v>
      </c>
      <c r="K31" s="123" t="s">
        <v>1602</v>
      </c>
      <c r="L31" s="126">
        <v>149</v>
      </c>
      <c r="M31" s="123"/>
      <c r="N31" s="140">
        <v>141</v>
      </c>
      <c r="O31" s="139"/>
      <c r="P31" s="141">
        <v>9.4969999999999999</v>
      </c>
      <c r="Q31" s="139"/>
      <c r="R31" s="141">
        <v>2.7421000000000002</v>
      </c>
      <c r="S31" s="139"/>
      <c r="T31" s="141">
        <v>76.584800000000001</v>
      </c>
      <c r="U31" s="139"/>
      <c r="V31" s="138">
        <v>4944335</v>
      </c>
      <c r="W31" s="139"/>
      <c r="X31" s="142">
        <v>4660934</v>
      </c>
      <c r="Y31" s="139"/>
      <c r="Z31" s="138">
        <v>4640244</v>
      </c>
      <c r="AA31" s="139"/>
      <c r="AB31" s="138">
        <v>20690</v>
      </c>
      <c r="AC31" s="139"/>
      <c r="AD31" s="138">
        <v>491748</v>
      </c>
      <c r="AE31" s="139"/>
      <c r="AF31" s="138">
        <v>488601</v>
      </c>
      <c r="AG31" s="139"/>
      <c r="AH31" s="138">
        <v>3147</v>
      </c>
      <c r="AI31" s="139"/>
      <c r="AJ31" s="138">
        <v>3097363</v>
      </c>
      <c r="AK31" s="139"/>
      <c r="AL31" s="138">
        <v>3084167</v>
      </c>
      <c r="AM31" s="139"/>
      <c r="AN31" s="138">
        <v>326422</v>
      </c>
      <c r="AO31" s="139"/>
      <c r="AP31" s="143">
        <v>324323</v>
      </c>
      <c r="AQ31" s="139"/>
      <c r="AR31" s="138">
        <v>37419416</v>
      </c>
      <c r="AS31" s="139"/>
      <c r="AT31" s="142">
        <v>102607757</v>
      </c>
      <c r="AU31" s="123"/>
      <c r="AV31" s="127">
        <v>64.400000000000006</v>
      </c>
      <c r="AW31" s="123" t="s">
        <v>1603</v>
      </c>
      <c r="AX31" s="123" t="s">
        <v>1743</v>
      </c>
    </row>
    <row r="32" spans="1:50">
      <c r="A32" s="123" t="s">
        <v>1749</v>
      </c>
      <c r="B32" s="123" t="s">
        <v>1641</v>
      </c>
      <c r="C32" s="123" t="s">
        <v>384</v>
      </c>
      <c r="D32" s="124">
        <v>8</v>
      </c>
      <c r="E32" s="125">
        <v>8</v>
      </c>
      <c r="F32" s="123" t="s">
        <v>1612</v>
      </c>
      <c r="G32" s="123" t="s">
        <v>1601</v>
      </c>
      <c r="H32" s="138">
        <v>1849898</v>
      </c>
      <c r="I32" s="139">
        <v>982</v>
      </c>
      <c r="J32" s="123" t="s">
        <v>1609</v>
      </c>
      <c r="K32" s="123" t="s">
        <v>1602</v>
      </c>
      <c r="L32" s="126">
        <v>116</v>
      </c>
      <c r="M32" s="123"/>
      <c r="N32" s="140">
        <v>55</v>
      </c>
      <c r="O32" s="139"/>
      <c r="P32" s="141">
        <v>14.136900000000001</v>
      </c>
      <c r="Q32" s="139"/>
      <c r="R32" s="141">
        <v>5.2552000000000003</v>
      </c>
      <c r="S32" s="139"/>
      <c r="T32" s="141">
        <v>48.392400000000002</v>
      </c>
      <c r="U32" s="139"/>
      <c r="V32" s="138">
        <v>8977599</v>
      </c>
      <c r="W32" s="139"/>
      <c r="X32" s="142">
        <v>8981104</v>
      </c>
      <c r="Y32" s="139"/>
      <c r="Z32" s="138">
        <v>8864217</v>
      </c>
      <c r="AA32" s="139"/>
      <c r="AB32" s="138">
        <v>116887</v>
      </c>
      <c r="AC32" s="139"/>
      <c r="AD32" s="138">
        <v>636882</v>
      </c>
      <c r="AE32" s="139"/>
      <c r="AF32" s="138">
        <v>627025</v>
      </c>
      <c r="AG32" s="139"/>
      <c r="AH32" s="138">
        <v>9857</v>
      </c>
      <c r="AI32" s="139"/>
      <c r="AJ32" s="138">
        <v>4501055</v>
      </c>
      <c r="AK32" s="139"/>
      <c r="AL32" s="138">
        <v>4442373</v>
      </c>
      <c r="AM32" s="139"/>
      <c r="AN32" s="138">
        <v>319090</v>
      </c>
      <c r="AO32" s="139"/>
      <c r="AP32" s="143">
        <v>314140</v>
      </c>
      <c r="AQ32" s="139"/>
      <c r="AR32" s="138">
        <v>30343267</v>
      </c>
      <c r="AS32" s="139"/>
      <c r="AT32" s="142">
        <v>159458488</v>
      </c>
      <c r="AU32" s="123"/>
      <c r="AV32" s="127">
        <v>118.91</v>
      </c>
      <c r="AW32" s="123" t="s">
        <v>1603</v>
      </c>
      <c r="AX32" s="123" t="s">
        <v>1743</v>
      </c>
    </row>
    <row r="33" spans="1:50">
      <c r="A33" s="123" t="s">
        <v>1647</v>
      </c>
      <c r="B33" s="123" t="s">
        <v>1648</v>
      </c>
      <c r="C33" s="123" t="s">
        <v>357</v>
      </c>
      <c r="D33" s="124">
        <v>4022</v>
      </c>
      <c r="E33" s="125">
        <v>40022</v>
      </c>
      <c r="F33" s="123" t="s">
        <v>1612</v>
      </c>
      <c r="G33" s="123" t="s">
        <v>1601</v>
      </c>
      <c r="H33" s="138">
        <v>4515419</v>
      </c>
      <c r="I33" s="139">
        <v>943</v>
      </c>
      <c r="J33" s="123" t="s">
        <v>1604</v>
      </c>
      <c r="K33" s="123" t="s">
        <v>1602</v>
      </c>
      <c r="L33" s="126">
        <v>212</v>
      </c>
      <c r="M33" s="123"/>
      <c r="N33" s="140">
        <v>39</v>
      </c>
      <c r="O33" s="139"/>
      <c r="P33" s="141">
        <v>26.494</v>
      </c>
      <c r="Q33" s="139"/>
      <c r="R33" s="141">
        <v>7.2762000000000002</v>
      </c>
      <c r="S33" s="139"/>
      <c r="T33" s="141">
        <v>58.747300000000003</v>
      </c>
      <c r="U33" s="139"/>
      <c r="V33" s="138">
        <v>20499724</v>
      </c>
      <c r="W33" s="139"/>
      <c r="X33" s="142">
        <v>21145309</v>
      </c>
      <c r="Y33" s="139"/>
      <c r="Z33" s="138">
        <v>20430752</v>
      </c>
      <c r="AA33" s="139"/>
      <c r="AB33" s="138">
        <v>714557</v>
      </c>
      <c r="AC33" s="139"/>
      <c r="AD33" s="138">
        <v>794602</v>
      </c>
      <c r="AE33" s="139"/>
      <c r="AF33" s="138">
        <v>771146</v>
      </c>
      <c r="AG33" s="139"/>
      <c r="AH33" s="138">
        <v>23456</v>
      </c>
      <c r="AI33" s="139"/>
      <c r="AJ33" s="138">
        <v>3715370</v>
      </c>
      <c r="AK33" s="139"/>
      <c r="AL33" s="138">
        <v>3628801</v>
      </c>
      <c r="AM33" s="139"/>
      <c r="AN33" s="138">
        <v>143614</v>
      </c>
      <c r="AO33" s="139"/>
      <c r="AP33" s="143">
        <v>139086</v>
      </c>
      <c r="AQ33" s="139"/>
      <c r="AR33" s="138">
        <v>45302714</v>
      </c>
      <c r="AS33" s="139"/>
      <c r="AT33" s="142">
        <v>329631085</v>
      </c>
      <c r="AU33" s="123"/>
      <c r="AV33" s="127">
        <v>96.06</v>
      </c>
      <c r="AW33" s="123" t="s">
        <v>1603</v>
      </c>
      <c r="AX33" s="123" t="s">
        <v>1743</v>
      </c>
    </row>
    <row r="34" spans="1:50">
      <c r="A34" s="123" t="s">
        <v>1644</v>
      </c>
      <c r="B34" s="123" t="s">
        <v>1645</v>
      </c>
      <c r="C34" s="123" t="s">
        <v>385</v>
      </c>
      <c r="D34" s="124">
        <v>3022</v>
      </c>
      <c r="E34" s="125">
        <v>30022</v>
      </c>
      <c r="F34" s="123" t="s">
        <v>1612</v>
      </c>
      <c r="G34" s="123" t="s">
        <v>1601</v>
      </c>
      <c r="H34" s="138">
        <v>1733853</v>
      </c>
      <c r="I34" s="139">
        <v>930</v>
      </c>
      <c r="J34" s="123" t="s">
        <v>1609</v>
      </c>
      <c r="K34" s="123" t="s">
        <v>1602</v>
      </c>
      <c r="L34" s="126">
        <v>58</v>
      </c>
      <c r="M34" s="123"/>
      <c r="N34" s="140">
        <v>29</v>
      </c>
      <c r="O34" s="139"/>
      <c r="P34" s="141">
        <v>12.909700000000001</v>
      </c>
      <c r="Q34" s="139"/>
      <c r="R34" s="141">
        <v>4.0317999999999996</v>
      </c>
      <c r="S34" s="139"/>
      <c r="T34" s="141">
        <v>37.530500000000004</v>
      </c>
      <c r="U34" s="139"/>
      <c r="V34" s="138">
        <v>2027777</v>
      </c>
      <c r="W34" s="139"/>
      <c r="X34" s="142">
        <v>1999310</v>
      </c>
      <c r="Y34" s="139"/>
      <c r="Z34" s="138">
        <v>1916792</v>
      </c>
      <c r="AA34" s="139"/>
      <c r="AB34" s="138">
        <v>82518</v>
      </c>
      <c r="AC34" s="139"/>
      <c r="AD34" s="138">
        <v>155486</v>
      </c>
      <c r="AE34" s="139"/>
      <c r="AF34" s="138">
        <v>148477</v>
      </c>
      <c r="AG34" s="139"/>
      <c r="AH34" s="138">
        <v>7009</v>
      </c>
      <c r="AI34" s="139"/>
      <c r="AJ34" s="138">
        <v>1497766</v>
      </c>
      <c r="AK34" s="139"/>
      <c r="AL34" s="138">
        <v>1442245</v>
      </c>
      <c r="AM34" s="139"/>
      <c r="AN34" s="138">
        <v>116738</v>
      </c>
      <c r="AO34" s="139"/>
      <c r="AP34" s="143">
        <v>112071</v>
      </c>
      <c r="AQ34" s="139"/>
      <c r="AR34" s="138">
        <v>5572417</v>
      </c>
      <c r="AS34" s="139"/>
      <c r="AT34" s="142">
        <v>22466673</v>
      </c>
      <c r="AU34" s="123"/>
      <c r="AV34" s="127">
        <v>49.64</v>
      </c>
      <c r="AW34" s="123" t="s">
        <v>1603</v>
      </c>
      <c r="AX34" s="123" t="s">
        <v>1743</v>
      </c>
    </row>
    <row r="35" spans="1:50">
      <c r="A35" s="123" t="s">
        <v>1642</v>
      </c>
      <c r="B35" s="123" t="s">
        <v>1643</v>
      </c>
      <c r="C35" s="123" t="s">
        <v>351</v>
      </c>
      <c r="D35" s="124">
        <v>9026</v>
      </c>
      <c r="E35" s="125">
        <v>90026</v>
      </c>
      <c r="F35" s="123" t="s">
        <v>1612</v>
      </c>
      <c r="G35" s="123" t="s">
        <v>1601</v>
      </c>
      <c r="H35" s="138">
        <v>2956746</v>
      </c>
      <c r="I35" s="139">
        <v>906</v>
      </c>
      <c r="J35" s="123" t="s">
        <v>1609</v>
      </c>
      <c r="K35" s="123" t="s">
        <v>1602</v>
      </c>
      <c r="L35" s="126">
        <v>103</v>
      </c>
      <c r="M35" s="123"/>
      <c r="N35" s="140">
        <v>35</v>
      </c>
      <c r="O35" s="139"/>
      <c r="P35" s="141">
        <v>18.120799999999999</v>
      </c>
      <c r="Q35" s="139"/>
      <c r="R35" s="141">
        <v>6.0708000000000002</v>
      </c>
      <c r="S35" s="139"/>
      <c r="T35" s="141">
        <v>62.966000000000001</v>
      </c>
      <c r="U35" s="139"/>
      <c r="V35" s="138">
        <v>9662505</v>
      </c>
      <c r="W35" s="139"/>
      <c r="X35" s="142">
        <v>9410942</v>
      </c>
      <c r="Y35" s="139"/>
      <c r="Z35" s="138">
        <v>9210076</v>
      </c>
      <c r="AA35" s="139"/>
      <c r="AB35" s="138">
        <v>200866</v>
      </c>
      <c r="AC35" s="139"/>
      <c r="AD35" s="138">
        <v>527144</v>
      </c>
      <c r="AE35" s="139"/>
      <c r="AF35" s="138">
        <v>508259</v>
      </c>
      <c r="AG35" s="139"/>
      <c r="AH35" s="138">
        <v>18885</v>
      </c>
      <c r="AI35" s="139"/>
      <c r="AJ35" s="138">
        <v>3279625</v>
      </c>
      <c r="AK35" s="139"/>
      <c r="AL35" s="138">
        <v>3207856</v>
      </c>
      <c r="AM35" s="139"/>
      <c r="AN35" s="138">
        <v>183992</v>
      </c>
      <c r="AO35" s="139"/>
      <c r="AP35" s="143">
        <v>177429</v>
      </c>
      <c r="AQ35" s="139"/>
      <c r="AR35" s="138">
        <v>32003027</v>
      </c>
      <c r="AS35" s="139"/>
      <c r="AT35" s="142">
        <v>194284885</v>
      </c>
      <c r="AU35" s="123"/>
      <c r="AV35" s="127">
        <v>108.4</v>
      </c>
      <c r="AW35" s="123" t="s">
        <v>1603</v>
      </c>
      <c r="AX35" s="123" t="s">
        <v>1743</v>
      </c>
    </row>
    <row r="36" spans="1:50">
      <c r="A36" s="123" t="s">
        <v>1750</v>
      </c>
      <c r="B36" s="123" t="s">
        <v>1646</v>
      </c>
      <c r="C36" s="123" t="s">
        <v>370</v>
      </c>
      <c r="D36" s="124">
        <v>5027</v>
      </c>
      <c r="E36" s="125">
        <v>50027</v>
      </c>
      <c r="F36" s="123" t="s">
        <v>1600</v>
      </c>
      <c r="G36" s="123" t="s">
        <v>1601</v>
      </c>
      <c r="H36" s="138">
        <v>2650890</v>
      </c>
      <c r="I36" s="139">
        <v>823</v>
      </c>
      <c r="J36" s="123" t="s">
        <v>1609</v>
      </c>
      <c r="K36" s="123" t="s">
        <v>1602</v>
      </c>
      <c r="L36" s="126">
        <v>76</v>
      </c>
      <c r="M36" s="123"/>
      <c r="N36" s="140">
        <v>23</v>
      </c>
      <c r="O36" s="139"/>
      <c r="P36" s="141">
        <v>11.985900000000001</v>
      </c>
      <c r="Q36" s="139"/>
      <c r="R36" s="141">
        <v>3.9723999999999999</v>
      </c>
      <c r="S36" s="139" t="s">
        <v>1616</v>
      </c>
      <c r="T36" s="141">
        <v>30.465299999999999</v>
      </c>
      <c r="U36" s="139"/>
      <c r="V36" s="138">
        <v>4237895</v>
      </c>
      <c r="W36" s="139"/>
      <c r="X36" s="142">
        <v>4129925</v>
      </c>
      <c r="Y36" s="139"/>
      <c r="Z36" s="138">
        <v>4034814</v>
      </c>
      <c r="AA36" s="139"/>
      <c r="AB36" s="138">
        <v>95111</v>
      </c>
      <c r="AC36" s="139"/>
      <c r="AD36" s="138">
        <v>354913</v>
      </c>
      <c r="AE36" s="139"/>
      <c r="AF36" s="138">
        <v>336629</v>
      </c>
      <c r="AG36" s="139"/>
      <c r="AH36" s="138">
        <v>18284</v>
      </c>
      <c r="AI36" s="139"/>
      <c r="AJ36" s="138">
        <v>1500026</v>
      </c>
      <c r="AK36" s="139"/>
      <c r="AL36" s="138">
        <v>1436691</v>
      </c>
      <c r="AM36" s="139"/>
      <c r="AN36" s="138">
        <v>125192</v>
      </c>
      <c r="AO36" s="139"/>
      <c r="AP36" s="143">
        <v>118274</v>
      </c>
      <c r="AQ36" s="139"/>
      <c r="AR36" s="138">
        <v>10255520</v>
      </c>
      <c r="AS36" s="139"/>
      <c r="AT36" s="142">
        <v>40738989</v>
      </c>
      <c r="AU36" s="123" t="s">
        <v>1616</v>
      </c>
      <c r="AV36" s="127">
        <v>44.26</v>
      </c>
      <c r="AW36" s="123" t="s">
        <v>1603</v>
      </c>
      <c r="AX36" s="123" t="s">
        <v>1745</v>
      </c>
    </row>
    <row r="37" spans="1:50">
      <c r="A37" s="123" t="s">
        <v>1750</v>
      </c>
      <c r="B37" s="123" t="s">
        <v>1646</v>
      </c>
      <c r="C37" s="123" t="s">
        <v>370</v>
      </c>
      <c r="D37" s="124">
        <v>5027</v>
      </c>
      <c r="E37" s="125">
        <v>50027</v>
      </c>
      <c r="F37" s="123" t="s">
        <v>1600</v>
      </c>
      <c r="G37" s="123" t="s">
        <v>1601</v>
      </c>
      <c r="H37" s="138">
        <v>2650890</v>
      </c>
      <c r="I37" s="139">
        <v>823</v>
      </c>
      <c r="J37" s="123" t="s">
        <v>1610</v>
      </c>
      <c r="K37" s="123" t="s">
        <v>1605</v>
      </c>
      <c r="L37" s="126">
        <v>20</v>
      </c>
      <c r="M37" s="123"/>
      <c r="N37" s="140">
        <v>4</v>
      </c>
      <c r="O37" s="139"/>
      <c r="P37" s="141">
        <v>43.768999999999998</v>
      </c>
      <c r="Q37" s="139"/>
      <c r="R37" s="141">
        <v>24.702500000000001</v>
      </c>
      <c r="S37" s="139" t="s">
        <v>1616</v>
      </c>
      <c r="T37" s="141">
        <v>26.3444</v>
      </c>
      <c r="U37" s="139"/>
      <c r="V37" s="138">
        <v>253487</v>
      </c>
      <c r="W37" s="139"/>
      <c r="X37" s="142">
        <v>256360</v>
      </c>
      <c r="Y37" s="139"/>
      <c r="Z37" s="138">
        <v>253291</v>
      </c>
      <c r="AA37" s="139"/>
      <c r="AB37" s="138">
        <v>3069</v>
      </c>
      <c r="AC37" s="139"/>
      <c r="AD37" s="138">
        <v>6199</v>
      </c>
      <c r="AE37" s="139"/>
      <c r="AF37" s="138">
        <v>5787</v>
      </c>
      <c r="AG37" s="139"/>
      <c r="AH37" s="138">
        <v>412</v>
      </c>
      <c r="AI37" s="139"/>
      <c r="AJ37" s="138">
        <v>64139</v>
      </c>
      <c r="AK37" s="139"/>
      <c r="AL37" s="138">
        <v>63372</v>
      </c>
      <c r="AM37" s="139"/>
      <c r="AN37" s="138">
        <v>1552</v>
      </c>
      <c r="AO37" s="139"/>
      <c r="AP37" s="143">
        <v>1448</v>
      </c>
      <c r="AQ37" s="139"/>
      <c r="AR37" s="138">
        <v>152455</v>
      </c>
      <c r="AS37" s="139"/>
      <c r="AT37" s="142">
        <v>3766017</v>
      </c>
      <c r="AU37" s="123" t="s">
        <v>1616</v>
      </c>
      <c r="AV37" s="127">
        <v>77.900000000000006</v>
      </c>
      <c r="AW37" s="123" t="s">
        <v>1603</v>
      </c>
      <c r="AX37" s="123" t="s">
        <v>1745</v>
      </c>
    </row>
    <row r="38" spans="1:50">
      <c r="A38" s="123" t="s">
        <v>1650</v>
      </c>
      <c r="B38" s="123" t="s">
        <v>1651</v>
      </c>
      <c r="C38" s="123" t="s">
        <v>351</v>
      </c>
      <c r="D38" s="124">
        <v>9013</v>
      </c>
      <c r="E38" s="125">
        <v>90013</v>
      </c>
      <c r="F38" s="123" t="s">
        <v>1612</v>
      </c>
      <c r="G38" s="123" t="s">
        <v>1601</v>
      </c>
      <c r="H38" s="138">
        <v>1664496</v>
      </c>
      <c r="I38" s="139">
        <v>635</v>
      </c>
      <c r="J38" s="123" t="s">
        <v>1609</v>
      </c>
      <c r="K38" s="123" t="s">
        <v>1602</v>
      </c>
      <c r="L38" s="126">
        <v>61</v>
      </c>
      <c r="M38" s="123"/>
      <c r="N38" s="140">
        <v>29</v>
      </c>
      <c r="O38" s="139"/>
      <c r="P38" s="141">
        <v>14.6876</v>
      </c>
      <c r="Q38" s="139"/>
      <c r="R38" s="141">
        <v>5.3385999999999996</v>
      </c>
      <c r="S38" s="139"/>
      <c r="T38" s="141">
        <v>31.957599999999999</v>
      </c>
      <c r="U38" s="139"/>
      <c r="V38" s="138">
        <v>3049391</v>
      </c>
      <c r="W38" s="139"/>
      <c r="X38" s="142">
        <v>3045104</v>
      </c>
      <c r="Y38" s="139"/>
      <c r="Z38" s="138">
        <v>2886997</v>
      </c>
      <c r="AA38" s="139"/>
      <c r="AB38" s="138">
        <v>158107</v>
      </c>
      <c r="AC38" s="139"/>
      <c r="AD38" s="138">
        <v>208938</v>
      </c>
      <c r="AE38" s="139"/>
      <c r="AF38" s="138">
        <v>196560</v>
      </c>
      <c r="AG38" s="139"/>
      <c r="AH38" s="138">
        <v>12378</v>
      </c>
      <c r="AI38" s="139"/>
      <c r="AJ38" s="138">
        <v>1824324</v>
      </c>
      <c r="AK38" s="139"/>
      <c r="AL38" s="138">
        <v>1733696</v>
      </c>
      <c r="AM38" s="139"/>
      <c r="AN38" s="138">
        <v>131172</v>
      </c>
      <c r="AO38" s="139"/>
      <c r="AP38" s="143">
        <v>123509</v>
      </c>
      <c r="AQ38" s="139"/>
      <c r="AR38" s="138">
        <v>6281578</v>
      </c>
      <c r="AS38" s="139"/>
      <c r="AT38" s="142">
        <v>33535077</v>
      </c>
      <c r="AU38" s="123"/>
      <c r="AV38" s="127">
        <v>80.959999999999994</v>
      </c>
      <c r="AW38" s="123" t="s">
        <v>1603</v>
      </c>
      <c r="AX38" s="123" t="s">
        <v>1743</v>
      </c>
    </row>
    <row r="39" spans="1:50">
      <c r="A39" s="123" t="s">
        <v>1652</v>
      </c>
      <c r="B39" s="123" t="s">
        <v>1649</v>
      </c>
      <c r="C39" s="123" t="s">
        <v>351</v>
      </c>
      <c r="D39" s="124">
        <v>9003</v>
      </c>
      <c r="E39" s="125">
        <v>90003</v>
      </c>
      <c r="F39" s="123" t="s">
        <v>1612</v>
      </c>
      <c r="G39" s="123" t="s">
        <v>1601</v>
      </c>
      <c r="H39" s="138">
        <v>3281212</v>
      </c>
      <c r="I39" s="139">
        <v>616</v>
      </c>
      <c r="J39" s="123" t="s">
        <v>1604</v>
      </c>
      <c r="K39" s="123" t="s">
        <v>1602</v>
      </c>
      <c r="L39" s="126">
        <v>599</v>
      </c>
      <c r="M39" s="123"/>
      <c r="N39" s="140">
        <v>56</v>
      </c>
      <c r="O39" s="139"/>
      <c r="P39" s="141">
        <v>34.829900000000002</v>
      </c>
      <c r="Q39" s="139" t="s">
        <v>1616</v>
      </c>
      <c r="R39" s="141">
        <v>13.962999999999999</v>
      </c>
      <c r="S39" s="139"/>
      <c r="T39" s="141">
        <v>44.260899999999999</v>
      </c>
      <c r="U39" s="139" t="s">
        <v>1616</v>
      </c>
      <c r="V39" s="138">
        <v>69597595</v>
      </c>
      <c r="W39" s="139"/>
      <c r="X39" s="142">
        <v>72050709</v>
      </c>
      <c r="Y39" s="139"/>
      <c r="Z39" s="138">
        <v>69799195</v>
      </c>
      <c r="AA39" s="139"/>
      <c r="AB39" s="138">
        <v>2251514</v>
      </c>
      <c r="AC39" s="139"/>
      <c r="AD39" s="138">
        <v>2377255</v>
      </c>
      <c r="AE39" s="139"/>
      <c r="AF39" s="138">
        <v>2004002</v>
      </c>
      <c r="AG39" s="139" t="s">
        <v>1616</v>
      </c>
      <c r="AH39" s="138">
        <v>373253</v>
      </c>
      <c r="AI39" s="139"/>
      <c r="AJ39" s="138">
        <v>8255518</v>
      </c>
      <c r="AK39" s="139"/>
      <c r="AL39" s="138">
        <v>7973519</v>
      </c>
      <c r="AM39" s="139"/>
      <c r="AN39" s="138">
        <v>277276</v>
      </c>
      <c r="AO39" s="139"/>
      <c r="AP39" s="143">
        <v>229211</v>
      </c>
      <c r="AQ39" s="139"/>
      <c r="AR39" s="138">
        <v>88698878</v>
      </c>
      <c r="AS39" s="139"/>
      <c r="AT39" s="142">
        <v>1238506222</v>
      </c>
      <c r="AU39" s="123"/>
      <c r="AV39" s="127">
        <v>239.42</v>
      </c>
      <c r="AW39" s="123" t="s">
        <v>1603</v>
      </c>
      <c r="AX39" s="123" t="s">
        <v>1745</v>
      </c>
    </row>
    <row r="40" spans="1:50">
      <c r="A40" s="123" t="s">
        <v>1751</v>
      </c>
      <c r="B40" s="123" t="s">
        <v>1752</v>
      </c>
      <c r="C40" s="123" t="s">
        <v>371</v>
      </c>
      <c r="D40" s="124">
        <v>7006</v>
      </c>
      <c r="E40" s="125">
        <v>70006</v>
      </c>
      <c r="F40" s="123" t="s">
        <v>1612</v>
      </c>
      <c r="G40" s="123" t="s">
        <v>1601</v>
      </c>
      <c r="H40" s="138">
        <v>2150706</v>
      </c>
      <c r="I40" s="139">
        <v>493</v>
      </c>
      <c r="J40" s="123" t="s">
        <v>1609</v>
      </c>
      <c r="K40" s="123" t="s">
        <v>1602</v>
      </c>
      <c r="L40" s="126">
        <v>50</v>
      </c>
      <c r="M40" s="123"/>
      <c r="N40" s="140">
        <v>25</v>
      </c>
      <c r="O40" s="139"/>
      <c r="P40" s="141">
        <v>23.1905</v>
      </c>
      <c r="Q40" s="139"/>
      <c r="R40" s="141">
        <v>6.7489999999999997</v>
      </c>
      <c r="S40" s="139"/>
      <c r="T40" s="141">
        <v>41.739400000000003</v>
      </c>
      <c r="U40" s="139"/>
      <c r="V40" s="138">
        <v>5954691</v>
      </c>
      <c r="W40" s="139"/>
      <c r="X40" s="142">
        <v>5905439</v>
      </c>
      <c r="Y40" s="139"/>
      <c r="Z40" s="138">
        <v>5839491</v>
      </c>
      <c r="AA40" s="139"/>
      <c r="AB40" s="138">
        <v>65948</v>
      </c>
      <c r="AC40" s="139"/>
      <c r="AD40" s="138">
        <v>256119</v>
      </c>
      <c r="AE40" s="139"/>
      <c r="AF40" s="138">
        <v>251805</v>
      </c>
      <c r="AG40" s="139"/>
      <c r="AH40" s="138">
        <v>4314</v>
      </c>
      <c r="AI40" s="139"/>
      <c r="AJ40" s="138">
        <v>2952712</v>
      </c>
      <c r="AK40" s="139"/>
      <c r="AL40" s="138">
        <v>2919745</v>
      </c>
      <c r="AM40" s="139"/>
      <c r="AN40" s="138">
        <v>128060</v>
      </c>
      <c r="AO40" s="139"/>
      <c r="AP40" s="143">
        <v>125902</v>
      </c>
      <c r="AQ40" s="139"/>
      <c r="AR40" s="138">
        <v>10510179</v>
      </c>
      <c r="AS40" s="139"/>
      <c r="AT40" s="142">
        <v>70933375</v>
      </c>
      <c r="AU40" s="123"/>
      <c r="AV40" s="127">
        <v>91.06</v>
      </c>
      <c r="AW40" s="123" t="s">
        <v>1603</v>
      </c>
      <c r="AX40" s="123" t="s">
        <v>1743</v>
      </c>
    </row>
    <row r="41" spans="1:50">
      <c r="A41" s="123" t="s">
        <v>1654</v>
      </c>
      <c r="B41" s="123" t="s">
        <v>1655</v>
      </c>
      <c r="C41" s="123" t="s">
        <v>382</v>
      </c>
      <c r="D41" s="124">
        <v>5015</v>
      </c>
      <c r="E41" s="125">
        <v>50015</v>
      </c>
      <c r="F41" s="123" t="s">
        <v>1612</v>
      </c>
      <c r="G41" s="123" t="s">
        <v>1601</v>
      </c>
      <c r="H41" s="138">
        <v>1780673</v>
      </c>
      <c r="I41" s="139">
        <v>418</v>
      </c>
      <c r="J41" s="123" t="s">
        <v>1609</v>
      </c>
      <c r="K41" s="123" t="s">
        <v>1602</v>
      </c>
      <c r="L41" s="126">
        <v>6</v>
      </c>
      <c r="M41" s="123"/>
      <c r="N41" s="140">
        <v>6</v>
      </c>
      <c r="O41" s="139"/>
      <c r="P41" s="141">
        <v>14.0802</v>
      </c>
      <c r="Q41" s="139"/>
      <c r="R41" s="141">
        <v>3.5057</v>
      </c>
      <c r="S41" s="139" t="s">
        <v>1616</v>
      </c>
      <c r="T41" s="141">
        <v>14.4611</v>
      </c>
      <c r="U41" s="139"/>
      <c r="V41" s="138">
        <v>559327</v>
      </c>
      <c r="W41" s="139"/>
      <c r="X41" s="142">
        <v>577077</v>
      </c>
      <c r="Y41" s="139"/>
      <c r="Z41" s="138">
        <v>573726</v>
      </c>
      <c r="AA41" s="139"/>
      <c r="AB41" s="138">
        <v>3351</v>
      </c>
      <c r="AC41" s="139"/>
      <c r="AD41" s="138">
        <v>41389</v>
      </c>
      <c r="AE41" s="139"/>
      <c r="AF41" s="138">
        <v>40747</v>
      </c>
      <c r="AG41" s="139"/>
      <c r="AH41" s="138">
        <v>642</v>
      </c>
      <c r="AI41" s="139"/>
      <c r="AJ41" s="138">
        <v>562513</v>
      </c>
      <c r="AK41" s="139"/>
      <c r="AL41" s="138">
        <v>559161</v>
      </c>
      <c r="AM41" s="139"/>
      <c r="AN41" s="138">
        <v>40336</v>
      </c>
      <c r="AO41" s="139"/>
      <c r="AP41" s="143">
        <v>39693</v>
      </c>
      <c r="AQ41" s="139"/>
      <c r="AR41" s="138">
        <v>589245</v>
      </c>
      <c r="AS41" s="139"/>
      <c r="AT41" s="142">
        <v>2065735</v>
      </c>
      <c r="AU41" s="123" t="s">
        <v>1616</v>
      </c>
      <c r="AV41" s="127">
        <v>30.38</v>
      </c>
      <c r="AW41" s="123" t="s">
        <v>1603</v>
      </c>
      <c r="AX41" s="123" t="s">
        <v>1745</v>
      </c>
    </row>
    <row r="42" spans="1:50">
      <c r="A42" s="123" t="s">
        <v>1654</v>
      </c>
      <c r="B42" s="123" t="s">
        <v>1655</v>
      </c>
      <c r="C42" s="123" t="s">
        <v>382</v>
      </c>
      <c r="D42" s="124">
        <v>5015</v>
      </c>
      <c r="E42" s="125">
        <v>50015</v>
      </c>
      <c r="F42" s="123" t="s">
        <v>1612</v>
      </c>
      <c r="G42" s="123" t="s">
        <v>1601</v>
      </c>
      <c r="H42" s="138">
        <v>1780673</v>
      </c>
      <c r="I42" s="139">
        <v>418</v>
      </c>
      <c r="J42" s="123" t="s">
        <v>1604</v>
      </c>
      <c r="K42" s="123" t="s">
        <v>1602</v>
      </c>
      <c r="L42" s="126">
        <v>16</v>
      </c>
      <c r="M42" s="123"/>
      <c r="N42" s="140">
        <v>8</v>
      </c>
      <c r="O42" s="139"/>
      <c r="P42" s="141">
        <v>19.014700000000001</v>
      </c>
      <c r="Q42" s="139"/>
      <c r="R42" s="141">
        <v>6.9599000000000002</v>
      </c>
      <c r="S42" s="139" t="s">
        <v>1616</v>
      </c>
      <c r="T42" s="141">
        <v>20.605499999999999</v>
      </c>
      <c r="U42" s="139"/>
      <c r="V42" s="138">
        <v>2472057</v>
      </c>
      <c r="W42" s="139"/>
      <c r="X42" s="142">
        <v>2440418</v>
      </c>
      <c r="Y42" s="139"/>
      <c r="Z42" s="138">
        <v>2434523</v>
      </c>
      <c r="AA42" s="139"/>
      <c r="AB42" s="138">
        <v>5895</v>
      </c>
      <c r="AC42" s="139"/>
      <c r="AD42" s="138">
        <v>129302</v>
      </c>
      <c r="AE42" s="139"/>
      <c r="AF42" s="138">
        <v>128034</v>
      </c>
      <c r="AG42" s="139"/>
      <c r="AH42" s="138">
        <v>1268</v>
      </c>
      <c r="AI42" s="139"/>
      <c r="AJ42" s="138">
        <v>1238321</v>
      </c>
      <c r="AK42" s="139"/>
      <c r="AL42" s="138">
        <v>1235375</v>
      </c>
      <c r="AM42" s="139"/>
      <c r="AN42" s="138">
        <v>65610</v>
      </c>
      <c r="AO42" s="139"/>
      <c r="AP42" s="143">
        <v>64976</v>
      </c>
      <c r="AQ42" s="139"/>
      <c r="AR42" s="138">
        <v>2638201</v>
      </c>
      <c r="AS42" s="139"/>
      <c r="AT42" s="142">
        <v>18361515</v>
      </c>
      <c r="AU42" s="123" t="s">
        <v>1616</v>
      </c>
      <c r="AV42" s="127">
        <v>38.08</v>
      </c>
      <c r="AW42" s="123" t="s">
        <v>1603</v>
      </c>
      <c r="AX42" s="123" t="s">
        <v>1745</v>
      </c>
    </row>
    <row r="43" spans="1:50">
      <c r="A43" s="123" t="s">
        <v>1658</v>
      </c>
      <c r="B43" s="123" t="s">
        <v>1659</v>
      </c>
      <c r="C43" s="123" t="s">
        <v>396</v>
      </c>
      <c r="D43" s="124">
        <v>3083</v>
      </c>
      <c r="E43" s="125">
        <v>30083</v>
      </c>
      <c r="F43" s="123" t="s">
        <v>1612</v>
      </c>
      <c r="G43" s="123" t="s">
        <v>1601</v>
      </c>
      <c r="H43" s="138">
        <v>1439666</v>
      </c>
      <c r="I43" s="139">
        <v>417</v>
      </c>
      <c r="J43" s="123" t="s">
        <v>1609</v>
      </c>
      <c r="K43" s="123" t="s">
        <v>1602</v>
      </c>
      <c r="L43" s="126">
        <v>6</v>
      </c>
      <c r="M43" s="123"/>
      <c r="N43" s="140">
        <v>6</v>
      </c>
      <c r="O43" s="139"/>
      <c r="P43" s="141">
        <v>13.267099999999999</v>
      </c>
      <c r="Q43" s="139"/>
      <c r="R43" s="141">
        <v>3.2271999999999998</v>
      </c>
      <c r="S43" s="139"/>
      <c r="T43" s="141">
        <v>40.308999999999997</v>
      </c>
      <c r="U43" s="139"/>
      <c r="V43" s="138">
        <v>344336</v>
      </c>
      <c r="W43" s="139"/>
      <c r="X43" s="142">
        <v>344847</v>
      </c>
      <c r="Y43" s="139"/>
      <c r="Z43" s="138">
        <v>343618</v>
      </c>
      <c r="AA43" s="139"/>
      <c r="AB43" s="138">
        <v>1229</v>
      </c>
      <c r="AC43" s="139"/>
      <c r="AD43" s="138">
        <v>26101</v>
      </c>
      <c r="AE43" s="139"/>
      <c r="AF43" s="138">
        <v>25900</v>
      </c>
      <c r="AG43" s="139"/>
      <c r="AH43" s="138">
        <v>201</v>
      </c>
      <c r="AI43" s="139"/>
      <c r="AJ43" s="138">
        <v>344847</v>
      </c>
      <c r="AK43" s="139"/>
      <c r="AL43" s="138">
        <v>343618</v>
      </c>
      <c r="AM43" s="139"/>
      <c r="AN43" s="138">
        <v>26101</v>
      </c>
      <c r="AO43" s="139"/>
      <c r="AP43" s="143">
        <v>25900</v>
      </c>
      <c r="AQ43" s="139"/>
      <c r="AR43" s="138">
        <v>1044002</v>
      </c>
      <c r="AS43" s="139"/>
      <c r="AT43" s="142">
        <v>3369249</v>
      </c>
      <c r="AU43" s="123"/>
      <c r="AV43" s="127">
        <v>14.8</v>
      </c>
      <c r="AW43" s="123" t="s">
        <v>1603</v>
      </c>
      <c r="AX43" s="123" t="s">
        <v>1743</v>
      </c>
    </row>
    <row r="44" spans="1:50">
      <c r="A44" s="123" t="s">
        <v>1656</v>
      </c>
      <c r="B44" s="123" t="s">
        <v>1657</v>
      </c>
      <c r="C44" s="123" t="s">
        <v>374</v>
      </c>
      <c r="D44" s="124">
        <v>4008</v>
      </c>
      <c r="E44" s="125">
        <v>40008</v>
      </c>
      <c r="F44" s="123" t="s">
        <v>1615</v>
      </c>
      <c r="G44" s="123" t="s">
        <v>1601</v>
      </c>
      <c r="H44" s="138">
        <v>1249442</v>
      </c>
      <c r="I44" s="139">
        <v>409</v>
      </c>
      <c r="J44" s="123" t="s">
        <v>1609</v>
      </c>
      <c r="K44" s="123" t="s">
        <v>1602</v>
      </c>
      <c r="L44" s="126">
        <v>36</v>
      </c>
      <c r="M44" s="123"/>
      <c r="N44" s="140">
        <v>16</v>
      </c>
      <c r="O44" s="139"/>
      <c r="P44" s="141">
        <v>16.140799999999999</v>
      </c>
      <c r="Q44" s="139"/>
      <c r="R44" s="141">
        <v>5.1829999999999998</v>
      </c>
      <c r="S44" s="139"/>
      <c r="T44" s="141">
        <v>55.526200000000003</v>
      </c>
      <c r="U44" s="139"/>
      <c r="V44" s="138">
        <v>2178959</v>
      </c>
      <c r="W44" s="139"/>
      <c r="X44" s="142">
        <v>2267166</v>
      </c>
      <c r="Y44" s="139"/>
      <c r="Z44" s="138">
        <v>2110955</v>
      </c>
      <c r="AA44" s="139"/>
      <c r="AB44" s="138">
        <v>156211</v>
      </c>
      <c r="AC44" s="139"/>
      <c r="AD44" s="138">
        <v>138754</v>
      </c>
      <c r="AE44" s="139"/>
      <c r="AF44" s="138">
        <v>130784</v>
      </c>
      <c r="AG44" s="139"/>
      <c r="AH44" s="138">
        <v>7970</v>
      </c>
      <c r="AI44" s="139"/>
      <c r="AJ44" s="138">
        <v>1141671</v>
      </c>
      <c r="AK44" s="139"/>
      <c r="AL44" s="138">
        <v>1059265</v>
      </c>
      <c r="AM44" s="139"/>
      <c r="AN44" s="138">
        <v>69828</v>
      </c>
      <c r="AO44" s="139"/>
      <c r="AP44" s="143">
        <v>65622</v>
      </c>
      <c r="AQ44" s="139"/>
      <c r="AR44" s="138">
        <v>7261944</v>
      </c>
      <c r="AS44" s="139"/>
      <c r="AT44" s="142">
        <v>37638865</v>
      </c>
      <c r="AU44" s="123"/>
      <c r="AV44" s="127">
        <v>37.299999999999997</v>
      </c>
      <c r="AW44" s="123" t="s">
        <v>1603</v>
      </c>
      <c r="AX44" s="123" t="s">
        <v>1743</v>
      </c>
    </row>
    <row r="45" spans="1:50">
      <c r="A45" s="123" t="s">
        <v>1660</v>
      </c>
      <c r="B45" s="123" t="s">
        <v>1614</v>
      </c>
      <c r="C45" s="123" t="s">
        <v>398</v>
      </c>
      <c r="D45" s="124">
        <v>40</v>
      </c>
      <c r="E45" s="125">
        <v>40</v>
      </c>
      <c r="F45" s="123" t="s">
        <v>1612</v>
      </c>
      <c r="G45" s="123" t="s">
        <v>1601</v>
      </c>
      <c r="H45" s="138">
        <v>3059393</v>
      </c>
      <c r="I45" s="139">
        <v>381</v>
      </c>
      <c r="J45" s="123" t="s">
        <v>1609</v>
      </c>
      <c r="K45" s="123" t="s">
        <v>1602</v>
      </c>
      <c r="L45" s="126">
        <v>48</v>
      </c>
      <c r="M45" s="123"/>
      <c r="N45" s="140">
        <v>17</v>
      </c>
      <c r="O45" s="139"/>
      <c r="P45" s="141">
        <v>18.259</v>
      </c>
      <c r="Q45" s="139"/>
      <c r="R45" s="141">
        <v>6.3029999999999999</v>
      </c>
      <c r="S45" s="139"/>
      <c r="T45" s="141">
        <v>35.367199999999997</v>
      </c>
      <c r="U45" s="139"/>
      <c r="V45" s="138">
        <v>3994837</v>
      </c>
      <c r="W45" s="139"/>
      <c r="X45" s="142">
        <v>4168064</v>
      </c>
      <c r="Y45" s="139"/>
      <c r="Z45" s="138">
        <v>4078592</v>
      </c>
      <c r="AA45" s="139"/>
      <c r="AB45" s="138">
        <v>89472</v>
      </c>
      <c r="AC45" s="139"/>
      <c r="AD45" s="138">
        <v>233843</v>
      </c>
      <c r="AE45" s="139"/>
      <c r="AF45" s="138">
        <v>223374</v>
      </c>
      <c r="AG45" s="139"/>
      <c r="AH45" s="138">
        <v>10469</v>
      </c>
      <c r="AI45" s="139"/>
      <c r="AJ45" s="138">
        <v>1165448</v>
      </c>
      <c r="AK45" s="139"/>
      <c r="AL45" s="138">
        <v>1140397</v>
      </c>
      <c r="AM45" s="139"/>
      <c r="AN45" s="138">
        <v>65104</v>
      </c>
      <c r="AO45" s="139"/>
      <c r="AP45" s="143">
        <v>61879</v>
      </c>
      <c r="AQ45" s="139"/>
      <c r="AR45" s="138">
        <v>7900122</v>
      </c>
      <c r="AS45" s="139"/>
      <c r="AT45" s="142">
        <v>49794569</v>
      </c>
      <c r="AU45" s="123"/>
      <c r="AV45" s="127">
        <v>40.4</v>
      </c>
      <c r="AW45" s="123" t="s">
        <v>1603</v>
      </c>
      <c r="AX45" s="123" t="s">
        <v>1743</v>
      </c>
    </row>
    <row r="46" spans="1:50">
      <c r="A46" s="123" t="s">
        <v>1660</v>
      </c>
      <c r="B46" s="123" t="s">
        <v>1614</v>
      </c>
      <c r="C46" s="123" t="s">
        <v>398</v>
      </c>
      <c r="D46" s="124">
        <v>40</v>
      </c>
      <c r="E46" s="125">
        <v>40</v>
      </c>
      <c r="F46" s="123" t="s">
        <v>1612</v>
      </c>
      <c r="G46" s="123" t="s">
        <v>1601</v>
      </c>
      <c r="H46" s="138">
        <v>3059393</v>
      </c>
      <c r="I46" s="139">
        <v>381</v>
      </c>
      <c r="J46" s="123" t="s">
        <v>1610</v>
      </c>
      <c r="K46" s="123" t="s">
        <v>1605</v>
      </c>
      <c r="L46" s="126">
        <v>70</v>
      </c>
      <c r="M46" s="123"/>
      <c r="N46" s="140">
        <v>23</v>
      </c>
      <c r="O46" s="139"/>
      <c r="P46" s="141">
        <v>30.116700000000002</v>
      </c>
      <c r="Q46" s="139"/>
      <c r="R46" s="141">
        <v>25.192499999999999</v>
      </c>
      <c r="S46" s="139"/>
      <c r="T46" s="141">
        <v>24.971</v>
      </c>
      <c r="U46" s="139"/>
      <c r="V46" s="138">
        <v>1617729</v>
      </c>
      <c r="W46" s="139"/>
      <c r="X46" s="142">
        <v>1562310</v>
      </c>
      <c r="Y46" s="139"/>
      <c r="Z46" s="138">
        <v>1526737</v>
      </c>
      <c r="AA46" s="139"/>
      <c r="AB46" s="138">
        <v>35573</v>
      </c>
      <c r="AC46" s="139"/>
      <c r="AD46" s="138">
        <v>54020</v>
      </c>
      <c r="AE46" s="139"/>
      <c r="AF46" s="138">
        <v>50694</v>
      </c>
      <c r="AG46" s="139"/>
      <c r="AH46" s="138">
        <v>3326</v>
      </c>
      <c r="AI46" s="139"/>
      <c r="AJ46" s="138">
        <v>250453</v>
      </c>
      <c r="AK46" s="139"/>
      <c r="AL46" s="138">
        <v>244746</v>
      </c>
      <c r="AM46" s="139"/>
      <c r="AN46" s="138">
        <v>8818</v>
      </c>
      <c r="AO46" s="139"/>
      <c r="AP46" s="143">
        <v>8281</v>
      </c>
      <c r="AQ46" s="139"/>
      <c r="AR46" s="138">
        <v>1265882</v>
      </c>
      <c r="AS46" s="139"/>
      <c r="AT46" s="142">
        <v>31890678</v>
      </c>
      <c r="AU46" s="123"/>
      <c r="AV46" s="127">
        <v>163.84</v>
      </c>
      <c r="AW46" s="123" t="s">
        <v>1603</v>
      </c>
      <c r="AX46" s="123" t="s">
        <v>1743</v>
      </c>
    </row>
    <row r="47" spans="1:50">
      <c r="A47" s="123" t="s">
        <v>1662</v>
      </c>
      <c r="B47" s="123" t="s">
        <v>1663</v>
      </c>
      <c r="C47" s="123" t="s">
        <v>381</v>
      </c>
      <c r="D47" s="124">
        <v>2004</v>
      </c>
      <c r="E47" s="125">
        <v>20004</v>
      </c>
      <c r="F47" s="123" t="s">
        <v>1612</v>
      </c>
      <c r="G47" s="123" t="s">
        <v>1601</v>
      </c>
      <c r="H47" s="138">
        <v>935906</v>
      </c>
      <c r="I47" s="139">
        <v>359</v>
      </c>
      <c r="J47" s="123" t="s">
        <v>1609</v>
      </c>
      <c r="K47" s="123" t="s">
        <v>1602</v>
      </c>
      <c r="L47" s="126">
        <v>23</v>
      </c>
      <c r="M47" s="123"/>
      <c r="N47" s="140">
        <v>7</v>
      </c>
      <c r="O47" s="139"/>
      <c r="P47" s="141">
        <v>11.1447</v>
      </c>
      <c r="Q47" s="139"/>
      <c r="R47" s="141">
        <v>2.6665000000000001</v>
      </c>
      <c r="S47" s="139"/>
      <c r="T47" s="141">
        <v>48.610100000000003</v>
      </c>
      <c r="U47" s="139"/>
      <c r="V47" s="138">
        <v>962940</v>
      </c>
      <c r="W47" s="139"/>
      <c r="X47" s="142">
        <v>984827</v>
      </c>
      <c r="Y47" s="139"/>
      <c r="Z47" s="138">
        <v>968353</v>
      </c>
      <c r="AA47" s="139"/>
      <c r="AB47" s="138">
        <v>16474</v>
      </c>
      <c r="AC47" s="139"/>
      <c r="AD47" s="138">
        <v>91599</v>
      </c>
      <c r="AE47" s="139"/>
      <c r="AF47" s="138">
        <v>86889</v>
      </c>
      <c r="AG47" s="139"/>
      <c r="AH47" s="138">
        <v>4710</v>
      </c>
      <c r="AI47" s="139"/>
      <c r="AJ47" s="138">
        <v>347313</v>
      </c>
      <c r="AK47" s="139"/>
      <c r="AL47" s="138">
        <v>341503</v>
      </c>
      <c r="AM47" s="139"/>
      <c r="AN47" s="138">
        <v>32115</v>
      </c>
      <c r="AO47" s="139"/>
      <c r="AP47" s="143">
        <v>30462</v>
      </c>
      <c r="AQ47" s="139"/>
      <c r="AR47" s="138">
        <v>4223681</v>
      </c>
      <c r="AS47" s="139"/>
      <c r="AT47" s="142">
        <v>11262397</v>
      </c>
      <c r="AU47" s="123"/>
      <c r="AV47" s="127">
        <v>12.4</v>
      </c>
      <c r="AW47" s="123" t="s">
        <v>1603</v>
      </c>
      <c r="AX47" s="123" t="s">
        <v>1743</v>
      </c>
    </row>
    <row r="48" spans="1:50">
      <c r="A48" s="123" t="s">
        <v>1667</v>
      </c>
      <c r="B48" s="123" t="s">
        <v>1668</v>
      </c>
      <c r="C48" s="123" t="s">
        <v>351</v>
      </c>
      <c r="D48" s="124">
        <v>9019</v>
      </c>
      <c r="E48" s="125">
        <v>90019</v>
      </c>
      <c r="F48" s="123" t="s">
        <v>1612</v>
      </c>
      <c r="G48" s="123" t="s">
        <v>1601</v>
      </c>
      <c r="H48" s="138">
        <v>1723634</v>
      </c>
      <c r="I48" s="139">
        <v>331</v>
      </c>
      <c r="J48" s="123" t="s">
        <v>1609</v>
      </c>
      <c r="K48" s="123" t="s">
        <v>1602</v>
      </c>
      <c r="L48" s="126">
        <v>69</v>
      </c>
      <c r="M48" s="123"/>
      <c r="N48" s="140">
        <v>18</v>
      </c>
      <c r="O48" s="139"/>
      <c r="P48" s="141">
        <v>17.4438</v>
      </c>
      <c r="Q48" s="139"/>
      <c r="R48" s="141">
        <v>5.9108000000000001</v>
      </c>
      <c r="S48" s="139"/>
      <c r="T48" s="141">
        <v>43.433199999999999</v>
      </c>
      <c r="U48" s="139"/>
      <c r="V48" s="138">
        <v>3637080</v>
      </c>
      <c r="W48" s="139"/>
      <c r="X48" s="142">
        <v>3765256</v>
      </c>
      <c r="Y48" s="139"/>
      <c r="Z48" s="138">
        <v>3610107</v>
      </c>
      <c r="AA48" s="139"/>
      <c r="AB48" s="138">
        <v>155149</v>
      </c>
      <c r="AC48" s="139"/>
      <c r="AD48" s="138">
        <v>213385</v>
      </c>
      <c r="AE48" s="139"/>
      <c r="AF48" s="138">
        <v>206957</v>
      </c>
      <c r="AG48" s="139"/>
      <c r="AH48" s="138">
        <v>6428</v>
      </c>
      <c r="AI48" s="139"/>
      <c r="AJ48" s="138">
        <v>1757466</v>
      </c>
      <c r="AK48" s="139"/>
      <c r="AL48" s="138">
        <v>1710343</v>
      </c>
      <c r="AM48" s="139"/>
      <c r="AN48" s="138">
        <v>101083</v>
      </c>
      <c r="AO48" s="139"/>
      <c r="AP48" s="143">
        <v>98064</v>
      </c>
      <c r="AQ48" s="139"/>
      <c r="AR48" s="138">
        <v>8988806</v>
      </c>
      <c r="AS48" s="139"/>
      <c r="AT48" s="142">
        <v>53131252</v>
      </c>
      <c r="AU48" s="123"/>
      <c r="AV48" s="127">
        <v>84.92</v>
      </c>
      <c r="AW48" s="123" t="s">
        <v>1603</v>
      </c>
      <c r="AX48" s="123" t="s">
        <v>1743</v>
      </c>
    </row>
    <row r="49" spans="1:50">
      <c r="A49" s="123" t="s">
        <v>1664</v>
      </c>
      <c r="B49" s="123" t="s">
        <v>1665</v>
      </c>
      <c r="C49" s="123" t="s">
        <v>390</v>
      </c>
      <c r="D49" s="124">
        <v>6007</v>
      </c>
      <c r="E49" s="125">
        <v>60007</v>
      </c>
      <c r="F49" s="123" t="s">
        <v>1612</v>
      </c>
      <c r="G49" s="123" t="s">
        <v>1601</v>
      </c>
      <c r="H49" s="138">
        <v>5121892</v>
      </c>
      <c r="I49" s="139">
        <v>312</v>
      </c>
      <c r="J49" s="123" t="s">
        <v>1610</v>
      </c>
      <c r="K49" s="123" t="s">
        <v>1605</v>
      </c>
      <c r="L49" s="126">
        <v>20</v>
      </c>
      <c r="M49" s="123"/>
      <c r="N49" s="140">
        <v>5</v>
      </c>
      <c r="O49" s="139"/>
      <c r="P49" s="141">
        <v>19.5091</v>
      </c>
      <c r="Q49" s="139"/>
      <c r="R49" s="141">
        <v>15.8208</v>
      </c>
      <c r="S49" s="139" t="s">
        <v>1653</v>
      </c>
      <c r="T49" s="141">
        <v>2.8578999999999999</v>
      </c>
      <c r="U49" s="139" t="s">
        <v>1653</v>
      </c>
      <c r="V49" s="138">
        <v>2417541</v>
      </c>
      <c r="W49" s="139"/>
      <c r="X49" s="142">
        <v>2349671</v>
      </c>
      <c r="Y49" s="139"/>
      <c r="Z49" s="138">
        <v>2320998</v>
      </c>
      <c r="AA49" s="139"/>
      <c r="AB49" s="138">
        <v>28673</v>
      </c>
      <c r="AC49" s="139"/>
      <c r="AD49" s="138">
        <v>120510</v>
      </c>
      <c r="AE49" s="139"/>
      <c r="AF49" s="138">
        <v>118970</v>
      </c>
      <c r="AG49" s="139"/>
      <c r="AH49" s="138">
        <v>1540</v>
      </c>
      <c r="AI49" s="139"/>
      <c r="AJ49" s="138">
        <v>587418</v>
      </c>
      <c r="AK49" s="139"/>
      <c r="AL49" s="138">
        <v>580250</v>
      </c>
      <c r="AM49" s="139" t="s">
        <v>1653</v>
      </c>
      <c r="AN49" s="138">
        <v>30128</v>
      </c>
      <c r="AO49" s="139"/>
      <c r="AP49" s="143">
        <v>29743</v>
      </c>
      <c r="AQ49" s="139" t="s">
        <v>1653</v>
      </c>
      <c r="AR49" s="138">
        <v>340008</v>
      </c>
      <c r="AS49" s="139" t="s">
        <v>1653</v>
      </c>
      <c r="AT49" s="142">
        <v>5379214</v>
      </c>
      <c r="AU49" s="123" t="s">
        <v>1653</v>
      </c>
      <c r="AV49" s="127">
        <v>52.34</v>
      </c>
      <c r="AW49" s="123" t="s">
        <v>1603</v>
      </c>
      <c r="AX49" s="123" t="s">
        <v>1745</v>
      </c>
    </row>
    <row r="50" spans="1:50">
      <c r="A50" s="123" t="s">
        <v>1666</v>
      </c>
      <c r="B50" s="123" t="s">
        <v>89</v>
      </c>
      <c r="C50" s="123" t="s">
        <v>378</v>
      </c>
      <c r="D50" s="124">
        <v>2098</v>
      </c>
      <c r="E50" s="125">
        <v>20098</v>
      </c>
      <c r="F50" s="123" t="s">
        <v>1612</v>
      </c>
      <c r="G50" s="123" t="s">
        <v>1601</v>
      </c>
      <c r="H50" s="138">
        <v>18351295</v>
      </c>
      <c r="I50" s="139">
        <v>310</v>
      </c>
      <c r="J50" s="123" t="s">
        <v>1604</v>
      </c>
      <c r="K50" s="123" t="s">
        <v>1602</v>
      </c>
      <c r="L50" s="126">
        <v>304</v>
      </c>
      <c r="M50" s="123"/>
      <c r="N50" s="140">
        <v>33</v>
      </c>
      <c r="O50" s="139"/>
      <c r="P50" s="141">
        <v>13.624599999999999</v>
      </c>
      <c r="Q50" s="139"/>
      <c r="R50" s="141">
        <v>5.0683999999999996</v>
      </c>
      <c r="S50" s="139"/>
      <c r="T50" s="141">
        <v>31.703499999999998</v>
      </c>
      <c r="U50" s="139"/>
      <c r="V50" s="138">
        <v>12823047</v>
      </c>
      <c r="W50" s="139"/>
      <c r="X50" s="142">
        <v>13103345</v>
      </c>
      <c r="Y50" s="139"/>
      <c r="Z50" s="138">
        <v>12744198</v>
      </c>
      <c r="AA50" s="139"/>
      <c r="AB50" s="138">
        <v>359147</v>
      </c>
      <c r="AC50" s="139"/>
      <c r="AD50" s="138">
        <v>954091</v>
      </c>
      <c r="AE50" s="139"/>
      <c r="AF50" s="138">
        <v>935379</v>
      </c>
      <c r="AG50" s="139"/>
      <c r="AH50" s="138">
        <v>18712</v>
      </c>
      <c r="AI50" s="139"/>
      <c r="AJ50" s="138">
        <v>1753804</v>
      </c>
      <c r="AK50" s="139"/>
      <c r="AL50" s="138">
        <v>1705415</v>
      </c>
      <c r="AM50" s="139"/>
      <c r="AN50" s="138">
        <v>129406</v>
      </c>
      <c r="AO50" s="139"/>
      <c r="AP50" s="143">
        <v>126903</v>
      </c>
      <c r="AQ50" s="139"/>
      <c r="AR50" s="138">
        <v>29654770</v>
      </c>
      <c r="AS50" s="139"/>
      <c r="AT50" s="142">
        <v>150302485</v>
      </c>
      <c r="AU50" s="123"/>
      <c r="AV50" s="127">
        <v>28.6</v>
      </c>
      <c r="AW50" s="123" t="s">
        <v>1603</v>
      </c>
      <c r="AX50" s="123" t="s">
        <v>1743</v>
      </c>
    </row>
    <row r="51" spans="1:50">
      <c r="A51" s="123" t="s">
        <v>1670</v>
      </c>
      <c r="B51" s="123" t="s">
        <v>1671</v>
      </c>
      <c r="C51" s="123" t="s">
        <v>351</v>
      </c>
      <c r="D51" s="124">
        <v>9030</v>
      </c>
      <c r="E51" s="125">
        <v>90030</v>
      </c>
      <c r="F51" s="123" t="s">
        <v>1612</v>
      </c>
      <c r="G51" s="123" t="s">
        <v>1601</v>
      </c>
      <c r="H51" s="138">
        <v>2956746</v>
      </c>
      <c r="I51" s="139">
        <v>205</v>
      </c>
      <c r="J51" s="123" t="s">
        <v>1610</v>
      </c>
      <c r="K51" s="123" t="s">
        <v>1605</v>
      </c>
      <c r="L51" s="126">
        <v>24</v>
      </c>
      <c r="M51" s="123"/>
      <c r="N51" s="140">
        <v>4</v>
      </c>
      <c r="O51" s="139"/>
      <c r="P51" s="141">
        <v>31.677499999999998</v>
      </c>
      <c r="Q51" s="139"/>
      <c r="R51" s="141">
        <v>26.441199999999998</v>
      </c>
      <c r="S51" s="139"/>
      <c r="T51" s="141">
        <v>25.204499999999999</v>
      </c>
      <c r="U51" s="139"/>
      <c r="V51" s="138">
        <v>1181583</v>
      </c>
      <c r="W51" s="139"/>
      <c r="X51" s="142">
        <v>1254334</v>
      </c>
      <c r="Y51" s="139"/>
      <c r="Z51" s="138">
        <v>1186577</v>
      </c>
      <c r="AA51" s="139"/>
      <c r="AB51" s="138">
        <v>67757</v>
      </c>
      <c r="AC51" s="139"/>
      <c r="AD51" s="138">
        <v>42212</v>
      </c>
      <c r="AE51" s="139"/>
      <c r="AF51" s="138">
        <v>37458</v>
      </c>
      <c r="AG51" s="139"/>
      <c r="AH51" s="138">
        <v>4754</v>
      </c>
      <c r="AI51" s="139"/>
      <c r="AJ51" s="138">
        <v>243076</v>
      </c>
      <c r="AK51" s="139"/>
      <c r="AL51" s="138">
        <v>230008</v>
      </c>
      <c r="AM51" s="139"/>
      <c r="AN51" s="138">
        <v>7881</v>
      </c>
      <c r="AO51" s="139"/>
      <c r="AP51" s="143">
        <v>7305</v>
      </c>
      <c r="AQ51" s="139"/>
      <c r="AR51" s="138">
        <v>944109</v>
      </c>
      <c r="AS51" s="139"/>
      <c r="AT51" s="142">
        <v>24963395</v>
      </c>
      <c r="AU51" s="123"/>
      <c r="AV51" s="127">
        <v>82.2</v>
      </c>
      <c r="AW51" s="123" t="s">
        <v>1603</v>
      </c>
      <c r="AX51" s="123" t="s">
        <v>1743</v>
      </c>
    </row>
    <row r="52" spans="1:50">
      <c r="A52" s="123" t="s">
        <v>1672</v>
      </c>
      <c r="B52" s="123" t="s">
        <v>1611</v>
      </c>
      <c r="C52" s="123" t="s">
        <v>351</v>
      </c>
      <c r="D52" s="124">
        <v>9151</v>
      </c>
      <c r="E52" s="125">
        <v>90151</v>
      </c>
      <c r="F52" s="123" t="s">
        <v>1612</v>
      </c>
      <c r="G52" s="123" t="s">
        <v>1601</v>
      </c>
      <c r="H52" s="138">
        <v>12150996</v>
      </c>
      <c r="I52" s="139">
        <v>195</v>
      </c>
      <c r="J52" s="123" t="s">
        <v>1610</v>
      </c>
      <c r="K52" s="123" t="s">
        <v>1605</v>
      </c>
      <c r="L52" s="126">
        <v>195</v>
      </c>
      <c r="M52" s="123"/>
      <c r="N52" s="140">
        <v>40</v>
      </c>
      <c r="O52" s="139"/>
      <c r="P52" s="141">
        <v>36.3401</v>
      </c>
      <c r="Q52" s="139"/>
      <c r="R52" s="141">
        <v>34.358199999999997</v>
      </c>
      <c r="S52" s="139" t="s">
        <v>1616</v>
      </c>
      <c r="T52" s="141">
        <v>26.057400000000001</v>
      </c>
      <c r="U52" s="139" t="s">
        <v>1616</v>
      </c>
      <c r="V52" s="138">
        <v>13061501</v>
      </c>
      <c r="W52" s="139"/>
      <c r="X52" s="142">
        <v>13618637</v>
      </c>
      <c r="Y52" s="139"/>
      <c r="Z52" s="138">
        <v>13049429</v>
      </c>
      <c r="AA52" s="139"/>
      <c r="AB52" s="138">
        <v>569208</v>
      </c>
      <c r="AC52" s="139"/>
      <c r="AD52" s="138">
        <v>387165</v>
      </c>
      <c r="AE52" s="139"/>
      <c r="AF52" s="138">
        <v>359092</v>
      </c>
      <c r="AG52" s="139"/>
      <c r="AH52" s="138">
        <v>28073</v>
      </c>
      <c r="AI52" s="139"/>
      <c r="AJ52" s="138">
        <v>2786037</v>
      </c>
      <c r="AK52" s="139"/>
      <c r="AL52" s="138">
        <v>2674879</v>
      </c>
      <c r="AM52" s="139"/>
      <c r="AN52" s="138">
        <v>80963</v>
      </c>
      <c r="AO52" s="139"/>
      <c r="AP52" s="143">
        <v>73871</v>
      </c>
      <c r="AQ52" s="139"/>
      <c r="AR52" s="138">
        <v>9357013</v>
      </c>
      <c r="AS52" s="139" t="s">
        <v>1616</v>
      </c>
      <c r="AT52" s="142">
        <v>321490316</v>
      </c>
      <c r="AU52" s="123" t="s">
        <v>1616</v>
      </c>
      <c r="AV52" s="127">
        <v>826.8</v>
      </c>
      <c r="AW52" s="123" t="s">
        <v>1603</v>
      </c>
      <c r="AX52" s="123" t="s">
        <v>1745</v>
      </c>
    </row>
    <row r="53" spans="1:50">
      <c r="A53" s="123" t="s">
        <v>1675</v>
      </c>
      <c r="B53" s="123" t="s">
        <v>1661</v>
      </c>
      <c r="C53" s="123" t="s">
        <v>351</v>
      </c>
      <c r="D53" s="124">
        <v>9134</v>
      </c>
      <c r="E53" s="125">
        <v>90134</v>
      </c>
      <c r="F53" s="123" t="s">
        <v>1612</v>
      </c>
      <c r="G53" s="123" t="s">
        <v>1601</v>
      </c>
      <c r="H53" s="138">
        <v>3281212</v>
      </c>
      <c r="I53" s="139">
        <v>141</v>
      </c>
      <c r="J53" s="123" t="s">
        <v>1610</v>
      </c>
      <c r="K53" s="123" t="s">
        <v>1605</v>
      </c>
      <c r="L53" s="126">
        <v>111</v>
      </c>
      <c r="M53" s="123"/>
      <c r="N53" s="140">
        <v>20</v>
      </c>
      <c r="O53" s="139"/>
      <c r="P53" s="141">
        <v>32.338700000000003</v>
      </c>
      <c r="Q53" s="139"/>
      <c r="R53" s="141">
        <v>22.0776</v>
      </c>
      <c r="S53" s="139"/>
      <c r="T53" s="141">
        <v>68.261899999999997</v>
      </c>
      <c r="U53" s="139"/>
      <c r="V53" s="138">
        <v>6469218</v>
      </c>
      <c r="W53" s="139"/>
      <c r="X53" s="142">
        <v>6644705</v>
      </c>
      <c r="Y53" s="139"/>
      <c r="Z53" s="138">
        <v>6486852</v>
      </c>
      <c r="AA53" s="139"/>
      <c r="AB53" s="138">
        <v>157853</v>
      </c>
      <c r="AC53" s="139"/>
      <c r="AD53" s="138">
        <v>216487</v>
      </c>
      <c r="AE53" s="139"/>
      <c r="AF53" s="138">
        <v>200591</v>
      </c>
      <c r="AG53" s="139"/>
      <c r="AH53" s="138">
        <v>15896</v>
      </c>
      <c r="AI53" s="139"/>
      <c r="AJ53" s="138">
        <v>1179829</v>
      </c>
      <c r="AK53" s="139"/>
      <c r="AL53" s="138">
        <v>1151035</v>
      </c>
      <c r="AM53" s="139"/>
      <c r="AN53" s="138">
        <v>38509</v>
      </c>
      <c r="AO53" s="139"/>
      <c r="AP53" s="143">
        <v>35662</v>
      </c>
      <c r="AQ53" s="139"/>
      <c r="AR53" s="138">
        <v>13692716</v>
      </c>
      <c r="AS53" s="139"/>
      <c r="AT53" s="142">
        <v>302302869</v>
      </c>
      <c r="AU53" s="123"/>
      <c r="AV53" s="127">
        <v>153.68</v>
      </c>
      <c r="AW53" s="123" t="s">
        <v>1603</v>
      </c>
      <c r="AX53" s="123" t="s">
        <v>1743</v>
      </c>
    </row>
    <row r="54" spans="1:50">
      <c r="A54" s="123" t="s">
        <v>1679</v>
      </c>
      <c r="B54" s="123" t="s">
        <v>1674</v>
      </c>
      <c r="C54" s="123" t="s">
        <v>396</v>
      </c>
      <c r="D54" s="124">
        <v>3073</v>
      </c>
      <c r="E54" s="125">
        <v>30073</v>
      </c>
      <c r="F54" s="123" t="s">
        <v>1612</v>
      </c>
      <c r="G54" s="123" t="s">
        <v>1601</v>
      </c>
      <c r="H54" s="138">
        <v>4586770</v>
      </c>
      <c r="I54" s="139">
        <v>99</v>
      </c>
      <c r="J54" s="123" t="s">
        <v>1610</v>
      </c>
      <c r="K54" s="123" t="s">
        <v>1605</v>
      </c>
      <c r="L54" s="126">
        <v>99</v>
      </c>
      <c r="M54" s="123"/>
      <c r="N54" s="140">
        <v>32</v>
      </c>
      <c r="O54" s="139"/>
      <c r="P54" s="141">
        <v>30.826899999999998</v>
      </c>
      <c r="Q54" s="139"/>
      <c r="R54" s="141">
        <v>30.3917</v>
      </c>
      <c r="S54" s="139"/>
      <c r="T54" s="141">
        <v>46.2879</v>
      </c>
      <c r="U54" s="139"/>
      <c r="V54" s="138">
        <v>2148620</v>
      </c>
      <c r="W54" s="139"/>
      <c r="X54" s="142">
        <v>2234620</v>
      </c>
      <c r="Y54" s="139"/>
      <c r="Z54" s="138">
        <v>2146074</v>
      </c>
      <c r="AA54" s="139"/>
      <c r="AB54" s="138">
        <v>88546</v>
      </c>
      <c r="AC54" s="139"/>
      <c r="AD54" s="138">
        <v>76838</v>
      </c>
      <c r="AE54" s="139"/>
      <c r="AF54" s="138">
        <v>69617</v>
      </c>
      <c r="AG54" s="139"/>
      <c r="AH54" s="138">
        <v>7221</v>
      </c>
      <c r="AI54" s="139"/>
      <c r="AJ54" s="138">
        <v>333795</v>
      </c>
      <c r="AK54" s="139"/>
      <c r="AL54" s="138">
        <v>320541</v>
      </c>
      <c r="AM54" s="139"/>
      <c r="AN54" s="138">
        <v>11411</v>
      </c>
      <c r="AO54" s="139"/>
      <c r="AP54" s="143">
        <v>10330</v>
      </c>
      <c r="AQ54" s="139"/>
      <c r="AR54" s="138">
        <v>3222428</v>
      </c>
      <c r="AS54" s="139"/>
      <c r="AT54" s="142">
        <v>97935058</v>
      </c>
      <c r="AU54" s="123"/>
      <c r="AV54" s="127">
        <v>173.62</v>
      </c>
      <c r="AW54" s="123" t="s">
        <v>1603</v>
      </c>
      <c r="AX54" s="123" t="s">
        <v>1743</v>
      </c>
    </row>
    <row r="55" spans="1:50">
      <c r="A55" s="123" t="s">
        <v>1680</v>
      </c>
      <c r="B55" s="123" t="s">
        <v>1681</v>
      </c>
      <c r="C55" s="123" t="s">
        <v>378</v>
      </c>
      <c r="D55" s="124">
        <v>2075</v>
      </c>
      <c r="E55" s="125">
        <v>20075</v>
      </c>
      <c r="F55" s="123" t="s">
        <v>1612</v>
      </c>
      <c r="G55" s="123" t="s">
        <v>1601</v>
      </c>
      <c r="H55" s="138">
        <v>5441567</v>
      </c>
      <c r="I55" s="139">
        <v>78</v>
      </c>
      <c r="J55" s="123" t="s">
        <v>1604</v>
      </c>
      <c r="K55" s="123" t="s">
        <v>1602</v>
      </c>
      <c r="L55" s="126">
        <v>78</v>
      </c>
      <c r="M55" s="123"/>
      <c r="N55" s="140">
        <v>11</v>
      </c>
      <c r="O55" s="139"/>
      <c r="P55" s="141">
        <v>31.0718</v>
      </c>
      <c r="Q55" s="139"/>
      <c r="R55" s="141">
        <v>8.5806000000000004</v>
      </c>
      <c r="S55" s="139"/>
      <c r="T55" s="141">
        <v>27.423500000000001</v>
      </c>
      <c r="U55" s="139"/>
      <c r="V55" s="138">
        <v>5618718</v>
      </c>
      <c r="W55" s="139"/>
      <c r="X55" s="142">
        <v>4662890</v>
      </c>
      <c r="Y55" s="139"/>
      <c r="Z55" s="138">
        <v>4474868</v>
      </c>
      <c r="AA55" s="139"/>
      <c r="AB55" s="138">
        <v>188022</v>
      </c>
      <c r="AC55" s="139"/>
      <c r="AD55" s="138">
        <v>154306</v>
      </c>
      <c r="AE55" s="139"/>
      <c r="AF55" s="138">
        <v>144017</v>
      </c>
      <c r="AG55" s="139"/>
      <c r="AH55" s="138">
        <v>10289</v>
      </c>
      <c r="AI55" s="139"/>
      <c r="AJ55" s="138">
        <v>899973</v>
      </c>
      <c r="AK55" s="139"/>
      <c r="AL55" s="138">
        <v>836001</v>
      </c>
      <c r="AM55" s="139"/>
      <c r="AN55" s="138">
        <v>31034</v>
      </c>
      <c r="AO55" s="139"/>
      <c r="AP55" s="143">
        <v>28828</v>
      </c>
      <c r="AQ55" s="139"/>
      <c r="AR55" s="138">
        <v>3949450</v>
      </c>
      <c r="AS55" s="139"/>
      <c r="AT55" s="142">
        <v>33888694</v>
      </c>
      <c r="AU55" s="123"/>
      <c r="AV55" s="127">
        <v>31.5</v>
      </c>
      <c r="AW55" s="123" t="s">
        <v>1603</v>
      </c>
      <c r="AX55" s="123" t="s">
        <v>1743</v>
      </c>
    </row>
    <row r="56" spans="1:50">
      <c r="A56" s="123" t="s">
        <v>1683</v>
      </c>
      <c r="B56" s="123" t="s">
        <v>1684</v>
      </c>
      <c r="C56" s="123" t="s">
        <v>362</v>
      </c>
      <c r="D56" s="124">
        <v>5104</v>
      </c>
      <c r="E56" s="125">
        <v>50104</v>
      </c>
      <c r="F56" s="123" t="s">
        <v>1612</v>
      </c>
      <c r="G56" s="123" t="s">
        <v>1601</v>
      </c>
      <c r="H56" s="138">
        <v>8608208</v>
      </c>
      <c r="I56" s="139">
        <v>70</v>
      </c>
      <c r="J56" s="123" t="s">
        <v>1610</v>
      </c>
      <c r="K56" s="123" t="s">
        <v>1602</v>
      </c>
      <c r="L56" s="126">
        <v>70</v>
      </c>
      <c r="M56" s="123"/>
      <c r="N56" s="140">
        <v>17</v>
      </c>
      <c r="O56" s="139"/>
      <c r="P56" s="141">
        <v>34.768900000000002</v>
      </c>
      <c r="Q56" s="139"/>
      <c r="R56" s="141">
        <v>33</v>
      </c>
      <c r="S56" s="139"/>
      <c r="T56" s="141">
        <v>8.8186</v>
      </c>
      <c r="U56" s="139"/>
      <c r="V56" s="138">
        <v>4013838</v>
      </c>
      <c r="W56" s="139"/>
      <c r="X56" s="142">
        <v>3988838</v>
      </c>
      <c r="Y56" s="139"/>
      <c r="Z56" s="138">
        <v>3923145</v>
      </c>
      <c r="AA56" s="139"/>
      <c r="AB56" s="138">
        <v>65693</v>
      </c>
      <c r="AC56" s="139"/>
      <c r="AD56" s="138">
        <v>114811</v>
      </c>
      <c r="AE56" s="139"/>
      <c r="AF56" s="138">
        <v>112835</v>
      </c>
      <c r="AG56" s="139"/>
      <c r="AH56" s="138">
        <v>1976</v>
      </c>
      <c r="AI56" s="139"/>
      <c r="AJ56" s="138">
        <v>739801</v>
      </c>
      <c r="AK56" s="139"/>
      <c r="AL56" s="138">
        <v>724288</v>
      </c>
      <c r="AM56" s="139"/>
      <c r="AN56" s="138">
        <v>21331</v>
      </c>
      <c r="AO56" s="139"/>
      <c r="AP56" s="143">
        <v>20981</v>
      </c>
      <c r="AQ56" s="139"/>
      <c r="AR56" s="138">
        <v>995049</v>
      </c>
      <c r="AS56" s="139"/>
      <c r="AT56" s="142">
        <v>32836617</v>
      </c>
      <c r="AU56" s="123"/>
      <c r="AV56" s="127">
        <v>179.8</v>
      </c>
      <c r="AW56" s="123" t="s">
        <v>1603</v>
      </c>
      <c r="AX56" s="123" t="s">
        <v>1743</v>
      </c>
    </row>
    <row r="57" spans="1:50">
      <c r="A57" s="123" t="s">
        <v>1753</v>
      </c>
      <c r="B57" s="123" t="s">
        <v>1682</v>
      </c>
      <c r="C57" s="123" t="s">
        <v>356</v>
      </c>
      <c r="D57" s="124">
        <v>4077</v>
      </c>
      <c r="E57" s="125">
        <v>40077</v>
      </c>
      <c r="F57" s="123" t="s">
        <v>1612</v>
      </c>
      <c r="G57" s="123" t="s">
        <v>1601</v>
      </c>
      <c r="H57" s="138">
        <v>5502379</v>
      </c>
      <c r="I57" s="139">
        <v>65</v>
      </c>
      <c r="J57" s="123" t="s">
        <v>1610</v>
      </c>
      <c r="K57" s="123" t="s">
        <v>1605</v>
      </c>
      <c r="L57" s="126">
        <v>43</v>
      </c>
      <c r="M57" s="123"/>
      <c r="N57" s="140">
        <v>10</v>
      </c>
      <c r="O57" s="139"/>
      <c r="P57" s="141">
        <v>27.9588</v>
      </c>
      <c r="Q57" s="139"/>
      <c r="R57" s="141">
        <v>27.164899999999999</v>
      </c>
      <c r="S57" s="139"/>
      <c r="T57" s="141">
        <v>31.171099999999999</v>
      </c>
      <c r="U57" s="139"/>
      <c r="V57" s="138">
        <v>3327000</v>
      </c>
      <c r="W57" s="139"/>
      <c r="X57" s="142">
        <v>3379135</v>
      </c>
      <c r="Y57" s="139"/>
      <c r="Z57" s="138">
        <v>3159070</v>
      </c>
      <c r="AA57" s="139"/>
      <c r="AB57" s="138">
        <v>220065</v>
      </c>
      <c r="AC57" s="139"/>
      <c r="AD57" s="138">
        <v>125765</v>
      </c>
      <c r="AE57" s="139"/>
      <c r="AF57" s="138">
        <v>112990</v>
      </c>
      <c r="AG57" s="139"/>
      <c r="AH57" s="138">
        <v>12775</v>
      </c>
      <c r="AI57" s="139"/>
      <c r="AJ57" s="138">
        <v>1016844</v>
      </c>
      <c r="AK57" s="139"/>
      <c r="AL57" s="138">
        <v>958905</v>
      </c>
      <c r="AM57" s="139"/>
      <c r="AN57" s="138">
        <v>37346</v>
      </c>
      <c r="AO57" s="139"/>
      <c r="AP57" s="143">
        <v>33681</v>
      </c>
      <c r="AQ57" s="139"/>
      <c r="AR57" s="138">
        <v>3522017</v>
      </c>
      <c r="AS57" s="139"/>
      <c r="AT57" s="142">
        <v>95675095</v>
      </c>
      <c r="AU57" s="123"/>
      <c r="AV57" s="127">
        <v>142.24</v>
      </c>
      <c r="AW57" s="123" t="s">
        <v>1603</v>
      </c>
      <c r="AX57" s="123" t="s">
        <v>1743</v>
      </c>
    </row>
    <row r="58" spans="1:50">
      <c r="A58" s="123" t="s">
        <v>1685</v>
      </c>
      <c r="B58" s="123" t="s">
        <v>1673</v>
      </c>
      <c r="C58" s="123" t="s">
        <v>379</v>
      </c>
      <c r="D58" s="124">
        <v>6111</v>
      </c>
      <c r="E58" s="125">
        <v>60111</v>
      </c>
      <c r="F58" s="123" t="s">
        <v>1612</v>
      </c>
      <c r="G58" s="123" t="s">
        <v>1601</v>
      </c>
      <c r="H58" s="138">
        <v>741318</v>
      </c>
      <c r="I58" s="139">
        <v>58</v>
      </c>
      <c r="J58" s="123" t="s">
        <v>1610</v>
      </c>
      <c r="K58" s="123" t="s">
        <v>1605</v>
      </c>
      <c r="L58" s="126">
        <v>25</v>
      </c>
      <c r="M58" s="123"/>
      <c r="N58" s="140">
        <v>7</v>
      </c>
      <c r="O58" s="139"/>
      <c r="P58" s="141">
        <v>37.376199999999997</v>
      </c>
      <c r="Q58" s="139"/>
      <c r="R58" s="141">
        <v>46.606200000000001</v>
      </c>
      <c r="S58" s="139"/>
      <c r="T58" s="141">
        <v>20.342199999999998</v>
      </c>
      <c r="U58" s="139"/>
      <c r="V58" s="138">
        <v>949106</v>
      </c>
      <c r="W58" s="139"/>
      <c r="X58" s="142">
        <v>965030</v>
      </c>
      <c r="Y58" s="139"/>
      <c r="Z58" s="138">
        <v>948235</v>
      </c>
      <c r="AA58" s="139"/>
      <c r="AB58" s="138">
        <v>16795</v>
      </c>
      <c r="AC58" s="139"/>
      <c r="AD58" s="138">
        <v>26411</v>
      </c>
      <c r="AE58" s="139"/>
      <c r="AF58" s="138">
        <v>25370</v>
      </c>
      <c r="AG58" s="139"/>
      <c r="AH58" s="138">
        <v>1041</v>
      </c>
      <c r="AI58" s="139"/>
      <c r="AJ58" s="138">
        <v>350454</v>
      </c>
      <c r="AK58" s="139"/>
      <c r="AL58" s="138">
        <v>318879</v>
      </c>
      <c r="AM58" s="139"/>
      <c r="AN58" s="138">
        <v>8899</v>
      </c>
      <c r="AO58" s="139"/>
      <c r="AP58" s="143">
        <v>8580</v>
      </c>
      <c r="AQ58" s="139"/>
      <c r="AR58" s="138">
        <v>516082</v>
      </c>
      <c r="AS58" s="139"/>
      <c r="AT58" s="142">
        <v>24052625</v>
      </c>
      <c r="AU58" s="123"/>
      <c r="AV58" s="127">
        <v>193.1</v>
      </c>
      <c r="AW58" s="123" t="s">
        <v>1603</v>
      </c>
      <c r="AX58" s="123" t="s">
        <v>1743</v>
      </c>
    </row>
    <row r="59" spans="1:50">
      <c r="A59" s="123" t="s">
        <v>1687</v>
      </c>
      <c r="B59" s="123" t="s">
        <v>1629</v>
      </c>
      <c r="C59" s="123" t="s">
        <v>1550</v>
      </c>
      <c r="D59" s="124">
        <v>4094</v>
      </c>
      <c r="E59" s="125">
        <v>40094</v>
      </c>
      <c r="F59" s="123" t="s">
        <v>1626</v>
      </c>
      <c r="G59" s="123" t="s">
        <v>1601</v>
      </c>
      <c r="H59" s="138">
        <v>2148346</v>
      </c>
      <c r="I59" s="139">
        <v>54</v>
      </c>
      <c r="J59" s="123" t="s">
        <v>1604</v>
      </c>
      <c r="K59" s="123" t="s">
        <v>1605</v>
      </c>
      <c r="L59" s="126">
        <v>32</v>
      </c>
      <c r="M59" s="123"/>
      <c r="N59" s="140">
        <v>8</v>
      </c>
      <c r="O59" s="139"/>
      <c r="P59" s="141">
        <v>18.242100000000001</v>
      </c>
      <c r="Q59" s="139"/>
      <c r="R59" s="141">
        <v>4.7439</v>
      </c>
      <c r="S59" s="139"/>
      <c r="T59" s="141">
        <v>48.951300000000003</v>
      </c>
      <c r="U59" s="139"/>
      <c r="V59" s="138">
        <v>1280494</v>
      </c>
      <c r="W59" s="139"/>
      <c r="X59" s="142">
        <v>1388955</v>
      </c>
      <c r="Y59" s="139"/>
      <c r="Z59" s="138">
        <v>1315913</v>
      </c>
      <c r="AA59" s="139"/>
      <c r="AB59" s="138">
        <v>73042</v>
      </c>
      <c r="AC59" s="139"/>
      <c r="AD59" s="138">
        <v>75239</v>
      </c>
      <c r="AE59" s="139"/>
      <c r="AF59" s="138">
        <v>72136</v>
      </c>
      <c r="AG59" s="139"/>
      <c r="AH59" s="138">
        <v>3103</v>
      </c>
      <c r="AI59" s="139"/>
      <c r="AJ59" s="138">
        <v>434149</v>
      </c>
      <c r="AK59" s="139"/>
      <c r="AL59" s="138">
        <v>411208</v>
      </c>
      <c r="AM59" s="139"/>
      <c r="AN59" s="138">
        <v>23224</v>
      </c>
      <c r="AO59" s="139"/>
      <c r="AP59" s="143">
        <v>22380</v>
      </c>
      <c r="AQ59" s="139"/>
      <c r="AR59" s="138">
        <v>3531150</v>
      </c>
      <c r="AS59" s="139"/>
      <c r="AT59" s="142">
        <v>16751299</v>
      </c>
      <c r="AU59" s="123"/>
      <c r="AV59" s="127">
        <v>20.62</v>
      </c>
      <c r="AW59" s="123" t="s">
        <v>1603</v>
      </c>
      <c r="AX59" s="123" t="s">
        <v>1743</v>
      </c>
    </row>
    <row r="60" spans="1:50">
      <c r="A60" s="123" t="s">
        <v>1686</v>
      </c>
      <c r="B60" s="123" t="s">
        <v>1669</v>
      </c>
      <c r="C60" s="123" t="s">
        <v>389</v>
      </c>
      <c r="D60" s="124">
        <v>4159</v>
      </c>
      <c r="E60" s="125">
        <v>40159</v>
      </c>
      <c r="F60" s="123" t="s">
        <v>1612</v>
      </c>
      <c r="G60" s="123" t="s">
        <v>1601</v>
      </c>
      <c r="H60" s="138">
        <v>969587</v>
      </c>
      <c r="I60" s="139">
        <v>46</v>
      </c>
      <c r="J60" s="123" t="s">
        <v>1610</v>
      </c>
      <c r="K60" s="123" t="s">
        <v>1605</v>
      </c>
      <c r="L60" s="126">
        <v>8</v>
      </c>
      <c r="M60" s="123"/>
      <c r="N60" s="140">
        <v>2</v>
      </c>
      <c r="O60" s="139"/>
      <c r="P60" s="141">
        <v>27.200099999999999</v>
      </c>
      <c r="Q60" s="139"/>
      <c r="R60" s="141">
        <v>15.894600000000001</v>
      </c>
      <c r="S60" s="139"/>
      <c r="T60" s="141">
        <v>31.578299999999999</v>
      </c>
      <c r="U60" s="139"/>
      <c r="V60" s="138">
        <v>185032</v>
      </c>
      <c r="W60" s="139"/>
      <c r="X60" s="142">
        <v>208873</v>
      </c>
      <c r="Y60" s="139"/>
      <c r="Z60" s="138">
        <v>184417</v>
      </c>
      <c r="AA60" s="139"/>
      <c r="AB60" s="138">
        <v>24456</v>
      </c>
      <c r="AC60" s="139"/>
      <c r="AD60" s="138">
        <v>9329</v>
      </c>
      <c r="AE60" s="139"/>
      <c r="AF60" s="138">
        <v>6780</v>
      </c>
      <c r="AG60" s="139"/>
      <c r="AH60" s="138">
        <v>2549</v>
      </c>
      <c r="AI60" s="139"/>
      <c r="AJ60" s="138">
        <v>80763</v>
      </c>
      <c r="AK60" s="139"/>
      <c r="AL60" s="138">
        <v>75873</v>
      </c>
      <c r="AM60" s="139"/>
      <c r="AN60" s="138">
        <v>3127</v>
      </c>
      <c r="AO60" s="139"/>
      <c r="AP60" s="143">
        <v>2616</v>
      </c>
      <c r="AQ60" s="139"/>
      <c r="AR60" s="138">
        <v>214101</v>
      </c>
      <c r="AS60" s="139"/>
      <c r="AT60" s="142">
        <v>3403059</v>
      </c>
      <c r="AU60" s="123"/>
      <c r="AV60" s="127">
        <v>62.8</v>
      </c>
      <c r="AW60" s="123" t="s">
        <v>1603</v>
      </c>
      <c r="AX60" s="123" t="s">
        <v>1743</v>
      </c>
    </row>
    <row r="61" spans="1:50">
      <c r="A61" s="123" t="s">
        <v>1754</v>
      </c>
      <c r="B61" s="123" t="s">
        <v>1690</v>
      </c>
      <c r="C61" s="123" t="s">
        <v>381</v>
      </c>
      <c r="D61" s="124">
        <v>2099</v>
      </c>
      <c r="E61" s="125">
        <v>20099</v>
      </c>
      <c r="F61" s="123" t="s">
        <v>1600</v>
      </c>
      <c r="G61" s="123" t="s">
        <v>1601</v>
      </c>
      <c r="H61" s="138">
        <v>18351295</v>
      </c>
      <c r="I61" s="139">
        <v>44</v>
      </c>
      <c r="J61" s="123" t="s">
        <v>1604</v>
      </c>
      <c r="K61" s="123" t="s">
        <v>1602</v>
      </c>
      <c r="L61" s="126">
        <v>44</v>
      </c>
      <c r="M61" s="123"/>
      <c r="N61" s="140">
        <v>11</v>
      </c>
      <c r="O61" s="139"/>
      <c r="P61" s="141">
        <v>14.9787</v>
      </c>
      <c r="Q61" s="139"/>
      <c r="R61" s="141">
        <v>6.2369000000000003</v>
      </c>
      <c r="S61" s="139"/>
      <c r="T61" s="141">
        <v>20.2651</v>
      </c>
      <c r="U61" s="139"/>
      <c r="V61" s="138">
        <v>2119585</v>
      </c>
      <c r="W61" s="139"/>
      <c r="X61" s="142">
        <v>2255067</v>
      </c>
      <c r="Y61" s="139"/>
      <c r="Z61" s="138">
        <v>2005981</v>
      </c>
      <c r="AA61" s="139"/>
      <c r="AB61" s="138">
        <v>249086</v>
      </c>
      <c r="AC61" s="139"/>
      <c r="AD61" s="138">
        <v>144198</v>
      </c>
      <c r="AE61" s="139"/>
      <c r="AF61" s="138">
        <v>133922</v>
      </c>
      <c r="AG61" s="139"/>
      <c r="AH61" s="138">
        <v>10276</v>
      </c>
      <c r="AI61" s="139"/>
      <c r="AJ61" s="138">
        <v>563767</v>
      </c>
      <c r="AK61" s="139"/>
      <c r="AL61" s="138">
        <v>501496</v>
      </c>
      <c r="AM61" s="139"/>
      <c r="AN61" s="138">
        <v>36049</v>
      </c>
      <c r="AO61" s="139"/>
      <c r="AP61" s="143">
        <v>33480</v>
      </c>
      <c r="AQ61" s="139"/>
      <c r="AR61" s="138">
        <v>2713941</v>
      </c>
      <c r="AS61" s="139"/>
      <c r="AT61" s="142">
        <v>16926538</v>
      </c>
      <c r="AU61" s="123"/>
      <c r="AV61" s="127">
        <v>28.6</v>
      </c>
      <c r="AW61" s="123" t="s">
        <v>1603</v>
      </c>
      <c r="AX61" s="123" t="s">
        <v>1743</v>
      </c>
    </row>
    <row r="62" spans="1:50">
      <c r="A62" s="123" t="s">
        <v>1688</v>
      </c>
      <c r="B62" s="123" t="s">
        <v>1689</v>
      </c>
      <c r="C62" s="123" t="s">
        <v>353</v>
      </c>
      <c r="D62" s="124">
        <v>1102</v>
      </c>
      <c r="E62" s="125">
        <v>10102</v>
      </c>
      <c r="F62" s="123" t="s">
        <v>1626</v>
      </c>
      <c r="G62" s="123" t="s">
        <v>1601</v>
      </c>
      <c r="H62" s="138">
        <v>924859</v>
      </c>
      <c r="I62" s="139">
        <v>43</v>
      </c>
      <c r="J62" s="123" t="s">
        <v>1610</v>
      </c>
      <c r="K62" s="123" t="s">
        <v>1605</v>
      </c>
      <c r="L62" s="126">
        <v>28</v>
      </c>
      <c r="M62" s="123"/>
      <c r="N62" s="140">
        <v>5</v>
      </c>
      <c r="O62" s="139"/>
      <c r="P62" s="141">
        <v>41.5304</v>
      </c>
      <c r="Q62" s="139"/>
      <c r="R62" s="141">
        <v>26.974699999999999</v>
      </c>
      <c r="S62" s="139"/>
      <c r="T62" s="141">
        <v>14.137</v>
      </c>
      <c r="U62" s="139"/>
      <c r="V62" s="138">
        <v>1532134</v>
      </c>
      <c r="W62" s="139"/>
      <c r="X62" s="142">
        <v>1717047</v>
      </c>
      <c r="Y62" s="139"/>
      <c r="Z62" s="138">
        <v>1403229</v>
      </c>
      <c r="AA62" s="139"/>
      <c r="AB62" s="138">
        <v>313818</v>
      </c>
      <c r="AC62" s="139"/>
      <c r="AD62" s="138">
        <v>40817</v>
      </c>
      <c r="AE62" s="139"/>
      <c r="AF62" s="138">
        <v>33788</v>
      </c>
      <c r="AG62" s="139"/>
      <c r="AH62" s="138">
        <v>7029</v>
      </c>
      <c r="AI62" s="139"/>
      <c r="AJ62" s="138">
        <v>501997</v>
      </c>
      <c r="AK62" s="139"/>
      <c r="AL62" s="138">
        <v>418641</v>
      </c>
      <c r="AM62" s="139"/>
      <c r="AN62" s="138">
        <v>11906</v>
      </c>
      <c r="AO62" s="139"/>
      <c r="AP62" s="143">
        <v>9943</v>
      </c>
      <c r="AQ62" s="139"/>
      <c r="AR62" s="138">
        <v>477660</v>
      </c>
      <c r="AS62" s="139"/>
      <c r="AT62" s="142">
        <v>12884750</v>
      </c>
      <c r="AU62" s="123"/>
      <c r="AV62" s="127">
        <v>101.2</v>
      </c>
      <c r="AW62" s="123" t="s">
        <v>1603</v>
      </c>
      <c r="AX62" s="123" t="s">
        <v>1743</v>
      </c>
    </row>
    <row r="63" spans="1:50">
      <c r="A63" s="123" t="s">
        <v>1692</v>
      </c>
      <c r="B63" s="123" t="s">
        <v>1639</v>
      </c>
      <c r="C63" s="123" t="s">
        <v>350</v>
      </c>
      <c r="D63" s="124">
        <v>9209</v>
      </c>
      <c r="E63" s="125">
        <v>90209</v>
      </c>
      <c r="F63" s="123" t="s">
        <v>1608</v>
      </c>
      <c r="G63" s="123" t="s">
        <v>1601</v>
      </c>
      <c r="H63" s="138">
        <v>3629114</v>
      </c>
      <c r="I63" s="139">
        <v>38</v>
      </c>
      <c r="J63" s="123" t="s">
        <v>1609</v>
      </c>
      <c r="K63" s="123" t="s">
        <v>1605</v>
      </c>
      <c r="L63" s="126">
        <v>38</v>
      </c>
      <c r="M63" s="123"/>
      <c r="N63" s="140">
        <v>17</v>
      </c>
      <c r="O63" s="139"/>
      <c r="P63" s="141">
        <v>15.732699999999999</v>
      </c>
      <c r="Q63" s="139"/>
      <c r="R63" s="141">
        <v>7.0598999999999998</v>
      </c>
      <c r="S63" s="139"/>
      <c r="T63" s="141">
        <v>59.326099999999997</v>
      </c>
      <c r="U63" s="139"/>
      <c r="V63" s="138">
        <v>3379368</v>
      </c>
      <c r="W63" s="139"/>
      <c r="X63" s="142">
        <v>3435184</v>
      </c>
      <c r="Y63" s="139"/>
      <c r="Z63" s="138">
        <v>3401452</v>
      </c>
      <c r="AA63" s="139"/>
      <c r="AB63" s="138">
        <v>33732</v>
      </c>
      <c r="AC63" s="139"/>
      <c r="AD63" s="138">
        <v>220467</v>
      </c>
      <c r="AE63" s="139"/>
      <c r="AF63" s="138">
        <v>216203</v>
      </c>
      <c r="AG63" s="139"/>
      <c r="AH63" s="138">
        <v>4264</v>
      </c>
      <c r="AI63" s="139"/>
      <c r="AJ63" s="138">
        <v>1639416</v>
      </c>
      <c r="AK63" s="139"/>
      <c r="AL63" s="138">
        <v>1623906</v>
      </c>
      <c r="AM63" s="139"/>
      <c r="AN63" s="138">
        <v>105253</v>
      </c>
      <c r="AO63" s="139"/>
      <c r="AP63" s="143">
        <v>103186</v>
      </c>
      <c r="AQ63" s="139"/>
      <c r="AR63" s="138">
        <v>12826471</v>
      </c>
      <c r="AS63" s="139"/>
      <c r="AT63" s="142">
        <v>90553779</v>
      </c>
      <c r="AU63" s="123"/>
      <c r="AV63" s="127">
        <v>54.48</v>
      </c>
      <c r="AW63" s="123" t="s">
        <v>1603</v>
      </c>
      <c r="AX63" s="123" t="s">
        <v>1743</v>
      </c>
    </row>
    <row r="64" spans="1:50">
      <c r="A64" s="123" t="s">
        <v>1693</v>
      </c>
      <c r="B64" s="123" t="s">
        <v>1678</v>
      </c>
      <c r="C64" s="123" t="s">
        <v>351</v>
      </c>
      <c r="D64" s="124">
        <v>9182</v>
      </c>
      <c r="E64" s="125">
        <v>90182</v>
      </c>
      <c r="F64" s="123" t="s">
        <v>1612</v>
      </c>
      <c r="G64" s="123" t="s">
        <v>1601</v>
      </c>
      <c r="H64" s="138">
        <v>370583</v>
      </c>
      <c r="I64" s="139">
        <v>35</v>
      </c>
      <c r="J64" s="123" t="s">
        <v>1610</v>
      </c>
      <c r="K64" s="123" t="s">
        <v>1605</v>
      </c>
      <c r="L64" s="126">
        <v>35</v>
      </c>
      <c r="M64" s="123"/>
      <c r="N64" s="140">
        <v>7</v>
      </c>
      <c r="O64" s="139"/>
      <c r="P64" s="141">
        <v>39.364699999999999</v>
      </c>
      <c r="Q64" s="139"/>
      <c r="R64" s="141">
        <v>43.7104</v>
      </c>
      <c r="S64" s="139"/>
      <c r="T64" s="141">
        <v>41.436999999999998</v>
      </c>
      <c r="U64" s="139"/>
      <c r="V64" s="138">
        <v>1050950</v>
      </c>
      <c r="W64" s="139"/>
      <c r="X64" s="142">
        <v>1050950</v>
      </c>
      <c r="Y64" s="139"/>
      <c r="Z64" s="138">
        <v>1008877</v>
      </c>
      <c r="AA64" s="139"/>
      <c r="AB64" s="138">
        <v>42073</v>
      </c>
      <c r="AC64" s="139"/>
      <c r="AD64" s="138">
        <v>31545</v>
      </c>
      <c r="AE64" s="139"/>
      <c r="AF64" s="138">
        <v>25629</v>
      </c>
      <c r="AG64" s="139"/>
      <c r="AH64" s="138">
        <v>5916</v>
      </c>
      <c r="AI64" s="139"/>
      <c r="AJ64" s="138">
        <v>168072</v>
      </c>
      <c r="AK64" s="139"/>
      <c r="AL64" s="138">
        <v>158131</v>
      </c>
      <c r="AM64" s="139"/>
      <c r="AN64" s="138">
        <v>4801</v>
      </c>
      <c r="AO64" s="139"/>
      <c r="AP64" s="143">
        <v>4126</v>
      </c>
      <c r="AQ64" s="139"/>
      <c r="AR64" s="138">
        <v>1061990</v>
      </c>
      <c r="AS64" s="139"/>
      <c r="AT64" s="142">
        <v>46419957</v>
      </c>
      <c r="AU64" s="123"/>
      <c r="AV64" s="127">
        <v>172</v>
      </c>
      <c r="AW64" s="123" t="s">
        <v>1603</v>
      </c>
      <c r="AX64" s="123" t="s">
        <v>1743</v>
      </c>
    </row>
    <row r="65" spans="1:50">
      <c r="A65" s="123" t="s">
        <v>1755</v>
      </c>
      <c r="B65" s="123" t="s">
        <v>1677</v>
      </c>
      <c r="C65" s="123" t="s">
        <v>356</v>
      </c>
      <c r="D65" s="124">
        <v>4232</v>
      </c>
      <c r="E65" s="125">
        <v>40232</v>
      </c>
      <c r="F65" s="123" t="s">
        <v>1626</v>
      </c>
      <c r="G65" s="123" t="s">
        <v>1601</v>
      </c>
      <c r="H65" s="138">
        <v>1510516</v>
      </c>
      <c r="I65" s="139">
        <v>25</v>
      </c>
      <c r="J65" s="123" t="s">
        <v>1610</v>
      </c>
      <c r="K65" s="123" t="s">
        <v>1605</v>
      </c>
      <c r="L65" s="126">
        <v>25</v>
      </c>
      <c r="M65" s="123"/>
      <c r="N65" s="140">
        <v>7</v>
      </c>
      <c r="O65" s="139"/>
      <c r="P65" s="141">
        <v>27.875299999999999</v>
      </c>
      <c r="Q65" s="139"/>
      <c r="R65" s="141">
        <v>16.655999999999999</v>
      </c>
      <c r="S65" s="139"/>
      <c r="T65" s="141">
        <v>36.110199999999999</v>
      </c>
      <c r="U65" s="139"/>
      <c r="V65" s="138">
        <v>961119</v>
      </c>
      <c r="W65" s="139"/>
      <c r="X65" s="142">
        <v>987220</v>
      </c>
      <c r="Y65" s="139"/>
      <c r="Z65" s="138">
        <v>959969</v>
      </c>
      <c r="AA65" s="139"/>
      <c r="AB65" s="138">
        <v>27251</v>
      </c>
      <c r="AC65" s="139"/>
      <c r="AD65" s="138">
        <v>35457</v>
      </c>
      <c r="AE65" s="139"/>
      <c r="AF65" s="138">
        <v>34438</v>
      </c>
      <c r="AG65" s="139"/>
      <c r="AH65" s="138">
        <v>1019</v>
      </c>
      <c r="AI65" s="139"/>
      <c r="AJ65" s="138">
        <v>486222</v>
      </c>
      <c r="AK65" s="139"/>
      <c r="AL65" s="138">
        <v>472840</v>
      </c>
      <c r="AM65" s="139"/>
      <c r="AN65" s="138">
        <v>17449</v>
      </c>
      <c r="AO65" s="139"/>
      <c r="AP65" s="143">
        <v>16961</v>
      </c>
      <c r="AQ65" s="139"/>
      <c r="AR65" s="138">
        <v>1243563</v>
      </c>
      <c r="AS65" s="139"/>
      <c r="AT65" s="142">
        <v>20712830</v>
      </c>
      <c r="AU65" s="123"/>
      <c r="AV65" s="127">
        <v>97.94</v>
      </c>
      <c r="AW65" s="123" t="s">
        <v>1603</v>
      </c>
      <c r="AX65" s="123" t="s">
        <v>1743</v>
      </c>
    </row>
    <row r="66" spans="1:50">
      <c r="A66" s="123" t="s">
        <v>1694</v>
      </c>
      <c r="B66" s="123" t="s">
        <v>1641</v>
      </c>
      <c r="C66" s="123" t="s">
        <v>368</v>
      </c>
      <c r="D66" s="124">
        <v>1115</v>
      </c>
      <c r="E66" s="125">
        <v>10115</v>
      </c>
      <c r="F66" s="123" t="s">
        <v>1612</v>
      </c>
      <c r="G66" s="123" t="s">
        <v>1601</v>
      </c>
      <c r="H66" s="138">
        <v>203914</v>
      </c>
      <c r="I66" s="139">
        <v>21</v>
      </c>
      <c r="J66" s="123" t="s">
        <v>1610</v>
      </c>
      <c r="K66" s="123" t="s">
        <v>1605</v>
      </c>
      <c r="L66" s="126">
        <v>21</v>
      </c>
      <c r="M66" s="123"/>
      <c r="N66" s="140">
        <v>3</v>
      </c>
      <c r="O66" s="139"/>
      <c r="P66" s="141">
        <v>31.0428</v>
      </c>
      <c r="Q66" s="139"/>
      <c r="R66" s="141">
        <v>80.967200000000005</v>
      </c>
      <c r="S66" s="139"/>
      <c r="T66" s="141">
        <v>6.5294999999999996</v>
      </c>
      <c r="U66" s="139"/>
      <c r="V66" s="138">
        <v>2681492</v>
      </c>
      <c r="W66" s="139"/>
      <c r="X66" s="142">
        <v>1974842</v>
      </c>
      <c r="Y66" s="139"/>
      <c r="Z66" s="138">
        <v>1962156</v>
      </c>
      <c r="AA66" s="139"/>
      <c r="AB66" s="138">
        <v>12686</v>
      </c>
      <c r="AC66" s="139"/>
      <c r="AD66" s="138">
        <v>64602</v>
      </c>
      <c r="AE66" s="139"/>
      <c r="AF66" s="138">
        <v>63208</v>
      </c>
      <c r="AG66" s="139"/>
      <c r="AH66" s="138">
        <v>1394</v>
      </c>
      <c r="AI66" s="139"/>
      <c r="AJ66" s="138">
        <v>394968</v>
      </c>
      <c r="AK66" s="139"/>
      <c r="AL66" s="138">
        <v>392431</v>
      </c>
      <c r="AM66" s="139"/>
      <c r="AN66" s="138">
        <v>12909</v>
      </c>
      <c r="AO66" s="139"/>
      <c r="AP66" s="143">
        <v>12630</v>
      </c>
      <c r="AQ66" s="139"/>
      <c r="AR66" s="138">
        <v>412718</v>
      </c>
      <c r="AS66" s="139"/>
      <c r="AT66" s="142">
        <v>33416609</v>
      </c>
      <c r="AU66" s="123"/>
      <c r="AV66" s="127">
        <v>287.60000000000002</v>
      </c>
      <c r="AW66" s="123" t="s">
        <v>1603</v>
      </c>
      <c r="AX66" s="123" t="s">
        <v>1743</v>
      </c>
    </row>
    <row r="67" spans="1:50">
      <c r="A67" s="123" t="s">
        <v>1691</v>
      </c>
      <c r="B67" s="123" t="s">
        <v>1676</v>
      </c>
      <c r="C67" s="123" t="s">
        <v>385</v>
      </c>
      <c r="D67" s="124">
        <v>3057</v>
      </c>
      <c r="E67" s="125">
        <v>30057</v>
      </c>
      <c r="F67" s="123" t="s">
        <v>1626</v>
      </c>
      <c r="G67" s="123" t="s">
        <v>1601</v>
      </c>
      <c r="H67" s="138">
        <v>5441567</v>
      </c>
      <c r="I67" s="139">
        <v>20</v>
      </c>
      <c r="J67" s="123" t="s">
        <v>1610</v>
      </c>
      <c r="K67" s="123" t="s">
        <v>1605</v>
      </c>
      <c r="L67" s="126">
        <v>20</v>
      </c>
      <c r="M67" s="123"/>
      <c r="N67" s="140">
        <v>2</v>
      </c>
      <c r="O67" s="139"/>
      <c r="P67" s="141">
        <v>56.726300000000002</v>
      </c>
      <c r="Q67" s="139"/>
      <c r="R67" s="141">
        <v>86.293899999999994</v>
      </c>
      <c r="S67" s="139"/>
      <c r="T67" s="141">
        <v>20.154699999999998</v>
      </c>
      <c r="U67" s="139"/>
      <c r="V67" s="138">
        <v>2195188</v>
      </c>
      <c r="W67" s="139"/>
      <c r="X67" s="142">
        <v>1628329</v>
      </c>
      <c r="Y67" s="139"/>
      <c r="Z67" s="138">
        <v>1628329</v>
      </c>
      <c r="AA67" s="139"/>
      <c r="AB67" s="138">
        <v>0</v>
      </c>
      <c r="AC67" s="139"/>
      <c r="AD67" s="138">
        <v>28705</v>
      </c>
      <c r="AE67" s="139"/>
      <c r="AF67" s="138">
        <v>28705</v>
      </c>
      <c r="AG67" s="139"/>
      <c r="AH67" s="138">
        <v>0</v>
      </c>
      <c r="AI67" s="139"/>
      <c r="AJ67" s="138">
        <v>325666</v>
      </c>
      <c r="AK67" s="139"/>
      <c r="AL67" s="138">
        <v>325666</v>
      </c>
      <c r="AM67" s="139"/>
      <c r="AN67" s="138">
        <v>5741</v>
      </c>
      <c r="AO67" s="139"/>
      <c r="AP67" s="143">
        <v>5741</v>
      </c>
      <c r="AQ67" s="139"/>
      <c r="AR67" s="138">
        <v>578541</v>
      </c>
      <c r="AS67" s="139"/>
      <c r="AT67" s="142">
        <v>49924566</v>
      </c>
      <c r="AU67" s="123"/>
      <c r="AV67" s="127">
        <v>144.4</v>
      </c>
      <c r="AW67" s="123" t="s">
        <v>1603</v>
      </c>
      <c r="AX67" s="123" t="s">
        <v>1743</v>
      </c>
    </row>
    <row r="68" spans="1:50">
      <c r="A68" s="123" t="s">
        <v>1696</v>
      </c>
      <c r="B68" s="123" t="s">
        <v>1695</v>
      </c>
      <c r="C68" s="123" t="s">
        <v>351</v>
      </c>
      <c r="D68" s="124"/>
      <c r="E68" s="125">
        <v>90299</v>
      </c>
      <c r="F68" s="123" t="s">
        <v>1612</v>
      </c>
      <c r="G68" s="123" t="s">
        <v>1601</v>
      </c>
      <c r="H68" s="138">
        <v>308231</v>
      </c>
      <c r="I68" s="139">
        <v>12</v>
      </c>
      <c r="J68" s="123" t="s">
        <v>1610</v>
      </c>
      <c r="K68" s="123" t="s">
        <v>1602</v>
      </c>
      <c r="L68" s="126">
        <v>12</v>
      </c>
      <c r="M68" s="123"/>
      <c r="N68" s="140">
        <v>4</v>
      </c>
      <c r="O68" s="139"/>
      <c r="P68" s="141">
        <v>28.331499999999998</v>
      </c>
      <c r="Q68" s="139"/>
      <c r="R68" s="141">
        <v>23.8338</v>
      </c>
      <c r="S68" s="139"/>
      <c r="T68" s="141">
        <v>19.559999999999999</v>
      </c>
      <c r="U68" s="139"/>
      <c r="V68" s="138">
        <v>857003</v>
      </c>
      <c r="W68" s="139"/>
      <c r="X68" s="142">
        <v>833350</v>
      </c>
      <c r="Y68" s="139"/>
      <c r="Z68" s="138">
        <v>821415</v>
      </c>
      <c r="AA68" s="139"/>
      <c r="AB68" s="138">
        <v>11935</v>
      </c>
      <c r="AC68" s="139"/>
      <c r="AD68" s="138">
        <v>30370</v>
      </c>
      <c r="AE68" s="139"/>
      <c r="AF68" s="138">
        <v>28993</v>
      </c>
      <c r="AG68" s="139"/>
      <c r="AH68" s="138">
        <v>1377</v>
      </c>
      <c r="AI68" s="139"/>
      <c r="AJ68" s="138">
        <v>389580</v>
      </c>
      <c r="AK68" s="139"/>
      <c r="AL68" s="138">
        <v>384000</v>
      </c>
      <c r="AM68" s="139"/>
      <c r="AN68" s="138">
        <v>14198</v>
      </c>
      <c r="AO68" s="139"/>
      <c r="AP68" s="143">
        <v>13554</v>
      </c>
      <c r="AQ68" s="139"/>
      <c r="AR68" s="138">
        <v>567103</v>
      </c>
      <c r="AS68" s="139"/>
      <c r="AT68" s="142">
        <v>13516234</v>
      </c>
      <c r="AU68" s="123"/>
      <c r="AV68" s="127">
        <v>90.1</v>
      </c>
      <c r="AW68" s="123" t="s">
        <v>1603</v>
      </c>
      <c r="AX68" s="123" t="s">
        <v>1743</v>
      </c>
    </row>
    <row r="71" spans="1:50">
      <c r="N71" s="144">
        <f>SUM(N2:N68)</f>
        <v>2748</v>
      </c>
    </row>
  </sheetData>
  <autoFilter ref="A1:AX1" xr:uid="{50A8C45A-5858-4D09-AFE0-B39F437E1794}"/>
  <conditionalFormatting sqref="A2:AX68">
    <cfRule type="expression" dxfId="3" priority="1">
      <formula>MOD(ROW(),2)=0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EF1CE-D4DB-42E5-B80A-5A6EC96AD923}">
  <dimension ref="A1:BG70"/>
  <sheetViews>
    <sheetView topLeftCell="C1" workbookViewId="0">
      <selection activeCell="AL23" sqref="AL23"/>
    </sheetView>
  </sheetViews>
  <sheetFormatPr defaultRowHeight="14.25"/>
  <cols>
    <col min="12" max="12" width="11.265625" customWidth="1"/>
    <col min="13" max="13" width="11.1328125" bestFit="1" customWidth="1"/>
    <col min="14" max="14" width="11.73046875" customWidth="1"/>
    <col min="25" max="25" width="12.73046875" customWidth="1"/>
    <col min="29" max="29" width="11.1328125" customWidth="1"/>
    <col min="40" max="40" width="11.1328125" customWidth="1"/>
  </cols>
  <sheetData>
    <row r="1" spans="1:59" ht="61.9">
      <c r="A1" s="163" t="s">
        <v>1551</v>
      </c>
      <c r="B1" s="163" t="s">
        <v>1552</v>
      </c>
      <c r="C1" s="164" t="s">
        <v>130</v>
      </c>
      <c r="D1" s="165" t="s">
        <v>1553</v>
      </c>
      <c r="E1" s="166" t="s">
        <v>1554</v>
      </c>
      <c r="F1" s="167" t="s">
        <v>1555</v>
      </c>
      <c r="G1" s="168" t="s">
        <v>1557</v>
      </c>
      <c r="H1" s="168" t="s">
        <v>1558</v>
      </c>
      <c r="I1" s="167" t="s">
        <v>1549</v>
      </c>
      <c r="J1" s="167" t="s">
        <v>1756</v>
      </c>
      <c r="K1" s="167" t="s">
        <v>1560</v>
      </c>
      <c r="L1" s="167" t="s">
        <v>1757</v>
      </c>
      <c r="M1" s="168" t="s">
        <v>1758</v>
      </c>
      <c r="N1" s="168" t="s">
        <v>1759</v>
      </c>
      <c r="O1" s="168" t="s">
        <v>1760</v>
      </c>
      <c r="P1" s="168" t="s">
        <v>1761</v>
      </c>
      <c r="Q1" s="168" t="s">
        <v>1762</v>
      </c>
      <c r="R1" s="168" t="s">
        <v>1763</v>
      </c>
      <c r="S1" s="168" t="s">
        <v>1764</v>
      </c>
      <c r="T1" s="168" t="s">
        <v>1765</v>
      </c>
      <c r="U1" s="168" t="s">
        <v>1766</v>
      </c>
      <c r="V1" s="168" t="s">
        <v>1767</v>
      </c>
      <c r="W1" s="168" t="s">
        <v>1768</v>
      </c>
      <c r="X1" s="168" t="s">
        <v>1769</v>
      </c>
      <c r="Y1" s="168" t="s">
        <v>1770</v>
      </c>
      <c r="Z1" s="168" t="s">
        <v>1771</v>
      </c>
      <c r="AA1" s="168" t="s">
        <v>1772</v>
      </c>
      <c r="AB1" s="168" t="s">
        <v>1773</v>
      </c>
      <c r="AC1" s="169" t="s">
        <v>1774</v>
      </c>
      <c r="AD1" s="170" t="s">
        <v>1775</v>
      </c>
      <c r="AE1" s="170" t="s">
        <v>1776</v>
      </c>
      <c r="AF1" s="170" t="s">
        <v>1777</v>
      </c>
      <c r="AG1" s="170" t="s">
        <v>1778</v>
      </c>
      <c r="AH1" s="170" t="s">
        <v>1779</v>
      </c>
      <c r="AI1" s="170" t="s">
        <v>1780</v>
      </c>
      <c r="AJ1" s="170" t="s">
        <v>1781</v>
      </c>
      <c r="AK1" s="170" t="s">
        <v>1782</v>
      </c>
      <c r="AL1" s="170" t="s">
        <v>1783</v>
      </c>
      <c r="AM1" s="170" t="s">
        <v>1784</v>
      </c>
      <c r="AN1" s="170" t="s">
        <v>1785</v>
      </c>
      <c r="AO1" s="170" t="s">
        <v>1786</v>
      </c>
      <c r="AP1" s="170" t="s">
        <v>1787</v>
      </c>
      <c r="AQ1" s="170" t="s">
        <v>1788</v>
      </c>
      <c r="AR1" s="171" t="s">
        <v>1789</v>
      </c>
      <c r="AS1" s="172" t="s">
        <v>1790</v>
      </c>
      <c r="AT1" s="172" t="s">
        <v>1791</v>
      </c>
      <c r="AU1" s="172" t="s">
        <v>1792</v>
      </c>
      <c r="AV1" s="172" t="s">
        <v>1793</v>
      </c>
      <c r="AW1" s="172" t="s">
        <v>1794</v>
      </c>
      <c r="AX1" s="172" t="s">
        <v>1795</v>
      </c>
      <c r="AY1" s="172" t="s">
        <v>1796</v>
      </c>
      <c r="AZ1" s="172" t="s">
        <v>1797</v>
      </c>
      <c r="BA1" s="172" t="s">
        <v>1798</v>
      </c>
      <c r="BB1" s="172" t="s">
        <v>1799</v>
      </c>
      <c r="BC1" s="172" t="s">
        <v>1800</v>
      </c>
      <c r="BD1" s="172" t="s">
        <v>1801</v>
      </c>
      <c r="BE1" s="172" t="s">
        <v>1802</v>
      </c>
      <c r="BF1" s="172" t="s">
        <v>1803</v>
      </c>
      <c r="BG1" s="167" t="s">
        <v>1804</v>
      </c>
    </row>
    <row r="2" spans="1:59">
      <c r="A2" s="173" t="s">
        <v>1599</v>
      </c>
      <c r="B2" s="173" t="s">
        <v>1697</v>
      </c>
      <c r="C2" s="174" t="s">
        <v>381</v>
      </c>
      <c r="D2" s="175">
        <v>2008</v>
      </c>
      <c r="E2" s="176">
        <v>20008</v>
      </c>
      <c r="F2" s="174" t="s">
        <v>1600</v>
      </c>
      <c r="G2" s="177">
        <v>18351295</v>
      </c>
      <c r="H2" s="178">
        <v>10427</v>
      </c>
      <c r="I2" s="174" t="s">
        <v>1604</v>
      </c>
      <c r="J2" s="179" t="s">
        <v>1602</v>
      </c>
      <c r="K2" s="179">
        <v>5413</v>
      </c>
      <c r="L2" s="180"/>
      <c r="M2" s="181">
        <v>0</v>
      </c>
      <c r="N2" s="181"/>
      <c r="O2" s="181">
        <v>0</v>
      </c>
      <c r="P2" s="181"/>
      <c r="Q2" s="181">
        <v>0</v>
      </c>
      <c r="R2" s="181"/>
      <c r="S2" s="181">
        <v>0</v>
      </c>
      <c r="T2" s="181"/>
      <c r="U2" s="181">
        <v>0</v>
      </c>
      <c r="V2" s="181"/>
      <c r="W2" s="181">
        <v>0</v>
      </c>
      <c r="X2" s="181"/>
      <c r="Y2" s="181">
        <v>1596235000</v>
      </c>
      <c r="Z2" s="181"/>
      <c r="AA2" s="178">
        <v>0</v>
      </c>
      <c r="AB2" s="182"/>
      <c r="AC2" s="183"/>
      <c r="AD2" s="182">
        <v>0</v>
      </c>
      <c r="AE2" s="182"/>
      <c r="AF2" s="182">
        <v>0</v>
      </c>
      <c r="AG2" s="182"/>
      <c r="AH2" s="182">
        <v>0</v>
      </c>
      <c r="AI2" s="182"/>
      <c r="AJ2" s="182">
        <v>0</v>
      </c>
      <c r="AK2" s="182"/>
      <c r="AL2" s="182">
        <v>0</v>
      </c>
      <c r="AM2" s="182"/>
      <c r="AN2" s="182">
        <v>335497633</v>
      </c>
      <c r="AO2" s="182"/>
      <c r="AP2" s="182">
        <v>0</v>
      </c>
      <c r="AQ2" s="173"/>
      <c r="AR2" s="184"/>
      <c r="AS2" s="185"/>
      <c r="AT2" s="185"/>
      <c r="AU2" s="185"/>
      <c r="AV2" s="185"/>
      <c r="AW2" s="185"/>
      <c r="AX2" s="185"/>
      <c r="AY2" s="185"/>
      <c r="AZ2" s="185"/>
      <c r="BA2" s="185"/>
      <c r="BB2" s="185"/>
      <c r="BC2" s="185">
        <v>0.2102</v>
      </c>
      <c r="BD2" s="185"/>
      <c r="BE2" s="185"/>
      <c r="BF2" s="173"/>
      <c r="BG2" s="173" t="s">
        <v>1743</v>
      </c>
    </row>
    <row r="3" spans="1:59">
      <c r="A3" s="173" t="s">
        <v>1606</v>
      </c>
      <c r="B3" s="173" t="s">
        <v>1607</v>
      </c>
      <c r="C3" s="174" t="s">
        <v>378</v>
      </c>
      <c r="D3" s="175">
        <v>2080</v>
      </c>
      <c r="E3" s="176">
        <v>20080</v>
      </c>
      <c r="F3" s="174" t="s">
        <v>1608</v>
      </c>
      <c r="G3" s="177">
        <v>18351295</v>
      </c>
      <c r="H3" s="178">
        <v>3646</v>
      </c>
      <c r="I3" s="174" t="s">
        <v>1610</v>
      </c>
      <c r="J3" s="179" t="s">
        <v>1602</v>
      </c>
      <c r="K3" s="179">
        <v>904</v>
      </c>
      <c r="L3" s="180"/>
      <c r="M3" s="181">
        <v>13166567</v>
      </c>
      <c r="N3" s="181"/>
      <c r="O3" s="181">
        <v>0</v>
      </c>
      <c r="P3" s="181"/>
      <c r="Q3" s="181">
        <v>0</v>
      </c>
      <c r="R3" s="181"/>
      <c r="S3" s="181">
        <v>0</v>
      </c>
      <c r="T3" s="181"/>
      <c r="U3" s="181">
        <v>0</v>
      </c>
      <c r="V3" s="181"/>
      <c r="W3" s="181">
        <v>0</v>
      </c>
      <c r="X3" s="181"/>
      <c r="Y3" s="181">
        <v>359673989</v>
      </c>
      <c r="Z3" s="181"/>
      <c r="AA3" s="178">
        <v>0</v>
      </c>
      <c r="AB3" s="182"/>
      <c r="AC3" s="183"/>
      <c r="AD3" s="182">
        <v>2485889</v>
      </c>
      <c r="AE3" s="182"/>
      <c r="AF3" s="182">
        <v>0</v>
      </c>
      <c r="AG3" s="182"/>
      <c r="AH3" s="182">
        <v>0</v>
      </c>
      <c r="AI3" s="182"/>
      <c r="AJ3" s="182">
        <v>0</v>
      </c>
      <c r="AK3" s="182"/>
      <c r="AL3" s="182">
        <v>1663636</v>
      </c>
      <c r="AM3" s="182"/>
      <c r="AN3" s="182">
        <v>8381067</v>
      </c>
      <c r="AO3" s="182"/>
      <c r="AP3" s="182">
        <v>0</v>
      </c>
      <c r="AQ3" s="173"/>
      <c r="AR3" s="184"/>
      <c r="AS3" s="185">
        <v>0.1888</v>
      </c>
      <c r="AT3" s="185"/>
      <c r="AU3" s="185"/>
      <c r="AV3" s="185"/>
      <c r="AW3" s="185"/>
      <c r="AX3" s="185"/>
      <c r="AY3" s="185"/>
      <c r="AZ3" s="185"/>
      <c r="BA3" s="185"/>
      <c r="BB3" s="185"/>
      <c r="BC3" s="185">
        <v>2.3300000000000001E-2</v>
      </c>
      <c r="BD3" s="185"/>
      <c r="BE3" s="185"/>
      <c r="BF3" s="173"/>
      <c r="BG3" s="173" t="s">
        <v>1743</v>
      </c>
    </row>
    <row r="4" spans="1:59">
      <c r="A4" s="173" t="s">
        <v>1606</v>
      </c>
      <c r="B4" s="173" t="s">
        <v>1607</v>
      </c>
      <c r="C4" s="174" t="s">
        <v>378</v>
      </c>
      <c r="D4" s="175">
        <v>2080</v>
      </c>
      <c r="E4" s="176">
        <v>20080</v>
      </c>
      <c r="F4" s="174" t="s">
        <v>1608</v>
      </c>
      <c r="G4" s="177">
        <v>18351295</v>
      </c>
      <c r="H4" s="178">
        <v>3646</v>
      </c>
      <c r="I4" s="174" t="s">
        <v>1609</v>
      </c>
      <c r="J4" s="179" t="s">
        <v>1605</v>
      </c>
      <c r="K4" s="179">
        <v>42</v>
      </c>
      <c r="L4" s="180"/>
      <c r="M4" s="181">
        <v>0</v>
      </c>
      <c r="N4" s="181"/>
      <c r="O4" s="181">
        <v>0</v>
      </c>
      <c r="P4" s="181"/>
      <c r="Q4" s="181">
        <v>0</v>
      </c>
      <c r="R4" s="181"/>
      <c r="S4" s="181">
        <v>0</v>
      </c>
      <c r="T4" s="181"/>
      <c r="U4" s="181">
        <v>0</v>
      </c>
      <c r="V4" s="181"/>
      <c r="W4" s="181">
        <v>0</v>
      </c>
      <c r="X4" s="181"/>
      <c r="Y4" s="181">
        <v>27163871</v>
      </c>
      <c r="Z4" s="181"/>
      <c r="AA4" s="178">
        <v>0</v>
      </c>
      <c r="AB4" s="182"/>
      <c r="AC4" s="183"/>
      <c r="AD4" s="182">
        <v>0</v>
      </c>
      <c r="AE4" s="182"/>
      <c r="AF4" s="182">
        <v>0</v>
      </c>
      <c r="AG4" s="182"/>
      <c r="AH4" s="182">
        <v>0</v>
      </c>
      <c r="AI4" s="182"/>
      <c r="AJ4" s="182">
        <v>0</v>
      </c>
      <c r="AK4" s="182"/>
      <c r="AL4" s="182">
        <v>0</v>
      </c>
      <c r="AM4" s="182"/>
      <c r="AN4" s="182">
        <v>2073346</v>
      </c>
      <c r="AO4" s="182"/>
      <c r="AP4" s="182">
        <v>0</v>
      </c>
      <c r="AQ4" s="173"/>
      <c r="AR4" s="184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>
        <v>7.6300000000000007E-2</v>
      </c>
      <c r="BD4" s="185"/>
      <c r="BE4" s="185"/>
      <c r="BF4" s="173"/>
      <c r="BG4" s="173" t="s">
        <v>1743</v>
      </c>
    </row>
    <row r="5" spans="1:59">
      <c r="A5" s="173" t="s">
        <v>1606</v>
      </c>
      <c r="B5" s="173" t="s">
        <v>1607</v>
      </c>
      <c r="C5" s="174" t="s">
        <v>378</v>
      </c>
      <c r="D5" s="175">
        <v>2080</v>
      </c>
      <c r="E5" s="176">
        <v>20080</v>
      </c>
      <c r="F5" s="174" t="s">
        <v>1608</v>
      </c>
      <c r="G5" s="177">
        <v>18351295</v>
      </c>
      <c r="H5" s="178">
        <v>3646</v>
      </c>
      <c r="I5" s="174" t="s">
        <v>1609</v>
      </c>
      <c r="J5" s="179" t="s">
        <v>1602</v>
      </c>
      <c r="K5" s="179">
        <v>15</v>
      </c>
      <c r="L5" s="180"/>
      <c r="M5" s="181">
        <v>0</v>
      </c>
      <c r="N5" s="181"/>
      <c r="O5" s="181">
        <v>0</v>
      </c>
      <c r="P5" s="181"/>
      <c r="Q5" s="181">
        <v>0</v>
      </c>
      <c r="R5" s="181"/>
      <c r="S5" s="181">
        <v>0</v>
      </c>
      <c r="T5" s="181"/>
      <c r="U5" s="181">
        <v>0</v>
      </c>
      <c r="V5" s="181"/>
      <c r="W5" s="181">
        <v>0</v>
      </c>
      <c r="X5" s="181"/>
      <c r="Y5" s="181">
        <v>6694675</v>
      </c>
      <c r="Z5" s="181"/>
      <c r="AA5" s="178">
        <v>0</v>
      </c>
      <c r="AB5" s="182"/>
      <c r="AC5" s="183"/>
      <c r="AD5" s="182">
        <v>0</v>
      </c>
      <c r="AE5" s="182"/>
      <c r="AF5" s="182">
        <v>0</v>
      </c>
      <c r="AG5" s="182"/>
      <c r="AH5" s="182">
        <v>0</v>
      </c>
      <c r="AI5" s="182"/>
      <c r="AJ5" s="182">
        <v>0</v>
      </c>
      <c r="AK5" s="182"/>
      <c r="AL5" s="182">
        <v>0</v>
      </c>
      <c r="AM5" s="182"/>
      <c r="AN5" s="182">
        <v>492775</v>
      </c>
      <c r="AO5" s="182"/>
      <c r="AP5" s="182">
        <v>0</v>
      </c>
      <c r="AQ5" s="173"/>
      <c r="AR5" s="184"/>
      <c r="AS5" s="185"/>
      <c r="AT5" s="185"/>
      <c r="AU5" s="185"/>
      <c r="AV5" s="185"/>
      <c r="AW5" s="185"/>
      <c r="AX5" s="185"/>
      <c r="AY5" s="185"/>
      <c r="AZ5" s="185"/>
      <c r="BA5" s="185"/>
      <c r="BB5" s="185"/>
      <c r="BC5" s="185">
        <v>7.3599999999999999E-2</v>
      </c>
      <c r="BD5" s="185"/>
      <c r="BE5" s="185"/>
      <c r="BF5" s="173"/>
      <c r="BG5" s="173" t="s">
        <v>1743</v>
      </c>
    </row>
    <row r="6" spans="1:59">
      <c r="A6" s="173" t="s">
        <v>1744</v>
      </c>
      <c r="B6" s="173" t="s">
        <v>1611</v>
      </c>
      <c r="C6" s="174" t="s">
        <v>351</v>
      </c>
      <c r="D6" s="175">
        <v>9154</v>
      </c>
      <c r="E6" s="176">
        <v>90154</v>
      </c>
      <c r="F6" s="174" t="s">
        <v>1612</v>
      </c>
      <c r="G6" s="177">
        <v>12150996</v>
      </c>
      <c r="H6" s="178">
        <v>3482</v>
      </c>
      <c r="I6" s="174" t="s">
        <v>1604</v>
      </c>
      <c r="J6" s="179" t="s">
        <v>1602</v>
      </c>
      <c r="K6" s="179">
        <v>68</v>
      </c>
      <c r="L6" s="180"/>
      <c r="M6" s="181">
        <v>0</v>
      </c>
      <c r="N6" s="181"/>
      <c r="O6" s="181">
        <v>0</v>
      </c>
      <c r="P6" s="181"/>
      <c r="Q6" s="181">
        <v>0</v>
      </c>
      <c r="R6" s="181"/>
      <c r="S6" s="181">
        <v>0</v>
      </c>
      <c r="T6" s="181"/>
      <c r="U6" s="181">
        <v>0</v>
      </c>
      <c r="V6" s="181"/>
      <c r="W6" s="181">
        <v>0</v>
      </c>
      <c r="X6" s="181"/>
      <c r="Y6" s="181">
        <v>82163176</v>
      </c>
      <c r="Z6" s="181"/>
      <c r="AA6" s="178">
        <v>0</v>
      </c>
      <c r="AB6" s="182"/>
      <c r="AC6" s="183"/>
      <c r="AD6" s="182">
        <v>0</v>
      </c>
      <c r="AE6" s="182"/>
      <c r="AF6" s="182">
        <v>0</v>
      </c>
      <c r="AG6" s="182"/>
      <c r="AH6" s="182">
        <v>0</v>
      </c>
      <c r="AI6" s="182"/>
      <c r="AJ6" s="182">
        <v>0</v>
      </c>
      <c r="AK6" s="182"/>
      <c r="AL6" s="182">
        <v>0</v>
      </c>
      <c r="AM6" s="182"/>
      <c r="AN6" s="182">
        <v>6909214</v>
      </c>
      <c r="AO6" s="182"/>
      <c r="AP6" s="182">
        <v>0</v>
      </c>
      <c r="AQ6" s="173"/>
      <c r="AR6" s="184"/>
      <c r="AS6" s="185"/>
      <c r="AT6" s="185"/>
      <c r="AU6" s="185"/>
      <c r="AV6" s="185"/>
      <c r="AW6" s="185"/>
      <c r="AX6" s="185"/>
      <c r="AY6" s="185"/>
      <c r="AZ6" s="185"/>
      <c r="BA6" s="185"/>
      <c r="BB6" s="185"/>
      <c r="BC6" s="185">
        <v>8.4099999999999994E-2</v>
      </c>
      <c r="BD6" s="185"/>
      <c r="BE6" s="185"/>
      <c r="BF6" s="173"/>
      <c r="BG6" s="173" t="s">
        <v>1743</v>
      </c>
    </row>
    <row r="7" spans="1:59">
      <c r="A7" s="173" t="s">
        <v>1744</v>
      </c>
      <c r="B7" s="173" t="s">
        <v>1611</v>
      </c>
      <c r="C7" s="174" t="s">
        <v>351</v>
      </c>
      <c r="D7" s="175">
        <v>9154</v>
      </c>
      <c r="E7" s="176">
        <v>90154</v>
      </c>
      <c r="F7" s="174" t="s">
        <v>1612</v>
      </c>
      <c r="G7" s="177">
        <v>12150996</v>
      </c>
      <c r="H7" s="178">
        <v>3482</v>
      </c>
      <c r="I7" s="174" t="s">
        <v>1609</v>
      </c>
      <c r="J7" s="179" t="s">
        <v>1602</v>
      </c>
      <c r="K7" s="179">
        <v>203</v>
      </c>
      <c r="L7" s="180"/>
      <c r="M7" s="181">
        <v>0</v>
      </c>
      <c r="N7" s="181"/>
      <c r="O7" s="181">
        <v>0</v>
      </c>
      <c r="P7" s="181"/>
      <c r="Q7" s="181">
        <v>0</v>
      </c>
      <c r="R7" s="181"/>
      <c r="S7" s="181">
        <v>0</v>
      </c>
      <c r="T7" s="181"/>
      <c r="U7" s="181">
        <v>0</v>
      </c>
      <c r="V7" s="181"/>
      <c r="W7" s="181">
        <v>0</v>
      </c>
      <c r="X7" s="181"/>
      <c r="Y7" s="181">
        <v>144995154</v>
      </c>
      <c r="Z7" s="181"/>
      <c r="AA7" s="178">
        <v>0</v>
      </c>
      <c r="AB7" s="182"/>
      <c r="AC7" s="183"/>
      <c r="AD7" s="182">
        <v>0</v>
      </c>
      <c r="AE7" s="182"/>
      <c r="AF7" s="182">
        <v>0</v>
      </c>
      <c r="AG7" s="182"/>
      <c r="AH7" s="182">
        <v>0</v>
      </c>
      <c r="AI7" s="182"/>
      <c r="AJ7" s="182">
        <v>0</v>
      </c>
      <c r="AK7" s="182"/>
      <c r="AL7" s="182">
        <v>0</v>
      </c>
      <c r="AM7" s="182"/>
      <c r="AN7" s="182">
        <v>16469107</v>
      </c>
      <c r="AO7" s="182"/>
      <c r="AP7" s="182">
        <v>0</v>
      </c>
      <c r="AQ7" s="173"/>
      <c r="AR7" s="184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85">
        <v>0.11360000000000001</v>
      </c>
      <c r="BD7" s="185"/>
      <c r="BE7" s="185"/>
      <c r="BF7" s="173"/>
      <c r="BG7" s="173" t="s">
        <v>1743</v>
      </c>
    </row>
    <row r="8" spans="1:59">
      <c r="A8" s="173" t="s">
        <v>1613</v>
      </c>
      <c r="B8" s="173" t="s">
        <v>128</v>
      </c>
      <c r="C8" s="174" t="s">
        <v>354</v>
      </c>
      <c r="D8" s="175">
        <v>3030</v>
      </c>
      <c r="E8" s="176">
        <v>30030</v>
      </c>
      <c r="F8" s="174" t="s">
        <v>1612</v>
      </c>
      <c r="G8" s="177">
        <v>4586770</v>
      </c>
      <c r="H8" s="178">
        <v>3304</v>
      </c>
      <c r="I8" s="174" t="s">
        <v>1604</v>
      </c>
      <c r="J8" s="179" t="s">
        <v>1602</v>
      </c>
      <c r="K8" s="179">
        <v>998</v>
      </c>
      <c r="L8" s="180"/>
      <c r="M8" s="181">
        <v>0</v>
      </c>
      <c r="N8" s="181"/>
      <c r="O8" s="181">
        <v>0</v>
      </c>
      <c r="P8" s="181"/>
      <c r="Q8" s="181">
        <v>0</v>
      </c>
      <c r="R8" s="181"/>
      <c r="S8" s="181">
        <v>0</v>
      </c>
      <c r="T8" s="181"/>
      <c r="U8" s="181">
        <v>0</v>
      </c>
      <c r="V8" s="181"/>
      <c r="W8" s="181">
        <v>0</v>
      </c>
      <c r="X8" s="181"/>
      <c r="Y8" s="181">
        <v>576455528</v>
      </c>
      <c r="Z8" s="181"/>
      <c r="AA8" s="178">
        <v>0</v>
      </c>
      <c r="AB8" s="182"/>
      <c r="AC8" s="183"/>
      <c r="AD8" s="182">
        <v>0</v>
      </c>
      <c r="AE8" s="182"/>
      <c r="AF8" s="182">
        <v>0</v>
      </c>
      <c r="AG8" s="182"/>
      <c r="AH8" s="182">
        <v>0</v>
      </c>
      <c r="AI8" s="182"/>
      <c r="AJ8" s="182">
        <v>0</v>
      </c>
      <c r="AK8" s="182"/>
      <c r="AL8" s="182">
        <v>0</v>
      </c>
      <c r="AM8" s="182"/>
      <c r="AN8" s="182">
        <v>64920984</v>
      </c>
      <c r="AO8" s="182"/>
      <c r="AP8" s="182">
        <v>0</v>
      </c>
      <c r="AQ8" s="173"/>
      <c r="AR8" s="184"/>
      <c r="AS8" s="185"/>
      <c r="AT8" s="185"/>
      <c r="AU8" s="185"/>
      <c r="AV8" s="185"/>
      <c r="AW8" s="185"/>
      <c r="AX8" s="185"/>
      <c r="AY8" s="185"/>
      <c r="AZ8" s="185"/>
      <c r="BA8" s="185"/>
      <c r="BB8" s="185"/>
      <c r="BC8" s="185">
        <v>0.11260000000000001</v>
      </c>
      <c r="BD8" s="185"/>
      <c r="BE8" s="185"/>
      <c r="BF8" s="173"/>
      <c r="BG8" s="173" t="s">
        <v>1743</v>
      </c>
    </row>
    <row r="9" spans="1:59">
      <c r="A9" s="173" t="s">
        <v>1617</v>
      </c>
      <c r="B9" s="173" t="s">
        <v>1618</v>
      </c>
      <c r="C9" s="174" t="s">
        <v>361</v>
      </c>
      <c r="D9" s="175">
        <v>5066</v>
      </c>
      <c r="E9" s="176">
        <v>50066</v>
      </c>
      <c r="F9" s="174" t="s">
        <v>1612</v>
      </c>
      <c r="G9" s="177">
        <v>8608208</v>
      </c>
      <c r="H9" s="178">
        <v>2703</v>
      </c>
      <c r="I9" s="174" t="s">
        <v>1604</v>
      </c>
      <c r="J9" s="179" t="s">
        <v>1602</v>
      </c>
      <c r="K9" s="179">
        <v>1148</v>
      </c>
      <c r="L9" s="180"/>
      <c r="M9" s="181">
        <v>0</v>
      </c>
      <c r="N9" s="181"/>
      <c r="O9" s="181">
        <v>0</v>
      </c>
      <c r="P9" s="181"/>
      <c r="Q9" s="181">
        <v>0</v>
      </c>
      <c r="R9" s="181"/>
      <c r="S9" s="181">
        <v>0</v>
      </c>
      <c r="T9" s="181"/>
      <c r="U9" s="181">
        <v>0</v>
      </c>
      <c r="V9" s="181"/>
      <c r="W9" s="181">
        <v>0</v>
      </c>
      <c r="X9" s="181"/>
      <c r="Y9" s="181">
        <v>366545522</v>
      </c>
      <c r="Z9" s="181"/>
      <c r="AA9" s="178">
        <v>0</v>
      </c>
      <c r="AB9" s="182"/>
      <c r="AC9" s="183"/>
      <c r="AD9" s="182">
        <v>0</v>
      </c>
      <c r="AE9" s="182"/>
      <c r="AF9" s="182">
        <v>0</v>
      </c>
      <c r="AG9" s="182"/>
      <c r="AH9" s="182">
        <v>0</v>
      </c>
      <c r="AI9" s="182"/>
      <c r="AJ9" s="182">
        <v>0</v>
      </c>
      <c r="AK9" s="182"/>
      <c r="AL9" s="182">
        <v>0</v>
      </c>
      <c r="AM9" s="182"/>
      <c r="AN9" s="182">
        <v>63157258</v>
      </c>
      <c r="AO9" s="182"/>
      <c r="AP9" s="182">
        <v>0</v>
      </c>
      <c r="AQ9" s="173"/>
      <c r="AR9" s="184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85">
        <v>0.17230000000000001</v>
      </c>
      <c r="BD9" s="185"/>
      <c r="BE9" s="185"/>
      <c r="BF9" s="173"/>
      <c r="BG9" s="173" t="s">
        <v>1743</v>
      </c>
    </row>
    <row r="10" spans="1:59">
      <c r="A10" s="173" t="s">
        <v>1619</v>
      </c>
      <c r="B10" s="173" t="s">
        <v>1620</v>
      </c>
      <c r="C10" s="174" t="s">
        <v>366</v>
      </c>
      <c r="D10" s="175">
        <v>1003</v>
      </c>
      <c r="E10" s="176">
        <v>10003</v>
      </c>
      <c r="F10" s="174" t="s">
        <v>1612</v>
      </c>
      <c r="G10" s="177">
        <v>4181019</v>
      </c>
      <c r="H10" s="178">
        <v>2428</v>
      </c>
      <c r="I10" s="174" t="s">
        <v>1610</v>
      </c>
      <c r="J10" s="179" t="s">
        <v>1605</v>
      </c>
      <c r="K10" s="179">
        <v>436</v>
      </c>
      <c r="L10" s="180"/>
      <c r="M10" s="181">
        <v>13360985</v>
      </c>
      <c r="N10" s="181"/>
      <c r="O10" s="181">
        <v>0</v>
      </c>
      <c r="P10" s="181"/>
      <c r="Q10" s="181">
        <v>0</v>
      </c>
      <c r="R10" s="181"/>
      <c r="S10" s="181">
        <v>0</v>
      </c>
      <c r="T10" s="181"/>
      <c r="U10" s="181">
        <v>0</v>
      </c>
      <c r="V10" s="181"/>
      <c r="W10" s="181">
        <v>0</v>
      </c>
      <c r="X10" s="181"/>
      <c r="Y10" s="181">
        <v>0</v>
      </c>
      <c r="Z10" s="181"/>
      <c r="AA10" s="178">
        <v>0</v>
      </c>
      <c r="AB10" s="182"/>
      <c r="AC10" s="183"/>
      <c r="AD10" s="182">
        <v>4339139</v>
      </c>
      <c r="AE10" s="182"/>
      <c r="AF10" s="182">
        <v>0</v>
      </c>
      <c r="AG10" s="182"/>
      <c r="AH10" s="182">
        <v>0</v>
      </c>
      <c r="AI10" s="182"/>
      <c r="AJ10" s="182">
        <v>0</v>
      </c>
      <c r="AK10" s="182"/>
      <c r="AL10" s="182">
        <v>0</v>
      </c>
      <c r="AM10" s="182"/>
      <c r="AN10" s="182">
        <v>0</v>
      </c>
      <c r="AO10" s="182"/>
      <c r="AP10" s="182">
        <v>0</v>
      </c>
      <c r="AQ10" s="173"/>
      <c r="AR10" s="184"/>
      <c r="AS10" s="185">
        <v>0.32479999999999998</v>
      </c>
      <c r="AT10" s="185"/>
      <c r="AU10" s="185"/>
      <c r="AV10" s="185"/>
      <c r="AW10" s="185"/>
      <c r="AX10" s="185"/>
      <c r="AY10" s="185"/>
      <c r="AZ10" s="185"/>
      <c r="BA10" s="185"/>
      <c r="BB10" s="185"/>
      <c r="BC10" s="185"/>
      <c r="BD10" s="185"/>
      <c r="BE10" s="185"/>
      <c r="BF10" s="173"/>
      <c r="BG10" s="173" t="s">
        <v>1743</v>
      </c>
    </row>
    <row r="11" spans="1:59">
      <c r="A11" s="173" t="s">
        <v>1619</v>
      </c>
      <c r="B11" s="173" t="s">
        <v>1620</v>
      </c>
      <c r="C11" s="174" t="s">
        <v>366</v>
      </c>
      <c r="D11" s="175">
        <v>1003</v>
      </c>
      <c r="E11" s="176">
        <v>10003</v>
      </c>
      <c r="F11" s="174" t="s">
        <v>1612</v>
      </c>
      <c r="G11" s="177">
        <v>4181019</v>
      </c>
      <c r="H11" s="178">
        <v>2428</v>
      </c>
      <c r="I11" s="174" t="s">
        <v>1604</v>
      </c>
      <c r="J11" s="179" t="s">
        <v>1602</v>
      </c>
      <c r="K11" s="179">
        <v>338</v>
      </c>
      <c r="L11" s="180"/>
      <c r="M11" s="181">
        <v>0</v>
      </c>
      <c r="N11" s="181"/>
      <c r="O11" s="181">
        <v>0</v>
      </c>
      <c r="P11" s="181"/>
      <c r="Q11" s="181">
        <v>0</v>
      </c>
      <c r="R11" s="181"/>
      <c r="S11" s="181">
        <v>0</v>
      </c>
      <c r="T11" s="181"/>
      <c r="U11" s="181">
        <v>0</v>
      </c>
      <c r="V11" s="181"/>
      <c r="W11" s="181">
        <v>0</v>
      </c>
      <c r="X11" s="181"/>
      <c r="Y11" s="181">
        <v>178406868</v>
      </c>
      <c r="Z11" s="181"/>
      <c r="AA11" s="178">
        <v>0</v>
      </c>
      <c r="AB11" s="182"/>
      <c r="AC11" s="183"/>
      <c r="AD11" s="182">
        <v>0</v>
      </c>
      <c r="AE11" s="182"/>
      <c r="AF11" s="182">
        <v>0</v>
      </c>
      <c r="AG11" s="182"/>
      <c r="AH11" s="182">
        <v>0</v>
      </c>
      <c r="AI11" s="182"/>
      <c r="AJ11" s="182">
        <v>0</v>
      </c>
      <c r="AK11" s="182"/>
      <c r="AL11" s="182">
        <v>0</v>
      </c>
      <c r="AM11" s="182"/>
      <c r="AN11" s="182">
        <v>22078161</v>
      </c>
      <c r="AO11" s="182"/>
      <c r="AP11" s="182">
        <v>0</v>
      </c>
      <c r="AQ11" s="173"/>
      <c r="AR11" s="184"/>
      <c r="AS11" s="185"/>
      <c r="AT11" s="185"/>
      <c r="AU11" s="185"/>
      <c r="AV11" s="185"/>
      <c r="AW11" s="185"/>
      <c r="AX11" s="185"/>
      <c r="AY11" s="185"/>
      <c r="AZ11" s="185"/>
      <c r="BA11" s="185"/>
      <c r="BB11" s="185"/>
      <c r="BC11" s="185">
        <v>0.12379999999999999</v>
      </c>
      <c r="BD11" s="185"/>
      <c r="BE11" s="185"/>
      <c r="BF11" s="173"/>
      <c r="BG11" s="173" t="s">
        <v>1743</v>
      </c>
    </row>
    <row r="12" spans="1:59">
      <c r="A12" s="173" t="s">
        <v>1619</v>
      </c>
      <c r="B12" s="173" t="s">
        <v>1620</v>
      </c>
      <c r="C12" s="174" t="s">
        <v>366</v>
      </c>
      <c r="D12" s="175">
        <v>1003</v>
      </c>
      <c r="E12" s="176">
        <v>10003</v>
      </c>
      <c r="F12" s="174" t="s">
        <v>1612</v>
      </c>
      <c r="G12" s="177">
        <v>4181019</v>
      </c>
      <c r="H12" s="178">
        <v>2428</v>
      </c>
      <c r="I12" s="174" t="s">
        <v>1609</v>
      </c>
      <c r="J12" s="179" t="s">
        <v>1602</v>
      </c>
      <c r="K12" s="179">
        <v>154</v>
      </c>
      <c r="L12" s="180"/>
      <c r="M12" s="181">
        <v>0</v>
      </c>
      <c r="N12" s="181"/>
      <c r="O12" s="181">
        <v>0</v>
      </c>
      <c r="P12" s="181"/>
      <c r="Q12" s="181">
        <v>0</v>
      </c>
      <c r="R12" s="181"/>
      <c r="S12" s="181">
        <v>0</v>
      </c>
      <c r="T12" s="181"/>
      <c r="U12" s="181">
        <v>0</v>
      </c>
      <c r="V12" s="181"/>
      <c r="W12" s="181">
        <v>0</v>
      </c>
      <c r="X12" s="181"/>
      <c r="Y12" s="181">
        <v>46803331</v>
      </c>
      <c r="Z12" s="181"/>
      <c r="AA12" s="178">
        <v>0</v>
      </c>
      <c r="AB12" s="182"/>
      <c r="AC12" s="183"/>
      <c r="AD12" s="182">
        <v>0</v>
      </c>
      <c r="AE12" s="182"/>
      <c r="AF12" s="182">
        <v>0</v>
      </c>
      <c r="AG12" s="182"/>
      <c r="AH12" s="182">
        <v>0</v>
      </c>
      <c r="AI12" s="182"/>
      <c r="AJ12" s="182">
        <v>0</v>
      </c>
      <c r="AK12" s="182"/>
      <c r="AL12" s="182">
        <v>0</v>
      </c>
      <c r="AM12" s="182"/>
      <c r="AN12" s="182">
        <v>5523588</v>
      </c>
      <c r="AO12" s="182"/>
      <c r="AP12" s="182">
        <v>0</v>
      </c>
      <c r="AQ12" s="173"/>
      <c r="AR12" s="184"/>
      <c r="AS12" s="185"/>
      <c r="AT12" s="185"/>
      <c r="AU12" s="185"/>
      <c r="AV12" s="185"/>
      <c r="AW12" s="185"/>
      <c r="AX12" s="185"/>
      <c r="AY12" s="185"/>
      <c r="AZ12" s="185"/>
      <c r="BA12" s="185"/>
      <c r="BB12" s="185"/>
      <c r="BC12" s="185">
        <v>0.11799999999999999</v>
      </c>
      <c r="BD12" s="185"/>
      <c r="BE12" s="185"/>
      <c r="BF12" s="173"/>
      <c r="BG12" s="173" t="s">
        <v>1743</v>
      </c>
    </row>
    <row r="13" spans="1:59">
      <c r="A13" s="173" t="s">
        <v>1621</v>
      </c>
      <c r="B13" s="173" t="s">
        <v>1622</v>
      </c>
      <c r="C13" s="174" t="s">
        <v>385</v>
      </c>
      <c r="D13" s="175">
        <v>3019</v>
      </c>
      <c r="E13" s="176">
        <v>30019</v>
      </c>
      <c r="F13" s="174" t="s">
        <v>1612</v>
      </c>
      <c r="G13" s="177">
        <v>5441567</v>
      </c>
      <c r="H13" s="178">
        <v>2406</v>
      </c>
      <c r="I13" s="174" t="s">
        <v>1610</v>
      </c>
      <c r="J13" s="179" t="s">
        <v>1602</v>
      </c>
      <c r="K13" s="179">
        <v>357</v>
      </c>
      <c r="L13" s="180"/>
      <c r="M13" s="181">
        <v>0</v>
      </c>
      <c r="N13" s="181"/>
      <c r="O13" s="181">
        <v>0</v>
      </c>
      <c r="P13" s="181"/>
      <c r="Q13" s="181">
        <v>0</v>
      </c>
      <c r="R13" s="181"/>
      <c r="S13" s="181">
        <v>0</v>
      </c>
      <c r="T13" s="181"/>
      <c r="U13" s="181">
        <v>0</v>
      </c>
      <c r="V13" s="181"/>
      <c r="W13" s="181">
        <v>0</v>
      </c>
      <c r="X13" s="181"/>
      <c r="Y13" s="181">
        <v>190958248</v>
      </c>
      <c r="Z13" s="181"/>
      <c r="AA13" s="178">
        <v>0</v>
      </c>
      <c r="AB13" s="182"/>
      <c r="AC13" s="183"/>
      <c r="AD13" s="182">
        <v>0</v>
      </c>
      <c r="AE13" s="182"/>
      <c r="AF13" s="182">
        <v>0</v>
      </c>
      <c r="AG13" s="182"/>
      <c r="AH13" s="182">
        <v>0</v>
      </c>
      <c r="AI13" s="182"/>
      <c r="AJ13" s="182">
        <v>0</v>
      </c>
      <c r="AK13" s="182"/>
      <c r="AL13" s="182">
        <v>0</v>
      </c>
      <c r="AM13" s="182"/>
      <c r="AN13" s="182">
        <v>15598066</v>
      </c>
      <c r="AO13" s="182"/>
      <c r="AP13" s="182">
        <v>0</v>
      </c>
      <c r="AQ13" s="173"/>
      <c r="AR13" s="184"/>
      <c r="AS13" s="185"/>
      <c r="AT13" s="185"/>
      <c r="AU13" s="185"/>
      <c r="AV13" s="185"/>
      <c r="AW13" s="185"/>
      <c r="AX13" s="185"/>
      <c r="AY13" s="185"/>
      <c r="AZ13" s="185"/>
      <c r="BA13" s="185"/>
      <c r="BB13" s="185"/>
      <c r="BC13" s="185">
        <v>8.1699999999999995E-2</v>
      </c>
      <c r="BD13" s="185"/>
      <c r="BE13" s="185"/>
      <c r="BF13" s="173"/>
      <c r="BG13" s="173" t="s">
        <v>1743</v>
      </c>
    </row>
    <row r="14" spans="1:59">
      <c r="A14" s="173" t="s">
        <v>1621</v>
      </c>
      <c r="B14" s="173" t="s">
        <v>1622</v>
      </c>
      <c r="C14" s="174" t="s">
        <v>385</v>
      </c>
      <c r="D14" s="175">
        <v>3019</v>
      </c>
      <c r="E14" s="176">
        <v>30019</v>
      </c>
      <c r="F14" s="174" t="s">
        <v>1612</v>
      </c>
      <c r="G14" s="177">
        <v>5441567</v>
      </c>
      <c r="H14" s="178">
        <v>2406</v>
      </c>
      <c r="I14" s="174" t="s">
        <v>1604</v>
      </c>
      <c r="J14" s="179" t="s">
        <v>1602</v>
      </c>
      <c r="K14" s="179">
        <v>286</v>
      </c>
      <c r="L14" s="180"/>
      <c r="M14" s="181">
        <v>0</v>
      </c>
      <c r="N14" s="181"/>
      <c r="O14" s="181">
        <v>0</v>
      </c>
      <c r="P14" s="181"/>
      <c r="Q14" s="181">
        <v>0</v>
      </c>
      <c r="R14" s="181"/>
      <c r="S14" s="181">
        <v>0</v>
      </c>
      <c r="T14" s="181"/>
      <c r="U14" s="181">
        <v>0</v>
      </c>
      <c r="V14" s="181"/>
      <c r="W14" s="181">
        <v>0</v>
      </c>
      <c r="X14" s="181"/>
      <c r="Y14" s="181">
        <v>125067726</v>
      </c>
      <c r="Z14" s="181"/>
      <c r="AA14" s="178">
        <v>0</v>
      </c>
      <c r="AB14" s="182"/>
      <c r="AC14" s="183"/>
      <c r="AD14" s="182">
        <v>0</v>
      </c>
      <c r="AE14" s="182"/>
      <c r="AF14" s="182">
        <v>0</v>
      </c>
      <c r="AG14" s="182"/>
      <c r="AH14" s="182">
        <v>0</v>
      </c>
      <c r="AI14" s="182"/>
      <c r="AJ14" s="182">
        <v>0</v>
      </c>
      <c r="AK14" s="182"/>
      <c r="AL14" s="182">
        <v>0</v>
      </c>
      <c r="AM14" s="182"/>
      <c r="AN14" s="182">
        <v>14000061</v>
      </c>
      <c r="AO14" s="182"/>
      <c r="AP14" s="182">
        <v>0</v>
      </c>
      <c r="AQ14" s="173"/>
      <c r="AR14" s="184"/>
      <c r="AS14" s="185"/>
      <c r="AT14" s="185"/>
      <c r="AU14" s="185"/>
      <c r="AV14" s="185"/>
      <c r="AW14" s="185"/>
      <c r="AX14" s="185"/>
      <c r="AY14" s="185"/>
      <c r="AZ14" s="185"/>
      <c r="BA14" s="185"/>
      <c r="BB14" s="185"/>
      <c r="BC14" s="185">
        <v>0.1119</v>
      </c>
      <c r="BD14" s="185"/>
      <c r="BE14" s="185"/>
      <c r="BF14" s="173"/>
      <c r="BG14" s="173" t="s">
        <v>1743</v>
      </c>
    </row>
    <row r="15" spans="1:59">
      <c r="A15" s="173" t="s">
        <v>1746</v>
      </c>
      <c r="B15" s="173" t="s">
        <v>1623</v>
      </c>
      <c r="C15" s="174" t="s">
        <v>390</v>
      </c>
      <c r="D15" s="175">
        <v>6008</v>
      </c>
      <c r="E15" s="176">
        <v>60008</v>
      </c>
      <c r="F15" s="174" t="s">
        <v>1612</v>
      </c>
      <c r="G15" s="177">
        <v>4944332</v>
      </c>
      <c r="H15" s="178">
        <v>2157</v>
      </c>
      <c r="I15" s="174" t="s">
        <v>1609</v>
      </c>
      <c r="J15" s="179" t="s">
        <v>1602</v>
      </c>
      <c r="K15" s="179">
        <v>56</v>
      </c>
      <c r="L15" s="180"/>
      <c r="M15" s="181">
        <v>0</v>
      </c>
      <c r="N15" s="181"/>
      <c r="O15" s="181">
        <v>0</v>
      </c>
      <c r="P15" s="181"/>
      <c r="Q15" s="181">
        <v>0</v>
      </c>
      <c r="R15" s="181"/>
      <c r="S15" s="181">
        <v>0</v>
      </c>
      <c r="T15" s="181"/>
      <c r="U15" s="181">
        <v>0</v>
      </c>
      <c r="V15" s="181"/>
      <c r="W15" s="181">
        <v>0</v>
      </c>
      <c r="X15" s="181"/>
      <c r="Y15" s="181">
        <v>20764234</v>
      </c>
      <c r="Z15" s="181"/>
      <c r="AA15" s="178">
        <v>0</v>
      </c>
      <c r="AB15" s="182"/>
      <c r="AC15" s="183"/>
      <c r="AD15" s="182">
        <v>0</v>
      </c>
      <c r="AE15" s="182"/>
      <c r="AF15" s="182">
        <v>0</v>
      </c>
      <c r="AG15" s="182"/>
      <c r="AH15" s="182">
        <v>0</v>
      </c>
      <c r="AI15" s="182"/>
      <c r="AJ15" s="182">
        <v>0</v>
      </c>
      <c r="AK15" s="182"/>
      <c r="AL15" s="182">
        <v>0</v>
      </c>
      <c r="AM15" s="182"/>
      <c r="AN15" s="182">
        <v>3420524</v>
      </c>
      <c r="AO15" s="182"/>
      <c r="AP15" s="182">
        <v>0</v>
      </c>
      <c r="AQ15" s="173"/>
      <c r="AR15" s="184"/>
      <c r="AS15" s="185"/>
      <c r="AT15" s="185"/>
      <c r="AU15" s="185"/>
      <c r="AV15" s="185"/>
      <c r="AW15" s="185"/>
      <c r="AX15" s="185"/>
      <c r="AY15" s="185"/>
      <c r="AZ15" s="185"/>
      <c r="BA15" s="185"/>
      <c r="BB15" s="185"/>
      <c r="BC15" s="185">
        <v>0.16470000000000001</v>
      </c>
      <c r="BD15" s="185"/>
      <c r="BE15" s="185"/>
      <c r="BF15" s="173"/>
      <c r="BG15" s="173" t="s">
        <v>1743</v>
      </c>
    </row>
    <row r="16" spans="1:59">
      <c r="A16" s="173" t="s">
        <v>1624</v>
      </c>
      <c r="B16" s="173" t="s">
        <v>1625</v>
      </c>
      <c r="C16" s="174" t="s">
        <v>367</v>
      </c>
      <c r="D16" s="175">
        <v>3034</v>
      </c>
      <c r="E16" s="176">
        <v>30034</v>
      </c>
      <c r="F16" s="174" t="s">
        <v>1626</v>
      </c>
      <c r="G16" s="177">
        <v>2203663</v>
      </c>
      <c r="H16" s="178">
        <v>1888</v>
      </c>
      <c r="I16" s="174" t="s">
        <v>1604</v>
      </c>
      <c r="J16" s="179" t="s">
        <v>1602</v>
      </c>
      <c r="K16" s="179">
        <v>54</v>
      </c>
      <c r="L16" s="180"/>
      <c r="M16" s="181">
        <v>0</v>
      </c>
      <c r="N16" s="181"/>
      <c r="O16" s="181">
        <v>0</v>
      </c>
      <c r="P16" s="181"/>
      <c r="Q16" s="181">
        <v>0</v>
      </c>
      <c r="R16" s="181"/>
      <c r="S16" s="181">
        <v>0</v>
      </c>
      <c r="T16" s="181"/>
      <c r="U16" s="181">
        <v>0</v>
      </c>
      <c r="V16" s="181"/>
      <c r="W16" s="181">
        <v>0</v>
      </c>
      <c r="X16" s="181"/>
      <c r="Y16" s="181">
        <v>44465246</v>
      </c>
      <c r="Z16" s="181"/>
      <c r="AA16" s="178">
        <v>0</v>
      </c>
      <c r="AB16" s="182"/>
      <c r="AC16" s="183"/>
      <c r="AD16" s="182">
        <v>0</v>
      </c>
      <c r="AE16" s="182"/>
      <c r="AF16" s="182">
        <v>0</v>
      </c>
      <c r="AG16" s="182"/>
      <c r="AH16" s="182">
        <v>0</v>
      </c>
      <c r="AI16" s="182"/>
      <c r="AJ16" s="182">
        <v>0</v>
      </c>
      <c r="AK16" s="182"/>
      <c r="AL16" s="182">
        <v>0</v>
      </c>
      <c r="AM16" s="182"/>
      <c r="AN16" s="182">
        <v>0</v>
      </c>
      <c r="AO16" s="182"/>
      <c r="AP16" s="182">
        <v>0</v>
      </c>
      <c r="AQ16" s="173"/>
      <c r="AR16" s="184"/>
      <c r="AS16" s="185"/>
      <c r="AT16" s="185"/>
      <c r="AU16" s="185"/>
      <c r="AV16" s="185"/>
      <c r="AW16" s="185"/>
      <c r="AX16" s="185"/>
      <c r="AY16" s="185"/>
      <c r="AZ16" s="185"/>
      <c r="BA16" s="185"/>
      <c r="BB16" s="185"/>
      <c r="BC16" s="185">
        <v>0</v>
      </c>
      <c r="BD16" s="185"/>
      <c r="BE16" s="185"/>
      <c r="BF16" s="173"/>
      <c r="BG16" s="173" t="s">
        <v>1743</v>
      </c>
    </row>
    <row r="17" spans="1:59">
      <c r="A17" s="173" t="s">
        <v>1624</v>
      </c>
      <c r="B17" s="173" t="s">
        <v>1625</v>
      </c>
      <c r="C17" s="174" t="s">
        <v>367</v>
      </c>
      <c r="D17" s="175">
        <v>3034</v>
      </c>
      <c r="E17" s="176">
        <v>30034</v>
      </c>
      <c r="F17" s="174" t="s">
        <v>1626</v>
      </c>
      <c r="G17" s="177">
        <v>2203663</v>
      </c>
      <c r="H17" s="178">
        <v>1888</v>
      </c>
      <c r="I17" s="174" t="s">
        <v>1609</v>
      </c>
      <c r="J17" s="179" t="s">
        <v>1602</v>
      </c>
      <c r="K17" s="179">
        <v>38</v>
      </c>
      <c r="L17" s="180"/>
      <c r="M17" s="181">
        <v>0</v>
      </c>
      <c r="N17" s="181"/>
      <c r="O17" s="181">
        <v>0</v>
      </c>
      <c r="P17" s="181"/>
      <c r="Q17" s="181">
        <v>0</v>
      </c>
      <c r="R17" s="181"/>
      <c r="S17" s="181">
        <v>0</v>
      </c>
      <c r="T17" s="181"/>
      <c r="U17" s="181">
        <v>0</v>
      </c>
      <c r="V17" s="181"/>
      <c r="W17" s="181">
        <v>0</v>
      </c>
      <c r="X17" s="181"/>
      <c r="Y17" s="181">
        <v>25044315</v>
      </c>
      <c r="Z17" s="181"/>
      <c r="AA17" s="178">
        <v>0</v>
      </c>
      <c r="AB17" s="182"/>
      <c r="AC17" s="183"/>
      <c r="AD17" s="182">
        <v>0</v>
      </c>
      <c r="AE17" s="182"/>
      <c r="AF17" s="182">
        <v>0</v>
      </c>
      <c r="AG17" s="182"/>
      <c r="AH17" s="182">
        <v>0</v>
      </c>
      <c r="AI17" s="182"/>
      <c r="AJ17" s="182">
        <v>0</v>
      </c>
      <c r="AK17" s="182"/>
      <c r="AL17" s="182">
        <v>0</v>
      </c>
      <c r="AM17" s="182"/>
      <c r="AN17" s="182">
        <v>2679810</v>
      </c>
      <c r="AO17" s="182"/>
      <c r="AP17" s="182">
        <v>0</v>
      </c>
      <c r="AQ17" s="173"/>
      <c r="AR17" s="184"/>
      <c r="AS17" s="185"/>
      <c r="AT17" s="185"/>
      <c r="AU17" s="185"/>
      <c r="AV17" s="185"/>
      <c r="AW17" s="185"/>
      <c r="AX17" s="185"/>
      <c r="AY17" s="185"/>
      <c r="AZ17" s="185"/>
      <c r="BA17" s="185"/>
      <c r="BB17" s="185"/>
      <c r="BC17" s="185">
        <v>0.107</v>
      </c>
      <c r="BD17" s="185"/>
      <c r="BE17" s="185"/>
      <c r="BF17" s="173"/>
      <c r="BG17" s="173" t="s">
        <v>1743</v>
      </c>
    </row>
    <row r="18" spans="1:59">
      <c r="A18" s="173" t="s">
        <v>1624</v>
      </c>
      <c r="B18" s="173" t="s">
        <v>1625</v>
      </c>
      <c r="C18" s="174" t="s">
        <v>367</v>
      </c>
      <c r="D18" s="175">
        <v>3034</v>
      </c>
      <c r="E18" s="176">
        <v>30034</v>
      </c>
      <c r="F18" s="174" t="s">
        <v>1626</v>
      </c>
      <c r="G18" s="177">
        <v>2203663</v>
      </c>
      <c r="H18" s="178">
        <v>1888</v>
      </c>
      <c r="I18" s="174" t="s">
        <v>1610</v>
      </c>
      <c r="J18" s="179" t="s">
        <v>1605</v>
      </c>
      <c r="K18" s="179">
        <v>149</v>
      </c>
      <c r="L18" s="180"/>
      <c r="M18" s="181">
        <v>3709703</v>
      </c>
      <c r="N18" s="181"/>
      <c r="O18" s="181">
        <v>0</v>
      </c>
      <c r="P18" s="181"/>
      <c r="Q18" s="181">
        <v>0</v>
      </c>
      <c r="R18" s="181"/>
      <c r="S18" s="181">
        <v>0</v>
      </c>
      <c r="T18" s="181"/>
      <c r="U18" s="181">
        <v>0</v>
      </c>
      <c r="V18" s="181"/>
      <c r="W18" s="181">
        <v>0</v>
      </c>
      <c r="X18" s="181"/>
      <c r="Y18" s="181">
        <v>21715405</v>
      </c>
      <c r="Z18" s="181"/>
      <c r="AA18" s="178">
        <v>0</v>
      </c>
      <c r="AB18" s="182"/>
      <c r="AC18" s="183"/>
      <c r="AD18" s="182">
        <v>764117</v>
      </c>
      <c r="AE18" s="182"/>
      <c r="AF18" s="182">
        <v>0</v>
      </c>
      <c r="AG18" s="182"/>
      <c r="AH18" s="182">
        <v>0</v>
      </c>
      <c r="AI18" s="182"/>
      <c r="AJ18" s="182">
        <v>0</v>
      </c>
      <c r="AK18" s="182"/>
      <c r="AL18" s="182">
        <v>0</v>
      </c>
      <c r="AM18" s="182"/>
      <c r="AN18" s="182">
        <v>163832</v>
      </c>
      <c r="AO18" s="182"/>
      <c r="AP18" s="182">
        <v>0</v>
      </c>
      <c r="AQ18" s="173"/>
      <c r="AR18" s="184"/>
      <c r="AS18" s="185">
        <v>0.20599999999999999</v>
      </c>
      <c r="AT18" s="185"/>
      <c r="AU18" s="185"/>
      <c r="AV18" s="185"/>
      <c r="AW18" s="185"/>
      <c r="AX18" s="185"/>
      <c r="AY18" s="185"/>
      <c r="AZ18" s="185"/>
      <c r="BA18" s="185"/>
      <c r="BB18" s="185"/>
      <c r="BC18" s="185">
        <v>7.4999999999999997E-3</v>
      </c>
      <c r="BD18" s="185"/>
      <c r="BE18" s="185"/>
      <c r="BF18" s="173"/>
      <c r="BG18" s="173" t="s">
        <v>1743</v>
      </c>
    </row>
    <row r="19" spans="1:59">
      <c r="A19" s="173" t="s">
        <v>1747</v>
      </c>
      <c r="B19" s="173" t="s">
        <v>1630</v>
      </c>
      <c r="C19" s="174" t="s">
        <v>356</v>
      </c>
      <c r="D19" s="175">
        <v>4034</v>
      </c>
      <c r="E19" s="176">
        <v>40034</v>
      </c>
      <c r="F19" s="174" t="s">
        <v>1615</v>
      </c>
      <c r="G19" s="177">
        <v>5502379</v>
      </c>
      <c r="H19" s="178">
        <v>1452</v>
      </c>
      <c r="I19" s="174" t="s">
        <v>1604</v>
      </c>
      <c r="J19" s="179" t="s">
        <v>1602</v>
      </c>
      <c r="K19" s="179">
        <v>76</v>
      </c>
      <c r="L19" s="180"/>
      <c r="M19" s="181">
        <v>0</v>
      </c>
      <c r="N19" s="181"/>
      <c r="O19" s="181">
        <v>0</v>
      </c>
      <c r="P19" s="181"/>
      <c r="Q19" s="181">
        <v>0</v>
      </c>
      <c r="R19" s="181"/>
      <c r="S19" s="181">
        <v>0</v>
      </c>
      <c r="T19" s="181"/>
      <c r="U19" s="181">
        <v>0</v>
      </c>
      <c r="V19" s="181"/>
      <c r="W19" s="181">
        <v>0</v>
      </c>
      <c r="X19" s="181"/>
      <c r="Y19" s="181">
        <v>66954261</v>
      </c>
      <c r="Z19" s="181"/>
      <c r="AA19" s="178">
        <v>0</v>
      </c>
      <c r="AB19" s="182"/>
      <c r="AC19" s="183"/>
      <c r="AD19" s="182">
        <v>0</v>
      </c>
      <c r="AE19" s="182"/>
      <c r="AF19" s="182">
        <v>0</v>
      </c>
      <c r="AG19" s="182"/>
      <c r="AH19" s="182">
        <v>0</v>
      </c>
      <c r="AI19" s="182"/>
      <c r="AJ19" s="182">
        <v>0</v>
      </c>
      <c r="AK19" s="182"/>
      <c r="AL19" s="182">
        <v>0</v>
      </c>
      <c r="AM19" s="182"/>
      <c r="AN19" s="182">
        <v>559892</v>
      </c>
      <c r="AO19" s="182"/>
      <c r="AP19" s="182">
        <v>0</v>
      </c>
      <c r="AQ19" s="173"/>
      <c r="AR19" s="184"/>
      <c r="AS19" s="185"/>
      <c r="AT19" s="185"/>
      <c r="AU19" s="185"/>
      <c r="AV19" s="185"/>
      <c r="AW19" s="185"/>
      <c r="AX19" s="185"/>
      <c r="AY19" s="185"/>
      <c r="AZ19" s="185"/>
      <c r="BA19" s="185"/>
      <c r="BB19" s="185"/>
      <c r="BC19" s="185">
        <v>8.3999999999999995E-3</v>
      </c>
      <c r="BD19" s="185"/>
      <c r="BE19" s="185"/>
      <c r="BF19" s="173"/>
      <c r="BG19" s="173" t="s">
        <v>1743</v>
      </c>
    </row>
    <row r="20" spans="1:59">
      <c r="A20" s="173" t="s">
        <v>1627</v>
      </c>
      <c r="B20" s="173" t="s">
        <v>1628</v>
      </c>
      <c r="C20" s="174" t="s">
        <v>352</v>
      </c>
      <c r="D20" s="175">
        <v>8006</v>
      </c>
      <c r="E20" s="176">
        <v>80006</v>
      </c>
      <c r="F20" s="174" t="s">
        <v>1612</v>
      </c>
      <c r="G20" s="177">
        <v>2374203</v>
      </c>
      <c r="H20" s="178">
        <v>1431</v>
      </c>
      <c r="I20" s="174" t="s">
        <v>1610</v>
      </c>
      <c r="J20" s="179" t="s">
        <v>1602</v>
      </c>
      <c r="K20" s="179">
        <v>8</v>
      </c>
      <c r="L20" s="180"/>
      <c r="M20" s="181">
        <v>0</v>
      </c>
      <c r="N20" s="181"/>
      <c r="O20" s="181">
        <v>0</v>
      </c>
      <c r="P20" s="181"/>
      <c r="Q20" s="181">
        <v>0</v>
      </c>
      <c r="R20" s="181"/>
      <c r="S20" s="181">
        <v>0</v>
      </c>
      <c r="T20" s="181"/>
      <c r="U20" s="181">
        <v>0</v>
      </c>
      <c r="V20" s="181"/>
      <c r="W20" s="181">
        <v>0</v>
      </c>
      <c r="X20" s="181"/>
      <c r="Y20" s="181">
        <v>688983</v>
      </c>
      <c r="Z20" s="181"/>
      <c r="AA20" s="178">
        <v>0</v>
      </c>
      <c r="AB20" s="182"/>
      <c r="AC20" s="183"/>
      <c r="AD20" s="182">
        <v>0</v>
      </c>
      <c r="AE20" s="182"/>
      <c r="AF20" s="182">
        <v>0</v>
      </c>
      <c r="AG20" s="182"/>
      <c r="AH20" s="182">
        <v>0</v>
      </c>
      <c r="AI20" s="182"/>
      <c r="AJ20" s="182">
        <v>0</v>
      </c>
      <c r="AK20" s="182"/>
      <c r="AL20" s="182">
        <v>0</v>
      </c>
      <c r="AM20" s="182"/>
      <c r="AN20" s="182">
        <v>0</v>
      </c>
      <c r="AO20" s="182"/>
      <c r="AP20" s="182">
        <v>0</v>
      </c>
      <c r="AQ20" s="173"/>
      <c r="AR20" s="184"/>
      <c r="AS20" s="185"/>
      <c r="AT20" s="185"/>
      <c r="AU20" s="185"/>
      <c r="AV20" s="185"/>
      <c r="AW20" s="185"/>
      <c r="AX20" s="185"/>
      <c r="AY20" s="185"/>
      <c r="AZ20" s="185"/>
      <c r="BA20" s="185"/>
      <c r="BB20" s="185"/>
      <c r="BC20" s="185">
        <v>0</v>
      </c>
      <c r="BD20" s="185"/>
      <c r="BE20" s="185"/>
      <c r="BF20" s="173"/>
      <c r="BG20" s="173" t="s">
        <v>1743</v>
      </c>
    </row>
    <row r="21" spans="1:59">
      <c r="A21" s="173" t="s">
        <v>1627</v>
      </c>
      <c r="B21" s="173" t="s">
        <v>1628</v>
      </c>
      <c r="C21" s="174" t="s">
        <v>352</v>
      </c>
      <c r="D21" s="175">
        <v>8006</v>
      </c>
      <c r="E21" s="176">
        <v>80006</v>
      </c>
      <c r="F21" s="174" t="s">
        <v>1612</v>
      </c>
      <c r="G21" s="177">
        <v>2374203</v>
      </c>
      <c r="H21" s="178">
        <v>1431</v>
      </c>
      <c r="I21" s="174" t="s">
        <v>1610</v>
      </c>
      <c r="J21" s="179" t="s">
        <v>1605</v>
      </c>
      <c r="K21" s="179">
        <v>44</v>
      </c>
      <c r="L21" s="180"/>
      <c r="M21" s="181">
        <v>0</v>
      </c>
      <c r="N21" s="181"/>
      <c r="O21" s="181">
        <v>0</v>
      </c>
      <c r="P21" s="181"/>
      <c r="Q21" s="181">
        <v>0</v>
      </c>
      <c r="R21" s="181"/>
      <c r="S21" s="181">
        <v>0</v>
      </c>
      <c r="T21" s="181"/>
      <c r="U21" s="181">
        <v>0</v>
      </c>
      <c r="V21" s="181"/>
      <c r="W21" s="181">
        <v>0</v>
      </c>
      <c r="X21" s="181"/>
      <c r="Y21" s="181">
        <v>40149051</v>
      </c>
      <c r="Z21" s="181"/>
      <c r="AA21" s="178">
        <v>0</v>
      </c>
      <c r="AB21" s="182"/>
      <c r="AC21" s="183"/>
      <c r="AD21" s="182">
        <v>0</v>
      </c>
      <c r="AE21" s="182"/>
      <c r="AF21" s="182">
        <v>0</v>
      </c>
      <c r="AG21" s="182"/>
      <c r="AH21" s="182">
        <v>0</v>
      </c>
      <c r="AI21" s="182"/>
      <c r="AJ21" s="182">
        <v>0</v>
      </c>
      <c r="AK21" s="182"/>
      <c r="AL21" s="182">
        <v>0</v>
      </c>
      <c r="AM21" s="182"/>
      <c r="AN21" s="182">
        <v>6311542</v>
      </c>
      <c r="AO21" s="182"/>
      <c r="AP21" s="182">
        <v>0</v>
      </c>
      <c r="AQ21" s="173"/>
      <c r="AR21" s="184"/>
      <c r="AS21" s="185"/>
      <c r="AT21" s="185"/>
      <c r="AU21" s="185"/>
      <c r="AV21" s="185"/>
      <c r="AW21" s="185"/>
      <c r="AX21" s="185"/>
      <c r="AY21" s="185"/>
      <c r="AZ21" s="185"/>
      <c r="BA21" s="185"/>
      <c r="BB21" s="185"/>
      <c r="BC21" s="185">
        <v>0.15720000000000001</v>
      </c>
      <c r="BD21" s="185"/>
      <c r="BE21" s="185"/>
      <c r="BF21" s="173"/>
      <c r="BG21" s="173" t="s">
        <v>1743</v>
      </c>
    </row>
    <row r="22" spans="1:59">
      <c r="A22" s="173" t="s">
        <v>1627</v>
      </c>
      <c r="B22" s="173" t="s">
        <v>1628</v>
      </c>
      <c r="C22" s="174" t="s">
        <v>352</v>
      </c>
      <c r="D22" s="175">
        <v>8006</v>
      </c>
      <c r="E22" s="176">
        <v>80006</v>
      </c>
      <c r="F22" s="174" t="s">
        <v>1612</v>
      </c>
      <c r="G22" s="177">
        <v>2374203</v>
      </c>
      <c r="H22" s="178">
        <v>1431</v>
      </c>
      <c r="I22" s="174" t="s">
        <v>1609</v>
      </c>
      <c r="J22" s="179" t="s">
        <v>1602</v>
      </c>
      <c r="K22" s="179">
        <v>156</v>
      </c>
      <c r="L22" s="180"/>
      <c r="M22" s="181">
        <v>0</v>
      </c>
      <c r="N22" s="181"/>
      <c r="O22" s="181">
        <v>0</v>
      </c>
      <c r="P22" s="181"/>
      <c r="Q22" s="181">
        <v>0</v>
      </c>
      <c r="R22" s="181"/>
      <c r="S22" s="181">
        <v>0</v>
      </c>
      <c r="T22" s="181"/>
      <c r="U22" s="181">
        <v>0</v>
      </c>
      <c r="V22" s="181"/>
      <c r="W22" s="181">
        <v>0</v>
      </c>
      <c r="X22" s="181"/>
      <c r="Y22" s="181">
        <v>60630772</v>
      </c>
      <c r="Z22" s="181"/>
      <c r="AA22" s="178">
        <v>0</v>
      </c>
      <c r="AB22" s="182"/>
      <c r="AC22" s="183"/>
      <c r="AD22" s="182">
        <v>0</v>
      </c>
      <c r="AE22" s="182"/>
      <c r="AF22" s="182">
        <v>0</v>
      </c>
      <c r="AG22" s="182"/>
      <c r="AH22" s="182">
        <v>0</v>
      </c>
      <c r="AI22" s="182"/>
      <c r="AJ22" s="182">
        <v>0</v>
      </c>
      <c r="AK22" s="182"/>
      <c r="AL22" s="182">
        <v>0</v>
      </c>
      <c r="AM22" s="182"/>
      <c r="AN22" s="182">
        <v>9327859</v>
      </c>
      <c r="AO22" s="182"/>
      <c r="AP22" s="182">
        <v>0</v>
      </c>
      <c r="AQ22" s="173"/>
      <c r="AR22" s="184"/>
      <c r="AS22" s="185"/>
      <c r="AT22" s="185"/>
      <c r="AU22" s="185"/>
      <c r="AV22" s="185"/>
      <c r="AW22" s="185"/>
      <c r="AX22" s="185"/>
      <c r="AY22" s="185"/>
      <c r="AZ22" s="185"/>
      <c r="BA22" s="185"/>
      <c r="BB22" s="185"/>
      <c r="BC22" s="185">
        <v>0.15379999999999999</v>
      </c>
      <c r="BD22" s="185"/>
      <c r="BE22" s="185"/>
      <c r="BF22" s="173"/>
      <c r="BG22" s="173" t="s">
        <v>1743</v>
      </c>
    </row>
    <row r="23" spans="1:59">
      <c r="A23" s="173" t="s">
        <v>1631</v>
      </c>
      <c r="B23" s="173" t="s">
        <v>89</v>
      </c>
      <c r="C23" s="174" t="s">
        <v>381</v>
      </c>
      <c r="D23" s="175">
        <v>2078</v>
      </c>
      <c r="E23" s="176">
        <v>20078</v>
      </c>
      <c r="F23" s="174" t="s">
        <v>1600</v>
      </c>
      <c r="G23" s="177">
        <v>18351295</v>
      </c>
      <c r="H23" s="178">
        <v>1133</v>
      </c>
      <c r="I23" s="174" t="s">
        <v>1610</v>
      </c>
      <c r="J23" s="179" t="s">
        <v>1602</v>
      </c>
      <c r="K23" s="179">
        <v>1122</v>
      </c>
      <c r="L23" s="180"/>
      <c r="M23" s="181">
        <v>5697351</v>
      </c>
      <c r="N23" s="181"/>
      <c r="O23" s="181">
        <v>0</v>
      </c>
      <c r="P23" s="181"/>
      <c r="Q23" s="181">
        <v>0</v>
      </c>
      <c r="R23" s="181"/>
      <c r="S23" s="181">
        <v>0</v>
      </c>
      <c r="T23" s="181"/>
      <c r="U23" s="181">
        <v>0</v>
      </c>
      <c r="V23" s="181"/>
      <c r="W23" s="181">
        <v>0</v>
      </c>
      <c r="X23" s="181"/>
      <c r="Y23" s="181">
        <v>367362724</v>
      </c>
      <c r="Z23" s="181"/>
      <c r="AA23" s="178">
        <v>0</v>
      </c>
      <c r="AB23" s="182"/>
      <c r="AC23" s="183"/>
      <c r="AD23" s="182">
        <v>0</v>
      </c>
      <c r="AE23" s="182"/>
      <c r="AF23" s="182">
        <v>0</v>
      </c>
      <c r="AG23" s="182"/>
      <c r="AH23" s="182">
        <v>0</v>
      </c>
      <c r="AI23" s="182"/>
      <c r="AJ23" s="182">
        <v>0</v>
      </c>
      <c r="AK23" s="182"/>
      <c r="AL23" s="182">
        <v>2002432</v>
      </c>
      <c r="AM23" s="182"/>
      <c r="AN23" s="182">
        <v>40070882</v>
      </c>
      <c r="AO23" s="182"/>
      <c r="AP23" s="182">
        <v>0</v>
      </c>
      <c r="AQ23" s="173"/>
      <c r="AR23" s="184"/>
      <c r="AS23" s="185">
        <v>0</v>
      </c>
      <c r="AT23" s="185"/>
      <c r="AU23" s="185"/>
      <c r="AV23" s="185"/>
      <c r="AW23" s="185"/>
      <c r="AX23" s="185"/>
      <c r="AY23" s="185"/>
      <c r="AZ23" s="185"/>
      <c r="BA23" s="185"/>
      <c r="BB23" s="185"/>
      <c r="BC23" s="185">
        <v>0.1091</v>
      </c>
      <c r="BD23" s="185"/>
      <c r="BE23" s="185"/>
      <c r="BF23" s="173"/>
      <c r="BG23" s="173" t="s">
        <v>1743</v>
      </c>
    </row>
    <row r="24" spans="1:59">
      <c r="A24" s="173" t="s">
        <v>1634</v>
      </c>
      <c r="B24" s="173" t="s">
        <v>1635</v>
      </c>
      <c r="C24" s="174" t="s">
        <v>390</v>
      </c>
      <c r="D24" s="175">
        <v>6056</v>
      </c>
      <c r="E24" s="176">
        <v>60056</v>
      </c>
      <c r="F24" s="174" t="s">
        <v>1612</v>
      </c>
      <c r="G24" s="177">
        <v>5121892</v>
      </c>
      <c r="H24" s="178">
        <v>1082</v>
      </c>
      <c r="I24" s="174" t="s">
        <v>1610</v>
      </c>
      <c r="J24" s="179" t="s">
        <v>1605</v>
      </c>
      <c r="K24" s="179">
        <v>23</v>
      </c>
      <c r="L24" s="180"/>
      <c r="M24" s="181">
        <v>1375987</v>
      </c>
      <c r="N24" s="181"/>
      <c r="O24" s="181">
        <v>0</v>
      </c>
      <c r="P24" s="181"/>
      <c r="Q24" s="181">
        <v>0</v>
      </c>
      <c r="R24" s="181"/>
      <c r="S24" s="181">
        <v>0</v>
      </c>
      <c r="T24" s="181"/>
      <c r="U24" s="181">
        <v>0</v>
      </c>
      <c r="V24" s="181"/>
      <c r="W24" s="181">
        <v>0</v>
      </c>
      <c r="X24" s="181"/>
      <c r="Y24" s="181">
        <v>0</v>
      </c>
      <c r="Z24" s="181"/>
      <c r="AA24" s="178">
        <v>0</v>
      </c>
      <c r="AB24" s="182"/>
      <c r="AC24" s="183"/>
      <c r="AD24" s="182">
        <v>460806</v>
      </c>
      <c r="AE24" s="182"/>
      <c r="AF24" s="182">
        <v>0</v>
      </c>
      <c r="AG24" s="182"/>
      <c r="AH24" s="182">
        <v>0</v>
      </c>
      <c r="AI24" s="182"/>
      <c r="AJ24" s="182">
        <v>0</v>
      </c>
      <c r="AK24" s="182"/>
      <c r="AL24" s="182">
        <v>0</v>
      </c>
      <c r="AM24" s="182"/>
      <c r="AN24" s="182">
        <v>0</v>
      </c>
      <c r="AO24" s="182"/>
      <c r="AP24" s="182">
        <v>0</v>
      </c>
      <c r="AQ24" s="173"/>
      <c r="AR24" s="184"/>
      <c r="AS24" s="185">
        <v>0.33489999999999998</v>
      </c>
      <c r="AT24" s="185"/>
      <c r="AU24" s="185"/>
      <c r="AV24" s="185"/>
      <c r="AW24" s="185"/>
      <c r="AX24" s="185"/>
      <c r="AY24" s="185"/>
      <c r="AZ24" s="185"/>
      <c r="BA24" s="185"/>
      <c r="BB24" s="185"/>
      <c r="BC24" s="185"/>
      <c r="BD24" s="185"/>
      <c r="BE24" s="185"/>
      <c r="BF24" s="173"/>
      <c r="BG24" s="173" t="s">
        <v>1743</v>
      </c>
    </row>
    <row r="25" spans="1:59">
      <c r="A25" s="173" t="s">
        <v>1634</v>
      </c>
      <c r="B25" s="173" t="s">
        <v>1635</v>
      </c>
      <c r="C25" s="174" t="s">
        <v>390</v>
      </c>
      <c r="D25" s="175">
        <v>6056</v>
      </c>
      <c r="E25" s="176">
        <v>60056</v>
      </c>
      <c r="F25" s="174" t="s">
        <v>1612</v>
      </c>
      <c r="G25" s="177">
        <v>5121892</v>
      </c>
      <c r="H25" s="178">
        <v>1082</v>
      </c>
      <c r="I25" s="174" t="s">
        <v>1609</v>
      </c>
      <c r="J25" s="179" t="s">
        <v>1602</v>
      </c>
      <c r="K25" s="179">
        <v>117</v>
      </c>
      <c r="L25" s="180"/>
      <c r="M25" s="181">
        <v>0</v>
      </c>
      <c r="N25" s="181"/>
      <c r="O25" s="181">
        <v>0</v>
      </c>
      <c r="P25" s="181"/>
      <c r="Q25" s="181">
        <v>0</v>
      </c>
      <c r="R25" s="181"/>
      <c r="S25" s="181">
        <v>0</v>
      </c>
      <c r="T25" s="181"/>
      <c r="U25" s="181">
        <v>0</v>
      </c>
      <c r="V25" s="181"/>
      <c r="W25" s="181">
        <v>0</v>
      </c>
      <c r="X25" s="181"/>
      <c r="Y25" s="181">
        <v>116183770</v>
      </c>
      <c r="Z25" s="181"/>
      <c r="AA25" s="178">
        <v>0</v>
      </c>
      <c r="AB25" s="182"/>
      <c r="AC25" s="183"/>
      <c r="AD25" s="182">
        <v>0</v>
      </c>
      <c r="AE25" s="182"/>
      <c r="AF25" s="182">
        <v>0</v>
      </c>
      <c r="AG25" s="182"/>
      <c r="AH25" s="182">
        <v>0</v>
      </c>
      <c r="AI25" s="182"/>
      <c r="AJ25" s="182">
        <v>0</v>
      </c>
      <c r="AK25" s="182"/>
      <c r="AL25" s="182">
        <v>0</v>
      </c>
      <c r="AM25" s="182"/>
      <c r="AN25" s="182">
        <v>9894309</v>
      </c>
      <c r="AO25" s="182"/>
      <c r="AP25" s="182">
        <v>0</v>
      </c>
      <c r="AQ25" s="173"/>
      <c r="AR25" s="184"/>
      <c r="AS25" s="185"/>
      <c r="AT25" s="185"/>
      <c r="AU25" s="185"/>
      <c r="AV25" s="185"/>
      <c r="AW25" s="185"/>
      <c r="AX25" s="185"/>
      <c r="AY25" s="185"/>
      <c r="AZ25" s="185"/>
      <c r="BA25" s="185"/>
      <c r="BB25" s="185"/>
      <c r="BC25" s="185">
        <v>8.5199999999999998E-2</v>
      </c>
      <c r="BD25" s="185"/>
      <c r="BE25" s="185"/>
      <c r="BF25" s="173"/>
      <c r="BG25" s="173" t="s">
        <v>1743</v>
      </c>
    </row>
    <row r="26" spans="1:59">
      <c r="A26" s="173" t="s">
        <v>1632</v>
      </c>
      <c r="B26" s="173" t="s">
        <v>1633</v>
      </c>
      <c r="C26" s="174" t="s">
        <v>395</v>
      </c>
      <c r="D26" s="175">
        <v>8001</v>
      </c>
      <c r="E26" s="176">
        <v>80001</v>
      </c>
      <c r="F26" s="174" t="s">
        <v>1612</v>
      </c>
      <c r="G26" s="177">
        <v>1021243</v>
      </c>
      <c r="H26" s="178">
        <v>1081</v>
      </c>
      <c r="I26" s="174" t="s">
        <v>1609</v>
      </c>
      <c r="J26" s="179" t="s">
        <v>1602</v>
      </c>
      <c r="K26" s="179">
        <v>89</v>
      </c>
      <c r="L26" s="180"/>
      <c r="M26" s="181">
        <v>0</v>
      </c>
      <c r="N26" s="181"/>
      <c r="O26" s="181">
        <v>0</v>
      </c>
      <c r="P26" s="181"/>
      <c r="Q26" s="181">
        <v>0</v>
      </c>
      <c r="R26" s="181"/>
      <c r="S26" s="181">
        <v>0</v>
      </c>
      <c r="T26" s="181"/>
      <c r="U26" s="181">
        <v>0</v>
      </c>
      <c r="V26" s="181"/>
      <c r="W26" s="181">
        <v>0</v>
      </c>
      <c r="X26" s="181"/>
      <c r="Y26" s="181">
        <v>39602347</v>
      </c>
      <c r="Z26" s="181"/>
      <c r="AA26" s="178">
        <v>0</v>
      </c>
      <c r="AB26" s="182"/>
      <c r="AC26" s="183"/>
      <c r="AD26" s="182">
        <v>0</v>
      </c>
      <c r="AE26" s="182"/>
      <c r="AF26" s="182">
        <v>0</v>
      </c>
      <c r="AG26" s="182"/>
      <c r="AH26" s="182">
        <v>0</v>
      </c>
      <c r="AI26" s="182"/>
      <c r="AJ26" s="182">
        <v>0</v>
      </c>
      <c r="AK26" s="182"/>
      <c r="AL26" s="182">
        <v>0</v>
      </c>
      <c r="AM26" s="182"/>
      <c r="AN26" s="182">
        <v>6307169</v>
      </c>
      <c r="AO26" s="182"/>
      <c r="AP26" s="182">
        <v>0</v>
      </c>
      <c r="AQ26" s="173"/>
      <c r="AR26" s="184"/>
      <c r="AS26" s="185"/>
      <c r="AT26" s="185"/>
      <c r="AU26" s="185"/>
      <c r="AV26" s="185"/>
      <c r="AW26" s="185"/>
      <c r="AX26" s="185"/>
      <c r="AY26" s="185"/>
      <c r="AZ26" s="185"/>
      <c r="BA26" s="185"/>
      <c r="BB26" s="185"/>
      <c r="BC26" s="185">
        <v>0.1593</v>
      </c>
      <c r="BD26" s="185"/>
      <c r="BE26" s="185"/>
      <c r="BF26" s="173"/>
      <c r="BG26" s="173" t="s">
        <v>1743</v>
      </c>
    </row>
    <row r="27" spans="1:59">
      <c r="A27" s="173" t="s">
        <v>1632</v>
      </c>
      <c r="B27" s="173" t="s">
        <v>1633</v>
      </c>
      <c r="C27" s="174" t="s">
        <v>395</v>
      </c>
      <c r="D27" s="175">
        <v>8001</v>
      </c>
      <c r="E27" s="176">
        <v>80001</v>
      </c>
      <c r="F27" s="174" t="s">
        <v>1612</v>
      </c>
      <c r="G27" s="177">
        <v>1021243</v>
      </c>
      <c r="H27" s="178">
        <v>1081</v>
      </c>
      <c r="I27" s="174" t="s">
        <v>1610</v>
      </c>
      <c r="J27" s="179" t="s">
        <v>1602</v>
      </c>
      <c r="K27" s="179">
        <v>50</v>
      </c>
      <c r="L27" s="180"/>
      <c r="M27" s="181">
        <v>1921417</v>
      </c>
      <c r="N27" s="181"/>
      <c r="O27" s="181">
        <v>0</v>
      </c>
      <c r="P27" s="181"/>
      <c r="Q27" s="181">
        <v>0</v>
      </c>
      <c r="R27" s="181"/>
      <c r="S27" s="181">
        <v>0</v>
      </c>
      <c r="T27" s="181"/>
      <c r="U27" s="181">
        <v>0</v>
      </c>
      <c r="V27" s="181"/>
      <c r="W27" s="181">
        <v>0</v>
      </c>
      <c r="X27" s="181"/>
      <c r="Y27" s="181">
        <v>0</v>
      </c>
      <c r="Z27" s="181"/>
      <c r="AA27" s="178">
        <v>0</v>
      </c>
      <c r="AB27" s="182"/>
      <c r="AC27" s="183"/>
      <c r="AD27" s="182">
        <v>850933</v>
      </c>
      <c r="AE27" s="182"/>
      <c r="AF27" s="182">
        <v>0</v>
      </c>
      <c r="AG27" s="182"/>
      <c r="AH27" s="182">
        <v>0</v>
      </c>
      <c r="AI27" s="182"/>
      <c r="AJ27" s="182">
        <v>0</v>
      </c>
      <c r="AK27" s="182"/>
      <c r="AL27" s="182">
        <v>0</v>
      </c>
      <c r="AM27" s="182"/>
      <c r="AN27" s="182">
        <v>0</v>
      </c>
      <c r="AO27" s="182"/>
      <c r="AP27" s="182">
        <v>0</v>
      </c>
      <c r="AQ27" s="173"/>
      <c r="AR27" s="184"/>
      <c r="AS27" s="185">
        <v>0.44290000000000002</v>
      </c>
      <c r="AT27" s="185"/>
      <c r="AU27" s="185"/>
      <c r="AV27" s="185"/>
      <c r="AW27" s="185"/>
      <c r="AX27" s="185"/>
      <c r="AY27" s="185"/>
      <c r="AZ27" s="185"/>
      <c r="BA27" s="185"/>
      <c r="BB27" s="185"/>
      <c r="BC27" s="185"/>
      <c r="BD27" s="185"/>
      <c r="BE27" s="185"/>
      <c r="BF27" s="173"/>
      <c r="BG27" s="173" t="s">
        <v>1743</v>
      </c>
    </row>
    <row r="28" spans="1:59">
      <c r="A28" s="173" t="s">
        <v>1636</v>
      </c>
      <c r="B28" s="173" t="s">
        <v>1618</v>
      </c>
      <c r="C28" s="174" t="s">
        <v>361</v>
      </c>
      <c r="D28" s="175">
        <v>5118</v>
      </c>
      <c r="E28" s="176">
        <v>50118</v>
      </c>
      <c r="F28" s="174" t="s">
        <v>1612</v>
      </c>
      <c r="G28" s="177">
        <v>8608208</v>
      </c>
      <c r="H28" s="178">
        <v>1066</v>
      </c>
      <c r="I28" s="174" t="s">
        <v>1610</v>
      </c>
      <c r="J28" s="179" t="s">
        <v>1602</v>
      </c>
      <c r="K28" s="179">
        <v>539</v>
      </c>
      <c r="L28" s="180"/>
      <c r="M28" s="181">
        <v>18100043</v>
      </c>
      <c r="N28" s="181"/>
      <c r="O28" s="181">
        <v>0</v>
      </c>
      <c r="P28" s="181"/>
      <c r="Q28" s="181">
        <v>0</v>
      </c>
      <c r="R28" s="181"/>
      <c r="S28" s="181">
        <v>0</v>
      </c>
      <c r="T28" s="181"/>
      <c r="U28" s="181">
        <v>0</v>
      </c>
      <c r="V28" s="181"/>
      <c r="W28" s="181">
        <v>0</v>
      </c>
      <c r="X28" s="181"/>
      <c r="Y28" s="181">
        <v>56262281</v>
      </c>
      <c r="Z28" s="181"/>
      <c r="AA28" s="178">
        <v>0</v>
      </c>
      <c r="AB28" s="182"/>
      <c r="AC28" s="183"/>
      <c r="AD28" s="182">
        <v>5202961</v>
      </c>
      <c r="AE28" s="182"/>
      <c r="AF28" s="182">
        <v>0</v>
      </c>
      <c r="AG28" s="182"/>
      <c r="AH28" s="182">
        <v>0</v>
      </c>
      <c r="AI28" s="182"/>
      <c r="AJ28" s="182">
        <v>0</v>
      </c>
      <c r="AK28" s="182"/>
      <c r="AL28" s="182">
        <v>0</v>
      </c>
      <c r="AM28" s="182"/>
      <c r="AN28" s="182">
        <v>3759786</v>
      </c>
      <c r="AO28" s="182"/>
      <c r="AP28" s="182">
        <v>0</v>
      </c>
      <c r="AQ28" s="173"/>
      <c r="AR28" s="184"/>
      <c r="AS28" s="185">
        <v>0.28749999999999998</v>
      </c>
      <c r="AT28" s="185"/>
      <c r="AU28" s="185"/>
      <c r="AV28" s="185"/>
      <c r="AW28" s="185"/>
      <c r="AX28" s="185"/>
      <c r="AY28" s="185"/>
      <c r="AZ28" s="185"/>
      <c r="BA28" s="185"/>
      <c r="BB28" s="185"/>
      <c r="BC28" s="185">
        <v>6.6799999999999998E-2</v>
      </c>
      <c r="BD28" s="185"/>
      <c r="BE28" s="185"/>
      <c r="BF28" s="173"/>
      <c r="BG28" s="173" t="s">
        <v>1743</v>
      </c>
    </row>
    <row r="29" spans="1:59">
      <c r="A29" s="173" t="s">
        <v>1636</v>
      </c>
      <c r="B29" s="173" t="s">
        <v>1618</v>
      </c>
      <c r="C29" s="174" t="s">
        <v>361</v>
      </c>
      <c r="D29" s="175">
        <v>5118</v>
      </c>
      <c r="E29" s="176">
        <v>50118</v>
      </c>
      <c r="F29" s="174" t="s">
        <v>1612</v>
      </c>
      <c r="G29" s="177">
        <v>8608208</v>
      </c>
      <c r="H29" s="178">
        <v>1066</v>
      </c>
      <c r="I29" s="174" t="s">
        <v>1610</v>
      </c>
      <c r="J29" s="179" t="s">
        <v>1605</v>
      </c>
      <c r="K29" s="179">
        <v>527</v>
      </c>
      <c r="L29" s="180"/>
      <c r="M29" s="181">
        <v>18100043</v>
      </c>
      <c r="N29" s="181"/>
      <c r="O29" s="181">
        <v>0</v>
      </c>
      <c r="P29" s="181"/>
      <c r="Q29" s="181">
        <v>0</v>
      </c>
      <c r="R29" s="181"/>
      <c r="S29" s="181">
        <v>0</v>
      </c>
      <c r="T29" s="181"/>
      <c r="U29" s="181">
        <v>0</v>
      </c>
      <c r="V29" s="181"/>
      <c r="W29" s="181">
        <v>0</v>
      </c>
      <c r="X29" s="181"/>
      <c r="Y29" s="181">
        <v>0</v>
      </c>
      <c r="Z29" s="181"/>
      <c r="AA29" s="178">
        <v>0</v>
      </c>
      <c r="AB29" s="182"/>
      <c r="AC29" s="183"/>
      <c r="AD29" s="182">
        <v>0</v>
      </c>
      <c r="AE29" s="182"/>
      <c r="AF29" s="182">
        <v>0</v>
      </c>
      <c r="AG29" s="182"/>
      <c r="AH29" s="182">
        <v>0</v>
      </c>
      <c r="AI29" s="182"/>
      <c r="AJ29" s="182">
        <v>0</v>
      </c>
      <c r="AK29" s="182"/>
      <c r="AL29" s="182">
        <v>0</v>
      </c>
      <c r="AM29" s="182"/>
      <c r="AN29" s="182">
        <v>0</v>
      </c>
      <c r="AO29" s="182"/>
      <c r="AP29" s="182">
        <v>0</v>
      </c>
      <c r="AQ29" s="173"/>
      <c r="AR29" s="184"/>
      <c r="AS29" s="185">
        <v>0</v>
      </c>
      <c r="AT29" s="185"/>
      <c r="AU29" s="185"/>
      <c r="AV29" s="185"/>
      <c r="AW29" s="185"/>
      <c r="AX29" s="185"/>
      <c r="AY29" s="185"/>
      <c r="AZ29" s="185"/>
      <c r="BA29" s="185"/>
      <c r="BB29" s="185"/>
      <c r="BC29" s="185"/>
      <c r="BD29" s="185"/>
      <c r="BE29" s="185"/>
      <c r="BF29" s="173"/>
      <c r="BG29" s="173" t="s">
        <v>1743</v>
      </c>
    </row>
    <row r="30" spans="1:59">
      <c r="A30" s="173" t="s">
        <v>1637</v>
      </c>
      <c r="B30" s="173" t="s">
        <v>1638</v>
      </c>
      <c r="C30" s="174" t="s">
        <v>381</v>
      </c>
      <c r="D30" s="175">
        <v>2100</v>
      </c>
      <c r="E30" s="176">
        <v>20100</v>
      </c>
      <c r="F30" s="174" t="s">
        <v>1600</v>
      </c>
      <c r="G30" s="177">
        <v>18351295</v>
      </c>
      <c r="H30" s="178">
        <v>1022</v>
      </c>
      <c r="I30" s="174" t="s">
        <v>1610</v>
      </c>
      <c r="J30" s="179" t="s">
        <v>1602</v>
      </c>
      <c r="K30" s="179">
        <v>1022</v>
      </c>
      <c r="L30" s="180"/>
      <c r="M30" s="181">
        <v>7034074</v>
      </c>
      <c r="N30" s="181"/>
      <c r="O30" s="181">
        <v>0</v>
      </c>
      <c r="P30" s="181"/>
      <c r="Q30" s="181">
        <v>0</v>
      </c>
      <c r="R30" s="181"/>
      <c r="S30" s="181">
        <v>0</v>
      </c>
      <c r="T30" s="181"/>
      <c r="U30" s="181">
        <v>0</v>
      </c>
      <c r="V30" s="181"/>
      <c r="W30" s="181">
        <v>0</v>
      </c>
      <c r="X30" s="181"/>
      <c r="Y30" s="181">
        <v>471350200</v>
      </c>
      <c r="Z30" s="181"/>
      <c r="AA30" s="178">
        <v>0</v>
      </c>
      <c r="AB30" s="182"/>
      <c r="AC30" s="183"/>
      <c r="AD30" s="182">
        <v>757533</v>
      </c>
      <c r="AE30" s="182"/>
      <c r="AF30" s="182">
        <v>0</v>
      </c>
      <c r="AG30" s="182"/>
      <c r="AH30" s="182">
        <v>0</v>
      </c>
      <c r="AI30" s="182"/>
      <c r="AJ30" s="182">
        <v>0</v>
      </c>
      <c r="AK30" s="182"/>
      <c r="AL30" s="182">
        <v>757533</v>
      </c>
      <c r="AM30" s="182"/>
      <c r="AN30" s="182">
        <v>54919600</v>
      </c>
      <c r="AO30" s="182"/>
      <c r="AP30" s="182">
        <v>0</v>
      </c>
      <c r="AQ30" s="173"/>
      <c r="AR30" s="184"/>
      <c r="AS30" s="185">
        <v>0.1077</v>
      </c>
      <c r="AT30" s="185"/>
      <c r="AU30" s="185"/>
      <c r="AV30" s="185"/>
      <c r="AW30" s="185"/>
      <c r="AX30" s="185"/>
      <c r="AY30" s="185"/>
      <c r="AZ30" s="185"/>
      <c r="BA30" s="185"/>
      <c r="BB30" s="185"/>
      <c r="BC30" s="185">
        <v>0.11650000000000001</v>
      </c>
      <c r="BD30" s="185"/>
      <c r="BE30" s="185"/>
      <c r="BF30" s="173"/>
      <c r="BG30" s="173" t="s">
        <v>1743</v>
      </c>
    </row>
    <row r="31" spans="1:59">
      <c r="A31" s="173" t="s">
        <v>1748</v>
      </c>
      <c r="B31" s="173" t="s">
        <v>1640</v>
      </c>
      <c r="C31" s="174" t="s">
        <v>351</v>
      </c>
      <c r="D31" s="175">
        <v>9015</v>
      </c>
      <c r="E31" s="176">
        <v>90015</v>
      </c>
      <c r="F31" s="174" t="s">
        <v>1615</v>
      </c>
      <c r="G31" s="177">
        <v>3281212</v>
      </c>
      <c r="H31" s="178">
        <v>996</v>
      </c>
      <c r="I31" s="174" t="s">
        <v>1609</v>
      </c>
      <c r="J31" s="179" t="s">
        <v>1602</v>
      </c>
      <c r="K31" s="179">
        <v>149</v>
      </c>
      <c r="L31" s="180"/>
      <c r="M31" s="181">
        <v>0</v>
      </c>
      <c r="N31" s="181"/>
      <c r="O31" s="181">
        <v>0</v>
      </c>
      <c r="P31" s="181"/>
      <c r="Q31" s="181">
        <v>0</v>
      </c>
      <c r="R31" s="181"/>
      <c r="S31" s="181">
        <v>0</v>
      </c>
      <c r="T31" s="181"/>
      <c r="U31" s="181">
        <v>0</v>
      </c>
      <c r="V31" s="181"/>
      <c r="W31" s="181">
        <v>0</v>
      </c>
      <c r="X31" s="181"/>
      <c r="Y31" s="181">
        <v>51453351</v>
      </c>
      <c r="Z31" s="181"/>
      <c r="AA31" s="178">
        <v>0</v>
      </c>
      <c r="AB31" s="182"/>
      <c r="AC31" s="183"/>
      <c r="AD31" s="182">
        <v>0</v>
      </c>
      <c r="AE31" s="182"/>
      <c r="AF31" s="182">
        <v>0</v>
      </c>
      <c r="AG31" s="182"/>
      <c r="AH31" s="182">
        <v>0</v>
      </c>
      <c r="AI31" s="182"/>
      <c r="AJ31" s="182">
        <v>0</v>
      </c>
      <c r="AK31" s="182"/>
      <c r="AL31" s="182">
        <v>0</v>
      </c>
      <c r="AM31" s="182"/>
      <c r="AN31" s="182">
        <v>5286597</v>
      </c>
      <c r="AO31" s="182"/>
      <c r="AP31" s="182">
        <v>0</v>
      </c>
      <c r="AQ31" s="173"/>
      <c r="AR31" s="184"/>
      <c r="AS31" s="185"/>
      <c r="AT31" s="185"/>
      <c r="AU31" s="185"/>
      <c r="AV31" s="185"/>
      <c r="AW31" s="185"/>
      <c r="AX31" s="185"/>
      <c r="AY31" s="185"/>
      <c r="AZ31" s="185"/>
      <c r="BA31" s="185"/>
      <c r="BB31" s="185"/>
      <c r="BC31" s="185">
        <v>0.1027</v>
      </c>
      <c r="BD31" s="185"/>
      <c r="BE31" s="185"/>
      <c r="BF31" s="173"/>
      <c r="BG31" s="173" t="s">
        <v>1743</v>
      </c>
    </row>
    <row r="32" spans="1:59">
      <c r="A32" s="173" t="s">
        <v>1749</v>
      </c>
      <c r="B32" s="173" t="s">
        <v>1641</v>
      </c>
      <c r="C32" s="174" t="s">
        <v>384</v>
      </c>
      <c r="D32" s="175">
        <v>8</v>
      </c>
      <c r="E32" s="176">
        <v>8</v>
      </c>
      <c r="F32" s="174" t="s">
        <v>1612</v>
      </c>
      <c r="G32" s="177">
        <v>1849898</v>
      </c>
      <c r="H32" s="178">
        <v>982</v>
      </c>
      <c r="I32" s="174" t="s">
        <v>1609</v>
      </c>
      <c r="J32" s="179" t="s">
        <v>1602</v>
      </c>
      <c r="K32" s="179">
        <v>116</v>
      </c>
      <c r="L32" s="180"/>
      <c r="M32" s="181">
        <v>0</v>
      </c>
      <c r="N32" s="181"/>
      <c r="O32" s="181">
        <v>0</v>
      </c>
      <c r="P32" s="181"/>
      <c r="Q32" s="181">
        <v>0</v>
      </c>
      <c r="R32" s="181"/>
      <c r="S32" s="181">
        <v>0</v>
      </c>
      <c r="T32" s="181"/>
      <c r="U32" s="181">
        <v>0</v>
      </c>
      <c r="V32" s="181"/>
      <c r="W32" s="181">
        <v>0</v>
      </c>
      <c r="X32" s="181"/>
      <c r="Y32" s="181">
        <v>54389715</v>
      </c>
      <c r="Z32" s="181"/>
      <c r="AA32" s="178">
        <v>0</v>
      </c>
      <c r="AB32" s="182"/>
      <c r="AC32" s="183"/>
      <c r="AD32" s="182">
        <v>0</v>
      </c>
      <c r="AE32" s="182"/>
      <c r="AF32" s="182">
        <v>0</v>
      </c>
      <c r="AG32" s="182"/>
      <c r="AH32" s="182">
        <v>0</v>
      </c>
      <c r="AI32" s="182"/>
      <c r="AJ32" s="182">
        <v>0</v>
      </c>
      <c r="AK32" s="182"/>
      <c r="AL32" s="182">
        <v>0</v>
      </c>
      <c r="AM32" s="182"/>
      <c r="AN32" s="182">
        <v>9045741</v>
      </c>
      <c r="AO32" s="182"/>
      <c r="AP32" s="182">
        <v>0</v>
      </c>
      <c r="AQ32" s="173"/>
      <c r="AR32" s="184"/>
      <c r="AS32" s="185"/>
      <c r="AT32" s="185"/>
      <c r="AU32" s="185"/>
      <c r="AV32" s="185"/>
      <c r="AW32" s="185"/>
      <c r="AX32" s="185"/>
      <c r="AY32" s="185"/>
      <c r="AZ32" s="185"/>
      <c r="BA32" s="185"/>
      <c r="BB32" s="185"/>
      <c r="BC32" s="185">
        <v>0.1663</v>
      </c>
      <c r="BD32" s="185"/>
      <c r="BE32" s="185"/>
      <c r="BF32" s="173"/>
      <c r="BG32" s="173" t="s">
        <v>1743</v>
      </c>
    </row>
    <row r="33" spans="1:59">
      <c r="A33" s="173" t="s">
        <v>1647</v>
      </c>
      <c r="B33" s="173" t="s">
        <v>1648</v>
      </c>
      <c r="C33" s="174" t="s">
        <v>357</v>
      </c>
      <c r="D33" s="175">
        <v>4022</v>
      </c>
      <c r="E33" s="176">
        <v>40022</v>
      </c>
      <c r="F33" s="174" t="s">
        <v>1612</v>
      </c>
      <c r="G33" s="177">
        <v>4515419</v>
      </c>
      <c r="H33" s="178">
        <v>943</v>
      </c>
      <c r="I33" s="174" t="s">
        <v>1604</v>
      </c>
      <c r="J33" s="179" t="s">
        <v>1602</v>
      </c>
      <c r="K33" s="179">
        <v>212</v>
      </c>
      <c r="L33" s="180"/>
      <c r="M33" s="181">
        <v>0</v>
      </c>
      <c r="N33" s="181"/>
      <c r="O33" s="181">
        <v>0</v>
      </c>
      <c r="P33" s="181"/>
      <c r="Q33" s="181">
        <v>0</v>
      </c>
      <c r="R33" s="181"/>
      <c r="S33" s="181">
        <v>0</v>
      </c>
      <c r="T33" s="181"/>
      <c r="U33" s="181">
        <v>0</v>
      </c>
      <c r="V33" s="181"/>
      <c r="W33" s="181">
        <v>0</v>
      </c>
      <c r="X33" s="181"/>
      <c r="Y33" s="181">
        <v>83566447</v>
      </c>
      <c r="Z33" s="181"/>
      <c r="AA33" s="178">
        <v>0</v>
      </c>
      <c r="AB33" s="182"/>
      <c r="AC33" s="183"/>
      <c r="AD33" s="182">
        <v>0</v>
      </c>
      <c r="AE33" s="182"/>
      <c r="AF33" s="182">
        <v>0</v>
      </c>
      <c r="AG33" s="182"/>
      <c r="AH33" s="182">
        <v>0</v>
      </c>
      <c r="AI33" s="182"/>
      <c r="AJ33" s="182">
        <v>0</v>
      </c>
      <c r="AK33" s="182"/>
      <c r="AL33" s="182">
        <v>0</v>
      </c>
      <c r="AM33" s="182"/>
      <c r="AN33" s="182">
        <v>19692749</v>
      </c>
      <c r="AO33" s="182"/>
      <c r="AP33" s="182">
        <v>0</v>
      </c>
      <c r="AQ33" s="173"/>
      <c r="AR33" s="184"/>
      <c r="AS33" s="185"/>
      <c r="AT33" s="185"/>
      <c r="AU33" s="185"/>
      <c r="AV33" s="185"/>
      <c r="AW33" s="185"/>
      <c r="AX33" s="185"/>
      <c r="AY33" s="185"/>
      <c r="AZ33" s="185"/>
      <c r="BA33" s="185"/>
      <c r="BB33" s="185"/>
      <c r="BC33" s="185">
        <v>0.23569999999999999</v>
      </c>
      <c r="BD33" s="185"/>
      <c r="BE33" s="185"/>
      <c r="BF33" s="173"/>
      <c r="BG33" s="173" t="s">
        <v>1743</v>
      </c>
    </row>
    <row r="34" spans="1:59">
      <c r="A34" s="173" t="s">
        <v>1644</v>
      </c>
      <c r="B34" s="173" t="s">
        <v>1645</v>
      </c>
      <c r="C34" s="174" t="s">
        <v>385</v>
      </c>
      <c r="D34" s="175">
        <v>3022</v>
      </c>
      <c r="E34" s="176">
        <v>30022</v>
      </c>
      <c r="F34" s="174" t="s">
        <v>1612</v>
      </c>
      <c r="G34" s="177">
        <v>1733853</v>
      </c>
      <c r="H34" s="178">
        <v>930</v>
      </c>
      <c r="I34" s="174" t="s">
        <v>1609</v>
      </c>
      <c r="J34" s="179" t="s">
        <v>1602</v>
      </c>
      <c r="K34" s="179">
        <v>58</v>
      </c>
      <c r="L34" s="180"/>
      <c r="M34" s="181">
        <v>0</v>
      </c>
      <c r="N34" s="181"/>
      <c r="O34" s="181">
        <v>0</v>
      </c>
      <c r="P34" s="181"/>
      <c r="Q34" s="181">
        <v>0</v>
      </c>
      <c r="R34" s="181"/>
      <c r="S34" s="181">
        <v>0</v>
      </c>
      <c r="T34" s="181"/>
      <c r="U34" s="181">
        <v>0</v>
      </c>
      <c r="V34" s="181"/>
      <c r="W34" s="181">
        <v>0</v>
      </c>
      <c r="X34" s="181"/>
      <c r="Y34" s="181">
        <v>30547053</v>
      </c>
      <c r="Z34" s="181"/>
      <c r="AA34" s="178">
        <v>0</v>
      </c>
      <c r="AB34" s="182"/>
      <c r="AC34" s="183"/>
      <c r="AD34" s="182">
        <v>0</v>
      </c>
      <c r="AE34" s="182"/>
      <c r="AF34" s="182">
        <v>0</v>
      </c>
      <c r="AG34" s="182"/>
      <c r="AH34" s="182">
        <v>0</v>
      </c>
      <c r="AI34" s="182"/>
      <c r="AJ34" s="182">
        <v>0</v>
      </c>
      <c r="AK34" s="182"/>
      <c r="AL34" s="182">
        <v>0</v>
      </c>
      <c r="AM34" s="182"/>
      <c r="AN34" s="182">
        <v>2154526</v>
      </c>
      <c r="AO34" s="182"/>
      <c r="AP34" s="182">
        <v>0</v>
      </c>
      <c r="AQ34" s="173"/>
      <c r="AR34" s="184"/>
      <c r="AS34" s="185"/>
      <c r="AT34" s="185"/>
      <c r="AU34" s="185"/>
      <c r="AV34" s="185"/>
      <c r="AW34" s="185"/>
      <c r="AX34" s="185"/>
      <c r="AY34" s="185"/>
      <c r="AZ34" s="185"/>
      <c r="BA34" s="185"/>
      <c r="BB34" s="185"/>
      <c r="BC34" s="185">
        <v>7.0499999999999993E-2</v>
      </c>
      <c r="BD34" s="185"/>
      <c r="BE34" s="185"/>
      <c r="BF34" s="173"/>
      <c r="BG34" s="173" t="s">
        <v>1743</v>
      </c>
    </row>
    <row r="35" spans="1:59">
      <c r="A35" s="173" t="s">
        <v>1642</v>
      </c>
      <c r="B35" s="173" t="s">
        <v>1643</v>
      </c>
      <c r="C35" s="174" t="s">
        <v>351</v>
      </c>
      <c r="D35" s="175">
        <v>9026</v>
      </c>
      <c r="E35" s="176">
        <v>90026</v>
      </c>
      <c r="F35" s="174" t="s">
        <v>1612</v>
      </c>
      <c r="G35" s="177">
        <v>2956746</v>
      </c>
      <c r="H35" s="178">
        <v>906</v>
      </c>
      <c r="I35" s="174" t="s">
        <v>1609</v>
      </c>
      <c r="J35" s="179" t="s">
        <v>1602</v>
      </c>
      <c r="K35" s="179">
        <v>103</v>
      </c>
      <c r="L35" s="180"/>
      <c r="M35" s="181">
        <v>0</v>
      </c>
      <c r="N35" s="181"/>
      <c r="O35" s="181">
        <v>0</v>
      </c>
      <c r="P35" s="181"/>
      <c r="Q35" s="181">
        <v>0</v>
      </c>
      <c r="R35" s="181"/>
      <c r="S35" s="181">
        <v>0</v>
      </c>
      <c r="T35" s="181"/>
      <c r="U35" s="181">
        <v>0</v>
      </c>
      <c r="V35" s="181"/>
      <c r="W35" s="181">
        <v>0</v>
      </c>
      <c r="X35" s="181"/>
      <c r="Y35" s="181">
        <v>52502166</v>
      </c>
      <c r="Z35" s="181"/>
      <c r="AA35" s="178">
        <v>0</v>
      </c>
      <c r="AB35" s="182"/>
      <c r="AC35" s="183"/>
      <c r="AD35" s="182">
        <v>0</v>
      </c>
      <c r="AE35" s="182"/>
      <c r="AF35" s="182">
        <v>0</v>
      </c>
      <c r="AG35" s="182"/>
      <c r="AH35" s="182">
        <v>0</v>
      </c>
      <c r="AI35" s="182"/>
      <c r="AJ35" s="182">
        <v>0</v>
      </c>
      <c r="AK35" s="182"/>
      <c r="AL35" s="182">
        <v>0</v>
      </c>
      <c r="AM35" s="182"/>
      <c r="AN35" s="182">
        <v>9579691</v>
      </c>
      <c r="AO35" s="182"/>
      <c r="AP35" s="182">
        <v>0</v>
      </c>
      <c r="AQ35" s="173"/>
      <c r="AR35" s="184"/>
      <c r="AS35" s="185"/>
      <c r="AT35" s="185"/>
      <c r="AU35" s="185"/>
      <c r="AV35" s="185"/>
      <c r="AW35" s="185"/>
      <c r="AX35" s="185"/>
      <c r="AY35" s="185"/>
      <c r="AZ35" s="185"/>
      <c r="BA35" s="185"/>
      <c r="BB35" s="185"/>
      <c r="BC35" s="185">
        <v>0.1825</v>
      </c>
      <c r="BD35" s="185"/>
      <c r="BE35" s="185"/>
      <c r="BF35" s="173"/>
      <c r="BG35" s="173" t="s">
        <v>1743</v>
      </c>
    </row>
    <row r="36" spans="1:59">
      <c r="A36" s="173" t="s">
        <v>1750</v>
      </c>
      <c r="B36" s="173" t="s">
        <v>1646</v>
      </c>
      <c r="C36" s="174" t="s">
        <v>370</v>
      </c>
      <c r="D36" s="175">
        <v>5027</v>
      </c>
      <c r="E36" s="176">
        <v>50027</v>
      </c>
      <c r="F36" s="174" t="s">
        <v>1600</v>
      </c>
      <c r="G36" s="177">
        <v>2650890</v>
      </c>
      <c r="H36" s="178">
        <v>823</v>
      </c>
      <c r="I36" s="174" t="s">
        <v>1609</v>
      </c>
      <c r="J36" s="179" t="s">
        <v>1602</v>
      </c>
      <c r="K36" s="179">
        <v>76</v>
      </c>
      <c r="L36" s="180"/>
      <c r="M36" s="181">
        <v>0</v>
      </c>
      <c r="N36" s="181"/>
      <c r="O36" s="181">
        <v>0</v>
      </c>
      <c r="P36" s="181"/>
      <c r="Q36" s="181">
        <v>0</v>
      </c>
      <c r="R36" s="181"/>
      <c r="S36" s="181">
        <v>0</v>
      </c>
      <c r="T36" s="181"/>
      <c r="U36" s="181">
        <v>0</v>
      </c>
      <c r="V36" s="181"/>
      <c r="W36" s="181">
        <v>0</v>
      </c>
      <c r="X36" s="181"/>
      <c r="Y36" s="181">
        <v>31871652</v>
      </c>
      <c r="Z36" s="181"/>
      <c r="AA36" s="178">
        <v>0</v>
      </c>
      <c r="AB36" s="182"/>
      <c r="AC36" s="183"/>
      <c r="AD36" s="182">
        <v>0</v>
      </c>
      <c r="AE36" s="182"/>
      <c r="AF36" s="182">
        <v>0</v>
      </c>
      <c r="AG36" s="182"/>
      <c r="AH36" s="182">
        <v>0</v>
      </c>
      <c r="AI36" s="182"/>
      <c r="AJ36" s="182">
        <v>0</v>
      </c>
      <c r="AK36" s="182"/>
      <c r="AL36" s="182">
        <v>0</v>
      </c>
      <c r="AM36" s="182"/>
      <c r="AN36" s="182">
        <v>4153269</v>
      </c>
      <c r="AO36" s="182"/>
      <c r="AP36" s="182">
        <v>0</v>
      </c>
      <c r="AQ36" s="173"/>
      <c r="AR36" s="184"/>
      <c r="AS36" s="185"/>
      <c r="AT36" s="185"/>
      <c r="AU36" s="185"/>
      <c r="AV36" s="185"/>
      <c r="AW36" s="185"/>
      <c r="AX36" s="185"/>
      <c r="AY36" s="185"/>
      <c r="AZ36" s="185"/>
      <c r="BA36" s="185"/>
      <c r="BB36" s="185"/>
      <c r="BC36" s="185">
        <v>0.1303</v>
      </c>
      <c r="BD36" s="185"/>
      <c r="BE36" s="185"/>
      <c r="BF36" s="173"/>
      <c r="BG36" s="173" t="s">
        <v>1743</v>
      </c>
    </row>
    <row r="37" spans="1:59">
      <c r="A37" s="173" t="s">
        <v>1750</v>
      </c>
      <c r="B37" s="173" t="s">
        <v>1646</v>
      </c>
      <c r="C37" s="174" t="s">
        <v>370</v>
      </c>
      <c r="D37" s="175">
        <v>5027</v>
      </c>
      <c r="E37" s="176">
        <v>50027</v>
      </c>
      <c r="F37" s="174" t="s">
        <v>1600</v>
      </c>
      <c r="G37" s="177">
        <v>2650890</v>
      </c>
      <c r="H37" s="178">
        <v>823</v>
      </c>
      <c r="I37" s="174" t="s">
        <v>1610</v>
      </c>
      <c r="J37" s="179" t="s">
        <v>1605</v>
      </c>
      <c r="K37" s="179">
        <v>20</v>
      </c>
      <c r="L37" s="180"/>
      <c r="M37" s="181">
        <v>213780</v>
      </c>
      <c r="N37" s="181"/>
      <c r="O37" s="181">
        <v>0</v>
      </c>
      <c r="P37" s="181"/>
      <c r="Q37" s="181">
        <v>0</v>
      </c>
      <c r="R37" s="181"/>
      <c r="S37" s="181">
        <v>0</v>
      </c>
      <c r="T37" s="181"/>
      <c r="U37" s="181">
        <v>0</v>
      </c>
      <c r="V37" s="181"/>
      <c r="W37" s="181">
        <v>0</v>
      </c>
      <c r="X37" s="181"/>
      <c r="Y37" s="181">
        <v>0</v>
      </c>
      <c r="Z37" s="181"/>
      <c r="AA37" s="178">
        <v>0</v>
      </c>
      <c r="AB37" s="182"/>
      <c r="AC37" s="183"/>
      <c r="AD37" s="182">
        <v>63438</v>
      </c>
      <c r="AE37" s="182"/>
      <c r="AF37" s="182">
        <v>0</v>
      </c>
      <c r="AG37" s="182"/>
      <c r="AH37" s="182">
        <v>0</v>
      </c>
      <c r="AI37" s="182"/>
      <c r="AJ37" s="182">
        <v>0</v>
      </c>
      <c r="AK37" s="182"/>
      <c r="AL37" s="182">
        <v>0</v>
      </c>
      <c r="AM37" s="182"/>
      <c r="AN37" s="182">
        <v>0</v>
      </c>
      <c r="AO37" s="182"/>
      <c r="AP37" s="182">
        <v>0</v>
      </c>
      <c r="AQ37" s="173"/>
      <c r="AR37" s="184"/>
      <c r="AS37" s="185">
        <v>0.29670000000000002</v>
      </c>
      <c r="AT37" s="185"/>
      <c r="AU37" s="185"/>
      <c r="AV37" s="185"/>
      <c r="AW37" s="185"/>
      <c r="AX37" s="185"/>
      <c r="AY37" s="185"/>
      <c r="AZ37" s="185"/>
      <c r="BA37" s="185"/>
      <c r="BB37" s="185"/>
      <c r="BC37" s="185"/>
      <c r="BD37" s="185"/>
      <c r="BE37" s="185"/>
      <c r="BF37" s="173"/>
      <c r="BG37" s="173" t="s">
        <v>1743</v>
      </c>
    </row>
    <row r="38" spans="1:59">
      <c r="A38" s="173" t="s">
        <v>1650</v>
      </c>
      <c r="B38" s="173" t="s">
        <v>1651</v>
      </c>
      <c r="C38" s="174" t="s">
        <v>351</v>
      </c>
      <c r="D38" s="175">
        <v>9013</v>
      </c>
      <c r="E38" s="176">
        <v>90013</v>
      </c>
      <c r="F38" s="174" t="s">
        <v>1612</v>
      </c>
      <c r="G38" s="177">
        <v>1664496</v>
      </c>
      <c r="H38" s="178">
        <v>635</v>
      </c>
      <c r="I38" s="174" t="s">
        <v>1609</v>
      </c>
      <c r="J38" s="179" t="s">
        <v>1602</v>
      </c>
      <c r="K38" s="179">
        <v>61</v>
      </c>
      <c r="L38" s="180"/>
      <c r="M38" s="181">
        <v>0</v>
      </c>
      <c r="N38" s="181"/>
      <c r="O38" s="181">
        <v>0</v>
      </c>
      <c r="P38" s="181"/>
      <c r="Q38" s="181">
        <v>0</v>
      </c>
      <c r="R38" s="181"/>
      <c r="S38" s="181">
        <v>0</v>
      </c>
      <c r="T38" s="181"/>
      <c r="U38" s="181">
        <v>0</v>
      </c>
      <c r="V38" s="181"/>
      <c r="W38" s="181">
        <v>0</v>
      </c>
      <c r="X38" s="181"/>
      <c r="Y38" s="181">
        <v>22062611</v>
      </c>
      <c r="Z38" s="181"/>
      <c r="AA38" s="178">
        <v>0</v>
      </c>
      <c r="AB38" s="182"/>
      <c r="AC38" s="183"/>
      <c r="AD38" s="182">
        <v>0</v>
      </c>
      <c r="AE38" s="182"/>
      <c r="AF38" s="182">
        <v>0</v>
      </c>
      <c r="AG38" s="182"/>
      <c r="AH38" s="182">
        <v>0</v>
      </c>
      <c r="AI38" s="182"/>
      <c r="AJ38" s="182">
        <v>0</v>
      </c>
      <c r="AK38" s="182"/>
      <c r="AL38" s="182">
        <v>0</v>
      </c>
      <c r="AM38" s="182"/>
      <c r="AN38" s="182">
        <v>3093884</v>
      </c>
      <c r="AO38" s="182"/>
      <c r="AP38" s="182">
        <v>0</v>
      </c>
      <c r="AQ38" s="173"/>
      <c r="AR38" s="184"/>
      <c r="AS38" s="185"/>
      <c r="AT38" s="185"/>
      <c r="AU38" s="185"/>
      <c r="AV38" s="185"/>
      <c r="AW38" s="185"/>
      <c r="AX38" s="185"/>
      <c r="AY38" s="185"/>
      <c r="AZ38" s="185"/>
      <c r="BA38" s="185"/>
      <c r="BB38" s="185"/>
      <c r="BC38" s="185">
        <v>0.14019999999999999</v>
      </c>
      <c r="BD38" s="185"/>
      <c r="BE38" s="185"/>
      <c r="BF38" s="173"/>
      <c r="BG38" s="173" t="s">
        <v>1743</v>
      </c>
    </row>
    <row r="39" spans="1:59">
      <c r="A39" s="173" t="s">
        <v>1652</v>
      </c>
      <c r="B39" s="173" t="s">
        <v>1649</v>
      </c>
      <c r="C39" s="174" t="s">
        <v>351</v>
      </c>
      <c r="D39" s="175">
        <v>9003</v>
      </c>
      <c r="E39" s="176">
        <v>90003</v>
      </c>
      <c r="F39" s="174" t="s">
        <v>1612</v>
      </c>
      <c r="G39" s="177">
        <v>3281212</v>
      </c>
      <c r="H39" s="178">
        <v>616</v>
      </c>
      <c r="I39" s="174" t="s">
        <v>1604</v>
      </c>
      <c r="J39" s="179" t="s">
        <v>1602</v>
      </c>
      <c r="K39" s="179">
        <v>599</v>
      </c>
      <c r="L39" s="180"/>
      <c r="M39" s="181">
        <v>0</v>
      </c>
      <c r="N39" s="181"/>
      <c r="O39" s="181">
        <v>0</v>
      </c>
      <c r="P39" s="181"/>
      <c r="Q39" s="181">
        <v>0</v>
      </c>
      <c r="R39" s="181"/>
      <c r="S39" s="181">
        <v>0</v>
      </c>
      <c r="T39" s="181"/>
      <c r="U39" s="181">
        <v>0</v>
      </c>
      <c r="V39" s="181"/>
      <c r="W39" s="181">
        <v>0</v>
      </c>
      <c r="X39" s="181"/>
      <c r="Y39" s="181">
        <v>298200780</v>
      </c>
      <c r="Z39" s="181"/>
      <c r="AA39" s="178">
        <v>0</v>
      </c>
      <c r="AB39" s="182"/>
      <c r="AC39" s="183"/>
      <c r="AD39" s="182">
        <v>0</v>
      </c>
      <c r="AE39" s="182"/>
      <c r="AF39" s="182">
        <v>0</v>
      </c>
      <c r="AG39" s="182"/>
      <c r="AH39" s="182">
        <v>0</v>
      </c>
      <c r="AI39" s="182"/>
      <c r="AJ39" s="182">
        <v>0</v>
      </c>
      <c r="AK39" s="182"/>
      <c r="AL39" s="182">
        <v>0</v>
      </c>
      <c r="AM39" s="182"/>
      <c r="AN39" s="182">
        <v>61097126</v>
      </c>
      <c r="AO39" s="182"/>
      <c r="AP39" s="182">
        <v>0</v>
      </c>
      <c r="AQ39" s="173"/>
      <c r="AR39" s="184"/>
      <c r="AS39" s="185"/>
      <c r="AT39" s="185"/>
      <c r="AU39" s="185"/>
      <c r="AV39" s="185"/>
      <c r="AW39" s="185"/>
      <c r="AX39" s="185"/>
      <c r="AY39" s="185"/>
      <c r="AZ39" s="185"/>
      <c r="BA39" s="185"/>
      <c r="BB39" s="185"/>
      <c r="BC39" s="185">
        <v>0.2049</v>
      </c>
      <c r="BD39" s="185"/>
      <c r="BE39" s="185"/>
      <c r="BF39" s="173"/>
      <c r="BG39" s="173" t="s">
        <v>1743</v>
      </c>
    </row>
    <row r="40" spans="1:59">
      <c r="A40" s="173" t="s">
        <v>1751</v>
      </c>
      <c r="B40" s="173" t="s">
        <v>1752</v>
      </c>
      <c r="C40" s="174" t="s">
        <v>371</v>
      </c>
      <c r="D40" s="175">
        <v>7006</v>
      </c>
      <c r="E40" s="176">
        <v>70006</v>
      </c>
      <c r="F40" s="174" t="s">
        <v>1612</v>
      </c>
      <c r="G40" s="177">
        <v>2150706</v>
      </c>
      <c r="H40" s="178">
        <v>493</v>
      </c>
      <c r="I40" s="174" t="s">
        <v>1609</v>
      </c>
      <c r="J40" s="179" t="s">
        <v>1602</v>
      </c>
      <c r="K40" s="179">
        <v>50</v>
      </c>
      <c r="L40" s="180"/>
      <c r="M40" s="181">
        <v>0</v>
      </c>
      <c r="N40" s="181"/>
      <c r="O40" s="181">
        <v>0</v>
      </c>
      <c r="P40" s="181"/>
      <c r="Q40" s="181">
        <v>0</v>
      </c>
      <c r="R40" s="181"/>
      <c r="S40" s="181">
        <v>0</v>
      </c>
      <c r="T40" s="181"/>
      <c r="U40" s="181">
        <v>0</v>
      </c>
      <c r="V40" s="181"/>
      <c r="W40" s="181">
        <v>0</v>
      </c>
      <c r="X40" s="181"/>
      <c r="Y40" s="181">
        <v>36496148</v>
      </c>
      <c r="Z40" s="181"/>
      <c r="AA40" s="178">
        <v>0</v>
      </c>
      <c r="AB40" s="182"/>
      <c r="AC40" s="183"/>
      <c r="AD40" s="182">
        <v>0</v>
      </c>
      <c r="AE40" s="182"/>
      <c r="AF40" s="182">
        <v>0</v>
      </c>
      <c r="AG40" s="182"/>
      <c r="AH40" s="182">
        <v>0</v>
      </c>
      <c r="AI40" s="182"/>
      <c r="AJ40" s="182">
        <v>0</v>
      </c>
      <c r="AK40" s="182"/>
      <c r="AL40" s="182">
        <v>0</v>
      </c>
      <c r="AM40" s="182"/>
      <c r="AN40" s="182">
        <v>5934378</v>
      </c>
      <c r="AO40" s="182"/>
      <c r="AP40" s="182">
        <v>0</v>
      </c>
      <c r="AQ40" s="173"/>
      <c r="AR40" s="184"/>
      <c r="AS40" s="185"/>
      <c r="AT40" s="185"/>
      <c r="AU40" s="185"/>
      <c r="AV40" s="185"/>
      <c r="AW40" s="185"/>
      <c r="AX40" s="185"/>
      <c r="AY40" s="185"/>
      <c r="AZ40" s="185"/>
      <c r="BA40" s="185"/>
      <c r="BB40" s="185"/>
      <c r="BC40" s="185">
        <v>0.16259999999999999</v>
      </c>
      <c r="BD40" s="185"/>
      <c r="BE40" s="185"/>
      <c r="BF40" s="173"/>
      <c r="BG40" s="173" t="s">
        <v>1743</v>
      </c>
    </row>
    <row r="41" spans="1:59">
      <c r="A41" s="173" t="s">
        <v>1654</v>
      </c>
      <c r="B41" s="173" t="s">
        <v>1655</v>
      </c>
      <c r="C41" s="174" t="s">
        <v>382</v>
      </c>
      <c r="D41" s="175">
        <v>5015</v>
      </c>
      <c r="E41" s="176">
        <v>50015</v>
      </c>
      <c r="F41" s="174" t="s">
        <v>1612</v>
      </c>
      <c r="G41" s="177">
        <v>1780673</v>
      </c>
      <c r="H41" s="178">
        <v>418</v>
      </c>
      <c r="I41" s="174" t="s">
        <v>1609</v>
      </c>
      <c r="J41" s="179" t="s">
        <v>1602</v>
      </c>
      <c r="K41" s="179">
        <v>6</v>
      </c>
      <c r="L41" s="180"/>
      <c r="M41" s="181">
        <v>0</v>
      </c>
      <c r="N41" s="181"/>
      <c r="O41" s="181">
        <v>0</v>
      </c>
      <c r="P41" s="181"/>
      <c r="Q41" s="181">
        <v>0</v>
      </c>
      <c r="R41" s="181"/>
      <c r="S41" s="181">
        <v>0</v>
      </c>
      <c r="T41" s="181"/>
      <c r="U41" s="181">
        <v>0</v>
      </c>
      <c r="V41" s="181"/>
      <c r="W41" s="181">
        <v>0</v>
      </c>
      <c r="X41" s="181"/>
      <c r="Y41" s="181">
        <v>11321758</v>
      </c>
      <c r="Z41" s="181"/>
      <c r="AA41" s="178">
        <v>0</v>
      </c>
      <c r="AB41" s="182"/>
      <c r="AC41" s="183"/>
      <c r="AD41" s="182">
        <v>0</v>
      </c>
      <c r="AE41" s="182"/>
      <c r="AF41" s="182">
        <v>0</v>
      </c>
      <c r="AG41" s="182"/>
      <c r="AH41" s="182">
        <v>0</v>
      </c>
      <c r="AI41" s="182"/>
      <c r="AJ41" s="182">
        <v>0</v>
      </c>
      <c r="AK41" s="182"/>
      <c r="AL41" s="182">
        <v>0</v>
      </c>
      <c r="AM41" s="182"/>
      <c r="AN41" s="182">
        <v>625941</v>
      </c>
      <c r="AO41" s="182"/>
      <c r="AP41" s="182">
        <v>0</v>
      </c>
      <c r="AQ41" s="173"/>
      <c r="AR41" s="184"/>
      <c r="AS41" s="185"/>
      <c r="AT41" s="185"/>
      <c r="AU41" s="185"/>
      <c r="AV41" s="185"/>
      <c r="AW41" s="185"/>
      <c r="AX41" s="185"/>
      <c r="AY41" s="185"/>
      <c r="AZ41" s="185"/>
      <c r="BA41" s="185"/>
      <c r="BB41" s="185"/>
      <c r="BC41" s="185">
        <v>5.5300000000000002E-2</v>
      </c>
      <c r="BD41" s="185"/>
      <c r="BE41" s="185"/>
      <c r="BF41" s="173"/>
      <c r="BG41" s="173" t="s">
        <v>1743</v>
      </c>
    </row>
    <row r="42" spans="1:59">
      <c r="A42" s="173" t="s">
        <v>1654</v>
      </c>
      <c r="B42" s="173" t="s">
        <v>1655</v>
      </c>
      <c r="C42" s="174" t="s">
        <v>382</v>
      </c>
      <c r="D42" s="175">
        <v>5015</v>
      </c>
      <c r="E42" s="176">
        <v>50015</v>
      </c>
      <c r="F42" s="174" t="s">
        <v>1612</v>
      </c>
      <c r="G42" s="177">
        <v>1780673</v>
      </c>
      <c r="H42" s="178">
        <v>418</v>
      </c>
      <c r="I42" s="174" t="s">
        <v>1604</v>
      </c>
      <c r="J42" s="179" t="s">
        <v>1602</v>
      </c>
      <c r="K42" s="179">
        <v>16</v>
      </c>
      <c r="L42" s="180"/>
      <c r="M42" s="181">
        <v>0</v>
      </c>
      <c r="N42" s="181"/>
      <c r="O42" s="181">
        <v>0</v>
      </c>
      <c r="P42" s="181"/>
      <c r="Q42" s="181">
        <v>0</v>
      </c>
      <c r="R42" s="181"/>
      <c r="S42" s="181">
        <v>0</v>
      </c>
      <c r="T42" s="181"/>
      <c r="U42" s="181">
        <v>0</v>
      </c>
      <c r="V42" s="181"/>
      <c r="W42" s="181">
        <v>0</v>
      </c>
      <c r="X42" s="181"/>
      <c r="Y42" s="181">
        <v>20768378</v>
      </c>
      <c r="Z42" s="181"/>
      <c r="AA42" s="178">
        <v>0</v>
      </c>
      <c r="AB42" s="182"/>
      <c r="AC42" s="183"/>
      <c r="AD42" s="182">
        <v>0</v>
      </c>
      <c r="AE42" s="182"/>
      <c r="AF42" s="182">
        <v>0</v>
      </c>
      <c r="AG42" s="182"/>
      <c r="AH42" s="182">
        <v>0</v>
      </c>
      <c r="AI42" s="182"/>
      <c r="AJ42" s="182">
        <v>0</v>
      </c>
      <c r="AK42" s="182"/>
      <c r="AL42" s="182">
        <v>0</v>
      </c>
      <c r="AM42" s="182"/>
      <c r="AN42" s="182">
        <v>2295631</v>
      </c>
      <c r="AO42" s="182"/>
      <c r="AP42" s="182">
        <v>0</v>
      </c>
      <c r="AQ42" s="173"/>
      <c r="AR42" s="184"/>
      <c r="AS42" s="185"/>
      <c r="AT42" s="185"/>
      <c r="AU42" s="185"/>
      <c r="AV42" s="185"/>
      <c r="AW42" s="185"/>
      <c r="AX42" s="185"/>
      <c r="AY42" s="185"/>
      <c r="AZ42" s="185"/>
      <c r="BA42" s="185"/>
      <c r="BB42" s="185"/>
      <c r="BC42" s="185">
        <v>0.1105</v>
      </c>
      <c r="BD42" s="185"/>
      <c r="BE42" s="185"/>
      <c r="BF42" s="173"/>
      <c r="BG42" s="173" t="s">
        <v>1743</v>
      </c>
    </row>
    <row r="43" spans="1:59">
      <c r="A43" s="173" t="s">
        <v>1658</v>
      </c>
      <c r="B43" s="173" t="s">
        <v>1659</v>
      </c>
      <c r="C43" s="174" t="s">
        <v>396</v>
      </c>
      <c r="D43" s="175">
        <v>3083</v>
      </c>
      <c r="E43" s="176">
        <v>30083</v>
      </c>
      <c r="F43" s="174" t="s">
        <v>1612</v>
      </c>
      <c r="G43" s="177">
        <v>1439666</v>
      </c>
      <c r="H43" s="178">
        <v>417</v>
      </c>
      <c r="I43" s="174" t="s">
        <v>1609</v>
      </c>
      <c r="J43" s="179" t="s">
        <v>1602</v>
      </c>
      <c r="K43" s="179">
        <v>6</v>
      </c>
      <c r="L43" s="180"/>
      <c r="M43" s="181">
        <v>0</v>
      </c>
      <c r="N43" s="181"/>
      <c r="O43" s="181">
        <v>0</v>
      </c>
      <c r="P43" s="181"/>
      <c r="Q43" s="181">
        <v>0</v>
      </c>
      <c r="R43" s="181"/>
      <c r="S43" s="181">
        <v>0</v>
      </c>
      <c r="T43" s="181"/>
      <c r="U43" s="181">
        <v>0</v>
      </c>
      <c r="V43" s="181"/>
      <c r="W43" s="181">
        <v>0</v>
      </c>
      <c r="X43" s="181"/>
      <c r="Y43" s="181">
        <v>3318000</v>
      </c>
      <c r="Z43" s="181"/>
      <c r="AA43" s="178">
        <v>0</v>
      </c>
      <c r="AB43" s="182"/>
      <c r="AC43" s="183"/>
      <c r="AD43" s="182">
        <v>0</v>
      </c>
      <c r="AE43" s="182"/>
      <c r="AF43" s="182">
        <v>0</v>
      </c>
      <c r="AG43" s="182"/>
      <c r="AH43" s="182">
        <v>0</v>
      </c>
      <c r="AI43" s="182"/>
      <c r="AJ43" s="182">
        <v>0</v>
      </c>
      <c r="AK43" s="182"/>
      <c r="AL43" s="182">
        <v>0</v>
      </c>
      <c r="AM43" s="182"/>
      <c r="AN43" s="182">
        <v>345837</v>
      </c>
      <c r="AO43" s="182"/>
      <c r="AP43" s="182">
        <v>0</v>
      </c>
      <c r="AQ43" s="173"/>
      <c r="AR43" s="184"/>
      <c r="AS43" s="185"/>
      <c r="AT43" s="185"/>
      <c r="AU43" s="185"/>
      <c r="AV43" s="185"/>
      <c r="AW43" s="185"/>
      <c r="AX43" s="185"/>
      <c r="AY43" s="185"/>
      <c r="AZ43" s="185"/>
      <c r="BA43" s="185"/>
      <c r="BB43" s="185"/>
      <c r="BC43" s="185">
        <v>0.1042</v>
      </c>
      <c r="BD43" s="185"/>
      <c r="BE43" s="185"/>
      <c r="BF43" s="173"/>
      <c r="BG43" s="173" t="s">
        <v>1743</v>
      </c>
    </row>
    <row r="44" spans="1:59">
      <c r="A44" s="173" t="s">
        <v>1656</v>
      </c>
      <c r="B44" s="173" t="s">
        <v>1657</v>
      </c>
      <c r="C44" s="174" t="s">
        <v>374</v>
      </c>
      <c r="D44" s="175">
        <v>4008</v>
      </c>
      <c r="E44" s="176">
        <v>40008</v>
      </c>
      <c r="F44" s="174" t="s">
        <v>1615</v>
      </c>
      <c r="G44" s="177">
        <v>1249442</v>
      </c>
      <c r="H44" s="178">
        <v>409</v>
      </c>
      <c r="I44" s="174" t="s">
        <v>1609</v>
      </c>
      <c r="J44" s="179" t="s">
        <v>1602</v>
      </c>
      <c r="K44" s="179">
        <v>36</v>
      </c>
      <c r="L44" s="180"/>
      <c r="M44" s="181">
        <v>0</v>
      </c>
      <c r="N44" s="181"/>
      <c r="O44" s="181">
        <v>0</v>
      </c>
      <c r="P44" s="181"/>
      <c r="Q44" s="181">
        <v>0</v>
      </c>
      <c r="R44" s="181"/>
      <c r="S44" s="181">
        <v>0</v>
      </c>
      <c r="T44" s="181"/>
      <c r="U44" s="181">
        <v>0</v>
      </c>
      <c r="V44" s="181"/>
      <c r="W44" s="181">
        <v>0</v>
      </c>
      <c r="X44" s="181"/>
      <c r="Y44" s="181">
        <v>16786660</v>
      </c>
      <c r="Z44" s="181"/>
      <c r="AA44" s="178">
        <v>0</v>
      </c>
      <c r="AB44" s="182"/>
      <c r="AC44" s="183"/>
      <c r="AD44" s="182">
        <v>0</v>
      </c>
      <c r="AE44" s="182"/>
      <c r="AF44" s="182">
        <v>0</v>
      </c>
      <c r="AG44" s="182"/>
      <c r="AH44" s="182">
        <v>0</v>
      </c>
      <c r="AI44" s="182"/>
      <c r="AJ44" s="182">
        <v>0</v>
      </c>
      <c r="AK44" s="182"/>
      <c r="AL44" s="182">
        <v>0</v>
      </c>
      <c r="AM44" s="182"/>
      <c r="AN44" s="182">
        <v>2267804</v>
      </c>
      <c r="AO44" s="182"/>
      <c r="AP44" s="182">
        <v>0</v>
      </c>
      <c r="AQ44" s="173"/>
      <c r="AR44" s="184"/>
      <c r="AS44" s="185"/>
      <c r="AT44" s="185"/>
      <c r="AU44" s="185"/>
      <c r="AV44" s="185"/>
      <c r="AW44" s="185"/>
      <c r="AX44" s="185"/>
      <c r="AY44" s="185"/>
      <c r="AZ44" s="185"/>
      <c r="BA44" s="185"/>
      <c r="BB44" s="185"/>
      <c r="BC44" s="185">
        <v>0.1351</v>
      </c>
      <c r="BD44" s="185"/>
      <c r="BE44" s="185"/>
      <c r="BF44" s="173"/>
      <c r="BG44" s="173" t="s">
        <v>1743</v>
      </c>
    </row>
    <row r="45" spans="1:59">
      <c r="A45" s="173" t="s">
        <v>1660</v>
      </c>
      <c r="B45" s="173" t="s">
        <v>1614</v>
      </c>
      <c r="C45" s="174" t="s">
        <v>398</v>
      </c>
      <c r="D45" s="175">
        <v>40</v>
      </c>
      <c r="E45" s="176">
        <v>40</v>
      </c>
      <c r="F45" s="174" t="s">
        <v>1612</v>
      </c>
      <c r="G45" s="177">
        <v>3059393</v>
      </c>
      <c r="H45" s="178">
        <v>381</v>
      </c>
      <c r="I45" s="174" t="s">
        <v>1610</v>
      </c>
      <c r="J45" s="179" t="s">
        <v>1605</v>
      </c>
      <c r="K45" s="179">
        <v>70</v>
      </c>
      <c r="L45" s="180"/>
      <c r="M45" s="181">
        <v>625305</v>
      </c>
      <c r="N45" s="181"/>
      <c r="O45" s="181">
        <v>0</v>
      </c>
      <c r="P45" s="181"/>
      <c r="Q45" s="181">
        <v>0</v>
      </c>
      <c r="R45" s="181"/>
      <c r="S45" s="181">
        <v>0</v>
      </c>
      <c r="T45" s="181"/>
      <c r="U45" s="181">
        <v>0</v>
      </c>
      <c r="V45" s="181"/>
      <c r="W45" s="181">
        <v>0</v>
      </c>
      <c r="X45" s="181"/>
      <c r="Y45" s="181">
        <v>0</v>
      </c>
      <c r="Z45" s="181"/>
      <c r="AA45" s="178">
        <v>0</v>
      </c>
      <c r="AB45" s="182"/>
      <c r="AC45" s="183"/>
      <c r="AD45" s="182">
        <v>335545</v>
      </c>
      <c r="AE45" s="182"/>
      <c r="AF45" s="182">
        <v>0</v>
      </c>
      <c r="AG45" s="182"/>
      <c r="AH45" s="182">
        <v>0</v>
      </c>
      <c r="AI45" s="182"/>
      <c r="AJ45" s="182">
        <v>0</v>
      </c>
      <c r="AK45" s="182"/>
      <c r="AL45" s="182">
        <v>0</v>
      </c>
      <c r="AM45" s="182"/>
      <c r="AN45" s="182">
        <v>0</v>
      </c>
      <c r="AO45" s="182"/>
      <c r="AP45" s="182">
        <v>0</v>
      </c>
      <c r="AQ45" s="173"/>
      <c r="AR45" s="184"/>
      <c r="AS45" s="185">
        <v>0.53659999999999997</v>
      </c>
      <c r="AT45" s="185"/>
      <c r="AU45" s="185"/>
      <c r="AV45" s="185"/>
      <c r="AW45" s="185"/>
      <c r="AX45" s="185"/>
      <c r="AY45" s="185"/>
      <c r="AZ45" s="185"/>
      <c r="BA45" s="185"/>
      <c r="BB45" s="185"/>
      <c r="BC45" s="185"/>
      <c r="BD45" s="185"/>
      <c r="BE45" s="185"/>
      <c r="BF45" s="173"/>
      <c r="BG45" s="173" t="s">
        <v>1743</v>
      </c>
    </row>
    <row r="46" spans="1:59">
      <c r="A46" s="173" t="s">
        <v>1660</v>
      </c>
      <c r="B46" s="173" t="s">
        <v>1614</v>
      </c>
      <c r="C46" s="174" t="s">
        <v>398</v>
      </c>
      <c r="D46" s="175">
        <v>40</v>
      </c>
      <c r="E46" s="176">
        <v>40</v>
      </c>
      <c r="F46" s="174" t="s">
        <v>1612</v>
      </c>
      <c r="G46" s="177">
        <v>3059393</v>
      </c>
      <c r="H46" s="178">
        <v>381</v>
      </c>
      <c r="I46" s="174" t="s">
        <v>1609</v>
      </c>
      <c r="J46" s="179" t="s">
        <v>1602</v>
      </c>
      <c r="K46" s="179">
        <v>48</v>
      </c>
      <c r="L46" s="180"/>
      <c r="M46" s="181">
        <v>0</v>
      </c>
      <c r="N46" s="181"/>
      <c r="O46" s="181">
        <v>0</v>
      </c>
      <c r="P46" s="181"/>
      <c r="Q46" s="181">
        <v>0</v>
      </c>
      <c r="R46" s="181"/>
      <c r="S46" s="181">
        <v>0</v>
      </c>
      <c r="T46" s="181"/>
      <c r="U46" s="181">
        <v>0</v>
      </c>
      <c r="V46" s="181"/>
      <c r="W46" s="181">
        <v>0</v>
      </c>
      <c r="X46" s="181"/>
      <c r="Y46" s="181">
        <v>20355203</v>
      </c>
      <c r="Z46" s="181"/>
      <c r="AA46" s="178">
        <v>0</v>
      </c>
      <c r="AB46" s="182"/>
      <c r="AC46" s="183"/>
      <c r="AD46" s="182">
        <v>0</v>
      </c>
      <c r="AE46" s="182"/>
      <c r="AF46" s="182">
        <v>0</v>
      </c>
      <c r="AG46" s="182"/>
      <c r="AH46" s="182">
        <v>0</v>
      </c>
      <c r="AI46" s="182"/>
      <c r="AJ46" s="182">
        <v>0</v>
      </c>
      <c r="AK46" s="182"/>
      <c r="AL46" s="182">
        <v>0</v>
      </c>
      <c r="AM46" s="182"/>
      <c r="AN46" s="182">
        <v>4232555</v>
      </c>
      <c r="AO46" s="182"/>
      <c r="AP46" s="182">
        <v>0</v>
      </c>
      <c r="AQ46" s="173"/>
      <c r="AR46" s="184"/>
      <c r="AS46" s="185"/>
      <c r="AT46" s="185"/>
      <c r="AU46" s="185"/>
      <c r="AV46" s="185"/>
      <c r="AW46" s="185"/>
      <c r="AX46" s="185"/>
      <c r="AY46" s="185"/>
      <c r="AZ46" s="185"/>
      <c r="BA46" s="185"/>
      <c r="BB46" s="185"/>
      <c r="BC46" s="185">
        <v>0.2079</v>
      </c>
      <c r="BD46" s="185"/>
      <c r="BE46" s="185"/>
      <c r="BF46" s="173"/>
      <c r="BG46" s="173" t="s">
        <v>1743</v>
      </c>
    </row>
    <row r="47" spans="1:59">
      <c r="A47" s="173" t="s">
        <v>1662</v>
      </c>
      <c r="B47" s="173" t="s">
        <v>1663</v>
      </c>
      <c r="C47" s="174" t="s">
        <v>381</v>
      </c>
      <c r="D47" s="175">
        <v>2004</v>
      </c>
      <c r="E47" s="176">
        <v>20004</v>
      </c>
      <c r="F47" s="174" t="s">
        <v>1612</v>
      </c>
      <c r="G47" s="177">
        <v>935906</v>
      </c>
      <c r="H47" s="178">
        <v>359</v>
      </c>
      <c r="I47" s="174" t="s">
        <v>1609</v>
      </c>
      <c r="J47" s="179" t="s">
        <v>1602</v>
      </c>
      <c r="K47" s="179">
        <v>23</v>
      </c>
      <c r="L47" s="180"/>
      <c r="M47" s="181">
        <v>0</v>
      </c>
      <c r="N47" s="181"/>
      <c r="O47" s="181">
        <v>0</v>
      </c>
      <c r="P47" s="181"/>
      <c r="Q47" s="181">
        <v>0</v>
      </c>
      <c r="R47" s="181"/>
      <c r="S47" s="181">
        <v>0</v>
      </c>
      <c r="T47" s="181"/>
      <c r="U47" s="181">
        <v>0</v>
      </c>
      <c r="V47" s="181"/>
      <c r="W47" s="181">
        <v>0</v>
      </c>
      <c r="X47" s="181"/>
      <c r="Y47" s="181">
        <v>7920559</v>
      </c>
      <c r="Z47" s="181"/>
      <c r="AA47" s="178">
        <v>0</v>
      </c>
      <c r="AB47" s="182"/>
      <c r="AC47" s="183"/>
      <c r="AD47" s="182">
        <v>0</v>
      </c>
      <c r="AE47" s="182"/>
      <c r="AF47" s="182">
        <v>0</v>
      </c>
      <c r="AG47" s="182"/>
      <c r="AH47" s="182">
        <v>0</v>
      </c>
      <c r="AI47" s="182"/>
      <c r="AJ47" s="182">
        <v>0</v>
      </c>
      <c r="AK47" s="182"/>
      <c r="AL47" s="182">
        <v>0</v>
      </c>
      <c r="AM47" s="182"/>
      <c r="AN47" s="182">
        <v>990450</v>
      </c>
      <c r="AO47" s="182"/>
      <c r="AP47" s="182">
        <v>0</v>
      </c>
      <c r="AQ47" s="173"/>
      <c r="AR47" s="184"/>
      <c r="AS47" s="185"/>
      <c r="AT47" s="185"/>
      <c r="AU47" s="185"/>
      <c r="AV47" s="185"/>
      <c r="AW47" s="185"/>
      <c r="AX47" s="185"/>
      <c r="AY47" s="185"/>
      <c r="AZ47" s="185"/>
      <c r="BA47" s="185"/>
      <c r="BB47" s="185"/>
      <c r="BC47" s="185">
        <v>0.125</v>
      </c>
      <c r="BD47" s="185"/>
      <c r="BE47" s="185"/>
      <c r="BF47" s="173"/>
      <c r="BG47" s="173" t="s">
        <v>1743</v>
      </c>
    </row>
    <row r="48" spans="1:59">
      <c r="A48" s="173" t="s">
        <v>1667</v>
      </c>
      <c r="B48" s="173" t="s">
        <v>1668</v>
      </c>
      <c r="C48" s="174" t="s">
        <v>351</v>
      </c>
      <c r="D48" s="175">
        <v>9019</v>
      </c>
      <c r="E48" s="176">
        <v>90019</v>
      </c>
      <c r="F48" s="174" t="s">
        <v>1612</v>
      </c>
      <c r="G48" s="177">
        <v>1723634</v>
      </c>
      <c r="H48" s="178">
        <v>331</v>
      </c>
      <c r="I48" s="174" t="s">
        <v>1609</v>
      </c>
      <c r="J48" s="179" t="s">
        <v>1602</v>
      </c>
      <c r="K48" s="179">
        <v>69</v>
      </c>
      <c r="L48" s="180"/>
      <c r="M48" s="181">
        <v>0</v>
      </c>
      <c r="N48" s="181"/>
      <c r="O48" s="181">
        <v>0</v>
      </c>
      <c r="P48" s="181"/>
      <c r="Q48" s="181">
        <v>0</v>
      </c>
      <c r="R48" s="181"/>
      <c r="S48" s="181">
        <v>0</v>
      </c>
      <c r="T48" s="181"/>
      <c r="U48" s="181">
        <v>0</v>
      </c>
      <c r="V48" s="181"/>
      <c r="W48" s="181">
        <v>0</v>
      </c>
      <c r="X48" s="181"/>
      <c r="Y48" s="181">
        <v>30089655</v>
      </c>
      <c r="Z48" s="181"/>
      <c r="AA48" s="178">
        <v>0</v>
      </c>
      <c r="AB48" s="182"/>
      <c r="AC48" s="183"/>
      <c r="AD48" s="182">
        <v>0</v>
      </c>
      <c r="AE48" s="182"/>
      <c r="AF48" s="182">
        <v>0</v>
      </c>
      <c r="AG48" s="182"/>
      <c r="AH48" s="182">
        <v>0</v>
      </c>
      <c r="AI48" s="182"/>
      <c r="AJ48" s="182">
        <v>0</v>
      </c>
      <c r="AK48" s="182"/>
      <c r="AL48" s="182">
        <v>0</v>
      </c>
      <c r="AM48" s="182"/>
      <c r="AN48" s="182">
        <v>3768892</v>
      </c>
      <c r="AO48" s="182"/>
      <c r="AP48" s="182">
        <v>0</v>
      </c>
      <c r="AQ48" s="173"/>
      <c r="AR48" s="184"/>
      <c r="AS48" s="185"/>
      <c r="AT48" s="185"/>
      <c r="AU48" s="185"/>
      <c r="AV48" s="185"/>
      <c r="AW48" s="185"/>
      <c r="AX48" s="185"/>
      <c r="AY48" s="185"/>
      <c r="AZ48" s="185"/>
      <c r="BA48" s="185"/>
      <c r="BB48" s="185"/>
      <c r="BC48" s="185">
        <v>0.12529999999999999</v>
      </c>
      <c r="BD48" s="185"/>
      <c r="BE48" s="185"/>
      <c r="BF48" s="173"/>
      <c r="BG48" s="173" t="s">
        <v>1743</v>
      </c>
    </row>
    <row r="49" spans="1:59">
      <c r="A49" s="173" t="s">
        <v>1664</v>
      </c>
      <c r="B49" s="173" t="s">
        <v>1665</v>
      </c>
      <c r="C49" s="174" t="s">
        <v>390</v>
      </c>
      <c r="D49" s="175">
        <v>6007</v>
      </c>
      <c r="E49" s="176">
        <v>60007</v>
      </c>
      <c r="F49" s="174" t="s">
        <v>1612</v>
      </c>
      <c r="G49" s="177">
        <v>5121892</v>
      </c>
      <c r="H49" s="178">
        <v>312</v>
      </c>
      <c r="I49" s="174" t="s">
        <v>1610</v>
      </c>
      <c r="J49" s="179" t="s">
        <v>1605</v>
      </c>
      <c r="K49" s="179">
        <v>20</v>
      </c>
      <c r="L49" s="180"/>
      <c r="M49" s="181">
        <v>442412</v>
      </c>
      <c r="N49" s="181"/>
      <c r="O49" s="181">
        <v>0</v>
      </c>
      <c r="P49" s="181"/>
      <c r="Q49" s="181">
        <v>0</v>
      </c>
      <c r="R49" s="181"/>
      <c r="S49" s="181">
        <v>0</v>
      </c>
      <c r="T49" s="181"/>
      <c r="U49" s="181">
        <v>0</v>
      </c>
      <c r="V49" s="181"/>
      <c r="W49" s="181">
        <v>0</v>
      </c>
      <c r="X49" s="181"/>
      <c r="Y49" s="181">
        <v>0</v>
      </c>
      <c r="Z49" s="181"/>
      <c r="AA49" s="178">
        <v>0</v>
      </c>
      <c r="AB49" s="182"/>
      <c r="AC49" s="183"/>
      <c r="AD49" s="182">
        <v>2349673</v>
      </c>
      <c r="AE49" s="182"/>
      <c r="AF49" s="182">
        <v>0</v>
      </c>
      <c r="AG49" s="182"/>
      <c r="AH49" s="182">
        <v>0</v>
      </c>
      <c r="AI49" s="182"/>
      <c r="AJ49" s="182">
        <v>0</v>
      </c>
      <c r="AK49" s="182"/>
      <c r="AL49" s="182">
        <v>0</v>
      </c>
      <c r="AM49" s="182"/>
      <c r="AN49" s="182">
        <v>0</v>
      </c>
      <c r="AO49" s="182"/>
      <c r="AP49" s="182">
        <v>0</v>
      </c>
      <c r="AQ49" s="173"/>
      <c r="AR49" s="184"/>
      <c r="AS49" s="185">
        <v>5.3110999999999997</v>
      </c>
      <c r="AT49" s="185"/>
      <c r="AU49" s="185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73"/>
      <c r="BG49" s="173" t="s">
        <v>1743</v>
      </c>
    </row>
    <row r="50" spans="1:59">
      <c r="A50" s="173" t="s">
        <v>1666</v>
      </c>
      <c r="B50" s="173" t="s">
        <v>89</v>
      </c>
      <c r="C50" s="174" t="s">
        <v>378</v>
      </c>
      <c r="D50" s="175">
        <v>2098</v>
      </c>
      <c r="E50" s="176">
        <v>20098</v>
      </c>
      <c r="F50" s="174" t="s">
        <v>1612</v>
      </c>
      <c r="G50" s="177">
        <v>18351295</v>
      </c>
      <c r="H50" s="178">
        <v>310</v>
      </c>
      <c r="I50" s="174" t="s">
        <v>1604</v>
      </c>
      <c r="J50" s="179" t="s">
        <v>1602</v>
      </c>
      <c r="K50" s="179">
        <v>304</v>
      </c>
      <c r="L50" s="180"/>
      <c r="M50" s="181">
        <v>0</v>
      </c>
      <c r="N50" s="181"/>
      <c r="O50" s="181">
        <v>0</v>
      </c>
      <c r="P50" s="181"/>
      <c r="Q50" s="181">
        <v>0</v>
      </c>
      <c r="R50" s="181"/>
      <c r="S50" s="181">
        <v>0</v>
      </c>
      <c r="T50" s="181"/>
      <c r="U50" s="181">
        <v>0</v>
      </c>
      <c r="V50" s="181"/>
      <c r="W50" s="181">
        <v>0</v>
      </c>
      <c r="X50" s="181"/>
      <c r="Y50" s="181">
        <v>93567629</v>
      </c>
      <c r="Z50" s="181"/>
      <c r="AA50" s="178">
        <v>0</v>
      </c>
      <c r="AB50" s="182"/>
      <c r="AC50" s="183"/>
      <c r="AD50" s="182">
        <v>0</v>
      </c>
      <c r="AE50" s="182"/>
      <c r="AF50" s="182">
        <v>0</v>
      </c>
      <c r="AG50" s="182"/>
      <c r="AH50" s="182">
        <v>0</v>
      </c>
      <c r="AI50" s="182"/>
      <c r="AJ50" s="182">
        <v>0</v>
      </c>
      <c r="AK50" s="182"/>
      <c r="AL50" s="182">
        <v>0</v>
      </c>
      <c r="AM50" s="182"/>
      <c r="AN50" s="182">
        <v>13256385</v>
      </c>
      <c r="AO50" s="182"/>
      <c r="AP50" s="182">
        <v>0</v>
      </c>
      <c r="AQ50" s="173"/>
      <c r="AR50" s="184"/>
      <c r="AS50" s="185"/>
      <c r="AT50" s="185"/>
      <c r="AU50" s="185"/>
      <c r="AV50" s="185"/>
      <c r="AW50" s="185"/>
      <c r="AX50" s="185"/>
      <c r="AY50" s="185"/>
      <c r="AZ50" s="185"/>
      <c r="BA50" s="185"/>
      <c r="BB50" s="185"/>
      <c r="BC50" s="185">
        <v>0.14169999999999999</v>
      </c>
      <c r="BD50" s="185"/>
      <c r="BE50" s="185"/>
      <c r="BF50" s="173"/>
      <c r="BG50" s="173" t="s">
        <v>1743</v>
      </c>
    </row>
    <row r="51" spans="1:59">
      <c r="A51" s="173" t="s">
        <v>1670</v>
      </c>
      <c r="B51" s="173" t="s">
        <v>1671</v>
      </c>
      <c r="C51" s="174" t="s">
        <v>351</v>
      </c>
      <c r="D51" s="175">
        <v>9030</v>
      </c>
      <c r="E51" s="176">
        <v>90030</v>
      </c>
      <c r="F51" s="174" t="s">
        <v>1612</v>
      </c>
      <c r="G51" s="177">
        <v>2956746</v>
      </c>
      <c r="H51" s="178">
        <v>205</v>
      </c>
      <c r="I51" s="174" t="s">
        <v>1610</v>
      </c>
      <c r="J51" s="179" t="s">
        <v>1605</v>
      </c>
      <c r="K51" s="179">
        <v>24</v>
      </c>
      <c r="L51" s="180"/>
      <c r="M51" s="181">
        <v>766773</v>
      </c>
      <c r="N51" s="181"/>
      <c r="O51" s="181">
        <v>0</v>
      </c>
      <c r="P51" s="181"/>
      <c r="Q51" s="181">
        <v>0</v>
      </c>
      <c r="R51" s="181"/>
      <c r="S51" s="181">
        <v>0</v>
      </c>
      <c r="T51" s="181"/>
      <c r="U51" s="181">
        <v>0</v>
      </c>
      <c r="V51" s="181"/>
      <c r="W51" s="181">
        <v>0</v>
      </c>
      <c r="X51" s="181"/>
      <c r="Y51" s="181">
        <v>0</v>
      </c>
      <c r="Z51" s="181"/>
      <c r="AA51" s="178">
        <v>0</v>
      </c>
      <c r="AB51" s="182"/>
      <c r="AC51" s="183"/>
      <c r="AD51" s="182">
        <v>253519</v>
      </c>
      <c r="AE51" s="182"/>
      <c r="AF51" s="182">
        <v>0</v>
      </c>
      <c r="AG51" s="182"/>
      <c r="AH51" s="182">
        <v>0</v>
      </c>
      <c r="AI51" s="182"/>
      <c r="AJ51" s="182">
        <v>0</v>
      </c>
      <c r="AK51" s="182"/>
      <c r="AL51" s="182">
        <v>0</v>
      </c>
      <c r="AM51" s="182"/>
      <c r="AN51" s="182">
        <v>0</v>
      </c>
      <c r="AO51" s="182"/>
      <c r="AP51" s="182">
        <v>0</v>
      </c>
      <c r="AQ51" s="173"/>
      <c r="AR51" s="184"/>
      <c r="AS51" s="185">
        <v>0.3306</v>
      </c>
      <c r="AT51" s="185"/>
      <c r="AU51" s="185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73"/>
      <c r="BG51" s="173" t="s">
        <v>1743</v>
      </c>
    </row>
    <row r="52" spans="1:59">
      <c r="A52" s="173" t="s">
        <v>1672</v>
      </c>
      <c r="B52" s="173" t="s">
        <v>1611</v>
      </c>
      <c r="C52" s="174" t="s">
        <v>351</v>
      </c>
      <c r="D52" s="175">
        <v>9151</v>
      </c>
      <c r="E52" s="176">
        <v>90151</v>
      </c>
      <c r="F52" s="174" t="s">
        <v>1612</v>
      </c>
      <c r="G52" s="177">
        <v>12150996</v>
      </c>
      <c r="H52" s="178">
        <v>195</v>
      </c>
      <c r="I52" s="174" t="s">
        <v>1610</v>
      </c>
      <c r="J52" s="179" t="s">
        <v>1605</v>
      </c>
      <c r="K52" s="179">
        <v>195</v>
      </c>
      <c r="L52" s="180"/>
      <c r="M52" s="181">
        <v>8293151</v>
      </c>
      <c r="N52" s="181"/>
      <c r="O52" s="181">
        <v>0</v>
      </c>
      <c r="P52" s="181"/>
      <c r="Q52" s="181">
        <v>0</v>
      </c>
      <c r="R52" s="181"/>
      <c r="S52" s="181">
        <v>0</v>
      </c>
      <c r="T52" s="181"/>
      <c r="U52" s="181">
        <v>0</v>
      </c>
      <c r="V52" s="181"/>
      <c r="W52" s="181">
        <v>0</v>
      </c>
      <c r="X52" s="181"/>
      <c r="Y52" s="181">
        <v>0</v>
      </c>
      <c r="Z52" s="181"/>
      <c r="AA52" s="178">
        <v>0</v>
      </c>
      <c r="AB52" s="182"/>
      <c r="AC52" s="183"/>
      <c r="AD52" s="182">
        <v>2539026</v>
      </c>
      <c r="AE52" s="182"/>
      <c r="AF52" s="182">
        <v>0</v>
      </c>
      <c r="AG52" s="182"/>
      <c r="AH52" s="182">
        <v>0</v>
      </c>
      <c r="AI52" s="182"/>
      <c r="AJ52" s="182">
        <v>0</v>
      </c>
      <c r="AK52" s="182"/>
      <c r="AL52" s="182">
        <v>0</v>
      </c>
      <c r="AM52" s="182"/>
      <c r="AN52" s="182">
        <v>0</v>
      </c>
      <c r="AO52" s="182"/>
      <c r="AP52" s="182">
        <v>0</v>
      </c>
      <c r="AQ52" s="173"/>
      <c r="AR52" s="184"/>
      <c r="AS52" s="185">
        <v>0.30620000000000003</v>
      </c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  <c r="BE52" s="185"/>
      <c r="BF52" s="173"/>
      <c r="BG52" s="173" t="s">
        <v>1743</v>
      </c>
    </row>
    <row r="53" spans="1:59">
      <c r="A53" s="173" t="s">
        <v>1675</v>
      </c>
      <c r="B53" s="173" t="s">
        <v>1661</v>
      </c>
      <c r="C53" s="174" t="s">
        <v>351</v>
      </c>
      <c r="D53" s="175">
        <v>9134</v>
      </c>
      <c r="E53" s="176">
        <v>90134</v>
      </c>
      <c r="F53" s="174" t="s">
        <v>1612</v>
      </c>
      <c r="G53" s="177">
        <v>3281212</v>
      </c>
      <c r="H53" s="178">
        <v>141</v>
      </c>
      <c r="I53" s="174" t="s">
        <v>1610</v>
      </c>
      <c r="J53" s="179" t="s">
        <v>1605</v>
      </c>
      <c r="K53" s="179">
        <v>111</v>
      </c>
      <c r="L53" s="180"/>
      <c r="M53" s="181">
        <v>3805923</v>
      </c>
      <c r="N53" s="181"/>
      <c r="O53" s="181">
        <v>0</v>
      </c>
      <c r="P53" s="181"/>
      <c r="Q53" s="181">
        <v>0</v>
      </c>
      <c r="R53" s="181"/>
      <c r="S53" s="181">
        <v>0</v>
      </c>
      <c r="T53" s="181"/>
      <c r="U53" s="181">
        <v>0</v>
      </c>
      <c r="V53" s="181"/>
      <c r="W53" s="181">
        <v>0</v>
      </c>
      <c r="X53" s="181"/>
      <c r="Y53" s="181">
        <v>0</v>
      </c>
      <c r="Z53" s="181"/>
      <c r="AA53" s="178">
        <v>0</v>
      </c>
      <c r="AB53" s="182"/>
      <c r="AC53" s="183"/>
      <c r="AD53" s="182">
        <v>1179829</v>
      </c>
      <c r="AE53" s="182"/>
      <c r="AF53" s="182">
        <v>0</v>
      </c>
      <c r="AG53" s="182"/>
      <c r="AH53" s="182">
        <v>0</v>
      </c>
      <c r="AI53" s="182"/>
      <c r="AJ53" s="182">
        <v>0</v>
      </c>
      <c r="AK53" s="182"/>
      <c r="AL53" s="182">
        <v>0</v>
      </c>
      <c r="AM53" s="182"/>
      <c r="AN53" s="182">
        <v>0</v>
      </c>
      <c r="AO53" s="182"/>
      <c r="AP53" s="182">
        <v>0</v>
      </c>
      <c r="AQ53" s="173"/>
      <c r="AR53" s="184"/>
      <c r="AS53" s="185">
        <v>0.31</v>
      </c>
      <c r="AT53" s="185"/>
      <c r="AU53" s="185"/>
      <c r="AV53" s="185"/>
      <c r="AW53" s="185"/>
      <c r="AX53" s="185"/>
      <c r="AY53" s="185"/>
      <c r="AZ53" s="185"/>
      <c r="BA53" s="185"/>
      <c r="BB53" s="185"/>
      <c r="BC53" s="185"/>
      <c r="BD53" s="185"/>
      <c r="BE53" s="185"/>
      <c r="BF53" s="173"/>
      <c r="BG53" s="173" t="s">
        <v>1743</v>
      </c>
    </row>
    <row r="54" spans="1:59">
      <c r="A54" s="173" t="s">
        <v>1679</v>
      </c>
      <c r="B54" s="173" t="s">
        <v>1674</v>
      </c>
      <c r="C54" s="174" t="s">
        <v>396</v>
      </c>
      <c r="D54" s="175">
        <v>3073</v>
      </c>
      <c r="E54" s="176">
        <v>30073</v>
      </c>
      <c r="F54" s="174" t="s">
        <v>1612</v>
      </c>
      <c r="G54" s="177">
        <v>4586770</v>
      </c>
      <c r="H54" s="178">
        <v>99</v>
      </c>
      <c r="I54" s="174" t="s">
        <v>1610</v>
      </c>
      <c r="J54" s="179" t="s">
        <v>1605</v>
      </c>
      <c r="K54" s="179">
        <v>99</v>
      </c>
      <c r="L54" s="180"/>
      <c r="M54" s="181">
        <v>1430638</v>
      </c>
      <c r="N54" s="181"/>
      <c r="O54" s="181">
        <v>0</v>
      </c>
      <c r="P54" s="181"/>
      <c r="Q54" s="181">
        <v>0</v>
      </c>
      <c r="R54" s="181"/>
      <c r="S54" s="181">
        <v>0</v>
      </c>
      <c r="T54" s="181"/>
      <c r="U54" s="181">
        <v>0</v>
      </c>
      <c r="V54" s="181"/>
      <c r="W54" s="181">
        <v>0</v>
      </c>
      <c r="X54" s="181"/>
      <c r="Y54" s="181">
        <v>0</v>
      </c>
      <c r="Z54" s="181"/>
      <c r="AA54" s="178">
        <v>0</v>
      </c>
      <c r="AB54" s="182"/>
      <c r="AC54" s="183"/>
      <c r="AD54" s="182">
        <v>333956</v>
      </c>
      <c r="AE54" s="182"/>
      <c r="AF54" s="182">
        <v>0</v>
      </c>
      <c r="AG54" s="182"/>
      <c r="AH54" s="182">
        <v>0</v>
      </c>
      <c r="AI54" s="182"/>
      <c r="AJ54" s="182">
        <v>0</v>
      </c>
      <c r="AK54" s="182"/>
      <c r="AL54" s="182">
        <v>0</v>
      </c>
      <c r="AM54" s="182"/>
      <c r="AN54" s="182">
        <v>0</v>
      </c>
      <c r="AO54" s="182"/>
      <c r="AP54" s="182">
        <v>0</v>
      </c>
      <c r="AQ54" s="173"/>
      <c r="AR54" s="184"/>
      <c r="AS54" s="185">
        <v>0.2334</v>
      </c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73"/>
      <c r="BG54" s="173" t="s">
        <v>1743</v>
      </c>
    </row>
    <row r="55" spans="1:59">
      <c r="A55" s="173" t="s">
        <v>1680</v>
      </c>
      <c r="B55" s="173" t="s">
        <v>1681</v>
      </c>
      <c r="C55" s="174" t="s">
        <v>378</v>
      </c>
      <c r="D55" s="175">
        <v>2075</v>
      </c>
      <c r="E55" s="176">
        <v>20075</v>
      </c>
      <c r="F55" s="174" t="s">
        <v>1612</v>
      </c>
      <c r="G55" s="177">
        <v>5441567</v>
      </c>
      <c r="H55" s="178">
        <v>78</v>
      </c>
      <c r="I55" s="174" t="s">
        <v>1604</v>
      </c>
      <c r="J55" s="179" t="s">
        <v>1602</v>
      </c>
      <c r="K55" s="179">
        <v>78</v>
      </c>
      <c r="L55" s="180"/>
      <c r="M55" s="181">
        <v>0</v>
      </c>
      <c r="N55" s="181"/>
      <c r="O55" s="181">
        <v>0</v>
      </c>
      <c r="P55" s="181"/>
      <c r="Q55" s="181">
        <v>0</v>
      </c>
      <c r="R55" s="181"/>
      <c r="S55" s="181">
        <v>0</v>
      </c>
      <c r="T55" s="181"/>
      <c r="U55" s="181">
        <v>0</v>
      </c>
      <c r="V55" s="181"/>
      <c r="W55" s="181">
        <v>0</v>
      </c>
      <c r="X55" s="181"/>
      <c r="Y55" s="181">
        <v>32179173</v>
      </c>
      <c r="Z55" s="181"/>
      <c r="AA55" s="178">
        <v>0</v>
      </c>
      <c r="AB55" s="182"/>
      <c r="AC55" s="183"/>
      <c r="AD55" s="182">
        <v>0</v>
      </c>
      <c r="AE55" s="182"/>
      <c r="AF55" s="182">
        <v>0</v>
      </c>
      <c r="AG55" s="182"/>
      <c r="AH55" s="182">
        <v>0</v>
      </c>
      <c r="AI55" s="182"/>
      <c r="AJ55" s="182">
        <v>0</v>
      </c>
      <c r="AK55" s="182"/>
      <c r="AL55" s="182">
        <v>0</v>
      </c>
      <c r="AM55" s="182"/>
      <c r="AN55" s="182">
        <v>4661254</v>
      </c>
      <c r="AO55" s="182"/>
      <c r="AP55" s="182">
        <v>0</v>
      </c>
      <c r="AQ55" s="173"/>
      <c r="AR55" s="184"/>
      <c r="AS55" s="185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>
        <v>0.1449</v>
      </c>
      <c r="BD55" s="185"/>
      <c r="BE55" s="185"/>
      <c r="BF55" s="173"/>
      <c r="BG55" s="173" t="s">
        <v>1743</v>
      </c>
    </row>
    <row r="56" spans="1:59">
      <c r="A56" s="173" t="s">
        <v>1683</v>
      </c>
      <c r="B56" s="173" t="s">
        <v>1684</v>
      </c>
      <c r="C56" s="174" t="s">
        <v>362</v>
      </c>
      <c r="D56" s="175">
        <v>5104</v>
      </c>
      <c r="E56" s="176">
        <v>50104</v>
      </c>
      <c r="F56" s="174" t="s">
        <v>1612</v>
      </c>
      <c r="G56" s="177">
        <v>8608208</v>
      </c>
      <c r="H56" s="178">
        <v>70</v>
      </c>
      <c r="I56" s="174" t="s">
        <v>1610</v>
      </c>
      <c r="J56" s="179" t="s">
        <v>1602</v>
      </c>
      <c r="K56" s="179">
        <v>70</v>
      </c>
      <c r="L56" s="180"/>
      <c r="M56" s="181">
        <v>0</v>
      </c>
      <c r="N56" s="181"/>
      <c r="O56" s="181">
        <v>0</v>
      </c>
      <c r="P56" s="181"/>
      <c r="Q56" s="181">
        <v>0</v>
      </c>
      <c r="R56" s="181"/>
      <c r="S56" s="181">
        <v>0</v>
      </c>
      <c r="T56" s="181"/>
      <c r="U56" s="181">
        <v>0</v>
      </c>
      <c r="V56" s="181"/>
      <c r="W56" s="181">
        <v>0</v>
      </c>
      <c r="X56" s="181"/>
      <c r="Y56" s="181">
        <v>18158000</v>
      </c>
      <c r="Z56" s="181"/>
      <c r="AA56" s="178">
        <v>0</v>
      </c>
      <c r="AB56" s="182"/>
      <c r="AC56" s="183"/>
      <c r="AD56" s="182">
        <v>0</v>
      </c>
      <c r="AE56" s="182"/>
      <c r="AF56" s="182">
        <v>0</v>
      </c>
      <c r="AG56" s="182"/>
      <c r="AH56" s="182">
        <v>0</v>
      </c>
      <c r="AI56" s="182"/>
      <c r="AJ56" s="182">
        <v>0</v>
      </c>
      <c r="AK56" s="182"/>
      <c r="AL56" s="182">
        <v>0</v>
      </c>
      <c r="AM56" s="182"/>
      <c r="AN56" s="182">
        <v>3510093</v>
      </c>
      <c r="AO56" s="182"/>
      <c r="AP56" s="182">
        <v>0</v>
      </c>
      <c r="AQ56" s="173"/>
      <c r="AR56" s="184"/>
      <c r="AS56" s="185"/>
      <c r="AT56" s="185"/>
      <c r="AU56" s="185"/>
      <c r="AV56" s="185"/>
      <c r="AW56" s="185"/>
      <c r="AX56" s="185"/>
      <c r="AY56" s="185"/>
      <c r="AZ56" s="185"/>
      <c r="BA56" s="185"/>
      <c r="BB56" s="185"/>
      <c r="BC56" s="185">
        <v>0.1933</v>
      </c>
      <c r="BD56" s="185"/>
      <c r="BE56" s="185"/>
      <c r="BF56" s="173"/>
      <c r="BG56" s="173" t="s">
        <v>1743</v>
      </c>
    </row>
    <row r="57" spans="1:59">
      <c r="A57" s="173" t="s">
        <v>1753</v>
      </c>
      <c r="B57" s="173" t="s">
        <v>1682</v>
      </c>
      <c r="C57" s="174" t="s">
        <v>356</v>
      </c>
      <c r="D57" s="175">
        <v>4077</v>
      </c>
      <c r="E57" s="176">
        <v>40077</v>
      </c>
      <c r="F57" s="174" t="s">
        <v>1612</v>
      </c>
      <c r="G57" s="177">
        <v>5502379</v>
      </c>
      <c r="H57" s="178">
        <v>65</v>
      </c>
      <c r="I57" s="174" t="s">
        <v>1610</v>
      </c>
      <c r="J57" s="179" t="s">
        <v>1605</v>
      </c>
      <c r="K57" s="179">
        <v>43</v>
      </c>
      <c r="L57" s="180"/>
      <c r="M57" s="181">
        <v>2838234</v>
      </c>
      <c r="N57" s="181"/>
      <c r="O57" s="181">
        <v>0</v>
      </c>
      <c r="P57" s="181"/>
      <c r="Q57" s="181">
        <v>0</v>
      </c>
      <c r="R57" s="181"/>
      <c r="S57" s="181">
        <v>0</v>
      </c>
      <c r="T57" s="181"/>
      <c r="U57" s="181">
        <v>0</v>
      </c>
      <c r="V57" s="181"/>
      <c r="W57" s="181">
        <v>0</v>
      </c>
      <c r="X57" s="181"/>
      <c r="Y57" s="181">
        <v>0</v>
      </c>
      <c r="Z57" s="181"/>
      <c r="AA57" s="178">
        <v>0</v>
      </c>
      <c r="AB57" s="182"/>
      <c r="AC57" s="183"/>
      <c r="AD57" s="182">
        <v>1018267</v>
      </c>
      <c r="AE57" s="182"/>
      <c r="AF57" s="182">
        <v>0</v>
      </c>
      <c r="AG57" s="182"/>
      <c r="AH57" s="182">
        <v>0</v>
      </c>
      <c r="AI57" s="182"/>
      <c r="AJ57" s="182">
        <v>0</v>
      </c>
      <c r="AK57" s="182"/>
      <c r="AL57" s="182">
        <v>0</v>
      </c>
      <c r="AM57" s="182"/>
      <c r="AN57" s="182">
        <v>0</v>
      </c>
      <c r="AO57" s="182"/>
      <c r="AP57" s="182">
        <v>0</v>
      </c>
      <c r="AQ57" s="173"/>
      <c r="AR57" s="184"/>
      <c r="AS57" s="185">
        <v>0.35880000000000001</v>
      </c>
      <c r="AT57" s="185"/>
      <c r="AU57" s="185"/>
      <c r="AV57" s="185"/>
      <c r="AW57" s="185"/>
      <c r="AX57" s="185"/>
      <c r="AY57" s="185"/>
      <c r="AZ57" s="185"/>
      <c r="BA57" s="185"/>
      <c r="BB57" s="185"/>
      <c r="BC57" s="185"/>
      <c r="BD57" s="185"/>
      <c r="BE57" s="185"/>
      <c r="BF57" s="173"/>
      <c r="BG57" s="173" t="s">
        <v>1743</v>
      </c>
    </row>
    <row r="58" spans="1:59">
      <c r="A58" s="173" t="s">
        <v>1685</v>
      </c>
      <c r="B58" s="173" t="s">
        <v>1673</v>
      </c>
      <c r="C58" s="174" t="s">
        <v>379</v>
      </c>
      <c r="D58" s="175">
        <v>6111</v>
      </c>
      <c r="E58" s="176">
        <v>60111</v>
      </c>
      <c r="F58" s="174" t="s">
        <v>1612</v>
      </c>
      <c r="G58" s="177">
        <v>741318</v>
      </c>
      <c r="H58" s="178">
        <v>58</v>
      </c>
      <c r="I58" s="174" t="s">
        <v>1610</v>
      </c>
      <c r="J58" s="179" t="s">
        <v>1605</v>
      </c>
      <c r="K58" s="179">
        <v>25</v>
      </c>
      <c r="L58" s="180"/>
      <c r="M58" s="181">
        <v>0</v>
      </c>
      <c r="N58" s="181"/>
      <c r="O58" s="181">
        <v>0</v>
      </c>
      <c r="P58" s="181"/>
      <c r="Q58" s="181">
        <v>0</v>
      </c>
      <c r="R58" s="181"/>
      <c r="S58" s="181">
        <v>0</v>
      </c>
      <c r="T58" s="181"/>
      <c r="U58" s="181">
        <v>792273</v>
      </c>
      <c r="V58" s="181"/>
      <c r="W58" s="181">
        <v>0</v>
      </c>
      <c r="X58" s="181"/>
      <c r="Y58" s="181">
        <v>0</v>
      </c>
      <c r="Z58" s="181"/>
      <c r="AA58" s="178">
        <v>0</v>
      </c>
      <c r="AB58" s="182"/>
      <c r="AC58" s="183"/>
      <c r="AD58" s="182">
        <v>350453</v>
      </c>
      <c r="AE58" s="182"/>
      <c r="AF58" s="182">
        <v>0</v>
      </c>
      <c r="AG58" s="182"/>
      <c r="AH58" s="182">
        <v>0</v>
      </c>
      <c r="AI58" s="182"/>
      <c r="AJ58" s="182">
        <v>0</v>
      </c>
      <c r="AK58" s="182"/>
      <c r="AL58" s="182">
        <v>0</v>
      </c>
      <c r="AM58" s="182"/>
      <c r="AN58" s="182">
        <v>0</v>
      </c>
      <c r="AO58" s="182"/>
      <c r="AP58" s="182">
        <v>0</v>
      </c>
      <c r="AQ58" s="173"/>
      <c r="AR58" s="184"/>
      <c r="AS58" s="185"/>
      <c r="AT58" s="185"/>
      <c r="AU58" s="185"/>
      <c r="AV58" s="185"/>
      <c r="AW58" s="185"/>
      <c r="AX58" s="185"/>
      <c r="AY58" s="185"/>
      <c r="AZ58" s="185"/>
      <c r="BA58" s="185"/>
      <c r="BB58" s="185"/>
      <c r="BC58" s="185"/>
      <c r="BD58" s="185"/>
      <c r="BE58" s="185"/>
      <c r="BF58" s="173"/>
      <c r="BG58" s="173" t="s">
        <v>1743</v>
      </c>
    </row>
    <row r="59" spans="1:59">
      <c r="A59" s="173" t="s">
        <v>1687</v>
      </c>
      <c r="B59" s="173" t="s">
        <v>1629</v>
      </c>
      <c r="C59" s="174" t="s">
        <v>1550</v>
      </c>
      <c r="D59" s="175">
        <v>4094</v>
      </c>
      <c r="E59" s="176">
        <v>40094</v>
      </c>
      <c r="F59" s="174" t="s">
        <v>1626</v>
      </c>
      <c r="G59" s="177">
        <v>2148346</v>
      </c>
      <c r="H59" s="178">
        <v>54</v>
      </c>
      <c r="I59" s="174" t="s">
        <v>1604</v>
      </c>
      <c r="J59" s="179" t="s">
        <v>1605</v>
      </c>
      <c r="K59" s="179">
        <v>32</v>
      </c>
      <c r="L59" s="180"/>
      <c r="M59" s="181">
        <v>0</v>
      </c>
      <c r="N59" s="181"/>
      <c r="O59" s="181">
        <v>0</v>
      </c>
      <c r="P59" s="181"/>
      <c r="Q59" s="181">
        <v>0</v>
      </c>
      <c r="R59" s="181"/>
      <c r="S59" s="181">
        <v>0</v>
      </c>
      <c r="T59" s="181"/>
      <c r="U59" s="181">
        <v>0</v>
      </c>
      <c r="V59" s="181"/>
      <c r="W59" s="181">
        <v>0</v>
      </c>
      <c r="X59" s="181"/>
      <c r="Y59" s="181">
        <v>4009792</v>
      </c>
      <c r="Z59" s="181"/>
      <c r="AA59" s="178">
        <v>0</v>
      </c>
      <c r="AB59" s="182"/>
      <c r="AC59" s="183"/>
      <c r="AD59" s="182">
        <v>0</v>
      </c>
      <c r="AE59" s="182"/>
      <c r="AF59" s="182">
        <v>0</v>
      </c>
      <c r="AG59" s="182"/>
      <c r="AH59" s="182">
        <v>0</v>
      </c>
      <c r="AI59" s="182"/>
      <c r="AJ59" s="182">
        <v>0</v>
      </c>
      <c r="AK59" s="182"/>
      <c r="AL59" s="182">
        <v>0</v>
      </c>
      <c r="AM59" s="182"/>
      <c r="AN59" s="182">
        <v>1432878</v>
      </c>
      <c r="AO59" s="182"/>
      <c r="AP59" s="182">
        <v>0</v>
      </c>
      <c r="AQ59" s="173"/>
      <c r="AR59" s="184"/>
      <c r="AS59" s="185"/>
      <c r="AT59" s="185"/>
      <c r="AU59" s="185"/>
      <c r="AV59" s="185"/>
      <c r="AW59" s="185"/>
      <c r="AX59" s="185"/>
      <c r="AY59" s="185"/>
      <c r="AZ59" s="185"/>
      <c r="BA59" s="185"/>
      <c r="BB59" s="185"/>
      <c r="BC59" s="185">
        <v>0.35730000000000001</v>
      </c>
      <c r="BD59" s="185"/>
      <c r="BE59" s="185"/>
      <c r="BF59" s="173"/>
      <c r="BG59" s="173" t="s">
        <v>1743</v>
      </c>
    </row>
    <row r="60" spans="1:59">
      <c r="A60" s="173" t="s">
        <v>1686</v>
      </c>
      <c r="B60" s="173" t="s">
        <v>1669</v>
      </c>
      <c r="C60" s="174" t="s">
        <v>389</v>
      </c>
      <c r="D60" s="175">
        <v>4159</v>
      </c>
      <c r="E60" s="176">
        <v>40159</v>
      </c>
      <c r="F60" s="174" t="s">
        <v>1612</v>
      </c>
      <c r="G60" s="177">
        <v>969587</v>
      </c>
      <c r="H60" s="178">
        <v>46</v>
      </c>
      <c r="I60" s="174" t="s">
        <v>1610</v>
      </c>
      <c r="J60" s="179" t="s">
        <v>1605</v>
      </c>
      <c r="K60" s="179">
        <v>8</v>
      </c>
      <c r="L60" s="180"/>
      <c r="M60" s="181">
        <v>195054</v>
      </c>
      <c r="N60" s="181"/>
      <c r="O60" s="181">
        <v>0</v>
      </c>
      <c r="P60" s="181"/>
      <c r="Q60" s="181">
        <v>0</v>
      </c>
      <c r="R60" s="181"/>
      <c r="S60" s="181">
        <v>0</v>
      </c>
      <c r="T60" s="181"/>
      <c r="U60" s="181">
        <v>0</v>
      </c>
      <c r="V60" s="181"/>
      <c r="W60" s="181">
        <v>0</v>
      </c>
      <c r="X60" s="181"/>
      <c r="Y60" s="181">
        <v>0</v>
      </c>
      <c r="Z60" s="181"/>
      <c r="AA60" s="178">
        <v>0</v>
      </c>
      <c r="AB60" s="182"/>
      <c r="AC60" s="183"/>
      <c r="AD60" s="182">
        <v>71832</v>
      </c>
      <c r="AE60" s="182"/>
      <c r="AF60" s="182">
        <v>0</v>
      </c>
      <c r="AG60" s="182"/>
      <c r="AH60" s="182">
        <v>0</v>
      </c>
      <c r="AI60" s="182"/>
      <c r="AJ60" s="182">
        <v>0</v>
      </c>
      <c r="AK60" s="182"/>
      <c r="AL60" s="182">
        <v>0</v>
      </c>
      <c r="AM60" s="182"/>
      <c r="AN60" s="182">
        <v>0</v>
      </c>
      <c r="AO60" s="182"/>
      <c r="AP60" s="182">
        <v>0</v>
      </c>
      <c r="AQ60" s="173"/>
      <c r="AR60" s="184"/>
      <c r="AS60" s="185">
        <v>0.36830000000000002</v>
      </c>
      <c r="AT60" s="185"/>
      <c r="AU60" s="185"/>
      <c r="AV60" s="185"/>
      <c r="AW60" s="185"/>
      <c r="AX60" s="185"/>
      <c r="AY60" s="185"/>
      <c r="AZ60" s="185"/>
      <c r="BA60" s="185"/>
      <c r="BB60" s="185"/>
      <c r="BC60" s="185"/>
      <c r="BD60" s="185"/>
      <c r="BE60" s="185"/>
      <c r="BF60" s="173"/>
      <c r="BG60" s="173" t="s">
        <v>1743</v>
      </c>
    </row>
    <row r="61" spans="1:59">
      <c r="A61" s="173" t="s">
        <v>1754</v>
      </c>
      <c r="B61" s="173" t="s">
        <v>1690</v>
      </c>
      <c r="C61" s="174" t="s">
        <v>381</v>
      </c>
      <c r="D61" s="175">
        <v>2099</v>
      </c>
      <c r="E61" s="176">
        <v>20099</v>
      </c>
      <c r="F61" s="174" t="s">
        <v>1600</v>
      </c>
      <c r="G61" s="177">
        <v>18351295</v>
      </c>
      <c r="H61" s="178">
        <v>44</v>
      </c>
      <c r="I61" s="174" t="s">
        <v>1604</v>
      </c>
      <c r="J61" s="179" t="s">
        <v>1602</v>
      </c>
      <c r="K61" s="179">
        <v>44</v>
      </c>
      <c r="L61" s="180"/>
      <c r="M61" s="181">
        <v>0</v>
      </c>
      <c r="N61" s="181"/>
      <c r="O61" s="181">
        <v>0</v>
      </c>
      <c r="P61" s="181"/>
      <c r="Q61" s="181">
        <v>0</v>
      </c>
      <c r="R61" s="181"/>
      <c r="S61" s="181">
        <v>0</v>
      </c>
      <c r="T61" s="181"/>
      <c r="U61" s="181">
        <v>0</v>
      </c>
      <c r="V61" s="181"/>
      <c r="W61" s="181">
        <v>0</v>
      </c>
      <c r="X61" s="181"/>
      <c r="Y61" s="181">
        <v>27982542</v>
      </c>
      <c r="Z61" s="181"/>
      <c r="AA61" s="178">
        <v>0</v>
      </c>
      <c r="AB61" s="182"/>
      <c r="AC61" s="183"/>
      <c r="AD61" s="182">
        <v>0</v>
      </c>
      <c r="AE61" s="182"/>
      <c r="AF61" s="182">
        <v>0</v>
      </c>
      <c r="AG61" s="182"/>
      <c r="AH61" s="182">
        <v>0</v>
      </c>
      <c r="AI61" s="182"/>
      <c r="AJ61" s="182">
        <v>0</v>
      </c>
      <c r="AK61" s="182"/>
      <c r="AL61" s="182">
        <v>0</v>
      </c>
      <c r="AM61" s="182"/>
      <c r="AN61" s="182">
        <v>2267541</v>
      </c>
      <c r="AO61" s="182"/>
      <c r="AP61" s="182">
        <v>0</v>
      </c>
      <c r="AQ61" s="173"/>
      <c r="AR61" s="184"/>
      <c r="AS61" s="185"/>
      <c r="AT61" s="185"/>
      <c r="AU61" s="185"/>
      <c r="AV61" s="185"/>
      <c r="AW61" s="185"/>
      <c r="AX61" s="185"/>
      <c r="AY61" s="185"/>
      <c r="AZ61" s="185"/>
      <c r="BA61" s="185"/>
      <c r="BB61" s="185"/>
      <c r="BC61" s="185">
        <v>8.1000000000000003E-2</v>
      </c>
      <c r="BD61" s="185"/>
      <c r="BE61" s="185"/>
      <c r="BF61" s="173"/>
      <c r="BG61" s="173" t="s">
        <v>1743</v>
      </c>
    </row>
    <row r="62" spans="1:59">
      <c r="A62" s="173" t="s">
        <v>1688</v>
      </c>
      <c r="B62" s="173" t="s">
        <v>1689</v>
      </c>
      <c r="C62" s="174" t="s">
        <v>353</v>
      </c>
      <c r="D62" s="175">
        <v>1102</v>
      </c>
      <c r="E62" s="176">
        <v>10102</v>
      </c>
      <c r="F62" s="174" t="s">
        <v>1626</v>
      </c>
      <c r="G62" s="177">
        <v>924859</v>
      </c>
      <c r="H62" s="178">
        <v>43</v>
      </c>
      <c r="I62" s="174" t="s">
        <v>1610</v>
      </c>
      <c r="J62" s="179" t="s">
        <v>1605</v>
      </c>
      <c r="K62" s="179">
        <v>28</v>
      </c>
      <c r="L62" s="180"/>
      <c r="M62" s="181">
        <v>1678569</v>
      </c>
      <c r="N62" s="181"/>
      <c r="O62" s="181">
        <v>0</v>
      </c>
      <c r="P62" s="181"/>
      <c r="Q62" s="181">
        <v>0</v>
      </c>
      <c r="R62" s="181"/>
      <c r="S62" s="181">
        <v>0</v>
      </c>
      <c r="T62" s="181"/>
      <c r="U62" s="181">
        <v>0</v>
      </c>
      <c r="V62" s="181"/>
      <c r="W62" s="181">
        <v>0</v>
      </c>
      <c r="X62" s="181"/>
      <c r="Y62" s="181">
        <v>0</v>
      </c>
      <c r="Z62" s="181"/>
      <c r="AA62" s="178">
        <v>0</v>
      </c>
      <c r="AB62" s="182"/>
      <c r="AC62" s="183"/>
      <c r="AD62" s="182">
        <v>724004</v>
      </c>
      <c r="AE62" s="182"/>
      <c r="AF62" s="182">
        <v>0</v>
      </c>
      <c r="AG62" s="182"/>
      <c r="AH62" s="182">
        <v>0</v>
      </c>
      <c r="AI62" s="182"/>
      <c r="AJ62" s="182">
        <v>0</v>
      </c>
      <c r="AK62" s="182"/>
      <c r="AL62" s="182">
        <v>0</v>
      </c>
      <c r="AM62" s="182"/>
      <c r="AN62" s="182">
        <v>0</v>
      </c>
      <c r="AO62" s="182"/>
      <c r="AP62" s="182">
        <v>0</v>
      </c>
      <c r="AQ62" s="173"/>
      <c r="AR62" s="184"/>
      <c r="AS62" s="185">
        <v>0.43130000000000002</v>
      </c>
      <c r="AT62" s="185"/>
      <c r="AU62" s="185"/>
      <c r="AV62" s="185"/>
      <c r="AW62" s="185"/>
      <c r="AX62" s="185"/>
      <c r="AY62" s="185"/>
      <c r="AZ62" s="185"/>
      <c r="BA62" s="185"/>
      <c r="BB62" s="185"/>
      <c r="BC62" s="185"/>
      <c r="BD62" s="185"/>
      <c r="BE62" s="185"/>
      <c r="BF62" s="173"/>
      <c r="BG62" s="173" t="s">
        <v>1743</v>
      </c>
    </row>
    <row r="63" spans="1:59">
      <c r="A63" s="173" t="s">
        <v>1692</v>
      </c>
      <c r="B63" s="173" t="s">
        <v>1639</v>
      </c>
      <c r="C63" s="174" t="s">
        <v>350</v>
      </c>
      <c r="D63" s="175">
        <v>9209</v>
      </c>
      <c r="E63" s="176">
        <v>90209</v>
      </c>
      <c r="F63" s="174" t="s">
        <v>1608</v>
      </c>
      <c r="G63" s="177">
        <v>3629114</v>
      </c>
      <c r="H63" s="178">
        <v>38</v>
      </c>
      <c r="I63" s="174" t="s">
        <v>1609</v>
      </c>
      <c r="J63" s="179" t="s">
        <v>1605</v>
      </c>
      <c r="K63" s="179">
        <v>38</v>
      </c>
      <c r="L63" s="180"/>
      <c r="M63" s="181">
        <v>0</v>
      </c>
      <c r="N63" s="181"/>
      <c r="O63" s="181">
        <v>0</v>
      </c>
      <c r="P63" s="181"/>
      <c r="Q63" s="181">
        <v>0</v>
      </c>
      <c r="R63" s="181"/>
      <c r="S63" s="181">
        <v>0</v>
      </c>
      <c r="T63" s="181"/>
      <c r="U63" s="181">
        <v>0</v>
      </c>
      <c r="V63" s="181"/>
      <c r="W63" s="181">
        <v>0</v>
      </c>
      <c r="X63" s="181"/>
      <c r="Y63" s="181">
        <v>23474521</v>
      </c>
      <c r="Z63" s="181"/>
      <c r="AA63" s="178">
        <v>0</v>
      </c>
      <c r="AB63" s="182"/>
      <c r="AC63" s="183"/>
      <c r="AD63" s="182">
        <v>0</v>
      </c>
      <c r="AE63" s="182"/>
      <c r="AF63" s="182">
        <v>0</v>
      </c>
      <c r="AG63" s="182"/>
      <c r="AH63" s="182">
        <v>0</v>
      </c>
      <c r="AI63" s="182"/>
      <c r="AJ63" s="182">
        <v>0</v>
      </c>
      <c r="AK63" s="182"/>
      <c r="AL63" s="182">
        <v>0</v>
      </c>
      <c r="AM63" s="182"/>
      <c r="AN63" s="182">
        <v>3452467</v>
      </c>
      <c r="AO63" s="182"/>
      <c r="AP63" s="182">
        <v>0</v>
      </c>
      <c r="AQ63" s="173"/>
      <c r="AR63" s="184"/>
      <c r="AS63" s="185"/>
      <c r="AT63" s="185"/>
      <c r="AU63" s="185"/>
      <c r="AV63" s="185"/>
      <c r="AW63" s="185"/>
      <c r="AX63" s="185"/>
      <c r="AY63" s="185"/>
      <c r="AZ63" s="185"/>
      <c r="BA63" s="185"/>
      <c r="BB63" s="185"/>
      <c r="BC63" s="185">
        <v>0.14710000000000001</v>
      </c>
      <c r="BD63" s="185"/>
      <c r="BE63" s="185"/>
      <c r="BF63" s="173"/>
      <c r="BG63" s="173" t="s">
        <v>1743</v>
      </c>
    </row>
    <row r="64" spans="1:59">
      <c r="A64" s="173" t="s">
        <v>1693</v>
      </c>
      <c r="B64" s="173" t="s">
        <v>1678</v>
      </c>
      <c r="C64" s="174" t="s">
        <v>351</v>
      </c>
      <c r="D64" s="175">
        <v>9182</v>
      </c>
      <c r="E64" s="176">
        <v>90182</v>
      </c>
      <c r="F64" s="174" t="s">
        <v>1612</v>
      </c>
      <c r="G64" s="177">
        <v>370583</v>
      </c>
      <c r="H64" s="178">
        <v>35</v>
      </c>
      <c r="I64" s="174" t="s">
        <v>1610</v>
      </c>
      <c r="J64" s="179" t="s">
        <v>1605</v>
      </c>
      <c r="K64" s="179">
        <v>35</v>
      </c>
      <c r="L64" s="180"/>
      <c r="M64" s="181">
        <v>514210</v>
      </c>
      <c r="N64" s="181"/>
      <c r="O64" s="181">
        <v>0</v>
      </c>
      <c r="P64" s="181"/>
      <c r="Q64" s="181">
        <v>0</v>
      </c>
      <c r="R64" s="181"/>
      <c r="S64" s="181">
        <v>0</v>
      </c>
      <c r="T64" s="181"/>
      <c r="U64" s="181">
        <v>0</v>
      </c>
      <c r="V64" s="181"/>
      <c r="W64" s="181">
        <v>0</v>
      </c>
      <c r="X64" s="181"/>
      <c r="Y64" s="181">
        <v>0</v>
      </c>
      <c r="Z64" s="181"/>
      <c r="AA64" s="178">
        <v>0</v>
      </c>
      <c r="AB64" s="182"/>
      <c r="AC64" s="183"/>
      <c r="AD64" s="182">
        <v>130583</v>
      </c>
      <c r="AE64" s="182"/>
      <c r="AF64" s="182">
        <v>0</v>
      </c>
      <c r="AG64" s="182"/>
      <c r="AH64" s="182">
        <v>0</v>
      </c>
      <c r="AI64" s="182"/>
      <c r="AJ64" s="182">
        <v>0</v>
      </c>
      <c r="AK64" s="182"/>
      <c r="AL64" s="182">
        <v>0</v>
      </c>
      <c r="AM64" s="182"/>
      <c r="AN64" s="182">
        <v>0</v>
      </c>
      <c r="AO64" s="182"/>
      <c r="AP64" s="182">
        <v>0</v>
      </c>
      <c r="AQ64" s="173"/>
      <c r="AR64" s="184"/>
      <c r="AS64" s="185">
        <v>0.25390000000000001</v>
      </c>
      <c r="AT64" s="185"/>
      <c r="AU64" s="185"/>
      <c r="AV64" s="185"/>
      <c r="AW64" s="185"/>
      <c r="AX64" s="185"/>
      <c r="AY64" s="185"/>
      <c r="AZ64" s="185"/>
      <c r="BA64" s="185"/>
      <c r="BB64" s="185"/>
      <c r="BC64" s="185"/>
      <c r="BD64" s="185"/>
      <c r="BE64" s="185"/>
      <c r="BF64" s="173"/>
      <c r="BG64" s="173" t="s">
        <v>1743</v>
      </c>
    </row>
    <row r="65" spans="1:59">
      <c r="A65" s="173" t="s">
        <v>1755</v>
      </c>
      <c r="B65" s="173" t="s">
        <v>1677</v>
      </c>
      <c r="C65" s="174" t="s">
        <v>356</v>
      </c>
      <c r="D65" s="175">
        <v>4232</v>
      </c>
      <c r="E65" s="176">
        <v>40232</v>
      </c>
      <c r="F65" s="174" t="s">
        <v>1626</v>
      </c>
      <c r="G65" s="177">
        <v>1510516</v>
      </c>
      <c r="H65" s="178">
        <v>25</v>
      </c>
      <c r="I65" s="174" t="s">
        <v>1610</v>
      </c>
      <c r="J65" s="179" t="s">
        <v>1605</v>
      </c>
      <c r="K65" s="179">
        <v>25</v>
      </c>
      <c r="L65" s="180"/>
      <c r="M65" s="181">
        <v>810032</v>
      </c>
      <c r="N65" s="181"/>
      <c r="O65" s="181">
        <v>0</v>
      </c>
      <c r="P65" s="181"/>
      <c r="Q65" s="181">
        <v>0</v>
      </c>
      <c r="R65" s="181"/>
      <c r="S65" s="181">
        <v>0</v>
      </c>
      <c r="T65" s="181"/>
      <c r="U65" s="181">
        <v>0</v>
      </c>
      <c r="V65" s="181"/>
      <c r="W65" s="181">
        <v>0</v>
      </c>
      <c r="X65" s="181"/>
      <c r="Y65" s="181">
        <v>0</v>
      </c>
      <c r="Z65" s="181"/>
      <c r="AA65" s="178">
        <v>0</v>
      </c>
      <c r="AB65" s="182"/>
      <c r="AC65" s="183"/>
      <c r="AD65" s="182">
        <v>486222</v>
      </c>
      <c r="AE65" s="182"/>
      <c r="AF65" s="182">
        <v>0</v>
      </c>
      <c r="AG65" s="182"/>
      <c r="AH65" s="182">
        <v>0</v>
      </c>
      <c r="AI65" s="182"/>
      <c r="AJ65" s="182">
        <v>0</v>
      </c>
      <c r="AK65" s="182"/>
      <c r="AL65" s="182">
        <v>0</v>
      </c>
      <c r="AM65" s="182"/>
      <c r="AN65" s="182">
        <v>0</v>
      </c>
      <c r="AO65" s="182"/>
      <c r="AP65" s="182">
        <v>0</v>
      </c>
      <c r="AQ65" s="173"/>
      <c r="AR65" s="184"/>
      <c r="AS65" s="185">
        <v>0.60029999999999994</v>
      </c>
      <c r="AT65" s="185"/>
      <c r="AU65" s="185"/>
      <c r="AV65" s="185"/>
      <c r="AW65" s="185"/>
      <c r="AX65" s="185"/>
      <c r="AY65" s="185"/>
      <c r="AZ65" s="185"/>
      <c r="BA65" s="185"/>
      <c r="BB65" s="185"/>
      <c r="BC65" s="185"/>
      <c r="BD65" s="185"/>
      <c r="BE65" s="185"/>
      <c r="BF65" s="173"/>
      <c r="BG65" s="173" t="s">
        <v>1743</v>
      </c>
    </row>
    <row r="66" spans="1:59">
      <c r="A66" s="173" t="s">
        <v>1694</v>
      </c>
      <c r="B66" s="173" t="s">
        <v>1641</v>
      </c>
      <c r="C66" s="174" t="s">
        <v>368</v>
      </c>
      <c r="D66" s="175">
        <v>1115</v>
      </c>
      <c r="E66" s="176">
        <v>10115</v>
      </c>
      <c r="F66" s="174" t="s">
        <v>1612</v>
      </c>
      <c r="G66" s="177">
        <v>203914</v>
      </c>
      <c r="H66" s="178">
        <v>21</v>
      </c>
      <c r="I66" s="174" t="s">
        <v>1610</v>
      </c>
      <c r="J66" s="179" t="s">
        <v>1605</v>
      </c>
      <c r="K66" s="179">
        <v>21</v>
      </c>
      <c r="L66" s="180"/>
      <c r="M66" s="181">
        <v>628302</v>
      </c>
      <c r="N66" s="181"/>
      <c r="O66" s="181">
        <v>0</v>
      </c>
      <c r="P66" s="181"/>
      <c r="Q66" s="181">
        <v>0</v>
      </c>
      <c r="R66" s="181"/>
      <c r="S66" s="181">
        <v>0</v>
      </c>
      <c r="T66" s="181"/>
      <c r="U66" s="181">
        <v>0</v>
      </c>
      <c r="V66" s="181"/>
      <c r="W66" s="181">
        <v>0</v>
      </c>
      <c r="X66" s="181"/>
      <c r="Y66" s="181">
        <v>0</v>
      </c>
      <c r="Z66" s="181"/>
      <c r="AA66" s="178">
        <v>0</v>
      </c>
      <c r="AB66" s="182"/>
      <c r="AC66" s="183"/>
      <c r="AD66" s="182">
        <v>0</v>
      </c>
      <c r="AE66" s="182"/>
      <c r="AF66" s="182">
        <v>0</v>
      </c>
      <c r="AG66" s="182"/>
      <c r="AH66" s="182">
        <v>0</v>
      </c>
      <c r="AI66" s="182"/>
      <c r="AJ66" s="182">
        <v>0</v>
      </c>
      <c r="AK66" s="182"/>
      <c r="AL66" s="182">
        <v>0</v>
      </c>
      <c r="AM66" s="182"/>
      <c r="AN66" s="182">
        <v>0</v>
      </c>
      <c r="AO66" s="182"/>
      <c r="AP66" s="182">
        <v>0</v>
      </c>
      <c r="AQ66" s="173"/>
      <c r="AR66" s="184"/>
      <c r="AS66" s="185">
        <v>0</v>
      </c>
      <c r="AT66" s="185"/>
      <c r="AU66" s="185"/>
      <c r="AV66" s="185"/>
      <c r="AW66" s="185"/>
      <c r="AX66" s="185"/>
      <c r="AY66" s="185"/>
      <c r="AZ66" s="185"/>
      <c r="BA66" s="185"/>
      <c r="BB66" s="185"/>
      <c r="BC66" s="185"/>
      <c r="BD66" s="185"/>
      <c r="BE66" s="185"/>
      <c r="BF66" s="173"/>
      <c r="BG66" s="173" t="s">
        <v>1743</v>
      </c>
    </row>
    <row r="67" spans="1:59">
      <c r="A67" s="173" t="s">
        <v>1691</v>
      </c>
      <c r="B67" s="173" t="s">
        <v>1676</v>
      </c>
      <c r="C67" s="174" t="s">
        <v>385</v>
      </c>
      <c r="D67" s="175">
        <v>3057</v>
      </c>
      <c r="E67" s="176">
        <v>30057</v>
      </c>
      <c r="F67" s="174" t="s">
        <v>1626</v>
      </c>
      <c r="G67" s="177">
        <v>5441567</v>
      </c>
      <c r="H67" s="178">
        <v>20</v>
      </c>
      <c r="I67" s="174" t="s">
        <v>1610</v>
      </c>
      <c r="J67" s="179" t="s">
        <v>1605</v>
      </c>
      <c r="K67" s="179">
        <v>20</v>
      </c>
      <c r="L67" s="180"/>
      <c r="M67" s="181">
        <v>0</v>
      </c>
      <c r="N67" s="181"/>
      <c r="O67" s="181">
        <v>0</v>
      </c>
      <c r="P67" s="181"/>
      <c r="Q67" s="181">
        <v>0</v>
      </c>
      <c r="R67" s="181"/>
      <c r="S67" s="181">
        <v>0</v>
      </c>
      <c r="T67" s="181"/>
      <c r="U67" s="181">
        <v>0</v>
      </c>
      <c r="V67" s="181"/>
      <c r="W67" s="181">
        <v>0</v>
      </c>
      <c r="X67" s="181"/>
      <c r="Y67" s="181">
        <v>27325354</v>
      </c>
      <c r="Z67" s="181"/>
      <c r="AA67" s="178">
        <v>0</v>
      </c>
      <c r="AB67" s="182"/>
      <c r="AC67" s="183"/>
      <c r="AD67" s="182">
        <v>0</v>
      </c>
      <c r="AE67" s="182"/>
      <c r="AF67" s="182">
        <v>0</v>
      </c>
      <c r="AG67" s="182"/>
      <c r="AH67" s="182">
        <v>0</v>
      </c>
      <c r="AI67" s="182"/>
      <c r="AJ67" s="182">
        <v>0</v>
      </c>
      <c r="AK67" s="182"/>
      <c r="AL67" s="182">
        <v>0</v>
      </c>
      <c r="AM67" s="182"/>
      <c r="AN67" s="182">
        <v>0</v>
      </c>
      <c r="AO67" s="182"/>
      <c r="AP67" s="182">
        <v>0</v>
      </c>
      <c r="AQ67" s="173"/>
      <c r="AR67" s="184"/>
      <c r="AS67" s="185"/>
      <c r="AT67" s="185"/>
      <c r="AU67" s="185"/>
      <c r="AV67" s="185"/>
      <c r="AW67" s="185"/>
      <c r="AX67" s="185"/>
      <c r="AY67" s="185"/>
      <c r="AZ67" s="185"/>
      <c r="BA67" s="185"/>
      <c r="BB67" s="185"/>
      <c r="BC67" s="185">
        <v>0</v>
      </c>
      <c r="BD67" s="185"/>
      <c r="BE67" s="185"/>
      <c r="BF67" s="173"/>
      <c r="BG67" s="173" t="s">
        <v>1743</v>
      </c>
    </row>
    <row r="68" spans="1:59">
      <c r="A68" s="173" t="s">
        <v>1696</v>
      </c>
      <c r="B68" s="173" t="s">
        <v>1695</v>
      </c>
      <c r="C68" s="174" t="s">
        <v>351</v>
      </c>
      <c r="D68" s="175"/>
      <c r="E68" s="176">
        <v>90299</v>
      </c>
      <c r="F68" s="174" t="s">
        <v>1612</v>
      </c>
      <c r="G68" s="177">
        <v>308231</v>
      </c>
      <c r="H68" s="178">
        <v>12</v>
      </c>
      <c r="I68" s="174" t="s">
        <v>1610</v>
      </c>
      <c r="J68" s="179" t="s">
        <v>1602</v>
      </c>
      <c r="K68" s="179">
        <v>12</v>
      </c>
      <c r="L68" s="180"/>
      <c r="M68" s="181">
        <v>286520</v>
      </c>
      <c r="N68" s="181"/>
      <c r="O68" s="181">
        <v>0</v>
      </c>
      <c r="P68" s="181"/>
      <c r="Q68" s="181">
        <v>0</v>
      </c>
      <c r="R68" s="181"/>
      <c r="S68" s="181">
        <v>0</v>
      </c>
      <c r="T68" s="181"/>
      <c r="U68" s="181">
        <v>0</v>
      </c>
      <c r="V68" s="181"/>
      <c r="W68" s="181">
        <v>0</v>
      </c>
      <c r="X68" s="181"/>
      <c r="Y68" s="181">
        <v>0</v>
      </c>
      <c r="Z68" s="181"/>
      <c r="AA68" s="178">
        <v>0</v>
      </c>
      <c r="AB68" s="182"/>
      <c r="AC68" s="183"/>
      <c r="AD68" s="182">
        <v>931897</v>
      </c>
      <c r="AE68" s="182"/>
      <c r="AF68" s="182">
        <v>0</v>
      </c>
      <c r="AG68" s="182"/>
      <c r="AH68" s="182">
        <v>0</v>
      </c>
      <c r="AI68" s="182"/>
      <c r="AJ68" s="182">
        <v>0</v>
      </c>
      <c r="AK68" s="182"/>
      <c r="AL68" s="182">
        <v>0</v>
      </c>
      <c r="AM68" s="182"/>
      <c r="AN68" s="182">
        <v>0</v>
      </c>
      <c r="AO68" s="182"/>
      <c r="AP68" s="182">
        <v>0</v>
      </c>
      <c r="AQ68" s="173"/>
      <c r="AR68" s="184"/>
      <c r="AS68" s="185">
        <v>3.2524999999999999</v>
      </c>
      <c r="AT68" s="185"/>
      <c r="AU68" s="185"/>
      <c r="AV68" s="185"/>
      <c r="AW68" s="185"/>
      <c r="AX68" s="185"/>
      <c r="AY68" s="185"/>
      <c r="AZ68" s="185"/>
      <c r="BA68" s="185"/>
      <c r="BB68" s="185"/>
      <c r="BC68" s="185"/>
      <c r="BD68" s="185"/>
      <c r="BE68" s="185"/>
      <c r="BF68" s="173"/>
      <c r="BG68" s="173" t="s">
        <v>1743</v>
      </c>
    </row>
    <row r="70" spans="1:59">
      <c r="M70" s="146">
        <f>SUM(M1:M68)</f>
        <v>104995073</v>
      </c>
      <c r="N70" s="146">
        <f t="shared" ref="N70:AB70" si="0">SUM(N1:N68)</f>
        <v>0</v>
      </c>
      <c r="O70" s="146">
        <f t="shared" si="0"/>
        <v>0</v>
      </c>
      <c r="P70" s="146">
        <f t="shared" si="0"/>
        <v>0</v>
      </c>
      <c r="Q70" s="146">
        <f t="shared" si="0"/>
        <v>0</v>
      </c>
      <c r="R70" s="146">
        <f t="shared" si="0"/>
        <v>0</v>
      </c>
      <c r="S70" s="146">
        <f t="shared" si="0"/>
        <v>0</v>
      </c>
      <c r="T70" s="146">
        <f t="shared" si="0"/>
        <v>0</v>
      </c>
      <c r="U70" s="146">
        <f t="shared" si="0"/>
        <v>792273</v>
      </c>
      <c r="V70" s="146">
        <f t="shared" si="0"/>
        <v>0</v>
      </c>
      <c r="W70" s="146">
        <f t="shared" si="0"/>
        <v>0</v>
      </c>
      <c r="X70" s="146">
        <f t="shared" si="0"/>
        <v>0</v>
      </c>
      <c r="Y70" s="146">
        <f t="shared" si="0"/>
        <v>6030683824</v>
      </c>
      <c r="Z70" s="146">
        <f t="shared" si="0"/>
        <v>0</v>
      </c>
      <c r="AA70" s="146">
        <f t="shared" si="0"/>
        <v>0</v>
      </c>
      <c r="AB70" s="146">
        <f t="shared" si="0"/>
        <v>0</v>
      </c>
    </row>
  </sheetData>
  <conditionalFormatting sqref="A2:BG68">
    <cfRule type="expression" dxfId="2" priority="1">
      <formula>MOD(ROW(),2)=0</formula>
    </cfRule>
  </conditionalFormatting>
  <conditionalFormatting sqref="K5:K68">
    <cfRule type="expression" dxfId="1" priority="2">
      <formula>MOD(ROW(),2)=0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9B63-3EA1-4B4C-B4A9-4B93EF7FE12F}">
  <sheetPr>
    <tabColor rgb="FFFFCC66"/>
  </sheetPr>
  <dimension ref="B2:X64"/>
  <sheetViews>
    <sheetView workbookViewId="0">
      <selection activeCell="M13" sqref="M13"/>
    </sheetView>
  </sheetViews>
  <sheetFormatPr defaultRowHeight="14.25"/>
  <cols>
    <col min="2" max="2" width="18.265625" customWidth="1"/>
    <col min="3" max="3" width="9.86328125" bestFit="1" customWidth="1"/>
    <col min="4" max="4" width="11.3984375" customWidth="1"/>
    <col min="5" max="5" width="22.3984375" bestFit="1" customWidth="1"/>
    <col min="6" max="6" width="15.265625" bestFit="1" customWidth="1"/>
    <col min="7" max="7" width="16.86328125" bestFit="1" customWidth="1"/>
    <col min="8" max="8" width="15.86328125" customWidth="1"/>
    <col min="9" max="9" width="18.59765625" customWidth="1"/>
    <col min="10" max="10" width="16.3984375" bestFit="1" customWidth="1"/>
    <col min="11" max="11" width="17.86328125" bestFit="1" customWidth="1"/>
    <col min="12" max="12" width="9.73046875" bestFit="1" customWidth="1"/>
    <col min="13" max="13" width="14.265625" bestFit="1" customWidth="1"/>
    <col min="14" max="20" width="14.265625" customWidth="1"/>
    <col min="21" max="21" width="18.1328125" bestFit="1" customWidth="1"/>
    <col min="22" max="22" width="19.3984375" bestFit="1" customWidth="1"/>
  </cols>
  <sheetData>
    <row r="2" spans="2:22">
      <c r="B2" s="16" t="s">
        <v>1805</v>
      </c>
      <c r="C2" s="146">
        <v>138700</v>
      </c>
    </row>
    <row r="3" spans="2:22">
      <c r="B3" s="16" t="s">
        <v>1806</v>
      </c>
      <c r="C3">
        <v>3412.14</v>
      </c>
      <c r="H3" s="147"/>
    </row>
    <row r="4" spans="2:22">
      <c r="B4" s="16" t="s">
        <v>1549</v>
      </c>
      <c r="C4" s="148" t="s">
        <v>1807</v>
      </c>
      <c r="D4" s="148" t="s">
        <v>1604</v>
      </c>
      <c r="E4" s="148" t="s">
        <v>1610</v>
      </c>
      <c r="F4" s="148" t="s">
        <v>1609</v>
      </c>
    </row>
    <row r="5" spans="2:22">
      <c r="B5" s="16"/>
      <c r="C5" s="16"/>
      <c r="D5" s="16"/>
      <c r="E5" s="16"/>
      <c r="F5" s="16"/>
    </row>
    <row r="6" spans="2:22">
      <c r="B6" s="16"/>
      <c r="C6" s="16"/>
      <c r="D6" s="16"/>
      <c r="E6" s="149" t="s">
        <v>1808</v>
      </c>
      <c r="F6" s="149"/>
      <c r="G6" s="150"/>
      <c r="H6" s="150"/>
      <c r="I6" s="150"/>
      <c r="J6" s="150"/>
      <c r="K6" s="150"/>
      <c r="L6" s="150"/>
      <c r="M6" s="150"/>
      <c r="N6" s="150"/>
      <c r="O6" s="150"/>
      <c r="P6" s="151" t="s">
        <v>1809</v>
      </c>
      <c r="Q6" s="152"/>
      <c r="R6" s="152"/>
      <c r="S6" s="152"/>
      <c r="T6" s="152"/>
      <c r="U6" s="152"/>
      <c r="V6" s="152"/>
    </row>
    <row r="7" spans="2:22">
      <c r="G7" s="153"/>
      <c r="H7" s="16" t="s">
        <v>1774</v>
      </c>
      <c r="I7" s="16"/>
      <c r="J7" s="16"/>
      <c r="K7" s="16"/>
      <c r="N7" s="16"/>
      <c r="O7" s="16"/>
    </row>
    <row r="8" spans="2:22">
      <c r="B8" s="74" t="s">
        <v>130</v>
      </c>
      <c r="C8" s="74" t="s">
        <v>130</v>
      </c>
      <c r="D8" s="16" t="s">
        <v>1810</v>
      </c>
      <c r="E8" s="16" t="s">
        <v>1562</v>
      </c>
      <c r="F8" s="16" t="s">
        <v>1572</v>
      </c>
      <c r="G8" s="16" t="s">
        <v>1594</v>
      </c>
      <c r="H8" s="16" t="s">
        <v>1775</v>
      </c>
      <c r="I8" s="16" t="s">
        <v>1785</v>
      </c>
      <c r="J8" s="16" t="s">
        <v>1811</v>
      </c>
      <c r="K8" s="16" t="s">
        <v>1812</v>
      </c>
      <c r="L8" s="154" t="s">
        <v>1813</v>
      </c>
      <c r="M8" s="154" t="s">
        <v>1814</v>
      </c>
      <c r="N8" s="154" t="s">
        <v>1815</v>
      </c>
      <c r="O8" s="154" t="s">
        <v>1816</v>
      </c>
      <c r="P8" s="16" t="s">
        <v>1758</v>
      </c>
      <c r="Q8" s="16" t="s">
        <v>1766</v>
      </c>
      <c r="R8" s="16" t="s">
        <v>1770</v>
      </c>
      <c r="S8" s="16" t="s">
        <v>1817</v>
      </c>
      <c r="T8" s="16" t="s">
        <v>1818</v>
      </c>
      <c r="U8" s="154" t="s">
        <v>1819</v>
      </c>
      <c r="V8" s="154" t="s">
        <v>1820</v>
      </c>
    </row>
    <row r="9" spans="2:22">
      <c r="B9" s="75" t="s">
        <v>112</v>
      </c>
      <c r="C9" s="75" t="s">
        <v>348</v>
      </c>
      <c r="D9" t="s">
        <v>1821</v>
      </c>
      <c r="E9">
        <f>SUMIFS('Annual Service Data_rail only'!N:N,'Annual Service Data_rail only'!C:C,C9)</f>
        <v>0</v>
      </c>
      <c r="F9" s="153">
        <f>SUMIFS('Annual Service Data_rail only'!X:X,'Annual Service Data_rail only'!C:C,C9)</f>
        <v>0</v>
      </c>
      <c r="G9" s="153">
        <f>SUMIFS('Annual Service Data_rail only'!AT:AT,'Annual Service Data_rail only'!C:C,C9)</f>
        <v>0</v>
      </c>
      <c r="H9">
        <f>SUMIFS('Fuel and Energy_rail only'!AD:AD,'Fuel and Energy_rail only'!C:C,C9)</f>
        <v>0</v>
      </c>
      <c r="I9">
        <f>SUMIFS('Fuel and Energy_rail only'!AN:AN,'Fuel and Energy_rail only'!C:C,C9)</f>
        <v>0</v>
      </c>
      <c r="J9" s="147">
        <f>IFERROR(H9/SUM($H9:$I9),0)</f>
        <v>0</v>
      </c>
      <c r="K9" s="147">
        <f>IFERROR(I9/SUM($H9:$I9),0)</f>
        <v>0</v>
      </c>
      <c r="L9" s="155">
        <f t="shared" ref="L9:L59" si="0">IFERROR(G9/F9,0)</f>
        <v>0</v>
      </c>
      <c r="M9" s="156">
        <f t="shared" ref="M9:M59" si="1">IFERROR(F9/E9,0)</f>
        <v>0</v>
      </c>
      <c r="N9" s="156">
        <f>E9*J9</f>
        <v>0</v>
      </c>
      <c r="O9" s="156">
        <f>K9*E9</f>
        <v>0</v>
      </c>
      <c r="P9">
        <f>SUMIFS('Fuel and Energy_rail only'!M:M,'Fuel and Energy_rail only'!C:C,C9)</f>
        <v>0</v>
      </c>
      <c r="Q9">
        <f>SUMIFS('Fuel and Energy_rail only'!U:U,'Fuel and Energy_rail only'!C:C,C9)</f>
        <v>0</v>
      </c>
      <c r="R9">
        <f>SUMIFS('Fuel and Energy_rail only'!Y:Y,'Fuel and Energy_rail only'!C:C,C9)</f>
        <v>0</v>
      </c>
      <c r="S9">
        <f>SUM(P9:Q9)*$C$2</f>
        <v>0</v>
      </c>
      <c r="T9">
        <f>R9*$C$3</f>
        <v>0</v>
      </c>
      <c r="U9" s="157">
        <f>IFERROR(($L9*$M9*N9)/S9,0)</f>
        <v>0</v>
      </c>
      <c r="V9" s="157">
        <f>IFERROR(($L9*$M9*O9)/T9,0)</f>
        <v>0</v>
      </c>
    </row>
    <row r="10" spans="2:22">
      <c r="B10" s="75" t="s">
        <v>123</v>
      </c>
      <c r="C10" s="75" t="s">
        <v>132</v>
      </c>
      <c r="D10" t="s">
        <v>1822</v>
      </c>
      <c r="E10">
        <f>SUMIFS('Annual Service Data_rail only'!N:N,'Annual Service Data_rail only'!C:C,C10)</f>
        <v>0</v>
      </c>
      <c r="F10" s="153">
        <f>SUMIFS('Annual Service Data_rail only'!X:X,'Annual Service Data_rail only'!C:C,C10)</f>
        <v>0</v>
      </c>
      <c r="G10" s="153">
        <f>SUMIFS('Annual Service Data_rail only'!AT:AT,'Annual Service Data_rail only'!C:C,C10)</f>
        <v>0</v>
      </c>
      <c r="H10">
        <f>SUMIFS('Fuel and Energy_rail only'!AD:AD,'Fuel and Energy_rail only'!C:C,C10)</f>
        <v>0</v>
      </c>
      <c r="I10">
        <f>SUMIFS('Fuel and Energy_rail only'!AN:AN,'Fuel and Energy_rail only'!C:C,C10)</f>
        <v>0</v>
      </c>
      <c r="J10" s="147">
        <f t="shared" ref="J10:K59" si="2">IFERROR(H10/SUM($H10:$I10),0)</f>
        <v>0</v>
      </c>
      <c r="K10" s="147">
        <f t="shared" si="2"/>
        <v>0</v>
      </c>
      <c r="L10" s="155">
        <f t="shared" si="0"/>
        <v>0</v>
      </c>
      <c r="M10" s="156">
        <f t="shared" si="1"/>
        <v>0</v>
      </c>
      <c r="N10" s="156">
        <f t="shared" ref="N10:N59" si="3">E10*J10</f>
        <v>0</v>
      </c>
      <c r="O10" s="156">
        <f t="shared" ref="O10:O59" si="4">K10*E10</f>
        <v>0</v>
      </c>
      <c r="P10">
        <f>SUMIFS('Fuel and Energy_rail only'!M:M,'Fuel and Energy_rail only'!C:C,C10)</f>
        <v>0</v>
      </c>
      <c r="Q10">
        <f>SUMIFS('Fuel and Energy_rail only'!U:U,'Fuel and Energy_rail only'!C:C,C10)</f>
        <v>0</v>
      </c>
      <c r="R10">
        <f>SUMIFS('Fuel and Energy_rail only'!Y:Y,'Fuel and Energy_rail only'!C:C,C10)</f>
        <v>0</v>
      </c>
      <c r="S10">
        <f t="shared" ref="S10:S59" si="5">SUM(P10:Q10)*$C$2</f>
        <v>0</v>
      </c>
      <c r="T10">
        <f t="shared" ref="T10:T59" si="6">R10*$C$3</f>
        <v>0</v>
      </c>
      <c r="U10" s="157">
        <f t="shared" ref="U10:V59" si="7">IFERROR(($L10*$M10*N10)/S10,0)</f>
        <v>0</v>
      </c>
      <c r="V10" s="157">
        <f t="shared" si="7"/>
        <v>0</v>
      </c>
    </row>
    <row r="11" spans="2:22">
      <c r="B11" s="75" t="s">
        <v>1</v>
      </c>
      <c r="C11" s="75" t="s">
        <v>350</v>
      </c>
      <c r="D11" t="s">
        <v>1823</v>
      </c>
      <c r="E11">
        <f>SUMIFS('Annual Service Data_rail only'!N:N,'Annual Service Data_rail only'!C:C,C11)</f>
        <v>17</v>
      </c>
      <c r="F11" s="153">
        <f>SUMIFS('Annual Service Data_rail only'!X:X,'Annual Service Data_rail only'!C:C,C11)</f>
        <v>3435184</v>
      </c>
      <c r="G11" s="153">
        <f>SUMIFS('Annual Service Data_rail only'!AT:AT,'Annual Service Data_rail only'!C:C,C11)</f>
        <v>90553779</v>
      </c>
      <c r="H11">
        <f>SUMIFS('Fuel and Energy_rail only'!AD:AD,'Fuel and Energy_rail only'!C:C,C11)</f>
        <v>0</v>
      </c>
      <c r="I11">
        <f>SUMIFS('Fuel and Energy_rail only'!AN:AN,'Fuel and Energy_rail only'!C:C,C11)</f>
        <v>3452467</v>
      </c>
      <c r="J11" s="147">
        <f t="shared" si="2"/>
        <v>0</v>
      </c>
      <c r="K11" s="147">
        <f t="shared" si="2"/>
        <v>1</v>
      </c>
      <c r="L11" s="155">
        <f t="shared" si="0"/>
        <v>26.360677914196152</v>
      </c>
      <c r="M11" s="156">
        <f t="shared" si="1"/>
        <v>202069.64705882352</v>
      </c>
      <c r="N11" s="156">
        <f t="shared" si="3"/>
        <v>0</v>
      </c>
      <c r="O11" s="156">
        <f>K11*E11</f>
        <v>17</v>
      </c>
      <c r="P11">
        <f>SUMIFS('Fuel and Energy_rail only'!M:M,'Fuel and Energy_rail only'!C:C,C11)</f>
        <v>0</v>
      </c>
      <c r="Q11">
        <f>SUMIFS('Fuel and Energy_rail only'!U:U,'Fuel and Energy_rail only'!C:C,C11)</f>
        <v>0</v>
      </c>
      <c r="R11">
        <f>SUMIFS('Fuel and Energy_rail only'!Y:Y,'Fuel and Energy_rail only'!C:C,C11)</f>
        <v>23474521</v>
      </c>
      <c r="S11">
        <f t="shared" si="5"/>
        <v>0</v>
      </c>
      <c r="T11">
        <f t="shared" si="6"/>
        <v>80098352084.940002</v>
      </c>
      <c r="U11" s="157">
        <f t="shared" si="7"/>
        <v>0</v>
      </c>
      <c r="V11" s="157">
        <f t="shared" si="7"/>
        <v>1.1305323598164989E-3</v>
      </c>
    </row>
    <row r="12" spans="2:22">
      <c r="B12" s="75" t="s">
        <v>113</v>
      </c>
      <c r="C12" s="75" t="s">
        <v>349</v>
      </c>
      <c r="D12" t="s">
        <v>1824</v>
      </c>
      <c r="E12">
        <f>SUMIFS('Annual Service Data_rail only'!N:N,'Annual Service Data_rail only'!C:C,C12)</f>
        <v>0</v>
      </c>
      <c r="F12" s="153">
        <f>SUMIFS('Annual Service Data_rail only'!X:X,'Annual Service Data_rail only'!C:C,C12)</f>
        <v>0</v>
      </c>
      <c r="G12" s="153">
        <f>SUMIFS('Annual Service Data_rail only'!AT:AT,'Annual Service Data_rail only'!C:C,C12)</f>
        <v>0</v>
      </c>
      <c r="H12">
        <f>SUMIFS('Fuel and Energy_rail only'!AD:AD,'Fuel and Energy_rail only'!C:C,C12)</f>
        <v>0</v>
      </c>
      <c r="I12">
        <f>SUMIFS('Fuel and Energy_rail only'!AN:AN,'Fuel and Energy_rail only'!C:C,C12)</f>
        <v>0</v>
      </c>
      <c r="J12" s="147">
        <f t="shared" si="2"/>
        <v>0</v>
      </c>
      <c r="K12" s="147">
        <f t="shared" si="2"/>
        <v>0</v>
      </c>
      <c r="L12" s="155">
        <f t="shared" si="0"/>
        <v>0</v>
      </c>
      <c r="M12" s="156">
        <f t="shared" si="1"/>
        <v>0</v>
      </c>
      <c r="N12" s="156">
        <f t="shared" si="3"/>
        <v>0</v>
      </c>
      <c r="O12" s="156">
        <f t="shared" si="4"/>
        <v>0</v>
      </c>
      <c r="P12">
        <f>SUMIFS('Fuel and Energy_rail only'!M:M,'Fuel and Energy_rail only'!C:C,C12)</f>
        <v>0</v>
      </c>
      <c r="Q12">
        <f>SUMIFS('Fuel and Energy_rail only'!U:U,'Fuel and Energy_rail only'!C:C,C12)</f>
        <v>0</v>
      </c>
      <c r="R12">
        <f>SUMIFS('Fuel and Energy_rail only'!Y:Y,'Fuel and Energy_rail only'!C:C,C12)</f>
        <v>0</v>
      </c>
      <c r="S12">
        <f t="shared" si="5"/>
        <v>0</v>
      </c>
      <c r="T12">
        <f t="shared" si="6"/>
        <v>0</v>
      </c>
      <c r="U12" s="157">
        <f t="shared" si="7"/>
        <v>0</v>
      </c>
      <c r="V12" s="157">
        <f t="shared" si="7"/>
        <v>0</v>
      </c>
    </row>
    <row r="13" spans="2:22">
      <c r="B13" s="75" t="s">
        <v>124</v>
      </c>
      <c r="C13" s="75" t="s">
        <v>351</v>
      </c>
      <c r="D13" t="s">
        <v>1825</v>
      </c>
      <c r="E13">
        <f>SUMIFS('Annual Service Data_rail only'!N:N,'Annual Service Data_rail only'!C:C,C13)</f>
        <v>441</v>
      </c>
      <c r="F13" s="153">
        <f>SUMIFS('Annual Service Data_rail only'!X:X,'Annual Service Data_rail only'!C:C,C13)</f>
        <v>139399021</v>
      </c>
      <c r="G13" s="153">
        <f>SUMIFS('Annual Service Data_rail only'!AT:AT,'Annual Service Data_rail only'!C:C,C13)</f>
        <v>2812423160</v>
      </c>
      <c r="H13">
        <f>SUMIFS('Fuel and Energy_rail only'!AD:AD,'Fuel and Energy_rail only'!C:C,C13)</f>
        <v>5034854</v>
      </c>
      <c r="I13">
        <f>SUMIFS('Fuel and Energy_rail only'!AN:AN,'Fuel and Energy_rail only'!C:C,C13)</f>
        <v>106204511</v>
      </c>
      <c r="J13" s="147">
        <f t="shared" si="2"/>
        <v>4.5261441397116929E-2</v>
      </c>
      <c r="K13" s="147">
        <f t="shared" si="2"/>
        <v>0.95473855860288304</v>
      </c>
      <c r="L13" s="155">
        <f t="shared" si="0"/>
        <v>20.175343699149796</v>
      </c>
      <c r="M13" s="156">
        <f t="shared" si="1"/>
        <v>316097.55328798183</v>
      </c>
      <c r="N13" s="156">
        <f t="shared" si="3"/>
        <v>19.960295656128565</v>
      </c>
      <c r="O13" s="156">
        <f t="shared" si="4"/>
        <v>421.03970434387139</v>
      </c>
      <c r="P13">
        <f>SUMIFS('Fuel and Energy_rail only'!M:M,'Fuel and Energy_rail only'!C:C,C13)</f>
        <v>13666577</v>
      </c>
      <c r="Q13">
        <f>SUMIFS('Fuel and Energy_rail only'!U:U,'Fuel and Energy_rail only'!C:C,C13)</f>
        <v>0</v>
      </c>
      <c r="R13">
        <f>SUMIFS('Fuel and Energy_rail only'!Y:Y,'Fuel and Energy_rail only'!C:C,C13)</f>
        <v>681466893</v>
      </c>
      <c r="S13">
        <f t="shared" si="5"/>
        <v>1895554229900</v>
      </c>
      <c r="T13">
        <f t="shared" si="6"/>
        <v>2325260444281.02</v>
      </c>
      <c r="U13" s="157">
        <f t="shared" si="7"/>
        <v>6.7154146282034786E-5</v>
      </c>
      <c r="V13" s="157">
        <f t="shared" si="7"/>
        <v>1.154764766486198E-3</v>
      </c>
    </row>
    <row r="14" spans="2:22">
      <c r="B14" s="75" t="s">
        <v>118</v>
      </c>
      <c r="C14" s="75" t="s">
        <v>352</v>
      </c>
      <c r="D14" t="s">
        <v>1826</v>
      </c>
      <c r="E14">
        <f>SUMIFS('Annual Service Data_rail only'!N:N,'Annual Service Data_rail only'!C:C,C14)</f>
        <v>56</v>
      </c>
      <c r="F14" s="153">
        <f>SUMIFS('Annual Service Data_rail only'!X:X,'Annual Service Data_rail only'!C:C,C14)</f>
        <v>15749288</v>
      </c>
      <c r="G14" s="153">
        <f>SUMIFS('Annual Service Data_rail only'!AT:AT,'Annual Service Data_rail only'!C:C,C14)</f>
        <v>129461494</v>
      </c>
      <c r="H14">
        <f>SUMIFS('Fuel and Energy_rail only'!AD:AD,'Fuel and Energy_rail only'!C:C,C14)</f>
        <v>0</v>
      </c>
      <c r="I14">
        <f>SUMIFS('Fuel and Energy_rail only'!AN:AN,'Fuel and Energy_rail only'!C:C,C14)</f>
        <v>15639401</v>
      </c>
      <c r="J14" s="147">
        <f t="shared" si="2"/>
        <v>0</v>
      </c>
      <c r="K14" s="147">
        <f t="shared" si="2"/>
        <v>1</v>
      </c>
      <c r="L14" s="155">
        <f t="shared" si="0"/>
        <v>8.2201489997516077</v>
      </c>
      <c r="M14" s="156">
        <f t="shared" si="1"/>
        <v>281237.28571428574</v>
      </c>
      <c r="N14" s="156">
        <f t="shared" si="3"/>
        <v>0</v>
      </c>
      <c r="O14" s="156">
        <f t="shared" si="4"/>
        <v>56</v>
      </c>
      <c r="P14">
        <f>SUMIFS('Fuel and Energy_rail only'!M:M,'Fuel and Energy_rail only'!C:C,C14)</f>
        <v>0</v>
      </c>
      <c r="Q14">
        <f>SUMIFS('Fuel and Energy_rail only'!U:U,'Fuel and Energy_rail only'!C:C,C14)</f>
        <v>0</v>
      </c>
      <c r="R14">
        <f>SUMIFS('Fuel and Energy_rail only'!Y:Y,'Fuel and Energy_rail only'!C:C,C14)</f>
        <v>101468806</v>
      </c>
      <c r="S14">
        <f t="shared" si="5"/>
        <v>0</v>
      </c>
      <c r="T14">
        <f t="shared" si="6"/>
        <v>346225771704.83997</v>
      </c>
      <c r="U14" s="157">
        <f t="shared" si="7"/>
        <v>0</v>
      </c>
      <c r="V14" s="157">
        <f t="shared" si="7"/>
        <v>3.739221761641906E-4</v>
      </c>
    </row>
    <row r="15" spans="2:22">
      <c r="B15" s="75" t="s">
        <v>80</v>
      </c>
      <c r="C15" s="75" t="s">
        <v>353</v>
      </c>
      <c r="D15" t="s">
        <v>1827</v>
      </c>
      <c r="E15">
        <f>SUMIFS('Annual Service Data_rail only'!N:N,'Annual Service Data_rail only'!C:C,C15)</f>
        <v>5</v>
      </c>
      <c r="F15" s="153">
        <f>SUMIFS('Annual Service Data_rail only'!X:X,'Annual Service Data_rail only'!C:C,C15)</f>
        <v>1717047</v>
      </c>
      <c r="G15" s="153">
        <f>SUMIFS('Annual Service Data_rail only'!AT:AT,'Annual Service Data_rail only'!C:C,C15)</f>
        <v>12884750</v>
      </c>
      <c r="H15">
        <f>SUMIFS('Fuel and Energy_rail only'!AD:AD,'Fuel and Energy_rail only'!C:C,C15)</f>
        <v>724004</v>
      </c>
      <c r="I15">
        <f>SUMIFS('Fuel and Energy_rail only'!AN:AN,'Fuel and Energy_rail only'!C:C,C15)</f>
        <v>0</v>
      </c>
      <c r="J15" s="147">
        <f t="shared" si="2"/>
        <v>1</v>
      </c>
      <c r="K15" s="147">
        <f t="shared" si="2"/>
        <v>0</v>
      </c>
      <c r="L15" s="155">
        <f t="shared" si="0"/>
        <v>7.5040170711692804</v>
      </c>
      <c r="M15" s="156">
        <f t="shared" si="1"/>
        <v>343409.4</v>
      </c>
      <c r="N15" s="156">
        <f t="shared" si="3"/>
        <v>5</v>
      </c>
      <c r="O15" s="156">
        <f t="shared" si="4"/>
        <v>0</v>
      </c>
      <c r="P15">
        <f>SUMIFS('Fuel and Energy_rail only'!M:M,'Fuel and Energy_rail only'!C:C,C15)</f>
        <v>1678569</v>
      </c>
      <c r="Q15">
        <f>SUMIFS('Fuel and Energy_rail only'!U:U,'Fuel and Energy_rail only'!C:C,C15)</f>
        <v>0</v>
      </c>
      <c r="R15">
        <f>SUMIFS('Fuel and Energy_rail only'!Y:Y,'Fuel and Energy_rail only'!C:C,C15)</f>
        <v>0</v>
      </c>
      <c r="S15">
        <f t="shared" si="5"/>
        <v>232817520300</v>
      </c>
      <c r="T15">
        <f t="shared" si="6"/>
        <v>0</v>
      </c>
      <c r="U15" s="157">
        <f t="shared" si="7"/>
        <v>5.5342699223826415E-5</v>
      </c>
      <c r="V15" s="157">
        <f t="shared" si="7"/>
        <v>0</v>
      </c>
    </row>
    <row r="16" spans="2:22">
      <c r="B16" s="75" t="s">
        <v>86</v>
      </c>
      <c r="C16" s="75" t="s">
        <v>355</v>
      </c>
      <c r="D16" t="s">
        <v>1828</v>
      </c>
      <c r="E16">
        <f>SUMIFS('Annual Service Data_rail only'!N:N,'Annual Service Data_rail only'!C:C,C16)</f>
        <v>0</v>
      </c>
      <c r="F16" s="153">
        <f>SUMIFS('Annual Service Data_rail only'!X:X,'Annual Service Data_rail only'!C:C,C16)</f>
        <v>0</v>
      </c>
      <c r="G16" s="153">
        <f>SUMIFS('Annual Service Data_rail only'!AT:AT,'Annual Service Data_rail only'!C:C,C16)</f>
        <v>0</v>
      </c>
      <c r="H16">
        <f>SUMIFS('Fuel and Energy_rail only'!AD:AD,'Fuel and Energy_rail only'!C:C,C16)</f>
        <v>0</v>
      </c>
      <c r="I16">
        <f>SUMIFS('Fuel and Energy_rail only'!AN:AN,'Fuel and Energy_rail only'!C:C,C16)</f>
        <v>0</v>
      </c>
      <c r="J16" s="147">
        <f t="shared" si="2"/>
        <v>0</v>
      </c>
      <c r="K16" s="147">
        <f t="shared" si="2"/>
        <v>0</v>
      </c>
      <c r="L16" s="155">
        <f t="shared" si="0"/>
        <v>0</v>
      </c>
      <c r="M16" s="156">
        <f t="shared" si="1"/>
        <v>0</v>
      </c>
      <c r="N16" s="156">
        <f t="shared" si="3"/>
        <v>0</v>
      </c>
      <c r="O16" s="156">
        <f t="shared" si="4"/>
        <v>0</v>
      </c>
      <c r="P16">
        <f>SUMIFS('Fuel and Energy_rail only'!M:M,'Fuel and Energy_rail only'!C:C,C16)</f>
        <v>0</v>
      </c>
      <c r="Q16">
        <f>SUMIFS('Fuel and Energy_rail only'!U:U,'Fuel and Energy_rail only'!C:C,C16)</f>
        <v>0</v>
      </c>
      <c r="R16">
        <f>SUMIFS('Fuel and Energy_rail only'!Y:Y,'Fuel and Energy_rail only'!C:C,C16)</f>
        <v>0</v>
      </c>
      <c r="S16">
        <f t="shared" si="5"/>
        <v>0</v>
      </c>
      <c r="T16">
        <f t="shared" si="6"/>
        <v>0</v>
      </c>
      <c r="U16" s="157">
        <f t="shared" si="7"/>
        <v>0</v>
      </c>
      <c r="V16" s="157">
        <f t="shared" si="7"/>
        <v>0</v>
      </c>
    </row>
    <row r="17" spans="2:22">
      <c r="B17" s="75" t="s">
        <v>354</v>
      </c>
      <c r="C17" s="75" t="s">
        <v>354</v>
      </c>
      <c r="D17" t="s">
        <v>1829</v>
      </c>
      <c r="E17">
        <f>SUMIFS('Annual Service Data_rail only'!N:N,'Annual Service Data_rail only'!C:C,C17)</f>
        <v>129</v>
      </c>
      <c r="F17" s="153">
        <f>SUMIFS('Annual Service Data_rail only'!X:X,'Annual Service Data_rail only'!C:C,C17)</f>
        <v>82234530</v>
      </c>
      <c r="G17" s="153">
        <f>SUMIFS('Annual Service Data_rail only'!AT:AT,'Annual Service Data_rail only'!C:C,C17)</f>
        <v>985922295</v>
      </c>
      <c r="H17">
        <f>SUMIFS('Fuel and Energy_rail only'!AD:AD,'Fuel and Energy_rail only'!C:C,C17)</f>
        <v>0</v>
      </c>
      <c r="I17">
        <f>SUMIFS('Fuel and Energy_rail only'!AN:AN,'Fuel and Energy_rail only'!C:C,C17)</f>
        <v>64920984</v>
      </c>
      <c r="J17" s="147">
        <f t="shared" si="2"/>
        <v>0</v>
      </c>
      <c r="K17" s="147">
        <f t="shared" si="2"/>
        <v>1</v>
      </c>
      <c r="L17" s="155">
        <f t="shared" si="0"/>
        <v>11.9891521846115</v>
      </c>
      <c r="M17" s="156">
        <f t="shared" si="1"/>
        <v>637476.97674418602</v>
      </c>
      <c r="N17" s="156">
        <f t="shared" si="3"/>
        <v>0</v>
      </c>
      <c r="O17" s="156">
        <f t="shared" si="4"/>
        <v>129</v>
      </c>
      <c r="P17">
        <f>SUMIFS('Fuel and Energy_rail only'!M:M,'Fuel and Energy_rail only'!C:C,C17)</f>
        <v>0</v>
      </c>
      <c r="Q17">
        <f>SUMIFS('Fuel and Energy_rail only'!U:U,'Fuel and Energy_rail only'!C:C,C17)</f>
        <v>0</v>
      </c>
      <c r="R17">
        <f>SUMIFS('Fuel and Energy_rail only'!Y:Y,'Fuel and Energy_rail only'!C:C,C17)</f>
        <v>576455528</v>
      </c>
      <c r="S17">
        <f t="shared" si="5"/>
        <v>0</v>
      </c>
      <c r="T17">
        <f t="shared" si="6"/>
        <v>1966946965309.9199</v>
      </c>
      <c r="U17" s="157">
        <f t="shared" si="7"/>
        <v>0</v>
      </c>
      <c r="V17" s="157">
        <f t="shared" si="7"/>
        <v>5.0124498137887213E-4</v>
      </c>
    </row>
    <row r="18" spans="2:22">
      <c r="B18" s="75" t="s">
        <v>91</v>
      </c>
      <c r="C18" s="75" t="s">
        <v>356</v>
      </c>
      <c r="D18" t="s">
        <v>1830</v>
      </c>
      <c r="E18">
        <f>SUMIFS('Annual Service Data_rail only'!N:N,'Annual Service Data_rail only'!C:C,C18)</f>
        <v>35</v>
      </c>
      <c r="F18" s="153">
        <f>SUMIFS('Annual Service Data_rail only'!X:X,'Annual Service Data_rail only'!C:C,C18)</f>
        <v>11964512</v>
      </c>
      <c r="G18" s="153">
        <f>SUMIFS('Annual Service Data_rail only'!AT:AT,'Annual Service Data_rail only'!C:C,C18)</f>
        <v>203966246</v>
      </c>
      <c r="H18">
        <f>SUMIFS('Fuel and Energy_rail only'!AD:AD,'Fuel and Energy_rail only'!C:C,C18)</f>
        <v>1504489</v>
      </c>
      <c r="I18">
        <f>SUMIFS('Fuel and Energy_rail only'!AN:AN,'Fuel and Energy_rail only'!C:C,C18)</f>
        <v>559892</v>
      </c>
      <c r="J18" s="147">
        <f t="shared" si="2"/>
        <v>0.72878456060194319</v>
      </c>
      <c r="K18" s="147">
        <f t="shared" si="2"/>
        <v>0.27121543939805687</v>
      </c>
      <c r="L18" s="155">
        <f t="shared" si="0"/>
        <v>17.047602610118993</v>
      </c>
      <c r="M18" s="156">
        <f t="shared" si="1"/>
        <v>341843.20000000001</v>
      </c>
      <c r="N18" s="156">
        <f t="shared" si="3"/>
        <v>25.507459621068012</v>
      </c>
      <c r="O18" s="156">
        <f t="shared" si="4"/>
        <v>9.4925403789319898</v>
      </c>
      <c r="P18">
        <f>SUMIFS('Fuel and Energy_rail only'!M:M,'Fuel and Energy_rail only'!C:C,C18)</f>
        <v>3648266</v>
      </c>
      <c r="Q18">
        <f>SUMIFS('Fuel and Energy_rail only'!U:U,'Fuel and Energy_rail only'!C:C,C18)</f>
        <v>0</v>
      </c>
      <c r="R18">
        <f>SUMIFS('Fuel and Energy_rail only'!Y:Y,'Fuel and Energy_rail only'!C:C,C18)</f>
        <v>66954261</v>
      </c>
      <c r="S18">
        <f t="shared" si="5"/>
        <v>506014494200</v>
      </c>
      <c r="T18">
        <f t="shared" si="6"/>
        <v>228457312128.53998</v>
      </c>
      <c r="U18" s="157">
        <f t="shared" si="7"/>
        <v>2.9376125125377459E-4</v>
      </c>
      <c r="V18" s="157">
        <f t="shared" si="7"/>
        <v>2.421406192511685E-4</v>
      </c>
    </row>
    <row r="19" spans="2:22">
      <c r="B19" s="75" t="s">
        <v>92</v>
      </c>
      <c r="C19" s="75" t="s">
        <v>357</v>
      </c>
      <c r="D19" t="s">
        <v>1831</v>
      </c>
      <c r="E19">
        <f>SUMIFS('Annual Service Data_rail only'!N:N,'Annual Service Data_rail only'!C:C,C19)</f>
        <v>39</v>
      </c>
      <c r="F19" s="153">
        <f>SUMIFS('Annual Service Data_rail only'!X:X,'Annual Service Data_rail only'!C:C,C19)</f>
        <v>21145309</v>
      </c>
      <c r="G19" s="153">
        <f>SUMIFS('Annual Service Data_rail only'!AT:AT,'Annual Service Data_rail only'!C:C,C19)</f>
        <v>329631085</v>
      </c>
      <c r="H19">
        <f>SUMIFS('Fuel and Energy_rail only'!AD:AD,'Fuel and Energy_rail only'!C:C,C19)</f>
        <v>0</v>
      </c>
      <c r="I19">
        <f>SUMIFS('Fuel and Energy_rail only'!AN:AN,'Fuel and Energy_rail only'!C:C,C19)</f>
        <v>19692749</v>
      </c>
      <c r="J19" s="147">
        <f t="shared" si="2"/>
        <v>0</v>
      </c>
      <c r="K19" s="147">
        <f t="shared" si="2"/>
        <v>1</v>
      </c>
      <c r="L19" s="155">
        <f t="shared" si="0"/>
        <v>15.588851645535186</v>
      </c>
      <c r="M19" s="156">
        <f t="shared" si="1"/>
        <v>542187.41025641025</v>
      </c>
      <c r="N19" s="156">
        <f t="shared" si="3"/>
        <v>0</v>
      </c>
      <c r="O19" s="156">
        <f t="shared" si="4"/>
        <v>39</v>
      </c>
      <c r="P19">
        <f>SUMIFS('Fuel and Energy_rail only'!M:M,'Fuel and Energy_rail only'!C:C,C19)</f>
        <v>0</v>
      </c>
      <c r="Q19">
        <f>SUMIFS('Fuel and Energy_rail only'!U:U,'Fuel and Energy_rail only'!C:C,C19)</f>
        <v>0</v>
      </c>
      <c r="R19">
        <f>SUMIFS('Fuel and Energy_rail only'!Y:Y,'Fuel and Energy_rail only'!C:C,C19)</f>
        <v>83566447</v>
      </c>
      <c r="S19">
        <f t="shared" si="5"/>
        <v>0</v>
      </c>
      <c r="T19">
        <f t="shared" si="6"/>
        <v>285140416466.58002</v>
      </c>
      <c r="U19" s="157">
        <f t="shared" si="7"/>
        <v>0</v>
      </c>
      <c r="V19" s="157">
        <f t="shared" si="7"/>
        <v>1.1560307342071744E-3</v>
      </c>
    </row>
    <row r="20" spans="2:22">
      <c r="B20" s="75" t="s">
        <v>125</v>
      </c>
      <c r="C20" s="75" t="s">
        <v>358</v>
      </c>
      <c r="D20" t="s">
        <v>1832</v>
      </c>
      <c r="E20">
        <f>SUMIFS('Annual Service Data_rail only'!N:N,'Annual Service Data_rail only'!C:C,C20)</f>
        <v>0</v>
      </c>
      <c r="F20" s="153">
        <f>SUMIFS('Annual Service Data_rail only'!X:X,'Annual Service Data_rail only'!C:C,C20)</f>
        <v>0</v>
      </c>
      <c r="G20" s="153">
        <f>SUMIFS('Annual Service Data_rail only'!AT:AT,'Annual Service Data_rail only'!C:C,C20)</f>
        <v>0</v>
      </c>
      <c r="H20">
        <f>SUMIFS('Fuel and Energy_rail only'!AD:AD,'Fuel and Energy_rail only'!C:C,C20)</f>
        <v>0</v>
      </c>
      <c r="I20">
        <f>SUMIFS('Fuel and Energy_rail only'!AN:AN,'Fuel and Energy_rail only'!C:C,C20)</f>
        <v>0</v>
      </c>
      <c r="J20" s="147">
        <f t="shared" si="2"/>
        <v>0</v>
      </c>
      <c r="K20" s="147">
        <f t="shared" si="2"/>
        <v>0</v>
      </c>
      <c r="L20" s="155">
        <f t="shared" si="0"/>
        <v>0</v>
      </c>
      <c r="M20" s="156">
        <f t="shared" si="1"/>
        <v>0</v>
      </c>
      <c r="N20" s="156">
        <f t="shared" si="3"/>
        <v>0</v>
      </c>
      <c r="O20" s="156">
        <f t="shared" si="4"/>
        <v>0</v>
      </c>
      <c r="P20">
        <f>SUMIFS('Fuel and Energy_rail only'!M:M,'Fuel and Energy_rail only'!C:C,C20)</f>
        <v>0</v>
      </c>
      <c r="Q20">
        <f>SUMIFS('Fuel and Energy_rail only'!U:U,'Fuel and Energy_rail only'!C:C,C20)</f>
        <v>0</v>
      </c>
      <c r="R20">
        <f>SUMIFS('Fuel and Energy_rail only'!Y:Y,'Fuel and Energy_rail only'!C:C,C20)</f>
        <v>0</v>
      </c>
      <c r="S20">
        <f t="shared" si="5"/>
        <v>0</v>
      </c>
      <c r="T20">
        <f t="shared" si="6"/>
        <v>0</v>
      </c>
      <c r="U20" s="157">
        <f t="shared" si="7"/>
        <v>0</v>
      </c>
      <c r="V20" s="157">
        <f t="shared" si="7"/>
        <v>0</v>
      </c>
    </row>
    <row r="21" spans="2:22">
      <c r="B21" s="75" t="s">
        <v>119</v>
      </c>
      <c r="C21" s="75" t="s">
        <v>360</v>
      </c>
      <c r="D21" t="s">
        <v>1833</v>
      </c>
      <c r="E21">
        <f>SUMIFS('Annual Service Data_rail only'!N:N,'Annual Service Data_rail only'!C:C,C21)</f>
        <v>0</v>
      </c>
      <c r="F21" s="153">
        <f>SUMIFS('Annual Service Data_rail only'!X:X,'Annual Service Data_rail only'!C:C,C21)</f>
        <v>0</v>
      </c>
      <c r="G21" s="153">
        <f>SUMIFS('Annual Service Data_rail only'!AT:AT,'Annual Service Data_rail only'!C:C,C21)</f>
        <v>0</v>
      </c>
      <c r="H21">
        <f>SUMIFS('Fuel and Energy_rail only'!AD:AD,'Fuel and Energy_rail only'!C:C,C21)</f>
        <v>0</v>
      </c>
      <c r="I21">
        <f>SUMIFS('Fuel and Energy_rail only'!AN:AN,'Fuel and Energy_rail only'!C:C,C21)</f>
        <v>0</v>
      </c>
      <c r="J21" s="147">
        <f t="shared" si="2"/>
        <v>0</v>
      </c>
      <c r="K21" s="147">
        <f t="shared" si="2"/>
        <v>0</v>
      </c>
      <c r="L21" s="155">
        <f t="shared" si="0"/>
        <v>0</v>
      </c>
      <c r="M21" s="156">
        <f t="shared" si="1"/>
        <v>0</v>
      </c>
      <c r="N21" s="156">
        <f t="shared" si="3"/>
        <v>0</v>
      </c>
      <c r="O21" s="156">
        <f t="shared" si="4"/>
        <v>0</v>
      </c>
      <c r="P21">
        <f>SUMIFS('Fuel and Energy_rail only'!M:M,'Fuel and Energy_rail only'!C:C,C21)</f>
        <v>0</v>
      </c>
      <c r="Q21">
        <f>SUMIFS('Fuel and Energy_rail only'!U:U,'Fuel and Energy_rail only'!C:C,C21)</f>
        <v>0</v>
      </c>
      <c r="R21">
        <f>SUMIFS('Fuel and Energy_rail only'!Y:Y,'Fuel and Energy_rail only'!C:C,C21)</f>
        <v>0</v>
      </c>
      <c r="S21">
        <f t="shared" si="5"/>
        <v>0</v>
      </c>
      <c r="T21">
        <f t="shared" si="6"/>
        <v>0</v>
      </c>
      <c r="U21" s="157">
        <f t="shared" si="7"/>
        <v>0</v>
      </c>
      <c r="V21" s="157">
        <f t="shared" si="7"/>
        <v>0</v>
      </c>
    </row>
    <row r="22" spans="2:22">
      <c r="B22" s="75" t="s">
        <v>97</v>
      </c>
      <c r="C22" s="75" t="s">
        <v>361</v>
      </c>
      <c r="D22" t="s">
        <v>1834</v>
      </c>
      <c r="E22">
        <f>SUMIFS('Annual Service Data_rail only'!N:N,'Annual Service Data_rail only'!C:C,C22)</f>
        <v>251</v>
      </c>
      <c r="F22" s="153">
        <f>SUMIFS('Annual Service Data_rail only'!X:X,'Annual Service Data_rail only'!C:C,C22)</f>
        <v>102408279</v>
      </c>
      <c r="G22" s="153">
        <f>SUMIFS('Annual Service Data_rail only'!AT:AT,'Annual Service Data_rail only'!C:C,C22)</f>
        <v>839546950</v>
      </c>
      <c r="H22">
        <f>SUMIFS('Fuel and Energy_rail only'!AD:AD,'Fuel and Energy_rail only'!C:C,C22)</f>
        <v>5202961</v>
      </c>
      <c r="I22">
        <f>SUMIFS('Fuel and Energy_rail only'!AN:AN,'Fuel and Energy_rail only'!C:C,C22)</f>
        <v>66917044</v>
      </c>
      <c r="J22" s="147">
        <f t="shared" si="2"/>
        <v>7.2143103706107617E-2</v>
      </c>
      <c r="K22" s="147">
        <f t="shared" si="2"/>
        <v>0.92785689629389234</v>
      </c>
      <c r="L22" s="155">
        <f t="shared" si="0"/>
        <v>8.1980378754338794</v>
      </c>
      <c r="M22" s="156">
        <f t="shared" si="1"/>
        <v>408001.11155378487</v>
      </c>
      <c r="N22" s="156">
        <f t="shared" si="3"/>
        <v>18.107919030233013</v>
      </c>
      <c r="O22" s="156">
        <f t="shared" si="4"/>
        <v>232.89208096976697</v>
      </c>
      <c r="P22">
        <f>SUMIFS('Fuel and Energy_rail only'!M:M,'Fuel and Energy_rail only'!C:C,C22)</f>
        <v>36200086</v>
      </c>
      <c r="Q22">
        <f>SUMIFS('Fuel and Energy_rail only'!U:U,'Fuel and Energy_rail only'!C:C,C22)</f>
        <v>0</v>
      </c>
      <c r="R22">
        <f>SUMIFS('Fuel and Energy_rail only'!Y:Y,'Fuel and Energy_rail only'!C:C,C22)</f>
        <v>422807803</v>
      </c>
      <c r="S22">
        <f t="shared" si="5"/>
        <v>5020951928200</v>
      </c>
      <c r="T22">
        <f t="shared" si="6"/>
        <v>1442679416928.4199</v>
      </c>
      <c r="U22" s="157">
        <f t="shared" si="7"/>
        <v>1.2062956097990302E-5</v>
      </c>
      <c r="V22" s="157">
        <f t="shared" si="7"/>
        <v>5.399532412949464E-4</v>
      </c>
    </row>
    <row r="23" spans="2:22">
      <c r="B23" s="75" t="s">
        <v>98</v>
      </c>
      <c r="C23" s="75" t="s">
        <v>362</v>
      </c>
      <c r="D23" t="s">
        <v>1835</v>
      </c>
      <c r="E23">
        <f>SUMIFS('Annual Service Data_rail only'!N:N,'Annual Service Data_rail only'!C:C,C23)</f>
        <v>17</v>
      </c>
      <c r="F23" s="153">
        <f>SUMIFS('Annual Service Data_rail only'!X:X,'Annual Service Data_rail only'!C:C,C23)</f>
        <v>3988838</v>
      </c>
      <c r="G23" s="153">
        <f>SUMIFS('Annual Service Data_rail only'!AT:AT,'Annual Service Data_rail only'!C:C,C23)</f>
        <v>32836617</v>
      </c>
      <c r="H23">
        <f>SUMIFS('Fuel and Energy_rail only'!AD:AD,'Fuel and Energy_rail only'!C:C,C23)</f>
        <v>0</v>
      </c>
      <c r="I23">
        <f>SUMIFS('Fuel and Energy_rail only'!AN:AN,'Fuel and Energy_rail only'!C:C,C23)</f>
        <v>3510093</v>
      </c>
      <c r="J23" s="147">
        <f t="shared" si="2"/>
        <v>0</v>
      </c>
      <c r="K23" s="147">
        <f t="shared" si="2"/>
        <v>1</v>
      </c>
      <c r="L23" s="155">
        <f t="shared" si="0"/>
        <v>8.2321259975962917</v>
      </c>
      <c r="M23" s="156">
        <f t="shared" si="1"/>
        <v>234637.5294117647</v>
      </c>
      <c r="N23" s="156">
        <f t="shared" si="3"/>
        <v>0</v>
      </c>
      <c r="O23" s="156">
        <f t="shared" si="4"/>
        <v>17</v>
      </c>
      <c r="P23">
        <f>SUMIFS('Fuel and Energy_rail only'!M:M,'Fuel and Energy_rail only'!C:C,C23)</f>
        <v>0</v>
      </c>
      <c r="Q23">
        <f>SUMIFS('Fuel and Energy_rail only'!U:U,'Fuel and Energy_rail only'!C:C,C23)</f>
        <v>0</v>
      </c>
      <c r="R23">
        <f>SUMIFS('Fuel and Energy_rail only'!Y:Y,'Fuel and Energy_rail only'!C:C,C23)</f>
        <v>18158000</v>
      </c>
      <c r="S23">
        <f t="shared" si="5"/>
        <v>0</v>
      </c>
      <c r="T23">
        <f t="shared" si="6"/>
        <v>61957638120</v>
      </c>
      <c r="U23" s="157">
        <f t="shared" si="7"/>
        <v>0</v>
      </c>
      <c r="V23" s="157">
        <f t="shared" si="7"/>
        <v>5.2998497031797435E-4</v>
      </c>
    </row>
    <row r="24" spans="2:22">
      <c r="B24" s="75" t="s">
        <v>99</v>
      </c>
      <c r="C24" s="75" t="s">
        <v>359</v>
      </c>
      <c r="D24" t="s">
        <v>1836</v>
      </c>
      <c r="E24">
        <f>SUMIFS('Annual Service Data_rail only'!N:N,'Annual Service Data_rail only'!C:C,C24)</f>
        <v>0</v>
      </c>
      <c r="F24" s="153">
        <f>SUMIFS('Annual Service Data_rail only'!X:X,'Annual Service Data_rail only'!C:C,C24)</f>
        <v>0</v>
      </c>
      <c r="G24" s="153">
        <f>SUMIFS('Annual Service Data_rail only'!AT:AT,'Annual Service Data_rail only'!C:C,C24)</f>
        <v>0</v>
      </c>
      <c r="H24">
        <f>SUMIFS('Fuel and Energy_rail only'!AD:AD,'Fuel and Energy_rail only'!C:C,C24)</f>
        <v>0</v>
      </c>
      <c r="I24">
        <f>SUMIFS('Fuel and Energy_rail only'!AN:AN,'Fuel and Energy_rail only'!C:C,C24)</f>
        <v>0</v>
      </c>
      <c r="J24" s="147">
        <f t="shared" si="2"/>
        <v>0</v>
      </c>
      <c r="K24" s="147">
        <f t="shared" si="2"/>
        <v>0</v>
      </c>
      <c r="L24" s="155">
        <f t="shared" si="0"/>
        <v>0</v>
      </c>
      <c r="M24" s="156">
        <f t="shared" si="1"/>
        <v>0</v>
      </c>
      <c r="N24" s="156">
        <f t="shared" si="3"/>
        <v>0</v>
      </c>
      <c r="O24" s="156">
        <f t="shared" si="4"/>
        <v>0</v>
      </c>
      <c r="P24">
        <f>SUMIFS('Fuel and Energy_rail only'!M:M,'Fuel and Energy_rail only'!C:C,C24)</f>
        <v>0</v>
      </c>
      <c r="Q24">
        <f>SUMIFS('Fuel and Energy_rail only'!U:U,'Fuel and Energy_rail only'!C:C,C24)</f>
        <v>0</v>
      </c>
      <c r="R24">
        <f>SUMIFS('Fuel and Energy_rail only'!Y:Y,'Fuel and Energy_rail only'!C:C,C24)</f>
        <v>0</v>
      </c>
      <c r="S24">
        <f t="shared" si="5"/>
        <v>0</v>
      </c>
      <c r="T24">
        <f t="shared" si="6"/>
        <v>0</v>
      </c>
      <c r="U24" s="157">
        <f t="shared" si="7"/>
        <v>0</v>
      </c>
      <c r="V24" s="157">
        <f t="shared" si="7"/>
        <v>0</v>
      </c>
    </row>
    <row r="25" spans="2:22">
      <c r="B25" s="75" t="s">
        <v>100</v>
      </c>
      <c r="C25" s="75" t="s">
        <v>363</v>
      </c>
      <c r="D25" t="s">
        <v>1837</v>
      </c>
      <c r="E25">
        <f>SUMIFS('Annual Service Data_rail only'!N:N,'Annual Service Data_rail only'!C:C,C25)</f>
        <v>0</v>
      </c>
      <c r="F25" s="153">
        <f>SUMIFS('Annual Service Data_rail only'!X:X,'Annual Service Data_rail only'!C:C,C25)</f>
        <v>0</v>
      </c>
      <c r="G25" s="153">
        <f>SUMIFS('Annual Service Data_rail only'!AT:AT,'Annual Service Data_rail only'!C:C,C25)</f>
        <v>0</v>
      </c>
      <c r="H25">
        <f>SUMIFS('Fuel and Energy_rail only'!AD:AD,'Fuel and Energy_rail only'!C:C,C25)</f>
        <v>0</v>
      </c>
      <c r="I25">
        <f>SUMIFS('Fuel and Energy_rail only'!AN:AN,'Fuel and Energy_rail only'!C:C,C25)</f>
        <v>0</v>
      </c>
      <c r="J25" s="147">
        <f t="shared" si="2"/>
        <v>0</v>
      </c>
      <c r="K25" s="147">
        <f t="shared" si="2"/>
        <v>0</v>
      </c>
      <c r="L25" s="155">
        <f t="shared" si="0"/>
        <v>0</v>
      </c>
      <c r="M25" s="156">
        <f t="shared" si="1"/>
        <v>0</v>
      </c>
      <c r="N25" s="156">
        <f t="shared" si="3"/>
        <v>0</v>
      </c>
      <c r="O25" s="156">
        <f t="shared" si="4"/>
        <v>0</v>
      </c>
      <c r="P25">
        <f>SUMIFS('Fuel and Energy_rail only'!M:M,'Fuel and Energy_rail only'!C:C,C25)</f>
        <v>0</v>
      </c>
      <c r="Q25">
        <f>SUMIFS('Fuel and Energy_rail only'!U:U,'Fuel and Energy_rail only'!C:C,C25)</f>
        <v>0</v>
      </c>
      <c r="R25">
        <f>SUMIFS('Fuel and Energy_rail only'!Y:Y,'Fuel and Energy_rail only'!C:C,C25)</f>
        <v>0</v>
      </c>
      <c r="S25">
        <f t="shared" si="5"/>
        <v>0</v>
      </c>
      <c r="T25">
        <f t="shared" si="6"/>
        <v>0</v>
      </c>
      <c r="U25" s="157">
        <f t="shared" si="7"/>
        <v>0</v>
      </c>
      <c r="V25" s="157">
        <f t="shared" si="7"/>
        <v>0</v>
      </c>
    </row>
    <row r="26" spans="2:22">
      <c r="B26" s="75" t="s">
        <v>101</v>
      </c>
      <c r="C26" s="75" t="s">
        <v>364</v>
      </c>
      <c r="D26" t="s">
        <v>1838</v>
      </c>
      <c r="E26">
        <f>SUMIFS('Annual Service Data_rail only'!N:N,'Annual Service Data_rail only'!C:C,C26)</f>
        <v>0</v>
      </c>
      <c r="F26" s="153">
        <f>SUMIFS('Annual Service Data_rail only'!X:X,'Annual Service Data_rail only'!C:C,C26)</f>
        <v>0</v>
      </c>
      <c r="G26" s="153">
        <f>SUMIFS('Annual Service Data_rail only'!AT:AT,'Annual Service Data_rail only'!C:C,C26)</f>
        <v>0</v>
      </c>
      <c r="H26">
        <f>SUMIFS('Fuel and Energy_rail only'!AD:AD,'Fuel and Energy_rail only'!C:C,C26)</f>
        <v>0</v>
      </c>
      <c r="I26">
        <f>SUMIFS('Fuel and Energy_rail only'!AN:AN,'Fuel and Energy_rail only'!C:C,C26)</f>
        <v>0</v>
      </c>
      <c r="J26" s="147">
        <f t="shared" si="2"/>
        <v>0</v>
      </c>
      <c r="K26" s="147">
        <f t="shared" si="2"/>
        <v>0</v>
      </c>
      <c r="L26" s="155">
        <f t="shared" si="0"/>
        <v>0</v>
      </c>
      <c r="M26" s="156">
        <f t="shared" si="1"/>
        <v>0</v>
      </c>
      <c r="N26" s="156">
        <f t="shared" si="3"/>
        <v>0</v>
      </c>
      <c r="O26" s="156">
        <f t="shared" si="4"/>
        <v>0</v>
      </c>
      <c r="P26">
        <f>SUMIFS('Fuel and Energy_rail only'!M:M,'Fuel and Energy_rail only'!C:C,C26)</f>
        <v>0</v>
      </c>
      <c r="Q26">
        <f>SUMIFS('Fuel and Energy_rail only'!U:U,'Fuel and Energy_rail only'!C:C,C26)</f>
        <v>0</v>
      </c>
      <c r="R26">
        <f>SUMIFS('Fuel and Energy_rail only'!Y:Y,'Fuel and Energy_rail only'!C:C,C26)</f>
        <v>0</v>
      </c>
      <c r="S26">
        <f t="shared" si="5"/>
        <v>0</v>
      </c>
      <c r="T26">
        <f t="shared" si="6"/>
        <v>0</v>
      </c>
      <c r="U26" s="157">
        <f t="shared" si="7"/>
        <v>0</v>
      </c>
      <c r="V26" s="157">
        <f t="shared" si="7"/>
        <v>0</v>
      </c>
    </row>
    <row r="27" spans="2:22">
      <c r="B27" s="75" t="s">
        <v>114</v>
      </c>
      <c r="C27" s="75" t="s">
        <v>365</v>
      </c>
      <c r="D27" t="s">
        <v>1839</v>
      </c>
      <c r="E27">
        <f>SUMIFS('Annual Service Data_rail only'!N:N,'Annual Service Data_rail only'!C:C,C27)</f>
        <v>0</v>
      </c>
      <c r="F27" s="153">
        <f>SUMIFS('Annual Service Data_rail only'!X:X,'Annual Service Data_rail only'!C:C,C27)</f>
        <v>0</v>
      </c>
      <c r="G27" s="153">
        <f>SUMIFS('Annual Service Data_rail only'!AT:AT,'Annual Service Data_rail only'!C:C,C27)</f>
        <v>0</v>
      </c>
      <c r="H27">
        <f>SUMIFS('Fuel and Energy_rail only'!AD:AD,'Fuel and Energy_rail only'!C:C,C27)</f>
        <v>0</v>
      </c>
      <c r="I27">
        <f>SUMIFS('Fuel and Energy_rail only'!AN:AN,'Fuel and Energy_rail only'!C:C,C27)</f>
        <v>0</v>
      </c>
      <c r="J27" s="147">
        <f t="shared" si="2"/>
        <v>0</v>
      </c>
      <c r="K27" s="147">
        <f t="shared" si="2"/>
        <v>0</v>
      </c>
      <c r="L27" s="155">
        <f t="shared" si="0"/>
        <v>0</v>
      </c>
      <c r="M27" s="156">
        <f t="shared" si="1"/>
        <v>0</v>
      </c>
      <c r="N27" s="156">
        <f t="shared" si="3"/>
        <v>0</v>
      </c>
      <c r="O27" s="156">
        <f t="shared" si="4"/>
        <v>0</v>
      </c>
      <c r="P27">
        <f>SUMIFS('Fuel and Energy_rail only'!M:M,'Fuel and Energy_rail only'!C:C,C27)</f>
        <v>0</v>
      </c>
      <c r="Q27">
        <f>SUMIFS('Fuel and Energy_rail only'!U:U,'Fuel and Energy_rail only'!C:C,C27)</f>
        <v>0</v>
      </c>
      <c r="R27">
        <f>SUMIFS('Fuel and Energy_rail only'!Y:Y,'Fuel and Energy_rail only'!C:C,C27)</f>
        <v>0</v>
      </c>
      <c r="S27">
        <f t="shared" si="5"/>
        <v>0</v>
      </c>
      <c r="T27">
        <f t="shared" si="6"/>
        <v>0</v>
      </c>
      <c r="U27" s="157">
        <f t="shared" si="7"/>
        <v>0</v>
      </c>
      <c r="V27" s="157">
        <f t="shared" si="7"/>
        <v>0</v>
      </c>
    </row>
    <row r="28" spans="2:22">
      <c r="B28" s="75" t="s">
        <v>81</v>
      </c>
      <c r="C28" s="75" t="s">
        <v>368</v>
      </c>
      <c r="D28" t="s">
        <v>1840</v>
      </c>
      <c r="E28">
        <f>SUMIFS('Annual Service Data_rail only'!N:N,'Annual Service Data_rail only'!C:C,C28)</f>
        <v>3</v>
      </c>
      <c r="F28" s="153">
        <f>SUMIFS('Annual Service Data_rail only'!X:X,'Annual Service Data_rail only'!C:C,C28)</f>
        <v>1974842</v>
      </c>
      <c r="G28" s="153">
        <f>SUMIFS('Annual Service Data_rail only'!AT:AT,'Annual Service Data_rail only'!C:C,C28)</f>
        <v>33416609</v>
      </c>
      <c r="H28">
        <f>SUMIFS('Fuel and Energy_rail only'!AD:AD,'Fuel and Energy_rail only'!C:C,C28)</f>
        <v>0</v>
      </c>
      <c r="I28">
        <f>SUMIFS('Fuel and Energy_rail only'!AN:AN,'Fuel and Energy_rail only'!C:C,C28)</f>
        <v>0</v>
      </c>
      <c r="J28" s="147">
        <f t="shared" si="2"/>
        <v>0</v>
      </c>
      <c r="K28" s="147">
        <f t="shared" si="2"/>
        <v>0</v>
      </c>
      <c r="L28" s="155">
        <f t="shared" si="0"/>
        <v>16.921155717773878</v>
      </c>
      <c r="M28" s="156">
        <f t="shared" si="1"/>
        <v>658280.66666666663</v>
      </c>
      <c r="N28" s="156">
        <f t="shared" si="3"/>
        <v>0</v>
      </c>
      <c r="O28" s="156">
        <f t="shared" si="4"/>
        <v>0</v>
      </c>
      <c r="P28">
        <f>SUMIFS('Fuel and Energy_rail only'!M:M,'Fuel and Energy_rail only'!C:C,C28)</f>
        <v>628302</v>
      </c>
      <c r="Q28">
        <f>SUMIFS('Fuel and Energy_rail only'!U:U,'Fuel and Energy_rail only'!C:C,C28)</f>
        <v>0</v>
      </c>
      <c r="R28">
        <f>SUMIFS('Fuel and Energy_rail only'!Y:Y,'Fuel and Energy_rail only'!C:C,C28)</f>
        <v>0</v>
      </c>
      <c r="S28">
        <f t="shared" si="5"/>
        <v>87145487400</v>
      </c>
      <c r="T28">
        <f t="shared" si="6"/>
        <v>0</v>
      </c>
      <c r="U28" s="157">
        <f t="shared" si="7"/>
        <v>0</v>
      </c>
      <c r="V28" s="157">
        <f t="shared" si="7"/>
        <v>0</v>
      </c>
    </row>
    <row r="29" spans="2:22">
      <c r="B29" s="75" t="s">
        <v>87</v>
      </c>
      <c r="C29" s="75" t="s">
        <v>367</v>
      </c>
      <c r="D29" t="s">
        <v>1841</v>
      </c>
      <c r="E29">
        <f>SUMIFS('Annual Service Data_rail only'!N:N,'Annual Service Data_rail only'!C:C,C29)</f>
        <v>55</v>
      </c>
      <c r="F29" s="153">
        <f>SUMIFS('Annual Service Data_rail only'!X:X,'Annual Service Data_rail only'!C:C,C29)</f>
        <v>13332723</v>
      </c>
      <c r="G29" s="153">
        <f>SUMIFS('Annual Service Data_rail only'!AT:AT,'Annual Service Data_rail only'!C:C,C29)</f>
        <v>252169120</v>
      </c>
      <c r="H29">
        <f>SUMIFS('Fuel and Energy_rail only'!AD:AD,'Fuel and Energy_rail only'!C:C,C29)</f>
        <v>764117</v>
      </c>
      <c r="I29">
        <f>SUMIFS('Fuel and Energy_rail only'!AN:AN,'Fuel and Energy_rail only'!C:C,C29)</f>
        <v>2843642</v>
      </c>
      <c r="J29" s="147">
        <f t="shared" si="2"/>
        <v>0.21179823818608726</v>
      </c>
      <c r="K29" s="147">
        <f t="shared" si="2"/>
        <v>0.78820176181391277</v>
      </c>
      <c r="L29" s="155">
        <f t="shared" si="0"/>
        <v>18.913549767740619</v>
      </c>
      <c r="M29" s="156">
        <f t="shared" si="1"/>
        <v>242413.14545454545</v>
      </c>
      <c r="N29" s="156">
        <f t="shared" si="3"/>
        <v>11.648903100234799</v>
      </c>
      <c r="O29" s="156">
        <f t="shared" si="4"/>
        <v>43.351096899765203</v>
      </c>
      <c r="P29">
        <f>SUMIFS('Fuel and Energy_rail only'!M:M,'Fuel and Energy_rail only'!C:C,C29)</f>
        <v>3709703</v>
      </c>
      <c r="Q29">
        <f>SUMIFS('Fuel and Energy_rail only'!U:U,'Fuel and Energy_rail only'!C:C,C29)</f>
        <v>0</v>
      </c>
      <c r="R29">
        <f>SUMIFS('Fuel and Energy_rail only'!Y:Y,'Fuel and Energy_rail only'!C:C,C29)</f>
        <v>91224966</v>
      </c>
      <c r="S29">
        <f t="shared" si="5"/>
        <v>514535806100</v>
      </c>
      <c r="T29">
        <f t="shared" si="6"/>
        <v>311272355487.23999</v>
      </c>
      <c r="U29" s="157">
        <f t="shared" si="7"/>
        <v>1.0380030837067924E-4</v>
      </c>
      <c r="V29" s="157">
        <f t="shared" si="7"/>
        <v>6.3854094703637049E-4</v>
      </c>
    </row>
    <row r="30" spans="2:22">
      <c r="B30" s="75" t="s">
        <v>82</v>
      </c>
      <c r="C30" s="75" t="s">
        <v>366</v>
      </c>
      <c r="D30" t="s">
        <v>1842</v>
      </c>
      <c r="E30">
        <f>SUMIFS('Annual Service Data_rail only'!N:N,'Annual Service Data_rail only'!C:C,C30)</f>
        <v>209</v>
      </c>
      <c r="F30" s="153">
        <f>SUMIFS('Annual Service Data_rail only'!X:X,'Annual Service Data_rail only'!C:C,C30)</f>
        <v>50817429</v>
      </c>
      <c r="G30" s="153">
        <f>SUMIFS('Annual Service Data_rail only'!AT:AT,'Annual Service Data_rail only'!C:C,C30)</f>
        <v>1018614837</v>
      </c>
      <c r="H30">
        <f>SUMIFS('Fuel and Energy_rail only'!AD:AD,'Fuel and Energy_rail only'!C:C,C30)</f>
        <v>4339139</v>
      </c>
      <c r="I30">
        <f>SUMIFS('Fuel and Energy_rail only'!AN:AN,'Fuel and Energy_rail only'!C:C,C30)</f>
        <v>27601749</v>
      </c>
      <c r="J30" s="147">
        <f t="shared" si="2"/>
        <v>0.13584904089078551</v>
      </c>
      <c r="K30" s="147">
        <f t="shared" si="2"/>
        <v>0.86415095910921447</v>
      </c>
      <c r="L30" s="155">
        <f t="shared" si="0"/>
        <v>20.044596057781671</v>
      </c>
      <c r="M30" s="156">
        <f t="shared" si="1"/>
        <v>243145.59330143541</v>
      </c>
      <c r="N30" s="156">
        <f t="shared" si="3"/>
        <v>28.39244954617417</v>
      </c>
      <c r="O30" s="156">
        <f t="shared" si="4"/>
        <v>180.60755045382584</v>
      </c>
      <c r="P30">
        <f>SUMIFS('Fuel and Energy_rail only'!M:M,'Fuel and Energy_rail only'!C:C,C30)</f>
        <v>13360985</v>
      </c>
      <c r="Q30">
        <f>SUMIFS('Fuel and Energy_rail only'!U:U,'Fuel and Energy_rail only'!C:C,C30)</f>
        <v>0</v>
      </c>
      <c r="R30">
        <f>SUMIFS('Fuel and Energy_rail only'!Y:Y,'Fuel and Energy_rail only'!C:C,C30)</f>
        <v>225210199</v>
      </c>
      <c r="S30">
        <f t="shared" si="5"/>
        <v>1853168619500</v>
      </c>
      <c r="T30">
        <f t="shared" si="6"/>
        <v>768448728415.85999</v>
      </c>
      <c r="U30" s="157">
        <f t="shared" si="7"/>
        <v>7.4670943155140035E-5</v>
      </c>
      <c r="V30" s="157">
        <f t="shared" si="7"/>
        <v>1.1454726331202542E-3</v>
      </c>
    </row>
    <row r="31" spans="2:22">
      <c r="B31" s="75" t="s">
        <v>102</v>
      </c>
      <c r="C31" s="75" t="s">
        <v>369</v>
      </c>
      <c r="D31" t="s">
        <v>1843</v>
      </c>
      <c r="E31">
        <f>SUMIFS('Annual Service Data_rail only'!N:N,'Annual Service Data_rail only'!C:C,C31)</f>
        <v>0</v>
      </c>
      <c r="F31" s="153">
        <f>SUMIFS('Annual Service Data_rail only'!X:X,'Annual Service Data_rail only'!C:C,C31)</f>
        <v>0</v>
      </c>
      <c r="G31" s="153">
        <f>SUMIFS('Annual Service Data_rail only'!AT:AT,'Annual Service Data_rail only'!C:C,C31)</f>
        <v>0</v>
      </c>
      <c r="H31">
        <f>SUMIFS('Fuel and Energy_rail only'!AD:AD,'Fuel and Energy_rail only'!C:C,C31)</f>
        <v>0</v>
      </c>
      <c r="I31">
        <f>SUMIFS('Fuel and Energy_rail only'!AN:AN,'Fuel and Energy_rail only'!C:C,C31)</f>
        <v>0</v>
      </c>
      <c r="J31" s="147">
        <f t="shared" si="2"/>
        <v>0</v>
      </c>
      <c r="K31" s="147">
        <f t="shared" si="2"/>
        <v>0</v>
      </c>
      <c r="L31" s="155">
        <f t="shared" si="0"/>
        <v>0</v>
      </c>
      <c r="M31" s="156">
        <f t="shared" si="1"/>
        <v>0</v>
      </c>
      <c r="N31" s="156">
        <f t="shared" si="3"/>
        <v>0</v>
      </c>
      <c r="O31" s="156">
        <f t="shared" si="4"/>
        <v>0</v>
      </c>
      <c r="P31">
        <f>SUMIFS('Fuel and Energy_rail only'!M:M,'Fuel and Energy_rail only'!C:C,C31)</f>
        <v>0</v>
      </c>
      <c r="Q31">
        <f>SUMIFS('Fuel and Energy_rail only'!U:U,'Fuel and Energy_rail only'!C:C,C31)</f>
        <v>0</v>
      </c>
      <c r="R31">
        <f>SUMIFS('Fuel and Energy_rail only'!Y:Y,'Fuel and Energy_rail only'!C:C,C31)</f>
        <v>0</v>
      </c>
      <c r="S31">
        <f t="shared" si="5"/>
        <v>0</v>
      </c>
      <c r="T31">
        <f t="shared" si="6"/>
        <v>0</v>
      </c>
      <c r="U31" s="157">
        <f t="shared" si="7"/>
        <v>0</v>
      </c>
      <c r="V31" s="157">
        <f t="shared" si="7"/>
        <v>0</v>
      </c>
    </row>
    <row r="32" spans="2:22">
      <c r="B32" s="75" t="s">
        <v>103</v>
      </c>
      <c r="C32" s="75" t="s">
        <v>370</v>
      </c>
      <c r="D32" t="s">
        <v>1844</v>
      </c>
      <c r="E32">
        <f>SUMIFS('Annual Service Data_rail only'!N:N,'Annual Service Data_rail only'!C:C,C32)</f>
        <v>27</v>
      </c>
      <c r="F32" s="153">
        <f>SUMIFS('Annual Service Data_rail only'!X:X,'Annual Service Data_rail only'!C:C,C32)</f>
        <v>4386285</v>
      </c>
      <c r="G32" s="153">
        <f>SUMIFS('Annual Service Data_rail only'!AT:AT,'Annual Service Data_rail only'!C:C,C32)</f>
        <v>44505006</v>
      </c>
      <c r="H32">
        <f>SUMIFS('Fuel and Energy_rail only'!AD:AD,'Fuel and Energy_rail only'!C:C,C32)</f>
        <v>63438</v>
      </c>
      <c r="I32">
        <f>SUMIFS('Fuel and Energy_rail only'!AN:AN,'Fuel and Energy_rail only'!C:C,C32)</f>
        <v>4153269</v>
      </c>
      <c r="J32" s="147">
        <f t="shared" si="2"/>
        <v>1.5044441076887722E-2</v>
      </c>
      <c r="K32" s="147">
        <f t="shared" si="2"/>
        <v>0.98495555892311226</v>
      </c>
      <c r="L32" s="155">
        <f t="shared" si="0"/>
        <v>10.14640088366351</v>
      </c>
      <c r="M32" s="156">
        <f t="shared" si="1"/>
        <v>162455</v>
      </c>
      <c r="N32" s="156">
        <f t="shared" si="3"/>
        <v>0.40619990907596848</v>
      </c>
      <c r="O32" s="156">
        <f t="shared" si="4"/>
        <v>26.593800090924031</v>
      </c>
      <c r="P32">
        <f>SUMIFS('Fuel and Energy_rail only'!M:M,'Fuel and Energy_rail only'!C:C,C32)</f>
        <v>213780</v>
      </c>
      <c r="Q32">
        <f>SUMIFS('Fuel and Energy_rail only'!U:U,'Fuel and Energy_rail only'!C:C,C32)</f>
        <v>0</v>
      </c>
      <c r="R32">
        <f>SUMIFS('Fuel and Energy_rail only'!Y:Y,'Fuel and Energy_rail only'!C:C,C32)</f>
        <v>31871652</v>
      </c>
      <c r="S32">
        <f t="shared" si="5"/>
        <v>29651286000</v>
      </c>
      <c r="T32">
        <f t="shared" si="6"/>
        <v>108750538655.28</v>
      </c>
      <c r="U32" s="157">
        <f t="shared" si="7"/>
        <v>2.2580907296686373E-5</v>
      </c>
      <c r="V32" s="157">
        <f t="shared" si="7"/>
        <v>4.030826293059302E-4</v>
      </c>
    </row>
    <row r="33" spans="2:22">
      <c r="B33" s="75" t="s">
        <v>115</v>
      </c>
      <c r="C33" s="75" t="s">
        <v>372</v>
      </c>
      <c r="D33" t="s">
        <v>1845</v>
      </c>
      <c r="E33">
        <f>SUMIFS('Annual Service Data_rail only'!N:N,'Annual Service Data_rail only'!C:C,C33)</f>
        <v>0</v>
      </c>
      <c r="F33" s="153">
        <f>SUMIFS('Annual Service Data_rail only'!X:X,'Annual Service Data_rail only'!C:C,C33)</f>
        <v>0</v>
      </c>
      <c r="G33" s="153">
        <f>SUMIFS('Annual Service Data_rail only'!AT:AT,'Annual Service Data_rail only'!C:C,C33)</f>
        <v>0</v>
      </c>
      <c r="H33">
        <f>SUMIFS('Fuel and Energy_rail only'!AD:AD,'Fuel and Energy_rail only'!C:C,C33)</f>
        <v>0</v>
      </c>
      <c r="I33">
        <f>SUMIFS('Fuel and Energy_rail only'!AN:AN,'Fuel and Energy_rail only'!C:C,C33)</f>
        <v>0</v>
      </c>
      <c r="J33" s="147">
        <f t="shared" si="2"/>
        <v>0</v>
      </c>
      <c r="K33" s="147">
        <f t="shared" si="2"/>
        <v>0</v>
      </c>
      <c r="L33" s="155">
        <f t="shared" si="0"/>
        <v>0</v>
      </c>
      <c r="M33" s="156">
        <f t="shared" si="1"/>
        <v>0</v>
      </c>
      <c r="N33" s="156">
        <f t="shared" si="3"/>
        <v>0</v>
      </c>
      <c r="O33" s="156">
        <f t="shared" si="4"/>
        <v>0</v>
      </c>
      <c r="P33">
        <f>SUMIFS('Fuel and Energy_rail only'!M:M,'Fuel and Energy_rail only'!C:C,C33)</f>
        <v>0</v>
      </c>
      <c r="Q33">
        <f>SUMIFS('Fuel and Energy_rail only'!U:U,'Fuel and Energy_rail only'!C:C,C33)</f>
        <v>0</v>
      </c>
      <c r="R33">
        <f>SUMIFS('Fuel and Energy_rail only'!Y:Y,'Fuel and Energy_rail only'!C:C,C33)</f>
        <v>0</v>
      </c>
      <c r="S33">
        <f t="shared" si="5"/>
        <v>0</v>
      </c>
      <c r="T33">
        <f t="shared" si="6"/>
        <v>0</v>
      </c>
      <c r="U33" s="157">
        <f t="shared" si="7"/>
        <v>0</v>
      </c>
      <c r="V33" s="157">
        <f t="shared" si="7"/>
        <v>0</v>
      </c>
    </row>
    <row r="34" spans="2:22">
      <c r="B34" s="75" t="s">
        <v>104</v>
      </c>
      <c r="C34" s="75" t="s">
        <v>371</v>
      </c>
      <c r="D34" t="s">
        <v>1846</v>
      </c>
      <c r="E34">
        <f>SUMIFS('Annual Service Data_rail only'!N:N,'Annual Service Data_rail only'!C:C,C34)</f>
        <v>25</v>
      </c>
      <c r="F34" s="153">
        <f>SUMIFS('Annual Service Data_rail only'!X:X,'Annual Service Data_rail only'!C:C,C34)</f>
        <v>5905439</v>
      </c>
      <c r="G34" s="153">
        <f>SUMIFS('Annual Service Data_rail only'!AT:AT,'Annual Service Data_rail only'!C:C,C34)</f>
        <v>70933375</v>
      </c>
      <c r="H34">
        <f>SUMIFS('Fuel and Energy_rail only'!AD:AD,'Fuel and Energy_rail only'!C:C,C34)</f>
        <v>0</v>
      </c>
      <c r="I34">
        <f>SUMIFS('Fuel and Energy_rail only'!AN:AN,'Fuel and Energy_rail only'!C:C,C34)</f>
        <v>5934378</v>
      </c>
      <c r="J34" s="147">
        <f t="shared" si="2"/>
        <v>0</v>
      </c>
      <c r="K34" s="147">
        <f t="shared" si="2"/>
        <v>1</v>
      </c>
      <c r="L34" s="155">
        <f t="shared" si="0"/>
        <v>12.011532927526641</v>
      </c>
      <c r="M34" s="156">
        <f t="shared" si="1"/>
        <v>236217.56</v>
      </c>
      <c r="N34" s="156">
        <f t="shared" si="3"/>
        <v>0</v>
      </c>
      <c r="O34" s="156">
        <f t="shared" si="4"/>
        <v>25</v>
      </c>
      <c r="P34">
        <f>SUMIFS('Fuel and Energy_rail only'!M:M,'Fuel and Energy_rail only'!C:C,C34)</f>
        <v>0</v>
      </c>
      <c r="Q34">
        <f>SUMIFS('Fuel and Energy_rail only'!U:U,'Fuel and Energy_rail only'!C:C,C34)</f>
        <v>0</v>
      </c>
      <c r="R34">
        <f>SUMIFS('Fuel and Energy_rail only'!Y:Y,'Fuel and Energy_rail only'!C:C,C34)</f>
        <v>36496148</v>
      </c>
      <c r="S34">
        <f t="shared" si="5"/>
        <v>0</v>
      </c>
      <c r="T34">
        <f t="shared" si="6"/>
        <v>124529966436.72</v>
      </c>
      <c r="U34" s="157">
        <f t="shared" si="7"/>
        <v>0</v>
      </c>
      <c r="V34" s="157">
        <f t="shared" si="7"/>
        <v>5.6960888234114198E-4</v>
      </c>
    </row>
    <row r="35" spans="2:22">
      <c r="B35" s="75" t="s">
        <v>120</v>
      </c>
      <c r="C35" s="75" t="s">
        <v>373</v>
      </c>
      <c r="D35" t="s">
        <v>1847</v>
      </c>
      <c r="E35">
        <f>SUMIFS('Annual Service Data_rail only'!N:N,'Annual Service Data_rail only'!C:C,C35)</f>
        <v>0</v>
      </c>
      <c r="F35" s="153">
        <f>SUMIFS('Annual Service Data_rail only'!X:X,'Annual Service Data_rail only'!C:C,C35)</f>
        <v>0</v>
      </c>
      <c r="G35" s="153">
        <f>SUMIFS('Annual Service Data_rail only'!AT:AT,'Annual Service Data_rail only'!C:C,C35)</f>
        <v>0</v>
      </c>
      <c r="H35">
        <f>SUMIFS('Fuel and Energy_rail only'!AD:AD,'Fuel and Energy_rail only'!C:C,C35)</f>
        <v>0</v>
      </c>
      <c r="I35">
        <f>SUMIFS('Fuel and Energy_rail only'!AN:AN,'Fuel and Energy_rail only'!C:C,C35)</f>
        <v>0</v>
      </c>
      <c r="J35" s="147">
        <f t="shared" si="2"/>
        <v>0</v>
      </c>
      <c r="K35" s="147">
        <f t="shared" si="2"/>
        <v>0</v>
      </c>
      <c r="L35" s="155">
        <f t="shared" si="0"/>
        <v>0</v>
      </c>
      <c r="M35" s="156">
        <f t="shared" si="1"/>
        <v>0</v>
      </c>
      <c r="N35" s="156">
        <f t="shared" si="3"/>
        <v>0</v>
      </c>
      <c r="O35" s="156">
        <f t="shared" si="4"/>
        <v>0</v>
      </c>
      <c r="P35">
        <f>SUMIFS('Fuel and Energy_rail only'!M:M,'Fuel and Energy_rail only'!C:C,C35)</f>
        <v>0</v>
      </c>
      <c r="Q35">
        <f>SUMIFS('Fuel and Energy_rail only'!U:U,'Fuel and Energy_rail only'!C:C,C35)</f>
        <v>0</v>
      </c>
      <c r="R35">
        <f>SUMIFS('Fuel and Energy_rail only'!Y:Y,'Fuel and Energy_rail only'!C:C,C35)</f>
        <v>0</v>
      </c>
      <c r="S35">
        <f t="shared" si="5"/>
        <v>0</v>
      </c>
      <c r="T35">
        <f t="shared" si="6"/>
        <v>0</v>
      </c>
      <c r="U35" s="157">
        <f t="shared" si="7"/>
        <v>0</v>
      </c>
      <c r="V35" s="157">
        <f t="shared" si="7"/>
        <v>0</v>
      </c>
    </row>
    <row r="36" spans="2:22">
      <c r="B36" s="75" t="s">
        <v>105</v>
      </c>
      <c r="C36" s="75" t="s">
        <v>376</v>
      </c>
      <c r="D36" t="s">
        <v>1848</v>
      </c>
      <c r="E36">
        <f>SUMIFS('Annual Service Data_rail only'!N:N,'Annual Service Data_rail only'!C:C,C36)</f>
        <v>0</v>
      </c>
      <c r="F36" s="153">
        <f>SUMIFS('Annual Service Data_rail only'!X:X,'Annual Service Data_rail only'!C:C,C36)</f>
        <v>0</v>
      </c>
      <c r="G36" s="153">
        <f>SUMIFS('Annual Service Data_rail only'!AT:AT,'Annual Service Data_rail only'!C:C,C36)</f>
        <v>0</v>
      </c>
      <c r="H36">
        <f>SUMIFS('Fuel and Energy_rail only'!AD:AD,'Fuel and Energy_rail only'!C:C,C36)</f>
        <v>0</v>
      </c>
      <c r="I36">
        <f>SUMIFS('Fuel and Energy_rail only'!AN:AN,'Fuel and Energy_rail only'!C:C,C36)</f>
        <v>0</v>
      </c>
      <c r="J36" s="147">
        <f t="shared" si="2"/>
        <v>0</v>
      </c>
      <c r="K36" s="147">
        <f t="shared" si="2"/>
        <v>0</v>
      </c>
      <c r="L36" s="155">
        <f t="shared" si="0"/>
        <v>0</v>
      </c>
      <c r="M36" s="156">
        <f t="shared" si="1"/>
        <v>0</v>
      </c>
      <c r="N36" s="156">
        <f t="shared" si="3"/>
        <v>0</v>
      </c>
      <c r="O36" s="156">
        <f t="shared" si="4"/>
        <v>0</v>
      </c>
      <c r="P36">
        <f>SUMIFS('Fuel and Energy_rail only'!M:M,'Fuel and Energy_rail only'!C:C,C36)</f>
        <v>0</v>
      </c>
      <c r="Q36">
        <f>SUMIFS('Fuel and Energy_rail only'!U:U,'Fuel and Energy_rail only'!C:C,C36)</f>
        <v>0</v>
      </c>
      <c r="R36">
        <f>SUMIFS('Fuel and Energy_rail only'!Y:Y,'Fuel and Energy_rail only'!C:C,C36)</f>
        <v>0</v>
      </c>
      <c r="S36">
        <f t="shared" si="5"/>
        <v>0</v>
      </c>
      <c r="T36">
        <f t="shared" si="6"/>
        <v>0</v>
      </c>
      <c r="U36" s="157">
        <f t="shared" si="7"/>
        <v>0</v>
      </c>
      <c r="V36" s="157">
        <f t="shared" si="7"/>
        <v>0</v>
      </c>
    </row>
    <row r="37" spans="2:22">
      <c r="B37" s="75" t="s">
        <v>126</v>
      </c>
      <c r="C37" s="75" t="s">
        <v>380</v>
      </c>
      <c r="D37" t="s">
        <v>1849</v>
      </c>
      <c r="E37">
        <f>SUMIFS('Annual Service Data_rail only'!N:N,'Annual Service Data_rail only'!C:C,C37)</f>
        <v>0</v>
      </c>
      <c r="F37" s="153">
        <f>SUMIFS('Annual Service Data_rail only'!X:X,'Annual Service Data_rail only'!C:C,C37)</f>
        <v>0</v>
      </c>
      <c r="G37" s="153">
        <f>SUMIFS('Annual Service Data_rail only'!AT:AT,'Annual Service Data_rail only'!C:C,C37)</f>
        <v>0</v>
      </c>
      <c r="H37">
        <f>SUMIFS('Fuel and Energy_rail only'!AD:AD,'Fuel and Energy_rail only'!C:C,C37)</f>
        <v>0</v>
      </c>
      <c r="I37">
        <f>SUMIFS('Fuel and Energy_rail only'!AN:AN,'Fuel and Energy_rail only'!C:C,C37)</f>
        <v>0</v>
      </c>
      <c r="J37" s="147">
        <f t="shared" si="2"/>
        <v>0</v>
      </c>
      <c r="K37" s="147">
        <f t="shared" si="2"/>
        <v>0</v>
      </c>
      <c r="L37" s="155">
        <f t="shared" si="0"/>
        <v>0</v>
      </c>
      <c r="M37" s="156">
        <f t="shared" si="1"/>
        <v>0</v>
      </c>
      <c r="N37" s="156">
        <f t="shared" si="3"/>
        <v>0</v>
      </c>
      <c r="O37" s="156">
        <f t="shared" si="4"/>
        <v>0</v>
      </c>
      <c r="P37">
        <f>SUMIFS('Fuel and Energy_rail only'!M:M,'Fuel and Energy_rail only'!C:C,C37)</f>
        <v>0</v>
      </c>
      <c r="Q37">
        <f>SUMIFS('Fuel and Energy_rail only'!U:U,'Fuel and Energy_rail only'!C:C,C37)</f>
        <v>0</v>
      </c>
      <c r="R37">
        <f>SUMIFS('Fuel and Energy_rail only'!Y:Y,'Fuel and Energy_rail only'!C:C,C37)</f>
        <v>0</v>
      </c>
      <c r="S37">
        <f t="shared" si="5"/>
        <v>0</v>
      </c>
      <c r="T37">
        <f t="shared" si="6"/>
        <v>0</v>
      </c>
      <c r="U37" s="157">
        <f t="shared" si="7"/>
        <v>0</v>
      </c>
      <c r="V37" s="157">
        <f t="shared" si="7"/>
        <v>0</v>
      </c>
    </row>
    <row r="38" spans="2:22">
      <c r="B38" s="75" t="s">
        <v>83</v>
      </c>
      <c r="C38" s="75" t="s">
        <v>377</v>
      </c>
      <c r="D38" t="s">
        <v>1850</v>
      </c>
      <c r="E38">
        <f>SUMIFS('Annual Service Data_rail only'!N:N,'Annual Service Data_rail only'!C:C,C38)</f>
        <v>0</v>
      </c>
      <c r="F38" s="153">
        <f>SUMIFS('Annual Service Data_rail only'!X:X,'Annual Service Data_rail only'!C:C,C38)</f>
        <v>0</v>
      </c>
      <c r="G38" s="153">
        <f>SUMIFS('Annual Service Data_rail only'!AT:AT,'Annual Service Data_rail only'!C:C,C38)</f>
        <v>0</v>
      </c>
      <c r="H38">
        <f>SUMIFS('Fuel and Energy_rail only'!AD:AD,'Fuel and Energy_rail only'!C:C,C38)</f>
        <v>0</v>
      </c>
      <c r="I38">
        <f>SUMIFS('Fuel and Energy_rail only'!AN:AN,'Fuel and Energy_rail only'!C:C,C38)</f>
        <v>0</v>
      </c>
      <c r="J38" s="147">
        <f t="shared" si="2"/>
        <v>0</v>
      </c>
      <c r="K38" s="147">
        <f t="shared" si="2"/>
        <v>0</v>
      </c>
      <c r="L38" s="155">
        <f t="shared" si="0"/>
        <v>0</v>
      </c>
      <c r="M38" s="156">
        <f t="shared" si="1"/>
        <v>0</v>
      </c>
      <c r="N38" s="156">
        <f t="shared" si="3"/>
        <v>0</v>
      </c>
      <c r="O38" s="156">
        <f t="shared" si="4"/>
        <v>0</v>
      </c>
      <c r="P38">
        <f>SUMIFS('Fuel and Energy_rail only'!M:M,'Fuel and Energy_rail only'!C:C,C38)</f>
        <v>0</v>
      </c>
      <c r="Q38">
        <f>SUMIFS('Fuel and Energy_rail only'!U:U,'Fuel and Energy_rail only'!C:C,C38)</f>
        <v>0</v>
      </c>
      <c r="R38">
        <f>SUMIFS('Fuel and Energy_rail only'!Y:Y,'Fuel and Energy_rail only'!C:C,C38)</f>
        <v>0</v>
      </c>
      <c r="S38">
        <f t="shared" si="5"/>
        <v>0</v>
      </c>
      <c r="T38">
        <f t="shared" si="6"/>
        <v>0</v>
      </c>
      <c r="U38" s="157">
        <f t="shared" si="7"/>
        <v>0</v>
      </c>
      <c r="V38" s="157">
        <f t="shared" si="7"/>
        <v>0</v>
      </c>
    </row>
    <row r="39" spans="2:22">
      <c r="B39" s="75" t="s">
        <v>88</v>
      </c>
      <c r="C39" s="75" t="s">
        <v>378</v>
      </c>
      <c r="D39" t="s">
        <v>1851</v>
      </c>
      <c r="E39">
        <f>SUMIFS('Annual Service Data_rail only'!N:N,'Annual Service Data_rail only'!C:C,C39)</f>
        <v>184</v>
      </c>
      <c r="F39" s="153">
        <f>SUMIFS('Annual Service Data_rail only'!X:X,'Annual Service Data_rail only'!C:C,C39)</f>
        <v>77331686</v>
      </c>
      <c r="G39" s="153">
        <f>SUMIFS('Annual Service Data_rail only'!AT:AT,'Annual Service Data_rail only'!C:C,C39)</f>
        <v>1699013683</v>
      </c>
      <c r="H39">
        <f>SUMIFS('Fuel and Energy_rail only'!AD:AD,'Fuel and Energy_rail only'!C:C,C39)</f>
        <v>2485889</v>
      </c>
      <c r="I39">
        <f>SUMIFS('Fuel and Energy_rail only'!AN:AN,'Fuel and Energy_rail only'!C:C,C39)</f>
        <v>28864827</v>
      </c>
      <c r="J39" s="147">
        <f t="shared" si="2"/>
        <v>7.9292893980475593E-2</v>
      </c>
      <c r="K39" s="147">
        <f t="shared" si="2"/>
        <v>0.92070710601952443</v>
      </c>
      <c r="L39" s="155">
        <f t="shared" si="0"/>
        <v>21.97047253049675</v>
      </c>
      <c r="M39" s="156">
        <f t="shared" si="1"/>
        <v>420280.90217391303</v>
      </c>
      <c r="N39" s="156">
        <f t="shared" si="3"/>
        <v>14.589892492407509</v>
      </c>
      <c r="O39" s="156">
        <f t="shared" si="4"/>
        <v>169.4101075075925</v>
      </c>
      <c r="P39">
        <f>SUMIFS('Fuel and Energy_rail only'!M:M,'Fuel and Energy_rail only'!C:C,C39)</f>
        <v>13166567</v>
      </c>
      <c r="Q39">
        <f>SUMIFS('Fuel and Energy_rail only'!U:U,'Fuel and Energy_rail only'!C:C,C39)</f>
        <v>0</v>
      </c>
      <c r="R39">
        <f>SUMIFS('Fuel and Energy_rail only'!Y:Y,'Fuel and Energy_rail only'!C:C,C39)</f>
        <v>519279337</v>
      </c>
      <c r="S39">
        <f t="shared" si="5"/>
        <v>1826202842900</v>
      </c>
      <c r="T39">
        <f t="shared" si="6"/>
        <v>1771853796951.1799</v>
      </c>
      <c r="U39" s="157">
        <f t="shared" si="7"/>
        <v>7.3770398705306041E-5</v>
      </c>
      <c r="V39" s="157">
        <f t="shared" si="7"/>
        <v>8.8285725032966977E-4</v>
      </c>
    </row>
    <row r="40" spans="2:22">
      <c r="B40" s="75" t="s">
        <v>116</v>
      </c>
      <c r="C40" s="75" t="s">
        <v>379</v>
      </c>
      <c r="D40" t="s">
        <v>1852</v>
      </c>
      <c r="E40">
        <f>SUMIFS('Annual Service Data_rail only'!N:N,'Annual Service Data_rail only'!C:C,C40)</f>
        <v>7</v>
      </c>
      <c r="F40" s="153">
        <f>SUMIFS('Annual Service Data_rail only'!X:X,'Annual Service Data_rail only'!C:C,C40)</f>
        <v>965030</v>
      </c>
      <c r="G40" s="153">
        <f>SUMIFS('Annual Service Data_rail only'!AT:AT,'Annual Service Data_rail only'!C:C,C40)</f>
        <v>24052625</v>
      </c>
      <c r="H40">
        <f>SUMIFS('Fuel and Energy_rail only'!AD:AD,'Fuel and Energy_rail only'!C:C,C40)</f>
        <v>350453</v>
      </c>
      <c r="I40">
        <f>SUMIFS('Fuel and Energy_rail only'!AN:AN,'Fuel and Energy_rail only'!C:C,C40)</f>
        <v>0</v>
      </c>
      <c r="J40" s="147">
        <f t="shared" si="2"/>
        <v>1</v>
      </c>
      <c r="K40" s="147">
        <f t="shared" si="2"/>
        <v>0</v>
      </c>
      <c r="L40" s="155">
        <f t="shared" si="0"/>
        <v>24.924225153622167</v>
      </c>
      <c r="M40" s="156">
        <f t="shared" si="1"/>
        <v>137861.42857142858</v>
      </c>
      <c r="N40" s="156">
        <f t="shared" si="3"/>
        <v>7</v>
      </c>
      <c r="O40" s="156">
        <f t="shared" si="4"/>
        <v>0</v>
      </c>
      <c r="P40">
        <f>SUMIFS('Fuel and Energy_rail only'!M:M,'Fuel and Energy_rail only'!C:C,C40)</f>
        <v>0</v>
      </c>
      <c r="Q40">
        <f>SUMIFS('Fuel and Energy_rail only'!U:U,'Fuel and Energy_rail only'!C:C,C40)</f>
        <v>792273</v>
      </c>
      <c r="R40">
        <f>SUMIFS('Fuel and Energy_rail only'!Y:Y,'Fuel and Energy_rail only'!C:C,C40)</f>
        <v>0</v>
      </c>
      <c r="S40">
        <f t="shared" si="5"/>
        <v>109888265100</v>
      </c>
      <c r="T40">
        <f t="shared" si="6"/>
        <v>0</v>
      </c>
      <c r="U40" s="157">
        <f t="shared" si="7"/>
        <v>2.1888256201070918E-4</v>
      </c>
      <c r="V40" s="157">
        <f t="shared" si="7"/>
        <v>0</v>
      </c>
    </row>
    <row r="41" spans="2:22">
      <c r="B41" s="75" t="s">
        <v>89</v>
      </c>
      <c r="C41" s="75" t="s">
        <v>381</v>
      </c>
      <c r="D41" t="s">
        <v>1853</v>
      </c>
      <c r="E41">
        <f>SUMIFS('Annual Service Data_rail only'!N:N,'Annual Service Data_rail only'!C:C,C41)</f>
        <v>787</v>
      </c>
      <c r="F41" s="153">
        <f>SUMIFS('Annual Service Data_rail only'!X:X,'Annual Service Data_rail only'!C:C,C41)</f>
        <v>459797967</v>
      </c>
      <c r="G41" s="153">
        <f>SUMIFS('Annual Service Data_rail only'!AT:AT,'Annual Service Data_rail only'!C:C,C41)</f>
        <v>6605805362</v>
      </c>
      <c r="H41">
        <f>SUMIFS('Fuel and Energy_rail only'!AD:AD,'Fuel and Energy_rail only'!C:C,C41)</f>
        <v>757533</v>
      </c>
      <c r="I41">
        <f>SUMIFS('Fuel and Energy_rail only'!AN:AN,'Fuel and Energy_rail only'!C:C,C41)</f>
        <v>433746106</v>
      </c>
      <c r="J41" s="147">
        <f t="shared" si="2"/>
        <v>1.7434445468476271E-3</v>
      </c>
      <c r="K41" s="147">
        <f t="shared" si="2"/>
        <v>0.99825655545315239</v>
      </c>
      <c r="L41" s="155">
        <f t="shared" si="0"/>
        <v>14.366756349751325</v>
      </c>
      <c r="M41" s="156">
        <f t="shared" si="1"/>
        <v>584241.3811944091</v>
      </c>
      <c r="N41" s="156">
        <f t="shared" si="3"/>
        <v>1.3720908583690825</v>
      </c>
      <c r="O41" s="156">
        <f t="shared" si="4"/>
        <v>785.62790914163088</v>
      </c>
      <c r="P41">
        <f>SUMIFS('Fuel and Energy_rail only'!M:M,'Fuel and Energy_rail only'!C:C,C41)</f>
        <v>12731425</v>
      </c>
      <c r="Q41">
        <f>SUMIFS('Fuel and Energy_rail only'!U:U,'Fuel and Energy_rail only'!C:C,C41)</f>
        <v>0</v>
      </c>
      <c r="R41">
        <f>SUMIFS('Fuel and Energy_rail only'!Y:Y,'Fuel and Energy_rail only'!C:C,C41)</f>
        <v>2470851025</v>
      </c>
      <c r="S41">
        <f t="shared" si="5"/>
        <v>1765848647500</v>
      </c>
      <c r="T41">
        <f t="shared" si="6"/>
        <v>8430889616443.5</v>
      </c>
      <c r="U41" s="157">
        <f t="shared" si="7"/>
        <v>6.5219945957546822E-6</v>
      </c>
      <c r="V41" s="157">
        <f t="shared" si="7"/>
        <v>7.8215808848957843E-4</v>
      </c>
    </row>
    <row r="42" spans="2:22">
      <c r="B42" s="75" t="s">
        <v>93</v>
      </c>
      <c r="C42" s="75" t="s">
        <v>374</v>
      </c>
      <c r="D42" t="s">
        <v>1854</v>
      </c>
      <c r="E42">
        <f>SUMIFS('Annual Service Data_rail only'!N:N,'Annual Service Data_rail only'!C:C,C42)</f>
        <v>16</v>
      </c>
      <c r="F42" s="153">
        <f>SUMIFS('Annual Service Data_rail only'!X:X,'Annual Service Data_rail only'!C:C,C42)</f>
        <v>2267166</v>
      </c>
      <c r="G42" s="153">
        <f>SUMIFS('Annual Service Data_rail only'!AT:AT,'Annual Service Data_rail only'!C:C,C42)</f>
        <v>37638865</v>
      </c>
      <c r="H42">
        <f>SUMIFS('Fuel and Energy_rail only'!AD:AD,'Fuel and Energy_rail only'!C:C,C42)</f>
        <v>0</v>
      </c>
      <c r="I42">
        <f>SUMIFS('Fuel and Energy_rail only'!AN:AN,'Fuel and Energy_rail only'!C:C,C42)</f>
        <v>2267804</v>
      </c>
      <c r="J42" s="147">
        <f t="shared" si="2"/>
        <v>0</v>
      </c>
      <c r="K42" s="147">
        <f t="shared" si="2"/>
        <v>1</v>
      </c>
      <c r="L42" s="155">
        <f t="shared" si="0"/>
        <v>16.601724355428761</v>
      </c>
      <c r="M42" s="156">
        <f t="shared" si="1"/>
        <v>141697.875</v>
      </c>
      <c r="N42" s="156">
        <f t="shared" si="3"/>
        <v>0</v>
      </c>
      <c r="O42" s="156">
        <f t="shared" si="4"/>
        <v>16</v>
      </c>
      <c r="P42">
        <f>SUMIFS('Fuel and Energy_rail only'!M:M,'Fuel and Energy_rail only'!C:C,C42)</f>
        <v>0</v>
      </c>
      <c r="Q42">
        <f>SUMIFS('Fuel and Energy_rail only'!U:U,'Fuel and Energy_rail only'!C:C,C42)</f>
        <v>0</v>
      </c>
      <c r="R42">
        <f>SUMIFS('Fuel and Energy_rail only'!Y:Y,'Fuel and Energy_rail only'!C:C,C42)</f>
        <v>16786660</v>
      </c>
      <c r="S42">
        <f t="shared" si="5"/>
        <v>0</v>
      </c>
      <c r="T42">
        <f t="shared" si="6"/>
        <v>57278434052.400002</v>
      </c>
      <c r="U42" s="157">
        <f t="shared" si="7"/>
        <v>0</v>
      </c>
      <c r="V42" s="157">
        <f t="shared" si="7"/>
        <v>6.5712105476848151E-4</v>
      </c>
    </row>
    <row r="43" spans="2:22">
      <c r="B43" s="75" t="s">
        <v>106</v>
      </c>
      <c r="C43" s="75" t="s">
        <v>375</v>
      </c>
      <c r="D43" t="s">
        <v>1855</v>
      </c>
      <c r="E43">
        <f>SUMIFS('Annual Service Data_rail only'!N:N,'Annual Service Data_rail only'!C:C,C43)</f>
        <v>0</v>
      </c>
      <c r="F43" s="153">
        <f>SUMIFS('Annual Service Data_rail only'!X:X,'Annual Service Data_rail only'!C:C,C43)</f>
        <v>0</v>
      </c>
      <c r="G43" s="153">
        <f>SUMIFS('Annual Service Data_rail only'!AT:AT,'Annual Service Data_rail only'!C:C,C43)</f>
        <v>0</v>
      </c>
      <c r="H43">
        <f>SUMIFS('Fuel and Energy_rail only'!AD:AD,'Fuel and Energy_rail only'!C:C,C43)</f>
        <v>0</v>
      </c>
      <c r="I43">
        <f>SUMIFS('Fuel and Energy_rail only'!AN:AN,'Fuel and Energy_rail only'!C:C,C43)</f>
        <v>0</v>
      </c>
      <c r="J43" s="147">
        <f t="shared" si="2"/>
        <v>0</v>
      </c>
      <c r="K43" s="147">
        <f t="shared" si="2"/>
        <v>0</v>
      </c>
      <c r="L43" s="155">
        <f t="shared" si="0"/>
        <v>0</v>
      </c>
      <c r="M43" s="156">
        <f t="shared" si="1"/>
        <v>0</v>
      </c>
      <c r="N43" s="156">
        <f t="shared" si="3"/>
        <v>0</v>
      </c>
      <c r="O43" s="156">
        <f t="shared" si="4"/>
        <v>0</v>
      </c>
      <c r="P43">
        <f>SUMIFS('Fuel and Energy_rail only'!M:M,'Fuel and Energy_rail only'!C:C,C43)</f>
        <v>0</v>
      </c>
      <c r="Q43">
        <f>SUMIFS('Fuel and Energy_rail only'!U:U,'Fuel and Energy_rail only'!C:C,C43)</f>
        <v>0</v>
      </c>
      <c r="R43">
        <f>SUMIFS('Fuel and Energy_rail only'!Y:Y,'Fuel and Energy_rail only'!C:C,C43)</f>
        <v>0</v>
      </c>
      <c r="S43">
        <f t="shared" si="5"/>
        <v>0</v>
      </c>
      <c r="T43">
        <f t="shared" si="6"/>
        <v>0</v>
      </c>
      <c r="U43" s="157">
        <f t="shared" si="7"/>
        <v>0</v>
      </c>
      <c r="V43" s="157">
        <f t="shared" si="7"/>
        <v>0</v>
      </c>
    </row>
    <row r="44" spans="2:22">
      <c r="B44" s="75" t="s">
        <v>107</v>
      </c>
      <c r="C44" s="75" t="s">
        <v>382</v>
      </c>
      <c r="D44" t="s">
        <v>1856</v>
      </c>
      <c r="E44">
        <f>SUMIFS('Annual Service Data_rail only'!N:N,'Annual Service Data_rail only'!C:C,C44)</f>
        <v>14</v>
      </c>
      <c r="F44" s="153">
        <f>SUMIFS('Annual Service Data_rail only'!X:X,'Annual Service Data_rail only'!C:C,C44)</f>
        <v>3017495</v>
      </c>
      <c r="G44" s="153">
        <f>SUMIFS('Annual Service Data_rail only'!AT:AT,'Annual Service Data_rail only'!C:C,C44)</f>
        <v>20427250</v>
      </c>
      <c r="H44">
        <f>SUMIFS('Fuel and Energy_rail only'!AD:AD,'Fuel and Energy_rail only'!C:C,C44)</f>
        <v>0</v>
      </c>
      <c r="I44">
        <f>SUMIFS('Fuel and Energy_rail only'!AN:AN,'Fuel and Energy_rail only'!C:C,C44)</f>
        <v>2921572</v>
      </c>
      <c r="J44" s="147">
        <f t="shared" si="2"/>
        <v>0</v>
      </c>
      <c r="K44" s="147">
        <f t="shared" si="2"/>
        <v>1</v>
      </c>
      <c r="L44" s="155">
        <f t="shared" si="0"/>
        <v>6.769605252038529</v>
      </c>
      <c r="M44" s="156">
        <f t="shared" si="1"/>
        <v>215535.35714285713</v>
      </c>
      <c r="N44" s="156">
        <f t="shared" si="3"/>
        <v>0</v>
      </c>
      <c r="O44" s="156">
        <f t="shared" si="4"/>
        <v>14</v>
      </c>
      <c r="P44">
        <f>SUMIFS('Fuel and Energy_rail only'!M:M,'Fuel and Energy_rail only'!C:C,C44)</f>
        <v>0</v>
      </c>
      <c r="Q44">
        <f>SUMIFS('Fuel and Energy_rail only'!U:U,'Fuel and Energy_rail only'!C:C,C44)</f>
        <v>0</v>
      </c>
      <c r="R44">
        <f>SUMIFS('Fuel and Energy_rail only'!Y:Y,'Fuel and Energy_rail only'!C:C,C44)</f>
        <v>32090136</v>
      </c>
      <c r="S44">
        <f t="shared" si="5"/>
        <v>0</v>
      </c>
      <c r="T44">
        <f t="shared" si="6"/>
        <v>109496036651.03999</v>
      </c>
      <c r="U44" s="157">
        <f t="shared" si="7"/>
        <v>0</v>
      </c>
      <c r="V44" s="157">
        <f t="shared" si="7"/>
        <v>1.8655698073438882E-4</v>
      </c>
    </row>
    <row r="45" spans="2:22">
      <c r="B45" s="75" t="s">
        <v>108</v>
      </c>
      <c r="C45" s="75" t="s">
        <v>383</v>
      </c>
      <c r="D45" t="s">
        <v>1857</v>
      </c>
      <c r="E45">
        <f>SUMIFS('Annual Service Data_rail only'!N:N,'Annual Service Data_rail only'!C:C,C45)</f>
        <v>0</v>
      </c>
      <c r="F45" s="153">
        <f>SUMIFS('Annual Service Data_rail only'!X:X,'Annual Service Data_rail only'!C:C,C45)</f>
        <v>0</v>
      </c>
      <c r="G45" s="153">
        <f>SUMIFS('Annual Service Data_rail only'!AT:AT,'Annual Service Data_rail only'!C:C,C45)</f>
        <v>0</v>
      </c>
      <c r="H45">
        <f>SUMIFS('Fuel and Energy_rail only'!AD:AD,'Fuel and Energy_rail only'!C:C,C45)</f>
        <v>0</v>
      </c>
      <c r="I45">
        <f>SUMIFS('Fuel and Energy_rail only'!AN:AN,'Fuel and Energy_rail only'!C:C,C45)</f>
        <v>0</v>
      </c>
      <c r="J45" s="147">
        <f t="shared" si="2"/>
        <v>0</v>
      </c>
      <c r="K45" s="147">
        <f t="shared" si="2"/>
        <v>0</v>
      </c>
      <c r="L45" s="155">
        <f t="shared" si="0"/>
        <v>0</v>
      </c>
      <c r="M45" s="156">
        <f t="shared" si="1"/>
        <v>0</v>
      </c>
      <c r="N45" s="156">
        <f t="shared" si="3"/>
        <v>0</v>
      </c>
      <c r="O45" s="156">
        <f t="shared" si="4"/>
        <v>0</v>
      </c>
      <c r="P45">
        <f>SUMIFS('Fuel and Energy_rail only'!M:M,'Fuel and Energy_rail only'!C:C,C45)</f>
        <v>0</v>
      </c>
      <c r="Q45">
        <f>SUMIFS('Fuel and Energy_rail only'!U:U,'Fuel and Energy_rail only'!C:C,C45)</f>
        <v>0</v>
      </c>
      <c r="R45">
        <f>SUMIFS('Fuel and Energy_rail only'!Y:Y,'Fuel and Energy_rail only'!C:C,C45)</f>
        <v>0</v>
      </c>
      <c r="S45">
        <f t="shared" si="5"/>
        <v>0</v>
      </c>
      <c r="T45">
        <f t="shared" si="6"/>
        <v>0</v>
      </c>
      <c r="U45" s="157">
        <f t="shared" si="7"/>
        <v>0</v>
      </c>
      <c r="V45" s="157">
        <f t="shared" si="7"/>
        <v>0</v>
      </c>
    </row>
    <row r="46" spans="2:22">
      <c r="B46" s="75" t="s">
        <v>127</v>
      </c>
      <c r="C46" s="75" t="s">
        <v>384</v>
      </c>
      <c r="D46" t="s">
        <v>1858</v>
      </c>
      <c r="E46">
        <f>SUMIFS('Annual Service Data_rail only'!N:N,'Annual Service Data_rail only'!C:C,C46)</f>
        <v>55</v>
      </c>
      <c r="F46" s="153">
        <f>SUMIFS('Annual Service Data_rail only'!X:X,'Annual Service Data_rail only'!C:C,C46)</f>
        <v>8981104</v>
      </c>
      <c r="G46" s="153">
        <f>SUMIFS('Annual Service Data_rail only'!AT:AT,'Annual Service Data_rail only'!C:C,C46)</f>
        <v>159458488</v>
      </c>
      <c r="H46">
        <f>SUMIFS('Fuel and Energy_rail only'!AD:AD,'Fuel and Energy_rail only'!C:C,C46)</f>
        <v>0</v>
      </c>
      <c r="I46">
        <f>SUMIFS('Fuel and Energy_rail only'!AN:AN,'Fuel and Energy_rail only'!C:C,C46)</f>
        <v>9045741</v>
      </c>
      <c r="J46" s="147">
        <f t="shared" si="2"/>
        <v>0</v>
      </c>
      <c r="K46" s="147">
        <f t="shared" si="2"/>
        <v>1</v>
      </c>
      <c r="L46" s="155">
        <f t="shared" si="0"/>
        <v>17.754887149731257</v>
      </c>
      <c r="M46" s="156">
        <f t="shared" si="1"/>
        <v>163292.79999999999</v>
      </c>
      <c r="N46" s="156">
        <f t="shared" si="3"/>
        <v>0</v>
      </c>
      <c r="O46" s="156">
        <f t="shared" si="4"/>
        <v>55</v>
      </c>
      <c r="P46">
        <f>SUMIFS('Fuel and Energy_rail only'!M:M,'Fuel and Energy_rail only'!C:C,C46)</f>
        <v>0</v>
      </c>
      <c r="Q46">
        <f>SUMIFS('Fuel and Energy_rail only'!U:U,'Fuel and Energy_rail only'!C:C,C46)</f>
        <v>0</v>
      </c>
      <c r="R46">
        <f>SUMIFS('Fuel and Energy_rail only'!Y:Y,'Fuel and Energy_rail only'!C:C,C46)</f>
        <v>54389715</v>
      </c>
      <c r="S46">
        <f t="shared" si="5"/>
        <v>0</v>
      </c>
      <c r="T46">
        <f t="shared" si="6"/>
        <v>185585322140.10001</v>
      </c>
      <c r="U46" s="157">
        <f t="shared" si="7"/>
        <v>0</v>
      </c>
      <c r="V46" s="157">
        <f t="shared" si="7"/>
        <v>8.5921928610077983E-4</v>
      </c>
    </row>
    <row r="47" spans="2:22">
      <c r="B47" s="75" t="s">
        <v>90</v>
      </c>
      <c r="C47" s="75" t="s">
        <v>385</v>
      </c>
      <c r="D47" t="s">
        <v>1859</v>
      </c>
      <c r="E47">
        <f>SUMIFS('Annual Service Data_rail only'!N:N,'Annual Service Data_rail only'!C:C,C47)</f>
        <v>176</v>
      </c>
      <c r="F47" s="153">
        <f>SUMIFS('Annual Service Data_rail only'!X:X,'Annual Service Data_rail only'!C:C,C47)</f>
        <v>37294660</v>
      </c>
      <c r="G47" s="153">
        <f>SUMIFS('Annual Service Data_rail only'!AT:AT,'Annual Service Data_rail only'!C:C,C47)</f>
        <v>725134241</v>
      </c>
      <c r="H47">
        <f>SUMIFS('Fuel and Energy_rail only'!AD:AD,'Fuel and Energy_rail only'!C:C,C47)</f>
        <v>0</v>
      </c>
      <c r="I47">
        <f>SUMIFS('Fuel and Energy_rail only'!AN:AN,'Fuel and Energy_rail only'!C:C,C47)</f>
        <v>31752653</v>
      </c>
      <c r="J47" s="147">
        <f t="shared" si="2"/>
        <v>0</v>
      </c>
      <c r="K47" s="147">
        <f t="shared" si="2"/>
        <v>1</v>
      </c>
      <c r="L47" s="155">
        <f t="shared" si="0"/>
        <v>19.443379856526377</v>
      </c>
      <c r="M47" s="156">
        <f t="shared" si="1"/>
        <v>211901.47727272726</v>
      </c>
      <c r="N47" s="156">
        <f t="shared" si="3"/>
        <v>0</v>
      </c>
      <c r="O47" s="156">
        <f t="shared" si="4"/>
        <v>176</v>
      </c>
      <c r="P47">
        <f>SUMIFS('Fuel and Energy_rail only'!M:M,'Fuel and Energy_rail only'!C:C,C47)</f>
        <v>0</v>
      </c>
      <c r="Q47">
        <f>SUMIFS('Fuel and Energy_rail only'!U:U,'Fuel and Energy_rail only'!C:C,C47)</f>
        <v>0</v>
      </c>
      <c r="R47">
        <f>SUMIFS('Fuel and Energy_rail only'!Y:Y,'Fuel and Energy_rail only'!C:C,C47)</f>
        <v>373898381</v>
      </c>
      <c r="S47">
        <f t="shared" si="5"/>
        <v>0</v>
      </c>
      <c r="T47">
        <f t="shared" si="6"/>
        <v>1275793621745.3398</v>
      </c>
      <c r="U47" s="157">
        <f t="shared" si="7"/>
        <v>0</v>
      </c>
      <c r="V47" s="157">
        <f t="shared" si="7"/>
        <v>5.6837895145453508E-4</v>
      </c>
    </row>
    <row r="48" spans="2:22">
      <c r="B48" s="75" t="s">
        <v>84</v>
      </c>
      <c r="C48" s="75" t="s">
        <v>386</v>
      </c>
      <c r="D48" t="s">
        <v>1860</v>
      </c>
      <c r="E48">
        <f>SUMIFS('Annual Service Data_rail only'!N:N,'Annual Service Data_rail only'!C:C,C48)</f>
        <v>0</v>
      </c>
      <c r="F48" s="153">
        <f>SUMIFS('Annual Service Data_rail only'!X:X,'Annual Service Data_rail only'!C:C,C48)</f>
        <v>0</v>
      </c>
      <c r="G48" s="153">
        <f>SUMIFS('Annual Service Data_rail only'!AT:AT,'Annual Service Data_rail only'!C:C,C48)</f>
        <v>0</v>
      </c>
      <c r="H48">
        <f>SUMIFS('Fuel and Energy_rail only'!AD:AD,'Fuel and Energy_rail only'!C:C,C48)</f>
        <v>0</v>
      </c>
      <c r="I48">
        <f>SUMIFS('Fuel and Energy_rail only'!AN:AN,'Fuel and Energy_rail only'!C:C,C48)</f>
        <v>0</v>
      </c>
      <c r="J48" s="147">
        <f t="shared" si="2"/>
        <v>0</v>
      </c>
      <c r="K48" s="147">
        <f t="shared" si="2"/>
        <v>0</v>
      </c>
      <c r="L48" s="155">
        <f t="shared" si="0"/>
        <v>0</v>
      </c>
      <c r="M48" s="156">
        <f t="shared" si="1"/>
        <v>0</v>
      </c>
      <c r="N48" s="156">
        <f t="shared" si="3"/>
        <v>0</v>
      </c>
      <c r="O48" s="156">
        <f t="shared" si="4"/>
        <v>0</v>
      </c>
      <c r="P48">
        <f>SUMIFS('Fuel and Energy_rail only'!M:M,'Fuel and Energy_rail only'!C:C,C48)</f>
        <v>0</v>
      </c>
      <c r="Q48">
        <f>SUMIFS('Fuel and Energy_rail only'!U:U,'Fuel and Energy_rail only'!C:C,C48)</f>
        <v>0</v>
      </c>
      <c r="R48">
        <f>SUMIFS('Fuel and Energy_rail only'!Y:Y,'Fuel and Energy_rail only'!C:C,C48)</f>
        <v>0</v>
      </c>
      <c r="S48">
        <f t="shared" si="5"/>
        <v>0</v>
      </c>
      <c r="T48">
        <f t="shared" si="6"/>
        <v>0</v>
      </c>
      <c r="U48" s="157">
        <f t="shared" si="7"/>
        <v>0</v>
      </c>
      <c r="V48" s="157">
        <f t="shared" si="7"/>
        <v>0</v>
      </c>
    </row>
    <row r="49" spans="2:24">
      <c r="B49" s="75" t="s">
        <v>94</v>
      </c>
      <c r="C49" s="75" t="s">
        <v>387</v>
      </c>
      <c r="D49" t="s">
        <v>1861</v>
      </c>
      <c r="E49">
        <f>SUMIFS('Annual Service Data_rail only'!N:N,'Annual Service Data_rail only'!C:C,C49)</f>
        <v>0</v>
      </c>
      <c r="F49" s="153">
        <f>SUMIFS('Annual Service Data_rail only'!X:X,'Annual Service Data_rail only'!C:C,C49)</f>
        <v>0</v>
      </c>
      <c r="G49" s="153">
        <f>SUMIFS('Annual Service Data_rail only'!AT:AT,'Annual Service Data_rail only'!C:C,C49)</f>
        <v>0</v>
      </c>
      <c r="H49">
        <f>SUMIFS('Fuel and Energy_rail only'!AD:AD,'Fuel and Energy_rail only'!C:C,C49)</f>
        <v>0</v>
      </c>
      <c r="I49">
        <f>SUMIFS('Fuel and Energy_rail only'!AN:AN,'Fuel and Energy_rail only'!C:C,C49)</f>
        <v>0</v>
      </c>
      <c r="J49" s="147">
        <f t="shared" si="2"/>
        <v>0</v>
      </c>
      <c r="K49" s="147">
        <f t="shared" si="2"/>
        <v>0</v>
      </c>
      <c r="L49" s="155">
        <f t="shared" si="0"/>
        <v>0</v>
      </c>
      <c r="M49" s="156">
        <f t="shared" si="1"/>
        <v>0</v>
      </c>
      <c r="N49" s="156">
        <f t="shared" si="3"/>
        <v>0</v>
      </c>
      <c r="O49" s="156">
        <f t="shared" si="4"/>
        <v>0</v>
      </c>
      <c r="P49">
        <f>SUMIFS('Fuel and Energy_rail only'!M:M,'Fuel and Energy_rail only'!C:C,C49)</f>
        <v>0</v>
      </c>
      <c r="Q49">
        <f>SUMIFS('Fuel and Energy_rail only'!U:U,'Fuel and Energy_rail only'!C:C,C49)</f>
        <v>0</v>
      </c>
      <c r="R49">
        <f>SUMIFS('Fuel and Energy_rail only'!Y:Y,'Fuel and Energy_rail only'!C:C,C49)</f>
        <v>0</v>
      </c>
      <c r="S49">
        <f t="shared" si="5"/>
        <v>0</v>
      </c>
      <c r="T49">
        <f t="shared" si="6"/>
        <v>0</v>
      </c>
      <c r="U49" s="157">
        <f t="shared" si="7"/>
        <v>0</v>
      </c>
      <c r="V49" s="157">
        <f t="shared" si="7"/>
        <v>0</v>
      </c>
    </row>
    <row r="50" spans="2:24">
      <c r="B50" s="75" t="s">
        <v>109</v>
      </c>
      <c r="C50" s="75" t="s">
        <v>388</v>
      </c>
      <c r="D50" t="s">
        <v>1862</v>
      </c>
      <c r="E50">
        <f>SUMIFS('Annual Service Data_rail only'!N:N,'Annual Service Data_rail only'!C:C,C50)</f>
        <v>0</v>
      </c>
      <c r="F50" s="153">
        <f>SUMIFS('Annual Service Data_rail only'!X:X,'Annual Service Data_rail only'!C:C,C50)</f>
        <v>0</v>
      </c>
      <c r="G50" s="153">
        <f>SUMIFS('Annual Service Data_rail only'!AT:AT,'Annual Service Data_rail only'!C:C,C50)</f>
        <v>0</v>
      </c>
      <c r="H50">
        <f>SUMIFS('Fuel and Energy_rail only'!AD:AD,'Fuel and Energy_rail only'!C:C,C50)</f>
        <v>0</v>
      </c>
      <c r="I50">
        <f>SUMIFS('Fuel and Energy_rail only'!AN:AN,'Fuel and Energy_rail only'!C:C,C50)</f>
        <v>0</v>
      </c>
      <c r="J50" s="147">
        <f t="shared" si="2"/>
        <v>0</v>
      </c>
      <c r="K50" s="147">
        <f t="shared" si="2"/>
        <v>0</v>
      </c>
      <c r="L50" s="155">
        <f t="shared" si="0"/>
        <v>0</v>
      </c>
      <c r="M50" s="156">
        <f t="shared" si="1"/>
        <v>0</v>
      </c>
      <c r="N50" s="156">
        <f t="shared" si="3"/>
        <v>0</v>
      </c>
      <c r="O50" s="156">
        <f t="shared" si="4"/>
        <v>0</v>
      </c>
      <c r="P50">
        <f>SUMIFS('Fuel and Energy_rail only'!M:M,'Fuel and Energy_rail only'!C:C,C50)</f>
        <v>0</v>
      </c>
      <c r="Q50">
        <f>SUMIFS('Fuel and Energy_rail only'!U:U,'Fuel and Energy_rail only'!C:C,C50)</f>
        <v>0</v>
      </c>
      <c r="R50">
        <f>SUMIFS('Fuel and Energy_rail only'!Y:Y,'Fuel and Energy_rail only'!C:C,C50)</f>
        <v>0</v>
      </c>
      <c r="S50">
        <f t="shared" si="5"/>
        <v>0</v>
      </c>
      <c r="T50">
        <f t="shared" si="6"/>
        <v>0</v>
      </c>
      <c r="U50" s="157">
        <f t="shared" si="7"/>
        <v>0</v>
      </c>
      <c r="V50" s="157">
        <f t="shared" si="7"/>
        <v>0</v>
      </c>
    </row>
    <row r="51" spans="2:24">
      <c r="B51" s="75" t="s">
        <v>110</v>
      </c>
      <c r="C51" s="75" t="s">
        <v>389</v>
      </c>
      <c r="D51" t="s">
        <v>1863</v>
      </c>
      <c r="E51">
        <f>SUMIFS('Annual Service Data_rail only'!N:N,'Annual Service Data_rail only'!C:C,C51)</f>
        <v>2</v>
      </c>
      <c r="F51" s="153">
        <f>SUMIFS('Annual Service Data_rail only'!X:X,'Annual Service Data_rail only'!C:C,C51)</f>
        <v>208873</v>
      </c>
      <c r="G51" s="153">
        <f>SUMIFS('Annual Service Data_rail only'!AT:AT,'Annual Service Data_rail only'!C:C,C51)</f>
        <v>3403059</v>
      </c>
      <c r="H51">
        <f>SUMIFS('Fuel and Energy_rail only'!AD:AD,'Fuel and Energy_rail only'!C:C,C51)</f>
        <v>71832</v>
      </c>
      <c r="I51">
        <f>SUMIFS('Fuel and Energy_rail only'!AN:AN,'Fuel and Energy_rail only'!C:C,C51)</f>
        <v>0</v>
      </c>
      <c r="J51" s="147">
        <f t="shared" si="2"/>
        <v>1</v>
      </c>
      <c r="K51" s="147">
        <f t="shared" si="2"/>
        <v>0</v>
      </c>
      <c r="L51" s="155">
        <f t="shared" si="0"/>
        <v>16.292479161978811</v>
      </c>
      <c r="M51" s="156">
        <f t="shared" si="1"/>
        <v>104436.5</v>
      </c>
      <c r="N51" s="156">
        <f t="shared" si="3"/>
        <v>2</v>
      </c>
      <c r="O51" s="156">
        <f t="shared" si="4"/>
        <v>0</v>
      </c>
      <c r="P51">
        <f>SUMIFS('Fuel and Energy_rail only'!M:M,'Fuel and Energy_rail only'!C:C,C51)</f>
        <v>195054</v>
      </c>
      <c r="Q51">
        <f>SUMIFS('Fuel and Energy_rail only'!U:U,'Fuel and Energy_rail only'!C:C,C51)</f>
        <v>0</v>
      </c>
      <c r="R51">
        <f>SUMIFS('Fuel and Energy_rail only'!Y:Y,'Fuel and Energy_rail only'!C:C,C51)</f>
        <v>0</v>
      </c>
      <c r="S51">
        <f t="shared" si="5"/>
        <v>27053989800</v>
      </c>
      <c r="T51">
        <f t="shared" si="6"/>
        <v>0</v>
      </c>
      <c r="U51" s="157">
        <f t="shared" si="7"/>
        <v>1.2578769435331124E-4</v>
      </c>
      <c r="V51" s="157">
        <f t="shared" si="7"/>
        <v>0</v>
      </c>
    </row>
    <row r="52" spans="2:24">
      <c r="B52" s="75" t="s">
        <v>117</v>
      </c>
      <c r="C52" s="75" t="s">
        <v>390</v>
      </c>
      <c r="D52" t="s">
        <v>1864</v>
      </c>
      <c r="E52">
        <f>SUMIFS('Annual Service Data_rail only'!N:N,'Annual Service Data_rail only'!C:C,C52)</f>
        <v>81</v>
      </c>
      <c r="F52" s="153">
        <f>SUMIFS('Annual Service Data_rail only'!X:X,'Annual Service Data_rail only'!C:C,C52)</f>
        <v>16971382</v>
      </c>
      <c r="G52" s="153">
        <f>SUMIFS('Annual Service Data_rail only'!AT:AT,'Annual Service Data_rail only'!C:C,C52)</f>
        <v>229087609</v>
      </c>
      <c r="H52">
        <f>SUMIFS('Fuel and Energy_rail only'!AD:AD,'Fuel and Energy_rail only'!C:C,C52)</f>
        <v>2810479</v>
      </c>
      <c r="I52">
        <f>SUMIFS('Fuel and Energy_rail only'!AN:AN,'Fuel and Energy_rail only'!C:C,C52)</f>
        <v>13314833</v>
      </c>
      <c r="J52" s="147">
        <f t="shared" si="2"/>
        <v>0.17428989901094627</v>
      </c>
      <c r="K52" s="147">
        <f t="shared" si="2"/>
        <v>0.82571010098905373</v>
      </c>
      <c r="L52" s="155">
        <f t="shared" si="0"/>
        <v>13.498465180973476</v>
      </c>
      <c r="M52" s="156">
        <f t="shared" si="1"/>
        <v>209523.23456790124</v>
      </c>
      <c r="N52" s="156">
        <f t="shared" si="3"/>
        <v>14.117481819886647</v>
      </c>
      <c r="O52" s="156">
        <f t="shared" si="4"/>
        <v>66.882518180113351</v>
      </c>
      <c r="P52">
        <f>SUMIFS('Fuel and Energy_rail only'!M:M,'Fuel and Energy_rail only'!C:C,C52)</f>
        <v>1818399</v>
      </c>
      <c r="Q52">
        <f>SUMIFS('Fuel and Energy_rail only'!U:U,'Fuel and Energy_rail only'!C:C,C52)</f>
        <v>0</v>
      </c>
      <c r="R52">
        <f>SUMIFS('Fuel and Energy_rail only'!Y:Y,'Fuel and Energy_rail only'!C:C,C52)</f>
        <v>136948004</v>
      </c>
      <c r="S52">
        <f t="shared" si="5"/>
        <v>252211941300</v>
      </c>
      <c r="T52">
        <f t="shared" si="6"/>
        <v>467285762368.56</v>
      </c>
      <c r="U52" s="157">
        <f t="shared" si="7"/>
        <v>1.5830993580821838E-4</v>
      </c>
      <c r="V52" s="157">
        <f t="shared" si="7"/>
        <v>4.0480572702220627E-4</v>
      </c>
    </row>
    <row r="53" spans="2:24">
      <c r="B53" s="75" t="s">
        <v>121</v>
      </c>
      <c r="C53" s="75" t="s">
        <v>395</v>
      </c>
      <c r="D53" t="s">
        <v>1865</v>
      </c>
      <c r="E53">
        <f>SUMIFS('Annual Service Data_rail only'!N:N,'Annual Service Data_rail only'!C:C,C53)</f>
        <v>31</v>
      </c>
      <c r="F53" s="153">
        <f>SUMIFS('Annual Service Data_rail only'!X:X,'Annual Service Data_rail only'!C:C,C53)</f>
        <v>10256420</v>
      </c>
      <c r="G53" s="153">
        <f>SUMIFS('Annual Service Data_rail only'!AT:AT,'Annual Service Data_rail only'!C:C,C53)</f>
        <v>91039641</v>
      </c>
      <c r="H53">
        <f>SUMIFS('Fuel and Energy_rail only'!AD:AD,'Fuel and Energy_rail only'!C:C,C53)</f>
        <v>850933</v>
      </c>
      <c r="I53">
        <f>SUMIFS('Fuel and Energy_rail only'!AN:AN,'Fuel and Energy_rail only'!C:C,C53)</f>
        <v>6307169</v>
      </c>
      <c r="J53" s="147">
        <f t="shared" si="2"/>
        <v>0.11887690340260589</v>
      </c>
      <c r="K53" s="147">
        <f t="shared" si="2"/>
        <v>0.88112309659739407</v>
      </c>
      <c r="L53" s="155">
        <f t="shared" si="0"/>
        <v>8.876356564961263</v>
      </c>
      <c r="M53" s="156">
        <f t="shared" si="1"/>
        <v>330852.25806451612</v>
      </c>
      <c r="N53" s="156">
        <f t="shared" si="3"/>
        <v>3.6851840054807825</v>
      </c>
      <c r="O53" s="156">
        <f t="shared" si="4"/>
        <v>27.314815994519215</v>
      </c>
      <c r="P53">
        <f>SUMIFS('Fuel and Energy_rail only'!M:M,'Fuel and Energy_rail only'!C:C,C53)</f>
        <v>1921417</v>
      </c>
      <c r="Q53">
        <f>SUMIFS('Fuel and Energy_rail only'!U:U,'Fuel and Energy_rail only'!C:C,C53)</f>
        <v>0</v>
      </c>
      <c r="R53">
        <f>SUMIFS('Fuel and Energy_rail only'!Y:Y,'Fuel and Energy_rail only'!C:C,C53)</f>
        <v>39602347</v>
      </c>
      <c r="S53">
        <f t="shared" si="5"/>
        <v>266500537900</v>
      </c>
      <c r="T53">
        <f t="shared" si="6"/>
        <v>135128752292.58</v>
      </c>
      <c r="U53" s="157">
        <f t="shared" si="7"/>
        <v>4.0609713939961685E-5</v>
      </c>
      <c r="V53" s="157">
        <f t="shared" si="7"/>
        <v>5.9363480406708256E-4</v>
      </c>
    </row>
    <row r="54" spans="2:24">
      <c r="B54" s="75" t="s">
        <v>85</v>
      </c>
      <c r="C54" s="75" t="s">
        <v>397</v>
      </c>
      <c r="D54" t="s">
        <v>1866</v>
      </c>
      <c r="E54">
        <f>SUMIFS('Annual Service Data_rail only'!N:N,'Annual Service Data_rail only'!C:C,C54)</f>
        <v>0</v>
      </c>
      <c r="F54" s="153">
        <f>SUMIFS('Annual Service Data_rail only'!X:X,'Annual Service Data_rail only'!C:C,C54)</f>
        <v>0</v>
      </c>
      <c r="G54" s="153">
        <f>SUMIFS('Annual Service Data_rail only'!AT:AT,'Annual Service Data_rail only'!C:C,C54)</f>
        <v>0</v>
      </c>
      <c r="H54">
        <f>SUMIFS('Fuel and Energy_rail only'!AD:AD,'Fuel and Energy_rail only'!C:C,C54)</f>
        <v>0</v>
      </c>
      <c r="I54">
        <f>SUMIFS('Fuel and Energy_rail only'!AN:AN,'Fuel and Energy_rail only'!C:C,C54)</f>
        <v>0</v>
      </c>
      <c r="J54" s="147">
        <f t="shared" si="2"/>
        <v>0</v>
      </c>
      <c r="K54" s="147">
        <f t="shared" si="2"/>
        <v>0</v>
      </c>
      <c r="L54" s="155">
        <f t="shared" si="0"/>
        <v>0</v>
      </c>
      <c r="M54" s="156">
        <f t="shared" si="1"/>
        <v>0</v>
      </c>
      <c r="N54" s="156">
        <f t="shared" si="3"/>
        <v>0</v>
      </c>
      <c r="O54" s="156">
        <f t="shared" si="4"/>
        <v>0</v>
      </c>
      <c r="P54">
        <f>SUMIFS('Fuel and Energy_rail only'!M:M,'Fuel and Energy_rail only'!C:C,C54)</f>
        <v>0</v>
      </c>
      <c r="Q54">
        <f>SUMIFS('Fuel and Energy_rail only'!U:U,'Fuel and Energy_rail only'!C:C,C54)</f>
        <v>0</v>
      </c>
      <c r="R54">
        <f>SUMIFS('Fuel and Energy_rail only'!Y:Y,'Fuel and Energy_rail only'!C:C,C54)</f>
        <v>0</v>
      </c>
      <c r="S54">
        <f t="shared" si="5"/>
        <v>0</v>
      </c>
      <c r="T54">
        <f t="shared" si="6"/>
        <v>0</v>
      </c>
      <c r="U54" s="157">
        <f t="shared" si="7"/>
        <v>0</v>
      </c>
      <c r="V54" s="157">
        <f t="shared" si="7"/>
        <v>0</v>
      </c>
    </row>
    <row r="55" spans="2:24">
      <c r="B55" s="75" t="s">
        <v>95</v>
      </c>
      <c r="C55" s="75" t="s">
        <v>396</v>
      </c>
      <c r="D55" t="s">
        <v>1867</v>
      </c>
      <c r="E55">
        <f>SUMIFS('Annual Service Data_rail only'!N:N,'Annual Service Data_rail only'!C:C,C55)</f>
        <v>38</v>
      </c>
      <c r="F55" s="153">
        <f>SUMIFS('Annual Service Data_rail only'!X:X,'Annual Service Data_rail only'!C:C,C55)</f>
        <v>2579467</v>
      </c>
      <c r="G55" s="153">
        <f>SUMIFS('Annual Service Data_rail only'!AT:AT,'Annual Service Data_rail only'!C:C,C55)</f>
        <v>101304307</v>
      </c>
      <c r="H55">
        <f>SUMIFS('Fuel and Energy_rail only'!AD:AD,'Fuel and Energy_rail only'!C:C,C55)</f>
        <v>333956</v>
      </c>
      <c r="I55">
        <f>SUMIFS('Fuel and Energy_rail only'!AN:AN,'Fuel and Energy_rail only'!C:C,C55)</f>
        <v>345837</v>
      </c>
      <c r="J55" s="147">
        <f t="shared" si="2"/>
        <v>0.49126131042832155</v>
      </c>
      <c r="K55" s="147">
        <f t="shared" si="2"/>
        <v>0.50873868957167845</v>
      </c>
      <c r="L55" s="155">
        <f t="shared" si="0"/>
        <v>39.273348718940774</v>
      </c>
      <c r="M55" s="156">
        <f t="shared" si="1"/>
        <v>67880.710526315786</v>
      </c>
      <c r="N55" s="156">
        <f t="shared" si="3"/>
        <v>18.667929796276219</v>
      </c>
      <c r="O55" s="156">
        <f t="shared" si="4"/>
        <v>19.332070203723781</v>
      </c>
      <c r="P55">
        <f>SUMIFS('Fuel and Energy_rail only'!M:M,'Fuel and Energy_rail only'!C:C,C55)</f>
        <v>1430638</v>
      </c>
      <c r="Q55">
        <f>SUMIFS('Fuel and Energy_rail only'!U:U,'Fuel and Energy_rail only'!C:C,C55)</f>
        <v>0</v>
      </c>
      <c r="R55">
        <f>SUMIFS('Fuel and Energy_rail only'!Y:Y,'Fuel and Energy_rail only'!C:C,C55)</f>
        <v>3318000</v>
      </c>
      <c r="S55">
        <f t="shared" si="5"/>
        <v>198429490600</v>
      </c>
      <c r="T55">
        <f t="shared" si="6"/>
        <v>11321480520</v>
      </c>
      <c r="U55" s="157">
        <f t="shared" si="7"/>
        <v>2.5080388231794913E-4</v>
      </c>
      <c r="V55" s="157">
        <f t="shared" si="7"/>
        <v>4.5521802824377436E-3</v>
      </c>
    </row>
    <row r="56" spans="2:24">
      <c r="B56" s="75" t="s">
        <v>128</v>
      </c>
      <c r="C56" s="75" t="s">
        <v>398</v>
      </c>
      <c r="D56" t="s">
        <v>1868</v>
      </c>
      <c r="E56">
        <f>SUMIFS('Annual Service Data_rail only'!N:N,'Annual Service Data_rail only'!C:C,C56)</f>
        <v>40</v>
      </c>
      <c r="F56" s="153">
        <f>SUMIFS('Annual Service Data_rail only'!X:X,'Annual Service Data_rail only'!C:C,C56)</f>
        <v>5730374</v>
      </c>
      <c r="G56" s="153">
        <f>SUMIFS('Annual Service Data_rail only'!AT:AT,'Annual Service Data_rail only'!C:C,C56)</f>
        <v>81685247</v>
      </c>
      <c r="H56">
        <f>SUMIFS('Fuel and Energy_rail only'!AD:AD,'Fuel and Energy_rail only'!C:C,C56)</f>
        <v>335545</v>
      </c>
      <c r="I56">
        <f>SUMIFS('Fuel and Energy_rail only'!AN:AN,'Fuel and Energy_rail only'!C:C,C56)</f>
        <v>4232555</v>
      </c>
      <c r="J56" s="147">
        <f t="shared" si="2"/>
        <v>7.345395240909787E-2</v>
      </c>
      <c r="K56" s="147">
        <f t="shared" si="2"/>
        <v>0.92654604759090209</v>
      </c>
      <c r="L56" s="155">
        <f t="shared" si="0"/>
        <v>14.254784591721238</v>
      </c>
      <c r="M56" s="156">
        <f t="shared" si="1"/>
        <v>143259.35</v>
      </c>
      <c r="N56" s="156">
        <f t="shared" si="3"/>
        <v>2.9381580963639147</v>
      </c>
      <c r="O56" s="156">
        <f t="shared" si="4"/>
        <v>37.061841903636086</v>
      </c>
      <c r="P56">
        <f>SUMIFS('Fuel and Energy_rail only'!M:M,'Fuel and Energy_rail only'!C:C,C56)</f>
        <v>625305</v>
      </c>
      <c r="Q56">
        <f>SUMIFS('Fuel and Energy_rail only'!U:U,'Fuel and Energy_rail only'!C:C,C56)</f>
        <v>0</v>
      </c>
      <c r="R56">
        <f>SUMIFS('Fuel and Energy_rail only'!Y:Y,'Fuel and Energy_rail only'!C:C,C56)</f>
        <v>20355203</v>
      </c>
      <c r="S56">
        <f t="shared" si="5"/>
        <v>86729803500</v>
      </c>
      <c r="T56">
        <f t="shared" si="6"/>
        <v>69454802364.419998</v>
      </c>
      <c r="U56" s="157">
        <f t="shared" si="7"/>
        <v>6.9181573156261154E-5</v>
      </c>
      <c r="V56" s="157">
        <f t="shared" si="7"/>
        <v>1.0897035219714086E-3</v>
      </c>
    </row>
    <row r="57" spans="2:24">
      <c r="B57" s="75" t="s">
        <v>96</v>
      </c>
      <c r="C57" s="75" t="s">
        <v>400</v>
      </c>
      <c r="D57" t="s">
        <v>1869</v>
      </c>
      <c r="E57">
        <f>SUMIFS('Annual Service Data_rail only'!N:N,'Annual Service Data_rail only'!C:C,C57)</f>
        <v>0</v>
      </c>
      <c r="F57" s="153">
        <f>SUMIFS('Annual Service Data_rail only'!X:X,'Annual Service Data_rail only'!C:C,C57)</f>
        <v>0</v>
      </c>
      <c r="G57" s="153">
        <f>SUMIFS('Annual Service Data_rail only'!AT:AT,'Annual Service Data_rail only'!C:C,C57)</f>
        <v>0</v>
      </c>
      <c r="H57">
        <f>SUMIFS('Fuel and Energy_rail only'!AD:AD,'Fuel and Energy_rail only'!C:C,C57)</f>
        <v>0</v>
      </c>
      <c r="I57">
        <f>SUMIFS('Fuel and Energy_rail only'!AN:AN,'Fuel and Energy_rail only'!C:C,C57)</f>
        <v>0</v>
      </c>
      <c r="J57" s="147">
        <f t="shared" si="2"/>
        <v>0</v>
      </c>
      <c r="K57" s="147">
        <f t="shared" si="2"/>
        <v>0</v>
      </c>
      <c r="L57" s="155">
        <f t="shared" si="0"/>
        <v>0</v>
      </c>
      <c r="M57" s="156">
        <f t="shared" si="1"/>
        <v>0</v>
      </c>
      <c r="N57" s="156">
        <f t="shared" si="3"/>
        <v>0</v>
      </c>
      <c r="O57" s="156">
        <f t="shared" si="4"/>
        <v>0</v>
      </c>
      <c r="P57">
        <f>SUMIFS('Fuel and Energy_rail only'!M:M,'Fuel and Energy_rail only'!C:C,C57)</f>
        <v>0</v>
      </c>
      <c r="Q57">
        <f>SUMIFS('Fuel and Energy_rail only'!U:U,'Fuel and Energy_rail only'!C:C,C57)</f>
        <v>0</v>
      </c>
      <c r="R57">
        <f>SUMIFS('Fuel and Energy_rail only'!Y:Y,'Fuel and Energy_rail only'!C:C,C57)</f>
        <v>0</v>
      </c>
      <c r="S57">
        <f t="shared" si="5"/>
        <v>0</v>
      </c>
      <c r="T57">
        <f t="shared" si="6"/>
        <v>0</v>
      </c>
      <c r="U57" s="157">
        <f t="shared" si="7"/>
        <v>0</v>
      </c>
      <c r="V57" s="157">
        <f t="shared" si="7"/>
        <v>0</v>
      </c>
    </row>
    <row r="58" spans="2:24">
      <c r="B58" s="75" t="s">
        <v>111</v>
      </c>
      <c r="C58" s="75" t="s">
        <v>399</v>
      </c>
      <c r="D58" t="s">
        <v>1870</v>
      </c>
      <c r="E58">
        <f>SUMIFS('Annual Service Data_rail only'!N:N,'Annual Service Data_rail only'!C:C,C58)</f>
        <v>0</v>
      </c>
      <c r="F58" s="153">
        <f>SUMIFS('Annual Service Data_rail only'!X:X,'Annual Service Data_rail only'!C:C,C58)</f>
        <v>0</v>
      </c>
      <c r="G58" s="153">
        <f>SUMIFS('Annual Service Data_rail only'!AT:AT,'Annual Service Data_rail only'!C:C,C58)</f>
        <v>0</v>
      </c>
      <c r="H58">
        <f>SUMIFS('Fuel and Energy_rail only'!AD:AD,'Fuel and Energy_rail only'!C:C,C58)</f>
        <v>0</v>
      </c>
      <c r="I58">
        <f>SUMIFS('Fuel and Energy_rail only'!AN:AN,'Fuel and Energy_rail only'!C:C,C58)</f>
        <v>0</v>
      </c>
      <c r="J58" s="147">
        <f t="shared" si="2"/>
        <v>0</v>
      </c>
      <c r="K58" s="147">
        <f t="shared" si="2"/>
        <v>0</v>
      </c>
      <c r="L58" s="155">
        <f t="shared" si="0"/>
        <v>0</v>
      </c>
      <c r="M58" s="156">
        <f t="shared" si="1"/>
        <v>0</v>
      </c>
      <c r="N58" s="156">
        <f t="shared" si="3"/>
        <v>0</v>
      </c>
      <c r="O58" s="156">
        <f t="shared" si="4"/>
        <v>0</v>
      </c>
      <c r="P58">
        <f>SUMIFS('Fuel and Energy_rail only'!M:M,'Fuel and Energy_rail only'!C:C,C58)</f>
        <v>0</v>
      </c>
      <c r="Q58">
        <f>SUMIFS('Fuel and Energy_rail only'!U:U,'Fuel and Energy_rail only'!C:C,C58)</f>
        <v>0</v>
      </c>
      <c r="R58">
        <f>SUMIFS('Fuel and Energy_rail only'!Y:Y,'Fuel and Energy_rail only'!C:C,C58)</f>
        <v>0</v>
      </c>
      <c r="S58">
        <f t="shared" si="5"/>
        <v>0</v>
      </c>
      <c r="T58">
        <f t="shared" si="6"/>
        <v>0</v>
      </c>
      <c r="U58" s="157">
        <f t="shared" si="7"/>
        <v>0</v>
      </c>
      <c r="V58" s="157">
        <f t="shared" si="7"/>
        <v>0</v>
      </c>
    </row>
    <row r="59" spans="2:24">
      <c r="B59" s="75" t="s">
        <v>122</v>
      </c>
      <c r="C59" s="75" t="s">
        <v>401</v>
      </c>
      <c r="D59" t="s">
        <v>1871</v>
      </c>
      <c r="E59">
        <f>SUMIFS('Annual Service Data_rail only'!N:N,'Annual Service Data_rail only'!C:C,C59)</f>
        <v>0</v>
      </c>
      <c r="F59" s="153">
        <f>SUMIFS('Annual Service Data_rail only'!X:X,'Annual Service Data_rail only'!C:C,C59)</f>
        <v>0</v>
      </c>
      <c r="G59" s="153">
        <f>SUMIFS('Annual Service Data_rail only'!AT:AT,'Annual Service Data_rail only'!C:C,C59)</f>
        <v>0</v>
      </c>
      <c r="H59">
        <f>SUMIFS('Fuel and Energy_rail only'!AD:AD,'Fuel and Energy_rail only'!C:C,C59)</f>
        <v>0</v>
      </c>
      <c r="I59">
        <f>SUMIFS('Fuel and Energy_rail only'!AN:AN,'Fuel and Energy_rail only'!C:C,C59)</f>
        <v>0</v>
      </c>
      <c r="J59" s="147">
        <f t="shared" si="2"/>
        <v>0</v>
      </c>
      <c r="K59" s="147">
        <f t="shared" si="2"/>
        <v>0</v>
      </c>
      <c r="L59" s="155">
        <f t="shared" si="0"/>
        <v>0</v>
      </c>
      <c r="M59" s="156">
        <f t="shared" si="1"/>
        <v>0</v>
      </c>
      <c r="N59" s="156">
        <f t="shared" si="3"/>
        <v>0</v>
      </c>
      <c r="O59" s="156">
        <f t="shared" si="4"/>
        <v>0</v>
      </c>
      <c r="P59">
        <f>SUMIFS('Fuel and Energy_rail only'!M:M,'Fuel and Energy_rail only'!C:C,C59)</f>
        <v>0</v>
      </c>
      <c r="Q59">
        <f>SUMIFS('Fuel and Energy_rail only'!U:U,'Fuel and Energy_rail only'!C:C,C59)</f>
        <v>0</v>
      </c>
      <c r="R59">
        <f>SUMIFS('Fuel and Energy_rail only'!Y:Y,'Fuel and Energy_rail only'!C:C,C59)</f>
        <v>0</v>
      </c>
      <c r="S59">
        <f t="shared" si="5"/>
        <v>0</v>
      </c>
      <c r="T59">
        <f t="shared" si="6"/>
        <v>0</v>
      </c>
      <c r="U59" s="157">
        <f t="shared" si="7"/>
        <v>0</v>
      </c>
      <c r="V59" s="157">
        <f t="shared" si="7"/>
        <v>0</v>
      </c>
    </row>
    <row r="61" spans="2:24" s="16" customFormat="1">
      <c r="E61" s="16" t="str">
        <f>E8</f>
        <v>Max Trains in Operation</v>
      </c>
      <c r="F61" s="16" t="str">
        <f t="shared" ref="F61:V61" si="8">F8</f>
        <v>Vehicle Miles</v>
      </c>
      <c r="G61" s="16" t="str">
        <f t="shared" si="8"/>
        <v>Passenger Miles</v>
      </c>
      <c r="L61" s="16" t="str">
        <f t="shared" si="8"/>
        <v>calc AVLO</v>
      </c>
      <c r="M61" s="16" t="str">
        <f t="shared" si="8"/>
        <v>calc BAADTVBT</v>
      </c>
      <c r="N61" s="16" t="str">
        <f t="shared" si="8"/>
        <v>SYVBT-diesel</v>
      </c>
      <c r="O61" s="16" t="str">
        <f t="shared" si="8"/>
        <v>SYVBT-electric</v>
      </c>
      <c r="S61" s="16" t="str">
        <f t="shared" si="8"/>
        <v>diesel (btus)</v>
      </c>
      <c r="T61" s="16" t="str">
        <f t="shared" si="8"/>
        <v>electric (btu)</v>
      </c>
      <c r="U61" s="16" t="str">
        <f t="shared" si="8"/>
        <v>calc SYFAFE-diesel</v>
      </c>
      <c r="V61" s="16" t="str">
        <f t="shared" si="8"/>
        <v>calc SYFAFE-electric</v>
      </c>
    </row>
    <row r="62" spans="2:24">
      <c r="D62" s="2" t="s">
        <v>1872</v>
      </c>
      <c r="E62" s="2">
        <f>SUM(E9:E59)</f>
        <v>2740</v>
      </c>
      <c r="F62" s="2">
        <f t="shared" ref="F62:G62" si="9">SUM(F9:F59)</f>
        <v>1083860350</v>
      </c>
      <c r="G62" s="2">
        <f t="shared" si="9"/>
        <v>16634915700</v>
      </c>
      <c r="H62" s="2"/>
      <c r="I62" s="2"/>
      <c r="J62" s="2"/>
      <c r="K62" s="2"/>
      <c r="L62" s="158">
        <f>IFERROR(G62/F62,0)</f>
        <v>15.34784042981183</v>
      </c>
      <c r="M62" s="159">
        <f>IFERROR(F62/E62,0)</f>
        <v>395569.47080291971</v>
      </c>
      <c r="N62" s="159">
        <f>SUM(N9:N59)</f>
        <v>173.39396393169866</v>
      </c>
      <c r="O62" s="159">
        <f>SUM(O9:O59)</f>
        <v>2563.6060360683009</v>
      </c>
      <c r="P62" s="160"/>
      <c r="Q62" s="160"/>
      <c r="R62" s="160"/>
      <c r="S62" s="2">
        <f>SUM(S9:S59)</f>
        <v>14672704890200</v>
      </c>
      <c r="T62" s="2">
        <f>SUM(T9:T59)</f>
        <v>20563855531548.477</v>
      </c>
      <c r="U62" s="161">
        <f>IFERROR(($L62*$M62*N62)/S62,0)</f>
        <v>7.1745362435245036E-5</v>
      </c>
      <c r="V62" s="161">
        <f>IFERROR(($L62*$M62*O62)/T62,0)</f>
        <v>7.5686214263268839E-4</v>
      </c>
      <c r="W62" s="12"/>
      <c r="X62" s="12"/>
    </row>
    <row r="64" spans="2:24">
      <c r="D64" t="s">
        <v>1873</v>
      </c>
      <c r="E64" s="147">
        <f>E62/SUM(N62:O62)</f>
        <v>1.0010960906101574</v>
      </c>
      <c r="G64" s="147">
        <f>L62*M62*SUM(N62:O62)/G62</f>
        <v>0.99890510948905087</v>
      </c>
      <c r="K64" s="162"/>
      <c r="S64" s="147">
        <f>($L62*$M62*N62/U62)/S62</f>
        <v>1</v>
      </c>
      <c r="T64" s="147">
        <f>($L62*$M62*O62/V62)/T62</f>
        <v>1</v>
      </c>
    </row>
  </sheetData>
  <conditionalFormatting sqref="C93:C1048576 C4:C63">
    <cfRule type="duplicateValues" dxfId="0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56C1-FC81-4B93-AD7B-17CD71470CC6}">
  <sheetPr>
    <tabColor theme="4" tint="-0.249977111117893"/>
  </sheetPr>
  <dimension ref="A1:B7"/>
  <sheetViews>
    <sheetView workbookViewId="0">
      <selection activeCell="B2" sqref="B2"/>
    </sheetView>
  </sheetViews>
  <sheetFormatPr defaultRowHeight="14.25"/>
  <sheetData>
    <row r="1" spans="1:2" ht="57">
      <c r="A1" s="5" t="s">
        <v>78</v>
      </c>
      <c r="B1" s="3">
        <v>2024</v>
      </c>
    </row>
    <row r="2" spans="1:2">
      <c r="A2" t="s">
        <v>38</v>
      </c>
      <c r="B2" s="8">
        <f>'BAADTbVT-passengers'!D2</f>
        <v>12040.711647012951</v>
      </c>
    </row>
    <row r="3" spans="1:2">
      <c r="A3" t="s">
        <v>39</v>
      </c>
      <c r="B3" s="8">
        <f>'BAADTbVT-passengers'!D3</f>
        <v>15663.384446374012</v>
      </c>
    </row>
    <row r="4" spans="1:2">
      <c r="A4" t="s">
        <v>40</v>
      </c>
      <c r="B4" s="8">
        <f>'BAADTbVT-passengers'!D4</f>
        <v>896431.70308237756</v>
      </c>
    </row>
    <row r="5" spans="1:2">
      <c r="A5" t="s">
        <v>41</v>
      </c>
      <c r="B5" s="8">
        <f>SUMIFS('psgr rail calcs'!M:M,'psgr rail calcs'!C:C,About!B2)</f>
        <v>542187.41025641025</v>
      </c>
    </row>
    <row r="6" spans="1:2">
      <c r="A6" t="s">
        <v>42</v>
      </c>
      <c r="B6" s="8">
        <f>'BAADTbVT-passengers'!D6</f>
        <v>205.73349123837525</v>
      </c>
    </row>
    <row r="7" spans="1:2">
      <c r="A7" t="s">
        <v>43</v>
      </c>
      <c r="B7" s="8">
        <f>'BAADTbVT-passengers'!D7</f>
        <v>9329.0593939380778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AF466-F009-4365-B6CA-5A14E7B1EC69}">
  <sheetPr>
    <tabColor theme="4" tint="-0.249977111117893"/>
  </sheetPr>
  <dimension ref="A1:B7"/>
  <sheetViews>
    <sheetView tabSelected="1" workbookViewId="0"/>
  </sheetViews>
  <sheetFormatPr defaultRowHeight="14.25"/>
  <cols>
    <col min="2" max="2" width="13.3984375" bestFit="1" customWidth="1"/>
  </cols>
  <sheetData>
    <row r="1" spans="1:2">
      <c r="A1" s="16" t="s">
        <v>78</v>
      </c>
      <c r="B1" s="16">
        <v>2024</v>
      </c>
    </row>
    <row r="2" spans="1:2">
      <c r="A2" t="s">
        <v>38</v>
      </c>
      <c r="B2">
        <f>'BAADTbVT-freight'!D2</f>
        <v>10389.541307537951</v>
      </c>
    </row>
    <row r="3" spans="1:2">
      <c r="A3" t="s">
        <v>39</v>
      </c>
      <c r="B3">
        <f>'BAADTbVT-freight'!D3</f>
        <v>33694.322815850697</v>
      </c>
    </row>
    <row r="4" spans="1:2">
      <c r="A4" t="s">
        <v>40</v>
      </c>
      <c r="B4">
        <f>'BAADTbVT-freight'!D4</f>
        <v>1163944.0729270254</v>
      </c>
    </row>
    <row r="5" spans="1:2">
      <c r="A5" t="s">
        <v>41</v>
      </c>
      <c r="B5">
        <f>'BAADTbVT-freight'!D5</f>
        <v>16279.924974670865</v>
      </c>
    </row>
    <row r="6" spans="1:2">
      <c r="A6" t="s">
        <v>42</v>
      </c>
      <c r="B6" s="212">
        <f>'BAADTbVT-freight'!D6</f>
        <v>5220699.1699477062</v>
      </c>
    </row>
    <row r="7" spans="1:2">
      <c r="A7" t="s">
        <v>43</v>
      </c>
      <c r="B7">
        <f>'BAADTbVT-freight'!D7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H9"/>
  <sheetViews>
    <sheetView workbookViewId="0"/>
  </sheetViews>
  <sheetFormatPr defaultColWidth="9.1328125" defaultRowHeight="14.25"/>
  <cols>
    <col min="1" max="1" width="16.73046875" customWidth="1"/>
    <col min="2" max="2" width="9" customWidth="1"/>
    <col min="3" max="25" width="9.1328125" customWidth="1"/>
  </cols>
  <sheetData>
    <row r="1" spans="1:34" ht="32.1" customHeight="1">
      <c r="A1" s="5" t="s">
        <v>78</v>
      </c>
      <c r="B1" s="3">
        <v>2024</v>
      </c>
      <c r="C1" s="3">
        <v>2025</v>
      </c>
      <c r="D1" s="3">
        <v>2026</v>
      </c>
      <c r="E1" s="3">
        <v>2027</v>
      </c>
      <c r="F1" s="3">
        <v>2028</v>
      </c>
      <c r="G1" s="3">
        <v>2029</v>
      </c>
      <c r="H1" s="3">
        <v>2030</v>
      </c>
      <c r="I1" s="3">
        <v>2031</v>
      </c>
      <c r="J1" s="3">
        <v>2032</v>
      </c>
      <c r="K1" s="3">
        <v>2033</v>
      </c>
      <c r="L1" s="3">
        <v>2034</v>
      </c>
      <c r="M1" s="3">
        <v>2035</v>
      </c>
      <c r="N1" s="3">
        <v>2036</v>
      </c>
      <c r="O1" s="3">
        <v>2037</v>
      </c>
      <c r="P1" s="3">
        <v>2038</v>
      </c>
      <c r="Q1" s="3">
        <v>2039</v>
      </c>
      <c r="R1" s="3">
        <v>2040</v>
      </c>
      <c r="S1" s="3">
        <v>2041</v>
      </c>
      <c r="T1" s="3">
        <v>2042</v>
      </c>
      <c r="U1" s="3">
        <v>2043</v>
      </c>
      <c r="V1" s="3">
        <v>2044</v>
      </c>
      <c r="W1" s="3">
        <v>2045</v>
      </c>
      <c r="X1" s="3">
        <v>2046</v>
      </c>
      <c r="Y1" s="3">
        <v>2047</v>
      </c>
      <c r="Z1" s="3">
        <v>2048</v>
      </c>
      <c r="AA1" s="3">
        <v>2049</v>
      </c>
      <c r="AB1" s="3">
        <v>2050</v>
      </c>
      <c r="AC1" s="3"/>
      <c r="AD1" s="3"/>
      <c r="AE1" s="3"/>
      <c r="AF1" s="3"/>
      <c r="AG1" s="3"/>
      <c r="AH1" s="3"/>
    </row>
    <row r="2" spans="1:34">
      <c r="A2" t="s">
        <v>38</v>
      </c>
      <c r="B2" s="8">
        <f>'Scale to SEDS'!E69</f>
        <v>12040.711647012951</v>
      </c>
      <c r="C2" s="8">
        <f t="shared" ref="C2:L3" si="0">$B2</f>
        <v>12040.711647012951</v>
      </c>
      <c r="D2" s="8">
        <f t="shared" si="0"/>
        <v>12040.711647012951</v>
      </c>
      <c r="E2" s="8">
        <f t="shared" si="0"/>
        <v>12040.711647012951</v>
      </c>
      <c r="F2" s="8">
        <f t="shared" si="0"/>
        <v>12040.711647012951</v>
      </c>
      <c r="G2" s="8">
        <f t="shared" si="0"/>
        <v>12040.711647012951</v>
      </c>
      <c r="H2" s="8">
        <f t="shared" si="0"/>
        <v>12040.711647012951</v>
      </c>
      <c r="I2" s="8">
        <f t="shared" si="0"/>
        <v>12040.711647012951</v>
      </c>
      <c r="J2" s="8">
        <f t="shared" si="0"/>
        <v>12040.711647012951</v>
      </c>
      <c r="K2" s="8">
        <f t="shared" si="0"/>
        <v>12040.711647012951</v>
      </c>
      <c r="L2" s="8">
        <f t="shared" si="0"/>
        <v>12040.711647012951</v>
      </c>
      <c r="M2" s="8">
        <f t="shared" ref="M2:V3" si="1">$B2</f>
        <v>12040.711647012951</v>
      </c>
      <c r="N2" s="8">
        <f t="shared" si="1"/>
        <v>12040.711647012951</v>
      </c>
      <c r="O2" s="8">
        <f t="shared" si="1"/>
        <v>12040.711647012951</v>
      </c>
      <c r="P2" s="8">
        <f t="shared" si="1"/>
        <v>12040.711647012951</v>
      </c>
      <c r="Q2" s="8">
        <f t="shared" si="1"/>
        <v>12040.711647012951</v>
      </c>
      <c r="R2" s="8">
        <f t="shared" si="1"/>
        <v>12040.711647012951</v>
      </c>
      <c r="S2" s="8">
        <f t="shared" si="1"/>
        <v>12040.711647012951</v>
      </c>
      <c r="T2" s="8">
        <f t="shared" si="1"/>
        <v>12040.711647012951</v>
      </c>
      <c r="U2" s="8">
        <f t="shared" si="1"/>
        <v>12040.711647012951</v>
      </c>
      <c r="V2" s="8">
        <f t="shared" si="1"/>
        <v>12040.711647012951</v>
      </c>
      <c r="W2" s="8">
        <f t="shared" ref="W2:AB3" si="2">$B2</f>
        <v>12040.711647012951</v>
      </c>
      <c r="X2" s="8">
        <f t="shared" si="2"/>
        <v>12040.711647012951</v>
      </c>
      <c r="Y2" s="8">
        <f t="shared" si="2"/>
        <v>12040.711647012951</v>
      </c>
      <c r="Z2" s="8">
        <f t="shared" si="2"/>
        <v>12040.711647012951</v>
      </c>
      <c r="AA2" s="8">
        <f t="shared" si="2"/>
        <v>12040.711647012951</v>
      </c>
      <c r="AB2" s="8">
        <f t="shared" si="2"/>
        <v>12040.711647012951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SEDS'!F70</f>
        <v>15663.384446374012</v>
      </c>
      <c r="C3" s="8">
        <f t="shared" si="0"/>
        <v>15663.384446374012</v>
      </c>
      <c r="D3" s="8">
        <f t="shared" si="0"/>
        <v>15663.384446374012</v>
      </c>
      <c r="E3" s="8">
        <f t="shared" si="0"/>
        <v>15663.384446374012</v>
      </c>
      <c r="F3" s="8">
        <f t="shared" si="0"/>
        <v>15663.384446374012</v>
      </c>
      <c r="G3" s="8">
        <f t="shared" si="0"/>
        <v>15663.384446374012</v>
      </c>
      <c r="H3" s="8">
        <f t="shared" si="0"/>
        <v>15663.384446374012</v>
      </c>
      <c r="I3" s="8">
        <f t="shared" si="0"/>
        <v>15663.384446374012</v>
      </c>
      <c r="J3" s="8">
        <f t="shared" si="0"/>
        <v>15663.384446374012</v>
      </c>
      <c r="K3" s="8">
        <f t="shared" si="0"/>
        <v>15663.384446374012</v>
      </c>
      <c r="L3" s="8">
        <f t="shared" si="0"/>
        <v>15663.384446374012</v>
      </c>
      <c r="M3" s="8">
        <f t="shared" si="1"/>
        <v>15663.384446374012</v>
      </c>
      <c r="N3" s="8">
        <f t="shared" si="1"/>
        <v>15663.384446374012</v>
      </c>
      <c r="O3" s="8">
        <f t="shared" si="1"/>
        <v>15663.384446374012</v>
      </c>
      <c r="P3" s="8">
        <f t="shared" si="1"/>
        <v>15663.384446374012</v>
      </c>
      <c r="Q3" s="8">
        <f t="shared" si="1"/>
        <v>15663.384446374012</v>
      </c>
      <c r="R3" s="8">
        <f t="shared" si="1"/>
        <v>15663.384446374012</v>
      </c>
      <c r="S3" s="8">
        <f t="shared" si="1"/>
        <v>15663.384446374012</v>
      </c>
      <c r="T3" s="8">
        <f t="shared" si="1"/>
        <v>15663.384446374012</v>
      </c>
      <c r="U3" s="8">
        <f t="shared" si="1"/>
        <v>15663.384446374012</v>
      </c>
      <c r="V3" s="8">
        <f t="shared" si="1"/>
        <v>15663.384446374012</v>
      </c>
      <c r="W3" s="8">
        <f t="shared" si="2"/>
        <v>15663.384446374012</v>
      </c>
      <c r="X3" s="8">
        <f t="shared" si="2"/>
        <v>15663.384446374012</v>
      </c>
      <c r="Y3" s="8">
        <f t="shared" si="2"/>
        <v>15663.384446374012</v>
      </c>
      <c r="Z3" s="8">
        <f t="shared" si="2"/>
        <v>15663.384446374012</v>
      </c>
      <c r="AA3" s="8">
        <f t="shared" si="2"/>
        <v>15663.384446374012</v>
      </c>
      <c r="AB3" s="8">
        <f t="shared" si="2"/>
        <v>15663.384446374012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SEDS'!G71</f>
        <v>896431.70308237756</v>
      </c>
      <c r="C4" s="8">
        <f t="shared" ref="C4:AB4" si="3">$B$4</f>
        <v>896431.70308237756</v>
      </c>
      <c r="D4" s="8">
        <f t="shared" si="3"/>
        <v>896431.70308237756</v>
      </c>
      <c r="E4" s="8">
        <f t="shared" si="3"/>
        <v>896431.70308237756</v>
      </c>
      <c r="F4" s="8">
        <f t="shared" si="3"/>
        <v>896431.70308237756</v>
      </c>
      <c r="G4" s="8">
        <f t="shared" si="3"/>
        <v>896431.70308237756</v>
      </c>
      <c r="H4" s="8">
        <f t="shared" si="3"/>
        <v>896431.70308237756</v>
      </c>
      <c r="I4" s="8">
        <f t="shared" si="3"/>
        <v>896431.70308237756</v>
      </c>
      <c r="J4" s="8">
        <f t="shared" si="3"/>
        <v>896431.70308237756</v>
      </c>
      <c r="K4" s="8">
        <f t="shared" si="3"/>
        <v>896431.70308237756</v>
      </c>
      <c r="L4" s="8">
        <f t="shared" si="3"/>
        <v>896431.70308237756</v>
      </c>
      <c r="M4" s="8">
        <f t="shared" si="3"/>
        <v>896431.70308237756</v>
      </c>
      <c r="N4" s="8">
        <f t="shared" si="3"/>
        <v>896431.70308237756</v>
      </c>
      <c r="O4" s="8">
        <f t="shared" si="3"/>
        <v>896431.70308237756</v>
      </c>
      <c r="P4" s="8">
        <f t="shared" si="3"/>
        <v>896431.70308237756</v>
      </c>
      <c r="Q4" s="8">
        <f t="shared" si="3"/>
        <v>896431.70308237756</v>
      </c>
      <c r="R4" s="8">
        <f t="shared" si="3"/>
        <v>896431.70308237756</v>
      </c>
      <c r="S4" s="8">
        <f t="shared" si="3"/>
        <v>896431.70308237756</v>
      </c>
      <c r="T4" s="8">
        <f t="shared" si="3"/>
        <v>896431.70308237756</v>
      </c>
      <c r="U4" s="8">
        <f t="shared" si="3"/>
        <v>896431.70308237756</v>
      </c>
      <c r="V4" s="8">
        <f t="shared" si="3"/>
        <v>896431.70308237756</v>
      </c>
      <c r="W4" s="8">
        <f t="shared" si="3"/>
        <v>896431.70308237756</v>
      </c>
      <c r="X4" s="8">
        <f t="shared" si="3"/>
        <v>896431.70308237756</v>
      </c>
      <c r="Y4" s="8">
        <f t="shared" si="3"/>
        <v>896431.70308237756</v>
      </c>
      <c r="Z4" s="8">
        <f t="shared" si="3"/>
        <v>896431.70308237756</v>
      </c>
      <c r="AA4" s="8">
        <f t="shared" si="3"/>
        <v>896431.70308237756</v>
      </c>
      <c r="AB4" s="8">
        <f t="shared" si="3"/>
        <v>896431.70308237756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'SYAADTbVT-passengers'!B5</f>
        <v>542187.41025641025</v>
      </c>
      <c r="C5" s="8">
        <f t="shared" ref="C5:L7" si="4">$B5</f>
        <v>542187.41025641025</v>
      </c>
      <c r="D5" s="8">
        <f t="shared" si="4"/>
        <v>542187.41025641025</v>
      </c>
      <c r="E5" s="8">
        <f t="shared" si="4"/>
        <v>542187.41025641025</v>
      </c>
      <c r="F5" s="8">
        <f t="shared" si="4"/>
        <v>542187.41025641025</v>
      </c>
      <c r="G5" s="8">
        <f t="shared" si="4"/>
        <v>542187.41025641025</v>
      </c>
      <c r="H5" s="8">
        <f t="shared" si="4"/>
        <v>542187.41025641025</v>
      </c>
      <c r="I5" s="8">
        <f t="shared" si="4"/>
        <v>542187.41025641025</v>
      </c>
      <c r="J5" s="8">
        <f t="shared" si="4"/>
        <v>542187.41025641025</v>
      </c>
      <c r="K5" s="8">
        <f t="shared" si="4"/>
        <v>542187.41025641025</v>
      </c>
      <c r="L5" s="8">
        <f t="shared" si="4"/>
        <v>542187.41025641025</v>
      </c>
      <c r="M5" s="8">
        <f t="shared" ref="M5:V7" si="5">$B5</f>
        <v>542187.41025641025</v>
      </c>
      <c r="N5" s="8">
        <f t="shared" si="5"/>
        <v>542187.41025641025</v>
      </c>
      <c r="O5" s="8">
        <f t="shared" si="5"/>
        <v>542187.41025641025</v>
      </c>
      <c r="P5" s="8">
        <f t="shared" si="5"/>
        <v>542187.41025641025</v>
      </c>
      <c r="Q5" s="8">
        <f t="shared" si="5"/>
        <v>542187.41025641025</v>
      </c>
      <c r="R5" s="8">
        <f t="shared" si="5"/>
        <v>542187.41025641025</v>
      </c>
      <c r="S5" s="8">
        <f t="shared" si="5"/>
        <v>542187.41025641025</v>
      </c>
      <c r="T5" s="8">
        <f t="shared" si="5"/>
        <v>542187.41025641025</v>
      </c>
      <c r="U5" s="8">
        <f t="shared" si="5"/>
        <v>542187.41025641025</v>
      </c>
      <c r="V5" s="8">
        <f t="shared" si="5"/>
        <v>542187.41025641025</v>
      </c>
      <c r="W5" s="8">
        <f t="shared" ref="W5:AB7" si="6">$B5</f>
        <v>542187.41025641025</v>
      </c>
      <c r="X5" s="8">
        <f t="shared" si="6"/>
        <v>542187.41025641025</v>
      </c>
      <c r="Y5" s="8">
        <f t="shared" si="6"/>
        <v>542187.41025641025</v>
      </c>
      <c r="Z5" s="8">
        <f t="shared" si="6"/>
        <v>542187.41025641025</v>
      </c>
      <c r="AA5" s="8">
        <f t="shared" si="6"/>
        <v>542187.41025641025</v>
      </c>
      <c r="AB5" s="8">
        <f t="shared" si="6"/>
        <v>542187.41025641025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SEDS'!E73</f>
        <v>205.73349123837525</v>
      </c>
      <c r="C6" s="8">
        <f t="shared" si="4"/>
        <v>205.73349123837525</v>
      </c>
      <c r="D6" s="8">
        <f t="shared" si="4"/>
        <v>205.73349123837525</v>
      </c>
      <c r="E6" s="8">
        <f t="shared" si="4"/>
        <v>205.73349123837525</v>
      </c>
      <c r="F6" s="8">
        <f t="shared" si="4"/>
        <v>205.73349123837525</v>
      </c>
      <c r="G6" s="8">
        <f t="shared" si="4"/>
        <v>205.73349123837525</v>
      </c>
      <c r="H6" s="8">
        <f t="shared" si="4"/>
        <v>205.73349123837525</v>
      </c>
      <c r="I6" s="8">
        <f t="shared" si="4"/>
        <v>205.73349123837525</v>
      </c>
      <c r="J6" s="8">
        <f t="shared" si="4"/>
        <v>205.73349123837525</v>
      </c>
      <c r="K6" s="8">
        <f t="shared" si="4"/>
        <v>205.73349123837525</v>
      </c>
      <c r="L6" s="8">
        <f t="shared" si="4"/>
        <v>205.73349123837525</v>
      </c>
      <c r="M6" s="8">
        <f t="shared" si="5"/>
        <v>205.73349123837525</v>
      </c>
      <c r="N6" s="8">
        <f t="shared" si="5"/>
        <v>205.73349123837525</v>
      </c>
      <c r="O6" s="8">
        <f t="shared" si="5"/>
        <v>205.73349123837525</v>
      </c>
      <c r="P6" s="8">
        <f t="shared" si="5"/>
        <v>205.73349123837525</v>
      </c>
      <c r="Q6" s="8">
        <f t="shared" si="5"/>
        <v>205.73349123837525</v>
      </c>
      <c r="R6" s="8">
        <f t="shared" si="5"/>
        <v>205.73349123837525</v>
      </c>
      <c r="S6" s="8">
        <f t="shared" si="5"/>
        <v>205.73349123837525</v>
      </c>
      <c r="T6" s="8">
        <f t="shared" si="5"/>
        <v>205.73349123837525</v>
      </c>
      <c r="U6" s="8">
        <f t="shared" si="5"/>
        <v>205.73349123837525</v>
      </c>
      <c r="V6" s="8">
        <f t="shared" si="5"/>
        <v>205.73349123837525</v>
      </c>
      <c r="W6" s="8">
        <f t="shared" si="6"/>
        <v>205.73349123837525</v>
      </c>
      <c r="X6" s="8">
        <f t="shared" si="6"/>
        <v>205.73349123837525</v>
      </c>
      <c r="Y6" s="8">
        <f t="shared" si="6"/>
        <v>205.73349123837525</v>
      </c>
      <c r="Z6" s="8">
        <f t="shared" si="6"/>
        <v>205.73349123837525</v>
      </c>
      <c r="AA6" s="8">
        <f t="shared" si="6"/>
        <v>205.73349123837525</v>
      </c>
      <c r="AB6" s="8">
        <f t="shared" si="6"/>
        <v>205.73349123837525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f>'Scale to SEDS'!E74</f>
        <v>9329.0593939380778</v>
      </c>
      <c r="C7" s="8">
        <f t="shared" si="4"/>
        <v>9329.0593939380778</v>
      </c>
      <c r="D7" s="8">
        <f t="shared" si="4"/>
        <v>9329.0593939380778</v>
      </c>
      <c r="E7" s="8">
        <f t="shared" si="4"/>
        <v>9329.0593939380778</v>
      </c>
      <c r="F7" s="8">
        <f t="shared" si="4"/>
        <v>9329.0593939380778</v>
      </c>
      <c r="G7" s="8">
        <f t="shared" si="4"/>
        <v>9329.0593939380778</v>
      </c>
      <c r="H7" s="8">
        <f t="shared" si="4"/>
        <v>9329.0593939380778</v>
      </c>
      <c r="I7" s="8">
        <f t="shared" si="4"/>
        <v>9329.0593939380778</v>
      </c>
      <c r="J7" s="8">
        <f t="shared" si="4"/>
        <v>9329.0593939380778</v>
      </c>
      <c r="K7" s="8">
        <f t="shared" si="4"/>
        <v>9329.0593939380778</v>
      </c>
      <c r="L7" s="8">
        <f t="shared" si="4"/>
        <v>9329.0593939380778</v>
      </c>
      <c r="M7" s="8">
        <f t="shared" si="5"/>
        <v>9329.0593939380778</v>
      </c>
      <c r="N7" s="8">
        <f t="shared" si="5"/>
        <v>9329.0593939380778</v>
      </c>
      <c r="O7" s="8">
        <f t="shared" si="5"/>
        <v>9329.0593939380778</v>
      </c>
      <c r="P7" s="8">
        <f t="shared" si="5"/>
        <v>9329.0593939380778</v>
      </c>
      <c r="Q7" s="8">
        <f t="shared" si="5"/>
        <v>9329.0593939380778</v>
      </c>
      <c r="R7" s="8">
        <f t="shared" si="5"/>
        <v>9329.0593939380778</v>
      </c>
      <c r="S7" s="8">
        <f t="shared" si="5"/>
        <v>9329.0593939380778</v>
      </c>
      <c r="T7" s="8">
        <f t="shared" si="5"/>
        <v>9329.0593939380778</v>
      </c>
      <c r="U7" s="8">
        <f t="shared" si="5"/>
        <v>9329.0593939380778</v>
      </c>
      <c r="V7" s="8">
        <f t="shared" si="5"/>
        <v>9329.0593939380778</v>
      </c>
      <c r="W7" s="8">
        <f t="shared" si="6"/>
        <v>9329.0593939380778</v>
      </c>
      <c r="X7" s="8">
        <f t="shared" si="6"/>
        <v>9329.0593939380778</v>
      </c>
      <c r="Y7" s="8">
        <f t="shared" si="6"/>
        <v>9329.0593939380778</v>
      </c>
      <c r="Z7" s="8">
        <f t="shared" si="6"/>
        <v>9329.0593939380778</v>
      </c>
      <c r="AA7" s="8">
        <f t="shared" si="6"/>
        <v>9329.0593939380778</v>
      </c>
      <c r="AB7" s="8">
        <f t="shared" si="6"/>
        <v>9329.0593939380778</v>
      </c>
      <c r="AC7" s="8"/>
      <c r="AD7" s="8"/>
      <c r="AE7" s="8"/>
      <c r="AF7" s="8"/>
      <c r="AG7" s="8"/>
      <c r="AH7" s="8"/>
    </row>
    <row r="9" spans="1:34">
      <c r="B9" s="8"/>
    </row>
  </sheetData>
  <pageMargins left="0.7" right="0.7" top="0.75" bottom="0.75" header="0.3" footer="0.3"/>
  <pageSetup orientation="portrait" horizontalDpi="1200" verticalDpi="12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H7"/>
  <sheetViews>
    <sheetView workbookViewId="0"/>
  </sheetViews>
  <sheetFormatPr defaultColWidth="9.1328125" defaultRowHeight="14.25"/>
  <cols>
    <col min="1" max="1" width="16.73046875" customWidth="1"/>
    <col min="2" max="2" width="19.265625" bestFit="1" customWidth="1"/>
    <col min="3" max="25" width="9.1328125" customWidth="1"/>
  </cols>
  <sheetData>
    <row r="1" spans="1:34" ht="32.1" customHeight="1">
      <c r="A1" s="5" t="s">
        <v>78</v>
      </c>
      <c r="B1" s="16">
        <v>2024</v>
      </c>
      <c r="C1" s="16">
        <v>2025</v>
      </c>
      <c r="D1" s="16">
        <v>2026</v>
      </c>
      <c r="E1" s="16">
        <v>2027</v>
      </c>
      <c r="F1" s="16">
        <v>2028</v>
      </c>
      <c r="G1" s="16">
        <v>2029</v>
      </c>
      <c r="H1" s="16">
        <v>2030</v>
      </c>
      <c r="I1" s="16">
        <v>2031</v>
      </c>
      <c r="J1" s="16">
        <v>2032</v>
      </c>
      <c r="K1" s="16">
        <v>2033</v>
      </c>
      <c r="L1" s="16">
        <v>2034</v>
      </c>
      <c r="M1" s="16">
        <v>2035</v>
      </c>
      <c r="N1" s="16">
        <v>2036</v>
      </c>
      <c r="O1" s="16">
        <v>2037</v>
      </c>
      <c r="P1" s="16">
        <v>2038</v>
      </c>
      <c r="Q1" s="16">
        <v>2039</v>
      </c>
      <c r="R1" s="16">
        <v>2040</v>
      </c>
      <c r="S1" s="16">
        <v>2041</v>
      </c>
      <c r="T1" s="16">
        <v>2042</v>
      </c>
      <c r="U1" s="16">
        <v>2043</v>
      </c>
      <c r="V1" s="16">
        <v>2044</v>
      </c>
      <c r="W1" s="16">
        <v>2045</v>
      </c>
      <c r="X1" s="16">
        <v>2046</v>
      </c>
      <c r="Y1" s="16">
        <v>2047</v>
      </c>
      <c r="Z1" s="16">
        <v>2048</v>
      </c>
      <c r="AA1" s="16">
        <v>2049</v>
      </c>
      <c r="AB1" s="16">
        <v>2050</v>
      </c>
      <c r="AC1" s="16"/>
      <c r="AD1" s="16"/>
      <c r="AE1" s="16"/>
      <c r="AF1" s="16"/>
      <c r="AG1" s="16"/>
      <c r="AH1" s="16"/>
    </row>
    <row r="2" spans="1:34">
      <c r="A2" t="s">
        <v>38</v>
      </c>
      <c r="B2" s="8">
        <f>'Scale to SEDS'!E75</f>
        <v>10389.541307537951</v>
      </c>
      <c r="C2" s="8">
        <f t="shared" ref="C2:AB2" si="0">B2</f>
        <v>10389.541307537951</v>
      </c>
      <c r="D2" s="8">
        <f t="shared" si="0"/>
        <v>10389.541307537951</v>
      </c>
      <c r="E2" s="8">
        <f t="shared" si="0"/>
        <v>10389.541307537951</v>
      </c>
      <c r="F2" s="8">
        <f t="shared" si="0"/>
        <v>10389.541307537951</v>
      </c>
      <c r="G2" s="8">
        <f t="shared" si="0"/>
        <v>10389.541307537951</v>
      </c>
      <c r="H2" s="8">
        <f t="shared" si="0"/>
        <v>10389.541307537951</v>
      </c>
      <c r="I2" s="8">
        <f t="shared" si="0"/>
        <v>10389.541307537951</v>
      </c>
      <c r="J2" s="8">
        <f t="shared" si="0"/>
        <v>10389.541307537951</v>
      </c>
      <c r="K2" s="8">
        <f t="shared" si="0"/>
        <v>10389.541307537951</v>
      </c>
      <c r="L2" s="8">
        <f t="shared" si="0"/>
        <v>10389.541307537951</v>
      </c>
      <c r="M2" s="8">
        <f t="shared" si="0"/>
        <v>10389.541307537951</v>
      </c>
      <c r="N2" s="8">
        <f t="shared" si="0"/>
        <v>10389.541307537951</v>
      </c>
      <c r="O2" s="8">
        <f t="shared" si="0"/>
        <v>10389.541307537951</v>
      </c>
      <c r="P2" s="8">
        <f t="shared" si="0"/>
        <v>10389.541307537951</v>
      </c>
      <c r="Q2" s="8">
        <f t="shared" si="0"/>
        <v>10389.541307537951</v>
      </c>
      <c r="R2" s="8">
        <f t="shared" si="0"/>
        <v>10389.541307537951</v>
      </c>
      <c r="S2" s="8">
        <f t="shared" si="0"/>
        <v>10389.541307537951</v>
      </c>
      <c r="T2" s="8">
        <f t="shared" si="0"/>
        <v>10389.541307537951</v>
      </c>
      <c r="U2" s="8">
        <f t="shared" si="0"/>
        <v>10389.541307537951</v>
      </c>
      <c r="V2" s="8">
        <f t="shared" si="0"/>
        <v>10389.541307537951</v>
      </c>
      <c r="W2" s="8">
        <f t="shared" si="0"/>
        <v>10389.541307537951</v>
      </c>
      <c r="X2" s="8">
        <f t="shared" si="0"/>
        <v>10389.541307537951</v>
      </c>
      <c r="Y2" s="8">
        <f t="shared" si="0"/>
        <v>10389.541307537951</v>
      </c>
      <c r="Z2" s="8">
        <f t="shared" si="0"/>
        <v>10389.541307537951</v>
      </c>
      <c r="AA2" s="8">
        <f t="shared" si="0"/>
        <v>10389.541307537951</v>
      </c>
      <c r="AB2" s="8">
        <f t="shared" si="0"/>
        <v>10389.541307537951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SEDS'!F76</f>
        <v>33694.322815850697</v>
      </c>
      <c r="C3" s="8">
        <f t="shared" ref="C3:AB3" si="1">B3</f>
        <v>33694.322815850697</v>
      </c>
      <c r="D3" s="8">
        <f t="shared" si="1"/>
        <v>33694.322815850697</v>
      </c>
      <c r="E3" s="8">
        <f t="shared" si="1"/>
        <v>33694.322815850697</v>
      </c>
      <c r="F3" s="8">
        <f t="shared" si="1"/>
        <v>33694.322815850697</v>
      </c>
      <c r="G3" s="8">
        <f t="shared" si="1"/>
        <v>33694.322815850697</v>
      </c>
      <c r="H3" s="8">
        <f t="shared" si="1"/>
        <v>33694.322815850697</v>
      </c>
      <c r="I3" s="8">
        <f t="shared" si="1"/>
        <v>33694.322815850697</v>
      </c>
      <c r="J3" s="8">
        <f t="shared" si="1"/>
        <v>33694.322815850697</v>
      </c>
      <c r="K3" s="8">
        <f t="shared" si="1"/>
        <v>33694.322815850697</v>
      </c>
      <c r="L3" s="8">
        <f t="shared" si="1"/>
        <v>33694.322815850697</v>
      </c>
      <c r="M3" s="8">
        <f t="shared" si="1"/>
        <v>33694.322815850697</v>
      </c>
      <c r="N3" s="8">
        <f t="shared" si="1"/>
        <v>33694.322815850697</v>
      </c>
      <c r="O3" s="8">
        <f t="shared" si="1"/>
        <v>33694.322815850697</v>
      </c>
      <c r="P3" s="8">
        <f t="shared" si="1"/>
        <v>33694.322815850697</v>
      </c>
      <c r="Q3" s="8">
        <f t="shared" si="1"/>
        <v>33694.322815850697</v>
      </c>
      <c r="R3" s="8">
        <f t="shared" si="1"/>
        <v>33694.322815850697</v>
      </c>
      <c r="S3" s="8">
        <f t="shared" si="1"/>
        <v>33694.322815850697</v>
      </c>
      <c r="T3" s="8">
        <f t="shared" si="1"/>
        <v>33694.322815850697</v>
      </c>
      <c r="U3" s="8">
        <f t="shared" si="1"/>
        <v>33694.322815850697</v>
      </c>
      <c r="V3" s="8">
        <f t="shared" si="1"/>
        <v>33694.322815850697</v>
      </c>
      <c r="W3" s="8">
        <f t="shared" si="1"/>
        <v>33694.322815850697</v>
      </c>
      <c r="X3" s="8">
        <f t="shared" si="1"/>
        <v>33694.322815850697</v>
      </c>
      <c r="Y3" s="8">
        <f t="shared" si="1"/>
        <v>33694.322815850697</v>
      </c>
      <c r="Z3" s="8">
        <f t="shared" si="1"/>
        <v>33694.322815850697</v>
      </c>
      <c r="AA3" s="8">
        <f t="shared" si="1"/>
        <v>33694.322815850697</v>
      </c>
      <c r="AB3" s="8">
        <f t="shared" si="1"/>
        <v>33694.322815850697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SEDS'!G77</f>
        <v>1163944.0729270254</v>
      </c>
      <c r="C4" s="8">
        <f t="shared" ref="C4:AB4" si="2">B4</f>
        <v>1163944.0729270254</v>
      </c>
      <c r="D4" s="8">
        <f t="shared" si="2"/>
        <v>1163944.0729270254</v>
      </c>
      <c r="E4" s="8">
        <f t="shared" si="2"/>
        <v>1163944.0729270254</v>
      </c>
      <c r="F4" s="8">
        <f t="shared" si="2"/>
        <v>1163944.0729270254</v>
      </c>
      <c r="G4" s="8">
        <f t="shared" si="2"/>
        <v>1163944.0729270254</v>
      </c>
      <c r="H4" s="8">
        <f t="shared" si="2"/>
        <v>1163944.0729270254</v>
      </c>
      <c r="I4" s="8">
        <f t="shared" si="2"/>
        <v>1163944.0729270254</v>
      </c>
      <c r="J4" s="8">
        <f t="shared" si="2"/>
        <v>1163944.0729270254</v>
      </c>
      <c r="K4" s="8">
        <f t="shared" si="2"/>
        <v>1163944.0729270254</v>
      </c>
      <c r="L4" s="8">
        <f t="shared" si="2"/>
        <v>1163944.0729270254</v>
      </c>
      <c r="M4" s="8">
        <f t="shared" si="2"/>
        <v>1163944.0729270254</v>
      </c>
      <c r="N4" s="8">
        <f t="shared" si="2"/>
        <v>1163944.0729270254</v>
      </c>
      <c r="O4" s="8">
        <f t="shared" si="2"/>
        <v>1163944.0729270254</v>
      </c>
      <c r="P4" s="8">
        <f t="shared" si="2"/>
        <v>1163944.0729270254</v>
      </c>
      <c r="Q4" s="8">
        <f t="shared" si="2"/>
        <v>1163944.0729270254</v>
      </c>
      <c r="R4" s="8">
        <f t="shared" si="2"/>
        <v>1163944.0729270254</v>
      </c>
      <c r="S4" s="8">
        <f t="shared" si="2"/>
        <v>1163944.0729270254</v>
      </c>
      <c r="T4" s="8">
        <f t="shared" si="2"/>
        <v>1163944.0729270254</v>
      </c>
      <c r="U4" s="8">
        <f t="shared" si="2"/>
        <v>1163944.0729270254</v>
      </c>
      <c r="V4" s="8">
        <f t="shared" si="2"/>
        <v>1163944.0729270254</v>
      </c>
      <c r="W4" s="8">
        <f t="shared" si="2"/>
        <v>1163944.0729270254</v>
      </c>
      <c r="X4" s="8">
        <f t="shared" si="2"/>
        <v>1163944.0729270254</v>
      </c>
      <c r="Y4" s="8">
        <f t="shared" si="2"/>
        <v>1163944.0729270254</v>
      </c>
      <c r="Z4" s="8">
        <f t="shared" si="2"/>
        <v>1163944.0729270254</v>
      </c>
      <c r="AA4" s="8">
        <f t="shared" si="2"/>
        <v>1163944.0729270254</v>
      </c>
      <c r="AB4" s="8">
        <f t="shared" si="2"/>
        <v>1163944.0729270254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'Scale to SEDS'!F78</f>
        <v>16279.924974670865</v>
      </c>
      <c r="C5" s="8">
        <f t="shared" ref="C5:AB5" si="3">B5</f>
        <v>16279.924974670865</v>
      </c>
      <c r="D5" s="8">
        <f t="shared" si="3"/>
        <v>16279.924974670865</v>
      </c>
      <c r="E5" s="8">
        <f t="shared" si="3"/>
        <v>16279.924974670865</v>
      </c>
      <c r="F5" s="8">
        <f t="shared" si="3"/>
        <v>16279.924974670865</v>
      </c>
      <c r="G5" s="8">
        <f t="shared" si="3"/>
        <v>16279.924974670865</v>
      </c>
      <c r="H5" s="8">
        <f t="shared" si="3"/>
        <v>16279.924974670865</v>
      </c>
      <c r="I5" s="8">
        <f t="shared" si="3"/>
        <v>16279.924974670865</v>
      </c>
      <c r="J5" s="8">
        <f t="shared" si="3"/>
        <v>16279.924974670865</v>
      </c>
      <c r="K5" s="8">
        <f t="shared" si="3"/>
        <v>16279.924974670865</v>
      </c>
      <c r="L5" s="8">
        <f t="shared" si="3"/>
        <v>16279.924974670865</v>
      </c>
      <c r="M5" s="8">
        <f t="shared" si="3"/>
        <v>16279.924974670865</v>
      </c>
      <c r="N5" s="8">
        <f t="shared" si="3"/>
        <v>16279.924974670865</v>
      </c>
      <c r="O5" s="8">
        <f t="shared" si="3"/>
        <v>16279.924974670865</v>
      </c>
      <c r="P5" s="8">
        <f t="shared" si="3"/>
        <v>16279.924974670865</v>
      </c>
      <c r="Q5" s="8">
        <f t="shared" si="3"/>
        <v>16279.924974670865</v>
      </c>
      <c r="R5" s="8">
        <f t="shared" si="3"/>
        <v>16279.924974670865</v>
      </c>
      <c r="S5" s="8">
        <f t="shared" si="3"/>
        <v>16279.924974670865</v>
      </c>
      <c r="T5" s="8">
        <f t="shared" si="3"/>
        <v>16279.924974670865</v>
      </c>
      <c r="U5" s="8">
        <f t="shared" si="3"/>
        <v>16279.924974670865</v>
      </c>
      <c r="V5" s="8">
        <f t="shared" si="3"/>
        <v>16279.924974670865</v>
      </c>
      <c r="W5" s="8">
        <f t="shared" si="3"/>
        <v>16279.924974670865</v>
      </c>
      <c r="X5" s="8">
        <f t="shared" si="3"/>
        <v>16279.924974670865</v>
      </c>
      <c r="Y5" s="8">
        <f t="shared" si="3"/>
        <v>16279.924974670865</v>
      </c>
      <c r="Z5" s="8">
        <f t="shared" si="3"/>
        <v>16279.924974670865</v>
      </c>
      <c r="AA5" s="8">
        <f t="shared" si="3"/>
        <v>16279.924974670865</v>
      </c>
      <c r="AB5" s="8">
        <f t="shared" si="3"/>
        <v>16279.924974670865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SEDS'!F79</f>
        <v>5220699.1699477062</v>
      </c>
      <c r="C6" s="8">
        <f t="shared" ref="C6:AB6" si="4">B6</f>
        <v>5220699.1699477062</v>
      </c>
      <c r="D6" s="8">
        <f t="shared" si="4"/>
        <v>5220699.1699477062</v>
      </c>
      <c r="E6" s="8">
        <f t="shared" si="4"/>
        <v>5220699.1699477062</v>
      </c>
      <c r="F6" s="8">
        <f t="shared" si="4"/>
        <v>5220699.1699477062</v>
      </c>
      <c r="G6" s="8">
        <f t="shared" si="4"/>
        <v>5220699.1699477062</v>
      </c>
      <c r="H6" s="8">
        <f t="shared" si="4"/>
        <v>5220699.1699477062</v>
      </c>
      <c r="I6" s="8">
        <f t="shared" si="4"/>
        <v>5220699.1699477062</v>
      </c>
      <c r="J6" s="8">
        <f t="shared" si="4"/>
        <v>5220699.1699477062</v>
      </c>
      <c r="K6" s="8">
        <f t="shared" si="4"/>
        <v>5220699.1699477062</v>
      </c>
      <c r="L6" s="8">
        <f t="shared" si="4"/>
        <v>5220699.1699477062</v>
      </c>
      <c r="M6" s="8">
        <f t="shared" si="4"/>
        <v>5220699.1699477062</v>
      </c>
      <c r="N6" s="8">
        <f t="shared" si="4"/>
        <v>5220699.1699477062</v>
      </c>
      <c r="O6" s="8">
        <f t="shared" si="4"/>
        <v>5220699.1699477062</v>
      </c>
      <c r="P6" s="8">
        <f t="shared" si="4"/>
        <v>5220699.1699477062</v>
      </c>
      <c r="Q6" s="8">
        <f t="shared" si="4"/>
        <v>5220699.1699477062</v>
      </c>
      <c r="R6" s="8">
        <f t="shared" si="4"/>
        <v>5220699.1699477062</v>
      </c>
      <c r="S6" s="8">
        <f t="shared" si="4"/>
        <v>5220699.1699477062</v>
      </c>
      <c r="T6" s="8">
        <f t="shared" si="4"/>
        <v>5220699.1699477062</v>
      </c>
      <c r="U6" s="8">
        <f t="shared" si="4"/>
        <v>5220699.1699477062</v>
      </c>
      <c r="V6" s="8">
        <f t="shared" si="4"/>
        <v>5220699.1699477062</v>
      </c>
      <c r="W6" s="8">
        <f t="shared" si="4"/>
        <v>5220699.1699477062</v>
      </c>
      <c r="X6" s="8">
        <f t="shared" si="4"/>
        <v>5220699.1699477062</v>
      </c>
      <c r="Y6" s="8">
        <f t="shared" si="4"/>
        <v>5220699.1699477062</v>
      </c>
      <c r="Z6" s="8">
        <f t="shared" si="4"/>
        <v>5220699.1699477062</v>
      </c>
      <c r="AA6" s="8">
        <f t="shared" si="4"/>
        <v>5220699.1699477062</v>
      </c>
      <c r="AB6" s="8">
        <f t="shared" si="4"/>
        <v>5220699.1699477062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v>0</v>
      </c>
      <c r="C7" s="8">
        <f t="shared" ref="C7:AB7" si="5">B7</f>
        <v>0</v>
      </c>
      <c r="D7" s="8">
        <f t="shared" si="5"/>
        <v>0</v>
      </c>
      <c r="E7" s="8">
        <f t="shared" si="5"/>
        <v>0</v>
      </c>
      <c r="F7" s="8">
        <f t="shared" si="5"/>
        <v>0</v>
      </c>
      <c r="G7" s="8">
        <f t="shared" si="5"/>
        <v>0</v>
      </c>
      <c r="H7" s="8">
        <f t="shared" si="5"/>
        <v>0</v>
      </c>
      <c r="I7" s="8">
        <f t="shared" si="5"/>
        <v>0</v>
      </c>
      <c r="J7" s="8">
        <f t="shared" si="5"/>
        <v>0</v>
      </c>
      <c r="K7" s="8">
        <f t="shared" si="5"/>
        <v>0</v>
      </c>
      <c r="L7" s="8">
        <f t="shared" si="5"/>
        <v>0</v>
      </c>
      <c r="M7" s="8">
        <f t="shared" si="5"/>
        <v>0</v>
      </c>
      <c r="N7" s="8">
        <f t="shared" si="5"/>
        <v>0</v>
      </c>
      <c r="O7" s="8">
        <f t="shared" si="5"/>
        <v>0</v>
      </c>
      <c r="P7" s="8">
        <f t="shared" si="5"/>
        <v>0</v>
      </c>
      <c r="Q7" s="8">
        <f t="shared" si="5"/>
        <v>0</v>
      </c>
      <c r="R7" s="8">
        <f t="shared" si="5"/>
        <v>0</v>
      </c>
      <c r="S7" s="8">
        <f t="shared" si="5"/>
        <v>0</v>
      </c>
      <c r="T7" s="8">
        <f t="shared" si="5"/>
        <v>0</v>
      </c>
      <c r="U7" s="8">
        <f t="shared" si="5"/>
        <v>0</v>
      </c>
      <c r="V7" s="8">
        <f t="shared" si="5"/>
        <v>0</v>
      </c>
      <c r="W7" s="8">
        <f t="shared" si="5"/>
        <v>0</v>
      </c>
      <c r="X7" s="8">
        <f t="shared" si="5"/>
        <v>0</v>
      </c>
      <c r="Y7" s="8">
        <f t="shared" si="5"/>
        <v>0</v>
      </c>
      <c r="Z7" s="8">
        <f t="shared" si="5"/>
        <v>0</v>
      </c>
      <c r="AA7" s="8">
        <f t="shared" si="5"/>
        <v>0</v>
      </c>
      <c r="AB7" s="8">
        <f t="shared" si="5"/>
        <v>0</v>
      </c>
      <c r="AC7" s="8"/>
      <c r="AD7" s="8"/>
      <c r="AE7" s="8"/>
      <c r="AF7" s="8"/>
      <c r="AG7" s="8"/>
      <c r="AH7" s="8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About</vt:lpstr>
      <vt:lpstr>all_csv_SYVbT-passenger</vt:lpstr>
      <vt:lpstr>all_csv_SYVbT-freight</vt:lpstr>
      <vt:lpstr>all_csv_AVLo-passengers</vt:lpstr>
      <vt:lpstr>all_csv_AVLo-freight</vt:lpstr>
      <vt:lpstr>all_csv_SYFAFE-psgr</vt:lpstr>
      <vt:lpstr>all_csv_SYFAFE-frgt</vt:lpstr>
      <vt:lpstr>Codes_and_Descriptions</vt:lpstr>
      <vt:lpstr>SEDS_use_all_btu</vt:lpstr>
      <vt:lpstr>BAADTBVT-USA</vt:lpstr>
      <vt:lpstr>BPoEFUbVT-ships-frgt-dslveh</vt:lpstr>
      <vt:lpstr>Scale to SEDS</vt:lpstr>
      <vt:lpstr>Annual Service Data_rail only</vt:lpstr>
      <vt:lpstr>Fuel and Energy_rail only</vt:lpstr>
      <vt:lpstr>psgr rail calcs</vt:lpstr>
      <vt:lpstr>SYAADTbVT-passengers</vt:lpstr>
      <vt:lpstr>SYAADTbVT-freight</vt:lpstr>
      <vt:lpstr>BAADTbVT-passengers</vt:lpstr>
      <vt:lpstr>BAADTbVT-freight</vt:lpstr>
      <vt:lpstr>billion</vt:lpstr>
      <vt:lpstr>Codes_and_Descriptions!Print_Area</vt:lpstr>
      <vt:lpstr>Codes_and_Descriptions!Print_Titles</vt:lpstr>
      <vt:lpstr>thousand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2015-03-31T22:53:51Z</dcterms:created>
  <dcterms:modified xsi:type="dcterms:W3CDTF">2026-08-11T22:28:07Z</dcterms:modified>
</cp:coreProperties>
</file>