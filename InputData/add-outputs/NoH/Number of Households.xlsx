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GA\add-outputs\NoH\"/>
    </mc:Choice>
  </mc:AlternateContent>
  <xr:revisionPtr revIDLastSave="0" documentId="8_{C32034A1-4E26-48D5-BADB-64E56270EE2E}"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K2" i="3"/>
  <c r="M2" i="3"/>
  <c r="D2" i="3"/>
  <c r="Z2" i="3"/>
  <c r="S2" i="3"/>
  <c r="U2" i="3"/>
  <c r="X2" i="3"/>
  <c r="E2" i="3"/>
  <c r="AA2" i="3"/>
  <c r="L2" i="3"/>
  <c r="W2" i="3"/>
  <c r="F2" i="3"/>
  <c r="AB2" i="3"/>
  <c r="B2" i="3"/>
  <c r="T2" i="3"/>
  <c r="V2" i="3"/>
  <c r="G2" i="3"/>
  <c r="AC2" i="3"/>
  <c r="H2" i="3"/>
  <c r="AD2" i="3"/>
  <c r="I2" i="3"/>
  <c r="AE2" i="3"/>
  <c r="J2" i="3"/>
  <c r="N2" i="3"/>
  <c r="O2" i="3"/>
  <c r="P2" i="3"/>
  <c r="Q2" i="3"/>
  <c r="R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<sst xmlns="http://schemas.openxmlformats.org/spreadsheetml/2006/main" count="1069" uniqueCount="448">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</sst>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344</v>
      </c>
      <c r="C1" s="68">
        <v>46185</v>
      </c>
      <c r="H1" t="s">
        <v>324</v>
      </c>
      <c r="I1" t="s">
        <v>325</v>
      </c>
    </row>
    <row r="2" spans="1:9" x14ac:dyDescent="0.25">
      <c r="B2" t="str">
        <f>VLOOKUP(B1,H2:I52,2)</f>
        <v>GA</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3918379.1303975591</v>
      </c>
      <c r="C2">
        <f>SUMIFS('state calcs'!C62:C112,'state calcs'!$A$62:$A$112,About!$B$2)</f>
        <v>3988264.2171617737</v>
      </c>
      <c r="D2">
        <f>SUMIFS('state calcs'!D62:D112,'state calcs'!$A$62:$A$112,About!$B$2)</f>
        <v>4034692.6067798003</v>
      </c>
      <c r="E2">
        <f>SUMIFS('state calcs'!E62:E112,'state calcs'!$A$62:$A$112,About!$B$2)</f>
        <v>4081257.2528069383</v>
      </c>
      <c r="F2">
        <f>SUMIFS('state calcs'!F62:F112,'state calcs'!$A$62:$A$112,About!$B$2)</f>
        <v>4128744.1832081457</v>
      </c>
      <c r="G2">
        <f>SUMIFS('state calcs'!G62:G112,'state calcs'!$A$62:$A$112,About!$B$2)</f>
        <v>4176194.0388482157</v>
      </c>
      <c r="H2">
        <f>SUMIFS('state calcs'!H62:H112,'state calcs'!$A$62:$A$112,About!$B$2)</f>
        <v>4223904.1507014846</v>
      </c>
      <c r="I2">
        <f>SUMIFS('state calcs'!I62:I112,'state calcs'!$A$62:$A$112,About!$B$2)</f>
        <v>4271952.600056272</v>
      </c>
      <c r="J2">
        <f>SUMIFS('state calcs'!J62:J112,'state calcs'!$A$62:$A$112,About!$B$2)</f>
        <v>4319769.4650643617</v>
      </c>
      <c r="K2">
        <f>SUMIFS('state calcs'!K62:K112,'state calcs'!$A$62:$A$112,About!$B$2)</f>
        <v>4366657.4599622106</v>
      </c>
      <c r="L2">
        <f>SUMIFS('state calcs'!L62:L112,'state calcs'!$A$62:$A$112,About!$B$2)</f>
        <v>4416458.6024407111</v>
      </c>
      <c r="M2">
        <f>SUMIFS('state calcs'!M62:M112,'state calcs'!$A$62:$A$112,About!$B$2)</f>
        <v>4466105.667617186</v>
      </c>
      <c r="N2">
        <f>SUMIFS('state calcs'!N62:N112,'state calcs'!$A$62:$A$112,About!$B$2)</f>
        <v>4515060.3220930947</v>
      </c>
      <c r="O2">
        <f>SUMIFS('state calcs'!O62:O112,'state calcs'!$A$62:$A$112,About!$B$2)</f>
        <v>4562983.3280722117</v>
      </c>
      <c r="P2">
        <f>SUMIFS('state calcs'!P62:P112,'state calcs'!$A$62:$A$112,About!$B$2)</f>
        <v>4610524.5924457246</v>
      </c>
      <c r="Q2">
        <f>SUMIFS('state calcs'!Q62:Q112,'state calcs'!$A$62:$A$112,About!$B$2)</f>
        <v>4658216.33510534</v>
      </c>
      <c r="R2">
        <f>SUMIFS('state calcs'!R62:R112,'state calcs'!$A$62:$A$112,About!$B$2)</f>
        <v>4705780.6022874173</v>
      </c>
      <c r="S2">
        <f>SUMIFS('state calcs'!S62:S112,'state calcs'!$A$62:$A$112,About!$B$2)</f>
        <v>4753293.0741139371</v>
      </c>
      <c r="T2">
        <f>SUMIFS('state calcs'!T62:T112,'state calcs'!$A$62:$A$112,About!$B$2)</f>
        <v>4800642.7885337863</v>
      </c>
      <c r="U2">
        <f>SUMIFS('state calcs'!U62:U112,'state calcs'!$A$62:$A$112,About!$B$2)</f>
        <v>4848482.5125616277</v>
      </c>
      <c r="V2">
        <f>SUMIFS('state calcs'!V62:V112,'state calcs'!$A$62:$A$112,About!$B$2)</f>
        <v>4896423.5280732661</v>
      </c>
      <c r="W2">
        <f>SUMIFS('state calcs'!W62:W112,'state calcs'!$A$62:$A$112,About!$B$2)</f>
        <v>4943943.3601022596</v>
      </c>
      <c r="X2">
        <f>SUMIFS('state calcs'!X62:X112,'state calcs'!$A$62:$A$112,About!$B$2)</f>
        <v>4991304.4409301654</v>
      </c>
      <c r="Y2">
        <f>SUMIFS('state calcs'!Y62:Y112,'state calcs'!$A$62:$A$112,About!$B$2)</f>
        <v>5038529.7324803676</v>
      </c>
      <c r="Z2">
        <f>SUMIFS('state calcs'!Z62:Z112,'state calcs'!$A$62:$A$112,About!$B$2)</f>
        <v>5085652.8100625155</v>
      </c>
      <c r="AA2">
        <f>SUMIFS('state calcs'!AA62:AA112,'state calcs'!$A$62:$A$112,About!$B$2)</f>
        <v>5132543.3155856542</v>
      </c>
      <c r="AB2">
        <f>SUMIFS('state calcs'!AB62:AB112,'state calcs'!$A$62:$A$112,About!$B$2)</f>
        <v>5179415.2048949897</v>
      </c>
      <c r="AC2">
        <f>SUMIFS('state calcs'!AC62:AC112,'state calcs'!$A$62:$A$112,About!$B$2)</f>
        <v>5226023.5319861863</v>
      </c>
      <c r="AD2">
        <f>SUMIFS('state calcs'!AD62:AD112,'state calcs'!$A$62:$A$112,About!$B$2)</f>
        <v>5272328.927844299</v>
      </c>
      <c r="AE2">
        <f>SUMIFS('state calcs'!AE62:AE112,'state calcs'!$A$62:$A$112,About!$B$2)</f>
        <v>5318431.8493526923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2026-06-12T19:28:19Z</dcterms:modified>
</cp:coreProperties>
</file>