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GA\add-outputs\HOIpTP\"/>
    </mc:Choice>
  </mc:AlternateContent>
  <xr:revisionPtr revIDLastSave="0" documentId="8_{62436F11-2D58-4451-8F79-3E0183F0DCF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F8" i="19"/>
  <c r="B8" i="19"/>
  <c r="L8" i="19" s="1"/>
  <c r="U7" i="19"/>
  <c r="B7" i="19"/>
  <c r="AA7" i="19" s="1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Z3" i="19"/>
  <c r="B3" i="19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R17" i="18"/>
  <c r="Q17" i="18"/>
  <c r="N17" i="18"/>
  <c r="M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Q15" i="18"/>
  <c r="B15" i="18"/>
  <c r="D15" i="18" s="1"/>
  <c r="AA14" i="18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V8" i="18"/>
  <c r="U8" i="18"/>
  <c r="R8" i="18"/>
  <c r="Q8" i="18"/>
  <c r="F8" i="18"/>
  <c r="B8" i="18"/>
  <c r="AA8" i="18" s="1"/>
  <c r="D7" i="18"/>
  <c r="C7" i="18"/>
  <c r="B7" i="18"/>
  <c r="AB7" i="18" s="1"/>
  <c r="AA6" i="18"/>
  <c r="X6" i="18"/>
  <c r="P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B3" i="18"/>
  <c r="Z2" i="18"/>
  <c r="Y2" i="18"/>
  <c r="V2" i="18"/>
  <c r="U2" i="18"/>
  <c r="P2" i="18"/>
  <c r="K2" i="18"/>
  <c r="D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AA17" i="17"/>
  <c r="Y17" i="17"/>
  <c r="X17" i="17"/>
  <c r="R17" i="17"/>
  <c r="E17" i="17"/>
  <c r="B17" i="17"/>
  <c r="Z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T12" i="17"/>
  <c r="S12" i="17"/>
  <c r="P12" i="17"/>
  <c r="O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F8" i="17"/>
  <c r="D8" i="17"/>
  <c r="C8" i="17"/>
  <c r="B8" i="17"/>
  <c r="AB8" i="17" s="1"/>
  <c r="Y7" i="17"/>
  <c r="T7" i="17"/>
  <c r="S7" i="17"/>
  <c r="B7" i="17"/>
  <c r="Q6" i="17"/>
  <c r="G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R17" i="16"/>
  <c r="B17" i="16"/>
  <c r="B16" i="16"/>
  <c r="AA15" i="16"/>
  <c r="X15" i="16"/>
  <c r="B15" i="16"/>
  <c r="Y15" i="16" s="1"/>
  <c r="G14" i="16"/>
  <c r="F14" i="16"/>
  <c r="B14" i="16"/>
  <c r="AB14" i="16" s="1"/>
  <c r="X13" i="16"/>
  <c r="W13" i="16"/>
  <c r="D13" i="16"/>
  <c r="B13" i="16"/>
  <c r="J13" i="16" s="1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V7" i="16"/>
  <c r="T7" i="16"/>
  <c r="S7" i="16"/>
  <c r="R7" i="16"/>
  <c r="O7" i="16"/>
  <c r="L7" i="16"/>
  <c r="H7" i="16"/>
  <c r="G7" i="16"/>
  <c r="D7" i="16"/>
  <c r="C7" i="16"/>
  <c r="B7" i="16"/>
  <c r="Z7" i="16" s="1"/>
  <c r="W6" i="16"/>
  <c r="Q6" i="16"/>
  <c r="M6" i="16"/>
  <c r="L6" i="16"/>
  <c r="J6" i="16"/>
  <c r="H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G15" i="15"/>
  <c r="B15" i="15"/>
  <c r="AB14" i="15"/>
  <c r="O14" i="15"/>
  <c r="N14" i="15"/>
  <c r="M14" i="15"/>
  <c r="D14" i="15"/>
  <c r="B14" i="15"/>
  <c r="E14" i="15" s="1"/>
  <c r="W13" i="15"/>
  <c r="R13" i="15"/>
  <c r="H13" i="15"/>
  <c r="D13" i="15"/>
  <c r="B13" i="15"/>
  <c r="AB13" i="15" s="1"/>
  <c r="W12" i="15"/>
  <c r="S12" i="15"/>
  <c r="Q12" i="15"/>
  <c r="O12" i="15"/>
  <c r="N12" i="15"/>
  <c r="M12" i="15"/>
  <c r="B12" i="15"/>
  <c r="X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K8" i="15"/>
  <c r="G8" i="15"/>
  <c r="D8" i="15"/>
  <c r="C8" i="15"/>
  <c r="B8" i="15"/>
  <c r="AB7" i="15"/>
  <c r="AA7" i="15"/>
  <c r="Y7" i="15"/>
  <c r="V7" i="15"/>
  <c r="S7" i="15"/>
  <c r="K7" i="15"/>
  <c r="J7" i="15"/>
  <c r="I7" i="15"/>
  <c r="H7" i="15"/>
  <c r="E7" i="15"/>
  <c r="D7" i="15"/>
  <c r="B7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Z3" i="15"/>
  <c r="W3" i="15"/>
  <c r="U3" i="15"/>
  <c r="Q3" i="15"/>
  <c r="N3" i="15"/>
  <c r="M3" i="15"/>
  <c r="L3" i="15"/>
  <c r="K3" i="15"/>
  <c r="J3" i="15"/>
  <c r="I3" i="15"/>
  <c r="G3" i="15"/>
  <c r="C3" i="15"/>
  <c r="B3" i="15"/>
  <c r="AA2" i="15"/>
  <c r="Y2" i="15"/>
  <c r="S2" i="15"/>
  <c r="R2" i="15"/>
  <c r="N2" i="15"/>
  <c r="M2" i="15"/>
  <c r="L2" i="15"/>
  <c r="K2" i="15"/>
  <c r="J2" i="15"/>
  <c r="I2" i="15"/>
  <c r="H2" i="15"/>
  <c r="G2" i="15"/>
  <c r="F2" i="15"/>
  <c r="E2" i="15"/>
  <c r="D2" i="15"/>
  <c r="B2" i="15"/>
  <c r="P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Z15" i="14"/>
  <c r="Y15" i="14"/>
  <c r="U15" i="14"/>
  <c r="T15" i="14"/>
  <c r="R15" i="14"/>
  <c r="Q15" i="14"/>
  <c r="P15" i="14"/>
  <c r="O15" i="14"/>
  <c r="N15" i="14"/>
  <c r="M15" i="14"/>
  <c r="K15" i="14"/>
  <c r="I15" i="14"/>
  <c r="B15" i="14"/>
  <c r="W15" i="14" s="1"/>
  <c r="B14" i="14"/>
  <c r="Y14" i="14" s="1"/>
  <c r="Q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X7" i="14"/>
  <c r="B7" i="14"/>
  <c r="S7" i="14" s="1"/>
  <c r="H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Z3" i="14"/>
  <c r="W3" i="14"/>
  <c r="V3" i="14"/>
  <c r="P3" i="14"/>
  <c r="N3" i="14"/>
  <c r="M3" i="14"/>
  <c r="L3" i="14"/>
  <c r="K3" i="14"/>
  <c r="J3" i="14"/>
  <c r="I3" i="14"/>
  <c r="G3" i="14"/>
  <c r="F3" i="14"/>
  <c r="E3" i="14"/>
  <c r="D3" i="14"/>
  <c r="B3" i="14"/>
  <c r="T3" i="14" s="1"/>
  <c r="L2" i="14"/>
  <c r="E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AB15" i="13"/>
  <c r="AA15" i="13"/>
  <c r="Z15" i="13"/>
  <c r="Y15" i="13"/>
  <c r="V15" i="13"/>
  <c r="S15" i="13"/>
  <c r="P15" i="13"/>
  <c r="O15" i="13"/>
  <c r="M15" i="13"/>
  <c r="L15" i="13"/>
  <c r="I15" i="13"/>
  <c r="H15" i="13"/>
  <c r="G15" i="13"/>
  <c r="F15" i="13"/>
  <c r="E15" i="13"/>
  <c r="D15" i="13"/>
  <c r="B15" i="13"/>
  <c r="AA14" i="13"/>
  <c r="W14" i="13"/>
  <c r="T14" i="13"/>
  <c r="Q14" i="13"/>
  <c r="P14" i="13"/>
  <c r="N14" i="13"/>
  <c r="M14" i="13"/>
  <c r="L14" i="13"/>
  <c r="K14" i="13"/>
  <c r="J14" i="13"/>
  <c r="H14" i="13"/>
  <c r="F14" i="13"/>
  <c r="B14" i="13"/>
  <c r="B13" i="13"/>
  <c r="T13" i="13" s="1"/>
  <c r="X12" i="13"/>
  <c r="W12" i="13"/>
  <c r="V12" i="13"/>
  <c r="U12" i="13"/>
  <c r="T12" i="13"/>
  <c r="S12" i="13"/>
  <c r="I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X7" i="13"/>
  <c r="W7" i="13"/>
  <c r="U7" i="13"/>
  <c r="S7" i="13"/>
  <c r="R7" i="13"/>
  <c r="N7" i="13"/>
  <c r="M7" i="13"/>
  <c r="L7" i="13"/>
  <c r="I7" i="13"/>
  <c r="H7" i="13"/>
  <c r="G7" i="13"/>
  <c r="F7" i="13"/>
  <c r="E7" i="13"/>
  <c r="C7" i="13"/>
  <c r="B7" i="13"/>
  <c r="Y7" i="13" s="1"/>
  <c r="AA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W3" i="13"/>
  <c r="N3" i="13"/>
  <c r="M3" i="13"/>
  <c r="K3" i="13"/>
  <c r="J3" i="13"/>
  <c r="B3" i="13"/>
  <c r="C3" i="13" s="1"/>
  <c r="AB2" i="13"/>
  <c r="Z2" i="13"/>
  <c r="Y2" i="13"/>
  <c r="R2" i="13"/>
  <c r="P2" i="13"/>
  <c r="M2" i="13"/>
  <c r="L2" i="13"/>
  <c r="I2" i="13"/>
  <c r="H2" i="13"/>
  <c r="G2" i="13"/>
  <c r="F2" i="13"/>
  <c r="E2" i="13"/>
  <c r="D2" i="13"/>
  <c r="C2" i="13"/>
  <c r="B2" i="13"/>
  <c r="X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T17" i="12" s="1"/>
  <c r="AB16" i="12"/>
  <c r="AA16" i="12"/>
  <c r="Z16" i="12"/>
  <c r="J16" i="12"/>
  <c r="C16" i="12"/>
  <c r="B16" i="12"/>
  <c r="Y15" i="12"/>
  <c r="V15" i="12"/>
  <c r="S15" i="12"/>
  <c r="R15" i="12"/>
  <c r="Q15" i="12"/>
  <c r="P15" i="12"/>
  <c r="O15" i="12"/>
  <c r="N15" i="12"/>
  <c r="M15" i="12"/>
  <c r="L15" i="12"/>
  <c r="B15" i="12"/>
  <c r="G15" i="12" s="1"/>
  <c r="X14" i="12"/>
  <c r="W14" i="12"/>
  <c r="Q14" i="12"/>
  <c r="B14" i="12"/>
  <c r="B13" i="12"/>
  <c r="AB12" i="12"/>
  <c r="AA12" i="12"/>
  <c r="Z12" i="12"/>
  <c r="B12" i="12"/>
  <c r="C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W8" i="12"/>
  <c r="S8" i="12"/>
  <c r="R8" i="12"/>
  <c r="J8" i="12"/>
  <c r="I8" i="12"/>
  <c r="H8" i="12"/>
  <c r="G8" i="12"/>
  <c r="F8" i="12"/>
  <c r="D8" i="12"/>
  <c r="B8" i="12"/>
  <c r="AB7" i="12"/>
  <c r="AA7" i="12"/>
  <c r="Z7" i="12"/>
  <c r="X7" i="12"/>
  <c r="V7" i="12"/>
  <c r="K7" i="12"/>
  <c r="J7" i="12"/>
  <c r="G7" i="12"/>
  <c r="F7" i="12"/>
  <c r="E7" i="12"/>
  <c r="D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B17" i="11"/>
  <c r="AB16" i="11"/>
  <c r="Y16" i="11"/>
  <c r="W16" i="11"/>
  <c r="V16" i="11"/>
  <c r="D16" i="11"/>
  <c r="B16" i="11"/>
  <c r="AA16" i="11" s="1"/>
  <c r="B15" i="11"/>
  <c r="W15" i="11" s="1"/>
  <c r="B14" i="11"/>
  <c r="AB13" i="11"/>
  <c r="AA13" i="11"/>
  <c r="Z13" i="11"/>
  <c r="Y13" i="11"/>
  <c r="X13" i="11"/>
  <c r="V13" i="11"/>
  <c r="U13" i="11"/>
  <c r="R13" i="11"/>
  <c r="M13" i="11"/>
  <c r="K13" i="11"/>
  <c r="B13" i="11"/>
  <c r="Q13" i="11" s="1"/>
  <c r="U12" i="11"/>
  <c r="P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S8" i="11"/>
  <c r="B8" i="11"/>
  <c r="AB7" i="11"/>
  <c r="Z7" i="11"/>
  <c r="R7" i="11"/>
  <c r="P7" i="11"/>
  <c r="O7" i="11"/>
  <c r="N7" i="11"/>
  <c r="G7" i="11"/>
  <c r="E7" i="11"/>
  <c r="B7" i="11"/>
  <c r="X6" i="11"/>
  <c r="T6" i="11"/>
  <c r="Q6" i="11"/>
  <c r="O6" i="11"/>
  <c r="L6" i="11"/>
  <c r="K6" i="11"/>
  <c r="J6" i="11"/>
  <c r="I6" i="11"/>
  <c r="H6" i="11"/>
  <c r="G6" i="11"/>
  <c r="E6" i="11"/>
  <c r="C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I3" i="11"/>
  <c r="H3" i="11"/>
  <c r="E3" i="11"/>
  <c r="D3" i="11"/>
  <c r="B3" i="11"/>
  <c r="Q2" i="11"/>
  <c r="B2" i="11"/>
  <c r="N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R15" i="10"/>
  <c r="K15" i="10"/>
  <c r="H15" i="10"/>
  <c r="B15" i="10"/>
  <c r="AB14" i="10"/>
  <c r="Z14" i="10"/>
  <c r="Y14" i="10"/>
  <c r="W14" i="10"/>
  <c r="S14" i="10"/>
  <c r="H14" i="10"/>
  <c r="B14" i="10"/>
  <c r="M13" i="10"/>
  <c r="H13" i="10"/>
  <c r="F13" i="10"/>
  <c r="B13" i="10"/>
  <c r="AA13" i="10" s="1"/>
  <c r="AA12" i="10"/>
  <c r="G12" i="10"/>
  <c r="B12" i="10"/>
  <c r="AB12" i="10" s="1"/>
  <c r="C11" i="10"/>
  <c r="B11" i="10"/>
  <c r="B10" i="10"/>
  <c r="B9" i="10"/>
  <c r="AB8" i="10"/>
  <c r="I8" i="10"/>
  <c r="B8" i="10"/>
  <c r="B7" i="10"/>
  <c r="X7" i="10" s="1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J2" i="10"/>
  <c r="H2" i="10"/>
  <c r="B2" i="10"/>
  <c r="C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W17" i="9"/>
  <c r="U17" i="9"/>
  <c r="T17" i="9"/>
  <c r="S17" i="9"/>
  <c r="R17" i="9"/>
  <c r="Q17" i="9"/>
  <c r="P17" i="9"/>
  <c r="O17" i="9"/>
  <c r="M17" i="9"/>
  <c r="K17" i="9"/>
  <c r="J17" i="9"/>
  <c r="G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Z15" i="9" s="1"/>
  <c r="AB14" i="9"/>
  <c r="V14" i="9"/>
  <c r="U14" i="9"/>
  <c r="S14" i="9"/>
  <c r="R14" i="9"/>
  <c r="Q14" i="9"/>
  <c r="P14" i="9"/>
  <c r="O14" i="9"/>
  <c r="N14" i="9"/>
  <c r="M14" i="9"/>
  <c r="L14" i="9"/>
  <c r="B14" i="9"/>
  <c r="AA14" i="9" s="1"/>
  <c r="Y13" i="9"/>
  <c r="X13" i="9"/>
  <c r="S13" i="9"/>
  <c r="M13" i="9"/>
  <c r="C13" i="9"/>
  <c r="B13" i="9"/>
  <c r="J12" i="9"/>
  <c r="H12" i="9"/>
  <c r="E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B8" i="9"/>
  <c r="AB7" i="9"/>
  <c r="AA7" i="9"/>
  <c r="X7" i="9"/>
  <c r="V7" i="9"/>
  <c r="N7" i="9"/>
  <c r="M7" i="9"/>
  <c r="L7" i="9"/>
  <c r="G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O3" i="9"/>
  <c r="K3" i="9"/>
  <c r="F3" i="9"/>
  <c r="C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Y15" i="8"/>
  <c r="U15" i="8"/>
  <c r="P15" i="8"/>
  <c r="N15" i="8"/>
  <c r="M15" i="8"/>
  <c r="F15" i="8"/>
  <c r="E15" i="8"/>
  <c r="B15" i="8"/>
  <c r="Z14" i="8"/>
  <c r="Y14" i="8"/>
  <c r="U14" i="8"/>
  <c r="T14" i="8"/>
  <c r="S14" i="8"/>
  <c r="R14" i="8"/>
  <c r="P14" i="8"/>
  <c r="O14" i="8"/>
  <c r="N14" i="8"/>
  <c r="G14" i="8"/>
  <c r="F14" i="8"/>
  <c r="E14" i="8"/>
  <c r="B14" i="8"/>
  <c r="V14" i="8" s="1"/>
  <c r="B13" i="8"/>
  <c r="AB13" i="8" s="1"/>
  <c r="AA12" i="8"/>
  <c r="Z12" i="8"/>
  <c r="Y12" i="8"/>
  <c r="W12" i="8"/>
  <c r="V12" i="8"/>
  <c r="U12" i="8"/>
  <c r="C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T8" i="8"/>
  <c r="B8" i="8"/>
  <c r="T7" i="8"/>
  <c r="J7" i="8"/>
  <c r="B7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E3" i="8"/>
  <c r="D3" i="8"/>
  <c r="B3" i="8"/>
  <c r="AA2" i="8"/>
  <c r="Z2" i="8"/>
  <c r="W2" i="8"/>
  <c r="P2" i="8"/>
  <c r="H2" i="8"/>
  <c r="D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S17" i="7"/>
  <c r="Q17" i="7"/>
  <c r="M17" i="7"/>
  <c r="J17" i="7"/>
  <c r="I17" i="7"/>
  <c r="G17" i="7"/>
  <c r="F17" i="7"/>
  <c r="E17" i="7"/>
  <c r="B17" i="7"/>
  <c r="C17" i="7" s="1"/>
  <c r="N16" i="7"/>
  <c r="M16" i="7"/>
  <c r="L16" i="7"/>
  <c r="J16" i="7"/>
  <c r="H16" i="7"/>
  <c r="G16" i="7"/>
  <c r="B16" i="7"/>
  <c r="AA16" i="7" s="1"/>
  <c r="T15" i="7"/>
  <c r="R15" i="7"/>
  <c r="Q15" i="7"/>
  <c r="P15" i="7"/>
  <c r="O15" i="7"/>
  <c r="N15" i="7"/>
  <c r="M15" i="7"/>
  <c r="L15" i="7"/>
  <c r="K15" i="7"/>
  <c r="B15" i="7"/>
  <c r="Z15" i="7" s="1"/>
  <c r="AB14" i="7"/>
  <c r="AA14" i="7"/>
  <c r="U14" i="7"/>
  <c r="T14" i="7"/>
  <c r="S14" i="7"/>
  <c r="R14" i="7"/>
  <c r="Q14" i="7"/>
  <c r="O14" i="7"/>
  <c r="N14" i="7"/>
  <c r="M14" i="7"/>
  <c r="L14" i="7"/>
  <c r="J14" i="7"/>
  <c r="I14" i="7"/>
  <c r="B14" i="7"/>
  <c r="Y14" i="7" s="1"/>
  <c r="X13" i="7"/>
  <c r="W13" i="7"/>
  <c r="V13" i="7"/>
  <c r="Q13" i="7"/>
  <c r="O13" i="7"/>
  <c r="K13" i="7"/>
  <c r="J13" i="7"/>
  <c r="I13" i="7"/>
  <c r="H13" i="7"/>
  <c r="E13" i="7"/>
  <c r="B13" i="7"/>
  <c r="B12" i="7"/>
  <c r="S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Z8" i="7"/>
  <c r="Y8" i="7"/>
  <c r="W8" i="7"/>
  <c r="V8" i="7"/>
  <c r="K8" i="7"/>
  <c r="I8" i="7"/>
  <c r="F8" i="7"/>
  <c r="E8" i="7"/>
  <c r="C8" i="7"/>
  <c r="B8" i="7"/>
  <c r="AB7" i="7"/>
  <c r="AA7" i="7"/>
  <c r="Y7" i="7"/>
  <c r="W7" i="7"/>
  <c r="V7" i="7"/>
  <c r="N7" i="7"/>
  <c r="L7" i="7"/>
  <c r="K7" i="7"/>
  <c r="H7" i="7"/>
  <c r="F7" i="7"/>
  <c r="E7" i="7"/>
  <c r="D7" i="7"/>
  <c r="B7" i="7"/>
  <c r="Z7" i="7" s="1"/>
  <c r="AB6" i="7"/>
  <c r="Z6" i="7"/>
  <c r="X6" i="7"/>
  <c r="W6" i="7"/>
  <c r="V6" i="7"/>
  <c r="U6" i="7"/>
  <c r="Q6" i="7"/>
  <c r="P6" i="7"/>
  <c r="O6" i="7"/>
  <c r="K6" i="7"/>
  <c r="I6" i="7"/>
  <c r="H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G3" i="7"/>
  <c r="B3" i="7"/>
  <c r="Z2" i="7"/>
  <c r="S2" i="7"/>
  <c r="R2" i="7"/>
  <c r="Q2" i="7"/>
  <c r="P2" i="7"/>
  <c r="O2" i="7"/>
  <c r="N2" i="7"/>
  <c r="L2" i="7"/>
  <c r="K2" i="7"/>
  <c r="I2" i="7"/>
  <c r="H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X17" i="6"/>
  <c r="W17" i="6"/>
  <c r="U17" i="6"/>
  <c r="S17" i="6"/>
  <c r="R17" i="6"/>
  <c r="B17" i="6"/>
  <c r="Z17" i="6" s="1"/>
  <c r="E16" i="6"/>
  <c r="D16" i="6"/>
  <c r="C16" i="6"/>
  <c r="B16" i="6"/>
  <c r="AA15" i="6"/>
  <c r="O15" i="6"/>
  <c r="N15" i="6"/>
  <c r="M15" i="6"/>
  <c r="J15" i="6"/>
  <c r="I15" i="6"/>
  <c r="H15" i="6"/>
  <c r="G15" i="6"/>
  <c r="F15" i="6"/>
  <c r="E15" i="6"/>
  <c r="B15" i="6"/>
  <c r="AB15" i="6" s="1"/>
  <c r="D14" i="6"/>
  <c r="B14" i="6"/>
  <c r="Y13" i="6"/>
  <c r="V13" i="6"/>
  <c r="M13" i="6"/>
  <c r="K13" i="6"/>
  <c r="B13" i="6"/>
  <c r="AB12" i="6"/>
  <c r="Y12" i="6"/>
  <c r="W12" i="6"/>
  <c r="V12" i="6"/>
  <c r="U12" i="6"/>
  <c r="T12" i="6"/>
  <c r="S12" i="6"/>
  <c r="R12" i="6"/>
  <c r="P12" i="6"/>
  <c r="N12" i="6"/>
  <c r="L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I8" i="6"/>
  <c r="H8" i="6"/>
  <c r="G8" i="6"/>
  <c r="E8" i="6"/>
  <c r="B8" i="6"/>
  <c r="B7" i="6"/>
  <c r="J7" i="6" s="1"/>
  <c r="P6" i="6"/>
  <c r="B6" i="6"/>
  <c r="E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B3" i="6"/>
  <c r="AA3" i="6" s="1"/>
  <c r="AB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X17" i="5"/>
  <c r="W17" i="5"/>
  <c r="V17" i="5"/>
  <c r="U17" i="5"/>
  <c r="T17" i="5"/>
  <c r="S17" i="5"/>
  <c r="R17" i="5"/>
  <c r="Q17" i="5"/>
  <c r="P17" i="5"/>
  <c r="O17" i="5"/>
  <c r="L17" i="5"/>
  <c r="K17" i="5"/>
  <c r="B17" i="5"/>
  <c r="J17" i="5" s="1"/>
  <c r="B16" i="5"/>
  <c r="B15" i="5"/>
  <c r="AB15" i="5" s="1"/>
  <c r="Z14" i="5"/>
  <c r="Y14" i="5"/>
  <c r="W14" i="5"/>
  <c r="V14" i="5"/>
  <c r="B14" i="5"/>
  <c r="Y13" i="5"/>
  <c r="R13" i="5"/>
  <c r="B13" i="5"/>
  <c r="D13" i="5" s="1"/>
  <c r="H12" i="5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X7" i="5"/>
  <c r="V7" i="5"/>
  <c r="U7" i="5"/>
  <c r="N7" i="5"/>
  <c r="I7" i="5"/>
  <c r="B7" i="5"/>
  <c r="D7" i="5" s="1"/>
  <c r="Z6" i="5"/>
  <c r="R6" i="5"/>
  <c r="M6" i="5"/>
  <c r="K6" i="5"/>
  <c r="J6" i="5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L3" i="5"/>
  <c r="B3" i="5"/>
  <c r="W3" i="5" s="1"/>
  <c r="B2" i="5"/>
  <c r="B2" i="1"/>
  <c r="H17" i="6" l="1"/>
  <c r="F2" i="10"/>
  <c r="AB8" i="11"/>
  <c r="T8" i="11"/>
  <c r="R8" i="11"/>
  <c r="Q8" i="11"/>
  <c r="K8" i="11"/>
  <c r="P8" i="11"/>
  <c r="O8" i="11"/>
  <c r="N8" i="11"/>
  <c r="D8" i="11"/>
  <c r="C8" i="11"/>
  <c r="C3" i="6"/>
  <c r="C12" i="7"/>
  <c r="F3" i="6"/>
  <c r="T17" i="6"/>
  <c r="E12" i="7"/>
  <c r="M2" i="10"/>
  <c r="E8" i="11"/>
  <c r="X15" i="5"/>
  <c r="J15" i="5"/>
  <c r="I15" i="5"/>
  <c r="H15" i="5"/>
  <c r="G15" i="5"/>
  <c r="F15" i="5"/>
  <c r="W15" i="5"/>
  <c r="V15" i="5"/>
  <c r="K3" i="6"/>
  <c r="X3" i="7"/>
  <c r="V3" i="7"/>
  <c r="AB3" i="7"/>
  <c r="Z3" i="7"/>
  <c r="U3" i="7"/>
  <c r="O3" i="7"/>
  <c r="N3" i="7"/>
  <c r="F12" i="7"/>
  <c r="S7" i="8"/>
  <c r="Q7" i="8"/>
  <c r="P7" i="8"/>
  <c r="K7" i="8"/>
  <c r="O7" i="8"/>
  <c r="M7" i="8"/>
  <c r="N2" i="10"/>
  <c r="X15" i="10"/>
  <c r="I15" i="10"/>
  <c r="G15" i="10"/>
  <c r="E15" i="10"/>
  <c r="Q15" i="10"/>
  <c r="P15" i="10"/>
  <c r="N15" i="10"/>
  <c r="O15" i="10"/>
  <c r="M15" i="10"/>
  <c r="L15" i="10"/>
  <c r="D15" i="10"/>
  <c r="C15" i="10"/>
  <c r="AB15" i="10"/>
  <c r="U3" i="11"/>
  <c r="R3" i="11"/>
  <c r="P3" i="11"/>
  <c r="Y3" i="11"/>
  <c r="S3" i="11"/>
  <c r="L3" i="11"/>
  <c r="I8" i="11"/>
  <c r="Y14" i="12"/>
  <c r="AB14" i="12"/>
  <c r="V14" i="12"/>
  <c r="R14" i="12"/>
  <c r="K14" i="12"/>
  <c r="U14" i="6"/>
  <c r="X14" i="6"/>
  <c r="Y14" i="6"/>
  <c r="W14" i="6"/>
  <c r="T14" i="6"/>
  <c r="S14" i="6"/>
  <c r="R14" i="6"/>
  <c r="M14" i="6"/>
  <c r="L14" i="6"/>
  <c r="J3" i="8"/>
  <c r="G3" i="8"/>
  <c r="AA3" i="8"/>
  <c r="Z3" i="8"/>
  <c r="W3" i="8"/>
  <c r="R3" i="8"/>
  <c r="V3" i="8"/>
  <c r="S3" i="8"/>
  <c r="N3" i="8"/>
  <c r="M3" i="8"/>
  <c r="C15" i="5"/>
  <c r="L3" i="6"/>
  <c r="C14" i="6"/>
  <c r="V17" i="6"/>
  <c r="F3" i="7"/>
  <c r="G12" i="7"/>
  <c r="C3" i="8"/>
  <c r="G7" i="8"/>
  <c r="Y12" i="9"/>
  <c r="Z12" i="9"/>
  <c r="O12" i="9"/>
  <c r="X12" i="9"/>
  <c r="W12" i="9"/>
  <c r="U12" i="9"/>
  <c r="S12" i="9"/>
  <c r="D12" i="9"/>
  <c r="C12" i="9"/>
  <c r="P2" i="10"/>
  <c r="D13" i="10"/>
  <c r="F15" i="10"/>
  <c r="C3" i="11"/>
  <c r="J8" i="11"/>
  <c r="J17" i="11"/>
  <c r="C17" i="11"/>
  <c r="D17" i="11"/>
  <c r="AB17" i="11"/>
  <c r="P17" i="11"/>
  <c r="O17" i="11"/>
  <c r="L14" i="12"/>
  <c r="H12" i="7"/>
  <c r="O3" i="6"/>
  <c r="J12" i="7"/>
  <c r="AB12" i="16"/>
  <c r="K12" i="16"/>
  <c r="Y12" i="16"/>
  <c r="W12" i="16"/>
  <c r="X12" i="16"/>
  <c r="I12" i="16"/>
  <c r="C12" i="16"/>
  <c r="P3" i="6"/>
  <c r="W8" i="9"/>
  <c r="Y8" i="9"/>
  <c r="X8" i="9"/>
  <c r="U8" i="9"/>
  <c r="T8" i="9"/>
  <c r="S8" i="9"/>
  <c r="R8" i="9"/>
  <c r="Q8" i="9"/>
  <c r="M8" i="9"/>
  <c r="L8" i="9"/>
  <c r="G8" i="9"/>
  <c r="S14" i="11"/>
  <c r="P14" i="11"/>
  <c r="N14" i="11"/>
  <c r="L14" i="11"/>
  <c r="K14" i="11"/>
  <c r="T14" i="11"/>
  <c r="R14" i="11"/>
  <c r="J14" i="11"/>
  <c r="Q14" i="11"/>
  <c r="O14" i="11"/>
  <c r="M14" i="11"/>
  <c r="F14" i="11"/>
  <c r="E14" i="11"/>
  <c r="Q3" i="6"/>
  <c r="H14" i="6"/>
  <c r="W15" i="6"/>
  <c r="AA17" i="6"/>
  <c r="K3" i="7"/>
  <c r="L12" i="7"/>
  <c r="W15" i="7"/>
  <c r="I3" i="8"/>
  <c r="W7" i="8"/>
  <c r="H13" i="8"/>
  <c r="P13" i="10"/>
  <c r="T15" i="10"/>
  <c r="C12" i="11"/>
  <c r="X12" i="11"/>
  <c r="AB12" i="11"/>
  <c r="Z12" i="11"/>
  <c r="Y12" i="11"/>
  <c r="O12" i="11"/>
  <c r="M12" i="11"/>
  <c r="J12" i="11"/>
  <c r="C14" i="11"/>
  <c r="M15" i="5"/>
  <c r="S3" i="6"/>
  <c r="I14" i="6"/>
  <c r="Y15" i="6"/>
  <c r="AB17" i="6"/>
  <c r="L3" i="7"/>
  <c r="P12" i="7"/>
  <c r="Y15" i="7"/>
  <c r="K3" i="8"/>
  <c r="Y7" i="8"/>
  <c r="I13" i="8"/>
  <c r="E8" i="9"/>
  <c r="AB12" i="9"/>
  <c r="Z14" i="9"/>
  <c r="Y13" i="10"/>
  <c r="U15" i="10"/>
  <c r="J3" i="11"/>
  <c r="E12" i="11"/>
  <c r="G14" i="11"/>
  <c r="AB2" i="16"/>
  <c r="Y2" i="16"/>
  <c r="W2" i="16"/>
  <c r="U2" i="16"/>
  <c r="P2" i="16"/>
  <c r="K2" i="16"/>
  <c r="AA2" i="16"/>
  <c r="X2" i="16"/>
  <c r="T2" i="16"/>
  <c r="Q2" i="16"/>
  <c r="D2" i="16"/>
  <c r="C13" i="8"/>
  <c r="F14" i="6"/>
  <c r="K12" i="7"/>
  <c r="L15" i="5"/>
  <c r="C8" i="9"/>
  <c r="AA12" i="9"/>
  <c r="N15" i="5"/>
  <c r="W3" i="6"/>
  <c r="J14" i="6"/>
  <c r="Z15" i="6"/>
  <c r="M3" i="7"/>
  <c r="R12" i="7"/>
  <c r="L3" i="8"/>
  <c r="Z7" i="8"/>
  <c r="J13" i="8"/>
  <c r="F8" i="9"/>
  <c r="AA13" i="9"/>
  <c r="Z13" i="9"/>
  <c r="W13" i="9"/>
  <c r="Z13" i="10"/>
  <c r="V15" i="10"/>
  <c r="K3" i="11"/>
  <c r="Q7" i="11"/>
  <c r="W7" i="11"/>
  <c r="U7" i="11"/>
  <c r="S7" i="11"/>
  <c r="M7" i="11"/>
  <c r="L7" i="11"/>
  <c r="H7" i="11"/>
  <c r="K7" i="11"/>
  <c r="J7" i="11"/>
  <c r="I7" i="11"/>
  <c r="D7" i="11"/>
  <c r="C7" i="11"/>
  <c r="AA7" i="11"/>
  <c r="F12" i="11"/>
  <c r="H14" i="11"/>
  <c r="K15" i="5"/>
  <c r="H8" i="8"/>
  <c r="Z8" i="8"/>
  <c r="V8" i="8"/>
  <c r="Q8" i="8"/>
  <c r="P13" i="8"/>
  <c r="I8" i="9"/>
  <c r="X14" i="10"/>
  <c r="M14" i="10"/>
  <c r="K14" i="10"/>
  <c r="I14" i="10"/>
  <c r="Q14" i="10"/>
  <c r="P14" i="10"/>
  <c r="N14" i="10"/>
  <c r="J14" i="10"/>
  <c r="O14" i="10"/>
  <c r="L14" i="10"/>
  <c r="E14" i="10"/>
  <c r="D14" i="10"/>
  <c r="AA14" i="10"/>
  <c r="W15" i="10"/>
  <c r="M3" i="11"/>
  <c r="G12" i="11"/>
  <c r="I14" i="11"/>
  <c r="E14" i="6"/>
  <c r="H3" i="7"/>
  <c r="J3" i="7"/>
  <c r="H3" i="8"/>
  <c r="U7" i="8"/>
  <c r="G13" i="8"/>
  <c r="X3" i="6"/>
  <c r="K14" i="6"/>
  <c r="O3" i="8"/>
  <c r="P15" i="5"/>
  <c r="Y3" i="6"/>
  <c r="N14" i="6"/>
  <c r="S3" i="7"/>
  <c r="X8" i="7"/>
  <c r="J8" i="7"/>
  <c r="T8" i="7"/>
  <c r="R8" i="7"/>
  <c r="P8" i="7"/>
  <c r="Q8" i="7"/>
  <c r="N8" i="7"/>
  <c r="M8" i="7"/>
  <c r="H8" i="7"/>
  <c r="G8" i="7"/>
  <c r="Z13" i="7"/>
  <c r="S13" i="7"/>
  <c r="AB13" i="7"/>
  <c r="AA13" i="7"/>
  <c r="T13" i="7"/>
  <c r="R13" i="7"/>
  <c r="P3" i="8"/>
  <c r="L8" i="8"/>
  <c r="Q13" i="8"/>
  <c r="Z15" i="8"/>
  <c r="O15" i="8"/>
  <c r="L15" i="8"/>
  <c r="K15" i="8"/>
  <c r="J15" i="8"/>
  <c r="I15" i="8"/>
  <c r="H15" i="8"/>
  <c r="G15" i="8"/>
  <c r="K8" i="9"/>
  <c r="D13" i="9"/>
  <c r="C14" i="10"/>
  <c r="Y15" i="10"/>
  <c r="Q3" i="11"/>
  <c r="F7" i="11"/>
  <c r="I12" i="11"/>
  <c r="U14" i="11"/>
  <c r="AB13" i="5"/>
  <c r="K13" i="5"/>
  <c r="J13" i="5"/>
  <c r="I13" i="5"/>
  <c r="G13" i="5"/>
  <c r="H13" i="5"/>
  <c r="O15" i="5"/>
  <c r="Q15" i="5"/>
  <c r="N8" i="9"/>
  <c r="Z15" i="10"/>
  <c r="K12" i="11"/>
  <c r="V14" i="11"/>
  <c r="AB13" i="14"/>
  <c r="E13" i="14"/>
  <c r="S13" i="14"/>
  <c r="R13" i="14"/>
  <c r="N13" i="14"/>
  <c r="K13" i="14"/>
  <c r="M3" i="6"/>
  <c r="AA6" i="6"/>
  <c r="N6" i="6"/>
  <c r="M6" i="6"/>
  <c r="L6" i="6"/>
  <c r="K6" i="6"/>
  <c r="J6" i="6"/>
  <c r="P3" i="7"/>
  <c r="F13" i="5"/>
  <c r="I6" i="6"/>
  <c r="O14" i="6"/>
  <c r="T3" i="7"/>
  <c r="O2" i="8"/>
  <c r="F2" i="8"/>
  <c r="V2" i="8"/>
  <c r="U2" i="8"/>
  <c r="T2" i="8"/>
  <c r="S2" i="8"/>
  <c r="R2" i="8"/>
  <c r="Q2" i="8"/>
  <c r="L2" i="8"/>
  <c r="K2" i="8"/>
  <c r="Q3" i="8"/>
  <c r="M8" i="8"/>
  <c r="R13" i="8"/>
  <c r="Q8" i="10"/>
  <c r="N8" i="10"/>
  <c r="K8" i="10"/>
  <c r="C8" i="10"/>
  <c r="F14" i="10"/>
  <c r="M13" i="5"/>
  <c r="R15" i="5"/>
  <c r="O6" i="6"/>
  <c r="P14" i="6"/>
  <c r="D8" i="7"/>
  <c r="F13" i="7"/>
  <c r="C2" i="8"/>
  <c r="AB3" i="8"/>
  <c r="R8" i="8"/>
  <c r="S13" i="8"/>
  <c r="O8" i="9"/>
  <c r="Q13" i="9"/>
  <c r="G8" i="10"/>
  <c r="G14" i="10"/>
  <c r="AA15" i="10"/>
  <c r="L12" i="11"/>
  <c r="W14" i="11"/>
  <c r="U6" i="14"/>
  <c r="O6" i="14"/>
  <c r="M6" i="14"/>
  <c r="K6" i="14"/>
  <c r="J6" i="14"/>
  <c r="F6" i="14"/>
  <c r="AA6" i="14"/>
  <c r="Z6" i="14"/>
  <c r="X6" i="14"/>
  <c r="W6" i="14"/>
  <c r="T6" i="14"/>
  <c r="S6" i="14"/>
  <c r="R6" i="14"/>
  <c r="Q6" i="14"/>
  <c r="N6" i="14"/>
  <c r="L6" i="14"/>
  <c r="G6" i="14"/>
  <c r="E6" i="14"/>
  <c r="G13" i="14"/>
  <c r="S15" i="5"/>
  <c r="Q14" i="6"/>
  <c r="U13" i="8"/>
  <c r="X14" i="11"/>
  <c r="P8" i="9"/>
  <c r="X13" i="5"/>
  <c r="T15" i="5"/>
  <c r="AB6" i="6"/>
  <c r="AA14" i="6"/>
  <c r="G2" i="8"/>
  <c r="X12" i="8"/>
  <c r="R12" i="8"/>
  <c r="E12" i="8"/>
  <c r="Q12" i="8"/>
  <c r="O12" i="8"/>
  <c r="N12" i="8"/>
  <c r="H12" i="8"/>
  <c r="AB12" i="8"/>
  <c r="V13" i="8"/>
  <c r="AB8" i="9"/>
  <c r="Z8" i="10"/>
  <c r="R14" i="10"/>
  <c r="T12" i="11"/>
  <c r="AA14" i="11"/>
  <c r="M3" i="12"/>
  <c r="K3" i="12"/>
  <c r="I3" i="12"/>
  <c r="G3" i="12"/>
  <c r="Z3" i="12"/>
  <c r="U3" i="12"/>
  <c r="AA3" i="12"/>
  <c r="Y3" i="12"/>
  <c r="L3" i="12"/>
  <c r="J3" i="12"/>
  <c r="P6" i="14"/>
  <c r="X13" i="14"/>
  <c r="E15" i="5"/>
  <c r="N17" i="6"/>
  <c r="M17" i="6"/>
  <c r="Q17" i="6"/>
  <c r="P17" i="6"/>
  <c r="O17" i="6"/>
  <c r="L17" i="6"/>
  <c r="J17" i="6"/>
  <c r="K17" i="6"/>
  <c r="E17" i="6"/>
  <c r="D17" i="6"/>
  <c r="W13" i="13"/>
  <c r="U13" i="13"/>
  <c r="S13" i="13"/>
  <c r="Q13" i="13"/>
  <c r="P13" i="13"/>
  <c r="M13" i="13"/>
  <c r="Z13" i="13"/>
  <c r="Y13" i="13"/>
  <c r="X13" i="13"/>
  <c r="V13" i="13"/>
  <c r="O13" i="13"/>
  <c r="N13" i="13"/>
  <c r="H13" i="13"/>
  <c r="G13" i="13"/>
  <c r="Z7" i="14"/>
  <c r="O7" i="14"/>
  <c r="M7" i="14"/>
  <c r="K7" i="14"/>
  <c r="J7" i="14"/>
  <c r="G7" i="14"/>
  <c r="AB7" i="14"/>
  <c r="Y7" i="14"/>
  <c r="W7" i="14"/>
  <c r="V7" i="14"/>
  <c r="R7" i="14"/>
  <c r="P7" i="14"/>
  <c r="I7" i="14"/>
  <c r="H7" i="14"/>
  <c r="E7" i="14"/>
  <c r="C7" i="14"/>
  <c r="D15" i="5"/>
  <c r="U15" i="5"/>
  <c r="W13" i="8"/>
  <c r="X15" i="6"/>
  <c r="T15" i="6"/>
  <c r="V15" i="6"/>
  <c r="U15" i="6"/>
  <c r="R15" i="6"/>
  <c r="S15" i="6"/>
  <c r="P15" i="6"/>
  <c r="Q15" i="6"/>
  <c r="L15" i="6"/>
  <c r="K15" i="6"/>
  <c r="C17" i="6"/>
  <c r="Y7" i="9"/>
  <c r="W7" i="9"/>
  <c r="U7" i="9"/>
  <c r="T7" i="9"/>
  <c r="S7" i="9"/>
  <c r="R7" i="9"/>
  <c r="Q7" i="9"/>
  <c r="P7" i="9"/>
  <c r="J7" i="9"/>
  <c r="I7" i="9"/>
  <c r="D7" i="9"/>
  <c r="X14" i="9"/>
  <c r="I14" i="9"/>
  <c r="K14" i="9"/>
  <c r="J14" i="9"/>
  <c r="H14" i="9"/>
  <c r="G14" i="9"/>
  <c r="F14" i="9"/>
  <c r="E14" i="9"/>
  <c r="Y14" i="9"/>
  <c r="W14" i="9"/>
  <c r="T14" i="9"/>
  <c r="T14" i="10"/>
  <c r="T7" i="11"/>
  <c r="N3" i="12"/>
  <c r="F13" i="13"/>
  <c r="D7" i="14"/>
  <c r="V3" i="6"/>
  <c r="U3" i="6"/>
  <c r="W2" i="10"/>
  <c r="X2" i="10"/>
  <c r="AA2" i="10"/>
  <c r="U2" i="10"/>
  <c r="Z2" i="10"/>
  <c r="Y2" i="10"/>
  <c r="V2" i="10"/>
  <c r="L2" i="10"/>
  <c r="K2" i="10"/>
  <c r="G2" i="10"/>
  <c r="AB14" i="11"/>
  <c r="AB8" i="6"/>
  <c r="U8" i="6"/>
  <c r="J8" i="6"/>
  <c r="X15" i="7"/>
  <c r="S15" i="7"/>
  <c r="H15" i="7"/>
  <c r="C15" i="7"/>
  <c r="G15" i="7"/>
  <c r="F15" i="7"/>
  <c r="AA15" i="7"/>
  <c r="E15" i="7"/>
  <c r="AB15" i="7"/>
  <c r="D15" i="7"/>
  <c r="V15" i="7"/>
  <c r="U15" i="7"/>
  <c r="I2" i="8"/>
  <c r="D12" i="8"/>
  <c r="D14" i="5"/>
  <c r="AB14" i="5"/>
  <c r="AA14" i="5"/>
  <c r="Z15" i="5"/>
  <c r="C8" i="6"/>
  <c r="G7" i="7"/>
  <c r="M7" i="7"/>
  <c r="U7" i="7"/>
  <c r="S7" i="7"/>
  <c r="Q7" i="7"/>
  <c r="R7" i="7"/>
  <c r="O7" i="7"/>
  <c r="P7" i="7"/>
  <c r="J7" i="7"/>
  <c r="I7" i="7"/>
  <c r="L8" i="7"/>
  <c r="M13" i="7"/>
  <c r="I15" i="7"/>
  <c r="M2" i="8"/>
  <c r="S12" i="8"/>
  <c r="C7" i="9"/>
  <c r="C14" i="9"/>
  <c r="D2" i="10"/>
  <c r="U14" i="10"/>
  <c r="V7" i="11"/>
  <c r="R15" i="11"/>
  <c r="P3" i="12"/>
  <c r="K13" i="13"/>
  <c r="L7" i="14"/>
  <c r="O12" i="7"/>
  <c r="AB12" i="7"/>
  <c r="Y12" i="7"/>
  <c r="W12" i="7"/>
  <c r="X12" i="7"/>
  <c r="V12" i="7"/>
  <c r="T12" i="7"/>
  <c r="N12" i="7"/>
  <c r="M12" i="7"/>
  <c r="T13" i="8"/>
  <c r="O13" i="8"/>
  <c r="N13" i="8"/>
  <c r="M13" i="8"/>
  <c r="L13" i="8"/>
  <c r="K13" i="8"/>
  <c r="F13" i="8"/>
  <c r="E13" i="8"/>
  <c r="AA13" i="8"/>
  <c r="AB14" i="6"/>
  <c r="F2" i="5"/>
  <c r="E2" i="5"/>
  <c r="D2" i="5"/>
  <c r="Z13" i="5"/>
  <c r="Y15" i="5"/>
  <c r="AB17" i="7"/>
  <c r="H17" i="7"/>
  <c r="AA17" i="7"/>
  <c r="Z17" i="7"/>
  <c r="V17" i="7"/>
  <c r="U17" i="7"/>
  <c r="T17" i="7"/>
  <c r="L17" i="7"/>
  <c r="K17" i="7"/>
  <c r="X13" i="8"/>
  <c r="C2" i="5"/>
  <c r="AB13" i="6"/>
  <c r="T13" i="6"/>
  <c r="S13" i="6"/>
  <c r="R13" i="6"/>
  <c r="Q13" i="6"/>
  <c r="P13" i="6"/>
  <c r="N13" i="6"/>
  <c r="O13" i="6"/>
  <c r="H13" i="6"/>
  <c r="G13" i="6"/>
  <c r="C15" i="6"/>
  <c r="F17" i="6"/>
  <c r="O14" i="5"/>
  <c r="AA15" i="5"/>
  <c r="D8" i="6"/>
  <c r="I13" i="6"/>
  <c r="D15" i="6"/>
  <c r="G17" i="6"/>
  <c r="C7" i="7"/>
  <c r="U8" i="7"/>
  <c r="N13" i="7"/>
  <c r="J15" i="7"/>
  <c r="D17" i="7"/>
  <c r="N2" i="8"/>
  <c r="T12" i="8"/>
  <c r="X14" i="8"/>
  <c r="Q14" i="8"/>
  <c r="M14" i="8"/>
  <c r="L14" i="8"/>
  <c r="K14" i="8"/>
  <c r="H14" i="8"/>
  <c r="J14" i="8"/>
  <c r="I14" i="8"/>
  <c r="AB14" i="8"/>
  <c r="D14" i="8"/>
  <c r="AA14" i="8"/>
  <c r="C14" i="8"/>
  <c r="W14" i="8"/>
  <c r="AA15" i="8"/>
  <c r="Y3" i="9"/>
  <c r="S3" i="9"/>
  <c r="G3" i="9"/>
  <c r="F7" i="9"/>
  <c r="D14" i="9"/>
  <c r="E2" i="10"/>
  <c r="V14" i="10"/>
  <c r="X7" i="11"/>
  <c r="T3" i="12"/>
  <c r="H12" i="12"/>
  <c r="R13" i="13"/>
  <c r="N7" i="14"/>
  <c r="V13" i="15"/>
  <c r="U17" i="16"/>
  <c r="J17" i="16"/>
  <c r="C17" i="16"/>
  <c r="AB17" i="16"/>
  <c r="Z17" i="16"/>
  <c r="X7" i="17"/>
  <c r="V7" i="17"/>
  <c r="R7" i="17"/>
  <c r="K7" i="17"/>
  <c r="J7" i="17"/>
  <c r="G7" i="17"/>
  <c r="F7" i="17"/>
  <c r="E7" i="17"/>
  <c r="D7" i="17"/>
  <c r="O3" i="19"/>
  <c r="J3" i="19"/>
  <c r="I3" i="19"/>
  <c r="H3" i="19"/>
  <c r="G3" i="19"/>
  <c r="D3" i="19"/>
  <c r="AB3" i="19"/>
  <c r="C3" i="19"/>
  <c r="Y3" i="19"/>
  <c r="W3" i="19"/>
  <c r="V3" i="19"/>
  <c r="U3" i="19"/>
  <c r="T3" i="19"/>
  <c r="S3" i="19"/>
  <c r="R3" i="19"/>
  <c r="P3" i="19"/>
  <c r="N3" i="19"/>
  <c r="M3" i="19"/>
  <c r="K3" i="19"/>
  <c r="P12" i="15"/>
  <c r="D17" i="16"/>
  <c r="H7" i="17"/>
  <c r="E3" i="19"/>
  <c r="G17" i="16"/>
  <c r="O7" i="17"/>
  <c r="F3" i="19"/>
  <c r="AA8" i="15"/>
  <c r="Y8" i="15"/>
  <c r="W8" i="15"/>
  <c r="T8" i="15"/>
  <c r="N8" i="15"/>
  <c r="M8" i="15"/>
  <c r="R12" i="15"/>
  <c r="H17" i="16"/>
  <c r="P7" i="17"/>
  <c r="Q3" i="19"/>
  <c r="T15" i="12"/>
  <c r="S15" i="14"/>
  <c r="X7" i="15"/>
  <c r="Z7" i="15"/>
  <c r="C7" i="15"/>
  <c r="W7" i="15"/>
  <c r="U7" i="15"/>
  <c r="T7" i="15"/>
  <c r="Q7" i="15"/>
  <c r="P7" i="15"/>
  <c r="E8" i="15"/>
  <c r="Y17" i="16"/>
  <c r="U7" i="17"/>
  <c r="Q2" i="14"/>
  <c r="AB2" i="14"/>
  <c r="Z2" i="14"/>
  <c r="Y2" i="14"/>
  <c r="U2" i="14"/>
  <c r="F8" i="15"/>
  <c r="P13" i="15"/>
  <c r="E13" i="15"/>
  <c r="C13" i="15"/>
  <c r="AA13" i="15"/>
  <c r="Z13" i="15"/>
  <c r="T13" i="15"/>
  <c r="S13" i="15"/>
  <c r="W7" i="17"/>
  <c r="AA15" i="15"/>
  <c r="V15" i="15"/>
  <c r="U15" i="15"/>
  <c r="Z2" i="17"/>
  <c r="W2" i="17"/>
  <c r="J2" i="17"/>
  <c r="I2" i="17"/>
  <c r="G2" i="17"/>
  <c r="F2" i="17"/>
  <c r="Z3" i="18"/>
  <c r="I3" i="18"/>
  <c r="H3" i="18"/>
  <c r="E3" i="18"/>
  <c r="D3" i="18"/>
  <c r="Y3" i="18"/>
  <c r="V3" i="18"/>
  <c r="S3" i="18"/>
  <c r="R3" i="18"/>
  <c r="Q3" i="18"/>
  <c r="N3" i="18"/>
  <c r="M3" i="18"/>
  <c r="K3" i="18"/>
  <c r="Y17" i="5"/>
  <c r="O6" i="8"/>
  <c r="Z8" i="12"/>
  <c r="X8" i="12"/>
  <c r="V8" i="12"/>
  <c r="U8" i="12"/>
  <c r="Q8" i="12"/>
  <c r="Z15" i="12"/>
  <c r="V2" i="13"/>
  <c r="X15" i="13"/>
  <c r="W15" i="13"/>
  <c r="T15" i="13"/>
  <c r="R15" i="13"/>
  <c r="Q15" i="13"/>
  <c r="N15" i="13"/>
  <c r="F2" i="14"/>
  <c r="S3" i="14"/>
  <c r="V15" i="14"/>
  <c r="O2" i="15"/>
  <c r="F7" i="15"/>
  <c r="H8" i="15"/>
  <c r="F13" i="15"/>
  <c r="C15" i="15"/>
  <c r="Z6" i="16"/>
  <c r="O6" i="16"/>
  <c r="K6" i="16"/>
  <c r="I6" i="16"/>
  <c r="G6" i="16"/>
  <c r="F6" i="16"/>
  <c r="L2" i="17"/>
  <c r="Z7" i="17"/>
  <c r="J3" i="18"/>
  <c r="AA6" i="7"/>
  <c r="N6" i="7"/>
  <c r="X14" i="7"/>
  <c r="Y2" i="7"/>
  <c r="M2" i="7"/>
  <c r="F6" i="7"/>
  <c r="P6" i="8"/>
  <c r="X17" i="9"/>
  <c r="C8" i="12"/>
  <c r="C15" i="13"/>
  <c r="G2" i="14"/>
  <c r="G7" i="15"/>
  <c r="J8" i="15"/>
  <c r="G13" i="15"/>
  <c r="E15" i="15"/>
  <c r="E6" i="16"/>
  <c r="P3" i="18"/>
  <c r="M2" i="14"/>
  <c r="L8" i="15"/>
  <c r="I13" i="15"/>
  <c r="I15" i="15"/>
  <c r="C17" i="13"/>
  <c r="O2" i="14"/>
  <c r="R14" i="14"/>
  <c r="O8" i="15"/>
  <c r="U12" i="15"/>
  <c r="G12" i="15"/>
  <c r="C12" i="15"/>
  <c r="AA12" i="15"/>
  <c r="Z12" i="15"/>
  <c r="V12" i="15"/>
  <c r="T12" i="15"/>
  <c r="J13" i="15"/>
  <c r="K15" i="15"/>
  <c r="AB6" i="13"/>
  <c r="Z6" i="13"/>
  <c r="P6" i="13"/>
  <c r="K6" i="13"/>
  <c r="E17" i="13"/>
  <c r="P2" i="14"/>
  <c r="S14" i="14"/>
  <c r="R8" i="15"/>
  <c r="D12" i="15"/>
  <c r="K13" i="15"/>
  <c r="S15" i="15"/>
  <c r="X12" i="6"/>
  <c r="O12" i="6"/>
  <c r="K15" i="9"/>
  <c r="E15" i="12"/>
  <c r="G6" i="13"/>
  <c r="AB12" i="13"/>
  <c r="M12" i="13"/>
  <c r="J12" i="13"/>
  <c r="H12" i="13"/>
  <c r="D12" i="13"/>
  <c r="R2" i="14"/>
  <c r="AB14" i="14"/>
  <c r="P3" i="15"/>
  <c r="AA3" i="15"/>
  <c r="Y3" i="15"/>
  <c r="X3" i="15"/>
  <c r="T3" i="15"/>
  <c r="L7" i="15"/>
  <c r="X8" i="15"/>
  <c r="H12" i="15"/>
  <c r="L13" i="15"/>
  <c r="T15" i="15"/>
  <c r="N6" i="16"/>
  <c r="AA3" i="13"/>
  <c r="AB3" i="13"/>
  <c r="V3" i="13"/>
  <c r="P3" i="13"/>
  <c r="L3" i="13"/>
  <c r="Z14" i="7"/>
  <c r="V14" i="7"/>
  <c r="M15" i="9"/>
  <c r="X15" i="14"/>
  <c r="L15" i="14"/>
  <c r="J15" i="14"/>
  <c r="H15" i="14"/>
  <c r="G15" i="14"/>
  <c r="AA15" i="14"/>
  <c r="D15" i="14"/>
  <c r="M7" i="15"/>
  <c r="Z8" i="15"/>
  <c r="I12" i="15"/>
  <c r="M13" i="15"/>
  <c r="X15" i="15"/>
  <c r="X15" i="12"/>
  <c r="H15" i="12"/>
  <c r="F15" i="12"/>
  <c r="AB15" i="12"/>
  <c r="D15" i="12"/>
  <c r="AA15" i="12"/>
  <c r="C15" i="12"/>
  <c r="W15" i="12"/>
  <c r="D12" i="6"/>
  <c r="G2" i="11"/>
  <c r="D3" i="13"/>
  <c r="H6" i="13"/>
  <c r="V2" i="14"/>
  <c r="W6" i="5"/>
  <c r="D17" i="5"/>
  <c r="T2" i="6"/>
  <c r="J12" i="6"/>
  <c r="R6" i="7"/>
  <c r="D14" i="7"/>
  <c r="I2" i="11"/>
  <c r="AA6" i="11"/>
  <c r="U6" i="11"/>
  <c r="R6" i="11"/>
  <c r="P6" i="11"/>
  <c r="F6" i="12"/>
  <c r="M8" i="12"/>
  <c r="I15" i="12"/>
  <c r="G17" i="12"/>
  <c r="E3" i="13"/>
  <c r="J6" i="13"/>
  <c r="L12" i="13"/>
  <c r="U14" i="13"/>
  <c r="Y14" i="13"/>
  <c r="V14" i="13"/>
  <c r="S14" i="13"/>
  <c r="R14" i="13"/>
  <c r="O14" i="13"/>
  <c r="J15" i="13"/>
  <c r="X2" i="14"/>
  <c r="C15" i="14"/>
  <c r="D3" i="15"/>
  <c r="N7" i="15"/>
  <c r="AB8" i="15"/>
  <c r="J12" i="15"/>
  <c r="N13" i="15"/>
  <c r="Y15" i="15"/>
  <c r="S6" i="16"/>
  <c r="AA15" i="9"/>
  <c r="Y15" i="9"/>
  <c r="X6" i="5"/>
  <c r="Z2" i="6"/>
  <c r="K12" i="6"/>
  <c r="S6" i="7"/>
  <c r="F14" i="7"/>
  <c r="P8" i="12"/>
  <c r="J15" i="12"/>
  <c r="O17" i="12"/>
  <c r="F3" i="13"/>
  <c r="M6" i="13"/>
  <c r="O12" i="13"/>
  <c r="E14" i="13"/>
  <c r="K15" i="13"/>
  <c r="AA2" i="14"/>
  <c r="E15" i="14"/>
  <c r="E3" i="15"/>
  <c r="O7" i="15"/>
  <c r="K12" i="15"/>
  <c r="O13" i="15"/>
  <c r="T6" i="16"/>
  <c r="C6" i="17"/>
  <c r="M6" i="17"/>
  <c r="L6" i="17"/>
  <c r="AA2" i="6"/>
  <c r="H14" i="7"/>
  <c r="Y7" i="12"/>
  <c r="W7" i="12"/>
  <c r="S7" i="12"/>
  <c r="P7" i="12"/>
  <c r="I7" i="12"/>
  <c r="K15" i="12"/>
  <c r="S2" i="13"/>
  <c r="U2" i="13"/>
  <c r="Q2" i="13"/>
  <c r="O2" i="13"/>
  <c r="N2" i="13"/>
  <c r="J2" i="13"/>
  <c r="I3" i="13"/>
  <c r="O6" i="13"/>
  <c r="R12" i="13"/>
  <c r="C3" i="14"/>
  <c r="AB3" i="14"/>
  <c r="Y3" i="14"/>
  <c r="X3" i="14"/>
  <c r="U3" i="14"/>
  <c r="F15" i="14"/>
  <c r="X2" i="15"/>
  <c r="AB2" i="15"/>
  <c r="C2" i="15"/>
  <c r="Z2" i="15"/>
  <c r="V2" i="15"/>
  <c r="U2" i="15"/>
  <c r="Q2" i="15"/>
  <c r="F3" i="15"/>
  <c r="R7" i="15"/>
  <c r="L12" i="15"/>
  <c r="Q13" i="15"/>
  <c r="V6" i="16"/>
  <c r="E6" i="17"/>
  <c r="X17" i="18"/>
  <c r="V17" i="18"/>
  <c r="U17" i="18"/>
  <c r="T17" i="18"/>
  <c r="S17" i="18"/>
  <c r="P17" i="18"/>
  <c r="O17" i="18"/>
  <c r="L17" i="18"/>
  <c r="J17" i="18"/>
  <c r="I17" i="18"/>
  <c r="G17" i="18"/>
  <c r="E17" i="18"/>
  <c r="D17" i="18"/>
  <c r="C17" i="18"/>
  <c r="AB17" i="18"/>
  <c r="AA17" i="18"/>
  <c r="Y17" i="18"/>
  <c r="W17" i="18"/>
  <c r="AB8" i="18"/>
  <c r="Y12" i="18"/>
  <c r="E15" i="18"/>
  <c r="H2" i="19"/>
  <c r="N6" i="19"/>
  <c r="M8" i="19"/>
  <c r="C12" i="19"/>
  <c r="K13" i="19"/>
  <c r="T14" i="19"/>
  <c r="E7" i="16"/>
  <c r="Q12" i="17"/>
  <c r="F2" i="18"/>
  <c r="C8" i="18"/>
  <c r="Z12" i="18"/>
  <c r="J15" i="18"/>
  <c r="M2" i="19"/>
  <c r="O6" i="19"/>
  <c r="N8" i="19"/>
  <c r="E12" i="19"/>
  <c r="L13" i="19"/>
  <c r="U14" i="19"/>
  <c r="Z7" i="13"/>
  <c r="F7" i="16"/>
  <c r="C14" i="16"/>
  <c r="R12" i="17"/>
  <c r="G2" i="18"/>
  <c r="D8" i="18"/>
  <c r="K15" i="18"/>
  <c r="N2" i="19"/>
  <c r="R6" i="19"/>
  <c r="O8" i="19"/>
  <c r="F12" i="19"/>
  <c r="M13" i="19"/>
  <c r="V14" i="19"/>
  <c r="J2" i="18"/>
  <c r="E8" i="18"/>
  <c r="M15" i="18"/>
  <c r="O2" i="19"/>
  <c r="W6" i="19"/>
  <c r="P8" i="19"/>
  <c r="G12" i="19"/>
  <c r="O13" i="19"/>
  <c r="AB14" i="19"/>
  <c r="Q8" i="19"/>
  <c r="P13" i="19"/>
  <c r="W6" i="15"/>
  <c r="I7" i="16"/>
  <c r="J14" i="16"/>
  <c r="H8" i="17"/>
  <c r="U12" i="17"/>
  <c r="H15" i="17"/>
  <c r="L17" i="17"/>
  <c r="L2" i="18"/>
  <c r="I6" i="18"/>
  <c r="G8" i="18"/>
  <c r="H13" i="18"/>
  <c r="S15" i="18"/>
  <c r="R2" i="19"/>
  <c r="C7" i="19"/>
  <c r="R8" i="19"/>
  <c r="I12" i="19"/>
  <c r="Q13" i="19"/>
  <c r="C15" i="19"/>
  <c r="J13" i="11"/>
  <c r="X6" i="15"/>
  <c r="J7" i="16"/>
  <c r="Y14" i="16"/>
  <c r="J8" i="17"/>
  <c r="V12" i="17"/>
  <c r="I15" i="17"/>
  <c r="M17" i="17"/>
  <c r="M2" i="18"/>
  <c r="J6" i="18"/>
  <c r="J8" i="18"/>
  <c r="P13" i="18"/>
  <c r="W15" i="18"/>
  <c r="S2" i="19"/>
  <c r="F7" i="19"/>
  <c r="S8" i="19"/>
  <c r="J12" i="19"/>
  <c r="T13" i="19"/>
  <c r="E15" i="19"/>
  <c r="N8" i="17"/>
  <c r="W12" i="17"/>
  <c r="N15" i="17"/>
  <c r="O17" i="17"/>
  <c r="N2" i="18"/>
  <c r="K6" i="18"/>
  <c r="K8" i="18"/>
  <c r="X15" i="18"/>
  <c r="U2" i="19"/>
  <c r="G7" i="19"/>
  <c r="T8" i="19"/>
  <c r="L12" i="19"/>
  <c r="V13" i="19"/>
  <c r="F15" i="19"/>
  <c r="L13" i="11"/>
  <c r="AB6" i="15"/>
  <c r="M7" i="16"/>
  <c r="K15" i="16"/>
  <c r="O8" i="17"/>
  <c r="Y12" i="17"/>
  <c r="Q17" i="17"/>
  <c r="O2" i="18"/>
  <c r="O6" i="18"/>
  <c r="M8" i="18"/>
  <c r="Y15" i="18"/>
  <c r="V2" i="19"/>
  <c r="H7" i="19"/>
  <c r="V8" i="19"/>
  <c r="P12" i="19"/>
  <c r="W13" i="19"/>
  <c r="G15" i="19"/>
  <c r="N8" i="18"/>
  <c r="Z15" i="18"/>
  <c r="L7" i="19"/>
  <c r="W8" i="19"/>
  <c r="Y13" i="19"/>
  <c r="Z12" i="10"/>
  <c r="D7" i="13"/>
  <c r="P7" i="16"/>
  <c r="Q8" i="17"/>
  <c r="AB12" i="17"/>
  <c r="U17" i="17"/>
  <c r="R2" i="18"/>
  <c r="Q6" i="18"/>
  <c r="O8" i="18"/>
  <c r="L14" i="18"/>
  <c r="AA15" i="18"/>
  <c r="X2" i="19"/>
  <c r="M7" i="19"/>
  <c r="Y8" i="19"/>
  <c r="R12" i="19"/>
  <c r="Z13" i="19"/>
  <c r="L15" i="19"/>
  <c r="C17" i="19"/>
  <c r="W17" i="17"/>
  <c r="S2" i="18"/>
  <c r="W6" i="18"/>
  <c r="P8" i="18"/>
  <c r="Q14" i="18"/>
  <c r="AB15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U7" i="16"/>
  <c r="U8" i="17"/>
  <c r="E12" i="17"/>
  <c r="N13" i="17"/>
  <c r="X2" i="18"/>
  <c r="S8" i="18"/>
  <c r="V14" i="18"/>
  <c r="C8" i="19"/>
  <c r="Y12" i="19"/>
  <c r="G14" i="19"/>
  <c r="Q15" i="19"/>
  <c r="M17" i="19"/>
  <c r="T8" i="18"/>
  <c r="X14" i="18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AA8" i="17"/>
  <c r="I12" i="17"/>
  <c r="G7" i="18"/>
  <c r="W8" i="18"/>
  <c r="E6" i="19"/>
  <c r="G8" i="19"/>
  <c r="C13" i="19"/>
  <c r="L14" i="19"/>
  <c r="AB15" i="19"/>
  <c r="V17" i="19"/>
  <c r="H7" i="18"/>
  <c r="X8" i="18"/>
  <c r="G6" i="19"/>
  <c r="H8" i="19"/>
  <c r="D13" i="19"/>
  <c r="O14" i="19"/>
  <c r="Y17" i="19"/>
  <c r="M12" i="17"/>
  <c r="AA7" i="18"/>
  <c r="Y8" i="18"/>
  <c r="C15" i="18"/>
  <c r="C2" i="19"/>
  <c r="H6" i="19"/>
  <c r="J8" i="19"/>
  <c r="E13" i="19"/>
  <c r="Q14" i="19"/>
  <c r="AA17" i="19"/>
  <c r="J6" i="19"/>
  <c r="K8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<sst xmlns="http://schemas.openxmlformats.org/spreadsheetml/2006/main" count="3113" uniqueCount="587">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</sst>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64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GA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3.8915649866462974E-2</v>
      </c>
      <c r="C2" s="7">
        <f>$B2 * IFERROR(VLOOKUP("transport|PM25|Premature mortality", US_national_yearly!$D:$AM, 11, FALSE) / VLOOKUP("transport|PM25|Premature mortality", US_national_yearly!$D:$AM, 10, FALSE), 1)</f>
        <v>3.9398118641700043E-2</v>
      </c>
      <c r="D2" s="7">
        <f>$B2 * IFERROR(VLOOKUP("transport|PM25|Premature mortality", US_national_yearly!$D:$AM, 12, FALSE) / VLOOKUP("transport|PM25|Premature mortality", US_national_yearly!$D:$AM, 10, FALSE), 1)</f>
        <v>3.9880587416937098E-2</v>
      </c>
      <c r="E2" s="7">
        <f>$B2 * IFERROR(VLOOKUP("transport|PM25|Premature mortality", US_national_yearly!$D:$AM, 13, FALSE) / VLOOKUP("transport|PM25|Premature mortality", US_national_yearly!$D:$AM, 10, FALSE), 1)</f>
        <v>4.0363056192174153E-2</v>
      </c>
      <c r="F2" s="7">
        <f>$B2 * IFERROR(VLOOKUP("transport|PM25|Premature mortality", US_national_yearly!$D:$AM, 14, FALSE) / VLOOKUP("transport|PM25|Premature mortality", US_national_yearly!$D:$AM, 10, FALSE), 1)</f>
        <v>4.0845524967411208E-2</v>
      </c>
      <c r="G2" s="7">
        <f>$B2 * IFERROR(VLOOKUP("transport|PM25|Premature mortality", US_national_yearly!$D:$AM, 15, FALSE) / VLOOKUP("transport|PM25|Premature mortality", US_national_yearly!$D:$AM, 10, FALSE), 1)</f>
        <v>4.1785129268492018E-2</v>
      </c>
      <c r="H2" s="7">
        <f>$B2 * IFERROR(VLOOKUP("transport|PM25|Premature mortality", US_national_yearly!$D:$AM, 16, FALSE) / VLOOKUP("transport|PM25|Premature mortality", US_national_yearly!$D:$AM, 10, FALSE), 1)</f>
        <v>4.272473356957282E-2</v>
      </c>
      <c r="I2" s="7">
        <f>$B2 * IFERROR(VLOOKUP("transport|PM25|Premature mortality", US_national_yearly!$D:$AM, 17, FALSE) / VLOOKUP("transport|PM25|Premature mortality", US_national_yearly!$D:$AM, 10, FALSE), 1)</f>
        <v>4.3341905227292997E-2</v>
      </c>
      <c r="J2" s="7">
        <f>$B2 * IFERROR(VLOOKUP("transport|PM25|Premature mortality", US_national_yearly!$D:$AM, 18, FALSE) / VLOOKUP("transport|PM25|Premature mortality", US_national_yearly!$D:$AM, 10, FALSE), 1)</f>
        <v>4.3959076885013194E-2</v>
      </c>
      <c r="K2" s="7">
        <f>$B2 * IFERROR(VLOOKUP("transport|PM25|Premature mortality", US_national_yearly!$D:$AM, 19, FALSE) / VLOOKUP("transport|PM25|Premature mortality", US_national_yearly!$D:$AM, 10, FALSE), 1)</f>
        <v>4.4576248542733385E-2</v>
      </c>
      <c r="L2" s="7">
        <f>$B2 * IFERROR(VLOOKUP("transport|PM25|Premature mortality", US_national_yearly!$D:$AM, 20, FALSE) / VLOOKUP("transport|PM25|Premature mortality", US_national_yearly!$D:$AM, 10, FALSE), 1)</f>
        <v>4.5193420200453582E-2</v>
      </c>
      <c r="M2" s="7">
        <f>$B2 * IFERROR(VLOOKUP("transport|PM25|Premature mortality", US_national_yearly!$D:$AM, 21, FALSE) / VLOOKUP("transport|PM25|Premature mortality", US_national_yearly!$D:$AM, 10, FALSE), 1)</f>
        <v>4.5810591858173766E-2</v>
      </c>
      <c r="N2" s="7">
        <f>$B2 * IFERROR(VLOOKUP("transport|PM25|Premature mortality", US_national_yearly!$D:$AM, 22, FALSE) / VLOOKUP("transport|PM25|Premature mortality", US_national_yearly!$D:$AM, 10, FALSE), 1)</f>
        <v>4.6289786371096188E-2</v>
      </c>
      <c r="O2" s="7">
        <f>$B2 * IFERROR(VLOOKUP("transport|PM25|Premature mortality", US_national_yearly!$D:$AM, 23, FALSE) / VLOOKUP("transport|PM25|Premature mortality", US_national_yearly!$D:$AM, 10, FALSE), 1)</f>
        <v>4.6768980884018603E-2</v>
      </c>
      <c r="P2" s="7">
        <f>$B2 * IFERROR(VLOOKUP("transport|PM25|Premature mortality", US_national_yearly!$D:$AM, 24, FALSE) / VLOOKUP("transport|PM25|Premature mortality", US_national_yearly!$D:$AM, 10, FALSE), 1)</f>
        <v>4.7248175396941025E-2</v>
      </c>
      <c r="Q2" s="7">
        <f>$B2 * IFERROR(VLOOKUP("transport|PM25|Premature mortality", US_national_yearly!$D:$AM, 25, FALSE) / VLOOKUP("transport|PM25|Premature mortality", US_national_yearly!$D:$AM, 10, FALSE), 1)</f>
        <v>4.7727369909863447E-2</v>
      </c>
      <c r="R2" s="7">
        <f>$B2 * IFERROR(VLOOKUP("transport|PM25|Premature mortality", US_national_yearly!$D:$AM, 26, FALSE) / VLOOKUP("transport|PM25|Premature mortality", US_national_yearly!$D:$AM, 10, FALSE), 1)</f>
        <v>4.8206564422785876E-2</v>
      </c>
      <c r="S2" s="7">
        <f>$B2 * IFERROR(VLOOKUP("transport|PM25|Premature mortality", US_national_yearly!$D:$AM, 27, FALSE) / VLOOKUP("transport|PM25|Premature mortality", US_national_yearly!$D:$AM, 10, FALSE), 1)</f>
        <v>4.8460427438388652E-2</v>
      </c>
      <c r="T2" s="7">
        <f>$B2 * IFERROR(VLOOKUP("transport|PM25|Premature mortality", US_national_yearly!$D:$AM, 28, FALSE) / VLOOKUP("transport|PM25|Premature mortality", US_national_yearly!$D:$AM, 10, FALSE), 1)</f>
        <v>4.8714290453991428E-2</v>
      </c>
      <c r="U2" s="7">
        <f>$B2 * IFERROR(VLOOKUP("transport|PM25|Premature mortality", US_national_yearly!$D:$AM, 29, FALSE) / VLOOKUP("transport|PM25|Premature mortality", US_national_yearly!$D:$AM, 10, FALSE), 1)</f>
        <v>4.8968153469594197E-2</v>
      </c>
      <c r="V2" s="7">
        <f>$B2 * IFERROR(VLOOKUP("transport|PM25|Premature mortality", US_national_yearly!$D:$AM, 30, FALSE) / VLOOKUP("transport|PM25|Premature mortality", US_national_yearly!$D:$AM, 10, FALSE), 1)</f>
        <v>4.9222016485196966E-2</v>
      </c>
      <c r="W2" s="7">
        <f>$B2 * IFERROR(VLOOKUP("transport|PM25|Premature mortality", US_national_yearly!$D:$AM, 31, FALSE) / VLOOKUP("transport|PM25|Premature mortality", US_national_yearly!$D:$AM, 10, FALSE), 1)</f>
        <v>4.9475879500799742E-2</v>
      </c>
      <c r="X2" s="7">
        <f>$B2 * IFERROR(VLOOKUP("transport|PM25|Premature mortality", US_national_yearly!$D:$AM, 32, FALSE) / VLOOKUP("transport|PM25|Premature mortality", US_national_yearly!$D:$AM, 10, FALSE), 1)</f>
        <v>4.9520269412844348E-2</v>
      </c>
      <c r="Y2" s="7">
        <f>$B2 * IFERROR(VLOOKUP("transport|PM25|Premature mortality", US_national_yearly!$D:$AM, 33, FALSE) / VLOOKUP("transport|PM25|Premature mortality", US_national_yearly!$D:$AM, 10, FALSE), 1)</f>
        <v>4.9564659324888967E-2</v>
      </c>
      <c r="Z2" s="7">
        <f>$B2 * IFERROR(VLOOKUP("transport|PM25|Premature mortality", US_national_yearly!$D:$AM, 34, FALSE) / VLOOKUP("transport|PM25|Premature mortality", US_national_yearly!$D:$AM, 10, FALSE), 1)</f>
        <v>4.9609049236933579E-2</v>
      </c>
      <c r="AA2" s="7">
        <f>$B2 * IFERROR(VLOOKUP("transport|PM25|Premature mortality", US_national_yearly!$D:$AM, 35, FALSE) / VLOOKUP("transport|PM25|Premature mortality", US_national_yearly!$D:$AM, 10, FALSE), 1)</f>
        <v>4.9653439148978198E-2</v>
      </c>
      <c r="AB2" s="7">
        <f>$B2 * IFERROR(VLOOKUP("transport|PM25|Premature mortality", US_national_yearly!$D:$AM, 36, FALSE) / VLOOKUP("transport|PM25|Premature mortality", US_national_yearly!$D:$AM, 10, FALSE), 1)</f>
        <v>4.9697829061022804E-2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1.3446290738453056E-4</v>
      </c>
      <c r="C3" s="7">
        <f>$B3 * IFERROR(VLOOKUP("transport|PM25|Infant mortality", US_national_yearly!$D:$AM, 11, FALSE) / VLOOKUP("transport|PM25|Infant mortality", US_national_yearly!$D:$AM, 10, FALSE), 1)</f>
        <v>1.3329051353041502E-4</v>
      </c>
      <c r="D3" s="7">
        <f>$B3 * IFERROR(VLOOKUP("transport|PM25|Infant mortality", US_national_yearly!$D:$AM, 12, FALSE) / VLOOKUP("transport|PM25|Infant mortality", US_national_yearly!$D:$AM, 10, FALSE), 1)</f>
        <v>1.3211811967629947E-4</v>
      </c>
      <c r="E3" s="7">
        <f>$B3 * IFERROR(VLOOKUP("transport|PM25|Infant mortality", US_national_yearly!$D:$AM, 13, FALSE) / VLOOKUP("transport|PM25|Infant mortality", US_national_yearly!$D:$AM, 10, FALSE), 1)</f>
        <v>1.3094572582218392E-4</v>
      </c>
      <c r="F3" s="7">
        <f>$B3 * IFERROR(VLOOKUP("transport|PM25|Infant mortality", US_national_yearly!$D:$AM, 14, FALSE) / VLOOKUP("transport|PM25|Infant mortality", US_national_yearly!$D:$AM, 10, FALSE), 1)</f>
        <v>1.2977333196806834E-4</v>
      </c>
      <c r="G3" s="7">
        <f>$B3 * IFERROR(VLOOKUP("transport|PM25|Infant mortality", US_national_yearly!$D:$AM, 15, FALSE) / VLOOKUP("transport|PM25|Infant mortality", US_national_yearly!$D:$AM, 10, FALSE), 1)</f>
        <v>8.6306207588139952E-5</v>
      </c>
      <c r="H3" s="7">
        <f>$B3 * IFERROR(VLOOKUP("transport|PM25|Infant mortality", US_national_yearly!$D:$AM, 16, FALSE) / VLOOKUP("transport|PM25|Infant mortality", US_national_yearly!$D:$AM, 10, FALSE), 1)</f>
        <v>4.2839083208211528E-5</v>
      </c>
      <c r="I3" s="7">
        <f>$B3 * IFERROR(VLOOKUP("transport|PM25|Infant mortality", US_national_yearly!$D:$AM, 17, FALSE) / VLOOKUP("transport|PM25|Infant mortality", US_national_yearly!$D:$AM, 10, FALSE), 1)</f>
        <v>4.2559059035591137E-5</v>
      </c>
      <c r="J3" s="7">
        <f>$B3 * IFERROR(VLOOKUP("transport|PM25|Infant mortality", US_national_yearly!$D:$AM, 18, FALSE) / VLOOKUP("transport|PM25|Infant mortality", US_national_yearly!$D:$AM, 10, FALSE), 1)</f>
        <v>4.2279034862970732E-5</v>
      </c>
      <c r="K3" s="7">
        <f>$B3 * IFERROR(VLOOKUP("transport|PM25|Infant mortality", US_national_yearly!$D:$AM, 19, FALSE) / VLOOKUP("transport|PM25|Infant mortality", US_national_yearly!$D:$AM, 10, FALSE), 1)</f>
        <v>4.1999010690350327E-5</v>
      </c>
      <c r="L3" s="7">
        <f>$B3 * IFERROR(VLOOKUP("transport|PM25|Infant mortality", US_national_yearly!$D:$AM, 20, FALSE) / VLOOKUP("transport|PM25|Infant mortality", US_national_yearly!$D:$AM, 10, FALSE), 1)</f>
        <v>4.1718986517729929E-5</v>
      </c>
      <c r="M3" s="7">
        <f>$B3 * IFERROR(VLOOKUP("transport|PM25|Infant mortality", US_national_yearly!$D:$AM, 21, FALSE) / VLOOKUP("transport|PM25|Infant mortality", US_national_yearly!$D:$AM, 10, FALSE), 1)</f>
        <v>4.1438962345109538E-5</v>
      </c>
      <c r="N3" s="7">
        <f>$B3 * IFERROR(VLOOKUP("transport|PM25|Infant mortality", US_national_yearly!$D:$AM, 22, FALSE) / VLOOKUP("transport|PM25|Infant mortality", US_national_yearly!$D:$AM, 10, FALSE), 1)</f>
        <v>4.1263076163000251E-5</v>
      </c>
      <c r="O3" s="7">
        <f>$B3 * IFERROR(VLOOKUP("transport|PM25|Infant mortality", US_national_yearly!$D:$AM, 23, FALSE) / VLOOKUP("transport|PM25|Infant mortality", US_national_yearly!$D:$AM, 10, FALSE), 1)</f>
        <v>4.1087189980890972E-5</v>
      </c>
      <c r="P3" s="7">
        <f>$B3 * IFERROR(VLOOKUP("transport|PM25|Infant mortality", US_national_yearly!$D:$AM, 24, FALSE) / VLOOKUP("transport|PM25|Infant mortality", US_national_yearly!$D:$AM, 10, FALSE), 1)</f>
        <v>4.0911303798781672E-5</v>
      </c>
      <c r="Q3" s="7">
        <f>$B3 * IFERROR(VLOOKUP("transport|PM25|Infant mortality", US_national_yearly!$D:$AM, 25, FALSE) / VLOOKUP("transport|PM25|Infant mortality", US_national_yearly!$D:$AM, 10, FALSE), 1)</f>
        <v>4.0735417616672399E-5</v>
      </c>
      <c r="R3" s="7">
        <f>$B3 * IFERROR(VLOOKUP("transport|PM25|Infant mortality", US_national_yearly!$D:$AM, 26, FALSE) / VLOOKUP("transport|PM25|Infant mortality", US_national_yearly!$D:$AM, 10, FALSE), 1)</f>
        <v>4.0559531434563113E-5</v>
      </c>
      <c r="S3" s="7">
        <f>$B3 * IFERROR(VLOOKUP("transport|PM25|Infant mortality", US_national_yearly!$D:$AM, 27, FALSE) / VLOOKUP("transport|PM25|Infant mortality", US_national_yearly!$D:$AM, 10, FALSE), 1)</f>
        <v>4.0340285712289714E-5</v>
      </c>
      <c r="T3" s="7">
        <f>$B3 * IFERROR(VLOOKUP("transport|PM25|Infant mortality", US_national_yearly!$D:$AM, 28, FALSE) / VLOOKUP("transport|PM25|Infant mortality", US_national_yearly!$D:$AM, 10, FALSE), 1)</f>
        <v>4.0121039990016314E-5</v>
      </c>
      <c r="U3" s="7">
        <f>$B3 * IFERROR(VLOOKUP("transport|PM25|Infant mortality", US_national_yearly!$D:$AM, 29, FALSE) / VLOOKUP("transport|PM25|Infant mortality", US_national_yearly!$D:$AM, 10, FALSE), 1)</f>
        <v>3.9901794267742922E-5</v>
      </c>
      <c r="V3" s="7">
        <f>$B3 * IFERROR(VLOOKUP("transport|PM25|Infant mortality", US_national_yearly!$D:$AM, 30, FALSE) / VLOOKUP("transport|PM25|Infant mortality", US_national_yearly!$D:$AM, 10, FALSE), 1)</f>
        <v>3.9682548545469529E-5</v>
      </c>
      <c r="W3" s="7">
        <f>$B3 * IFERROR(VLOOKUP("transport|PM25|Infant mortality", US_national_yearly!$D:$AM, 31, FALSE) / VLOOKUP("transport|PM25|Infant mortality", US_national_yearly!$D:$AM, 10, FALSE), 1)</f>
        <v>3.9463302823196123E-5</v>
      </c>
      <c r="X3" s="7">
        <f>$B3 * IFERROR(VLOOKUP("transport|PM25|Infant mortality", US_national_yearly!$D:$AM, 32, FALSE) / VLOOKUP("transport|PM25|Infant mortality", US_national_yearly!$D:$AM, 10, FALSE), 1)</f>
        <v>3.9226928378289107E-5</v>
      </c>
      <c r="Y3" s="7">
        <f>$B3 * IFERROR(VLOOKUP("transport|PM25|Infant mortality", US_national_yearly!$D:$AM, 33, FALSE) / VLOOKUP("transport|PM25|Infant mortality", US_national_yearly!$D:$AM, 10, FALSE), 1)</f>
        <v>3.8990553933382072E-5</v>
      </c>
      <c r="Z3" s="7">
        <f>$B3 * IFERROR(VLOOKUP("transport|PM25|Infant mortality", US_national_yearly!$D:$AM, 34, FALSE) / VLOOKUP("transport|PM25|Infant mortality", US_national_yearly!$D:$AM, 10, FALSE), 1)</f>
        <v>3.8754179488475049E-5</v>
      </c>
      <c r="AA3" s="7">
        <f>$B3 * IFERROR(VLOOKUP("transport|PM25|Infant mortality", US_national_yearly!$D:$AM, 35, FALSE) / VLOOKUP("transport|PM25|Infant mortality", US_national_yearly!$D:$AM, 10, FALSE), 1)</f>
        <v>3.851780504356802E-5</v>
      </c>
      <c r="AB3" s="7">
        <f>$B3 * IFERROR(VLOOKUP("transport|PM25|Infant mortality", US_national_yearly!$D:$AM, 36, FALSE) / VLOOKUP("transport|PM25|Infant mortality", US_national_yearly!$D:$AM, 10, FALSE), 1)</f>
        <v>3.8281430598660998E-5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0.12793395015711082</v>
      </c>
      <c r="C6" s="7">
        <f>$B6 * IFERROR(VLOOKUP("transport|PM25|Asthma symptoms cough", US_national_yearly!$D:$AM, 11, FALSE) / VLOOKUP("transport|PM25|Asthma symptoms cough", US_national_yearly!$D:$AM, 10, FALSE), 1)</f>
        <v>0.12793395015711082</v>
      </c>
      <c r="D6" s="7">
        <f>$B6 * IFERROR(VLOOKUP("transport|PM25|Asthma symptoms cough", US_national_yearly!$D:$AM, 12, FALSE) / VLOOKUP("transport|PM25|Asthma symptoms cough", US_national_yearly!$D:$AM, 10, FALSE), 1)</f>
        <v>0.12793395015711082</v>
      </c>
      <c r="E6" s="7">
        <f>$B6 * IFERROR(VLOOKUP("transport|PM25|Asthma symptoms cough", US_national_yearly!$D:$AM, 13, FALSE) / VLOOKUP("transport|PM25|Asthma symptoms cough", US_national_yearly!$D:$AM, 10, FALSE), 1)</f>
        <v>0.12793395015711082</v>
      </c>
      <c r="F6" s="7">
        <f>$B6 * IFERROR(VLOOKUP("transport|PM25|Asthma symptoms cough", US_national_yearly!$D:$AM, 14, FALSE) / VLOOKUP("transport|PM25|Asthma symptoms cough", US_national_yearly!$D:$AM, 10, FALSE), 1)</f>
        <v>0.12793395015711082</v>
      </c>
      <c r="G6" s="7">
        <f>$B6 * IFERROR(VLOOKUP("transport|PM25|Asthma symptoms cough", US_national_yearly!$D:$AM, 15, FALSE) / VLOOKUP("transport|PM25|Asthma symptoms cough", US_national_yearly!$D:$AM, 10, FALSE), 1)</f>
        <v>0.12793395015711082</v>
      </c>
      <c r="H6" s="7">
        <f>$B6 * IFERROR(VLOOKUP("transport|PM25|Asthma symptoms cough", US_national_yearly!$D:$AM, 16, FALSE) / VLOOKUP("transport|PM25|Asthma symptoms cough", US_national_yearly!$D:$AM, 10, FALSE), 1)</f>
        <v>0.12793395015711082</v>
      </c>
      <c r="I6" s="7">
        <f>$B6 * IFERROR(VLOOKUP("transport|PM25|Asthma symptoms cough", US_national_yearly!$D:$AM, 17, FALSE) / VLOOKUP("transport|PM25|Asthma symptoms cough", US_national_yearly!$D:$AM, 10, FALSE), 1)</f>
        <v>0.12793395015711082</v>
      </c>
      <c r="J6" s="7">
        <f>$B6 * IFERROR(VLOOKUP("transport|PM25|Asthma symptoms cough", US_national_yearly!$D:$AM, 18, FALSE) / VLOOKUP("transport|PM25|Asthma symptoms cough", US_national_yearly!$D:$AM, 10, FALSE), 1)</f>
        <v>0.12793395015711082</v>
      </c>
      <c r="K6" s="7">
        <f>$B6 * IFERROR(VLOOKUP("transport|PM25|Asthma symptoms cough", US_national_yearly!$D:$AM, 19, FALSE) / VLOOKUP("transport|PM25|Asthma symptoms cough", US_national_yearly!$D:$AM, 10, FALSE), 1)</f>
        <v>0.12793395015711082</v>
      </c>
      <c r="L6" s="7">
        <f>$B6 * IFERROR(VLOOKUP("transport|PM25|Asthma symptoms cough", US_national_yearly!$D:$AM, 20, FALSE) / VLOOKUP("transport|PM25|Asthma symptoms cough", US_national_yearly!$D:$AM, 10, FALSE), 1)</f>
        <v>0.12793395015711082</v>
      </c>
      <c r="M6" s="7">
        <f>$B6 * IFERROR(VLOOKUP("transport|PM25|Asthma symptoms cough", US_national_yearly!$D:$AM, 21, FALSE) / VLOOKUP("transport|PM25|Asthma symptoms cough", US_national_yearly!$D:$AM, 10, FALSE), 1)</f>
        <v>0.12793395015711082</v>
      </c>
      <c r="N6" s="7">
        <f>$B6 * IFERROR(VLOOKUP("transport|PM25|Asthma symptoms cough", US_national_yearly!$D:$AM, 22, FALSE) / VLOOKUP("transport|PM25|Asthma symptoms cough", US_national_yearly!$D:$AM, 10, FALSE), 1)</f>
        <v>0.12793395015711082</v>
      </c>
      <c r="O6" s="7">
        <f>$B6 * IFERROR(VLOOKUP("transport|PM25|Asthma symptoms cough", US_national_yearly!$D:$AM, 23, FALSE) / VLOOKUP("transport|PM25|Asthma symptoms cough", US_national_yearly!$D:$AM, 10, FALSE), 1)</f>
        <v>0.12793395015711082</v>
      </c>
      <c r="P6" s="7">
        <f>$B6 * IFERROR(VLOOKUP("transport|PM25|Asthma symptoms cough", US_national_yearly!$D:$AM, 24, FALSE) / VLOOKUP("transport|PM25|Asthma symptoms cough", US_national_yearly!$D:$AM, 10, FALSE), 1)</f>
        <v>0.12793395015711082</v>
      </c>
      <c r="Q6" s="7">
        <f>$B6 * IFERROR(VLOOKUP("transport|PM25|Asthma symptoms cough", US_national_yearly!$D:$AM, 25, FALSE) / VLOOKUP("transport|PM25|Asthma symptoms cough", US_national_yearly!$D:$AM, 10, FALSE), 1)</f>
        <v>0.12793395015711082</v>
      </c>
      <c r="R6" s="7">
        <f>$B6 * IFERROR(VLOOKUP("transport|PM25|Asthma symptoms cough", US_national_yearly!$D:$AM, 26, FALSE) / VLOOKUP("transport|PM25|Asthma symptoms cough", US_national_yearly!$D:$AM, 10, FALSE), 1)</f>
        <v>0.12793395015711082</v>
      </c>
      <c r="S6" s="7">
        <f>$B6 * IFERROR(VLOOKUP("transport|PM25|Asthma symptoms cough", US_national_yearly!$D:$AM, 27, FALSE) / VLOOKUP("transport|PM25|Asthma symptoms cough", US_national_yearly!$D:$AM, 10, FALSE), 1)</f>
        <v>0.12793395015711082</v>
      </c>
      <c r="T6" s="7">
        <f>$B6 * IFERROR(VLOOKUP("transport|PM25|Asthma symptoms cough", US_national_yearly!$D:$AM, 28, FALSE) / VLOOKUP("transport|PM25|Asthma symptoms cough", US_national_yearly!$D:$AM, 10, FALSE), 1)</f>
        <v>0.12793395015711082</v>
      </c>
      <c r="U6" s="7">
        <f>$B6 * IFERROR(VLOOKUP("transport|PM25|Asthma symptoms cough", US_national_yearly!$D:$AM, 29, FALSE) / VLOOKUP("transport|PM25|Asthma symptoms cough", US_national_yearly!$D:$AM, 10, FALSE), 1)</f>
        <v>0.12793395015711082</v>
      </c>
      <c r="V6" s="7">
        <f>$B6 * IFERROR(VLOOKUP("transport|PM25|Asthma symptoms cough", US_national_yearly!$D:$AM, 30, FALSE) / VLOOKUP("transport|PM25|Asthma symptoms cough", US_national_yearly!$D:$AM, 10, FALSE), 1)</f>
        <v>0.12793395015711082</v>
      </c>
      <c r="W6" s="7">
        <f>$B6 * IFERROR(VLOOKUP("transport|PM25|Asthma symptoms cough", US_national_yearly!$D:$AM, 31, FALSE) / VLOOKUP("transport|PM25|Asthma symptoms cough", US_national_yearly!$D:$AM, 10, FALSE), 1)</f>
        <v>0.12793395015711082</v>
      </c>
      <c r="X6" s="7">
        <f>$B6 * IFERROR(VLOOKUP("transport|PM25|Asthma symptoms cough", US_national_yearly!$D:$AM, 32, FALSE) / VLOOKUP("transport|PM25|Asthma symptoms cough", US_national_yearly!$D:$AM, 10, FALSE), 1)</f>
        <v>0.12793395015711082</v>
      </c>
      <c r="Y6" s="7">
        <f>$B6 * IFERROR(VLOOKUP("transport|PM25|Asthma symptoms cough", US_national_yearly!$D:$AM, 33, FALSE) / VLOOKUP("transport|PM25|Asthma symptoms cough", US_national_yearly!$D:$AM, 10, FALSE), 1)</f>
        <v>0.12793395015711082</v>
      </c>
      <c r="Z6" s="7">
        <f>$B6 * IFERROR(VLOOKUP("transport|PM25|Asthma symptoms cough", US_national_yearly!$D:$AM, 34, FALSE) / VLOOKUP("transport|PM25|Asthma symptoms cough", US_national_yearly!$D:$AM, 10, FALSE), 1)</f>
        <v>0.12793395015711082</v>
      </c>
      <c r="AA6" s="7">
        <f>$B6 * IFERROR(VLOOKUP("transport|PM25|Asthma symptoms cough", US_national_yearly!$D:$AM, 35, FALSE) / VLOOKUP("transport|PM25|Asthma symptoms cough", US_national_yearly!$D:$AM, 10, FALSE), 1)</f>
        <v>0.12793395015711082</v>
      </c>
      <c r="AB6" s="7">
        <f>$B6 * IFERROR(VLOOKUP("transport|PM25|Asthma symptoms cough", US_national_yearly!$D:$AM, 36, FALSE) / VLOOKUP("transport|PM25|Asthma symptoms cough", US_national_yearly!$D:$AM, 10, FALSE), 1)</f>
        <v>0.12793395015711082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0.17227417140073958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0.17227417140073958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0.17227417140073958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0.17227417140073958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0.17227417140073958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0.17227417140073958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0.17227417140073958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0.17227417140073958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0.17227417140073958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0.17227417140073958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0.17227417140073958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0.17227417140073958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0.17227417140073958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0.17227417140073958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0.17227417140073958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0.17227417140073958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0.17227417140073958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0.17227417140073958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0.17227417140073958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0.17227417140073958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0.17227417140073958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0.17227417140073958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0.17227417140073958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0.17227417140073958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0.17227417140073958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0.17227417140073958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0.17227417140073958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0.26323231813441028</v>
      </c>
      <c r="C8" s="7">
        <f>$B8 * IFERROR(VLOOKUP("transport|PM25|Asthma symptoms wheeze", US_national_yearly!$D:$AM, 11, FALSE) / VLOOKUP("transport|PM25|Asthma symptoms wheeze", US_national_yearly!$D:$AM, 10, FALSE), 1)</f>
        <v>0.26323231813441028</v>
      </c>
      <c r="D8" s="7">
        <f>$B8 * IFERROR(VLOOKUP("transport|PM25|Asthma symptoms wheeze", US_national_yearly!$D:$AM, 12, FALSE) / VLOOKUP("transport|PM25|Asthma symptoms wheeze", US_national_yearly!$D:$AM, 10, FALSE), 1)</f>
        <v>0.26323231813441028</v>
      </c>
      <c r="E8" s="7">
        <f>$B8 * IFERROR(VLOOKUP("transport|PM25|Asthma symptoms wheeze", US_national_yearly!$D:$AM, 13, FALSE) / VLOOKUP("transport|PM25|Asthma symptoms wheeze", US_national_yearly!$D:$AM, 10, FALSE), 1)</f>
        <v>0.26323231813441028</v>
      </c>
      <c r="F8" s="7">
        <f>$B8 * IFERROR(VLOOKUP("transport|PM25|Asthma symptoms wheeze", US_national_yearly!$D:$AM, 14, FALSE) / VLOOKUP("transport|PM25|Asthma symptoms wheeze", US_national_yearly!$D:$AM, 10, FALSE), 1)</f>
        <v>0.26323231813441028</v>
      </c>
      <c r="G8" s="7">
        <f>$B8 * IFERROR(VLOOKUP("transport|PM25|Asthma symptoms wheeze", US_national_yearly!$D:$AM, 15, FALSE) / VLOOKUP("transport|PM25|Asthma symptoms wheeze", US_national_yearly!$D:$AM, 10, FALSE), 1)</f>
        <v>0.26323231813441028</v>
      </c>
      <c r="H8" s="7">
        <f>$B8 * IFERROR(VLOOKUP("transport|PM25|Asthma symptoms wheeze", US_national_yearly!$D:$AM, 16, FALSE) / VLOOKUP("transport|PM25|Asthma symptoms wheeze", US_national_yearly!$D:$AM, 10, FALSE), 1)</f>
        <v>0.26323231813441028</v>
      </c>
      <c r="I8" s="7">
        <f>$B8 * IFERROR(VLOOKUP("transport|PM25|Asthma symptoms wheeze", US_national_yearly!$D:$AM, 17, FALSE) / VLOOKUP("transport|PM25|Asthma symptoms wheeze", US_national_yearly!$D:$AM, 10, FALSE), 1)</f>
        <v>0.26323231813441028</v>
      </c>
      <c r="J8" s="7">
        <f>$B8 * IFERROR(VLOOKUP("transport|PM25|Asthma symptoms wheeze", US_national_yearly!$D:$AM, 18, FALSE) / VLOOKUP("transport|PM25|Asthma symptoms wheeze", US_national_yearly!$D:$AM, 10, FALSE), 1)</f>
        <v>0.26323231813441028</v>
      </c>
      <c r="K8" s="7">
        <f>$B8 * IFERROR(VLOOKUP("transport|PM25|Asthma symptoms wheeze", US_national_yearly!$D:$AM, 19, FALSE) / VLOOKUP("transport|PM25|Asthma symptoms wheeze", US_national_yearly!$D:$AM, 10, FALSE), 1)</f>
        <v>0.26323231813441028</v>
      </c>
      <c r="L8" s="7">
        <f>$B8 * IFERROR(VLOOKUP("transport|PM25|Asthma symptoms wheeze", US_national_yearly!$D:$AM, 20, FALSE) / VLOOKUP("transport|PM25|Asthma symptoms wheeze", US_national_yearly!$D:$AM, 10, FALSE), 1)</f>
        <v>0.26323231813441028</v>
      </c>
      <c r="M8" s="7">
        <f>$B8 * IFERROR(VLOOKUP("transport|PM25|Asthma symptoms wheeze", US_national_yearly!$D:$AM, 21, FALSE) / VLOOKUP("transport|PM25|Asthma symptoms wheeze", US_national_yearly!$D:$AM, 10, FALSE), 1)</f>
        <v>0.26323231813441028</v>
      </c>
      <c r="N8" s="7">
        <f>$B8 * IFERROR(VLOOKUP("transport|PM25|Asthma symptoms wheeze", US_national_yearly!$D:$AM, 22, FALSE) / VLOOKUP("transport|PM25|Asthma symptoms wheeze", US_national_yearly!$D:$AM, 10, FALSE), 1)</f>
        <v>0.26323231813441028</v>
      </c>
      <c r="O8" s="7">
        <f>$B8 * IFERROR(VLOOKUP("transport|PM25|Asthma symptoms wheeze", US_national_yearly!$D:$AM, 23, FALSE) / VLOOKUP("transport|PM25|Asthma symptoms wheeze", US_national_yearly!$D:$AM, 10, FALSE), 1)</f>
        <v>0.26323231813441028</v>
      </c>
      <c r="P8" s="7">
        <f>$B8 * IFERROR(VLOOKUP("transport|PM25|Asthma symptoms wheeze", US_national_yearly!$D:$AM, 24, FALSE) / VLOOKUP("transport|PM25|Asthma symptoms wheeze", US_national_yearly!$D:$AM, 10, FALSE), 1)</f>
        <v>0.26323231813441028</v>
      </c>
      <c r="Q8" s="7">
        <f>$B8 * IFERROR(VLOOKUP("transport|PM25|Asthma symptoms wheeze", US_national_yearly!$D:$AM, 25, FALSE) / VLOOKUP("transport|PM25|Asthma symptoms wheeze", US_national_yearly!$D:$AM, 10, FALSE), 1)</f>
        <v>0.26323231813441028</v>
      </c>
      <c r="R8" s="7">
        <f>$B8 * IFERROR(VLOOKUP("transport|PM25|Asthma symptoms wheeze", US_national_yearly!$D:$AM, 26, FALSE) / VLOOKUP("transport|PM25|Asthma symptoms wheeze", US_national_yearly!$D:$AM, 10, FALSE), 1)</f>
        <v>0.26323231813441028</v>
      </c>
      <c r="S8" s="7">
        <f>$B8 * IFERROR(VLOOKUP("transport|PM25|Asthma symptoms wheeze", US_national_yearly!$D:$AM, 27, FALSE) / VLOOKUP("transport|PM25|Asthma symptoms wheeze", US_national_yearly!$D:$AM, 10, FALSE), 1)</f>
        <v>0.26323231813441028</v>
      </c>
      <c r="T8" s="7">
        <f>$B8 * IFERROR(VLOOKUP("transport|PM25|Asthma symptoms wheeze", US_national_yearly!$D:$AM, 28, FALSE) / VLOOKUP("transport|PM25|Asthma symptoms wheeze", US_national_yearly!$D:$AM, 10, FALSE), 1)</f>
        <v>0.26323231813441028</v>
      </c>
      <c r="U8" s="7">
        <f>$B8 * IFERROR(VLOOKUP("transport|PM25|Asthma symptoms wheeze", US_national_yearly!$D:$AM, 29, FALSE) / VLOOKUP("transport|PM25|Asthma symptoms wheeze", US_national_yearly!$D:$AM, 10, FALSE), 1)</f>
        <v>0.26323231813441028</v>
      </c>
      <c r="V8" s="7">
        <f>$B8 * IFERROR(VLOOKUP("transport|PM25|Asthma symptoms wheeze", US_national_yearly!$D:$AM, 30, FALSE) / VLOOKUP("transport|PM25|Asthma symptoms wheeze", US_national_yearly!$D:$AM, 10, FALSE), 1)</f>
        <v>0.26323231813441028</v>
      </c>
      <c r="W8" s="7">
        <f>$B8 * IFERROR(VLOOKUP("transport|PM25|Asthma symptoms wheeze", US_national_yearly!$D:$AM, 31, FALSE) / VLOOKUP("transport|PM25|Asthma symptoms wheeze", US_national_yearly!$D:$AM, 10, FALSE), 1)</f>
        <v>0.26323231813441028</v>
      </c>
      <c r="X8" s="7">
        <f>$B8 * IFERROR(VLOOKUP("transport|PM25|Asthma symptoms wheeze", US_national_yearly!$D:$AM, 32, FALSE) / VLOOKUP("transport|PM25|Asthma symptoms wheeze", US_national_yearly!$D:$AM, 10, FALSE), 1)</f>
        <v>0.26323231813441028</v>
      </c>
      <c r="Y8" s="7">
        <f>$B8 * IFERROR(VLOOKUP("transport|PM25|Asthma symptoms wheeze", US_national_yearly!$D:$AM, 33, FALSE) / VLOOKUP("transport|PM25|Asthma symptoms wheeze", US_national_yearly!$D:$AM, 10, FALSE), 1)</f>
        <v>0.26323231813441028</v>
      </c>
      <c r="Z8" s="7">
        <f>$B8 * IFERROR(VLOOKUP("transport|PM25|Asthma symptoms wheeze", US_national_yearly!$D:$AM, 34, FALSE) / VLOOKUP("transport|PM25|Asthma symptoms wheeze", US_national_yearly!$D:$AM, 10, FALSE), 1)</f>
        <v>0.26323231813441028</v>
      </c>
      <c r="AA8" s="7">
        <f>$B8 * IFERROR(VLOOKUP("transport|PM25|Asthma symptoms wheeze", US_national_yearly!$D:$AM, 35, FALSE) / VLOOKUP("transport|PM25|Asthma symptoms wheeze", US_national_yearly!$D:$AM, 10, FALSE), 1)</f>
        <v>0.26323231813441028</v>
      </c>
      <c r="AB8" s="7">
        <f>$B8 * IFERROR(VLOOKUP("transport|PM25|Asthma symptoms wheeze", US_national_yearly!$D:$AM, 36, FALSE) / VLOOKUP("transport|PM25|Asthma symptoms wheeze", US_national_yearly!$D:$AM, 10, FALSE), 1)</f>
        <v>0.26323231813441028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2.6591513489351119E-3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2.6743925326777693E-3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2.6896337164204259E-3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2.7048749001630833E-3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2.7201160839057403E-3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2.7365772124647043E-3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2.7530383410236678E-3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2.7687663239456726E-3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2.7844943068676786E-3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2.8002222897896842E-3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2.8159502727116903E-3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2.831678255633695E-3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2.842966687948127E-3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2.8542551202625581E-3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2.8655435525769888E-3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2.87683198489142E-3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2.888120417205852E-3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2.8988684922218733E-3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2.9096165672378954E-3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2.9203646422539171E-3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2.9311127172699384E-3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2.9418607922859601E-3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2.9522005775556468E-3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2.9625403628253323E-3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2.9728801480950187E-3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2.9832199333647042E-3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2.9935597186343905E-3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1.862573472696773E-2</v>
      </c>
      <c r="C13" s="7">
        <f>$B13 * IFERROR(VLOOKUP("transport|PM25|Non-fatal heart attacks", US_national_yearly!$D:$AM, 11, FALSE) / VLOOKUP("transport|PM25|Non-fatal heart attacks", US_national_yearly!$D:$AM, 10, FALSE), 1)</f>
        <v>1.9167234262523727E-2</v>
      </c>
      <c r="D13" s="7">
        <f>$B13 * IFERROR(VLOOKUP("transport|PM25|Non-fatal heart attacks", US_national_yearly!$D:$AM, 12, FALSE) / VLOOKUP("transport|PM25|Non-fatal heart attacks", US_national_yearly!$D:$AM, 10, FALSE), 1)</f>
        <v>1.9708733798079723E-2</v>
      </c>
      <c r="E13" s="7">
        <f>$B13 * IFERROR(VLOOKUP("transport|PM25|Non-fatal heart attacks", US_national_yearly!$D:$AM, 13, FALSE) / VLOOKUP("transport|PM25|Non-fatal heart attacks", US_national_yearly!$D:$AM, 10, FALSE), 1)</f>
        <v>2.0250233333635712E-2</v>
      </c>
      <c r="F13" s="7">
        <f>$B13 * IFERROR(VLOOKUP("transport|PM25|Non-fatal heart attacks", US_national_yearly!$D:$AM, 14, FALSE) / VLOOKUP("transport|PM25|Non-fatal heart attacks", US_national_yearly!$D:$AM, 10, FALSE), 1)</f>
        <v>2.0791732869191712E-2</v>
      </c>
      <c r="G13" s="7">
        <f>$B13 * IFERROR(VLOOKUP("transport|PM25|Non-fatal heart attacks", US_national_yearly!$D:$AM, 15, FALSE) / VLOOKUP("transport|PM25|Non-fatal heart attacks", US_national_yearly!$D:$AM, 10, FALSE), 1)</f>
        <v>2.1302401164157977E-2</v>
      </c>
      <c r="H13" s="7">
        <f>$B13 * IFERROR(VLOOKUP("transport|PM25|Non-fatal heart attacks", US_national_yearly!$D:$AM, 16, FALSE) / VLOOKUP("transport|PM25|Non-fatal heart attacks", US_national_yearly!$D:$AM, 10, FALSE), 1)</f>
        <v>2.1813069459124236E-2</v>
      </c>
      <c r="I13" s="7">
        <f>$B13 * IFERROR(VLOOKUP("transport|PM25|Non-fatal heart attacks", US_national_yearly!$D:$AM, 17, FALSE) / VLOOKUP("transport|PM25|Non-fatal heart attacks", US_national_yearly!$D:$AM, 10, FALSE), 1)</f>
        <v>2.2223476840845763E-2</v>
      </c>
      <c r="J13" s="7">
        <f>$B13 * IFERROR(VLOOKUP("transport|PM25|Non-fatal heart attacks", US_national_yearly!$D:$AM, 18, FALSE) / VLOOKUP("transport|PM25|Non-fatal heart attacks", US_national_yearly!$D:$AM, 10, FALSE), 1)</f>
        <v>2.2633884222567291E-2</v>
      </c>
      <c r="K13" s="7">
        <f>$B13 * IFERROR(VLOOKUP("transport|PM25|Non-fatal heart attacks", US_national_yearly!$D:$AM, 19, FALSE) / VLOOKUP("transport|PM25|Non-fatal heart attacks", US_national_yearly!$D:$AM, 10, FALSE), 1)</f>
        <v>2.3044291604288822E-2</v>
      </c>
      <c r="L13" s="7">
        <f>$B13 * IFERROR(VLOOKUP("transport|PM25|Non-fatal heart attacks", US_national_yearly!$D:$AM, 20, FALSE) / VLOOKUP("transport|PM25|Non-fatal heart attacks", US_national_yearly!$D:$AM, 10, FALSE), 1)</f>
        <v>2.3454698986010349E-2</v>
      </c>
      <c r="M13" s="7">
        <f>$B13 * IFERROR(VLOOKUP("transport|PM25|Non-fatal heart attacks", US_national_yearly!$D:$AM, 21, FALSE) / VLOOKUP("transport|PM25|Non-fatal heart attacks", US_national_yearly!$D:$AM, 10, FALSE), 1)</f>
        <v>2.386510636773188E-2</v>
      </c>
      <c r="N13" s="7">
        <f>$B13 * IFERROR(VLOOKUP("transport|PM25|Non-fatal heart attacks", US_national_yearly!$D:$AM, 22, FALSE) / VLOOKUP("transport|PM25|Non-fatal heart attacks", US_national_yearly!$D:$AM, 10, FALSE), 1)</f>
        <v>2.4129778603068492E-2</v>
      </c>
      <c r="O13" s="7">
        <f>$B13 * IFERROR(VLOOKUP("transport|PM25|Non-fatal heart attacks", US_national_yearly!$D:$AM, 23, FALSE) / VLOOKUP("transport|PM25|Non-fatal heart attacks", US_national_yearly!$D:$AM, 10, FALSE), 1)</f>
        <v>2.4394450838405111E-2</v>
      </c>
      <c r="P13" s="7">
        <f>$B13 * IFERROR(VLOOKUP("transport|PM25|Non-fatal heart attacks", US_national_yearly!$D:$AM, 24, FALSE) / VLOOKUP("transport|PM25|Non-fatal heart attacks", US_national_yearly!$D:$AM, 10, FALSE), 1)</f>
        <v>2.465912307374173E-2</v>
      </c>
      <c r="Q13" s="7">
        <f>$B13 * IFERROR(VLOOKUP("transport|PM25|Non-fatal heart attacks", US_national_yearly!$D:$AM, 25, FALSE) / VLOOKUP("transport|PM25|Non-fatal heart attacks", US_national_yearly!$D:$AM, 10, FALSE), 1)</f>
        <v>2.4923795309078345E-2</v>
      </c>
      <c r="R13" s="7">
        <f>$B13 * IFERROR(VLOOKUP("transport|PM25|Non-fatal heart attacks", US_national_yearly!$D:$AM, 26, FALSE) / VLOOKUP("transport|PM25|Non-fatal heart attacks", US_national_yearly!$D:$AM, 10, FALSE), 1)</f>
        <v>2.5188467544414964E-2</v>
      </c>
      <c r="S13" s="7">
        <f>$B13 * IFERROR(VLOOKUP("transport|PM25|Non-fatal heart attacks", US_national_yearly!$D:$AM, 27, FALSE) / VLOOKUP("transport|PM25|Non-fatal heart attacks", US_national_yearly!$D:$AM, 10, FALSE), 1)</f>
        <v>2.5327851505171278E-2</v>
      </c>
      <c r="T13" s="7">
        <f>$B13 * IFERROR(VLOOKUP("transport|PM25|Non-fatal heart attacks", US_national_yearly!$D:$AM, 28, FALSE) / VLOOKUP("transport|PM25|Non-fatal heart attacks", US_national_yearly!$D:$AM, 10, FALSE), 1)</f>
        <v>2.5467235465927603E-2</v>
      </c>
      <c r="U13" s="7">
        <f>$B13 * IFERROR(VLOOKUP("transport|PM25|Non-fatal heart attacks", US_national_yearly!$D:$AM, 29, FALSE) / VLOOKUP("transport|PM25|Non-fatal heart attacks", US_national_yearly!$D:$AM, 10, FALSE), 1)</f>
        <v>2.5606619426683928E-2</v>
      </c>
      <c r="V13" s="7">
        <f>$B13 * IFERROR(VLOOKUP("transport|PM25|Non-fatal heart attacks", US_national_yearly!$D:$AM, 30, FALSE) / VLOOKUP("transport|PM25|Non-fatal heart attacks", US_national_yearly!$D:$AM, 10, FALSE), 1)</f>
        <v>2.574600338744025E-2</v>
      </c>
      <c r="W13" s="7">
        <f>$B13 * IFERROR(VLOOKUP("transport|PM25|Non-fatal heart attacks", US_national_yearly!$D:$AM, 31, FALSE) / VLOOKUP("transport|PM25|Non-fatal heart attacks", US_national_yearly!$D:$AM, 10, FALSE), 1)</f>
        <v>2.5885387348196572E-2</v>
      </c>
      <c r="X13" s="7">
        <f>$B13 * IFERROR(VLOOKUP("transport|PM25|Non-fatal heart attacks", US_national_yearly!$D:$AM, 32, FALSE) / VLOOKUP("transport|PM25|Non-fatal heart attacks", US_national_yearly!$D:$AM, 10, FALSE), 1)</f>
        <v>2.5991199928917127E-2</v>
      </c>
      <c r="Y13" s="7">
        <f>$B13 * IFERROR(VLOOKUP("transport|PM25|Non-fatal heart attacks", US_national_yearly!$D:$AM, 33, FALSE) / VLOOKUP("transport|PM25|Non-fatal heart attacks", US_national_yearly!$D:$AM, 10, FALSE), 1)</f>
        <v>2.6097012509637689E-2</v>
      </c>
      <c r="Z13" s="7">
        <f>$B13 * IFERROR(VLOOKUP("transport|PM25|Non-fatal heart attacks", US_national_yearly!$D:$AM, 34, FALSE) / VLOOKUP("transport|PM25|Non-fatal heart attacks", US_national_yearly!$D:$AM, 10, FALSE), 1)</f>
        <v>2.6202825090358248E-2</v>
      </c>
      <c r="AA13" s="7">
        <f>$B13 * IFERROR(VLOOKUP("transport|PM25|Non-fatal heart attacks", US_national_yearly!$D:$AM, 35, FALSE) / VLOOKUP("transport|PM25|Non-fatal heart attacks", US_national_yearly!$D:$AM, 10, FALSE), 1)</f>
        <v>2.630863767107881E-2</v>
      </c>
      <c r="AB13" s="7">
        <f>$B13 * IFERROR(VLOOKUP("transport|PM25|Non-fatal heart attacks", US_national_yearly!$D:$AM, 36, FALSE) / VLOOKUP("transport|PM25|Non-fatal heart attacks", US_national_yearly!$D:$AM, 10, FALSE), 1)</f>
        <v>2.6414450251799365E-2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16.461618327039403</v>
      </c>
      <c r="C14" s="7">
        <f>$B14 * IFERROR(VLOOKUP("transport|PM25|Minor restricted activity days", US_national_yearly!$D:$AM, 11, FALSE) / VLOOKUP("transport|PM25|Minor restricted activity days", US_national_yearly!$D:$AM, 10, FALSE), 1)</f>
        <v>16.5018195511919</v>
      </c>
      <c r="D14" s="7">
        <f>$B14 * IFERROR(VLOOKUP("transport|PM25|Minor restricted activity days", US_national_yearly!$D:$AM, 12, FALSE) / VLOOKUP("transport|PM25|Minor restricted activity days", US_national_yearly!$D:$AM, 10, FALSE), 1)</f>
        <v>16.542020775344398</v>
      </c>
      <c r="E14" s="7">
        <f>$B14 * IFERROR(VLOOKUP("transport|PM25|Minor restricted activity days", US_national_yearly!$D:$AM, 13, FALSE) / VLOOKUP("transport|PM25|Minor restricted activity days", US_national_yearly!$D:$AM, 10, FALSE), 1)</f>
        <v>16.582221999496898</v>
      </c>
      <c r="F14" s="7">
        <f>$B14 * IFERROR(VLOOKUP("transport|PM25|Minor restricted activity days", US_national_yearly!$D:$AM, 14, FALSE) / VLOOKUP("transport|PM25|Minor restricted activity days", US_national_yearly!$D:$AM, 10, FALSE), 1)</f>
        <v>16.622423223649392</v>
      </c>
      <c r="G14" s="7">
        <f>$B14 * IFERROR(VLOOKUP("transport|PM25|Minor restricted activity days", US_national_yearly!$D:$AM, 15, FALSE) / VLOOKUP("transport|PM25|Minor restricted activity days", US_national_yearly!$D:$AM, 10, FALSE), 1)</f>
        <v>16.68173892676802</v>
      </c>
      <c r="H14" s="7">
        <f>$B14 * IFERROR(VLOOKUP("transport|PM25|Minor restricted activity days", US_national_yearly!$D:$AM, 16, FALSE) / VLOOKUP("transport|PM25|Minor restricted activity days", US_national_yearly!$D:$AM, 10, FALSE), 1)</f>
        <v>16.741054629886651</v>
      </c>
      <c r="I14" s="7">
        <f>$B14 * IFERROR(VLOOKUP("transport|PM25|Minor restricted activity days", US_national_yearly!$D:$AM, 17, FALSE) / VLOOKUP("transport|PM25|Minor restricted activity days", US_national_yearly!$D:$AM, 10, FALSE), 1)</f>
        <v>16.842457319828856</v>
      </c>
      <c r="J14" s="7">
        <f>$B14 * IFERROR(VLOOKUP("transport|PM25|Minor restricted activity days", US_national_yearly!$D:$AM, 18, FALSE) / VLOOKUP("transport|PM25|Minor restricted activity days", US_national_yearly!$D:$AM, 10, FALSE), 1)</f>
        <v>16.943860009771054</v>
      </c>
      <c r="K14" s="7">
        <f>$B14 * IFERROR(VLOOKUP("transport|PM25|Minor restricted activity days", US_national_yearly!$D:$AM, 19, FALSE) / VLOOKUP("transport|PM25|Minor restricted activity days", US_national_yearly!$D:$AM, 10, FALSE), 1)</f>
        <v>17.045262699713263</v>
      </c>
      <c r="L14" s="7">
        <f>$B14 * IFERROR(VLOOKUP("transport|PM25|Minor restricted activity days", US_national_yearly!$D:$AM, 20, FALSE) / VLOOKUP("transport|PM25|Minor restricted activity days", US_national_yearly!$D:$AM, 10, FALSE), 1)</f>
        <v>17.146665389655464</v>
      </c>
      <c r="M14" s="7">
        <f>$B14 * IFERROR(VLOOKUP("transport|PM25|Minor restricted activity days", US_national_yearly!$D:$AM, 21, FALSE) / VLOOKUP("transport|PM25|Minor restricted activity days", US_national_yearly!$D:$AM, 10, FALSE), 1)</f>
        <v>17.248068079597665</v>
      </c>
      <c r="N14" s="7">
        <f>$B14 * IFERROR(VLOOKUP("transport|PM25|Minor restricted activity days", US_national_yearly!$D:$AM, 22, FALSE) / VLOOKUP("transport|PM25|Minor restricted activity days", US_national_yearly!$D:$AM, 10, FALSE), 1)</f>
        <v>17.386198732538606</v>
      </c>
      <c r="O14" s="7">
        <f>$B14 * IFERROR(VLOOKUP("transport|PM25|Minor restricted activity days", US_national_yearly!$D:$AM, 23, FALSE) / VLOOKUP("transport|PM25|Minor restricted activity days", US_national_yearly!$D:$AM, 10, FALSE), 1)</f>
        <v>17.524329385479547</v>
      </c>
      <c r="P14" s="7">
        <f>$B14 * IFERROR(VLOOKUP("transport|PM25|Minor restricted activity days", US_national_yearly!$D:$AM, 24, FALSE) / VLOOKUP("transport|PM25|Minor restricted activity days", US_national_yearly!$D:$AM, 10, FALSE), 1)</f>
        <v>17.662460038420491</v>
      </c>
      <c r="Q14" s="7">
        <f>$B14 * IFERROR(VLOOKUP("transport|PM25|Minor restricted activity days", US_national_yearly!$D:$AM, 25, FALSE) / VLOOKUP("transport|PM25|Minor restricted activity days", US_national_yearly!$D:$AM, 10, FALSE), 1)</f>
        <v>17.800590691361428</v>
      </c>
      <c r="R14" s="7">
        <f>$B14 * IFERROR(VLOOKUP("transport|PM25|Minor restricted activity days", US_national_yearly!$D:$AM, 26, FALSE) / VLOOKUP("transport|PM25|Minor restricted activity days", US_national_yearly!$D:$AM, 10, FALSE), 1)</f>
        <v>17.938721344302369</v>
      </c>
      <c r="S14" s="7">
        <f>$B14 * IFERROR(VLOOKUP("transport|PM25|Minor restricted activity days", US_national_yearly!$D:$AM, 27, FALSE) / VLOOKUP("transport|PM25|Minor restricted activity days", US_national_yearly!$D:$AM, 10, FALSE), 1)</f>
        <v>18.077803257787544</v>
      </c>
      <c r="T14" s="7">
        <f>$B14 * IFERROR(VLOOKUP("transport|PM25|Minor restricted activity days", US_national_yearly!$D:$AM, 28, FALSE) / VLOOKUP("transport|PM25|Minor restricted activity days", US_national_yearly!$D:$AM, 10, FALSE), 1)</f>
        <v>18.216885171272722</v>
      </c>
      <c r="U14" s="7">
        <f>$B14 * IFERROR(VLOOKUP("transport|PM25|Minor restricted activity days", US_national_yearly!$D:$AM, 29, FALSE) / VLOOKUP("transport|PM25|Minor restricted activity days", US_national_yearly!$D:$AM, 10, FALSE), 1)</f>
        <v>18.355967084757896</v>
      </c>
      <c r="V14" s="7">
        <f>$B14 * IFERROR(VLOOKUP("transport|PM25|Minor restricted activity days", US_national_yearly!$D:$AM, 30, FALSE) / VLOOKUP("transport|PM25|Minor restricted activity days", US_national_yearly!$D:$AM, 10, FALSE), 1)</f>
        <v>18.495048998243075</v>
      </c>
      <c r="W14" s="7">
        <f>$B14 * IFERROR(VLOOKUP("transport|PM25|Minor restricted activity days", US_national_yearly!$D:$AM, 31, FALSE) / VLOOKUP("transport|PM25|Minor restricted activity days", US_national_yearly!$D:$AM, 10, FALSE), 1)</f>
        <v>18.634130911728249</v>
      </c>
      <c r="X14" s="7">
        <f>$B14 * IFERROR(VLOOKUP("transport|PM25|Minor restricted activity days", US_national_yearly!$D:$AM, 32, FALSE) / VLOOKUP("transport|PM25|Minor restricted activity days", US_national_yearly!$D:$AM, 10, FALSE), 1)</f>
        <v>18.754868004540089</v>
      </c>
      <c r="Y14" s="7">
        <f>$B14 * IFERROR(VLOOKUP("transport|PM25|Minor restricted activity days", US_national_yearly!$D:$AM, 33, FALSE) / VLOOKUP("transport|PM25|Minor restricted activity days", US_national_yearly!$D:$AM, 10, FALSE), 1)</f>
        <v>18.875605097351933</v>
      </c>
      <c r="Z14" s="7">
        <f>$B14 * IFERROR(VLOOKUP("transport|PM25|Minor restricted activity days", US_national_yearly!$D:$AM, 34, FALSE) / VLOOKUP("transport|PM25|Minor restricted activity days", US_national_yearly!$D:$AM, 10, FALSE), 1)</f>
        <v>18.996342190163773</v>
      </c>
      <c r="AA14" s="7">
        <f>$B14 * IFERROR(VLOOKUP("transport|PM25|Minor restricted activity days", US_national_yearly!$D:$AM, 35, FALSE) / VLOOKUP("transport|PM25|Minor restricted activity days", US_national_yearly!$D:$AM, 10, FALSE), 1)</f>
        <v>19.117079282975613</v>
      </c>
      <c r="AB14" s="7">
        <f>$B14 * IFERROR(VLOOKUP("transport|PM25|Minor restricted activity days", US_national_yearly!$D:$AM, 36, FALSE) / VLOOKUP("transport|PM25|Minor restricted activity days", US_national_yearly!$D:$AM, 10, FALSE), 1)</f>
        <v>19.237816375787453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2.8031691304045987</v>
      </c>
      <c r="C15" s="7">
        <f>$B15 * IFERROR(VLOOKUP("transport|PM25|Work loss days", US_national_yearly!$D:$AM, 11, FALSE) / VLOOKUP("transport|PM25|Work loss days", US_national_yearly!$D:$AM, 10, FALSE), 1)</f>
        <v>2.8118579450891978</v>
      </c>
      <c r="D15" s="7">
        <f>$B15 * IFERROR(VLOOKUP("transport|PM25|Work loss days", US_national_yearly!$D:$AM, 12, FALSE) / VLOOKUP("transport|PM25|Work loss days", US_national_yearly!$D:$AM, 10, FALSE), 1)</f>
        <v>2.8205467597737979</v>
      </c>
      <c r="E15" s="7">
        <f>$B15 * IFERROR(VLOOKUP("transport|PM25|Work loss days", US_national_yearly!$D:$AM, 13, FALSE) / VLOOKUP("transport|PM25|Work loss days", US_national_yearly!$D:$AM, 10, FALSE), 1)</f>
        <v>2.829235574458397</v>
      </c>
      <c r="F15" s="7">
        <f>$B15 * IFERROR(VLOOKUP("transport|PM25|Work loss days", US_national_yearly!$D:$AM, 14, FALSE) / VLOOKUP("transport|PM25|Work loss days", US_national_yearly!$D:$AM, 10, FALSE), 1)</f>
        <v>2.8379243891429962</v>
      </c>
      <c r="G15" s="7">
        <f>$B15 * IFERROR(VLOOKUP("transport|PM25|Work loss days", US_national_yearly!$D:$AM, 15, FALSE) / VLOOKUP("transport|PM25|Work loss days", US_national_yearly!$D:$AM, 10, FALSE), 1)</f>
        <v>2.8493159796361041</v>
      </c>
      <c r="H15" s="7">
        <f>$B15 * IFERROR(VLOOKUP("transport|PM25|Work loss days", US_national_yearly!$D:$AM, 16, FALSE) / VLOOKUP("transport|PM25|Work loss days", US_national_yearly!$D:$AM, 10, FALSE), 1)</f>
        <v>2.8607075701292128</v>
      </c>
      <c r="I15" s="7">
        <f>$B15 * IFERROR(VLOOKUP("transport|PM25|Work loss days", US_national_yearly!$D:$AM, 17, FALSE) / VLOOKUP("transport|PM25|Work loss days", US_national_yearly!$D:$AM, 10, FALSE), 1)</f>
        <v>2.8774829400333455</v>
      </c>
      <c r="J15" s="7">
        <f>$B15 * IFERROR(VLOOKUP("transport|PM25|Work loss days", US_national_yearly!$D:$AM, 18, FALSE) / VLOOKUP("transport|PM25|Work loss days", US_national_yearly!$D:$AM, 10, FALSE), 1)</f>
        <v>2.8942583099374786</v>
      </c>
      <c r="K15" s="7">
        <f>$B15 * IFERROR(VLOOKUP("transport|PM25|Work loss days", US_national_yearly!$D:$AM, 19, FALSE) / VLOOKUP("transport|PM25|Work loss days", US_national_yearly!$D:$AM, 10, FALSE), 1)</f>
        <v>2.9110336798416112</v>
      </c>
      <c r="L15" s="7">
        <f>$B15 * IFERROR(VLOOKUP("transport|PM25|Work loss days", US_national_yearly!$D:$AM, 20, FALSE) / VLOOKUP("transport|PM25|Work loss days", US_national_yearly!$D:$AM, 10, FALSE), 1)</f>
        <v>2.9278090497457443</v>
      </c>
      <c r="M15" s="7">
        <f>$B15 * IFERROR(VLOOKUP("transport|PM25|Work loss days", US_national_yearly!$D:$AM, 21, FALSE) / VLOOKUP("transport|PM25|Work loss days", US_national_yearly!$D:$AM, 10, FALSE), 1)</f>
        <v>2.9445844196498769</v>
      </c>
      <c r="N15" s="7">
        <f>$B15 * IFERROR(VLOOKUP("transport|PM25|Work loss days", US_national_yearly!$D:$AM, 22, FALSE) / VLOOKUP("transport|PM25|Work loss days", US_national_yearly!$D:$AM, 10, FALSE), 1)</f>
        <v>2.9656974923818642</v>
      </c>
      <c r="O15" s="7">
        <f>$B15 * IFERROR(VLOOKUP("transport|PM25|Work loss days", US_national_yearly!$D:$AM, 23, FALSE) / VLOOKUP("transport|PM25|Work loss days", US_national_yearly!$D:$AM, 10, FALSE), 1)</f>
        <v>2.9868105651138506</v>
      </c>
      <c r="P15" s="7">
        <f>$B15 * IFERROR(VLOOKUP("transport|PM25|Work loss days", US_national_yearly!$D:$AM, 24, FALSE) / VLOOKUP("transport|PM25|Work loss days", US_national_yearly!$D:$AM, 10, FALSE), 1)</f>
        <v>3.0079236378458374</v>
      </c>
      <c r="Q15" s="7">
        <f>$B15 * IFERROR(VLOOKUP("transport|PM25|Work loss days", US_national_yearly!$D:$AM, 25, FALSE) / VLOOKUP("transport|PM25|Work loss days", US_national_yearly!$D:$AM, 10, FALSE), 1)</f>
        <v>3.0290367105778238</v>
      </c>
      <c r="R15" s="7">
        <f>$B15 * IFERROR(VLOOKUP("transport|PM25|Work loss days", US_national_yearly!$D:$AM, 26, FALSE) / VLOOKUP("transport|PM25|Work loss days", US_national_yearly!$D:$AM, 10, FALSE), 1)</f>
        <v>3.050149783309811</v>
      </c>
      <c r="S15" s="7">
        <f>$B15 * IFERROR(VLOOKUP("transport|PM25|Work loss days", US_national_yearly!$D:$AM, 27, FALSE) / VLOOKUP("transport|PM25|Work loss days", US_national_yearly!$D:$AM, 10, FALSE), 1)</f>
        <v>3.0735017431413683</v>
      </c>
      <c r="T15" s="7">
        <f>$B15 * IFERROR(VLOOKUP("transport|PM25|Work loss days", US_national_yearly!$D:$AM, 28, FALSE) / VLOOKUP("transport|PM25|Work loss days", US_national_yearly!$D:$AM, 10, FALSE), 1)</f>
        <v>3.0968537029729268</v>
      </c>
      <c r="U15" s="7">
        <f>$B15 * IFERROR(VLOOKUP("transport|PM25|Work loss days", US_national_yearly!$D:$AM, 29, FALSE) / VLOOKUP("transport|PM25|Work loss days", US_national_yearly!$D:$AM, 10, FALSE), 1)</f>
        <v>3.1202056628044836</v>
      </c>
      <c r="V15" s="7">
        <f>$B15 * IFERROR(VLOOKUP("transport|PM25|Work loss days", US_national_yearly!$D:$AM, 30, FALSE) / VLOOKUP("transport|PM25|Work loss days", US_national_yearly!$D:$AM, 10, FALSE), 1)</f>
        <v>3.1435576226360418</v>
      </c>
      <c r="W15" s="7">
        <f>$B15 * IFERROR(VLOOKUP("transport|PM25|Work loss days", US_national_yearly!$D:$AM, 31, FALSE) / VLOOKUP("transport|PM25|Work loss days", US_national_yearly!$D:$AM, 10, FALSE), 1)</f>
        <v>3.1669095824675995</v>
      </c>
      <c r="X15" s="7">
        <f>$B15 * IFERROR(VLOOKUP("transport|PM25|Work loss days", US_national_yearly!$D:$AM, 32, FALSE) / VLOOKUP("transport|PM25|Work loss days", US_national_yearly!$D:$AM, 10, FALSE), 1)</f>
        <v>3.1876290689463476</v>
      </c>
      <c r="Y15" s="7">
        <f>$B15 * IFERROR(VLOOKUP("transport|PM25|Work loss days", US_national_yearly!$D:$AM, 33, FALSE) / VLOOKUP("transport|PM25|Work loss days", US_national_yearly!$D:$AM, 10, FALSE), 1)</f>
        <v>3.2083485554250957</v>
      </c>
      <c r="Z15" s="7">
        <f>$B15 * IFERROR(VLOOKUP("transport|PM25|Work loss days", US_national_yearly!$D:$AM, 34, FALSE) / VLOOKUP("transport|PM25|Work loss days", US_national_yearly!$D:$AM, 10, FALSE), 1)</f>
        <v>3.2290680419038442</v>
      </c>
      <c r="AA15" s="7">
        <f>$B15 * IFERROR(VLOOKUP("transport|PM25|Work loss days", US_national_yearly!$D:$AM, 35, FALSE) / VLOOKUP("transport|PM25|Work loss days", US_national_yearly!$D:$AM, 10, FALSE), 1)</f>
        <v>3.2497875283825932</v>
      </c>
      <c r="AB15" s="7">
        <f>$B15 * IFERROR(VLOOKUP("transport|PM25|Work loss days", US_national_yearly!$D:$AM, 36, FALSE) / VLOOKUP("transport|PM25|Work loss days", US_national_yearly!$D:$AM, 10, FALSE), 1)</f>
        <v>3.2705070148613413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4.8061919243291432E-3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4.9498042904667404E-3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5.0934166566043394E-3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5.2370290227419384E-3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5.3806413888795365E-3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5.518196382629059E-3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5.6557513763785833E-3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5.773395959105072E-3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5.8910405418315598E-3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6.0086851245580476E-3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6.126329707284538E-3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6.243974290011025E-3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6.3224106192974342E-3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6.4008469485838434E-3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6.4792832778702526E-3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6.5577196071566618E-3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6.636155936443071E-3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6.6776560775351117E-3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6.7191562186271524E-3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6.7606563597191914E-3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6.8021565008112321E-3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6.8436566419032719E-3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6.8715950827780495E-3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6.8995335236528271E-3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6.9274719645276046E-3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6.9554104054023813E-3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6.9833488462771589E-3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1.1858391670219106E-3</v>
      </c>
      <c r="C2" s="7">
        <f>$B2 * IFERROR(VLOOKUP("transport|NOx|Premature mortality", US_national_yearly!$D:$AM, 11, FALSE) / VLOOKUP("transport|NOx|Premature mortality", US_national_yearly!$D:$AM, 10, FALSE), 1)</f>
        <v>1.2032571400169294E-3</v>
      </c>
      <c r="D2" s="7">
        <f>$B2 * IFERROR(VLOOKUP("transport|NOx|Premature mortality", US_national_yearly!$D:$AM, 12, FALSE) / VLOOKUP("transport|NOx|Premature mortality", US_national_yearly!$D:$AM, 10, FALSE), 1)</f>
        <v>1.2206751130119479E-3</v>
      </c>
      <c r="E2" s="7">
        <f>$B2 * IFERROR(VLOOKUP("transport|NOx|Premature mortality", US_national_yearly!$D:$AM, 13, FALSE) / VLOOKUP("transport|NOx|Premature mortality", US_national_yearly!$D:$AM, 10, FALSE), 1)</f>
        <v>1.2380930860069667E-3</v>
      </c>
      <c r="F2" s="7">
        <f>$B2 * IFERROR(VLOOKUP("transport|NOx|Premature mortality", US_national_yearly!$D:$AM, 14, FALSE) / VLOOKUP("transport|NOx|Premature mortality", US_national_yearly!$D:$AM, 10, FALSE), 1)</f>
        <v>1.2555110590019855E-3</v>
      </c>
      <c r="G2" s="7">
        <f>$B2 * IFERROR(VLOOKUP("transport|NOx|Premature mortality", US_national_yearly!$D:$AM, 15, FALSE) / VLOOKUP("transport|NOx|Premature mortality", US_national_yearly!$D:$AM, 10, FALSE), 1)</f>
        <v>1.2867978565314453E-3</v>
      </c>
      <c r="H2" s="7">
        <f>$B2 * IFERROR(VLOOKUP("transport|NOx|Premature mortality", US_national_yearly!$D:$AM, 16, FALSE) / VLOOKUP("transport|NOx|Premature mortality", US_national_yearly!$D:$AM, 10, FALSE), 1)</f>
        <v>1.3180846540609057E-3</v>
      </c>
      <c r="I2" s="7">
        <f>$B2 * IFERROR(VLOOKUP("transport|NOx|Premature mortality", US_national_yearly!$D:$AM, 17, FALSE) / VLOOKUP("transport|NOx|Premature mortality", US_national_yearly!$D:$AM, 10, FALSE), 1)</f>
        <v>1.3382808753340148E-3</v>
      </c>
      <c r="J2" s="7">
        <f>$B2 * IFERROR(VLOOKUP("transport|NOx|Premature mortality", US_national_yearly!$D:$AM, 18, FALSE) / VLOOKUP("transport|NOx|Premature mortality", US_national_yearly!$D:$AM, 10, FALSE), 1)</f>
        <v>1.3584770966071239E-3</v>
      </c>
      <c r="K2" s="7">
        <f>$B2 * IFERROR(VLOOKUP("transport|NOx|Premature mortality", US_national_yearly!$D:$AM, 19, FALSE) / VLOOKUP("transport|NOx|Premature mortality", US_national_yearly!$D:$AM, 10, FALSE), 1)</f>
        <v>1.3786733178802327E-3</v>
      </c>
      <c r="L2" s="7">
        <f>$B2 * IFERROR(VLOOKUP("transport|NOx|Premature mortality", US_national_yearly!$D:$AM, 20, FALSE) / VLOOKUP("transport|NOx|Premature mortality", US_national_yearly!$D:$AM, 10, FALSE), 1)</f>
        <v>1.3988695391533416E-3</v>
      </c>
      <c r="M2" s="7">
        <f>$B2 * IFERROR(VLOOKUP("transport|NOx|Premature mortality", US_national_yearly!$D:$AM, 21, FALSE) / VLOOKUP("transport|NOx|Premature mortality", US_national_yearly!$D:$AM, 10, FALSE), 1)</f>
        <v>1.4190657604264509E-3</v>
      </c>
      <c r="N2" s="7">
        <f>$B2 * IFERROR(VLOOKUP("transport|NOx|Premature mortality", US_national_yearly!$D:$AM, 22, FALSE) / VLOOKUP("transport|NOx|Premature mortality", US_national_yearly!$D:$AM, 10, FALSE), 1)</f>
        <v>1.4340270426318772E-3</v>
      </c>
      <c r="O2" s="7">
        <f>$B2 * IFERROR(VLOOKUP("transport|NOx|Premature mortality", US_national_yearly!$D:$AM, 23, FALSE) / VLOOKUP("transport|NOx|Premature mortality", US_national_yearly!$D:$AM, 10, FALSE), 1)</f>
        <v>1.4489883248373038E-3</v>
      </c>
      <c r="P2" s="7">
        <f>$B2 * IFERROR(VLOOKUP("transport|NOx|Premature mortality", US_national_yearly!$D:$AM, 24, FALSE) / VLOOKUP("transport|NOx|Premature mortality", US_national_yearly!$D:$AM, 10, FALSE), 1)</f>
        <v>1.4639496070427301E-3</v>
      </c>
      <c r="Q2" s="7">
        <f>$B2 * IFERROR(VLOOKUP("transport|NOx|Premature mortality", US_national_yearly!$D:$AM, 25, FALSE) / VLOOKUP("transport|NOx|Premature mortality", US_national_yearly!$D:$AM, 10, FALSE), 1)</f>
        <v>1.4789108892481566E-3</v>
      </c>
      <c r="R2" s="7">
        <f>$B2 * IFERROR(VLOOKUP("transport|NOx|Premature mortality", US_national_yearly!$D:$AM, 26, FALSE) / VLOOKUP("transport|NOx|Premature mortality", US_national_yearly!$D:$AM, 10, FALSE), 1)</f>
        <v>1.4938721714535831E-3</v>
      </c>
      <c r="S2" s="7">
        <f>$B2 * IFERROR(VLOOKUP("transport|NOx|Premature mortality", US_national_yearly!$D:$AM, 27, FALSE) / VLOOKUP("transport|NOx|Premature mortality", US_national_yearly!$D:$AM, 10, FALSE), 1)</f>
        <v>1.500672224874059E-3</v>
      </c>
      <c r="T2" s="7">
        <f>$B2 * IFERROR(VLOOKUP("transport|NOx|Premature mortality", US_national_yearly!$D:$AM, 28, FALSE) / VLOOKUP("transport|NOx|Premature mortality", US_national_yearly!$D:$AM, 10, FALSE), 1)</f>
        <v>1.5074722782945354E-3</v>
      </c>
      <c r="U2" s="7">
        <f>$B2 * IFERROR(VLOOKUP("transport|NOx|Premature mortality", US_national_yearly!$D:$AM, 29, FALSE) / VLOOKUP("transport|NOx|Premature mortality", US_national_yearly!$D:$AM, 10, FALSE), 1)</f>
        <v>1.5142723317150112E-3</v>
      </c>
      <c r="V2" s="7">
        <f>$B2 * IFERROR(VLOOKUP("transport|NOx|Premature mortality", US_national_yearly!$D:$AM, 30, FALSE) / VLOOKUP("transport|NOx|Premature mortality", US_national_yearly!$D:$AM, 10, FALSE), 1)</f>
        <v>1.5210723851354871E-3</v>
      </c>
      <c r="W2" s="7">
        <f>$B2 * IFERROR(VLOOKUP("transport|NOx|Premature mortality", US_national_yearly!$D:$AM, 31, FALSE) / VLOOKUP("transport|NOx|Premature mortality", US_national_yearly!$D:$AM, 10, FALSE), 1)</f>
        <v>1.5278724385559635E-3</v>
      </c>
      <c r="X2" s="7">
        <f>$B2 * IFERROR(VLOOKUP("transport|NOx|Premature mortality", US_national_yearly!$D:$AM, 32, FALSE) / VLOOKUP("transport|NOx|Premature mortality", US_national_yearly!$D:$AM, 10, FALSE), 1)</f>
        <v>1.5281079885031868E-3</v>
      </c>
      <c r="Y2" s="7">
        <f>$B2 * IFERROR(VLOOKUP("transport|NOx|Premature mortality", US_national_yearly!$D:$AM, 33, FALSE) / VLOOKUP("transport|NOx|Premature mortality", US_national_yearly!$D:$AM, 10, FALSE), 1)</f>
        <v>1.5283435384504103E-3</v>
      </c>
      <c r="Z2" s="7">
        <f>$B2 * IFERROR(VLOOKUP("transport|NOx|Premature mortality", US_national_yearly!$D:$AM, 34, FALSE) / VLOOKUP("transport|NOx|Premature mortality", US_national_yearly!$D:$AM, 10, FALSE), 1)</f>
        <v>1.5285790883976334E-3</v>
      </c>
      <c r="AA2" s="7">
        <f>$B2 * IFERROR(VLOOKUP("transport|NOx|Premature mortality", US_national_yearly!$D:$AM, 35, FALSE) / VLOOKUP("transport|NOx|Premature mortality", US_national_yearly!$D:$AM, 10, FALSE), 1)</f>
        <v>1.5288146383448571E-3</v>
      </c>
      <c r="AB2" s="7">
        <f>$B2 * IFERROR(VLOOKUP("transport|NOx|Premature mortality", US_national_yearly!$D:$AM, 36, FALSE) / VLOOKUP("transport|NOx|Premature mortality", US_national_yearly!$D:$AM, 10, FALSE), 1)</f>
        <v>1.5290501882920806E-3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3.9489580999417291E-6</v>
      </c>
      <c r="C3" s="7">
        <f>$B3 * IFERROR(VLOOKUP("transport|NOx|Infant mortality", US_national_yearly!$D:$AM, 11, FALSE) / VLOOKUP("transport|NOx|Infant mortality", US_national_yearly!$D:$AM, 10, FALSE), 1)</f>
        <v>3.9113342114528279E-6</v>
      </c>
      <c r="D3" s="7">
        <f>$B3 * IFERROR(VLOOKUP("transport|NOx|Infant mortality", US_national_yearly!$D:$AM, 12, FALSE) / VLOOKUP("transport|NOx|Infant mortality", US_national_yearly!$D:$AM, 10, FALSE), 1)</f>
        <v>3.8737103229639259E-6</v>
      </c>
      <c r="E3" s="7">
        <f>$B3 * IFERROR(VLOOKUP("transport|NOx|Infant mortality", US_national_yearly!$D:$AM, 13, FALSE) / VLOOKUP("transport|NOx|Infant mortality", US_national_yearly!$D:$AM, 10, FALSE), 1)</f>
        <v>3.8360864344750247E-6</v>
      </c>
      <c r="F3" s="7">
        <f>$B3 * IFERROR(VLOOKUP("transport|NOx|Infant mortality", US_national_yearly!$D:$AM, 14, FALSE) / VLOOKUP("transport|NOx|Infant mortality", US_national_yearly!$D:$AM, 10, FALSE), 1)</f>
        <v>3.7984625459861239E-6</v>
      </c>
      <c r="G3" s="7">
        <f>$B3 * IFERROR(VLOOKUP("transport|NOx|Infant mortality", US_national_yearly!$D:$AM, 15, FALSE) / VLOOKUP("transport|NOx|Infant mortality", US_national_yearly!$D:$AM, 10, FALSE), 1)</f>
        <v>2.5216070098386465E-6</v>
      </c>
      <c r="H3" s="7">
        <f>$B3 * IFERROR(VLOOKUP("transport|NOx|Infant mortality", US_national_yearly!$D:$AM, 16, FALSE) / VLOOKUP("transport|NOx|Infant mortality", US_national_yearly!$D:$AM, 10, FALSE), 1)</f>
        <v>1.2447514736911691E-6</v>
      </c>
      <c r="I3" s="7">
        <f>$B3 * IFERROR(VLOOKUP("transport|NOx|Infant mortality", US_national_yearly!$D:$AM, 17, FALSE) / VLOOKUP("transport|NOx|Infant mortality", US_national_yearly!$D:$AM, 10, FALSE), 1)</f>
        <v>1.2359498922786224E-6</v>
      </c>
      <c r="J3" s="7">
        <f>$B3 * IFERROR(VLOOKUP("transport|NOx|Infant mortality", US_national_yearly!$D:$AM, 18, FALSE) / VLOOKUP("transport|NOx|Infant mortality", US_national_yearly!$D:$AM, 10, FALSE), 1)</f>
        <v>1.2271483108660755E-6</v>
      </c>
      <c r="K3" s="7">
        <f>$B3 * IFERROR(VLOOKUP("transport|NOx|Infant mortality", US_national_yearly!$D:$AM, 19, FALSE) / VLOOKUP("transport|NOx|Infant mortality", US_national_yearly!$D:$AM, 10, FALSE), 1)</f>
        <v>1.2183467294535288E-6</v>
      </c>
      <c r="L3" s="7">
        <f>$B3 * IFERROR(VLOOKUP("transport|NOx|Infant mortality", US_national_yearly!$D:$AM, 20, FALSE) / VLOOKUP("transport|NOx|Infant mortality", US_national_yearly!$D:$AM, 10, FALSE), 1)</f>
        <v>1.2095451480409821E-6</v>
      </c>
      <c r="M3" s="7">
        <f>$B3 * IFERROR(VLOOKUP("transport|NOx|Infant mortality", US_national_yearly!$D:$AM, 21, FALSE) / VLOOKUP("transport|NOx|Infant mortality", US_national_yearly!$D:$AM, 10, FALSE), 1)</f>
        <v>1.2007435666284352E-6</v>
      </c>
      <c r="N3" s="7">
        <f>$B3 * IFERROR(VLOOKUP("transport|NOx|Infant mortality", US_national_yearly!$D:$AM, 22, FALSE) / VLOOKUP("transport|NOx|Infant mortality", US_national_yearly!$D:$AM, 10, FALSE), 1)</f>
        <v>1.1949014449027742E-6</v>
      </c>
      <c r="O3" s="7">
        <f>$B3 * IFERROR(VLOOKUP("transport|NOx|Infant mortality", US_national_yearly!$D:$AM, 23, FALSE) / VLOOKUP("transport|NOx|Infant mortality", US_national_yearly!$D:$AM, 10, FALSE), 1)</f>
        <v>1.189059323177113E-6</v>
      </c>
      <c r="P3" s="7">
        <f>$B3 * IFERROR(VLOOKUP("transport|NOx|Infant mortality", US_national_yearly!$D:$AM, 24, FALSE) / VLOOKUP("transport|NOx|Infant mortality", US_national_yearly!$D:$AM, 10, FALSE), 1)</f>
        <v>1.183217201451452E-6</v>
      </c>
      <c r="Q3" s="7">
        <f>$B3 * IFERROR(VLOOKUP("transport|NOx|Infant mortality", US_national_yearly!$D:$AM, 25, FALSE) / VLOOKUP("transport|NOx|Infant mortality", US_national_yearly!$D:$AM, 10, FALSE), 1)</f>
        <v>1.177375079725791E-6</v>
      </c>
      <c r="R3" s="7">
        <f>$B3 * IFERROR(VLOOKUP("transport|NOx|Infant mortality", US_national_yearly!$D:$AM, 26, FALSE) / VLOOKUP("transport|NOx|Infant mortality", US_national_yearly!$D:$AM, 10, FALSE), 1)</f>
        <v>1.1715329580001299E-6</v>
      </c>
      <c r="S3" s="7">
        <f>$B3 * IFERROR(VLOOKUP("transport|NOx|Infant mortality", US_national_yearly!$D:$AM, 27, FALSE) / VLOOKUP("transport|NOx|Infant mortality", US_national_yearly!$D:$AM, 10, FALSE), 1)</f>
        <v>1.164509798649338E-6</v>
      </c>
      <c r="T3" s="7">
        <f>$B3 * IFERROR(VLOOKUP("transport|NOx|Infant mortality", US_national_yearly!$D:$AM, 28, FALSE) / VLOOKUP("transport|NOx|Infant mortality", US_national_yearly!$D:$AM, 10, FALSE), 1)</f>
        <v>1.1574866392985461E-6</v>
      </c>
      <c r="U3" s="7">
        <f>$B3 * IFERROR(VLOOKUP("transport|NOx|Infant mortality", US_national_yearly!$D:$AM, 29, FALSE) / VLOOKUP("transport|NOx|Infant mortality", US_national_yearly!$D:$AM, 10, FALSE), 1)</f>
        <v>1.1504634799477543E-6</v>
      </c>
      <c r="V3" s="7">
        <f>$B3 * IFERROR(VLOOKUP("transport|NOx|Infant mortality", US_national_yearly!$D:$AM, 30, FALSE) / VLOOKUP("transport|NOx|Infant mortality", US_national_yearly!$D:$AM, 10, FALSE), 1)</f>
        <v>1.1434403205969624E-6</v>
      </c>
      <c r="W3" s="7">
        <f>$B3 * IFERROR(VLOOKUP("transport|NOx|Infant mortality", US_national_yearly!$D:$AM, 31, FALSE) / VLOOKUP("transport|NOx|Infant mortality", US_national_yearly!$D:$AM, 10, FALSE), 1)</f>
        <v>1.1364171612461704E-6</v>
      </c>
      <c r="X3" s="7">
        <f>$B3 * IFERROR(VLOOKUP("transport|NOx|Infant mortality", US_national_yearly!$D:$AM, 32, FALSE) / VLOOKUP("transport|NOx|Infant mortality", US_national_yearly!$D:$AM, 10, FALSE), 1)</f>
        <v>1.1289792958675575E-6</v>
      </c>
      <c r="Y3" s="7">
        <f>$B3 * IFERROR(VLOOKUP("transport|NOx|Infant mortality", US_national_yearly!$D:$AM, 33, FALSE) / VLOOKUP("transport|NOx|Infant mortality", US_national_yearly!$D:$AM, 10, FALSE), 1)</f>
        <v>1.1215414304889442E-6</v>
      </c>
      <c r="Z3" s="7">
        <f>$B3 * IFERROR(VLOOKUP("transport|NOx|Infant mortality", US_national_yearly!$D:$AM, 34, FALSE) / VLOOKUP("transport|NOx|Infant mortality", US_national_yearly!$D:$AM, 10, FALSE), 1)</f>
        <v>1.1141035651103309E-6</v>
      </c>
      <c r="AA3" s="7">
        <f>$B3 * IFERROR(VLOOKUP("transport|NOx|Infant mortality", US_national_yearly!$D:$AM, 35, FALSE) / VLOOKUP("transport|NOx|Infant mortality", US_national_yearly!$D:$AM, 10, FALSE), 1)</f>
        <v>1.1066656997317176E-6</v>
      </c>
      <c r="AB3" s="7">
        <f>$B3 * IFERROR(VLOOKUP("transport|NOx|Infant mortality", US_national_yearly!$D:$AM, 36, FALSE) / VLOOKUP("transport|NOx|Infant mortality", US_national_yearly!$D:$AM, 10, FALSE), 1)</f>
        <v>1.0992278343531043E-6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3.7178276289772747E-3</v>
      </c>
      <c r="C6" s="7">
        <f>$B6 * IFERROR(VLOOKUP("transport|NOx|Asthma symptoms cough", US_national_yearly!$D:$AM, 11, FALSE) / VLOOKUP("transport|NOx|Asthma symptoms cough", US_national_yearly!$D:$AM, 10, FALSE), 1)</f>
        <v>3.7686564110729561E-3</v>
      </c>
      <c r="D6" s="7">
        <f>$B6 * IFERROR(VLOOKUP("transport|NOx|Asthma symptoms cough", US_national_yearly!$D:$AM, 12, FALSE) / VLOOKUP("transport|NOx|Asthma symptoms cough", US_national_yearly!$D:$AM, 10, FALSE), 1)</f>
        <v>3.819485193168637E-3</v>
      </c>
      <c r="E6" s="7">
        <f>$B6 * IFERROR(VLOOKUP("transport|NOx|Asthma symptoms cough", US_national_yearly!$D:$AM, 13, FALSE) / VLOOKUP("transport|NOx|Asthma symptoms cough", US_national_yearly!$D:$AM, 10, FALSE), 1)</f>
        <v>3.8703139752643183E-3</v>
      </c>
      <c r="F6" s="7">
        <f>$B6 * IFERROR(VLOOKUP("transport|NOx|Asthma symptoms cough", US_national_yearly!$D:$AM, 14, FALSE) / VLOOKUP("transport|NOx|Asthma symptoms cough", US_national_yearly!$D:$AM, 10, FALSE), 1)</f>
        <v>3.9211427573599992E-3</v>
      </c>
      <c r="G6" s="7">
        <f>$B6 * IFERROR(VLOOKUP("transport|NOx|Asthma symptoms cough", US_national_yearly!$D:$AM, 15, FALSE) / VLOOKUP("transport|NOx|Asthma symptoms cough", US_national_yearly!$D:$AM, 10, FALSE), 1)</f>
        <v>3.961722437020968E-3</v>
      </c>
      <c r="H6" s="7">
        <f>$B6 * IFERROR(VLOOKUP("transport|NOx|Asthma symptoms cough", US_national_yearly!$D:$AM, 16, FALSE) / VLOOKUP("transport|NOx|Asthma symptoms cough", US_national_yearly!$D:$AM, 10, FALSE), 1)</f>
        <v>4.0023021166819368E-3</v>
      </c>
      <c r="I6" s="7">
        <f>$B6 * IFERROR(VLOOKUP("transport|NOx|Asthma symptoms cough", US_national_yearly!$D:$AM, 17, FALSE) / VLOOKUP("transport|NOx|Asthma symptoms cough", US_national_yearly!$D:$AM, 10, FALSE), 1)</f>
        <v>4.0162690623042341E-3</v>
      </c>
      <c r="J6" s="7">
        <f>$B6 * IFERROR(VLOOKUP("transport|NOx|Asthma symptoms cough", US_national_yearly!$D:$AM, 18, FALSE) / VLOOKUP("transport|NOx|Asthma symptoms cough", US_national_yearly!$D:$AM, 10, FALSE), 1)</f>
        <v>4.0302360079265314E-3</v>
      </c>
      <c r="K6" s="7">
        <f>$B6 * IFERROR(VLOOKUP("transport|NOx|Asthma symptoms cough", US_national_yearly!$D:$AM, 19, FALSE) / VLOOKUP("transport|NOx|Asthma symptoms cough", US_national_yearly!$D:$AM, 10, FALSE), 1)</f>
        <v>4.0442029535488278E-3</v>
      </c>
      <c r="L6" s="7">
        <f>$B6 * IFERROR(VLOOKUP("transport|NOx|Asthma symptoms cough", US_national_yearly!$D:$AM, 20, FALSE) / VLOOKUP("transport|NOx|Asthma symptoms cough", US_national_yearly!$D:$AM, 10, FALSE), 1)</f>
        <v>4.0581698991711242E-3</v>
      </c>
      <c r="M6" s="7">
        <f>$B6 * IFERROR(VLOOKUP("transport|NOx|Asthma symptoms cough", US_national_yearly!$D:$AM, 21, FALSE) / VLOOKUP("transport|NOx|Asthma symptoms cough", US_national_yearly!$D:$AM, 10, FALSE), 1)</f>
        <v>4.0721368447934224E-3</v>
      </c>
      <c r="N6" s="7">
        <f>$B6 * IFERROR(VLOOKUP("transport|NOx|Asthma symptoms cough", US_national_yearly!$D:$AM, 22, FALSE) / VLOOKUP("transport|NOx|Asthma symptoms cough", US_national_yearly!$D:$AM, 10, FALSE), 1)</f>
        <v>4.0883325583227804E-3</v>
      </c>
      <c r="O6" s="7">
        <f>$B6 * IFERROR(VLOOKUP("transport|NOx|Asthma symptoms cough", US_national_yearly!$D:$AM, 23, FALSE) / VLOOKUP("transport|NOx|Asthma symptoms cough", US_national_yearly!$D:$AM, 10, FALSE), 1)</f>
        <v>4.1045282718521394E-3</v>
      </c>
      <c r="P6" s="7">
        <f>$B6 * IFERROR(VLOOKUP("transport|NOx|Asthma symptoms cough", US_national_yearly!$D:$AM, 24, FALSE) / VLOOKUP("transport|NOx|Asthma symptoms cough", US_national_yearly!$D:$AM, 10, FALSE), 1)</f>
        <v>4.1207239853814975E-3</v>
      </c>
      <c r="Q6" s="7">
        <f>$B6 * IFERROR(VLOOKUP("transport|NOx|Asthma symptoms cough", US_national_yearly!$D:$AM, 25, FALSE) / VLOOKUP("transport|NOx|Asthma symptoms cough", US_national_yearly!$D:$AM, 10, FALSE), 1)</f>
        <v>4.1369196989108573E-3</v>
      </c>
      <c r="R6" s="7">
        <f>$B6 * IFERROR(VLOOKUP("transport|NOx|Asthma symptoms cough", US_national_yearly!$D:$AM, 26, FALSE) / VLOOKUP("transport|NOx|Asthma symptoms cough", US_national_yearly!$D:$AM, 10, FALSE), 1)</f>
        <v>4.1531154124402163E-3</v>
      </c>
      <c r="S6" s="7">
        <f>$B6 * IFERROR(VLOOKUP("transport|NOx|Asthma symptoms cough", US_national_yearly!$D:$AM, 27, FALSE) / VLOOKUP("transport|NOx|Asthma symptoms cough", US_national_yearly!$D:$AM, 10, FALSE), 1)</f>
        <v>4.1742721726060949E-3</v>
      </c>
      <c r="T6" s="7">
        <f>$B6 * IFERROR(VLOOKUP("transport|NOx|Asthma symptoms cough", US_national_yearly!$D:$AM, 28, FALSE) / VLOOKUP("transport|NOx|Asthma symptoms cough", US_national_yearly!$D:$AM, 10, FALSE), 1)</f>
        <v>4.1954289327719727E-3</v>
      </c>
      <c r="U6" s="7">
        <f>$B6 * IFERROR(VLOOKUP("transport|NOx|Asthma symptoms cough", US_national_yearly!$D:$AM, 29, FALSE) / VLOOKUP("transport|NOx|Asthma symptoms cough", US_national_yearly!$D:$AM, 10, FALSE), 1)</f>
        <v>4.2165856929378505E-3</v>
      </c>
      <c r="V6" s="7">
        <f>$B6 * IFERROR(VLOOKUP("transport|NOx|Asthma symptoms cough", US_national_yearly!$D:$AM, 30, FALSE) / VLOOKUP("transport|NOx|Asthma symptoms cough", US_national_yearly!$D:$AM, 10, FALSE), 1)</f>
        <v>4.2377424531037291E-3</v>
      </c>
      <c r="W6" s="7">
        <f>$B6 * IFERROR(VLOOKUP("transport|NOx|Asthma symptoms cough", US_national_yearly!$D:$AM, 31, FALSE) / VLOOKUP("transport|NOx|Asthma symptoms cough", US_national_yearly!$D:$AM, 10, FALSE), 1)</f>
        <v>4.2588992132696077E-3</v>
      </c>
      <c r="X6" s="7">
        <f>$B6 * IFERROR(VLOOKUP("transport|NOx|Asthma symptoms cough", US_national_yearly!$D:$AM, 32, FALSE) / VLOOKUP("transport|NOx|Asthma symptoms cough", US_national_yearly!$D:$AM, 10, FALSE), 1)</f>
        <v>4.2785568833843797E-3</v>
      </c>
      <c r="Y6" s="7">
        <f>$B6 * IFERROR(VLOOKUP("transport|NOx|Asthma symptoms cough", US_national_yearly!$D:$AM, 33, FALSE) / VLOOKUP("transport|NOx|Asthma symptoms cough", US_national_yearly!$D:$AM, 10, FALSE), 1)</f>
        <v>4.2982145534991526E-3</v>
      </c>
      <c r="Z6" s="7">
        <f>$B6 * IFERROR(VLOOKUP("transport|NOx|Asthma symptoms cough", US_national_yearly!$D:$AM, 34, FALSE) / VLOOKUP("transport|NOx|Asthma symptoms cough", US_national_yearly!$D:$AM, 10, FALSE), 1)</f>
        <v>4.3178722236139255E-3</v>
      </c>
      <c r="AA6" s="7">
        <f>$B6 * IFERROR(VLOOKUP("transport|NOx|Asthma symptoms cough", US_national_yearly!$D:$AM, 35, FALSE) / VLOOKUP("transport|NOx|Asthma symptoms cough", US_national_yearly!$D:$AM, 10, FALSE), 1)</f>
        <v>4.3375298937286984E-3</v>
      </c>
      <c r="AB6" s="7">
        <f>$B6 * IFERROR(VLOOKUP("transport|NOx|Asthma symptoms cough", US_national_yearly!$D:$AM, 36, FALSE) / VLOOKUP("transport|NOx|Asthma symptoms cough", US_national_yearly!$D:$AM, 10, FALSE), 1)</f>
        <v>4.3571875638434721E-3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5.0063663334351492E-3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5.074811546244614E-3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5.1432567590540771E-3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5.2117019718635419E-3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5.2801471846730067E-3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5.3347911224815798E-3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5.3894350602901528E-3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5.4082427224140771E-3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5.4270503845380022E-3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5.4458580466619265E-3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5.4646657087858517E-3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5.483473370909776E-3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5.5052822557715396E-3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5.5270911406333023E-3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5.5489000254950642E-3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5.570708910356827E-3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5.5925177952185897E-3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5.6210071450062482E-3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5.6494964947939085E-3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5.677985844581567E-3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5.7064751943692246E-3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5.7349645441568831E-3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5.7614352436000044E-3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5.7879059430431248E-3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5.8143766424862469E-3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5.8408473419293682E-3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5.8673180413724886E-3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7.6496921897853806E-3</v>
      </c>
      <c r="C8" s="7">
        <f>$B8 * IFERROR(VLOOKUP("transport|NOx|Asthma symptoms wheeze", US_national_yearly!$D:$AM, 11, FALSE) / VLOOKUP("transport|NOx|Asthma symptoms wheeze", US_national_yearly!$D:$AM, 10, FALSE), 1)</f>
        <v>7.7542759889156175E-3</v>
      </c>
      <c r="D8" s="7">
        <f>$B8 * IFERROR(VLOOKUP("transport|NOx|Asthma symptoms wheeze", US_national_yearly!$D:$AM, 12, FALSE) / VLOOKUP("transport|NOx|Asthma symptoms wheeze", US_national_yearly!$D:$AM, 10, FALSE), 1)</f>
        <v>7.858859788045857E-3</v>
      </c>
      <c r="E8" s="7">
        <f>$B8 * IFERROR(VLOOKUP("transport|NOx|Asthma symptoms wheeze", US_national_yearly!$D:$AM, 13, FALSE) / VLOOKUP("transport|NOx|Asthma symptoms wheeze", US_national_yearly!$D:$AM, 10, FALSE), 1)</f>
        <v>7.9634435871760948E-3</v>
      </c>
      <c r="F8" s="7">
        <f>$B8 * IFERROR(VLOOKUP("transport|NOx|Asthma symptoms wheeze", US_national_yearly!$D:$AM, 14, FALSE) / VLOOKUP("transport|NOx|Asthma symptoms wheeze", US_national_yearly!$D:$AM, 10, FALSE), 1)</f>
        <v>8.0680273863063309E-3</v>
      </c>
      <c r="G8" s="7">
        <f>$B8 * IFERROR(VLOOKUP("transport|NOx|Asthma symptoms wheeze", US_national_yearly!$D:$AM, 15, FALSE) / VLOOKUP("transport|NOx|Asthma symptoms wheeze", US_national_yearly!$D:$AM, 10, FALSE), 1)</f>
        <v>8.1515229353754555E-3</v>
      </c>
      <c r="H8" s="7">
        <f>$B8 * IFERROR(VLOOKUP("transport|NOx|Asthma symptoms wheeze", US_national_yearly!$D:$AM, 16, FALSE) / VLOOKUP("transport|NOx|Asthma symptoms wheeze", US_national_yearly!$D:$AM, 10, FALSE), 1)</f>
        <v>8.2350184844445819E-3</v>
      </c>
      <c r="I8" s="7">
        <f>$B8 * IFERROR(VLOOKUP("transport|NOx|Asthma symptoms wheeze", US_national_yearly!$D:$AM, 17, FALSE) / VLOOKUP("transport|NOx|Asthma symptoms wheeze", US_national_yearly!$D:$AM, 10, FALSE), 1)</f>
        <v>8.2637564589087067E-3</v>
      </c>
      <c r="J8" s="7">
        <f>$B8 * IFERROR(VLOOKUP("transport|NOx|Asthma symptoms wheeze", US_national_yearly!$D:$AM, 18, FALSE) / VLOOKUP("transport|NOx|Asthma symptoms wheeze", US_national_yearly!$D:$AM, 10, FALSE), 1)</f>
        <v>8.2924944333728334E-3</v>
      </c>
      <c r="K8" s="7">
        <f>$B8 * IFERROR(VLOOKUP("transport|NOx|Asthma symptoms wheeze", US_national_yearly!$D:$AM, 19, FALSE) / VLOOKUP("transport|NOx|Asthma symptoms wheeze", US_national_yearly!$D:$AM, 10, FALSE), 1)</f>
        <v>8.3212324078369582E-3</v>
      </c>
      <c r="L8" s="7">
        <f>$B8 * IFERROR(VLOOKUP("transport|NOx|Asthma symptoms wheeze", US_national_yearly!$D:$AM, 20, FALSE) / VLOOKUP("transport|NOx|Asthma symptoms wheeze", US_national_yearly!$D:$AM, 10, FALSE), 1)</f>
        <v>8.3499703823010848E-3</v>
      </c>
      <c r="M8" s="7">
        <f>$B8 * IFERROR(VLOOKUP("transport|NOx|Asthma symptoms wheeze", US_national_yearly!$D:$AM, 21, FALSE) / VLOOKUP("transport|NOx|Asthma symptoms wheeze", US_national_yearly!$D:$AM, 10, FALSE), 1)</f>
        <v>8.3787083567652097E-3</v>
      </c>
      <c r="N8" s="7">
        <f>$B8 * IFERROR(VLOOKUP("transport|NOx|Asthma symptoms wheeze", US_national_yearly!$D:$AM, 22, FALSE) / VLOOKUP("transport|NOx|Asthma symptoms wheeze", US_national_yearly!$D:$AM, 10, FALSE), 1)</f>
        <v>8.4120321782081529E-3</v>
      </c>
      <c r="O8" s="7">
        <f>$B8 * IFERROR(VLOOKUP("transport|NOx|Asthma symptoms wheeze", US_national_yearly!$D:$AM, 23, FALSE) / VLOOKUP("transport|NOx|Asthma symptoms wheeze", US_national_yearly!$D:$AM, 10, FALSE), 1)</f>
        <v>8.4453559996510962E-3</v>
      </c>
      <c r="P8" s="7">
        <f>$B8 * IFERROR(VLOOKUP("transport|NOx|Asthma symptoms wheeze", US_national_yearly!$D:$AM, 24, FALSE) / VLOOKUP("transport|NOx|Asthma symptoms wheeze", US_national_yearly!$D:$AM, 10, FALSE), 1)</f>
        <v>8.4786798210940376E-3</v>
      </c>
      <c r="Q8" s="7">
        <f>$B8 * IFERROR(VLOOKUP("transport|NOx|Asthma symptoms wheeze", US_national_yearly!$D:$AM, 25, FALSE) / VLOOKUP("transport|NOx|Asthma symptoms wheeze", US_national_yearly!$D:$AM, 10, FALSE), 1)</f>
        <v>8.5120036425369826E-3</v>
      </c>
      <c r="R8" s="7">
        <f>$B8 * IFERROR(VLOOKUP("transport|NOx|Asthma symptoms wheeze", US_national_yearly!$D:$AM, 26, FALSE) / VLOOKUP("transport|NOx|Asthma symptoms wheeze", US_national_yearly!$D:$AM, 10, FALSE), 1)</f>
        <v>8.5453274639799241E-3</v>
      </c>
      <c r="S8" s="7">
        <f>$B8 * IFERROR(VLOOKUP("transport|NOx|Asthma symptoms wheeze", US_national_yearly!$D:$AM, 27, FALSE) / VLOOKUP("transport|NOx|Asthma symptoms wheeze", US_national_yearly!$D:$AM, 10, FALSE), 1)</f>
        <v>8.5888589883171031E-3</v>
      </c>
      <c r="T8" s="7">
        <f>$B8 * IFERROR(VLOOKUP("transport|NOx|Asthma symptoms wheeze", US_national_yearly!$D:$AM, 28, FALSE) / VLOOKUP("transport|NOx|Asthma symptoms wheeze", US_national_yearly!$D:$AM, 10, FALSE), 1)</f>
        <v>8.6323905126542821E-3</v>
      </c>
      <c r="U8" s="7">
        <f>$B8 * IFERROR(VLOOKUP("transport|NOx|Asthma symptoms wheeze", US_national_yearly!$D:$AM, 29, FALSE) / VLOOKUP("transport|NOx|Asthma symptoms wheeze", US_national_yearly!$D:$AM, 10, FALSE), 1)</f>
        <v>8.6759220369914611E-3</v>
      </c>
      <c r="V8" s="7">
        <f>$B8 * IFERROR(VLOOKUP("transport|NOx|Asthma symptoms wheeze", US_national_yearly!$D:$AM, 30, FALSE) / VLOOKUP("transport|NOx|Asthma symptoms wheeze", US_national_yearly!$D:$AM, 10, FALSE), 1)</f>
        <v>8.7194535613286418E-3</v>
      </c>
      <c r="W8" s="7">
        <f>$B8 * IFERROR(VLOOKUP("transport|NOx|Asthma symptoms wheeze", US_national_yearly!$D:$AM, 31, FALSE) / VLOOKUP("transport|NOx|Asthma symptoms wheeze", US_national_yearly!$D:$AM, 10, FALSE), 1)</f>
        <v>8.7629850856658191E-3</v>
      </c>
      <c r="X8" s="7">
        <f>$B8 * IFERROR(VLOOKUP("transport|NOx|Asthma symptoms wheeze", US_national_yearly!$D:$AM, 32, FALSE) / VLOOKUP("transport|NOx|Asthma symptoms wheeze", US_national_yearly!$D:$AM, 10, FALSE), 1)</f>
        <v>8.8034321266122345E-3</v>
      </c>
      <c r="Y8" s="7">
        <f>$B8 * IFERROR(VLOOKUP("transport|NOx|Asthma symptoms wheeze", US_national_yearly!$D:$AM, 33, FALSE) / VLOOKUP("transport|NOx|Asthma symptoms wheeze", US_national_yearly!$D:$AM, 10, FALSE), 1)</f>
        <v>8.8438791675586464E-3</v>
      </c>
      <c r="Z8" s="7">
        <f>$B8 * IFERROR(VLOOKUP("transport|NOx|Asthma symptoms wheeze", US_national_yearly!$D:$AM, 34, FALSE) / VLOOKUP("transport|NOx|Asthma symptoms wheeze", US_national_yearly!$D:$AM, 10, FALSE), 1)</f>
        <v>8.8843262085050601E-3</v>
      </c>
      <c r="AA8" s="7">
        <f>$B8 * IFERROR(VLOOKUP("transport|NOx|Asthma symptoms wheeze", US_national_yearly!$D:$AM, 35, FALSE) / VLOOKUP("transport|NOx|Asthma symptoms wheeze", US_national_yearly!$D:$AM, 10, FALSE), 1)</f>
        <v>8.9247732494514721E-3</v>
      </c>
      <c r="AB8" s="7">
        <f>$B8 * IFERROR(VLOOKUP("transport|NOx|Asthma symptoms wheeze", US_national_yearly!$D:$AM, 36, FALSE) / VLOOKUP("transport|NOx|Asthma symptoms wheeze", US_national_yearly!$D:$AM, 10, FALSE), 1)</f>
        <v>8.9652202903978857E-3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7.9439735122734641E-5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8.1421332679434001E-5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8.3402930236133388E-5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8.5384527792832775E-5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8.7366125349532163E-5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8.92606000592892E-5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9.1155074769046224E-5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9.2763522744088568E-5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9.4371970719130899E-5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9.5980418694173244E-5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9.7588866669215575E-5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9.919731464425792E-5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1.0027259107497075E-4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1.0134786750568361E-4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1.0242314393639647E-4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1.0349842036710933E-4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1.0457369679782218E-4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1.0514980077278184E-4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1.0572590474774151E-4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1.0630200872270116E-4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1.0687811269766082E-4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1.074542166726205E-4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1.0784790889410202E-4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1.0824160111558355E-4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1.0863529333706508E-4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1.0902898555854663E-4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1.0942267778002814E-4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5.49229928400991E-4</v>
      </c>
      <c r="C13" s="7">
        <f>$B13 * IFERROR(VLOOKUP("transport|NOx|Non-fatal heart attacks", US_national_yearly!$D:$AM, 11, FALSE) / VLOOKUP("transport|NOx|Non-fatal heart attacks", US_national_yearly!$D:$AM, 10, FALSE), 1)</f>
        <v>5.6493192815153432E-4</v>
      </c>
      <c r="D13" s="7">
        <f>$B13 * IFERROR(VLOOKUP("transport|NOx|Non-fatal heart attacks", US_national_yearly!$D:$AM, 12, FALSE) / VLOOKUP("transport|NOx|Non-fatal heart attacks", US_national_yearly!$D:$AM, 10, FALSE), 1)</f>
        <v>5.8063392790207765E-4</v>
      </c>
      <c r="E13" s="7">
        <f>$B13 * IFERROR(VLOOKUP("transport|NOx|Non-fatal heart attacks", US_national_yearly!$D:$AM, 13, FALSE) / VLOOKUP("transport|NOx|Non-fatal heart attacks", US_national_yearly!$D:$AM, 10, FALSE), 1)</f>
        <v>5.9633592765262087E-4</v>
      </c>
      <c r="F13" s="7">
        <f>$B13 * IFERROR(VLOOKUP("transport|NOx|Non-fatal heart attacks", US_national_yearly!$D:$AM, 14, FALSE) / VLOOKUP("transport|NOx|Non-fatal heart attacks", US_national_yearly!$D:$AM, 10, FALSE), 1)</f>
        <v>6.1203792740316409E-4</v>
      </c>
      <c r="G13" s="7">
        <f>$B13 * IFERROR(VLOOKUP("transport|NOx|Non-fatal heart attacks", US_national_yearly!$D:$AM, 15, FALSE) / VLOOKUP("transport|NOx|Non-fatal heart attacks", US_national_yearly!$D:$AM, 10, FALSE), 1)</f>
        <v>6.2671141353584094E-4</v>
      </c>
      <c r="H13" s="7">
        <f>$B13 * IFERROR(VLOOKUP("transport|NOx|Non-fatal heart attacks", US_national_yearly!$D:$AM, 16, FALSE) / VLOOKUP("transport|NOx|Non-fatal heart attacks", US_national_yearly!$D:$AM, 10, FALSE), 1)</f>
        <v>6.413848996685178E-4</v>
      </c>
      <c r="I13" s="7">
        <f>$B13 * IFERROR(VLOOKUP("transport|NOx|Non-fatal heart attacks", US_national_yearly!$D:$AM, 17, FALSE) / VLOOKUP("transport|NOx|Non-fatal heart attacks", US_national_yearly!$D:$AM, 10, FALSE), 1)</f>
        <v>6.5295326614451382E-4</v>
      </c>
      <c r="J13" s="7">
        <f>$B13 * IFERROR(VLOOKUP("transport|NOx|Non-fatal heart attacks", US_national_yearly!$D:$AM, 18, FALSE) / VLOOKUP("transport|NOx|Non-fatal heart attacks", US_national_yearly!$D:$AM, 10, FALSE), 1)</f>
        <v>6.6452163262051007E-4</v>
      </c>
      <c r="K13" s="7">
        <f>$B13 * IFERROR(VLOOKUP("transport|NOx|Non-fatal heart attacks", US_national_yearly!$D:$AM, 19, FALSE) / VLOOKUP("transport|NOx|Non-fatal heart attacks", US_national_yearly!$D:$AM, 10, FALSE), 1)</f>
        <v>6.7608999909650567E-4</v>
      </c>
      <c r="L13" s="7">
        <f>$B13 * IFERROR(VLOOKUP("transport|NOx|Non-fatal heart attacks", US_national_yearly!$D:$AM, 20, FALSE) / VLOOKUP("transport|NOx|Non-fatal heart attacks", US_national_yearly!$D:$AM, 10, FALSE), 1)</f>
        <v>6.8765836557250224E-4</v>
      </c>
      <c r="M13" s="7">
        <f>$B13 * IFERROR(VLOOKUP("transport|NOx|Non-fatal heart attacks", US_national_yearly!$D:$AM, 21, FALSE) / VLOOKUP("transport|NOx|Non-fatal heart attacks", US_national_yearly!$D:$AM, 10, FALSE), 1)</f>
        <v>6.9922673204849816E-4</v>
      </c>
      <c r="N13" s="7">
        <f>$B13 * IFERROR(VLOOKUP("transport|NOx|Non-fatal heart attacks", US_national_yearly!$D:$AM, 22, FALSE) / VLOOKUP("transport|NOx|Non-fatal heart attacks", US_national_yearly!$D:$AM, 10, FALSE), 1)</f>
        <v>7.0618661214942265E-4</v>
      </c>
      <c r="O13" s="7">
        <f>$B13 * IFERROR(VLOOKUP("transport|NOx|Non-fatal heart attacks", US_national_yearly!$D:$AM, 23, FALSE) / VLOOKUP("transport|NOx|Non-fatal heart attacks", US_national_yearly!$D:$AM, 10, FALSE), 1)</f>
        <v>7.1314649225034715E-4</v>
      </c>
      <c r="P13" s="7">
        <f>$B13 * IFERROR(VLOOKUP("transport|NOx|Non-fatal heart attacks", US_national_yearly!$D:$AM, 24, FALSE) / VLOOKUP("transport|NOx|Non-fatal heart attacks", US_national_yearly!$D:$AM, 10, FALSE), 1)</f>
        <v>7.2010637235127154E-4</v>
      </c>
      <c r="Q13" s="7">
        <f>$B13 * IFERROR(VLOOKUP("transport|NOx|Non-fatal heart attacks", US_national_yearly!$D:$AM, 25, FALSE) / VLOOKUP("transport|NOx|Non-fatal heart attacks", US_national_yearly!$D:$AM, 10, FALSE), 1)</f>
        <v>7.2706625245219615E-4</v>
      </c>
      <c r="R13" s="7">
        <f>$B13 * IFERROR(VLOOKUP("transport|NOx|Non-fatal heart attacks", US_national_yearly!$D:$AM, 26, FALSE) / VLOOKUP("transport|NOx|Non-fatal heart attacks", US_national_yearly!$D:$AM, 10, FALSE), 1)</f>
        <v>7.3402613255312064E-4</v>
      </c>
      <c r="S13" s="7">
        <f>$B13 * IFERROR(VLOOKUP("transport|NOx|Non-fatal heart attacks", US_national_yearly!$D:$AM, 27, FALSE) / VLOOKUP("transport|NOx|Non-fatal heart attacks", US_national_yearly!$D:$AM, 10, FALSE), 1)</f>
        <v>7.3718318230401984E-4</v>
      </c>
      <c r="T13" s="7">
        <f>$B13 * IFERROR(VLOOKUP("transport|NOx|Non-fatal heart attacks", US_national_yearly!$D:$AM, 28, FALSE) / VLOOKUP("transport|NOx|Non-fatal heart attacks", US_national_yearly!$D:$AM, 10, FALSE), 1)</f>
        <v>7.4034023205491915E-4</v>
      </c>
      <c r="U13" s="7">
        <f>$B13 * IFERROR(VLOOKUP("transport|NOx|Non-fatal heart attacks", US_national_yearly!$D:$AM, 29, FALSE) / VLOOKUP("transport|NOx|Non-fatal heart attacks", US_national_yearly!$D:$AM, 10, FALSE), 1)</f>
        <v>7.4349728180581845E-4</v>
      </c>
      <c r="V13" s="7">
        <f>$B13 * IFERROR(VLOOKUP("transport|NOx|Non-fatal heart attacks", US_national_yearly!$D:$AM, 30, FALSE) / VLOOKUP("transport|NOx|Non-fatal heart attacks", US_national_yearly!$D:$AM, 10, FALSE), 1)</f>
        <v>7.4665433155671776E-4</v>
      </c>
      <c r="W13" s="7">
        <f>$B13 * IFERROR(VLOOKUP("transport|NOx|Non-fatal heart attacks", US_national_yearly!$D:$AM, 31, FALSE) / VLOOKUP("transport|NOx|Non-fatal heart attacks", US_national_yearly!$D:$AM, 10, FALSE), 1)</f>
        <v>7.4981138130761696E-4</v>
      </c>
      <c r="X13" s="7">
        <f>$B13 * IFERROR(VLOOKUP("transport|NOx|Non-fatal heart attacks", US_national_yearly!$D:$AM, 32, FALSE) / VLOOKUP("transport|NOx|Non-fatal heart attacks", US_national_yearly!$D:$AM, 10, FALSE), 1)</f>
        <v>7.519210880694762E-4</v>
      </c>
      <c r="Y13" s="7">
        <f>$B13 * IFERROR(VLOOKUP("transport|NOx|Non-fatal heart attacks", US_national_yearly!$D:$AM, 33, FALSE) / VLOOKUP("transport|NOx|Non-fatal heart attacks", US_national_yearly!$D:$AM, 10, FALSE), 1)</f>
        <v>7.5403079483133567E-4</v>
      </c>
      <c r="Z13" s="7">
        <f>$B13 * IFERROR(VLOOKUP("transport|NOx|Non-fatal heart attacks", US_national_yearly!$D:$AM, 34, FALSE) / VLOOKUP("transport|NOx|Non-fatal heart attacks", US_national_yearly!$D:$AM, 10, FALSE), 1)</f>
        <v>7.561405015931948E-4</v>
      </c>
      <c r="AA13" s="7">
        <f>$B13 * IFERROR(VLOOKUP("transport|NOx|Non-fatal heart attacks", US_national_yearly!$D:$AM, 35, FALSE) / VLOOKUP("transport|NOx|Non-fatal heart attacks", US_national_yearly!$D:$AM, 10, FALSE), 1)</f>
        <v>7.5825020835505405E-4</v>
      </c>
      <c r="AB13" s="7">
        <f>$B13 * IFERROR(VLOOKUP("transport|NOx|Non-fatal heart attacks", US_national_yearly!$D:$AM, 36, FALSE) / VLOOKUP("transport|NOx|Non-fatal heart attacks", US_national_yearly!$D:$AM, 10, FALSE), 1)</f>
        <v>7.603599151169134E-4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0.47478502188781863</v>
      </c>
      <c r="C14" s="7">
        <f>$B14 * IFERROR(VLOOKUP("transport|NOx|Minor restricted activity days", US_national_yearly!$D:$AM, 11, FALSE) / VLOOKUP("transport|NOx|Minor restricted activity days", US_national_yearly!$D:$AM, 10, FALSE), 1)</f>
        <v>0.47551294700414093</v>
      </c>
      <c r="D14" s="7">
        <f>$B14 * IFERROR(VLOOKUP("transport|NOx|Minor restricted activity days", US_national_yearly!$D:$AM, 12, FALSE) / VLOOKUP("transport|NOx|Minor restricted activity days", US_national_yearly!$D:$AM, 10, FALSE), 1)</f>
        <v>0.47624087212046334</v>
      </c>
      <c r="E14" s="7">
        <f>$B14 * IFERROR(VLOOKUP("transport|NOx|Minor restricted activity days", US_national_yearly!$D:$AM, 13, FALSE) / VLOOKUP("transport|NOx|Minor restricted activity days", US_national_yearly!$D:$AM, 10, FALSE), 1)</f>
        <v>0.47696879723678576</v>
      </c>
      <c r="F14" s="7">
        <f>$B14 * IFERROR(VLOOKUP("transport|NOx|Minor restricted activity days", US_national_yearly!$D:$AM, 14, FALSE) / VLOOKUP("transport|NOx|Minor restricted activity days", US_national_yearly!$D:$AM, 10, FALSE), 1)</f>
        <v>0.47769672235310806</v>
      </c>
      <c r="G14" s="7">
        <f>$B14 * IFERROR(VLOOKUP("transport|NOx|Minor restricted activity days", US_national_yearly!$D:$AM, 15, FALSE) / VLOOKUP("transport|NOx|Minor restricted activity days", US_national_yearly!$D:$AM, 10, FALSE), 1)</f>
        <v>0.47901118185212044</v>
      </c>
      <c r="H14" s="7">
        <f>$B14 * IFERROR(VLOOKUP("transport|NOx|Minor restricted activity days", US_national_yearly!$D:$AM, 16, FALSE) / VLOOKUP("transport|NOx|Minor restricted activity days", US_national_yearly!$D:$AM, 10, FALSE), 1)</f>
        <v>0.4803256413511327</v>
      </c>
      <c r="I14" s="7">
        <f>$B14 * IFERROR(VLOOKUP("transport|NOx|Minor restricted activity days", US_national_yearly!$D:$AM, 17, FALSE) / VLOOKUP("transport|NOx|Minor restricted activity days", US_national_yearly!$D:$AM, 10, FALSE), 1)</f>
        <v>0.48289667215209375</v>
      </c>
      <c r="J14" s="7">
        <f>$B14 * IFERROR(VLOOKUP("transport|NOx|Minor restricted activity days", US_national_yearly!$D:$AM, 18, FALSE) / VLOOKUP("transport|NOx|Minor restricted activity days", US_national_yearly!$D:$AM, 10, FALSE), 1)</f>
        <v>0.48546770295305475</v>
      </c>
      <c r="K14" s="7">
        <f>$B14 * IFERROR(VLOOKUP("transport|NOx|Minor restricted activity days", US_national_yearly!$D:$AM, 19, FALSE) / VLOOKUP("transport|NOx|Minor restricted activity days", US_national_yearly!$D:$AM, 10, FALSE), 1)</f>
        <v>0.4880387337540158</v>
      </c>
      <c r="L14" s="7">
        <f>$B14 * IFERROR(VLOOKUP("transport|NOx|Minor restricted activity days", US_national_yearly!$D:$AM, 20, FALSE) / VLOOKUP("transport|NOx|Minor restricted activity days", US_national_yearly!$D:$AM, 10, FALSE), 1)</f>
        <v>0.49060976455497673</v>
      </c>
      <c r="M14" s="7">
        <f>$B14 * IFERROR(VLOOKUP("transport|NOx|Minor restricted activity days", US_national_yearly!$D:$AM, 21, FALSE) / VLOOKUP("transport|NOx|Minor restricted activity days", US_national_yearly!$D:$AM, 10, FALSE), 1)</f>
        <v>0.49318079535593778</v>
      </c>
      <c r="N14" s="7">
        <f>$B14 * IFERROR(VLOOKUP("transport|NOx|Minor restricted activity days", US_national_yearly!$D:$AM, 22, FALSE) / VLOOKUP("transport|NOx|Minor restricted activity days", US_national_yearly!$D:$AM, 10, FALSE), 1)</f>
        <v>0.4968619284943066</v>
      </c>
      <c r="O14" s="7">
        <f>$B14 * IFERROR(VLOOKUP("transport|NOx|Minor restricted activity days", US_national_yearly!$D:$AM, 23, FALSE) / VLOOKUP("transport|NOx|Minor restricted activity days", US_national_yearly!$D:$AM, 10, FALSE), 1)</f>
        <v>0.50054306163267548</v>
      </c>
      <c r="P14" s="7">
        <f>$B14 * IFERROR(VLOOKUP("transport|NOx|Minor restricted activity days", US_national_yearly!$D:$AM, 24, FALSE) / VLOOKUP("transport|NOx|Minor restricted activity days", US_national_yearly!$D:$AM, 10, FALSE), 1)</f>
        <v>0.5042241947710443</v>
      </c>
      <c r="Q14" s="7">
        <f>$B14 * IFERROR(VLOOKUP("transport|NOx|Minor restricted activity days", US_national_yearly!$D:$AM, 25, FALSE) / VLOOKUP("transport|NOx|Minor restricted activity days", US_national_yearly!$D:$AM, 10, FALSE), 1)</f>
        <v>0.50790532790941312</v>
      </c>
      <c r="R14" s="7">
        <f>$B14 * IFERROR(VLOOKUP("transport|NOx|Minor restricted activity days", US_national_yearly!$D:$AM, 26, FALSE) / VLOOKUP("transport|NOx|Minor restricted activity days", US_national_yearly!$D:$AM, 10, FALSE), 1)</f>
        <v>0.51158646104778194</v>
      </c>
      <c r="S14" s="7">
        <f>$B14 * IFERROR(VLOOKUP("transport|NOx|Minor restricted activity days", US_national_yearly!$D:$AM, 27, FALSE) / VLOOKUP("transport|NOx|Minor restricted activity days", US_national_yearly!$D:$AM, 10, FALSE), 1)</f>
        <v>0.5152668202357874</v>
      </c>
      <c r="T14" s="7">
        <f>$B14 * IFERROR(VLOOKUP("transport|NOx|Minor restricted activity days", US_national_yearly!$D:$AM, 28, FALSE) / VLOOKUP("transport|NOx|Minor restricted activity days", US_national_yearly!$D:$AM, 10, FALSE), 1)</f>
        <v>0.51894717942379265</v>
      </c>
      <c r="U14" s="7">
        <f>$B14 * IFERROR(VLOOKUP("transport|NOx|Minor restricted activity days", US_national_yearly!$D:$AM, 29, FALSE) / VLOOKUP("transport|NOx|Minor restricted activity days", US_national_yearly!$D:$AM, 10, FALSE), 1)</f>
        <v>0.52262753861179811</v>
      </c>
      <c r="V14" s="7">
        <f>$B14 * IFERROR(VLOOKUP("transport|NOx|Minor restricted activity days", US_national_yearly!$D:$AM, 30, FALSE) / VLOOKUP("transport|NOx|Minor restricted activity days", US_national_yearly!$D:$AM, 10, FALSE), 1)</f>
        <v>0.52630789779980347</v>
      </c>
      <c r="W14" s="7">
        <f>$B14 * IFERROR(VLOOKUP("transport|NOx|Minor restricted activity days", US_national_yearly!$D:$AM, 31, FALSE) / VLOOKUP("transport|NOx|Minor restricted activity days", US_national_yearly!$D:$AM, 10, FALSE), 1)</f>
        <v>0.52998825698780871</v>
      </c>
      <c r="X14" s="7">
        <f>$B14 * IFERROR(VLOOKUP("transport|NOx|Minor restricted activity days", US_national_yearly!$D:$AM, 32, FALSE) / VLOOKUP("transport|NOx|Minor restricted activity days", US_national_yearly!$D:$AM, 10, FALSE), 1)</f>
        <v>0.53309986047492985</v>
      </c>
      <c r="Y14" s="7">
        <f>$B14 * IFERROR(VLOOKUP("transport|NOx|Minor restricted activity days", US_national_yearly!$D:$AM, 33, FALSE) / VLOOKUP("transport|NOx|Minor restricted activity days", US_national_yearly!$D:$AM, 10, FALSE), 1)</f>
        <v>0.53621146396205088</v>
      </c>
      <c r="Z14" s="7">
        <f>$B14 * IFERROR(VLOOKUP("transport|NOx|Minor restricted activity days", US_national_yearly!$D:$AM, 34, FALSE) / VLOOKUP("transport|NOx|Minor restricted activity days", US_national_yearly!$D:$AM, 10, FALSE), 1)</f>
        <v>0.53932306744917191</v>
      </c>
      <c r="AA14" s="7">
        <f>$B14 * IFERROR(VLOOKUP("transport|NOx|Minor restricted activity days", US_national_yearly!$D:$AM, 35, FALSE) / VLOOKUP("transport|NOx|Minor restricted activity days", US_national_yearly!$D:$AM, 10, FALSE), 1)</f>
        <v>0.54243467093629294</v>
      </c>
      <c r="AB14" s="7">
        <f>$B14 * IFERROR(VLOOKUP("transport|NOx|Minor restricted activity days", US_national_yearly!$D:$AM, 36, FALSE) / VLOOKUP("transport|NOx|Minor restricted activity days", US_national_yearly!$D:$AM, 10, FALSE), 1)</f>
        <v>0.54554627442341408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8.0772151269095871E-2</v>
      </c>
      <c r="C15" s="7">
        <f>$B15 * IFERROR(VLOOKUP("transport|NOx|Work loss days", US_national_yearly!$D:$AM, 11, FALSE) / VLOOKUP("transport|NOx|Work loss days", US_national_yearly!$D:$AM, 10, FALSE), 1)</f>
        <v>8.0951824574326717E-2</v>
      </c>
      <c r="D15" s="7">
        <f>$B15 * IFERROR(VLOOKUP("transport|NOx|Work loss days", US_national_yearly!$D:$AM, 12, FALSE) / VLOOKUP("transport|NOx|Work loss days", US_national_yearly!$D:$AM, 10, FALSE), 1)</f>
        <v>8.113149787955759E-2</v>
      </c>
      <c r="E15" s="7">
        <f>$B15 * IFERROR(VLOOKUP("transport|NOx|Work loss days", US_national_yearly!$D:$AM, 13, FALSE) / VLOOKUP("transport|NOx|Work loss days", US_national_yearly!$D:$AM, 10, FALSE), 1)</f>
        <v>8.1311171184788436E-2</v>
      </c>
      <c r="F15" s="7">
        <f>$B15 * IFERROR(VLOOKUP("transport|NOx|Work loss days", US_national_yearly!$D:$AM, 14, FALSE) / VLOOKUP("transport|NOx|Work loss days", US_national_yearly!$D:$AM, 10, FALSE), 1)</f>
        <v>8.1490844490019296E-2</v>
      </c>
      <c r="G15" s="7">
        <f>$B15 * IFERROR(VLOOKUP("transport|NOx|Work loss days", US_national_yearly!$D:$AM, 15, FALSE) / VLOOKUP("transport|NOx|Work loss days", US_national_yearly!$D:$AM, 10, FALSE), 1)</f>
        <v>8.1753169048349408E-2</v>
      </c>
      <c r="H15" s="7">
        <f>$B15 * IFERROR(VLOOKUP("transport|NOx|Work loss days", US_national_yearly!$D:$AM, 16, FALSE) / VLOOKUP("transport|NOx|Work loss days", US_national_yearly!$D:$AM, 10, FALSE), 1)</f>
        <v>8.2015493606679549E-2</v>
      </c>
      <c r="I15" s="7">
        <f>$B15 * IFERROR(VLOOKUP("transport|NOx|Work loss days", US_national_yearly!$D:$AM, 17, FALSE) / VLOOKUP("transport|NOx|Work loss days", US_national_yearly!$D:$AM, 10, FALSE), 1)</f>
        <v>8.244044517417573E-2</v>
      </c>
      <c r="J15" s="7">
        <f>$B15 * IFERROR(VLOOKUP("transport|NOx|Work loss days", US_national_yearly!$D:$AM, 18, FALSE) / VLOOKUP("transport|NOx|Work loss days", US_national_yearly!$D:$AM, 10, FALSE), 1)</f>
        <v>8.2865396741671926E-2</v>
      </c>
      <c r="K15" s="7">
        <f>$B15 * IFERROR(VLOOKUP("transport|NOx|Work loss days", US_national_yearly!$D:$AM, 19, FALSE) / VLOOKUP("transport|NOx|Work loss days", US_national_yearly!$D:$AM, 10, FALSE), 1)</f>
        <v>8.3290348309168108E-2</v>
      </c>
      <c r="L15" s="7">
        <f>$B15 * IFERROR(VLOOKUP("transport|NOx|Work loss days", US_national_yearly!$D:$AM, 20, FALSE) / VLOOKUP("transport|NOx|Work loss days", US_national_yearly!$D:$AM, 10, FALSE), 1)</f>
        <v>8.371529987666429E-2</v>
      </c>
      <c r="M15" s="7">
        <f>$B15 * IFERROR(VLOOKUP("transport|NOx|Work loss days", US_national_yearly!$D:$AM, 21, FALSE) / VLOOKUP("transport|NOx|Work loss days", US_national_yearly!$D:$AM, 10, FALSE), 1)</f>
        <v>8.4140251444160499E-2</v>
      </c>
      <c r="N15" s="7">
        <f>$B15 * IFERROR(VLOOKUP("transport|NOx|Work loss days", US_national_yearly!$D:$AM, 22, FALSE) / VLOOKUP("transport|NOx|Work loss days", US_national_yearly!$D:$AM, 10, FALSE), 1)</f>
        <v>8.4693299833067087E-2</v>
      </c>
      <c r="O15" s="7">
        <f>$B15 * IFERROR(VLOOKUP("transport|NOx|Work loss days", US_national_yearly!$D:$AM, 23, FALSE) / VLOOKUP("transport|NOx|Work loss days", US_national_yearly!$D:$AM, 10, FALSE), 1)</f>
        <v>8.5246348221973675E-2</v>
      </c>
      <c r="P15" s="7">
        <f>$B15 * IFERROR(VLOOKUP("transport|NOx|Work loss days", US_national_yearly!$D:$AM, 24, FALSE) / VLOOKUP("transport|NOx|Work loss days", US_national_yearly!$D:$AM, 10, FALSE), 1)</f>
        <v>8.5799396610880263E-2</v>
      </c>
      <c r="Q15" s="7">
        <f>$B15 * IFERROR(VLOOKUP("transport|NOx|Work loss days", US_national_yearly!$D:$AM, 25, FALSE) / VLOOKUP("transport|NOx|Work loss days", US_national_yearly!$D:$AM, 10, FALSE), 1)</f>
        <v>8.6352444999786837E-2</v>
      </c>
      <c r="R15" s="7">
        <f>$B15 * IFERROR(VLOOKUP("transport|NOx|Work loss days", US_national_yearly!$D:$AM, 26, FALSE) / VLOOKUP("transport|NOx|Work loss days", US_national_yearly!$D:$AM, 10, FALSE), 1)</f>
        <v>8.6905493388693453E-2</v>
      </c>
      <c r="S15" s="7">
        <f>$B15 * IFERROR(VLOOKUP("transport|NOx|Work loss days", US_national_yearly!$D:$AM, 27, FALSE) / VLOOKUP("transport|NOx|Work loss days", US_national_yearly!$D:$AM, 10, FALSE), 1)</f>
        <v>8.7522071628448606E-2</v>
      </c>
      <c r="T15" s="7">
        <f>$B15 * IFERROR(VLOOKUP("transport|NOx|Work loss days", US_national_yearly!$D:$AM, 28, FALSE) / VLOOKUP("transport|NOx|Work loss days", US_national_yearly!$D:$AM, 10, FALSE), 1)</f>
        <v>8.8138649868203758E-2</v>
      </c>
      <c r="U15" s="7">
        <f>$B15 * IFERROR(VLOOKUP("transport|NOx|Work loss days", US_national_yearly!$D:$AM, 29, FALSE) / VLOOKUP("transport|NOx|Work loss days", US_national_yearly!$D:$AM, 10, FALSE), 1)</f>
        <v>8.8755228107958897E-2</v>
      </c>
      <c r="V15" s="7">
        <f>$B15 * IFERROR(VLOOKUP("transport|NOx|Work loss days", US_national_yearly!$D:$AM, 30, FALSE) / VLOOKUP("transport|NOx|Work loss days", US_national_yearly!$D:$AM, 10, FALSE), 1)</f>
        <v>8.937180634771405E-2</v>
      </c>
      <c r="W15" s="7">
        <f>$B15 * IFERROR(VLOOKUP("transport|NOx|Work loss days", US_national_yearly!$D:$AM, 31, FALSE) / VLOOKUP("transport|NOx|Work loss days", US_national_yearly!$D:$AM, 10, FALSE), 1)</f>
        <v>8.9988384587469203E-2</v>
      </c>
      <c r="X15" s="7">
        <f>$B15 * IFERROR(VLOOKUP("transport|NOx|Work loss days", US_national_yearly!$D:$AM, 32, FALSE) / VLOOKUP("transport|NOx|Work loss days", US_national_yearly!$D:$AM, 10, FALSE), 1)</f>
        <v>9.0523541625634626E-2</v>
      </c>
      <c r="Y15" s="7">
        <f>$B15 * IFERROR(VLOOKUP("transport|NOx|Work loss days", US_national_yearly!$D:$AM, 33, FALSE) / VLOOKUP("transport|NOx|Work loss days", US_national_yearly!$D:$AM, 10, FALSE), 1)</f>
        <v>9.1058698663800036E-2</v>
      </c>
      <c r="Z15" s="7">
        <f>$B15 * IFERROR(VLOOKUP("transport|NOx|Work loss days", US_national_yearly!$D:$AM, 34, FALSE) / VLOOKUP("transport|NOx|Work loss days", US_national_yearly!$D:$AM, 10, FALSE), 1)</f>
        <v>9.159385570196546E-2</v>
      </c>
      <c r="AA15" s="7">
        <f>$B15 * IFERROR(VLOOKUP("transport|NOx|Work loss days", US_national_yearly!$D:$AM, 35, FALSE) / VLOOKUP("transport|NOx|Work loss days", US_national_yearly!$D:$AM, 10, FALSE), 1)</f>
        <v>9.2129012740130883E-2</v>
      </c>
      <c r="AB15" s="7">
        <f>$B15 * IFERROR(VLOOKUP("transport|NOx|Work loss days", US_national_yearly!$D:$AM, 36, FALSE) / VLOOKUP("transport|NOx|Work loss days", US_national_yearly!$D:$AM, 10, FALSE), 1)</f>
        <v>9.2664169778296293E-2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1.4174247985595688E-4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1.4590753042510892E-4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1.5007258099426093E-4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1.5423763156341294E-4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1.5840268213256498E-4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1.623587913796938E-4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1.6631490062682261E-4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1.6964168330705579E-4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1.7296846598728895E-4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1.7629524866752213E-4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1.7962203134775528E-4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1.8294881402798849E-4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1.8502916147016986E-4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1.8710950891235128E-4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1.8918985635453268E-4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1.9127020379671407E-4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1.9335055123889547E-4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1.9429975664942206E-4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1.9524896205994863E-4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1.961981674704752E-4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1.9714737288100179E-4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1.9809657829152839E-4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1.9862484401107243E-4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1.9915310973061645E-4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1.9968137545016049E-4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2.0020964116970454E-4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2.0073790688924855E-4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6.250735154376655E-3</v>
      </c>
      <c r="C2" s="7">
        <f>$B2 * IFERROR(VLOOKUP("transport|SO2|Premature mortality", US_national_yearly!$D:$AM, 11, FALSE) / VLOOKUP("transport|SO2|Premature mortality", US_national_yearly!$D:$AM, 10, FALSE), 1)</f>
        <v>6.329897333056376E-3</v>
      </c>
      <c r="D2" s="7">
        <f>$B2 * IFERROR(VLOOKUP("transport|SO2|Premature mortality", US_national_yearly!$D:$AM, 12, FALSE) / VLOOKUP("transport|SO2|Premature mortality", US_national_yearly!$D:$AM, 10, FALSE), 1)</f>
        <v>6.4090595117360996E-3</v>
      </c>
      <c r="E2" s="7">
        <f>$B2 * IFERROR(VLOOKUP("transport|SO2|Premature mortality", US_national_yearly!$D:$AM, 13, FALSE) / VLOOKUP("transport|SO2|Premature mortality", US_national_yearly!$D:$AM, 10, FALSE), 1)</f>
        <v>6.4882216904158206E-3</v>
      </c>
      <c r="F2" s="7">
        <f>$B2 * IFERROR(VLOOKUP("transport|SO2|Premature mortality", US_national_yearly!$D:$AM, 14, FALSE) / VLOOKUP("transport|SO2|Premature mortality", US_national_yearly!$D:$AM, 10, FALSE), 1)</f>
        <v>6.5673838690955416E-3</v>
      </c>
      <c r="G2" s="7">
        <f>$B2 * IFERROR(VLOOKUP("transport|SO2|Premature mortality", US_national_yearly!$D:$AM, 15, FALSE) / VLOOKUP("transport|SO2|Premature mortality", US_national_yearly!$D:$AM, 10, FALSE), 1)</f>
        <v>6.7199249009857872E-3</v>
      </c>
      <c r="H2" s="7">
        <f>$B2 * IFERROR(VLOOKUP("transport|SO2|Premature mortality", US_national_yearly!$D:$AM, 16, FALSE) / VLOOKUP("transport|SO2|Premature mortality", US_national_yearly!$D:$AM, 10, FALSE), 1)</f>
        <v>6.8724659328760302E-3</v>
      </c>
      <c r="I2" s="7">
        <f>$B2 * IFERROR(VLOOKUP("transport|SO2|Premature mortality", US_national_yearly!$D:$AM, 17, FALSE) / VLOOKUP("transport|SO2|Premature mortality", US_national_yearly!$D:$AM, 10, FALSE), 1)</f>
        <v>6.9732743935512556E-3</v>
      </c>
      <c r="J2" s="7">
        <f>$B2 * IFERROR(VLOOKUP("transport|SO2|Premature mortality", US_national_yearly!$D:$AM, 18, FALSE) / VLOOKUP("transport|SO2|Premature mortality", US_national_yearly!$D:$AM, 10, FALSE), 1)</f>
        <v>7.074082854226481E-3</v>
      </c>
      <c r="K2" s="7">
        <f>$B2 * IFERROR(VLOOKUP("transport|SO2|Premature mortality", US_national_yearly!$D:$AM, 19, FALSE) / VLOOKUP("transport|SO2|Premature mortality", US_national_yearly!$D:$AM, 10, FALSE), 1)</f>
        <v>7.1748913149017046E-3</v>
      </c>
      <c r="L2" s="7">
        <f>$B2 * IFERROR(VLOOKUP("transport|SO2|Premature mortality", US_national_yearly!$D:$AM, 20, FALSE) / VLOOKUP("transport|SO2|Premature mortality", US_national_yearly!$D:$AM, 10, FALSE), 1)</f>
        <v>7.27569977557693E-3</v>
      </c>
      <c r="M2" s="7">
        <f>$B2 * IFERROR(VLOOKUP("transport|SO2|Premature mortality", US_national_yearly!$D:$AM, 21, FALSE) / VLOOKUP("transport|SO2|Premature mortality", US_national_yearly!$D:$AM, 10, FALSE), 1)</f>
        <v>7.3765082362521545E-3</v>
      </c>
      <c r="N2" s="7">
        <f>$B2 * IFERROR(VLOOKUP("transport|SO2|Premature mortality", US_national_yearly!$D:$AM, 22, FALSE) / VLOOKUP("transport|SO2|Premature mortality", US_national_yearly!$D:$AM, 10, FALSE), 1)</f>
        <v>7.4552744992979914E-3</v>
      </c>
      <c r="O2" s="7">
        <f>$B2 * IFERROR(VLOOKUP("transport|SO2|Premature mortality", US_national_yearly!$D:$AM, 23, FALSE) / VLOOKUP("transport|SO2|Premature mortality", US_national_yearly!$D:$AM, 10, FALSE), 1)</f>
        <v>7.5340407623438283E-3</v>
      </c>
      <c r="P2" s="7">
        <f>$B2 * IFERROR(VLOOKUP("transport|SO2|Premature mortality", US_national_yearly!$D:$AM, 24, FALSE) / VLOOKUP("transport|SO2|Premature mortality", US_national_yearly!$D:$AM, 10, FALSE), 1)</f>
        <v>7.6128070253896653E-3</v>
      </c>
      <c r="Q2" s="7">
        <f>$B2 * IFERROR(VLOOKUP("transport|SO2|Premature mortality", US_national_yearly!$D:$AM, 25, FALSE) / VLOOKUP("transport|SO2|Premature mortality", US_national_yearly!$D:$AM, 10, FALSE), 1)</f>
        <v>7.6915732884355022E-3</v>
      </c>
      <c r="R2" s="7">
        <f>$B2 * IFERROR(VLOOKUP("transport|SO2|Premature mortality", US_national_yearly!$D:$AM, 26, FALSE) / VLOOKUP("transport|SO2|Premature mortality", US_national_yearly!$D:$AM, 10, FALSE), 1)</f>
        <v>7.7703395514813383E-3</v>
      </c>
      <c r="S2" s="7">
        <f>$B2 * IFERROR(VLOOKUP("transport|SO2|Premature mortality", US_national_yearly!$D:$AM, 27, FALSE) / VLOOKUP("transport|SO2|Premature mortality", US_national_yearly!$D:$AM, 10, FALSE), 1)</f>
        <v>7.8125199341308703E-3</v>
      </c>
      <c r="T2" s="7">
        <f>$B2 * IFERROR(VLOOKUP("transport|SO2|Premature mortality", US_national_yearly!$D:$AM, 28, FALSE) / VLOOKUP("transport|SO2|Premature mortality", US_national_yearly!$D:$AM, 10, FALSE), 1)</f>
        <v>7.8547003167804014E-3</v>
      </c>
      <c r="U2" s="7">
        <f>$B2 * IFERROR(VLOOKUP("transport|SO2|Premature mortality", US_national_yearly!$D:$AM, 29, FALSE) / VLOOKUP("transport|SO2|Premature mortality", US_national_yearly!$D:$AM, 10, FALSE), 1)</f>
        <v>7.8968806994299326E-3</v>
      </c>
      <c r="V2" s="7">
        <f>$B2 * IFERROR(VLOOKUP("transport|SO2|Premature mortality", US_national_yearly!$D:$AM, 30, FALSE) / VLOOKUP("transport|SO2|Premature mortality", US_national_yearly!$D:$AM, 10, FALSE), 1)</f>
        <v>7.9390610820794637E-3</v>
      </c>
      <c r="W2" s="7">
        <f>$B2 * IFERROR(VLOOKUP("transport|SO2|Premature mortality", US_national_yearly!$D:$AM, 31, FALSE) / VLOOKUP("transport|SO2|Premature mortality", US_national_yearly!$D:$AM, 10, FALSE), 1)</f>
        <v>7.9812414647289966E-3</v>
      </c>
      <c r="X2" s="7">
        <f>$B2 * IFERROR(VLOOKUP("transport|SO2|Premature mortality", US_national_yearly!$D:$AM, 32, FALSE) / VLOOKUP("transport|SO2|Premature mortality", US_national_yearly!$D:$AM, 10, FALSE), 1)</f>
        <v>7.9898105384843352E-3</v>
      </c>
      <c r="Y2" s="7">
        <f>$B2 * IFERROR(VLOOKUP("transport|SO2|Premature mortality", US_national_yearly!$D:$AM, 33, FALSE) / VLOOKUP("transport|SO2|Premature mortality", US_national_yearly!$D:$AM, 10, FALSE), 1)</f>
        <v>7.9983796122396773E-3</v>
      </c>
      <c r="Z2" s="7">
        <f>$B2 * IFERROR(VLOOKUP("transport|SO2|Premature mortality", US_national_yearly!$D:$AM, 34, FALSE) / VLOOKUP("transport|SO2|Premature mortality", US_national_yearly!$D:$AM, 10, FALSE), 1)</f>
        <v>8.0069486859950176E-3</v>
      </c>
      <c r="AA2" s="7">
        <f>$B2 * IFERROR(VLOOKUP("transport|SO2|Premature mortality", US_national_yearly!$D:$AM, 35, FALSE) / VLOOKUP("transport|SO2|Premature mortality", US_national_yearly!$D:$AM, 10, FALSE), 1)</f>
        <v>8.0155177597503596E-3</v>
      </c>
      <c r="AB2" s="7">
        <f>$B2 * IFERROR(VLOOKUP("transport|SO2|Premature mortality", US_national_yearly!$D:$AM, 36, FALSE) / VLOOKUP("transport|SO2|Premature mortality", US_national_yearly!$D:$AM, 10, FALSE), 1)</f>
        <v>8.0240868335056982E-3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2.106055151661013E-5</v>
      </c>
      <c r="C3" s="7">
        <f>$B3 * IFERROR(VLOOKUP("transport|SO2|Infant mortality", US_national_yearly!$D:$AM, 11, FALSE) / VLOOKUP("transport|SO2|Infant mortality", US_national_yearly!$D:$AM, 10, FALSE), 1)</f>
        <v>2.0879637537520526E-5</v>
      </c>
      <c r="D3" s="7">
        <f>$B3 * IFERROR(VLOOKUP("transport|SO2|Infant mortality", US_national_yearly!$D:$AM, 12, FALSE) / VLOOKUP("transport|SO2|Infant mortality", US_national_yearly!$D:$AM, 10, FALSE), 1)</f>
        <v>2.0698723558430921E-5</v>
      </c>
      <c r="E3" s="7">
        <f>$B3 * IFERROR(VLOOKUP("transport|SO2|Infant mortality", US_national_yearly!$D:$AM, 13, FALSE) / VLOOKUP("transport|SO2|Infant mortality", US_national_yearly!$D:$AM, 10, FALSE), 1)</f>
        <v>2.0517809579341313E-5</v>
      </c>
      <c r="F3" s="7">
        <f>$B3 * IFERROR(VLOOKUP("transport|SO2|Infant mortality", US_national_yearly!$D:$AM, 14, FALSE) / VLOOKUP("transport|SO2|Infant mortality", US_national_yearly!$D:$AM, 10, FALSE), 1)</f>
        <v>2.0336895600251712E-5</v>
      </c>
      <c r="G3" s="7">
        <f>$B3 * IFERROR(VLOOKUP("transport|SO2|Infant mortality", US_national_yearly!$D:$AM, 15, FALSE) / VLOOKUP("transport|SO2|Infant mortality", US_national_yearly!$D:$AM, 10, FALSE), 1)</f>
        <v>1.3546010435485631E-5</v>
      </c>
      <c r="H3" s="7">
        <f>$B3 * IFERROR(VLOOKUP("transport|SO2|Infant mortality", US_national_yearly!$D:$AM, 16, FALSE) / VLOOKUP("transport|SO2|Infant mortality", US_national_yearly!$D:$AM, 10, FALSE), 1)</f>
        <v>6.7551252707195607E-6</v>
      </c>
      <c r="I3" s="7">
        <f>$B3 * IFERROR(VLOOKUP("transport|SO2|Infant mortality", US_national_yearly!$D:$AM, 17, FALSE) / VLOOKUP("transport|SO2|Infant mortality", US_national_yearly!$D:$AM, 10, FALSE), 1)</f>
        <v>6.7127483300236431E-6</v>
      </c>
      <c r="J3" s="7">
        <f>$B3 * IFERROR(VLOOKUP("transport|SO2|Infant mortality", US_national_yearly!$D:$AM, 18, FALSE) / VLOOKUP("transport|SO2|Infant mortality", US_national_yearly!$D:$AM, 10, FALSE), 1)</f>
        <v>6.6703713893277255E-6</v>
      </c>
      <c r="K3" s="7">
        <f>$B3 * IFERROR(VLOOKUP("transport|SO2|Infant mortality", US_national_yearly!$D:$AM, 19, FALSE) / VLOOKUP("transport|SO2|Infant mortality", US_national_yearly!$D:$AM, 10, FALSE), 1)</f>
        <v>6.6279944486318087E-6</v>
      </c>
      <c r="L3" s="7">
        <f>$B3 * IFERROR(VLOOKUP("transport|SO2|Infant mortality", US_national_yearly!$D:$AM, 20, FALSE) / VLOOKUP("transport|SO2|Infant mortality", US_national_yearly!$D:$AM, 10, FALSE), 1)</f>
        <v>6.585617507935892E-6</v>
      </c>
      <c r="M3" s="7">
        <f>$B3 * IFERROR(VLOOKUP("transport|SO2|Infant mortality", US_national_yearly!$D:$AM, 21, FALSE) / VLOOKUP("transport|SO2|Infant mortality", US_national_yearly!$D:$AM, 10, FALSE), 1)</f>
        <v>6.5432405672399752E-6</v>
      </c>
      <c r="N3" s="7">
        <f>$B3 * IFERROR(VLOOKUP("transport|SO2|Infant mortality", US_national_yearly!$D:$AM, 22, FALSE) / VLOOKUP("transport|SO2|Infant mortality", US_national_yearly!$D:$AM, 10, FALSE), 1)</f>
        <v>6.5166408788269886E-6</v>
      </c>
      <c r="O3" s="7">
        <f>$B3 * IFERROR(VLOOKUP("transport|SO2|Infant mortality", US_national_yearly!$D:$AM, 23, FALSE) / VLOOKUP("transport|SO2|Infant mortality", US_national_yearly!$D:$AM, 10, FALSE), 1)</f>
        <v>6.4900411904140028E-6</v>
      </c>
      <c r="P3" s="7">
        <f>$B3 * IFERROR(VLOOKUP("transport|SO2|Infant mortality", US_national_yearly!$D:$AM, 24, FALSE) / VLOOKUP("transport|SO2|Infant mortality", US_national_yearly!$D:$AM, 10, FALSE), 1)</f>
        <v>6.4634415020010154E-6</v>
      </c>
      <c r="Q3" s="7">
        <f>$B3 * IFERROR(VLOOKUP("transport|SO2|Infant mortality", US_national_yearly!$D:$AM, 25, FALSE) / VLOOKUP("transport|SO2|Infant mortality", US_national_yearly!$D:$AM, 10, FALSE), 1)</f>
        <v>6.4368418135880296E-6</v>
      </c>
      <c r="R3" s="7">
        <f>$B3 * IFERROR(VLOOKUP("transport|SO2|Infant mortality", US_national_yearly!$D:$AM, 26, FALSE) / VLOOKUP("transport|SO2|Infant mortality", US_national_yearly!$D:$AM, 10, FALSE), 1)</f>
        <v>6.4102421251750422E-6</v>
      </c>
      <c r="S3" s="7">
        <f>$B3 * IFERROR(VLOOKUP("transport|SO2|Infant mortality", US_national_yearly!$D:$AM, 27, FALSE) / VLOOKUP("transport|SO2|Infant mortality", US_national_yearly!$D:$AM, 10, FALSE), 1)</f>
        <v>6.3768445958848324E-6</v>
      </c>
      <c r="T3" s="7">
        <f>$B3 * IFERROR(VLOOKUP("transport|SO2|Infant mortality", US_national_yearly!$D:$AM, 28, FALSE) / VLOOKUP("transport|SO2|Infant mortality", US_national_yearly!$D:$AM, 10, FALSE), 1)</f>
        <v>6.3434470665946226E-6</v>
      </c>
      <c r="U3" s="7">
        <f>$B3 * IFERROR(VLOOKUP("transport|SO2|Infant mortality", US_national_yearly!$D:$AM, 29, FALSE) / VLOOKUP("transport|SO2|Infant mortality", US_national_yearly!$D:$AM, 10, FALSE), 1)</f>
        <v>6.3100495373044094E-6</v>
      </c>
      <c r="V3" s="7">
        <f>$B3 * IFERROR(VLOOKUP("transport|SO2|Infant mortality", US_national_yearly!$D:$AM, 30, FALSE) / VLOOKUP("transport|SO2|Infant mortality", US_national_yearly!$D:$AM, 10, FALSE), 1)</f>
        <v>6.2766520080142005E-6</v>
      </c>
      <c r="W3" s="7">
        <f>$B3 * IFERROR(VLOOKUP("transport|SO2|Infant mortality", US_national_yearly!$D:$AM, 31, FALSE) / VLOOKUP("transport|SO2|Infant mortality", US_national_yearly!$D:$AM, 10, FALSE), 1)</f>
        <v>6.243254478723989E-6</v>
      </c>
      <c r="X3" s="7">
        <f>$B3 * IFERROR(VLOOKUP("transport|SO2|Infant mortality", US_national_yearly!$D:$AM, 32, FALSE) / VLOOKUP("transport|SO2|Infant mortality", US_national_yearly!$D:$AM, 10, FALSE), 1)</f>
        <v>6.2067406703252307E-6</v>
      </c>
      <c r="Y3" s="7">
        <f>$B3 * IFERROR(VLOOKUP("transport|SO2|Infant mortality", US_national_yearly!$D:$AM, 33, FALSE) / VLOOKUP("transport|SO2|Infant mortality", US_national_yearly!$D:$AM, 10, FALSE), 1)</f>
        <v>6.17022686192647E-6</v>
      </c>
      <c r="Z3" s="7">
        <f>$B3 * IFERROR(VLOOKUP("transport|SO2|Infant mortality", US_national_yearly!$D:$AM, 34, FALSE) / VLOOKUP("transport|SO2|Infant mortality", US_national_yearly!$D:$AM, 10, FALSE), 1)</f>
        <v>6.1337130535277109E-6</v>
      </c>
      <c r="AA3" s="7">
        <f>$B3 * IFERROR(VLOOKUP("transport|SO2|Infant mortality", US_national_yearly!$D:$AM, 35, FALSE) / VLOOKUP("transport|SO2|Infant mortality", US_national_yearly!$D:$AM, 10, FALSE), 1)</f>
        <v>6.0971992451289501E-6</v>
      </c>
      <c r="AB3" s="7">
        <f>$B3 * IFERROR(VLOOKUP("transport|SO2|Infant mortality", US_national_yearly!$D:$AM, 36, FALSE) / VLOOKUP("transport|SO2|Infant mortality", US_national_yearly!$D:$AM, 10, FALSE), 1)</f>
        <v>6.0606854367301919E-6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1.9922607126797397E-2</v>
      </c>
      <c r="C6" s="7">
        <f>$B6 * IFERROR(VLOOKUP("transport|SO2|Asthma symptoms cough", US_national_yearly!$D:$AM, 11, FALSE) / VLOOKUP("transport|SO2|Asthma symptoms cough", US_national_yearly!$D:$AM, 10, FALSE), 1)</f>
        <v>1.9922607126797397E-2</v>
      </c>
      <c r="D6" s="7">
        <f>$B6 * IFERROR(VLOOKUP("transport|SO2|Asthma symptoms cough", US_national_yearly!$D:$AM, 12, FALSE) / VLOOKUP("transport|SO2|Asthma symptoms cough", US_national_yearly!$D:$AM, 10, FALSE), 1)</f>
        <v>1.9922607126797397E-2</v>
      </c>
      <c r="E6" s="7">
        <f>$B6 * IFERROR(VLOOKUP("transport|SO2|Asthma symptoms cough", US_national_yearly!$D:$AM, 13, FALSE) / VLOOKUP("transport|SO2|Asthma symptoms cough", US_national_yearly!$D:$AM, 10, FALSE), 1)</f>
        <v>1.9922607126797397E-2</v>
      </c>
      <c r="F6" s="7">
        <f>$B6 * IFERROR(VLOOKUP("transport|SO2|Asthma symptoms cough", US_national_yearly!$D:$AM, 14, FALSE) / VLOOKUP("transport|SO2|Asthma symptoms cough", US_national_yearly!$D:$AM, 10, FALSE), 1)</f>
        <v>1.9922607126797397E-2</v>
      </c>
      <c r="G6" s="7">
        <f>$B6 * IFERROR(VLOOKUP("transport|SO2|Asthma symptoms cough", US_national_yearly!$D:$AM, 15, FALSE) / VLOOKUP("transport|SO2|Asthma symptoms cough", US_national_yearly!$D:$AM, 10, FALSE), 1)</f>
        <v>1.9922607126797397E-2</v>
      </c>
      <c r="H6" s="7">
        <f>$B6 * IFERROR(VLOOKUP("transport|SO2|Asthma symptoms cough", US_national_yearly!$D:$AM, 16, FALSE) / VLOOKUP("transport|SO2|Asthma symptoms cough", US_national_yearly!$D:$AM, 10, FALSE), 1)</f>
        <v>1.9922607126797397E-2</v>
      </c>
      <c r="I6" s="7">
        <f>$B6 * IFERROR(VLOOKUP("transport|SO2|Asthma symptoms cough", US_national_yearly!$D:$AM, 17, FALSE) / VLOOKUP("transport|SO2|Asthma symptoms cough", US_national_yearly!$D:$AM, 10, FALSE), 1)</f>
        <v>1.9922607126797397E-2</v>
      </c>
      <c r="J6" s="7">
        <f>$B6 * IFERROR(VLOOKUP("transport|SO2|Asthma symptoms cough", US_national_yearly!$D:$AM, 18, FALSE) / VLOOKUP("transport|SO2|Asthma symptoms cough", US_national_yearly!$D:$AM, 10, FALSE), 1)</f>
        <v>1.9922607126797397E-2</v>
      </c>
      <c r="K6" s="7">
        <f>$B6 * IFERROR(VLOOKUP("transport|SO2|Asthma symptoms cough", US_national_yearly!$D:$AM, 19, FALSE) / VLOOKUP("transport|SO2|Asthma symptoms cough", US_national_yearly!$D:$AM, 10, FALSE), 1)</f>
        <v>1.9922607126797397E-2</v>
      </c>
      <c r="L6" s="7">
        <f>$B6 * IFERROR(VLOOKUP("transport|SO2|Asthma symptoms cough", US_national_yearly!$D:$AM, 20, FALSE) / VLOOKUP("transport|SO2|Asthma symptoms cough", US_national_yearly!$D:$AM, 10, FALSE), 1)</f>
        <v>1.9922607126797397E-2</v>
      </c>
      <c r="M6" s="7">
        <f>$B6 * IFERROR(VLOOKUP("transport|SO2|Asthma symptoms cough", US_national_yearly!$D:$AM, 21, FALSE) / VLOOKUP("transport|SO2|Asthma symptoms cough", US_national_yearly!$D:$AM, 10, FALSE), 1)</f>
        <v>1.9922607126797397E-2</v>
      </c>
      <c r="N6" s="7">
        <f>$B6 * IFERROR(VLOOKUP("transport|SO2|Asthma symptoms cough", US_national_yearly!$D:$AM, 22, FALSE) / VLOOKUP("transport|SO2|Asthma symptoms cough", US_national_yearly!$D:$AM, 10, FALSE), 1)</f>
        <v>1.9922607126797397E-2</v>
      </c>
      <c r="O6" s="7">
        <f>$B6 * IFERROR(VLOOKUP("transport|SO2|Asthma symptoms cough", US_national_yearly!$D:$AM, 23, FALSE) / VLOOKUP("transport|SO2|Asthma symptoms cough", US_national_yearly!$D:$AM, 10, FALSE), 1)</f>
        <v>1.9922607126797397E-2</v>
      </c>
      <c r="P6" s="7">
        <f>$B6 * IFERROR(VLOOKUP("transport|SO2|Asthma symptoms cough", US_national_yearly!$D:$AM, 24, FALSE) / VLOOKUP("transport|SO2|Asthma symptoms cough", US_national_yearly!$D:$AM, 10, FALSE), 1)</f>
        <v>1.9922607126797397E-2</v>
      </c>
      <c r="Q6" s="7">
        <f>$B6 * IFERROR(VLOOKUP("transport|SO2|Asthma symptoms cough", US_national_yearly!$D:$AM, 25, FALSE) / VLOOKUP("transport|SO2|Asthma symptoms cough", US_national_yearly!$D:$AM, 10, FALSE), 1)</f>
        <v>1.9922607126797397E-2</v>
      </c>
      <c r="R6" s="7">
        <f>$B6 * IFERROR(VLOOKUP("transport|SO2|Asthma symptoms cough", US_national_yearly!$D:$AM, 26, FALSE) / VLOOKUP("transport|SO2|Asthma symptoms cough", US_national_yearly!$D:$AM, 10, FALSE), 1)</f>
        <v>1.9922607126797397E-2</v>
      </c>
      <c r="S6" s="7">
        <f>$B6 * IFERROR(VLOOKUP("transport|SO2|Asthma symptoms cough", US_national_yearly!$D:$AM, 27, FALSE) / VLOOKUP("transport|SO2|Asthma symptoms cough", US_national_yearly!$D:$AM, 10, FALSE), 1)</f>
        <v>1.9922607126797397E-2</v>
      </c>
      <c r="T6" s="7">
        <f>$B6 * IFERROR(VLOOKUP("transport|SO2|Asthma symptoms cough", US_national_yearly!$D:$AM, 28, FALSE) / VLOOKUP("transport|SO2|Asthma symptoms cough", US_national_yearly!$D:$AM, 10, FALSE), 1)</f>
        <v>1.9922607126797397E-2</v>
      </c>
      <c r="U6" s="7">
        <f>$B6 * IFERROR(VLOOKUP("transport|SO2|Asthma symptoms cough", US_national_yearly!$D:$AM, 29, FALSE) / VLOOKUP("transport|SO2|Asthma symptoms cough", US_national_yearly!$D:$AM, 10, FALSE), 1)</f>
        <v>1.9922607126797397E-2</v>
      </c>
      <c r="V6" s="7">
        <f>$B6 * IFERROR(VLOOKUP("transport|SO2|Asthma symptoms cough", US_national_yearly!$D:$AM, 30, FALSE) / VLOOKUP("transport|SO2|Asthma symptoms cough", US_national_yearly!$D:$AM, 10, FALSE), 1)</f>
        <v>1.9922607126797397E-2</v>
      </c>
      <c r="W6" s="7">
        <f>$B6 * IFERROR(VLOOKUP("transport|SO2|Asthma symptoms cough", US_national_yearly!$D:$AM, 31, FALSE) / VLOOKUP("transport|SO2|Asthma symptoms cough", US_national_yearly!$D:$AM, 10, FALSE), 1)</f>
        <v>1.9922607126797397E-2</v>
      </c>
      <c r="X6" s="7">
        <f>$B6 * IFERROR(VLOOKUP("transport|SO2|Asthma symptoms cough", US_national_yearly!$D:$AM, 32, FALSE) / VLOOKUP("transport|SO2|Asthma symptoms cough", US_national_yearly!$D:$AM, 10, FALSE), 1)</f>
        <v>1.9922607126797397E-2</v>
      </c>
      <c r="Y6" s="7">
        <f>$B6 * IFERROR(VLOOKUP("transport|SO2|Asthma symptoms cough", US_national_yearly!$D:$AM, 33, FALSE) / VLOOKUP("transport|SO2|Asthma symptoms cough", US_national_yearly!$D:$AM, 10, FALSE), 1)</f>
        <v>1.9922607126797397E-2</v>
      </c>
      <c r="Z6" s="7">
        <f>$B6 * IFERROR(VLOOKUP("transport|SO2|Asthma symptoms cough", US_national_yearly!$D:$AM, 34, FALSE) / VLOOKUP("transport|SO2|Asthma symptoms cough", US_national_yearly!$D:$AM, 10, FALSE), 1)</f>
        <v>1.9922607126797397E-2</v>
      </c>
      <c r="AA6" s="7">
        <f>$B6 * IFERROR(VLOOKUP("transport|SO2|Asthma symptoms cough", US_national_yearly!$D:$AM, 35, FALSE) / VLOOKUP("transport|SO2|Asthma symptoms cough", US_national_yearly!$D:$AM, 10, FALSE), 1)</f>
        <v>1.9922607126797397E-2</v>
      </c>
      <c r="AB6" s="7">
        <f>$B6 * IFERROR(VLOOKUP("transport|SO2|Asthma symptoms cough", US_national_yearly!$D:$AM, 36, FALSE) / VLOOKUP("transport|SO2|Asthma symptoms cough", US_national_yearly!$D:$AM, 10, FALSE), 1)</f>
        <v>1.9922607126797397E-2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2.6828540458172866E-2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2.6828540458172866E-2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2.6828540458172866E-2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2.6828540458172866E-2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2.6828540458172866E-2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2.6828540458172866E-2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2.6828540458172866E-2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2.6828540458172866E-2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2.6828540458172866E-2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2.6828540458172866E-2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2.6828540458172866E-2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2.6828540458172866E-2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2.6828540458172866E-2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2.6828540458172866E-2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2.6828540458172866E-2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2.6828540458172866E-2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2.6828540458172866E-2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2.6828540458172866E-2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2.6828540458172866E-2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2.6828540458172866E-2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2.6828540458172866E-2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2.6828540458172866E-2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2.6828540458172866E-2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2.6828540458172866E-2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2.6828540458172866E-2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2.6828540458172866E-2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2.6828540458172866E-2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4.098996551581488E-2</v>
      </c>
      <c r="C8" s="7">
        <f>$B8 * IFERROR(VLOOKUP("transport|SO2|Asthma symptoms wheeze", US_national_yearly!$D:$AM, 11, FALSE) / VLOOKUP("transport|SO2|Asthma symptoms wheeze", US_national_yearly!$D:$AM, 10, FALSE), 1)</f>
        <v>4.098996551581488E-2</v>
      </c>
      <c r="D8" s="7">
        <f>$B8 * IFERROR(VLOOKUP("transport|SO2|Asthma symptoms wheeze", US_national_yearly!$D:$AM, 12, FALSE) / VLOOKUP("transport|SO2|Asthma symptoms wheeze", US_national_yearly!$D:$AM, 10, FALSE), 1)</f>
        <v>4.098996551581488E-2</v>
      </c>
      <c r="E8" s="7">
        <f>$B8 * IFERROR(VLOOKUP("transport|SO2|Asthma symptoms wheeze", US_national_yearly!$D:$AM, 13, FALSE) / VLOOKUP("transport|SO2|Asthma symptoms wheeze", US_national_yearly!$D:$AM, 10, FALSE), 1)</f>
        <v>4.098996551581488E-2</v>
      </c>
      <c r="F8" s="7">
        <f>$B8 * IFERROR(VLOOKUP("transport|SO2|Asthma symptoms wheeze", US_national_yearly!$D:$AM, 14, FALSE) / VLOOKUP("transport|SO2|Asthma symptoms wheeze", US_national_yearly!$D:$AM, 10, FALSE), 1)</f>
        <v>4.098996551581488E-2</v>
      </c>
      <c r="G8" s="7">
        <f>$B8 * IFERROR(VLOOKUP("transport|SO2|Asthma symptoms wheeze", US_national_yearly!$D:$AM, 15, FALSE) / VLOOKUP("transport|SO2|Asthma symptoms wheeze", US_national_yearly!$D:$AM, 10, FALSE), 1)</f>
        <v>4.098996551581488E-2</v>
      </c>
      <c r="H8" s="7">
        <f>$B8 * IFERROR(VLOOKUP("transport|SO2|Asthma symptoms wheeze", US_national_yearly!$D:$AM, 16, FALSE) / VLOOKUP("transport|SO2|Asthma symptoms wheeze", US_national_yearly!$D:$AM, 10, FALSE), 1)</f>
        <v>4.098996551581488E-2</v>
      </c>
      <c r="I8" s="7">
        <f>$B8 * IFERROR(VLOOKUP("transport|SO2|Asthma symptoms wheeze", US_national_yearly!$D:$AM, 17, FALSE) / VLOOKUP("transport|SO2|Asthma symptoms wheeze", US_national_yearly!$D:$AM, 10, FALSE), 1)</f>
        <v>4.098996551581488E-2</v>
      </c>
      <c r="J8" s="7">
        <f>$B8 * IFERROR(VLOOKUP("transport|SO2|Asthma symptoms wheeze", US_national_yearly!$D:$AM, 18, FALSE) / VLOOKUP("transport|SO2|Asthma symptoms wheeze", US_national_yearly!$D:$AM, 10, FALSE), 1)</f>
        <v>4.098996551581488E-2</v>
      </c>
      <c r="K8" s="7">
        <f>$B8 * IFERROR(VLOOKUP("transport|SO2|Asthma symptoms wheeze", US_national_yearly!$D:$AM, 19, FALSE) / VLOOKUP("transport|SO2|Asthma symptoms wheeze", US_national_yearly!$D:$AM, 10, FALSE), 1)</f>
        <v>4.098996551581488E-2</v>
      </c>
      <c r="L8" s="7">
        <f>$B8 * IFERROR(VLOOKUP("transport|SO2|Asthma symptoms wheeze", US_national_yearly!$D:$AM, 20, FALSE) / VLOOKUP("transport|SO2|Asthma symptoms wheeze", US_national_yearly!$D:$AM, 10, FALSE), 1)</f>
        <v>4.098996551581488E-2</v>
      </c>
      <c r="M8" s="7">
        <f>$B8 * IFERROR(VLOOKUP("transport|SO2|Asthma symptoms wheeze", US_national_yearly!$D:$AM, 21, FALSE) / VLOOKUP("transport|SO2|Asthma symptoms wheeze", US_national_yearly!$D:$AM, 10, FALSE), 1)</f>
        <v>4.098996551581488E-2</v>
      </c>
      <c r="N8" s="7">
        <f>$B8 * IFERROR(VLOOKUP("transport|SO2|Asthma symptoms wheeze", US_national_yearly!$D:$AM, 22, FALSE) / VLOOKUP("transport|SO2|Asthma symptoms wheeze", US_national_yearly!$D:$AM, 10, FALSE), 1)</f>
        <v>4.098996551581488E-2</v>
      </c>
      <c r="O8" s="7">
        <f>$B8 * IFERROR(VLOOKUP("transport|SO2|Asthma symptoms wheeze", US_national_yearly!$D:$AM, 23, FALSE) / VLOOKUP("transport|SO2|Asthma symptoms wheeze", US_national_yearly!$D:$AM, 10, FALSE), 1)</f>
        <v>4.098996551581488E-2</v>
      </c>
      <c r="P8" s="7">
        <f>$B8 * IFERROR(VLOOKUP("transport|SO2|Asthma symptoms wheeze", US_national_yearly!$D:$AM, 24, FALSE) / VLOOKUP("transport|SO2|Asthma symptoms wheeze", US_national_yearly!$D:$AM, 10, FALSE), 1)</f>
        <v>4.098996551581488E-2</v>
      </c>
      <c r="Q8" s="7">
        <f>$B8 * IFERROR(VLOOKUP("transport|SO2|Asthma symptoms wheeze", US_national_yearly!$D:$AM, 25, FALSE) / VLOOKUP("transport|SO2|Asthma symptoms wheeze", US_national_yearly!$D:$AM, 10, FALSE), 1)</f>
        <v>4.098996551581488E-2</v>
      </c>
      <c r="R8" s="7">
        <f>$B8 * IFERROR(VLOOKUP("transport|SO2|Asthma symptoms wheeze", US_national_yearly!$D:$AM, 26, FALSE) / VLOOKUP("transport|SO2|Asthma symptoms wheeze", US_national_yearly!$D:$AM, 10, FALSE), 1)</f>
        <v>4.098996551581488E-2</v>
      </c>
      <c r="S8" s="7">
        <f>$B8 * IFERROR(VLOOKUP("transport|SO2|Asthma symptoms wheeze", US_national_yearly!$D:$AM, 27, FALSE) / VLOOKUP("transport|SO2|Asthma symptoms wheeze", US_national_yearly!$D:$AM, 10, FALSE), 1)</f>
        <v>4.098996551581488E-2</v>
      </c>
      <c r="T8" s="7">
        <f>$B8 * IFERROR(VLOOKUP("transport|SO2|Asthma symptoms wheeze", US_national_yearly!$D:$AM, 28, FALSE) / VLOOKUP("transport|SO2|Asthma symptoms wheeze", US_national_yearly!$D:$AM, 10, FALSE), 1)</f>
        <v>4.098996551581488E-2</v>
      </c>
      <c r="U8" s="7">
        <f>$B8 * IFERROR(VLOOKUP("transport|SO2|Asthma symptoms wheeze", US_national_yearly!$D:$AM, 29, FALSE) / VLOOKUP("transport|SO2|Asthma symptoms wheeze", US_national_yearly!$D:$AM, 10, FALSE), 1)</f>
        <v>4.098996551581488E-2</v>
      </c>
      <c r="V8" s="7">
        <f>$B8 * IFERROR(VLOOKUP("transport|SO2|Asthma symptoms wheeze", US_national_yearly!$D:$AM, 30, FALSE) / VLOOKUP("transport|SO2|Asthma symptoms wheeze", US_national_yearly!$D:$AM, 10, FALSE), 1)</f>
        <v>4.098996551581488E-2</v>
      </c>
      <c r="W8" s="7">
        <f>$B8 * IFERROR(VLOOKUP("transport|SO2|Asthma symptoms wheeze", US_national_yearly!$D:$AM, 31, FALSE) / VLOOKUP("transport|SO2|Asthma symptoms wheeze", US_national_yearly!$D:$AM, 10, FALSE), 1)</f>
        <v>4.098996551581488E-2</v>
      </c>
      <c r="X8" s="7">
        <f>$B8 * IFERROR(VLOOKUP("transport|SO2|Asthma symptoms wheeze", US_national_yearly!$D:$AM, 32, FALSE) / VLOOKUP("transport|SO2|Asthma symptoms wheeze", US_national_yearly!$D:$AM, 10, FALSE), 1)</f>
        <v>4.098996551581488E-2</v>
      </c>
      <c r="Y8" s="7">
        <f>$B8 * IFERROR(VLOOKUP("transport|SO2|Asthma symptoms wheeze", US_national_yearly!$D:$AM, 33, FALSE) / VLOOKUP("transport|SO2|Asthma symptoms wheeze", US_national_yearly!$D:$AM, 10, FALSE), 1)</f>
        <v>4.098996551581488E-2</v>
      </c>
      <c r="Z8" s="7">
        <f>$B8 * IFERROR(VLOOKUP("transport|SO2|Asthma symptoms wheeze", US_national_yearly!$D:$AM, 34, FALSE) / VLOOKUP("transport|SO2|Asthma symptoms wheeze", US_national_yearly!$D:$AM, 10, FALSE), 1)</f>
        <v>4.098996551581488E-2</v>
      </c>
      <c r="AA8" s="7">
        <f>$B8 * IFERROR(VLOOKUP("transport|SO2|Asthma symptoms wheeze", US_national_yearly!$D:$AM, 35, FALSE) / VLOOKUP("transport|SO2|Asthma symptoms wheeze", US_national_yearly!$D:$AM, 10, FALSE), 1)</f>
        <v>4.098996551581488E-2</v>
      </c>
      <c r="AB8" s="7">
        <f>$B8 * IFERROR(VLOOKUP("transport|SO2|Asthma symptoms wheeze", US_national_yearly!$D:$AM, 36, FALSE) / VLOOKUP("transport|SO2|Asthma symptoms wheeze", US_national_yearly!$D:$AM, 10, FALSE), 1)</f>
        <v>4.098996551581488E-2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4.1187634164628948E-4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4.1430560877747267E-4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4.1673487590865592E-4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4.1916414303983912E-4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4.2159341017102231E-4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4.242417210909155E-4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4.2689003201080869E-4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4.295015818966603E-4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4.3211313178251201E-4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4.3472468166836357E-4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4.3733623155421523E-4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4.3994778144006678E-4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4.418541322418558E-4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4.4376048304364471E-4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4.4566683384543362E-4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4.4757318464722263E-4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4.4947953544901154E-4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4.5129804865524746E-4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4.5311656186148338E-4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4.549350750677193E-4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4.5675358827395527E-4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4.5857210148019125E-4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4.6029757194852194E-4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4.6202304241685263E-4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4.6374851288518332E-4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4.6547398335351401E-4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4.6719945382184475E-4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2.8922463189583313E-3</v>
      </c>
      <c r="C13" s="7">
        <f>$B13 * IFERROR(VLOOKUP("transport|SO2|Non-fatal heart attacks", US_national_yearly!$D:$AM, 11, FALSE) / VLOOKUP("transport|SO2|Non-fatal heart attacks", US_national_yearly!$D:$AM, 10, FALSE), 1)</f>
        <v>2.9771521656683083E-3</v>
      </c>
      <c r="D13" s="7">
        <f>$B13 * IFERROR(VLOOKUP("transport|SO2|Non-fatal heart attacks", US_national_yearly!$D:$AM, 12, FALSE) / VLOOKUP("transport|SO2|Non-fatal heart attacks", US_national_yearly!$D:$AM, 10, FALSE), 1)</f>
        <v>3.0620580123782858E-3</v>
      </c>
      <c r="E13" s="7">
        <f>$B13 * IFERROR(VLOOKUP("transport|SO2|Non-fatal heart attacks", US_national_yearly!$D:$AM, 13, FALSE) / VLOOKUP("transport|SO2|Non-fatal heart attacks", US_national_yearly!$D:$AM, 10, FALSE), 1)</f>
        <v>3.1469638590882628E-3</v>
      </c>
      <c r="F13" s="7">
        <f>$B13 * IFERROR(VLOOKUP("transport|SO2|Non-fatal heart attacks", US_national_yearly!$D:$AM, 14, FALSE) / VLOOKUP("transport|SO2|Non-fatal heart attacks", US_national_yearly!$D:$AM, 10, FALSE), 1)</f>
        <v>3.2318697057982394E-3</v>
      </c>
      <c r="G13" s="7">
        <f>$B13 * IFERROR(VLOOKUP("transport|SO2|Non-fatal heart attacks", US_national_yearly!$D:$AM, 15, FALSE) / VLOOKUP("transport|SO2|Non-fatal heart attacks", US_national_yearly!$D:$AM, 10, FALSE), 1)</f>
        <v>3.3119437947441428E-3</v>
      </c>
      <c r="H13" s="7">
        <f>$B13 * IFERROR(VLOOKUP("transport|SO2|Non-fatal heart attacks", US_national_yearly!$D:$AM, 16, FALSE) / VLOOKUP("transport|SO2|Non-fatal heart attacks", US_national_yearly!$D:$AM, 10, FALSE), 1)</f>
        <v>3.3920178836900467E-3</v>
      </c>
      <c r="I13" s="7">
        <f>$B13 * IFERROR(VLOOKUP("transport|SO2|Non-fatal heart attacks", US_national_yearly!$D:$AM, 17, FALSE) / VLOOKUP("transport|SO2|Non-fatal heart attacks", US_national_yearly!$D:$AM, 10, FALSE), 1)</f>
        <v>3.4564524232255614E-3</v>
      </c>
      <c r="J13" s="7">
        <f>$B13 * IFERROR(VLOOKUP("transport|SO2|Non-fatal heart attacks", US_national_yearly!$D:$AM, 18, FALSE) / VLOOKUP("transport|SO2|Non-fatal heart attacks", US_national_yearly!$D:$AM, 10, FALSE), 1)</f>
        <v>3.5208869627610761E-3</v>
      </c>
      <c r="K13" s="7">
        <f>$B13 * IFERROR(VLOOKUP("transport|SO2|Non-fatal heart attacks", US_national_yearly!$D:$AM, 19, FALSE) / VLOOKUP("transport|SO2|Non-fatal heart attacks", US_national_yearly!$D:$AM, 10, FALSE), 1)</f>
        <v>3.5853215022965909E-3</v>
      </c>
      <c r="L13" s="7">
        <f>$B13 * IFERROR(VLOOKUP("transport|SO2|Non-fatal heart attacks", US_national_yearly!$D:$AM, 20, FALSE) / VLOOKUP("transport|SO2|Non-fatal heart attacks", US_national_yearly!$D:$AM, 10, FALSE), 1)</f>
        <v>3.6497560418321064E-3</v>
      </c>
      <c r="M13" s="7">
        <f>$B13 * IFERROR(VLOOKUP("transport|SO2|Non-fatal heart attacks", US_national_yearly!$D:$AM, 21, FALSE) / VLOOKUP("transport|SO2|Non-fatal heart attacks", US_national_yearly!$D:$AM, 10, FALSE), 1)</f>
        <v>3.7141905813676216E-3</v>
      </c>
      <c r="N13" s="7">
        <f>$B13 * IFERROR(VLOOKUP("transport|SO2|Non-fatal heart attacks", US_national_yearly!$D:$AM, 22, FALSE) / VLOOKUP("transport|SO2|Non-fatal heart attacks", US_national_yearly!$D:$AM, 10, FALSE), 1)</f>
        <v>3.7560287063605519E-3</v>
      </c>
      <c r="O13" s="7">
        <f>$B13 * IFERROR(VLOOKUP("transport|SO2|Non-fatal heart attacks", US_national_yearly!$D:$AM, 23, FALSE) / VLOOKUP("transport|SO2|Non-fatal heart attacks", US_national_yearly!$D:$AM, 10, FALSE), 1)</f>
        <v>3.7978668313534839E-3</v>
      </c>
      <c r="P13" s="7">
        <f>$B13 * IFERROR(VLOOKUP("transport|SO2|Non-fatal heart attacks", US_national_yearly!$D:$AM, 24, FALSE) / VLOOKUP("transport|SO2|Non-fatal heart attacks", US_national_yearly!$D:$AM, 10, FALSE), 1)</f>
        <v>3.8397049563464159E-3</v>
      </c>
      <c r="Q13" s="7">
        <f>$B13 * IFERROR(VLOOKUP("transport|SO2|Non-fatal heart attacks", US_national_yearly!$D:$AM, 25, FALSE) / VLOOKUP("transport|SO2|Non-fatal heart attacks", US_national_yearly!$D:$AM, 10, FALSE), 1)</f>
        <v>3.881543081339347E-3</v>
      </c>
      <c r="R13" s="7">
        <f>$B13 * IFERROR(VLOOKUP("transport|SO2|Non-fatal heart attacks", US_national_yearly!$D:$AM, 26, FALSE) / VLOOKUP("transport|SO2|Non-fatal heart attacks", US_national_yearly!$D:$AM, 10, FALSE), 1)</f>
        <v>3.9233812063322777E-3</v>
      </c>
      <c r="S13" s="7">
        <f>$B13 * IFERROR(VLOOKUP("transport|SO2|Non-fatal heart attacks", US_national_yearly!$D:$AM, 27, FALSE) / VLOOKUP("transport|SO2|Non-fatal heart attacks", US_national_yearly!$D:$AM, 10, FALSE), 1)</f>
        <v>3.9452246560604609E-3</v>
      </c>
      <c r="T13" s="7">
        <f>$B13 * IFERROR(VLOOKUP("transport|SO2|Non-fatal heart attacks", US_national_yearly!$D:$AM, 28, FALSE) / VLOOKUP("transport|SO2|Non-fatal heart attacks", US_national_yearly!$D:$AM, 10, FALSE), 1)</f>
        <v>3.9670681057886433E-3</v>
      </c>
      <c r="U13" s="7">
        <f>$B13 * IFERROR(VLOOKUP("transport|SO2|Non-fatal heart attacks", US_national_yearly!$D:$AM, 29, FALSE) / VLOOKUP("transport|SO2|Non-fatal heart attacks", US_national_yearly!$D:$AM, 10, FALSE), 1)</f>
        <v>3.9889115555168247E-3</v>
      </c>
      <c r="V13" s="7">
        <f>$B13 * IFERROR(VLOOKUP("transport|SO2|Non-fatal heart attacks", US_national_yearly!$D:$AM, 30, FALSE) / VLOOKUP("transport|SO2|Non-fatal heart attacks", US_national_yearly!$D:$AM, 10, FALSE), 1)</f>
        <v>4.0107550052450071E-3</v>
      </c>
      <c r="W13" s="7">
        <f>$B13 * IFERROR(VLOOKUP("transport|SO2|Non-fatal heart attacks", US_national_yearly!$D:$AM, 31, FALSE) / VLOOKUP("transport|SO2|Non-fatal heart attacks", US_national_yearly!$D:$AM, 10, FALSE), 1)</f>
        <v>4.0325984549731894E-3</v>
      </c>
      <c r="X13" s="7">
        <f>$B13 * IFERROR(VLOOKUP("transport|SO2|Non-fatal heart attacks", US_national_yearly!$D:$AM, 32, FALSE) / VLOOKUP("transport|SO2|Non-fatal heart attacks", US_national_yearly!$D:$AM, 10, FALSE), 1)</f>
        <v>4.049088348787297E-3</v>
      </c>
      <c r="Y13" s="7">
        <f>$B13 * IFERROR(VLOOKUP("transport|SO2|Non-fatal heart attacks", US_national_yearly!$D:$AM, 33, FALSE) / VLOOKUP("transport|SO2|Non-fatal heart attacks", US_national_yearly!$D:$AM, 10, FALSE), 1)</f>
        <v>4.0655782426014036E-3</v>
      </c>
      <c r="Z13" s="7">
        <f>$B13 * IFERROR(VLOOKUP("transport|SO2|Non-fatal heart attacks", US_national_yearly!$D:$AM, 34, FALSE) / VLOOKUP("transport|SO2|Non-fatal heart attacks", US_national_yearly!$D:$AM, 10, FALSE), 1)</f>
        <v>4.0820681364155103E-3</v>
      </c>
      <c r="AA13" s="7">
        <f>$B13 * IFERROR(VLOOKUP("transport|SO2|Non-fatal heart attacks", US_national_yearly!$D:$AM, 35, FALSE) / VLOOKUP("transport|SO2|Non-fatal heart attacks", US_national_yearly!$D:$AM, 10, FALSE), 1)</f>
        <v>4.098558030229617E-3</v>
      </c>
      <c r="AB13" s="7">
        <f>$B13 * IFERROR(VLOOKUP("transport|SO2|Non-fatal heart attacks", US_national_yearly!$D:$AM, 36, FALSE) / VLOOKUP("transport|SO2|Non-fatal heart attacks", US_national_yearly!$D:$AM, 10, FALSE), 1)</f>
        <v>4.1150479240437236E-3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2.5331270673119808</v>
      </c>
      <c r="C14" s="7">
        <f>$B14 * IFERROR(VLOOKUP("transport|SO2|Minor restricted activity days", US_national_yearly!$D:$AM, 11, FALSE) / VLOOKUP("transport|SO2|Minor restricted activity days", US_national_yearly!$D:$AM, 10, FALSE), 1)</f>
        <v>2.5395122366301837</v>
      </c>
      <c r="D14" s="7">
        <f>$B14 * IFERROR(VLOOKUP("transport|SO2|Minor restricted activity days", US_national_yearly!$D:$AM, 12, FALSE) / VLOOKUP("transport|SO2|Minor restricted activity days", US_national_yearly!$D:$AM, 10, FALSE), 1)</f>
        <v>2.5458974059483861</v>
      </c>
      <c r="E14" s="7">
        <f>$B14 * IFERROR(VLOOKUP("transport|SO2|Minor restricted activity days", US_national_yearly!$D:$AM, 13, FALSE) / VLOOKUP("transport|SO2|Minor restricted activity days", US_national_yearly!$D:$AM, 10, FALSE), 1)</f>
        <v>2.5522825752665894</v>
      </c>
      <c r="F14" s="7">
        <f>$B14 * IFERROR(VLOOKUP("transport|SO2|Minor restricted activity days", US_national_yearly!$D:$AM, 14, FALSE) / VLOOKUP("transport|SO2|Minor restricted activity days", US_national_yearly!$D:$AM, 10, FALSE), 1)</f>
        <v>2.5586677445847918</v>
      </c>
      <c r="G14" s="7">
        <f>$B14 * IFERROR(VLOOKUP("transport|SO2|Minor restricted activity days", US_national_yearly!$D:$AM, 15, FALSE) / VLOOKUP("transport|SO2|Minor restricted activity days", US_national_yearly!$D:$AM, 10, FALSE), 1)</f>
        <v>2.5680660865386495</v>
      </c>
      <c r="H14" s="7">
        <f>$B14 * IFERROR(VLOOKUP("transport|SO2|Minor restricted activity days", US_national_yearly!$D:$AM, 16, FALSE) / VLOOKUP("transport|SO2|Minor restricted activity days", US_national_yearly!$D:$AM, 10, FALSE), 1)</f>
        <v>2.5774644284925077</v>
      </c>
      <c r="I14" s="7">
        <f>$B14 * IFERROR(VLOOKUP("transport|SO2|Minor restricted activity days", US_national_yearly!$D:$AM, 17, FALSE) / VLOOKUP("transport|SO2|Minor restricted activity days", US_national_yearly!$D:$AM, 10, FALSE), 1)</f>
        <v>2.5934924246667039</v>
      </c>
      <c r="J14" s="7">
        <f>$B14 * IFERROR(VLOOKUP("transport|SO2|Minor restricted activity days", US_national_yearly!$D:$AM, 18, FALSE) / VLOOKUP("transport|SO2|Minor restricted activity days", US_national_yearly!$D:$AM, 10, FALSE), 1)</f>
        <v>2.6095204208409002</v>
      </c>
      <c r="K14" s="7">
        <f>$B14 * IFERROR(VLOOKUP("transport|SO2|Minor restricted activity days", US_national_yearly!$D:$AM, 19, FALSE) / VLOOKUP("transport|SO2|Minor restricted activity days", US_national_yearly!$D:$AM, 10, FALSE), 1)</f>
        <v>2.6255484170150969</v>
      </c>
      <c r="L14" s="7">
        <f>$B14 * IFERROR(VLOOKUP("transport|SO2|Minor restricted activity days", US_national_yearly!$D:$AM, 20, FALSE) / VLOOKUP("transport|SO2|Minor restricted activity days", US_national_yearly!$D:$AM, 10, FALSE), 1)</f>
        <v>2.6415764131892931</v>
      </c>
      <c r="M14" s="7">
        <f>$B14 * IFERROR(VLOOKUP("transport|SO2|Minor restricted activity days", US_national_yearly!$D:$AM, 21, FALSE) / VLOOKUP("transport|SO2|Minor restricted activity days", US_national_yearly!$D:$AM, 10, FALSE), 1)</f>
        <v>2.657604409363489</v>
      </c>
      <c r="N14" s="7">
        <f>$B14 * IFERROR(VLOOKUP("transport|SO2|Minor restricted activity days", US_national_yearly!$D:$AM, 22, FALSE) / VLOOKUP("transport|SO2|Minor restricted activity days", US_national_yearly!$D:$AM, 10, FALSE), 1)</f>
        <v>2.6795281362938979</v>
      </c>
      <c r="O14" s="7">
        <f>$B14 * IFERROR(VLOOKUP("transport|SO2|Minor restricted activity days", US_national_yearly!$D:$AM, 23, FALSE) / VLOOKUP("transport|SO2|Minor restricted activity days", US_national_yearly!$D:$AM, 10, FALSE), 1)</f>
        <v>2.7014518632243063</v>
      </c>
      <c r="P14" s="7">
        <f>$B14 * IFERROR(VLOOKUP("transport|SO2|Minor restricted activity days", US_national_yearly!$D:$AM, 24, FALSE) / VLOOKUP("transport|SO2|Minor restricted activity days", US_national_yearly!$D:$AM, 10, FALSE), 1)</f>
        <v>2.7233755901547148</v>
      </c>
      <c r="Q14" s="7">
        <f>$B14 * IFERROR(VLOOKUP("transport|SO2|Minor restricted activity days", US_national_yearly!$D:$AM, 25, FALSE) / VLOOKUP("transport|SO2|Minor restricted activity days", US_national_yearly!$D:$AM, 10, FALSE), 1)</f>
        <v>2.7452993170851236</v>
      </c>
      <c r="R14" s="7">
        <f>$B14 * IFERROR(VLOOKUP("transport|SO2|Minor restricted activity days", US_national_yearly!$D:$AM, 26, FALSE) / VLOOKUP("transport|SO2|Minor restricted activity days", US_national_yearly!$D:$AM, 10, FALSE), 1)</f>
        <v>2.7672230440155321</v>
      </c>
      <c r="S14" s="7">
        <f>$B14 * IFERROR(VLOOKUP("transport|SO2|Minor restricted activity days", US_national_yearly!$D:$AM, 27, FALSE) / VLOOKUP("transport|SO2|Minor restricted activity days", US_national_yearly!$D:$AM, 10, FALSE), 1)</f>
        <v>2.7895764293822864</v>
      </c>
      <c r="T14" s="7">
        <f>$B14 * IFERROR(VLOOKUP("transport|SO2|Minor restricted activity days", US_national_yearly!$D:$AM, 28, FALSE) / VLOOKUP("transport|SO2|Minor restricted activity days", US_national_yearly!$D:$AM, 10, FALSE), 1)</f>
        <v>2.8119298147490408</v>
      </c>
      <c r="U14" s="7">
        <f>$B14 * IFERROR(VLOOKUP("transport|SO2|Minor restricted activity days", US_national_yearly!$D:$AM, 29, FALSE) / VLOOKUP("transport|SO2|Minor restricted activity days", US_national_yearly!$D:$AM, 10, FALSE), 1)</f>
        <v>2.8342832001157947</v>
      </c>
      <c r="V14" s="7">
        <f>$B14 * IFERROR(VLOOKUP("transport|SO2|Minor restricted activity days", US_national_yearly!$D:$AM, 30, FALSE) / VLOOKUP("transport|SO2|Minor restricted activity days", US_national_yearly!$D:$AM, 10, FALSE), 1)</f>
        <v>2.8566365854825491</v>
      </c>
      <c r="W14" s="7">
        <f>$B14 * IFERROR(VLOOKUP("transport|SO2|Minor restricted activity days", US_national_yearly!$D:$AM, 31, FALSE) / VLOOKUP("transport|SO2|Minor restricted activity days", US_national_yearly!$D:$AM, 10, FALSE), 1)</f>
        <v>2.8789899708493039</v>
      </c>
      <c r="X14" s="7">
        <f>$B14 * IFERROR(VLOOKUP("transport|SO2|Minor restricted activity days", US_national_yearly!$D:$AM, 32, FALSE) / VLOOKUP("transport|SO2|Minor restricted activity days", US_national_yearly!$D:$AM, 10, FALSE), 1)</f>
        <v>2.8986479919645416</v>
      </c>
      <c r="Y14" s="7">
        <f>$B14 * IFERROR(VLOOKUP("transport|SO2|Minor restricted activity days", US_national_yearly!$D:$AM, 33, FALSE) / VLOOKUP("transport|SO2|Minor restricted activity days", US_national_yearly!$D:$AM, 10, FALSE), 1)</f>
        <v>2.9183060130797793</v>
      </c>
      <c r="Z14" s="7">
        <f>$B14 * IFERROR(VLOOKUP("transport|SO2|Minor restricted activity days", US_national_yearly!$D:$AM, 34, FALSE) / VLOOKUP("transport|SO2|Minor restricted activity days", US_national_yearly!$D:$AM, 10, FALSE), 1)</f>
        <v>2.9379640341950175</v>
      </c>
      <c r="AA14" s="7">
        <f>$B14 * IFERROR(VLOOKUP("transport|SO2|Minor restricted activity days", US_national_yearly!$D:$AM, 35, FALSE) / VLOOKUP("transport|SO2|Minor restricted activity days", US_national_yearly!$D:$AM, 10, FALSE), 1)</f>
        <v>2.9576220553102552</v>
      </c>
      <c r="AB14" s="7">
        <f>$B14 * IFERROR(VLOOKUP("transport|SO2|Minor restricted activity days", US_national_yearly!$D:$AM, 36, FALSE) / VLOOKUP("transport|SO2|Minor restricted activity days", US_national_yearly!$D:$AM, 10, FALSE), 1)</f>
        <v>2.9772800764254934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0.43083812099949587</v>
      </c>
      <c r="C15" s="7">
        <f>$B15 * IFERROR(VLOOKUP("transport|SO2|Work loss days", US_national_yearly!$D:$AM, 11, FALSE) / VLOOKUP("transport|SO2|Work loss days", US_national_yearly!$D:$AM, 10, FALSE), 1)</f>
        <v>0.43223396803587188</v>
      </c>
      <c r="D15" s="7">
        <f>$B15 * IFERROR(VLOOKUP("transport|SO2|Work loss days", US_national_yearly!$D:$AM, 12, FALSE) / VLOOKUP("transport|SO2|Work loss days", US_national_yearly!$D:$AM, 10, FALSE), 1)</f>
        <v>0.4336298150722479</v>
      </c>
      <c r="E15" s="7">
        <f>$B15 * IFERROR(VLOOKUP("transport|SO2|Work loss days", US_national_yearly!$D:$AM, 13, FALSE) / VLOOKUP("transport|SO2|Work loss days", US_national_yearly!$D:$AM, 10, FALSE), 1)</f>
        <v>0.43502566210862392</v>
      </c>
      <c r="F15" s="7">
        <f>$B15 * IFERROR(VLOOKUP("transport|SO2|Work loss days", US_national_yearly!$D:$AM, 14, FALSE) / VLOOKUP("transport|SO2|Work loss days", US_national_yearly!$D:$AM, 10, FALSE), 1)</f>
        <v>0.43642150914499994</v>
      </c>
      <c r="G15" s="7">
        <f>$B15 * IFERROR(VLOOKUP("transport|SO2|Work loss days", US_national_yearly!$D:$AM, 15, FALSE) / VLOOKUP("transport|SO2|Work loss days", US_national_yearly!$D:$AM, 10, FALSE), 1)</f>
        <v>0.43824535409082649</v>
      </c>
      <c r="H15" s="7">
        <f>$B15 * IFERROR(VLOOKUP("transport|SO2|Work loss days", US_national_yearly!$D:$AM, 16, FALSE) / VLOOKUP("transport|SO2|Work loss days", US_national_yearly!$D:$AM, 10, FALSE), 1)</f>
        <v>0.44006919903665287</v>
      </c>
      <c r="I15" s="7">
        <f>$B15 * IFERROR(VLOOKUP("transport|SO2|Work loss days", US_national_yearly!$D:$AM, 17, FALSE) / VLOOKUP("transport|SO2|Work loss days", US_national_yearly!$D:$AM, 10, FALSE), 1)</f>
        <v>0.44273723935887643</v>
      </c>
      <c r="J15" s="7">
        <f>$B15 * IFERROR(VLOOKUP("transport|SO2|Work loss days", US_national_yearly!$D:$AM, 18, FALSE) / VLOOKUP("transport|SO2|Work loss days", US_national_yearly!$D:$AM, 10, FALSE), 1)</f>
        <v>0.44540527968109989</v>
      </c>
      <c r="K15" s="7">
        <f>$B15 * IFERROR(VLOOKUP("transport|SO2|Work loss days", US_national_yearly!$D:$AM, 19, FALSE) / VLOOKUP("transport|SO2|Work loss days", US_national_yearly!$D:$AM, 10, FALSE), 1)</f>
        <v>0.44807332000332345</v>
      </c>
      <c r="L15" s="7">
        <f>$B15 * IFERROR(VLOOKUP("transport|SO2|Work loss days", US_national_yearly!$D:$AM, 20, FALSE) / VLOOKUP("transport|SO2|Work loss days", US_national_yearly!$D:$AM, 10, FALSE), 1)</f>
        <v>0.45074136032554701</v>
      </c>
      <c r="M15" s="7">
        <f>$B15 * IFERROR(VLOOKUP("transport|SO2|Work loss days", US_national_yearly!$D:$AM, 21, FALSE) / VLOOKUP("transport|SO2|Work loss days", US_national_yearly!$D:$AM, 10, FALSE), 1)</f>
        <v>0.45340940064777058</v>
      </c>
      <c r="N15" s="7">
        <f>$B15 * IFERROR(VLOOKUP("transport|SO2|Work loss days", US_national_yearly!$D:$AM, 22, FALSE) / VLOOKUP("transport|SO2|Work loss days", US_national_yearly!$D:$AM, 10, FALSE), 1)</f>
        <v>0.4567546908543621</v>
      </c>
      <c r="O15" s="7">
        <f>$B15 * IFERROR(VLOOKUP("transport|SO2|Work loss days", US_national_yearly!$D:$AM, 23, FALSE) / VLOOKUP("transport|SO2|Work loss days", US_national_yearly!$D:$AM, 10, FALSE), 1)</f>
        <v>0.46009998106095368</v>
      </c>
      <c r="P15" s="7">
        <f>$B15 * IFERROR(VLOOKUP("transport|SO2|Work loss days", US_national_yearly!$D:$AM, 24, FALSE) / VLOOKUP("transport|SO2|Work loss days", US_national_yearly!$D:$AM, 10, FALSE), 1)</f>
        <v>0.4634452712675452</v>
      </c>
      <c r="Q15" s="7">
        <f>$B15 * IFERROR(VLOOKUP("transport|SO2|Work loss days", US_national_yearly!$D:$AM, 25, FALSE) / VLOOKUP("transport|SO2|Work loss days", US_national_yearly!$D:$AM, 10, FALSE), 1)</f>
        <v>0.46679056147413678</v>
      </c>
      <c r="R15" s="7">
        <f>$B15 * IFERROR(VLOOKUP("transport|SO2|Work loss days", US_national_yearly!$D:$AM, 26, FALSE) / VLOOKUP("transport|SO2|Work loss days", US_national_yearly!$D:$AM, 10, FALSE), 1)</f>
        <v>0.4701358516807283</v>
      </c>
      <c r="S15" s="7">
        <f>$B15 * IFERROR(VLOOKUP("transport|SO2|Work loss days", US_national_yearly!$D:$AM, 27, FALSE) / VLOOKUP("transport|SO2|Work loss days", US_national_yearly!$D:$AM, 10, FALSE), 1)</f>
        <v>0.47387420245731343</v>
      </c>
      <c r="T15" s="7">
        <f>$B15 * IFERROR(VLOOKUP("transport|SO2|Work loss days", US_national_yearly!$D:$AM, 28, FALSE) / VLOOKUP("transport|SO2|Work loss days", US_national_yearly!$D:$AM, 10, FALSE), 1)</f>
        <v>0.47761255323389867</v>
      </c>
      <c r="U15" s="7">
        <f>$B15 * IFERROR(VLOOKUP("transport|SO2|Work loss days", US_national_yearly!$D:$AM, 29, FALSE) / VLOOKUP("transport|SO2|Work loss days", US_national_yearly!$D:$AM, 10, FALSE), 1)</f>
        <v>0.4813509040104838</v>
      </c>
      <c r="V15" s="7">
        <f>$B15 * IFERROR(VLOOKUP("transport|SO2|Work loss days", US_national_yearly!$D:$AM, 30, FALSE) / VLOOKUP("transport|SO2|Work loss days", US_national_yearly!$D:$AM, 10, FALSE), 1)</f>
        <v>0.48508925478706894</v>
      </c>
      <c r="W15" s="7">
        <f>$B15 * IFERROR(VLOOKUP("transport|SO2|Work loss days", US_national_yearly!$D:$AM, 31, FALSE) / VLOOKUP("transport|SO2|Work loss days", US_national_yearly!$D:$AM, 10, FALSE), 1)</f>
        <v>0.48882760556365412</v>
      </c>
      <c r="X15" s="7">
        <f>$B15 * IFERROR(VLOOKUP("transport|SO2|Work loss days", US_national_yearly!$D:$AM, 32, FALSE) / VLOOKUP("transport|SO2|Work loss days", US_national_yearly!$D:$AM, 10, FALSE), 1)</f>
        <v>0.49218412927940947</v>
      </c>
      <c r="Y15" s="7">
        <f>$B15 * IFERROR(VLOOKUP("transport|SO2|Work loss days", US_national_yearly!$D:$AM, 33, FALSE) / VLOOKUP("transport|SO2|Work loss days", US_national_yearly!$D:$AM, 10, FALSE), 1)</f>
        <v>0.49554065299516487</v>
      </c>
      <c r="Z15" s="7">
        <f>$B15 * IFERROR(VLOOKUP("transport|SO2|Work loss days", US_national_yearly!$D:$AM, 34, FALSE) / VLOOKUP("transport|SO2|Work loss days", US_national_yearly!$D:$AM, 10, FALSE), 1)</f>
        <v>0.49889717671092026</v>
      </c>
      <c r="AA15" s="7">
        <f>$B15 * IFERROR(VLOOKUP("transport|SO2|Work loss days", US_national_yearly!$D:$AM, 35, FALSE) / VLOOKUP("transport|SO2|Work loss days", US_national_yearly!$D:$AM, 10, FALSE), 1)</f>
        <v>0.50225370042667561</v>
      </c>
      <c r="AB15" s="7">
        <f>$B15 * IFERROR(VLOOKUP("transport|SO2|Work loss days", US_national_yearly!$D:$AM, 36, FALSE) / VLOOKUP("transport|SO2|Work loss days", US_national_yearly!$D:$AM, 10, FALSE), 1)</f>
        <v>0.50561022414243106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7.4430151649026923E-4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7.6681204459336661E-4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7.89322572696464E-4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8.1183310079956138E-4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8.3434362890265899E-4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8.559065744087619E-4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8.7746951991486493E-4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8.959447562415135E-4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9.1441999256816197E-4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9.3289522889481054E-4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9.5137046522145911E-4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9.6984570154810747E-4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9.8225685188975333E-4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9.9466800223139908E-4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1.007079152573045E-3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1.0194903029146908E-3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1.0319014532563368E-3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1.0384288346613126E-3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1.0449562160662887E-3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1.0514835974712647E-3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1.0580109788762408E-3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1.0645383602812168E-3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1.0689204071971208E-3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1.0733024541130247E-3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1.0776845010289286E-3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1.0820665479448325E-3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1.0864485948607365E-3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1.0702908741315732E-2</v>
      </c>
      <c r="C2" s="7">
        <f>$B2 * IFERROR(VLOOKUP("electricity|PM25|Premature mortality", US_national_yearly!$D:$AM, 11, FALSE) / VLOOKUP("electricity|PM25|Premature mortality", US_national_yearly!$D:$AM, 10, FALSE), 1)</f>
        <v>1.0835477513471397E-2</v>
      </c>
      <c r="D2" s="7">
        <f>$B2 * IFERROR(VLOOKUP("electricity|PM25|Premature mortality", US_national_yearly!$D:$AM, 12, FALSE) / VLOOKUP("electricity|PM25|Premature mortality", US_national_yearly!$D:$AM, 10, FALSE), 1)</f>
        <v>1.0968046285627064E-2</v>
      </c>
      <c r="E2" s="7">
        <f>$B2 * IFERROR(VLOOKUP("electricity|PM25|Premature mortality", US_national_yearly!$D:$AM, 13, FALSE) / VLOOKUP("electricity|PM25|Premature mortality", US_national_yearly!$D:$AM, 10, FALSE), 1)</f>
        <v>1.1100615057782729E-2</v>
      </c>
      <c r="F2" s="7">
        <f>$B2 * IFERROR(VLOOKUP("electricity|PM25|Premature mortality", US_national_yearly!$D:$AM, 14, FALSE) / VLOOKUP("electricity|PM25|Premature mortality", US_national_yearly!$D:$AM, 10, FALSE), 1)</f>
        <v>1.1233183829938398E-2</v>
      </c>
      <c r="G2" s="7">
        <f>$B2 * IFERROR(VLOOKUP("electricity|PM25|Premature mortality", US_national_yearly!$D:$AM, 15, FALSE) / VLOOKUP("electricity|PM25|Premature mortality", US_national_yearly!$D:$AM, 10, FALSE), 1)</f>
        <v>1.1493555948681488E-2</v>
      </c>
      <c r="H2" s="7">
        <f>$B2 * IFERROR(VLOOKUP("electricity|PM25|Premature mortality", US_national_yearly!$D:$AM, 16, FALSE) / VLOOKUP("electricity|PM25|Premature mortality", US_national_yearly!$D:$AM, 10, FALSE), 1)</f>
        <v>1.1753928067424582E-2</v>
      </c>
      <c r="I2" s="7">
        <f>$B2 * IFERROR(VLOOKUP("electricity|PM25|Premature mortality", US_national_yearly!$D:$AM, 17, FALSE) / VLOOKUP("electricity|PM25|Premature mortality", US_national_yearly!$D:$AM, 10, FALSE), 1)</f>
        <v>1.1928874305705899E-2</v>
      </c>
      <c r="J2" s="7">
        <f>$B2 * IFERROR(VLOOKUP("electricity|PM25|Premature mortality", US_national_yearly!$D:$AM, 18, FALSE) / VLOOKUP("electricity|PM25|Premature mortality", US_national_yearly!$D:$AM, 10, FALSE), 1)</f>
        <v>1.2103820543987218E-2</v>
      </c>
      <c r="K2" s="7">
        <f>$B2 * IFERROR(VLOOKUP("electricity|PM25|Premature mortality", US_national_yearly!$D:$AM, 19, FALSE) / VLOOKUP("electricity|PM25|Premature mortality", US_national_yearly!$D:$AM, 10, FALSE), 1)</f>
        <v>1.2278766782268535E-2</v>
      </c>
      <c r="L2" s="7">
        <f>$B2 * IFERROR(VLOOKUP("electricity|PM25|Premature mortality", US_national_yearly!$D:$AM, 20, FALSE) / VLOOKUP("electricity|PM25|Premature mortality", US_national_yearly!$D:$AM, 10, FALSE), 1)</f>
        <v>1.2453713020549855E-2</v>
      </c>
      <c r="M2" s="7">
        <f>$B2 * IFERROR(VLOOKUP("electricity|PM25|Premature mortality", US_national_yearly!$D:$AM, 21, FALSE) / VLOOKUP("electricity|PM25|Premature mortality", US_national_yearly!$D:$AM, 10, FALSE), 1)</f>
        <v>1.2628659258831172E-2</v>
      </c>
      <c r="N2" s="7">
        <f>$B2 * IFERROR(VLOOKUP("electricity|PM25|Premature mortality", US_national_yearly!$D:$AM, 22, FALSE) / VLOOKUP("electricity|PM25|Premature mortality", US_national_yearly!$D:$AM, 10, FALSE), 1)</f>
        <v>1.2768111217542283E-2</v>
      </c>
      <c r="O2" s="7">
        <f>$B2 * IFERROR(VLOOKUP("electricity|PM25|Premature mortality", US_national_yearly!$D:$AM, 23, FALSE) / VLOOKUP("electricity|PM25|Premature mortality", US_national_yearly!$D:$AM, 10, FALSE), 1)</f>
        <v>1.2907563176253392E-2</v>
      </c>
      <c r="P2" s="7">
        <f>$B2 * IFERROR(VLOOKUP("electricity|PM25|Premature mortality", US_national_yearly!$D:$AM, 24, FALSE) / VLOOKUP("electricity|PM25|Premature mortality", US_national_yearly!$D:$AM, 10, FALSE), 1)</f>
        <v>1.3047015134964503E-2</v>
      </c>
      <c r="Q2" s="7">
        <f>$B2 * IFERROR(VLOOKUP("electricity|PM25|Premature mortality", US_national_yearly!$D:$AM, 25, FALSE) / VLOOKUP("electricity|PM25|Premature mortality", US_national_yearly!$D:$AM, 10, FALSE), 1)</f>
        <v>1.3186467093675611E-2</v>
      </c>
      <c r="R2" s="7">
        <f>$B2 * IFERROR(VLOOKUP("electricity|PM25|Premature mortality", US_national_yearly!$D:$AM, 26, FALSE) / VLOOKUP("electricity|PM25|Premature mortality", US_national_yearly!$D:$AM, 10, FALSE), 1)</f>
        <v>1.3325919052386722E-2</v>
      </c>
      <c r="S2" s="7">
        <f>$B2 * IFERROR(VLOOKUP("electricity|PM25|Premature mortality", US_national_yearly!$D:$AM, 27, FALSE) / VLOOKUP("electricity|PM25|Premature mortality", US_national_yearly!$D:$AM, 10, FALSE), 1)</f>
        <v>1.3405714210588598E-2</v>
      </c>
      <c r="T2" s="7">
        <f>$B2 * IFERROR(VLOOKUP("electricity|PM25|Premature mortality", US_national_yearly!$D:$AM, 28, FALSE) / VLOOKUP("electricity|PM25|Premature mortality", US_national_yearly!$D:$AM, 10, FALSE), 1)</f>
        <v>1.3485509368790472E-2</v>
      </c>
      <c r="U2" s="7">
        <f>$B2 * IFERROR(VLOOKUP("electricity|PM25|Premature mortality", US_national_yearly!$D:$AM, 29, FALSE) / VLOOKUP("electricity|PM25|Premature mortality", US_national_yearly!$D:$AM, 10, FALSE), 1)</f>
        <v>1.3565304526992349E-2</v>
      </c>
      <c r="V2" s="7">
        <f>$B2 * IFERROR(VLOOKUP("electricity|PM25|Premature mortality", US_national_yearly!$D:$AM, 30, FALSE) / VLOOKUP("electricity|PM25|Premature mortality", US_national_yearly!$D:$AM, 10, FALSE), 1)</f>
        <v>1.3645099685194222E-2</v>
      </c>
      <c r="W2" s="7">
        <f>$B2 * IFERROR(VLOOKUP("electricity|PM25|Premature mortality", US_national_yearly!$D:$AM, 31, FALSE) / VLOOKUP("electricity|PM25|Premature mortality", US_national_yearly!$D:$AM, 10, FALSE), 1)</f>
        <v>1.3724894843396097E-2</v>
      </c>
      <c r="X2" s="7">
        <f>$B2 * IFERROR(VLOOKUP("electricity|PM25|Premature mortality", US_national_yearly!$D:$AM, 32, FALSE) / VLOOKUP("electricity|PM25|Premature mortality", US_national_yearly!$D:$AM, 10, FALSE), 1)</f>
        <v>1.3747061422421583E-2</v>
      </c>
      <c r="Y2" s="7">
        <f>$B2 * IFERROR(VLOOKUP("electricity|PM25|Premature mortality", US_national_yearly!$D:$AM, 33, FALSE) / VLOOKUP("electricity|PM25|Premature mortality", US_national_yearly!$D:$AM, 10, FALSE), 1)</f>
        <v>1.376922800144707E-2</v>
      </c>
      <c r="Z2" s="7">
        <f>$B2 * IFERROR(VLOOKUP("electricity|PM25|Premature mortality", US_national_yearly!$D:$AM, 34, FALSE) / VLOOKUP("electricity|PM25|Premature mortality", US_national_yearly!$D:$AM, 10, FALSE), 1)</f>
        <v>1.3791394580472554E-2</v>
      </c>
      <c r="AA2" s="7">
        <f>$B2 * IFERROR(VLOOKUP("electricity|PM25|Premature mortality", US_national_yearly!$D:$AM, 35, FALSE) / VLOOKUP("electricity|PM25|Premature mortality", US_national_yearly!$D:$AM, 10, FALSE), 1)</f>
        <v>1.3813561159498043E-2</v>
      </c>
      <c r="AB2" s="7">
        <f>$B2 * IFERROR(VLOOKUP("electricity|PM25|Premature mortality", US_national_yearly!$D:$AM, 36, FALSE) / VLOOKUP("electricity|PM25|Premature mortality", US_national_yearly!$D:$AM, 10, FALSE), 1)</f>
        <v>1.3835727738523528E-2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3.4424142125422414E-5</v>
      </c>
      <c r="C3" s="7">
        <f>$B3 * IFERROR(VLOOKUP("electricity|PM25|Infant mortality", US_national_yearly!$D:$AM, 11, FALSE) / VLOOKUP("electricity|PM25|Infant mortality", US_national_yearly!$D:$AM, 10, FALSE), 1)</f>
        <v>3.4124204661794274E-5</v>
      </c>
      <c r="D3" s="7">
        <f>$B3 * IFERROR(VLOOKUP("electricity|PM25|Infant mortality", US_national_yearly!$D:$AM, 12, FALSE) / VLOOKUP("electricity|PM25|Infant mortality", US_national_yearly!$D:$AM, 10, FALSE), 1)</f>
        <v>3.382426719816614E-5</v>
      </c>
      <c r="E3" s="7">
        <f>$B3 * IFERROR(VLOOKUP("electricity|PM25|Infant mortality", US_national_yearly!$D:$AM, 13, FALSE) / VLOOKUP("electricity|PM25|Infant mortality", US_national_yearly!$D:$AM, 10, FALSE), 1)</f>
        <v>3.3524329734538006E-5</v>
      </c>
      <c r="F3" s="7">
        <f>$B3 * IFERROR(VLOOKUP("electricity|PM25|Infant mortality", US_national_yearly!$D:$AM, 14, FALSE) / VLOOKUP("electricity|PM25|Infant mortality", US_national_yearly!$D:$AM, 10, FALSE), 1)</f>
        <v>3.3224392270909866E-5</v>
      </c>
      <c r="G3" s="7">
        <f>$B3 * IFERROR(VLOOKUP("electricity|PM25|Infant mortality", US_national_yearly!$D:$AM, 15, FALSE) / VLOOKUP("electricity|PM25|Infant mortality", US_national_yearly!$D:$AM, 10, FALSE), 1)</f>
        <v>2.2033381402398221E-5</v>
      </c>
      <c r="H3" s="7">
        <f>$B3 * IFERROR(VLOOKUP("electricity|PM25|Infant mortality", US_national_yearly!$D:$AM, 16, FALSE) / VLOOKUP("electricity|PM25|Infant mortality", US_national_yearly!$D:$AM, 10, FALSE), 1)</f>
        <v>1.0842370533886577E-5</v>
      </c>
      <c r="I3" s="7">
        <f>$B3 * IFERROR(VLOOKUP("electricity|PM25|Infant mortality", US_national_yearly!$D:$AM, 17, FALSE) / VLOOKUP("electricity|PM25|Infant mortality", US_national_yearly!$D:$AM, 10, FALSE), 1)</f>
        <v>1.0765818429679298E-5</v>
      </c>
      <c r="J3" s="7">
        <f>$B3 * IFERROR(VLOOKUP("electricity|PM25|Infant mortality", US_national_yearly!$D:$AM, 18, FALSE) / VLOOKUP("electricity|PM25|Infant mortality", US_national_yearly!$D:$AM, 10, FALSE), 1)</f>
        <v>1.0689266325472024E-5</v>
      </c>
      <c r="K3" s="7">
        <f>$B3 * IFERROR(VLOOKUP("electricity|PM25|Infant mortality", US_national_yearly!$D:$AM, 19, FALSE) / VLOOKUP("electricity|PM25|Infant mortality", US_national_yearly!$D:$AM, 10, FALSE), 1)</f>
        <v>1.0612714221264746E-5</v>
      </c>
      <c r="L3" s="7">
        <f>$B3 * IFERROR(VLOOKUP("electricity|PM25|Infant mortality", US_national_yearly!$D:$AM, 20, FALSE) / VLOOKUP("electricity|PM25|Infant mortality", US_national_yearly!$D:$AM, 10, FALSE), 1)</f>
        <v>1.0536162117057468E-5</v>
      </c>
      <c r="M3" s="7">
        <f>$B3 * IFERROR(VLOOKUP("electricity|PM25|Infant mortality", US_national_yearly!$D:$AM, 21, FALSE) / VLOOKUP("electricity|PM25|Infant mortality", US_national_yearly!$D:$AM, 10, FALSE), 1)</f>
        <v>1.0459610012850192E-5</v>
      </c>
      <c r="N3" s="7">
        <f>$B3 * IFERROR(VLOOKUP("electricity|PM25|Infant mortality", US_national_yearly!$D:$AM, 22, FALSE) / VLOOKUP("electricity|PM25|Infant mortality", US_national_yearly!$D:$AM, 10, FALSE), 1)</f>
        <v>1.0410376846198568E-5</v>
      </c>
      <c r="O3" s="7">
        <f>$B3 * IFERROR(VLOOKUP("electricity|PM25|Infant mortality", US_national_yearly!$D:$AM, 23, FALSE) / VLOOKUP("electricity|PM25|Infant mortality", US_national_yearly!$D:$AM, 10, FALSE), 1)</f>
        <v>1.0361143679546941E-5</v>
      </c>
      <c r="P3" s="7">
        <f>$B3 * IFERROR(VLOOKUP("electricity|PM25|Infant mortality", US_national_yearly!$D:$AM, 24, FALSE) / VLOOKUP("electricity|PM25|Infant mortality", US_national_yearly!$D:$AM, 10, FALSE), 1)</f>
        <v>1.0311910512895315E-5</v>
      </c>
      <c r="Q3" s="7">
        <f>$B3 * IFERROR(VLOOKUP("electricity|PM25|Infant mortality", US_national_yearly!$D:$AM, 25, FALSE) / VLOOKUP("electricity|PM25|Infant mortality", US_national_yearly!$D:$AM, 10, FALSE), 1)</f>
        <v>1.026267734624369E-5</v>
      </c>
      <c r="R3" s="7">
        <f>$B3 * IFERROR(VLOOKUP("electricity|PM25|Infant mortality", US_national_yearly!$D:$AM, 26, FALSE) / VLOOKUP("electricity|PM25|Infant mortality", US_national_yearly!$D:$AM, 10, FALSE), 1)</f>
        <v>1.0213444179592062E-5</v>
      </c>
      <c r="S3" s="7">
        <f>$B3 * IFERROR(VLOOKUP("electricity|PM25|Infant mortality", US_national_yearly!$D:$AM, 27, FALSE) / VLOOKUP("electricity|PM25|Infant mortality", US_national_yearly!$D:$AM, 10, FALSE), 1)</f>
        <v>1.0154461745753613E-5</v>
      </c>
      <c r="T3" s="7">
        <f>$B3 * IFERROR(VLOOKUP("electricity|PM25|Infant mortality", US_national_yearly!$D:$AM, 28, FALSE) / VLOOKUP("electricity|PM25|Infant mortality", US_national_yearly!$D:$AM, 10, FALSE), 1)</f>
        <v>1.0095479311915164E-5</v>
      </c>
      <c r="U3" s="7">
        <f>$B3 * IFERROR(VLOOKUP("electricity|PM25|Infant mortality", US_national_yearly!$D:$AM, 29, FALSE) / VLOOKUP("electricity|PM25|Infant mortality", US_national_yearly!$D:$AM, 10, FALSE), 1)</f>
        <v>1.0036496878076715E-5</v>
      </c>
      <c r="V3" s="7">
        <f>$B3 * IFERROR(VLOOKUP("electricity|PM25|Infant mortality", US_national_yearly!$D:$AM, 30, FALSE) / VLOOKUP("electricity|PM25|Infant mortality", US_national_yearly!$D:$AM, 10, FALSE), 1)</f>
        <v>9.9775144442382662E-6</v>
      </c>
      <c r="W3" s="7">
        <f>$B3 * IFERROR(VLOOKUP("electricity|PM25|Infant mortality", US_national_yearly!$D:$AM, 31, FALSE) / VLOOKUP("electricity|PM25|Infant mortality", US_national_yearly!$D:$AM, 10, FALSE), 1)</f>
        <v>9.9185320103998155E-6</v>
      </c>
      <c r="X3" s="7">
        <f>$B3 * IFERROR(VLOOKUP("electricity|PM25|Infant mortality", US_national_yearly!$D:$AM, 32, FALSE) / VLOOKUP("electricity|PM25|Infant mortality", US_national_yearly!$D:$AM, 10, FALSE), 1)</f>
        <v>9.8575810293212533E-6</v>
      </c>
      <c r="Y3" s="7">
        <f>$B3 * IFERROR(VLOOKUP("electricity|PM25|Infant mortality", US_national_yearly!$D:$AM, 33, FALSE) / VLOOKUP("electricity|PM25|Infant mortality", US_national_yearly!$D:$AM, 10, FALSE), 1)</f>
        <v>9.7966300482426911E-6</v>
      </c>
      <c r="Z3" s="7">
        <f>$B3 * IFERROR(VLOOKUP("electricity|PM25|Infant mortality", US_national_yearly!$D:$AM, 34, FALSE) / VLOOKUP("electricity|PM25|Infant mortality", US_national_yearly!$D:$AM, 10, FALSE), 1)</f>
        <v>9.7356790671641289E-6</v>
      </c>
      <c r="AA3" s="7">
        <f>$B3 * IFERROR(VLOOKUP("electricity|PM25|Infant mortality", US_national_yearly!$D:$AM, 35, FALSE) / VLOOKUP("electricity|PM25|Infant mortality", US_national_yearly!$D:$AM, 10, FALSE), 1)</f>
        <v>9.6747280860855668E-6</v>
      </c>
      <c r="AB3" s="7">
        <f>$B3 * IFERROR(VLOOKUP("electricity|PM25|Infant mortality", US_national_yearly!$D:$AM, 36, FALSE) / VLOOKUP("electricity|PM25|Infant mortality", US_national_yearly!$D:$AM, 10, FALSE), 1)</f>
        <v>9.6137771050070046E-6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3.3505571940916391E-2</v>
      </c>
      <c r="C6" s="7">
        <f>$B6 * IFERROR(VLOOKUP("electricity|PM25|Asthma symptoms cough", US_national_yearly!$D:$AM, 11, FALSE) / VLOOKUP("electricity|PM25|Asthma symptoms cough", US_national_yearly!$D:$AM, 10, FALSE), 1)</f>
        <v>3.3505571940916391E-2</v>
      </c>
      <c r="D6" s="7">
        <f>$B6 * IFERROR(VLOOKUP("electricity|PM25|Asthma symptoms cough", US_national_yearly!$D:$AM, 12, FALSE) / VLOOKUP("electricity|PM25|Asthma symptoms cough", US_national_yearly!$D:$AM, 10, FALSE), 1)</f>
        <v>3.3505571940916391E-2</v>
      </c>
      <c r="E6" s="7">
        <f>$B6 * IFERROR(VLOOKUP("electricity|PM25|Asthma symptoms cough", US_national_yearly!$D:$AM, 13, FALSE) / VLOOKUP("electricity|PM25|Asthma symptoms cough", US_national_yearly!$D:$AM, 10, FALSE), 1)</f>
        <v>3.3505571940916391E-2</v>
      </c>
      <c r="F6" s="7">
        <f>$B6 * IFERROR(VLOOKUP("electricity|PM25|Asthma symptoms cough", US_national_yearly!$D:$AM, 14, FALSE) / VLOOKUP("electricity|PM25|Asthma symptoms cough", US_national_yearly!$D:$AM, 10, FALSE), 1)</f>
        <v>3.3505571940916391E-2</v>
      </c>
      <c r="G6" s="7">
        <f>$B6 * IFERROR(VLOOKUP("electricity|PM25|Asthma symptoms cough", US_national_yearly!$D:$AM, 15, FALSE) / VLOOKUP("electricity|PM25|Asthma symptoms cough", US_national_yearly!$D:$AM, 10, FALSE), 1)</f>
        <v>3.3505571940916391E-2</v>
      </c>
      <c r="H6" s="7">
        <f>$B6 * IFERROR(VLOOKUP("electricity|PM25|Asthma symptoms cough", US_national_yearly!$D:$AM, 16, FALSE) / VLOOKUP("electricity|PM25|Asthma symptoms cough", US_national_yearly!$D:$AM, 10, FALSE), 1)</f>
        <v>3.3505571940916391E-2</v>
      </c>
      <c r="I6" s="7">
        <f>$B6 * IFERROR(VLOOKUP("electricity|PM25|Asthma symptoms cough", US_national_yearly!$D:$AM, 17, FALSE) / VLOOKUP("electricity|PM25|Asthma symptoms cough", US_national_yearly!$D:$AM, 10, FALSE), 1)</f>
        <v>3.3505571940916391E-2</v>
      </c>
      <c r="J6" s="7">
        <f>$B6 * IFERROR(VLOOKUP("electricity|PM25|Asthma symptoms cough", US_national_yearly!$D:$AM, 18, FALSE) / VLOOKUP("electricity|PM25|Asthma symptoms cough", US_national_yearly!$D:$AM, 10, FALSE), 1)</f>
        <v>3.3505571940916391E-2</v>
      </c>
      <c r="K6" s="7">
        <f>$B6 * IFERROR(VLOOKUP("electricity|PM25|Asthma symptoms cough", US_national_yearly!$D:$AM, 19, FALSE) / VLOOKUP("electricity|PM25|Asthma symptoms cough", US_national_yearly!$D:$AM, 10, FALSE), 1)</f>
        <v>3.3505571940916391E-2</v>
      </c>
      <c r="L6" s="7">
        <f>$B6 * IFERROR(VLOOKUP("electricity|PM25|Asthma symptoms cough", US_national_yearly!$D:$AM, 20, FALSE) / VLOOKUP("electricity|PM25|Asthma symptoms cough", US_national_yearly!$D:$AM, 10, FALSE), 1)</f>
        <v>3.3505571940916391E-2</v>
      </c>
      <c r="M6" s="7">
        <f>$B6 * IFERROR(VLOOKUP("electricity|PM25|Asthma symptoms cough", US_national_yearly!$D:$AM, 21, FALSE) / VLOOKUP("electricity|PM25|Asthma symptoms cough", US_national_yearly!$D:$AM, 10, FALSE), 1)</f>
        <v>3.3505571940916391E-2</v>
      </c>
      <c r="N6" s="7">
        <f>$B6 * IFERROR(VLOOKUP("electricity|PM25|Asthma symptoms cough", US_national_yearly!$D:$AM, 22, FALSE) / VLOOKUP("electricity|PM25|Asthma symptoms cough", US_national_yearly!$D:$AM, 10, FALSE), 1)</f>
        <v>3.3505571940916391E-2</v>
      </c>
      <c r="O6" s="7">
        <f>$B6 * IFERROR(VLOOKUP("electricity|PM25|Asthma symptoms cough", US_national_yearly!$D:$AM, 23, FALSE) / VLOOKUP("electricity|PM25|Asthma symptoms cough", US_national_yearly!$D:$AM, 10, FALSE), 1)</f>
        <v>3.3505571940916391E-2</v>
      </c>
      <c r="P6" s="7">
        <f>$B6 * IFERROR(VLOOKUP("electricity|PM25|Asthma symptoms cough", US_national_yearly!$D:$AM, 24, FALSE) / VLOOKUP("electricity|PM25|Asthma symptoms cough", US_national_yearly!$D:$AM, 10, FALSE), 1)</f>
        <v>3.3505571940916391E-2</v>
      </c>
      <c r="Q6" s="7">
        <f>$B6 * IFERROR(VLOOKUP("electricity|PM25|Asthma symptoms cough", US_national_yearly!$D:$AM, 25, FALSE) / VLOOKUP("electricity|PM25|Asthma symptoms cough", US_national_yearly!$D:$AM, 10, FALSE), 1)</f>
        <v>3.3505571940916391E-2</v>
      </c>
      <c r="R6" s="7">
        <f>$B6 * IFERROR(VLOOKUP("electricity|PM25|Asthma symptoms cough", US_national_yearly!$D:$AM, 26, FALSE) / VLOOKUP("electricity|PM25|Asthma symptoms cough", US_national_yearly!$D:$AM, 10, FALSE), 1)</f>
        <v>3.3505571940916391E-2</v>
      </c>
      <c r="S6" s="7">
        <f>$B6 * IFERROR(VLOOKUP("electricity|PM25|Asthma symptoms cough", US_national_yearly!$D:$AM, 27, FALSE) / VLOOKUP("electricity|PM25|Asthma symptoms cough", US_national_yearly!$D:$AM, 10, FALSE), 1)</f>
        <v>3.3505571940916391E-2</v>
      </c>
      <c r="T6" s="7">
        <f>$B6 * IFERROR(VLOOKUP("electricity|PM25|Asthma symptoms cough", US_national_yearly!$D:$AM, 28, FALSE) / VLOOKUP("electricity|PM25|Asthma symptoms cough", US_national_yearly!$D:$AM, 10, FALSE), 1)</f>
        <v>3.3505571940916391E-2</v>
      </c>
      <c r="U6" s="7">
        <f>$B6 * IFERROR(VLOOKUP("electricity|PM25|Asthma symptoms cough", US_national_yearly!$D:$AM, 29, FALSE) / VLOOKUP("electricity|PM25|Asthma symptoms cough", US_national_yearly!$D:$AM, 10, FALSE), 1)</f>
        <v>3.3505571940916391E-2</v>
      </c>
      <c r="V6" s="7">
        <f>$B6 * IFERROR(VLOOKUP("electricity|PM25|Asthma symptoms cough", US_national_yearly!$D:$AM, 30, FALSE) / VLOOKUP("electricity|PM25|Asthma symptoms cough", US_national_yearly!$D:$AM, 10, FALSE), 1)</f>
        <v>3.3505571940916391E-2</v>
      </c>
      <c r="W6" s="7">
        <f>$B6 * IFERROR(VLOOKUP("electricity|PM25|Asthma symptoms cough", US_national_yearly!$D:$AM, 31, FALSE) / VLOOKUP("electricity|PM25|Asthma symptoms cough", US_national_yearly!$D:$AM, 10, FALSE), 1)</f>
        <v>3.3505571940916391E-2</v>
      </c>
      <c r="X6" s="7">
        <f>$B6 * IFERROR(VLOOKUP("electricity|PM25|Asthma symptoms cough", US_national_yearly!$D:$AM, 32, FALSE) / VLOOKUP("electricity|PM25|Asthma symptoms cough", US_national_yearly!$D:$AM, 10, FALSE), 1)</f>
        <v>3.3505571940916391E-2</v>
      </c>
      <c r="Y6" s="7">
        <f>$B6 * IFERROR(VLOOKUP("electricity|PM25|Asthma symptoms cough", US_national_yearly!$D:$AM, 33, FALSE) / VLOOKUP("electricity|PM25|Asthma symptoms cough", US_national_yearly!$D:$AM, 10, FALSE), 1)</f>
        <v>3.3505571940916391E-2</v>
      </c>
      <c r="Z6" s="7">
        <f>$B6 * IFERROR(VLOOKUP("electricity|PM25|Asthma symptoms cough", US_national_yearly!$D:$AM, 34, FALSE) / VLOOKUP("electricity|PM25|Asthma symptoms cough", US_national_yearly!$D:$AM, 10, FALSE), 1)</f>
        <v>3.3505571940916391E-2</v>
      </c>
      <c r="AA6" s="7">
        <f>$B6 * IFERROR(VLOOKUP("electricity|PM25|Asthma symptoms cough", US_national_yearly!$D:$AM, 35, FALSE) / VLOOKUP("electricity|PM25|Asthma symptoms cough", US_national_yearly!$D:$AM, 10, FALSE), 1)</f>
        <v>3.3505571940916391E-2</v>
      </c>
      <c r="AB6" s="7">
        <f>$B6 * IFERROR(VLOOKUP("electricity|PM25|Asthma symptoms cough", US_national_yearly!$D:$AM, 36, FALSE) / VLOOKUP("electricity|PM25|Asthma symptoms cough", US_national_yearly!$D:$AM, 10, FALSE), 1)</f>
        <v>3.3505571940916391E-2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4.5119703138823811E-2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4.5119703138823811E-2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4.5119703138823811E-2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4.5119703138823811E-2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4.5119703138823811E-2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4.5119703138823811E-2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4.5119703138823811E-2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4.5119703138823811E-2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4.5119703138823811E-2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4.5119703138823811E-2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4.5119703138823811E-2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4.5119703138823811E-2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4.5119703138823811E-2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4.5119703138823811E-2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4.5119703138823811E-2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4.5119703138823811E-2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4.5119703138823811E-2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4.5119703138823811E-2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4.5119703138823811E-2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4.5119703138823811E-2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4.5119703138823811E-2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4.5119703138823811E-2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4.5119703138823811E-2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4.5119703138823811E-2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4.5119703138823811E-2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4.5119703138823811E-2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4.5119703138823811E-2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6.8936726501005921E-2</v>
      </c>
      <c r="C8" s="7">
        <f>$B8 * IFERROR(VLOOKUP("electricity|PM25|Asthma symptoms wheeze", US_national_yearly!$D:$AM, 11, FALSE) / VLOOKUP("electricity|PM25|Asthma symptoms wheeze", US_national_yearly!$D:$AM, 10, FALSE), 1)</f>
        <v>6.8936726501005921E-2</v>
      </c>
      <c r="D8" s="7">
        <f>$B8 * IFERROR(VLOOKUP("electricity|PM25|Asthma symptoms wheeze", US_national_yearly!$D:$AM, 12, FALSE) / VLOOKUP("electricity|PM25|Asthma symptoms wheeze", US_national_yearly!$D:$AM, 10, FALSE), 1)</f>
        <v>6.8936726501005921E-2</v>
      </c>
      <c r="E8" s="7">
        <f>$B8 * IFERROR(VLOOKUP("electricity|PM25|Asthma symptoms wheeze", US_national_yearly!$D:$AM, 13, FALSE) / VLOOKUP("electricity|PM25|Asthma symptoms wheeze", US_national_yearly!$D:$AM, 10, FALSE), 1)</f>
        <v>6.8936726501005921E-2</v>
      </c>
      <c r="F8" s="7">
        <f>$B8 * IFERROR(VLOOKUP("electricity|PM25|Asthma symptoms wheeze", US_national_yearly!$D:$AM, 14, FALSE) / VLOOKUP("electricity|PM25|Asthma symptoms wheeze", US_national_yearly!$D:$AM, 10, FALSE), 1)</f>
        <v>6.8936726501005921E-2</v>
      </c>
      <c r="G8" s="7">
        <f>$B8 * IFERROR(VLOOKUP("electricity|PM25|Asthma symptoms wheeze", US_national_yearly!$D:$AM, 15, FALSE) / VLOOKUP("electricity|PM25|Asthma symptoms wheeze", US_national_yearly!$D:$AM, 10, FALSE), 1)</f>
        <v>6.8936726501005921E-2</v>
      </c>
      <c r="H8" s="7">
        <f>$B8 * IFERROR(VLOOKUP("electricity|PM25|Asthma symptoms wheeze", US_national_yearly!$D:$AM, 16, FALSE) / VLOOKUP("electricity|PM25|Asthma symptoms wheeze", US_national_yearly!$D:$AM, 10, FALSE), 1)</f>
        <v>6.8936726501005921E-2</v>
      </c>
      <c r="I8" s="7">
        <f>$B8 * IFERROR(VLOOKUP("electricity|PM25|Asthma symptoms wheeze", US_national_yearly!$D:$AM, 17, FALSE) / VLOOKUP("electricity|PM25|Asthma symptoms wheeze", US_national_yearly!$D:$AM, 10, FALSE), 1)</f>
        <v>6.8936726501005921E-2</v>
      </c>
      <c r="J8" s="7">
        <f>$B8 * IFERROR(VLOOKUP("electricity|PM25|Asthma symptoms wheeze", US_national_yearly!$D:$AM, 18, FALSE) / VLOOKUP("electricity|PM25|Asthma symptoms wheeze", US_national_yearly!$D:$AM, 10, FALSE), 1)</f>
        <v>6.8936726501005921E-2</v>
      </c>
      <c r="K8" s="7">
        <f>$B8 * IFERROR(VLOOKUP("electricity|PM25|Asthma symptoms wheeze", US_national_yearly!$D:$AM, 19, FALSE) / VLOOKUP("electricity|PM25|Asthma symptoms wheeze", US_national_yearly!$D:$AM, 10, FALSE), 1)</f>
        <v>6.8936726501005921E-2</v>
      </c>
      <c r="L8" s="7">
        <f>$B8 * IFERROR(VLOOKUP("electricity|PM25|Asthma symptoms wheeze", US_national_yearly!$D:$AM, 20, FALSE) / VLOOKUP("electricity|PM25|Asthma symptoms wheeze", US_national_yearly!$D:$AM, 10, FALSE), 1)</f>
        <v>6.8936726501005921E-2</v>
      </c>
      <c r="M8" s="7">
        <f>$B8 * IFERROR(VLOOKUP("electricity|PM25|Asthma symptoms wheeze", US_national_yearly!$D:$AM, 21, FALSE) / VLOOKUP("electricity|PM25|Asthma symptoms wheeze", US_national_yearly!$D:$AM, 10, FALSE), 1)</f>
        <v>6.8936726501005921E-2</v>
      </c>
      <c r="N8" s="7">
        <f>$B8 * IFERROR(VLOOKUP("electricity|PM25|Asthma symptoms wheeze", US_national_yearly!$D:$AM, 22, FALSE) / VLOOKUP("electricity|PM25|Asthma symptoms wheeze", US_national_yearly!$D:$AM, 10, FALSE), 1)</f>
        <v>6.8936726501005921E-2</v>
      </c>
      <c r="O8" s="7">
        <f>$B8 * IFERROR(VLOOKUP("electricity|PM25|Asthma symptoms wheeze", US_national_yearly!$D:$AM, 23, FALSE) / VLOOKUP("electricity|PM25|Asthma symptoms wheeze", US_national_yearly!$D:$AM, 10, FALSE), 1)</f>
        <v>6.8936726501005921E-2</v>
      </c>
      <c r="P8" s="7">
        <f>$B8 * IFERROR(VLOOKUP("electricity|PM25|Asthma symptoms wheeze", US_national_yearly!$D:$AM, 24, FALSE) / VLOOKUP("electricity|PM25|Asthma symptoms wheeze", US_national_yearly!$D:$AM, 10, FALSE), 1)</f>
        <v>6.8936726501005921E-2</v>
      </c>
      <c r="Q8" s="7">
        <f>$B8 * IFERROR(VLOOKUP("electricity|PM25|Asthma symptoms wheeze", US_national_yearly!$D:$AM, 25, FALSE) / VLOOKUP("electricity|PM25|Asthma symptoms wheeze", US_national_yearly!$D:$AM, 10, FALSE), 1)</f>
        <v>6.8936726501005921E-2</v>
      </c>
      <c r="R8" s="7">
        <f>$B8 * IFERROR(VLOOKUP("electricity|PM25|Asthma symptoms wheeze", US_national_yearly!$D:$AM, 26, FALSE) / VLOOKUP("electricity|PM25|Asthma symptoms wheeze", US_national_yearly!$D:$AM, 10, FALSE), 1)</f>
        <v>6.8936726501005921E-2</v>
      </c>
      <c r="S8" s="7">
        <f>$B8 * IFERROR(VLOOKUP("electricity|PM25|Asthma symptoms wheeze", US_national_yearly!$D:$AM, 27, FALSE) / VLOOKUP("electricity|PM25|Asthma symptoms wheeze", US_national_yearly!$D:$AM, 10, FALSE), 1)</f>
        <v>6.8936726501005921E-2</v>
      </c>
      <c r="T8" s="7">
        <f>$B8 * IFERROR(VLOOKUP("electricity|PM25|Asthma symptoms wheeze", US_national_yearly!$D:$AM, 28, FALSE) / VLOOKUP("electricity|PM25|Asthma symptoms wheeze", US_national_yearly!$D:$AM, 10, FALSE), 1)</f>
        <v>6.8936726501005921E-2</v>
      </c>
      <c r="U8" s="7">
        <f>$B8 * IFERROR(VLOOKUP("electricity|PM25|Asthma symptoms wheeze", US_national_yearly!$D:$AM, 29, FALSE) / VLOOKUP("electricity|PM25|Asthma symptoms wheeze", US_national_yearly!$D:$AM, 10, FALSE), 1)</f>
        <v>6.8936726501005921E-2</v>
      </c>
      <c r="V8" s="7">
        <f>$B8 * IFERROR(VLOOKUP("electricity|PM25|Asthma symptoms wheeze", US_national_yearly!$D:$AM, 30, FALSE) / VLOOKUP("electricity|PM25|Asthma symptoms wheeze", US_national_yearly!$D:$AM, 10, FALSE), 1)</f>
        <v>6.8936726501005921E-2</v>
      </c>
      <c r="W8" s="7">
        <f>$B8 * IFERROR(VLOOKUP("electricity|PM25|Asthma symptoms wheeze", US_national_yearly!$D:$AM, 31, FALSE) / VLOOKUP("electricity|PM25|Asthma symptoms wheeze", US_national_yearly!$D:$AM, 10, FALSE), 1)</f>
        <v>6.8936726501005921E-2</v>
      </c>
      <c r="X8" s="7">
        <f>$B8 * IFERROR(VLOOKUP("electricity|PM25|Asthma symptoms wheeze", US_national_yearly!$D:$AM, 32, FALSE) / VLOOKUP("electricity|PM25|Asthma symptoms wheeze", US_national_yearly!$D:$AM, 10, FALSE), 1)</f>
        <v>6.8936726501005921E-2</v>
      </c>
      <c r="Y8" s="7">
        <f>$B8 * IFERROR(VLOOKUP("electricity|PM25|Asthma symptoms wheeze", US_national_yearly!$D:$AM, 33, FALSE) / VLOOKUP("electricity|PM25|Asthma symptoms wheeze", US_national_yearly!$D:$AM, 10, FALSE), 1)</f>
        <v>6.8936726501005921E-2</v>
      </c>
      <c r="Z8" s="7">
        <f>$B8 * IFERROR(VLOOKUP("electricity|PM25|Asthma symptoms wheeze", US_national_yearly!$D:$AM, 34, FALSE) / VLOOKUP("electricity|PM25|Asthma symptoms wheeze", US_national_yearly!$D:$AM, 10, FALSE), 1)</f>
        <v>6.8936726501005921E-2</v>
      </c>
      <c r="AA8" s="7">
        <f>$B8 * IFERROR(VLOOKUP("electricity|PM25|Asthma symptoms wheeze", US_national_yearly!$D:$AM, 35, FALSE) / VLOOKUP("electricity|PM25|Asthma symptoms wheeze", US_national_yearly!$D:$AM, 10, FALSE), 1)</f>
        <v>6.8936726501005921E-2</v>
      </c>
      <c r="AB8" s="7">
        <f>$B8 * IFERROR(VLOOKUP("electricity|PM25|Asthma symptoms wheeze", US_national_yearly!$D:$AM, 36, FALSE) / VLOOKUP("electricity|PM25|Asthma symptoms wheeze", US_national_yearly!$D:$AM, 10, FALSE), 1)</f>
        <v>6.8936726501005921E-2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7.2842592242983032E-4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7.3242926261980605E-4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7.3643260280978166E-4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7.4043594299975761E-4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7.4443928318973312E-4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7.4873076546840217E-4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7.5302224774707112E-4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7.5685624874986368E-4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7.6069024975265612E-4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7.6452425075544846E-4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7.683582517582409E-4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7.7219225276103345E-4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7.7477842258022315E-4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7.7736459239941295E-4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7.7995076221860286E-4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7.8253693203779256E-4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7.8512310185698236E-4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7.8753305044784727E-4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7.8994299903871186E-4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7.9235294762957655E-4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7.9476289622044136E-4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7.9717284481130594E-4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7.9955582502790447E-4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8.0193880524450289E-4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8.043217854611012E-4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8.0670476567769962E-4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8.0908774589429815E-4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5.045089213280899E-3</v>
      </c>
      <c r="C13" s="7">
        <f>$B13 * IFERROR(VLOOKUP("electricity|PM25|Non-fatal heart attacks", US_national_yearly!$D:$AM, 11, FALSE) / VLOOKUP("electricity|PM25|Non-fatal heart attacks", US_national_yearly!$D:$AM, 10, FALSE), 1)</f>
        <v>5.1912193234218669E-3</v>
      </c>
      <c r="D13" s="7">
        <f>$B13 * IFERROR(VLOOKUP("electricity|PM25|Non-fatal heart attacks", US_national_yearly!$D:$AM, 12, FALSE) / VLOOKUP("electricity|PM25|Non-fatal heart attacks", US_national_yearly!$D:$AM, 10, FALSE), 1)</f>
        <v>5.337349433562834E-3</v>
      </c>
      <c r="E13" s="7">
        <f>$B13 * IFERROR(VLOOKUP("electricity|PM25|Non-fatal heart attacks", US_national_yearly!$D:$AM, 13, FALSE) / VLOOKUP("electricity|PM25|Non-fatal heart attacks", US_national_yearly!$D:$AM, 10, FALSE), 1)</f>
        <v>5.483479543703801E-3</v>
      </c>
      <c r="F13" s="7">
        <f>$B13 * IFERROR(VLOOKUP("electricity|PM25|Non-fatal heart attacks", US_national_yearly!$D:$AM, 14, FALSE) / VLOOKUP("electricity|PM25|Non-fatal heart attacks", US_national_yearly!$D:$AM, 10, FALSE), 1)</f>
        <v>5.629609653844769E-3</v>
      </c>
      <c r="G13" s="7">
        <f>$B13 * IFERROR(VLOOKUP("electricity|PM25|Non-fatal heart attacks", US_national_yearly!$D:$AM, 15, FALSE) / VLOOKUP("electricity|PM25|Non-fatal heart attacks", US_national_yearly!$D:$AM, 10, FALSE), 1)</f>
        <v>5.7683115314869681E-3</v>
      </c>
      <c r="H13" s="7">
        <f>$B13 * IFERROR(VLOOKUP("electricity|PM25|Non-fatal heart attacks", US_national_yearly!$D:$AM, 16, FALSE) / VLOOKUP("electricity|PM25|Non-fatal heart attacks", US_national_yearly!$D:$AM, 10, FALSE), 1)</f>
        <v>5.9070134091291663E-3</v>
      </c>
      <c r="I13" s="7">
        <f>$B13 * IFERROR(VLOOKUP("electricity|PM25|Non-fatal heart attacks", US_national_yearly!$D:$AM, 17, FALSE) / VLOOKUP("electricity|PM25|Non-fatal heart attacks", US_national_yearly!$D:$AM, 10, FALSE), 1)</f>
        <v>6.020177766753061E-3</v>
      </c>
      <c r="J13" s="7">
        <f>$B13 * IFERROR(VLOOKUP("electricity|PM25|Non-fatal heart attacks", US_national_yearly!$D:$AM, 18, FALSE) / VLOOKUP("electricity|PM25|Non-fatal heart attacks", US_national_yearly!$D:$AM, 10, FALSE), 1)</f>
        <v>6.1333421243769557E-3</v>
      </c>
      <c r="K13" s="7">
        <f>$B13 * IFERROR(VLOOKUP("electricity|PM25|Non-fatal heart attacks", US_national_yearly!$D:$AM, 19, FALSE) / VLOOKUP("electricity|PM25|Non-fatal heart attacks", US_national_yearly!$D:$AM, 10, FALSE), 1)</f>
        <v>6.2465064820008487E-3</v>
      </c>
      <c r="L13" s="7">
        <f>$B13 * IFERROR(VLOOKUP("electricity|PM25|Non-fatal heart attacks", US_national_yearly!$D:$AM, 20, FALSE) / VLOOKUP("electricity|PM25|Non-fatal heart attacks", US_national_yearly!$D:$AM, 10, FALSE), 1)</f>
        <v>6.3596708396247426E-3</v>
      </c>
      <c r="M13" s="7">
        <f>$B13 * IFERROR(VLOOKUP("electricity|PM25|Non-fatal heart attacks", US_national_yearly!$D:$AM, 21, FALSE) / VLOOKUP("electricity|PM25|Non-fatal heart attacks", US_national_yearly!$D:$AM, 10, FALSE), 1)</f>
        <v>6.4728351972486381E-3</v>
      </c>
      <c r="N13" s="7">
        <f>$B13 * IFERROR(VLOOKUP("electricity|PM25|Non-fatal heart attacks", US_national_yearly!$D:$AM, 22, FALSE) / VLOOKUP("electricity|PM25|Non-fatal heart attacks", US_national_yearly!$D:$AM, 10, FALSE), 1)</f>
        <v>6.5462642566389328E-3</v>
      </c>
      <c r="O13" s="7">
        <f>$B13 * IFERROR(VLOOKUP("electricity|PM25|Non-fatal heart attacks", US_national_yearly!$D:$AM, 23, FALSE) / VLOOKUP("electricity|PM25|Non-fatal heart attacks", US_national_yearly!$D:$AM, 10, FALSE), 1)</f>
        <v>6.6196933160292274E-3</v>
      </c>
      <c r="P13" s="7">
        <f>$B13 * IFERROR(VLOOKUP("electricity|PM25|Non-fatal heart attacks", US_national_yearly!$D:$AM, 24, FALSE) / VLOOKUP("electricity|PM25|Non-fatal heart attacks", US_national_yearly!$D:$AM, 10, FALSE), 1)</f>
        <v>6.6931223754195203E-3</v>
      </c>
      <c r="Q13" s="7">
        <f>$B13 * IFERROR(VLOOKUP("electricity|PM25|Non-fatal heart attacks", US_national_yearly!$D:$AM, 25, FALSE) / VLOOKUP("electricity|PM25|Non-fatal heart attacks", US_national_yearly!$D:$AM, 10, FALSE), 1)</f>
        <v>6.7665514348098149E-3</v>
      </c>
      <c r="R13" s="7">
        <f>$B13 * IFERROR(VLOOKUP("electricity|PM25|Non-fatal heart attacks", US_national_yearly!$D:$AM, 26, FALSE) / VLOOKUP("electricity|PM25|Non-fatal heart attacks", US_national_yearly!$D:$AM, 10, FALSE), 1)</f>
        <v>6.8399804942001095E-3</v>
      </c>
      <c r="S13" s="7">
        <f>$B13 * IFERROR(VLOOKUP("electricity|PM25|Non-fatal heart attacks", US_national_yearly!$D:$AM, 27, FALSE) / VLOOKUP("electricity|PM25|Non-fatal heart attacks", US_national_yearly!$D:$AM, 10, FALSE), 1)</f>
        <v>6.8804050778017486E-3</v>
      </c>
      <c r="T13" s="7">
        <f>$B13 * IFERROR(VLOOKUP("electricity|PM25|Non-fatal heart attacks", US_national_yearly!$D:$AM, 28, FALSE) / VLOOKUP("electricity|PM25|Non-fatal heart attacks", US_national_yearly!$D:$AM, 10, FALSE), 1)</f>
        <v>6.9208296614033894E-3</v>
      </c>
      <c r="U13" s="7">
        <f>$B13 * IFERROR(VLOOKUP("electricity|PM25|Non-fatal heart attacks", US_national_yearly!$D:$AM, 29, FALSE) / VLOOKUP("electricity|PM25|Non-fatal heart attacks", US_national_yearly!$D:$AM, 10, FALSE), 1)</f>
        <v>6.9612542450050285E-3</v>
      </c>
      <c r="V13" s="7">
        <f>$B13 * IFERROR(VLOOKUP("electricity|PM25|Non-fatal heart attacks", US_national_yearly!$D:$AM, 30, FALSE) / VLOOKUP("electricity|PM25|Non-fatal heart attacks", US_national_yearly!$D:$AM, 10, FALSE), 1)</f>
        <v>7.0016788286066684E-3</v>
      </c>
      <c r="W13" s="7">
        <f>$B13 * IFERROR(VLOOKUP("electricity|PM25|Non-fatal heart attacks", US_national_yearly!$D:$AM, 31, FALSE) / VLOOKUP("electricity|PM25|Non-fatal heart attacks", US_national_yearly!$D:$AM, 10, FALSE), 1)</f>
        <v>7.0421034122083092E-3</v>
      </c>
      <c r="X13" s="7">
        <f>$B13 * IFERROR(VLOOKUP("electricity|PM25|Non-fatal heart attacks", US_national_yearly!$D:$AM, 32, FALSE) / VLOOKUP("electricity|PM25|Non-fatal heart attacks", US_national_yearly!$D:$AM, 10, FALSE), 1)</f>
        <v>7.0737282020852214E-3</v>
      </c>
      <c r="Y13" s="7">
        <f>$B13 * IFERROR(VLOOKUP("electricity|PM25|Non-fatal heart attacks", US_national_yearly!$D:$AM, 33, FALSE) / VLOOKUP("electricity|PM25|Non-fatal heart attacks", US_national_yearly!$D:$AM, 10, FALSE), 1)</f>
        <v>7.1053529919621362E-3</v>
      </c>
      <c r="Z13" s="7">
        <f>$B13 * IFERROR(VLOOKUP("electricity|PM25|Non-fatal heart attacks", US_national_yearly!$D:$AM, 34, FALSE) / VLOOKUP("electricity|PM25|Non-fatal heart attacks", US_national_yearly!$D:$AM, 10, FALSE), 1)</f>
        <v>7.1369777818390484E-3</v>
      </c>
      <c r="AA13" s="7">
        <f>$B13 * IFERROR(VLOOKUP("electricity|PM25|Non-fatal heart attacks", US_national_yearly!$D:$AM, 35, FALSE) / VLOOKUP("electricity|PM25|Non-fatal heart attacks", US_national_yearly!$D:$AM, 10, FALSE), 1)</f>
        <v>7.1686025717159641E-3</v>
      </c>
      <c r="AB13" s="7">
        <f>$B13 * IFERROR(VLOOKUP("electricity|PM25|Non-fatal heart attacks", US_national_yearly!$D:$AM, 36, FALSE) / VLOOKUP("electricity|PM25|Non-fatal heart attacks", US_national_yearly!$D:$AM, 10, FALSE), 1)</f>
        <v>7.2002273615928763E-3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4.3333330322777295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4.3429527403331258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4.3525724483885231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4.3621921564439194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4.3718118644993176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4.3860863965809562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4.4003609286625958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4.4255658653215981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4.4507708019806023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4.4759757386396055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4.5011806752986097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4.526385611957612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4.5613521283062521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4.5963186446548931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4.6312851610035342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4.6662516773521752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4.7012181937008153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4.7364863139830895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4.7717544342653628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4.8070225545476353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4.8422906748299095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4.8775587951121819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4.907790935709432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4.9380230763066821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4.9682552169039331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4.9984873575011823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5.0287194980984333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0.73702812671596996</v>
      </c>
      <c r="C15" s="7">
        <f>$B15 * IFERROR(VLOOKUP("electricity|PM25|Work loss days", US_national_yearly!$D:$AM, 11, FALSE) / VLOOKUP("electricity|PM25|Work loss days", US_national_yearly!$D:$AM, 10, FALSE), 1)</f>
        <v>0.73913717530438905</v>
      </c>
      <c r="D15" s="7">
        <f>$B15 * IFERROR(VLOOKUP("electricity|PM25|Work loss days", US_national_yearly!$D:$AM, 12, FALSE) / VLOOKUP("electricity|PM25|Work loss days", US_national_yearly!$D:$AM, 10, FALSE), 1)</f>
        <v>0.74124622389280825</v>
      </c>
      <c r="E15" s="7">
        <f>$B15 * IFERROR(VLOOKUP("electricity|PM25|Work loss days", US_national_yearly!$D:$AM, 13, FALSE) / VLOOKUP("electricity|PM25|Work loss days", US_national_yearly!$D:$AM, 10, FALSE), 1)</f>
        <v>0.74335527248122735</v>
      </c>
      <c r="F15" s="7">
        <f>$B15 * IFERROR(VLOOKUP("electricity|PM25|Work loss days", US_national_yearly!$D:$AM, 14, FALSE) / VLOOKUP("electricity|PM25|Work loss days", US_national_yearly!$D:$AM, 10, FALSE), 1)</f>
        <v>0.74546432106964644</v>
      </c>
      <c r="G15" s="7">
        <f>$B15 * IFERROR(VLOOKUP("electricity|PM25|Work loss days", US_national_yearly!$D:$AM, 15, FALSE) / VLOOKUP("electricity|PM25|Work loss days", US_national_yearly!$D:$AM, 10, FALSE), 1)</f>
        <v>0.74819648524825888</v>
      </c>
      <c r="H15" s="7">
        <f>$B15 * IFERROR(VLOOKUP("electricity|PM25|Work loss days", US_national_yearly!$D:$AM, 16, FALSE) / VLOOKUP("electricity|PM25|Work loss days", US_national_yearly!$D:$AM, 10, FALSE), 1)</f>
        <v>0.75092864942687143</v>
      </c>
      <c r="I15" s="7">
        <f>$B15 * IFERROR(VLOOKUP("electricity|PM25|Work loss days", US_national_yearly!$D:$AM, 17, FALSE) / VLOOKUP("electricity|PM25|Work loss days", US_national_yearly!$D:$AM, 10, FALSE), 1)</f>
        <v>0.7550359917274565</v>
      </c>
      <c r="J15" s="7">
        <f>$B15 * IFERROR(VLOOKUP("electricity|PM25|Work loss days", US_national_yearly!$D:$AM, 18, FALSE) / VLOOKUP("electricity|PM25|Work loss days", US_national_yearly!$D:$AM, 10, FALSE), 1)</f>
        <v>0.75914333402804146</v>
      </c>
      <c r="K15" s="7">
        <f>$B15 * IFERROR(VLOOKUP("electricity|PM25|Work loss days", US_national_yearly!$D:$AM, 19, FALSE) / VLOOKUP("electricity|PM25|Work loss days", US_national_yearly!$D:$AM, 10, FALSE), 1)</f>
        <v>0.76325067632862653</v>
      </c>
      <c r="L15" s="7">
        <f>$B15 * IFERROR(VLOOKUP("electricity|PM25|Work loss days", US_national_yearly!$D:$AM, 20, FALSE) / VLOOKUP("electricity|PM25|Work loss days", US_national_yearly!$D:$AM, 10, FALSE), 1)</f>
        <v>0.7673580186292116</v>
      </c>
      <c r="M15" s="7">
        <f>$B15 * IFERROR(VLOOKUP("electricity|PM25|Work loss days", US_national_yearly!$D:$AM, 21, FALSE) / VLOOKUP("electricity|PM25|Work loss days", US_national_yearly!$D:$AM, 10, FALSE), 1)</f>
        <v>0.77146536092979667</v>
      </c>
      <c r="N15" s="7">
        <f>$B15 * IFERROR(VLOOKUP("electricity|PM25|Work loss days", US_national_yearly!$D:$AM, 22, FALSE) / VLOOKUP("electricity|PM25|Work loss days", US_national_yearly!$D:$AM, 10, FALSE), 1)</f>
        <v>0.77676822498172338</v>
      </c>
      <c r="O15" s="7">
        <f>$B15 * IFERROR(VLOOKUP("electricity|PM25|Work loss days", US_national_yearly!$D:$AM, 23, FALSE) / VLOOKUP("electricity|PM25|Work loss days", US_national_yearly!$D:$AM, 10, FALSE), 1)</f>
        <v>0.78207108903364997</v>
      </c>
      <c r="P15" s="7">
        <f>$B15 * IFERROR(VLOOKUP("electricity|PM25|Work loss days", US_national_yearly!$D:$AM, 24, FALSE) / VLOOKUP("electricity|PM25|Work loss days", US_national_yearly!$D:$AM, 10, FALSE), 1)</f>
        <v>0.78737395308557656</v>
      </c>
      <c r="Q15" s="7">
        <f>$B15 * IFERROR(VLOOKUP("electricity|PM25|Work loss days", US_national_yearly!$D:$AM, 25, FALSE) / VLOOKUP("electricity|PM25|Work loss days", US_national_yearly!$D:$AM, 10, FALSE), 1)</f>
        <v>0.79267681713750304</v>
      </c>
      <c r="R15" s="7">
        <f>$B15 * IFERROR(VLOOKUP("electricity|PM25|Work loss days", US_national_yearly!$D:$AM, 26, FALSE) / VLOOKUP("electricity|PM25|Work loss days", US_national_yearly!$D:$AM, 10, FALSE), 1)</f>
        <v>0.79797968118942963</v>
      </c>
      <c r="S15" s="7">
        <f>$B15 * IFERROR(VLOOKUP("electricity|PM25|Work loss days", US_national_yearly!$D:$AM, 27, FALSE) / VLOOKUP("electricity|PM25|Work loss days", US_national_yearly!$D:$AM, 10, FALSE), 1)</f>
        <v>0.80386398776599466</v>
      </c>
      <c r="T15" s="7">
        <f>$B15 * IFERROR(VLOOKUP("electricity|PM25|Work loss days", US_national_yearly!$D:$AM, 28, FALSE) / VLOOKUP("electricity|PM25|Work loss days", US_national_yearly!$D:$AM, 10, FALSE), 1)</f>
        <v>0.8097482943425599</v>
      </c>
      <c r="U15" s="7">
        <f>$B15 * IFERROR(VLOOKUP("electricity|PM25|Work loss days", US_national_yearly!$D:$AM, 29, FALSE) / VLOOKUP("electricity|PM25|Work loss days", US_national_yearly!$D:$AM, 10, FALSE), 1)</f>
        <v>0.81563260091912515</v>
      </c>
      <c r="V15" s="7">
        <f>$B15 * IFERROR(VLOOKUP("electricity|PM25|Work loss days", US_national_yearly!$D:$AM, 30, FALSE) / VLOOKUP("electricity|PM25|Work loss days", US_national_yearly!$D:$AM, 10, FALSE), 1)</f>
        <v>0.82151690749569029</v>
      </c>
      <c r="W15" s="7">
        <f>$B15 * IFERROR(VLOOKUP("electricity|PM25|Work loss days", US_national_yearly!$D:$AM, 31, FALSE) / VLOOKUP("electricity|PM25|Work loss days", US_national_yearly!$D:$AM, 10, FALSE), 1)</f>
        <v>0.82740121407225531</v>
      </c>
      <c r="X15" s="7">
        <f>$B15 * IFERROR(VLOOKUP("electricity|PM25|Work loss days", US_national_yearly!$D:$AM, 32, FALSE) / VLOOKUP("electricity|PM25|Work loss days", US_national_yearly!$D:$AM, 10, FALSE), 1)</f>
        <v>0.8325921380020479</v>
      </c>
      <c r="Y15" s="7">
        <f>$B15 * IFERROR(VLOOKUP("electricity|PM25|Work loss days", US_national_yearly!$D:$AM, 33, FALSE) / VLOOKUP("electricity|PM25|Work loss days", US_national_yearly!$D:$AM, 10, FALSE), 1)</f>
        <v>0.83778306193184016</v>
      </c>
      <c r="Z15" s="7">
        <f>$B15 * IFERROR(VLOOKUP("electricity|PM25|Work loss days", US_national_yearly!$D:$AM, 34, FALSE) / VLOOKUP("electricity|PM25|Work loss days", US_national_yearly!$D:$AM, 10, FALSE), 1)</f>
        <v>0.84297398586163264</v>
      </c>
      <c r="AA15" s="7">
        <f>$B15 * IFERROR(VLOOKUP("electricity|PM25|Work loss days", US_national_yearly!$D:$AM, 35, FALSE) / VLOOKUP("electricity|PM25|Work loss days", US_national_yearly!$D:$AM, 10, FALSE), 1)</f>
        <v>0.84816490979142523</v>
      </c>
      <c r="AB15" s="7">
        <f>$B15 * IFERROR(VLOOKUP("electricity|PM25|Work loss days", US_national_yearly!$D:$AM, 36, FALSE) / VLOOKUP("electricity|PM25|Work loss days", US_national_yearly!$D:$AM, 10, FALSE), 1)</f>
        <v>0.85335583372121759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1.2998111768348934E-3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1.3383829554403559E-3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1.3769547340458182E-3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1.4155265126512807E-3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1.4540982912567429E-3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1.4913007118817559E-3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1.5285031325067689E-3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1.560730825949174E-3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1.5929585193915792E-3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1.625186212833984E-3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1.6574139062763892E-3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1.6896415997187939E-3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1.7113057939318567E-3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1.7329699881449192E-3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1.7546341823579817E-3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1.7762983765710443E-3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1.7979625707841068E-3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1.8099190684880372E-3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1.8218755661919669E-3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1.8338320638958973E-3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1.8457885615998275E-3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1.8577450593037575E-3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1.8660865596110967E-3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1.8744280599184355E-3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1.8827695602257747E-3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1.8911110605331141E-3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1.8994525608404533E-3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4.7559867820585577E-4</v>
      </c>
      <c r="C2" s="7">
        <f>$B2 * IFERROR(VLOOKUP("electricity|NOx|Premature mortality", US_national_yearly!$D:$AM, 11, FALSE) / VLOOKUP("electricity|NOx|Premature mortality", US_national_yearly!$D:$AM, 10, FALSE), 1)</f>
        <v>4.8279478759756051E-4</v>
      </c>
      <c r="D2" s="7">
        <f>$B2 * IFERROR(VLOOKUP("electricity|NOx|Premature mortality", US_national_yearly!$D:$AM, 12, FALSE) / VLOOKUP("electricity|NOx|Premature mortality", US_national_yearly!$D:$AM, 10, FALSE), 1)</f>
        <v>4.8999089698926535E-4</v>
      </c>
      <c r="E2" s="7">
        <f>$B2 * IFERROR(VLOOKUP("electricity|NOx|Premature mortality", US_national_yearly!$D:$AM, 13, FALSE) / VLOOKUP("electricity|NOx|Premature mortality", US_national_yearly!$D:$AM, 10, FALSE), 1)</f>
        <v>4.9718700638097014E-4</v>
      </c>
      <c r="F2" s="7">
        <f>$B2 * IFERROR(VLOOKUP("electricity|NOx|Premature mortality", US_national_yearly!$D:$AM, 14, FALSE) / VLOOKUP("electricity|NOx|Premature mortality", US_national_yearly!$D:$AM, 10, FALSE), 1)</f>
        <v>5.0438311577267493E-4</v>
      </c>
      <c r="G2" s="7">
        <f>$B2 * IFERROR(VLOOKUP("electricity|NOx|Premature mortality", US_national_yearly!$D:$AM, 15, FALSE) / VLOOKUP("electricity|NOx|Premature mortality", US_national_yearly!$D:$AM, 10, FALSE), 1)</f>
        <v>5.1723801741172348E-4</v>
      </c>
      <c r="H2" s="7">
        <f>$B2 * IFERROR(VLOOKUP("electricity|NOx|Premature mortality", US_national_yearly!$D:$AM, 16, FALSE) / VLOOKUP("electricity|NOx|Premature mortality", US_national_yearly!$D:$AM, 10, FALSE), 1)</f>
        <v>5.3009291905077192E-4</v>
      </c>
      <c r="I2" s="7">
        <f>$B2 * IFERROR(VLOOKUP("electricity|NOx|Premature mortality", US_national_yearly!$D:$AM, 17, FALSE) / VLOOKUP("electricity|NOx|Premature mortality", US_national_yearly!$D:$AM, 10, FALSE), 1)</f>
        <v>5.386355292024646E-4</v>
      </c>
      <c r="J2" s="7">
        <f>$B2 * IFERROR(VLOOKUP("electricity|NOx|Premature mortality", US_national_yearly!$D:$AM, 18, FALSE) / VLOOKUP("electricity|NOx|Premature mortality", US_national_yearly!$D:$AM, 10, FALSE), 1)</f>
        <v>5.4717813935415739E-4</v>
      </c>
      <c r="K2" s="7">
        <f>$B2 * IFERROR(VLOOKUP("electricity|NOx|Premature mortality", US_national_yearly!$D:$AM, 19, FALSE) / VLOOKUP("electricity|NOx|Premature mortality", US_national_yearly!$D:$AM, 10, FALSE), 1)</f>
        <v>5.5572074950585007E-4</v>
      </c>
      <c r="L2" s="7">
        <f>$B2 * IFERROR(VLOOKUP("electricity|NOx|Premature mortality", US_national_yearly!$D:$AM, 20, FALSE) / VLOOKUP("electricity|NOx|Premature mortality", US_national_yearly!$D:$AM, 10, FALSE), 1)</f>
        <v>5.6426335965754275E-4</v>
      </c>
      <c r="M2" s="7">
        <f>$B2 * IFERROR(VLOOKUP("electricity|NOx|Premature mortality", US_national_yearly!$D:$AM, 21, FALSE) / VLOOKUP("electricity|NOx|Premature mortality", US_national_yearly!$D:$AM, 10, FALSE), 1)</f>
        <v>5.7280596980923543E-4</v>
      </c>
      <c r="N2" s="7">
        <f>$B2 * IFERROR(VLOOKUP("electricity|NOx|Premature mortality", US_national_yearly!$D:$AM, 22, FALSE) / VLOOKUP("electricity|NOx|Premature mortality", US_national_yearly!$D:$AM, 10, FALSE), 1)</f>
        <v>5.7939758110873865E-4</v>
      </c>
      <c r="O2" s="7">
        <f>$B2 * IFERROR(VLOOKUP("electricity|NOx|Premature mortality", US_national_yearly!$D:$AM, 23, FALSE) / VLOOKUP("electricity|NOx|Premature mortality", US_national_yearly!$D:$AM, 10, FALSE), 1)</f>
        <v>5.8598919240824198E-4</v>
      </c>
      <c r="P2" s="7">
        <f>$B2 * IFERROR(VLOOKUP("electricity|NOx|Premature mortality", US_national_yearly!$D:$AM, 24, FALSE) / VLOOKUP("electricity|NOx|Premature mortality", US_national_yearly!$D:$AM, 10, FALSE), 1)</f>
        <v>5.9258080370774521E-4</v>
      </c>
      <c r="Q2" s="7">
        <f>$B2 * IFERROR(VLOOKUP("electricity|NOx|Premature mortality", US_national_yearly!$D:$AM, 25, FALSE) / VLOOKUP("electricity|NOx|Premature mortality", US_national_yearly!$D:$AM, 10, FALSE), 1)</f>
        <v>5.9917241500724854E-4</v>
      </c>
      <c r="R2" s="7">
        <f>$B2 * IFERROR(VLOOKUP("electricity|NOx|Premature mortality", US_national_yearly!$D:$AM, 26, FALSE) / VLOOKUP("electricity|NOx|Premature mortality", US_national_yearly!$D:$AM, 10, FALSE), 1)</f>
        <v>6.0576402630675165E-4</v>
      </c>
      <c r="S2" s="7">
        <f>$B2 * IFERROR(VLOOKUP("electricity|NOx|Premature mortality", US_national_yearly!$D:$AM, 27, FALSE) / VLOOKUP("electricity|NOx|Premature mortality", US_national_yearly!$D:$AM, 10, FALSE), 1)</f>
        <v>6.0917018786061955E-4</v>
      </c>
      <c r="T2" s="7">
        <f>$B2 * IFERROR(VLOOKUP("electricity|NOx|Premature mortality", US_national_yearly!$D:$AM, 28, FALSE) / VLOOKUP("electricity|NOx|Premature mortality", US_national_yearly!$D:$AM, 10, FALSE), 1)</f>
        <v>6.1257634941448735E-4</v>
      </c>
      <c r="U2" s="7">
        <f>$B2 * IFERROR(VLOOKUP("electricity|NOx|Premature mortality", US_national_yearly!$D:$AM, 29, FALSE) / VLOOKUP("electricity|NOx|Premature mortality", US_national_yearly!$D:$AM, 10, FALSE), 1)</f>
        <v>6.1598251096835535E-4</v>
      </c>
      <c r="V2" s="7">
        <f>$B2 * IFERROR(VLOOKUP("electricity|NOx|Premature mortality", US_national_yearly!$D:$AM, 30, FALSE) / VLOOKUP("electricity|NOx|Premature mortality", US_national_yearly!$D:$AM, 10, FALSE), 1)</f>
        <v>6.1938867252222315E-4</v>
      </c>
      <c r="W2" s="7">
        <f>$B2 * IFERROR(VLOOKUP("electricity|NOx|Premature mortality", US_national_yearly!$D:$AM, 31, FALSE) / VLOOKUP("electricity|NOx|Premature mortality", US_national_yearly!$D:$AM, 10, FALSE), 1)</f>
        <v>6.2279483407609105E-4</v>
      </c>
      <c r="X2" s="7">
        <f>$B2 * IFERROR(VLOOKUP("electricity|NOx|Premature mortality", US_national_yearly!$D:$AM, 32, FALSE) / VLOOKUP("electricity|NOx|Premature mortality", US_national_yearly!$D:$AM, 10, FALSE), 1)</f>
        <v>6.2356541363626887E-4</v>
      </c>
      <c r="Y2" s="7">
        <f>$B2 * IFERROR(VLOOKUP("electricity|NOx|Premature mortality", US_national_yearly!$D:$AM, 33, FALSE) / VLOOKUP("electricity|NOx|Premature mortality", US_national_yearly!$D:$AM, 10, FALSE), 1)</f>
        <v>6.2433599319644669E-4</v>
      </c>
      <c r="Z2" s="7">
        <f>$B2 * IFERROR(VLOOKUP("electricity|NOx|Premature mortality", US_national_yearly!$D:$AM, 34, FALSE) / VLOOKUP("electricity|NOx|Premature mortality", US_national_yearly!$D:$AM, 10, FALSE), 1)</f>
        <v>6.2510657275662441E-4</v>
      </c>
      <c r="AA2" s="7">
        <f>$B2 * IFERROR(VLOOKUP("electricity|NOx|Premature mortality", US_national_yearly!$D:$AM, 35, FALSE) / VLOOKUP("electricity|NOx|Premature mortality", US_national_yearly!$D:$AM, 10, FALSE), 1)</f>
        <v>6.2587715231680213E-4</v>
      </c>
      <c r="AB2" s="7">
        <f>$B2 * IFERROR(VLOOKUP("electricity|NOx|Premature mortality", US_national_yearly!$D:$AM, 36, FALSE) / VLOOKUP("electricity|NOx|Premature mortality", US_national_yearly!$D:$AM, 10, FALSE), 1)</f>
        <v>6.2664773187697995E-4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1.4702355876712905E-6</v>
      </c>
      <c r="C3" s="7">
        <f>$B3 * IFERROR(VLOOKUP("electricity|NOx|Infant mortality", US_national_yearly!$D:$AM, 11, FALSE) / VLOOKUP("electricity|NOx|Infant mortality", US_national_yearly!$D:$AM, 10, FALSE), 1)</f>
        <v>1.4564806937273109E-6</v>
      </c>
      <c r="D3" s="7">
        <f>$B3 * IFERROR(VLOOKUP("electricity|NOx|Infant mortality", US_national_yearly!$D:$AM, 12, FALSE) / VLOOKUP("electricity|NOx|Infant mortality", US_national_yearly!$D:$AM, 10, FALSE), 1)</f>
        <v>1.4427257997833308E-6</v>
      </c>
      <c r="E3" s="7">
        <f>$B3 * IFERROR(VLOOKUP("electricity|NOx|Infant mortality", US_national_yearly!$D:$AM, 13, FALSE) / VLOOKUP("electricity|NOx|Infant mortality", US_national_yearly!$D:$AM, 10, FALSE), 1)</f>
        <v>1.4289709058393512E-6</v>
      </c>
      <c r="F3" s="7">
        <f>$B3 * IFERROR(VLOOKUP("electricity|NOx|Infant mortality", US_national_yearly!$D:$AM, 14, FALSE) / VLOOKUP("electricity|NOx|Infant mortality", US_national_yearly!$D:$AM, 10, FALSE), 1)</f>
        <v>1.4152160118953712E-6</v>
      </c>
      <c r="G3" s="7">
        <f>$B3 * IFERROR(VLOOKUP("electricity|NOx|Infant mortality", US_national_yearly!$D:$AM, 15, FALSE) / VLOOKUP("electricity|NOx|Infant mortality", US_national_yearly!$D:$AM, 10, FALSE), 1)</f>
        <v>9.3765072279739608E-7</v>
      </c>
      <c r="H3" s="7">
        <f>$B3 * IFERROR(VLOOKUP("electricity|NOx|Infant mortality", US_national_yearly!$D:$AM, 16, FALSE) / VLOOKUP("electricity|NOx|Infant mortality", US_national_yearly!$D:$AM, 10, FALSE), 1)</f>
        <v>4.6008543369942103E-7</v>
      </c>
      <c r="I3" s="7">
        <f>$B3 * IFERROR(VLOOKUP("electricity|NOx|Infant mortality", US_national_yearly!$D:$AM, 17, FALSE) / VLOOKUP("electricity|NOx|Infant mortality", US_national_yearly!$D:$AM, 10, FALSE), 1)</f>
        <v>4.5673944100810588E-7</v>
      </c>
      <c r="J3" s="7">
        <f>$B3 * IFERROR(VLOOKUP("electricity|NOx|Infant mortality", US_national_yearly!$D:$AM, 18, FALSE) / VLOOKUP("electricity|NOx|Infant mortality", US_national_yearly!$D:$AM, 10, FALSE), 1)</f>
        <v>4.5339344831679077E-7</v>
      </c>
      <c r="K3" s="7">
        <f>$B3 * IFERROR(VLOOKUP("electricity|NOx|Infant mortality", US_national_yearly!$D:$AM, 19, FALSE) / VLOOKUP("electricity|NOx|Infant mortality", US_national_yearly!$D:$AM, 10, FALSE), 1)</f>
        <v>4.5004745562547567E-7</v>
      </c>
      <c r="L3" s="7">
        <f>$B3 * IFERROR(VLOOKUP("electricity|NOx|Infant mortality", US_national_yearly!$D:$AM, 20, FALSE) / VLOOKUP("electricity|NOx|Infant mortality", US_national_yearly!$D:$AM, 10, FALSE), 1)</f>
        <v>4.4670146293416051E-7</v>
      </c>
      <c r="M3" s="7">
        <f>$B3 * IFERROR(VLOOKUP("electricity|NOx|Infant mortality", US_national_yearly!$D:$AM, 21, FALSE) / VLOOKUP("electricity|NOx|Infant mortality", US_national_yearly!$D:$AM, 10, FALSE), 1)</f>
        <v>4.433554702428453E-7</v>
      </c>
      <c r="N3" s="7">
        <f>$B3 * IFERROR(VLOOKUP("electricity|NOx|Infant mortality", US_national_yearly!$D:$AM, 22, FALSE) / VLOOKUP("electricity|NOx|Infant mortality", US_national_yearly!$D:$AM, 10, FALSE), 1)</f>
        <v>4.4110861211499129E-7</v>
      </c>
      <c r="O3" s="7">
        <f>$B3 * IFERROR(VLOOKUP("electricity|NOx|Infant mortality", US_national_yearly!$D:$AM, 23, FALSE) / VLOOKUP("electricity|NOx|Infant mortality", US_national_yearly!$D:$AM, 10, FALSE), 1)</f>
        <v>4.3886175398713723E-7</v>
      </c>
      <c r="P3" s="7">
        <f>$B3 * IFERROR(VLOOKUP("electricity|NOx|Infant mortality", US_national_yearly!$D:$AM, 24, FALSE) / VLOOKUP("electricity|NOx|Infant mortality", US_national_yearly!$D:$AM, 10, FALSE), 1)</f>
        <v>4.3661489585928312E-7</v>
      </c>
      <c r="Q3" s="7">
        <f>$B3 * IFERROR(VLOOKUP("electricity|NOx|Infant mortality", US_national_yearly!$D:$AM, 25, FALSE) / VLOOKUP("electricity|NOx|Infant mortality", US_national_yearly!$D:$AM, 10, FALSE), 1)</f>
        <v>4.3436803773142906E-7</v>
      </c>
      <c r="R3" s="7">
        <f>$B3 * IFERROR(VLOOKUP("electricity|NOx|Infant mortality", US_national_yearly!$D:$AM, 26, FALSE) / VLOOKUP("electricity|NOx|Infant mortality", US_national_yearly!$D:$AM, 10, FALSE), 1)</f>
        <v>4.3212117960357505E-7</v>
      </c>
      <c r="S3" s="7">
        <f>$B3 * IFERROR(VLOOKUP("electricity|NOx|Infant mortality", US_national_yearly!$D:$AM, 27, FALSE) / VLOOKUP("electricity|NOx|Infant mortality", US_national_yearly!$D:$AM, 10, FALSE), 1)</f>
        <v>4.294537677278898E-7</v>
      </c>
      <c r="T3" s="7">
        <f>$B3 * IFERROR(VLOOKUP("electricity|NOx|Infant mortality", US_national_yearly!$D:$AM, 28, FALSE) / VLOOKUP("electricity|NOx|Infant mortality", US_national_yearly!$D:$AM, 10, FALSE), 1)</f>
        <v>4.267863558522046E-7</v>
      </c>
      <c r="U3" s="7">
        <f>$B3 * IFERROR(VLOOKUP("electricity|NOx|Infant mortality", US_national_yearly!$D:$AM, 29, FALSE) / VLOOKUP("electricity|NOx|Infant mortality", US_national_yearly!$D:$AM, 10, FALSE), 1)</f>
        <v>4.2411894397651945E-7</v>
      </c>
      <c r="V3" s="7">
        <f>$B3 * IFERROR(VLOOKUP("electricity|NOx|Infant mortality", US_national_yearly!$D:$AM, 30, FALSE) / VLOOKUP("electricity|NOx|Infant mortality", US_national_yearly!$D:$AM, 10, FALSE), 1)</f>
        <v>4.214515321008343E-7</v>
      </c>
      <c r="W3" s="7">
        <f>$B3 * IFERROR(VLOOKUP("electricity|NOx|Infant mortality", US_national_yearly!$D:$AM, 31, FALSE) / VLOOKUP("electricity|NOx|Infant mortality", US_national_yearly!$D:$AM, 10, FALSE), 1)</f>
        <v>4.187841202251491E-7</v>
      </c>
      <c r="X3" s="7">
        <f>$B3 * IFERROR(VLOOKUP("electricity|NOx|Infant mortality", US_national_yearly!$D:$AM, 32, FALSE) / VLOOKUP("electricity|NOx|Infant mortality", US_national_yearly!$D:$AM, 10, FALSE), 1)</f>
        <v>4.160375545768678E-7</v>
      </c>
      <c r="Y3" s="7">
        <f>$B3 * IFERROR(VLOOKUP("electricity|NOx|Infant mortality", US_national_yearly!$D:$AM, 33, FALSE) / VLOOKUP("electricity|NOx|Infant mortality", US_national_yearly!$D:$AM, 10, FALSE), 1)</f>
        <v>4.1329098892858655E-7</v>
      </c>
      <c r="Z3" s="7">
        <f>$B3 * IFERROR(VLOOKUP("electricity|NOx|Infant mortality", US_national_yearly!$D:$AM, 34, FALSE) / VLOOKUP("electricity|NOx|Infant mortality", US_national_yearly!$D:$AM, 10, FALSE), 1)</f>
        <v>4.105444232803053E-7</v>
      </c>
      <c r="AA3" s="7">
        <f>$B3 * IFERROR(VLOOKUP("electricity|NOx|Infant mortality", US_national_yearly!$D:$AM, 35, FALSE) / VLOOKUP("electricity|NOx|Infant mortality", US_national_yearly!$D:$AM, 10, FALSE), 1)</f>
        <v>4.07797857632024E-7</v>
      </c>
      <c r="AB3" s="7">
        <f>$B3 * IFERROR(VLOOKUP("electricity|NOx|Infant mortality", US_national_yearly!$D:$AM, 36, FALSE) / VLOOKUP("electricity|NOx|Infant mortality", US_national_yearly!$D:$AM, 10, FALSE), 1)</f>
        <v>4.050512919837427E-7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1.3488373104764439E-3</v>
      </c>
      <c r="C6" s="7">
        <f>$B6 * IFERROR(VLOOKUP("electricity|NOx|Asthma symptoms cough", US_national_yearly!$D:$AM, 11, FALSE) / VLOOKUP("electricity|NOx|Asthma symptoms cough", US_national_yearly!$D:$AM, 10, FALSE), 1)</f>
        <v>1.3673551350019757E-3</v>
      </c>
      <c r="D6" s="7">
        <f>$B6 * IFERROR(VLOOKUP("electricity|NOx|Asthma symptoms cough", US_national_yearly!$D:$AM, 12, FALSE) / VLOOKUP("electricity|NOx|Asthma symptoms cough", US_national_yearly!$D:$AM, 10, FALSE), 1)</f>
        <v>1.3858729595275078E-3</v>
      </c>
      <c r="E6" s="7">
        <f>$B6 * IFERROR(VLOOKUP("electricity|NOx|Asthma symptoms cough", US_national_yearly!$D:$AM, 13, FALSE) / VLOOKUP("electricity|NOx|Asthma symptoms cough", US_national_yearly!$D:$AM, 10, FALSE), 1)</f>
        <v>1.4043907840530397E-3</v>
      </c>
      <c r="F6" s="7">
        <f>$B6 * IFERROR(VLOOKUP("electricity|NOx|Asthma symptoms cough", US_national_yearly!$D:$AM, 14, FALSE) / VLOOKUP("electricity|NOx|Asthma symptoms cough", US_national_yearly!$D:$AM, 10, FALSE), 1)</f>
        <v>1.4229086085785715E-3</v>
      </c>
      <c r="G6" s="7">
        <f>$B6 * IFERROR(VLOOKUP("electricity|NOx|Asthma symptoms cough", US_national_yearly!$D:$AM, 15, FALSE) / VLOOKUP("electricity|NOx|Asthma symptoms cough", US_national_yearly!$D:$AM, 10, FALSE), 1)</f>
        <v>1.4379645817743755E-3</v>
      </c>
      <c r="H6" s="7">
        <f>$B6 * IFERROR(VLOOKUP("electricity|NOx|Asthma symptoms cough", US_national_yearly!$D:$AM, 16, FALSE) / VLOOKUP("electricity|NOx|Asthma symptoms cough", US_national_yearly!$D:$AM, 10, FALSE), 1)</f>
        <v>1.4530205549701798E-3</v>
      </c>
      <c r="I6" s="7">
        <f>$B6 * IFERROR(VLOOKUP("electricity|NOx|Asthma symptoms cough", US_national_yearly!$D:$AM, 17, FALSE) / VLOOKUP("electricity|NOx|Asthma symptoms cough", US_national_yearly!$D:$AM, 10, FALSE), 1)</f>
        <v>1.4586174329737976E-3</v>
      </c>
      <c r="J6" s="7">
        <f>$B6 * IFERROR(VLOOKUP("electricity|NOx|Asthma symptoms cough", US_national_yearly!$D:$AM, 18, FALSE) / VLOOKUP("electricity|NOx|Asthma symptoms cough", US_national_yearly!$D:$AM, 10, FALSE), 1)</f>
        <v>1.4642143109774154E-3</v>
      </c>
      <c r="K6" s="7">
        <f>$B6 * IFERROR(VLOOKUP("electricity|NOx|Asthma symptoms cough", US_national_yearly!$D:$AM, 19, FALSE) / VLOOKUP("electricity|NOx|Asthma symptoms cough", US_national_yearly!$D:$AM, 10, FALSE), 1)</f>
        <v>1.4698111889810334E-3</v>
      </c>
      <c r="L6" s="7">
        <f>$B6 * IFERROR(VLOOKUP("electricity|NOx|Asthma symptoms cough", US_national_yearly!$D:$AM, 20, FALSE) / VLOOKUP("electricity|NOx|Asthma symptoms cough", US_national_yearly!$D:$AM, 10, FALSE), 1)</f>
        <v>1.4754080669846512E-3</v>
      </c>
      <c r="M6" s="7">
        <f>$B6 * IFERROR(VLOOKUP("electricity|NOx|Asthma symptoms cough", US_national_yearly!$D:$AM, 21, FALSE) / VLOOKUP("electricity|NOx|Asthma symptoms cough", US_national_yearly!$D:$AM, 10, FALSE), 1)</f>
        <v>1.4810049449882692E-3</v>
      </c>
      <c r="N6" s="7">
        <f>$B6 * IFERROR(VLOOKUP("electricity|NOx|Asthma symptoms cough", US_national_yearly!$D:$AM, 22, FALSE) / VLOOKUP("electricity|NOx|Asthma symptoms cough", US_national_yearly!$D:$AM, 10, FALSE), 1)</f>
        <v>1.487206239196934E-3</v>
      </c>
      <c r="O6" s="7">
        <f>$B6 * IFERROR(VLOOKUP("electricity|NOx|Asthma symptoms cough", US_national_yearly!$D:$AM, 23, FALSE) / VLOOKUP("electricity|NOx|Asthma symptoms cough", US_national_yearly!$D:$AM, 10, FALSE), 1)</f>
        <v>1.4934075334055988E-3</v>
      </c>
      <c r="P6" s="7">
        <f>$B6 * IFERROR(VLOOKUP("electricity|NOx|Asthma symptoms cough", US_national_yearly!$D:$AM, 24, FALSE) / VLOOKUP("electricity|NOx|Asthma symptoms cough", US_national_yearly!$D:$AM, 10, FALSE), 1)</f>
        <v>1.4996088276142635E-3</v>
      </c>
      <c r="Q6" s="7">
        <f>$B6 * IFERROR(VLOOKUP("electricity|NOx|Asthma symptoms cough", US_national_yearly!$D:$AM, 25, FALSE) / VLOOKUP("electricity|NOx|Asthma symptoms cough", US_national_yearly!$D:$AM, 10, FALSE), 1)</f>
        <v>1.5058101218229283E-3</v>
      </c>
      <c r="R6" s="7">
        <f>$B6 * IFERROR(VLOOKUP("electricity|NOx|Asthma symptoms cough", US_national_yearly!$D:$AM, 26, FALSE) / VLOOKUP("electricity|NOx|Asthma symptoms cough", US_national_yearly!$D:$AM, 10, FALSE), 1)</f>
        <v>1.512011416031593E-3</v>
      </c>
      <c r="S6" s="7">
        <f>$B6 * IFERROR(VLOOKUP("electricity|NOx|Asthma symptoms cough", US_national_yearly!$D:$AM, 27, FALSE) / VLOOKUP("electricity|NOx|Asthma symptoms cough", US_national_yearly!$D:$AM, 10, FALSE), 1)</f>
        <v>1.5197481016210605E-3</v>
      </c>
      <c r="T6" s="7">
        <f>$B6 * IFERROR(VLOOKUP("electricity|NOx|Asthma symptoms cough", US_national_yearly!$D:$AM, 28, FALSE) / VLOOKUP("electricity|NOx|Asthma symptoms cough", US_national_yearly!$D:$AM, 10, FALSE), 1)</f>
        <v>1.5274847872105281E-3</v>
      </c>
      <c r="U6" s="7">
        <f>$B6 * IFERROR(VLOOKUP("electricity|NOx|Asthma symptoms cough", US_national_yearly!$D:$AM, 29, FALSE) / VLOOKUP("electricity|NOx|Asthma symptoms cough", US_national_yearly!$D:$AM, 10, FALSE), 1)</f>
        <v>1.5352214727999958E-3</v>
      </c>
      <c r="V6" s="7">
        <f>$B6 * IFERROR(VLOOKUP("electricity|NOx|Asthma symptoms cough", US_national_yearly!$D:$AM, 30, FALSE) / VLOOKUP("electricity|NOx|Asthma symptoms cough", US_national_yearly!$D:$AM, 10, FALSE), 1)</f>
        <v>1.5429581583894633E-3</v>
      </c>
      <c r="W6" s="7">
        <f>$B6 * IFERROR(VLOOKUP("electricity|NOx|Asthma symptoms cough", US_national_yearly!$D:$AM, 31, FALSE) / VLOOKUP("electricity|NOx|Asthma symptoms cough", US_national_yearly!$D:$AM, 10, FALSE), 1)</f>
        <v>1.5506948439789308E-3</v>
      </c>
      <c r="X6" s="7">
        <f>$B6 * IFERROR(VLOOKUP("electricity|NOx|Asthma symptoms cough", US_national_yearly!$D:$AM, 32, FALSE) / VLOOKUP("electricity|NOx|Asthma symptoms cough", US_national_yearly!$D:$AM, 10, FALSE), 1)</f>
        <v>1.5578227040562353E-3</v>
      </c>
      <c r="Y6" s="7">
        <f>$B6 * IFERROR(VLOOKUP("electricity|NOx|Asthma symptoms cough", US_national_yearly!$D:$AM, 33, FALSE) / VLOOKUP("electricity|NOx|Asthma symptoms cough", US_national_yearly!$D:$AM, 10, FALSE), 1)</f>
        <v>1.5649505641335401E-3</v>
      </c>
      <c r="Z6" s="7">
        <f>$B6 * IFERROR(VLOOKUP("electricity|NOx|Asthma symptoms cough", US_national_yearly!$D:$AM, 34, FALSE) / VLOOKUP("electricity|NOx|Asthma symptoms cough", US_national_yearly!$D:$AM, 10, FALSE), 1)</f>
        <v>1.5720784242108448E-3</v>
      </c>
      <c r="AA6" s="7">
        <f>$B6 * IFERROR(VLOOKUP("electricity|NOx|Asthma symptoms cough", US_national_yearly!$D:$AM, 35, FALSE) / VLOOKUP("electricity|NOx|Asthma symptoms cough", US_national_yearly!$D:$AM, 10, FALSE), 1)</f>
        <v>1.5792062842881493E-3</v>
      </c>
      <c r="AB6" s="7">
        <f>$B6 * IFERROR(VLOOKUP("electricity|NOx|Asthma symptoms cough", US_national_yearly!$D:$AM, 36, FALSE) / VLOOKUP("electricity|NOx|Asthma symptoms cough", US_national_yearly!$D:$AM, 10, FALSE), 1)</f>
        <v>1.5863341443654541E-3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1.8164041096953862E-3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1.8413410329601858E-3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1.8662779562249859E-3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1.8912148794897857E-3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1.9161518027545853E-3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1.9364268435545899E-3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1.9567018843545943E-3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1.9642388882848741E-3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1.9717758922151532E-3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1.9793128961454326E-3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1.9868499000757116E-3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1.9943869040059911E-3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2.0027378415966661E-3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2.0110887791873417E-3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2.0194397167780163E-3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2.0277906543686918E-3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2.0361415919593669E-3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2.0465601556507976E-3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2.0569787193422282E-3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2.0673972830336593E-3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2.0778158467250896E-3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2.0882344104165207E-3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2.0978331026853866E-3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2.1074317949542529E-3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2.1170304872231188E-3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2.1266291794919847E-3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2.1362278717608511E-3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2.7751613913519434E-3</v>
      </c>
      <c r="C8" s="7">
        <f>$B8 * IFERROR(VLOOKUP("electricity|NOx|Asthma symptoms wheeze", US_national_yearly!$D:$AM, 11, FALSE) / VLOOKUP("electricity|NOx|Asthma symptoms wheeze", US_national_yearly!$D:$AM, 10, FALSE), 1)</f>
        <v>2.8132608354158061E-3</v>
      </c>
      <c r="D8" s="7">
        <f>$B8 * IFERROR(VLOOKUP("electricity|NOx|Asthma symptoms wheeze", US_national_yearly!$D:$AM, 12, FALSE) / VLOOKUP("electricity|NOx|Asthma symptoms wheeze", US_national_yearly!$D:$AM, 10, FALSE), 1)</f>
        <v>2.8513602794796688E-3</v>
      </c>
      <c r="E8" s="7">
        <f>$B8 * IFERROR(VLOOKUP("electricity|NOx|Asthma symptoms wheeze", US_national_yearly!$D:$AM, 13, FALSE) / VLOOKUP("electricity|NOx|Asthma symptoms wheeze", US_national_yearly!$D:$AM, 10, FALSE), 1)</f>
        <v>2.8894597235435316E-3</v>
      </c>
      <c r="F8" s="7">
        <f>$B8 * IFERROR(VLOOKUP("electricity|NOx|Asthma symptoms wheeze", US_national_yearly!$D:$AM, 14, FALSE) / VLOOKUP("electricity|NOx|Asthma symptoms wheeze", US_national_yearly!$D:$AM, 10, FALSE), 1)</f>
        <v>2.9275591676073947E-3</v>
      </c>
      <c r="G8" s="7">
        <f>$B8 * IFERROR(VLOOKUP("electricity|NOx|Asthma symptoms wheeze", US_national_yearly!$D:$AM, 15, FALSE) / VLOOKUP("electricity|NOx|Asthma symptoms wheeze", US_national_yearly!$D:$AM, 10, FALSE), 1)</f>
        <v>2.9585360357423265E-3</v>
      </c>
      <c r="H8" s="7">
        <f>$B8 * IFERROR(VLOOKUP("electricity|NOx|Asthma symptoms wheeze", US_national_yearly!$D:$AM, 16, FALSE) / VLOOKUP("electricity|NOx|Asthma symptoms wheeze", US_national_yearly!$D:$AM, 10, FALSE), 1)</f>
        <v>2.9895129038772584E-3</v>
      </c>
      <c r="I8" s="7">
        <f>$B8 * IFERROR(VLOOKUP("electricity|NOx|Asthma symptoms wheeze", US_national_yearly!$D:$AM, 17, FALSE) / VLOOKUP("electricity|NOx|Asthma symptoms wheeze", US_national_yearly!$D:$AM, 10, FALSE), 1)</f>
        <v>3.0010281841844678E-3</v>
      </c>
      <c r="J8" s="7">
        <f>$B8 * IFERROR(VLOOKUP("electricity|NOx|Asthma symptoms wheeze", US_national_yearly!$D:$AM, 18, FALSE) / VLOOKUP("electricity|NOx|Asthma symptoms wheeze", US_national_yearly!$D:$AM, 10, FALSE), 1)</f>
        <v>3.0125434644916772E-3</v>
      </c>
      <c r="K8" s="7">
        <f>$B8 * IFERROR(VLOOKUP("electricity|NOx|Asthma symptoms wheeze", US_national_yearly!$D:$AM, 19, FALSE) / VLOOKUP("electricity|NOx|Asthma symptoms wheeze", US_national_yearly!$D:$AM, 10, FALSE), 1)</f>
        <v>3.024058744798888E-3</v>
      </c>
      <c r="L8" s="7">
        <f>$B8 * IFERROR(VLOOKUP("electricity|NOx|Asthma symptoms wheeze", US_national_yearly!$D:$AM, 20, FALSE) / VLOOKUP("electricity|NOx|Asthma symptoms wheeze", US_national_yearly!$D:$AM, 10, FALSE), 1)</f>
        <v>3.0355740251060974E-3</v>
      </c>
      <c r="M8" s="7">
        <f>$B8 * IFERROR(VLOOKUP("electricity|NOx|Asthma symptoms wheeze", US_national_yearly!$D:$AM, 21, FALSE) / VLOOKUP("electricity|NOx|Asthma symptoms wheeze", US_national_yearly!$D:$AM, 10, FALSE), 1)</f>
        <v>3.0470893054133068E-3</v>
      </c>
      <c r="N8" s="7">
        <f>$B8 * IFERROR(VLOOKUP("electricity|NOx|Asthma symptoms wheeze", US_national_yearly!$D:$AM, 22, FALSE) / VLOOKUP("electricity|NOx|Asthma symptoms wheeze", US_national_yearly!$D:$AM, 10, FALSE), 1)</f>
        <v>3.0598481400783023E-3</v>
      </c>
      <c r="O8" s="7">
        <f>$B8 * IFERROR(VLOOKUP("electricity|NOx|Asthma symptoms wheeze", US_national_yearly!$D:$AM, 23, FALSE) / VLOOKUP("electricity|NOx|Asthma symptoms wheeze", US_national_yearly!$D:$AM, 10, FALSE), 1)</f>
        <v>3.0726069747432985E-3</v>
      </c>
      <c r="P8" s="7">
        <f>$B8 * IFERROR(VLOOKUP("electricity|NOx|Asthma symptoms wheeze", US_national_yearly!$D:$AM, 24, FALSE) / VLOOKUP("electricity|NOx|Asthma symptoms wheeze", US_national_yearly!$D:$AM, 10, FALSE), 1)</f>
        <v>3.0853658094082944E-3</v>
      </c>
      <c r="Q8" s="7">
        <f>$B8 * IFERROR(VLOOKUP("electricity|NOx|Asthma symptoms wheeze", US_national_yearly!$D:$AM, 25, FALSE) / VLOOKUP("electricity|NOx|Asthma symptoms wheeze", US_national_yearly!$D:$AM, 10, FALSE), 1)</f>
        <v>3.0981246440732898E-3</v>
      </c>
      <c r="R8" s="7">
        <f>$B8 * IFERROR(VLOOKUP("electricity|NOx|Asthma symptoms wheeze", US_national_yearly!$D:$AM, 26, FALSE) / VLOOKUP("electricity|NOx|Asthma symptoms wheeze", US_national_yearly!$D:$AM, 10, FALSE), 1)</f>
        <v>3.1108834787382852E-3</v>
      </c>
      <c r="S8" s="7">
        <f>$B8 * IFERROR(VLOOKUP("electricity|NOx|Asthma symptoms wheeze", US_national_yearly!$D:$AM, 27, FALSE) / VLOOKUP("electricity|NOx|Asthma symptoms wheeze", US_national_yearly!$D:$AM, 10, FALSE), 1)</f>
        <v>3.1268012999218545E-3</v>
      </c>
      <c r="T8" s="7">
        <f>$B8 * IFERROR(VLOOKUP("electricity|NOx|Asthma symptoms wheeze", US_national_yearly!$D:$AM, 28, FALSE) / VLOOKUP("electricity|NOx|Asthma symptoms wheeze", US_national_yearly!$D:$AM, 10, FALSE), 1)</f>
        <v>3.1427191211054238E-3</v>
      </c>
      <c r="U8" s="7">
        <f>$B8 * IFERROR(VLOOKUP("electricity|NOx|Asthma symptoms wheeze", US_national_yearly!$D:$AM, 29, FALSE) / VLOOKUP("electricity|NOx|Asthma symptoms wheeze", US_national_yearly!$D:$AM, 10, FALSE), 1)</f>
        <v>3.1586369422889923E-3</v>
      </c>
      <c r="V8" s="7">
        <f>$B8 * IFERROR(VLOOKUP("electricity|NOx|Asthma symptoms wheeze", US_national_yearly!$D:$AM, 30, FALSE) / VLOOKUP("electricity|NOx|Asthma symptoms wheeze", US_national_yearly!$D:$AM, 10, FALSE), 1)</f>
        <v>3.1745547634725617E-3</v>
      </c>
      <c r="W8" s="7">
        <f>$B8 * IFERROR(VLOOKUP("electricity|NOx|Asthma symptoms wheeze", US_national_yearly!$D:$AM, 31, FALSE) / VLOOKUP("electricity|NOx|Asthma symptoms wheeze", US_national_yearly!$D:$AM, 10, FALSE), 1)</f>
        <v>3.1904725846561306E-3</v>
      </c>
      <c r="X8" s="7">
        <f>$B8 * IFERROR(VLOOKUP("electricity|NOx|Asthma symptoms wheeze", US_national_yearly!$D:$AM, 32, FALSE) / VLOOKUP("electricity|NOx|Asthma symptoms wheeze", US_national_yearly!$D:$AM, 10, FALSE), 1)</f>
        <v>3.2051377795643586E-3</v>
      </c>
      <c r="Y8" s="7">
        <f>$B8 * IFERROR(VLOOKUP("electricity|NOx|Asthma symptoms wheeze", US_national_yearly!$D:$AM, 33, FALSE) / VLOOKUP("electricity|NOx|Asthma symptoms wheeze", US_national_yearly!$D:$AM, 10, FALSE), 1)</f>
        <v>3.2198029744725876E-3</v>
      </c>
      <c r="Z8" s="7">
        <f>$B8 * IFERROR(VLOOKUP("electricity|NOx|Asthma symptoms wheeze", US_national_yearly!$D:$AM, 34, FALSE) / VLOOKUP("electricity|NOx|Asthma symptoms wheeze", US_national_yearly!$D:$AM, 10, FALSE), 1)</f>
        <v>3.2344681693808148E-3</v>
      </c>
      <c r="AA8" s="7">
        <f>$B8 * IFERROR(VLOOKUP("electricity|NOx|Asthma symptoms wheeze", US_national_yearly!$D:$AM, 35, FALSE) / VLOOKUP("electricity|NOx|Asthma symptoms wheeze", US_national_yearly!$D:$AM, 10, FALSE), 1)</f>
        <v>3.2491333642890438E-3</v>
      </c>
      <c r="AB8" s="7">
        <f>$B8 * IFERROR(VLOOKUP("electricity|NOx|Asthma symptoms wheeze", US_national_yearly!$D:$AM, 36, FALSE) / VLOOKUP("electricity|NOx|Asthma symptoms wheeze", US_national_yearly!$D:$AM, 10, FALSE), 1)</f>
        <v>3.2637985591972719E-3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3.1165829869922812E-5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3.1964038827219029E-5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3.2762247784515246E-5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3.3560456741811463E-5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3.4358665699107667E-5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3.5127064972085787E-5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3.5895464245063908E-5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3.6556224404862063E-5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3.7216984564660212E-5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3.7877744724458374E-5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3.8538504884256523E-5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3.9199265044054678E-5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3.9652092278790247E-5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4.0104919513525808E-5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4.0557746748261376E-5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4.1010573982996937E-5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4.1463401217732505E-5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4.1721300774548031E-5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4.1979200331363564E-5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4.2237099888179084E-5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4.2494999444994603E-5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4.2752899001810129E-5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4.2940481107798767E-5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4.3128063213787392E-5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4.3315645319776038E-5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4.350322742576467E-5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4.3690809531753294E-5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2.0891125318022485E-4</v>
      </c>
      <c r="C13" s="7">
        <f>$B13 * IFERROR(VLOOKUP("electricity|NOx|Non-fatal heart attacks", US_national_yearly!$D:$AM, 11, FALSE) / VLOOKUP("electricity|NOx|Non-fatal heart attacks", US_national_yearly!$D:$AM, 10, FALSE), 1)</f>
        <v>2.1490643060655254E-4</v>
      </c>
      <c r="D13" s="7">
        <f>$B13 * IFERROR(VLOOKUP("electricity|NOx|Non-fatal heart attacks", US_national_yearly!$D:$AM, 12, FALSE) / VLOOKUP("electricity|NOx|Non-fatal heart attacks", US_national_yearly!$D:$AM, 10, FALSE), 1)</f>
        <v>2.2090160803288022E-4</v>
      </c>
      <c r="E13" s="7">
        <f>$B13 * IFERROR(VLOOKUP("electricity|NOx|Non-fatal heart attacks", US_national_yearly!$D:$AM, 13, FALSE) / VLOOKUP("electricity|NOx|Non-fatal heart attacks", US_national_yearly!$D:$AM, 10, FALSE), 1)</f>
        <v>2.2689678545920788E-4</v>
      </c>
      <c r="F13" s="7">
        <f>$B13 * IFERROR(VLOOKUP("electricity|NOx|Non-fatal heart attacks", US_national_yearly!$D:$AM, 14, FALSE) / VLOOKUP("electricity|NOx|Non-fatal heart attacks", US_national_yearly!$D:$AM, 10, FALSE), 1)</f>
        <v>2.3289196288553562E-4</v>
      </c>
      <c r="G13" s="7">
        <f>$B13 * IFERROR(VLOOKUP("electricity|NOx|Non-fatal heart attacks", US_national_yearly!$D:$AM, 15, FALSE) / VLOOKUP("electricity|NOx|Non-fatal heart attacks", US_national_yearly!$D:$AM, 10, FALSE), 1)</f>
        <v>2.3853965004617652E-4</v>
      </c>
      <c r="H13" s="7">
        <f>$B13 * IFERROR(VLOOKUP("electricity|NOx|Non-fatal heart attacks", US_national_yearly!$D:$AM, 16, FALSE) / VLOOKUP("electricity|NOx|Non-fatal heart attacks", US_national_yearly!$D:$AM, 10, FALSE), 1)</f>
        <v>2.4418733720681741E-4</v>
      </c>
      <c r="I13" s="7">
        <f>$B13 * IFERROR(VLOOKUP("electricity|NOx|Non-fatal heart attacks", US_national_yearly!$D:$AM, 17, FALSE) / VLOOKUP("electricity|NOx|Non-fatal heart attacks", US_national_yearly!$D:$AM, 10, FALSE), 1)</f>
        <v>2.4871621093700978E-4</v>
      </c>
      <c r="J13" s="7">
        <f>$B13 * IFERROR(VLOOKUP("electricity|NOx|Non-fatal heart attacks", US_national_yearly!$D:$AM, 18, FALSE) / VLOOKUP("electricity|NOx|Non-fatal heart attacks", US_national_yearly!$D:$AM, 10, FALSE), 1)</f>
        <v>2.532450846672021E-4</v>
      </c>
      <c r="K13" s="7">
        <f>$B13 * IFERROR(VLOOKUP("electricity|NOx|Non-fatal heart attacks", US_national_yearly!$D:$AM, 19, FALSE) / VLOOKUP("electricity|NOx|Non-fatal heart attacks", US_national_yearly!$D:$AM, 10, FALSE), 1)</f>
        <v>2.5777395839739426E-4</v>
      </c>
      <c r="L13" s="7">
        <f>$B13 * IFERROR(VLOOKUP("electricity|NOx|Non-fatal heart attacks", US_national_yearly!$D:$AM, 20, FALSE) / VLOOKUP("electricity|NOx|Non-fatal heart attacks", US_national_yearly!$D:$AM, 10, FALSE), 1)</f>
        <v>2.6230283212758663E-4</v>
      </c>
      <c r="M13" s="7">
        <f>$B13 * IFERROR(VLOOKUP("electricity|NOx|Non-fatal heart attacks", US_national_yearly!$D:$AM, 21, FALSE) / VLOOKUP("electricity|NOx|Non-fatal heart attacks", US_national_yearly!$D:$AM, 10, FALSE), 1)</f>
        <v>2.66831705857779E-4</v>
      </c>
      <c r="N13" s="7">
        <f>$B13 * IFERROR(VLOOKUP("electricity|NOx|Non-fatal heart attacks", US_national_yearly!$D:$AM, 22, FALSE) / VLOOKUP("electricity|NOx|Non-fatal heart attacks", US_national_yearly!$D:$AM, 10, FALSE), 1)</f>
        <v>2.696247563856299E-4</v>
      </c>
      <c r="O13" s="7">
        <f>$B13 * IFERROR(VLOOKUP("electricity|NOx|Non-fatal heart attacks", US_national_yearly!$D:$AM, 23, FALSE) / VLOOKUP("electricity|NOx|Non-fatal heart attacks", US_national_yearly!$D:$AM, 10, FALSE), 1)</f>
        <v>2.7241780691348086E-4</v>
      </c>
      <c r="P13" s="7">
        <f>$B13 * IFERROR(VLOOKUP("electricity|NOx|Non-fatal heart attacks", US_national_yearly!$D:$AM, 24, FALSE) / VLOOKUP("electricity|NOx|Non-fatal heart attacks", US_national_yearly!$D:$AM, 10, FALSE), 1)</f>
        <v>2.7521085744133177E-4</v>
      </c>
      <c r="Q13" s="7">
        <f>$B13 * IFERROR(VLOOKUP("electricity|NOx|Non-fatal heart attacks", US_national_yearly!$D:$AM, 25, FALSE) / VLOOKUP("electricity|NOx|Non-fatal heart attacks", US_national_yearly!$D:$AM, 10, FALSE), 1)</f>
        <v>2.7800390796918267E-4</v>
      </c>
      <c r="R13" s="7">
        <f>$B13 * IFERROR(VLOOKUP("electricity|NOx|Non-fatal heart attacks", US_national_yearly!$D:$AM, 26, FALSE) / VLOOKUP("electricity|NOx|Non-fatal heart attacks", US_national_yearly!$D:$AM, 10, FALSE), 1)</f>
        <v>2.8079695849703363E-4</v>
      </c>
      <c r="S13" s="7">
        <f>$B13 * IFERROR(VLOOKUP("electricity|NOx|Non-fatal heart attacks", US_national_yearly!$D:$AM, 27, FALSE) / VLOOKUP("electricity|NOx|Non-fatal heart attacks", US_national_yearly!$D:$AM, 10, FALSE), 1)</f>
        <v>2.8216163367984597E-4</v>
      </c>
      <c r="T13" s="7">
        <f>$B13 * IFERROR(VLOOKUP("electricity|NOx|Non-fatal heart attacks", US_national_yearly!$D:$AM, 28, FALSE) / VLOOKUP("electricity|NOx|Non-fatal heart attacks", US_national_yearly!$D:$AM, 10, FALSE), 1)</f>
        <v>2.8352630886265836E-4</v>
      </c>
      <c r="U13" s="7">
        <f>$B13 * IFERROR(VLOOKUP("electricity|NOx|Non-fatal heart attacks", US_national_yearly!$D:$AM, 29, FALSE) / VLOOKUP("electricity|NOx|Non-fatal heart attacks", US_national_yearly!$D:$AM, 10, FALSE), 1)</f>
        <v>2.8489098404547075E-4</v>
      </c>
      <c r="V13" s="7">
        <f>$B13 * IFERROR(VLOOKUP("electricity|NOx|Non-fatal heart attacks", US_national_yearly!$D:$AM, 30, FALSE) / VLOOKUP("electricity|NOx|Non-fatal heart attacks", US_national_yearly!$D:$AM, 10, FALSE), 1)</f>
        <v>2.8625565922828309E-4</v>
      </c>
      <c r="W13" s="7">
        <f>$B13 * IFERROR(VLOOKUP("electricity|NOx|Non-fatal heart attacks", US_national_yearly!$D:$AM, 31, FALSE) / VLOOKUP("electricity|NOx|Non-fatal heart attacks", US_national_yearly!$D:$AM, 10, FALSE), 1)</f>
        <v>2.8762033441109554E-4</v>
      </c>
      <c r="X13" s="7">
        <f>$B13 * IFERROR(VLOOKUP("electricity|NOx|Non-fatal heart attacks", US_national_yearly!$D:$AM, 32, FALSE) / VLOOKUP("electricity|NOx|Non-fatal heart attacks", US_national_yearly!$D:$AM, 10, FALSE), 1)</f>
        <v>2.8857284142228245E-4</v>
      </c>
      <c r="Y13" s="7">
        <f>$B13 * IFERROR(VLOOKUP("electricity|NOx|Non-fatal heart attacks", US_national_yearly!$D:$AM, 33, FALSE) / VLOOKUP("electricity|NOx|Non-fatal heart attacks", US_national_yearly!$D:$AM, 10, FALSE), 1)</f>
        <v>2.8952534843346947E-4</v>
      </c>
      <c r="Z13" s="7">
        <f>$B13 * IFERROR(VLOOKUP("electricity|NOx|Non-fatal heart attacks", US_national_yearly!$D:$AM, 34, FALSE) / VLOOKUP("electricity|NOx|Non-fatal heart attacks", US_national_yearly!$D:$AM, 10, FALSE), 1)</f>
        <v>2.9047785544465639E-4</v>
      </c>
      <c r="AA13" s="7">
        <f>$B13 * IFERROR(VLOOKUP("electricity|NOx|Non-fatal heart attacks", US_national_yearly!$D:$AM, 35, FALSE) / VLOOKUP("electricity|NOx|Non-fatal heart attacks", US_national_yearly!$D:$AM, 10, FALSE), 1)</f>
        <v>2.9143036245584335E-4</v>
      </c>
      <c r="AB13" s="7">
        <f>$B13 * IFERROR(VLOOKUP("electricity|NOx|Non-fatal heart attacks", US_national_yearly!$D:$AM, 36, FALSE) / VLOOKUP("electricity|NOx|Non-fatal heart attacks", US_national_yearly!$D:$AM, 10, FALSE), 1)</f>
        <v>2.9238286946703032E-4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0.16993489588081584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0.17019544317984683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0.17045599047887783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0.17071653777790882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0.17097708507693987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0.17143157061669845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0.17188605615645697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0.17278525271902548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0.17368444928159391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0.17458364584416242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0.17548284240673084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0.17638203896929935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0.17768235274958624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0.1789826665298731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0.18028298031015993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0.18158329409044682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0.18288360787073371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0.18419375504306268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0.18550390221539165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0.18681404938772064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0.18812419656004961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0.18943434373237855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0.19054233997528053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0.19165033621818239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0.19275833246108451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0.19386632870398646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0.19497432494688838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2.8831795004553545E-2</v>
      </c>
      <c r="C15" s="7">
        <f>$B15 * IFERROR(VLOOKUP("electricity|NOx|Work loss days", US_national_yearly!$D:$AM, 11, FALSE) / VLOOKUP("electricity|NOx|Work loss days", US_national_yearly!$D:$AM, 10, FALSE), 1)</f>
        <v>2.8896100211907676E-2</v>
      </c>
      <c r="D15" s="7">
        <f>$B15 * IFERROR(VLOOKUP("electricity|NOx|Work loss days", US_national_yearly!$D:$AM, 12, FALSE) / VLOOKUP("electricity|NOx|Work loss days", US_national_yearly!$D:$AM, 10, FALSE), 1)</f>
        <v>2.8960405419261807E-2</v>
      </c>
      <c r="E15" s="7">
        <f>$B15 * IFERROR(VLOOKUP("electricity|NOx|Work loss days", US_national_yearly!$D:$AM, 13, FALSE) / VLOOKUP("electricity|NOx|Work loss days", US_national_yearly!$D:$AM, 10, FALSE), 1)</f>
        <v>2.9024710626615935E-2</v>
      </c>
      <c r="F15" s="7">
        <f>$B15 * IFERROR(VLOOKUP("electricity|NOx|Work loss days", US_national_yearly!$D:$AM, 14, FALSE) / VLOOKUP("electricity|NOx|Work loss days", US_national_yearly!$D:$AM, 10, FALSE), 1)</f>
        <v>2.9089015833970066E-2</v>
      </c>
      <c r="G15" s="7">
        <f>$B15 * IFERROR(VLOOKUP("electricity|NOx|Work loss days", US_national_yearly!$D:$AM, 15, FALSE) / VLOOKUP("electricity|NOx|Work loss days", US_national_yearly!$D:$AM, 10, FALSE), 1)</f>
        <v>2.917967143489595E-2</v>
      </c>
      <c r="H15" s="7">
        <f>$B15 * IFERROR(VLOOKUP("electricity|NOx|Work loss days", US_national_yearly!$D:$AM, 16, FALSE) / VLOOKUP("electricity|NOx|Work loss days", US_national_yearly!$D:$AM, 10, FALSE), 1)</f>
        <v>2.9270327035821827E-2</v>
      </c>
      <c r="I15" s="7">
        <f>$B15 * IFERROR(VLOOKUP("electricity|NOx|Work loss days", US_national_yearly!$D:$AM, 17, FALSE) / VLOOKUP("electricity|NOx|Work loss days", US_national_yearly!$D:$AM, 10, FALSE), 1)</f>
        <v>2.9417527395452656E-2</v>
      </c>
      <c r="J15" s="7">
        <f>$B15 * IFERROR(VLOOKUP("electricity|NOx|Work loss days", US_national_yearly!$D:$AM, 18, FALSE) / VLOOKUP("electricity|NOx|Work loss days", US_national_yearly!$D:$AM, 10, FALSE), 1)</f>
        <v>2.9564727755083481E-2</v>
      </c>
      <c r="K15" s="7">
        <f>$B15 * IFERROR(VLOOKUP("electricity|NOx|Work loss days", US_national_yearly!$D:$AM, 19, FALSE) / VLOOKUP("electricity|NOx|Work loss days", US_national_yearly!$D:$AM, 10, FALSE), 1)</f>
        <v>2.9711928114714303E-2</v>
      </c>
      <c r="L15" s="7">
        <f>$B15 * IFERROR(VLOOKUP("electricity|NOx|Work loss days", US_national_yearly!$D:$AM, 20, FALSE) / VLOOKUP("electricity|NOx|Work loss days", US_national_yearly!$D:$AM, 10, FALSE), 1)</f>
        <v>2.9859128474345121E-2</v>
      </c>
      <c r="M15" s="7">
        <f>$B15 * IFERROR(VLOOKUP("electricity|NOx|Work loss days", US_national_yearly!$D:$AM, 21, FALSE) / VLOOKUP("electricity|NOx|Work loss days", US_national_yearly!$D:$AM, 10, FALSE), 1)</f>
        <v>3.0006328833975943E-2</v>
      </c>
      <c r="N15" s="7">
        <f>$B15 * IFERROR(VLOOKUP("electricity|NOx|Work loss days", US_national_yearly!$D:$AM, 22, FALSE) / VLOOKUP("electricity|NOx|Work loss days", US_national_yearly!$D:$AM, 10, FALSE), 1)</f>
        <v>3.0200540434472751E-2</v>
      </c>
      <c r="O15" s="7">
        <f>$B15 * IFERROR(VLOOKUP("electricity|NOx|Work loss days", US_national_yearly!$D:$AM, 23, FALSE) / VLOOKUP("electricity|NOx|Work loss days", US_national_yearly!$D:$AM, 10, FALSE), 1)</f>
        <v>3.0394752034969556E-2</v>
      </c>
      <c r="P15" s="7">
        <f>$B15 * IFERROR(VLOOKUP("electricity|NOx|Work loss days", US_national_yearly!$D:$AM, 24, FALSE) / VLOOKUP("electricity|NOx|Work loss days", US_national_yearly!$D:$AM, 10, FALSE), 1)</f>
        <v>3.0588963635466364E-2</v>
      </c>
      <c r="Q15" s="7">
        <f>$B15 * IFERROR(VLOOKUP("electricity|NOx|Work loss days", US_national_yearly!$D:$AM, 25, FALSE) / VLOOKUP("electricity|NOx|Work loss days", US_national_yearly!$D:$AM, 10, FALSE), 1)</f>
        <v>3.0783175235963172E-2</v>
      </c>
      <c r="R15" s="7">
        <f>$B15 * IFERROR(VLOOKUP("electricity|NOx|Work loss days", US_national_yearly!$D:$AM, 26, FALSE) / VLOOKUP("electricity|NOx|Work loss days", US_national_yearly!$D:$AM, 10, FALSE), 1)</f>
        <v>3.0977386836459966E-2</v>
      </c>
      <c r="S15" s="7">
        <f>$B15 * IFERROR(VLOOKUP("electricity|NOx|Work loss days", US_national_yearly!$D:$AM, 27, FALSE) / VLOOKUP("electricity|NOx|Work loss days", US_national_yearly!$D:$AM, 10, FALSE), 1)</f>
        <v>3.1195025665749092E-2</v>
      </c>
      <c r="T15" s="7">
        <f>$B15 * IFERROR(VLOOKUP("electricity|NOx|Work loss days", US_national_yearly!$D:$AM, 28, FALSE) / VLOOKUP("electricity|NOx|Work loss days", US_national_yearly!$D:$AM, 10, FALSE), 1)</f>
        <v>3.1412664495038212E-2</v>
      </c>
      <c r="U15" s="7">
        <f>$B15 * IFERROR(VLOOKUP("electricity|NOx|Work loss days", US_national_yearly!$D:$AM, 29, FALSE) / VLOOKUP("electricity|NOx|Work loss days", US_national_yearly!$D:$AM, 10, FALSE), 1)</f>
        <v>3.1630303324327334E-2</v>
      </c>
      <c r="V15" s="7">
        <f>$B15 * IFERROR(VLOOKUP("electricity|NOx|Work loss days", US_national_yearly!$D:$AM, 30, FALSE) / VLOOKUP("electricity|NOx|Work loss days", US_national_yearly!$D:$AM, 10, FALSE), 1)</f>
        <v>3.1847942153616457E-2</v>
      </c>
      <c r="W15" s="7">
        <f>$B15 * IFERROR(VLOOKUP("electricity|NOx|Work loss days", US_national_yearly!$D:$AM, 31, FALSE) / VLOOKUP("electricity|NOx|Work loss days", US_national_yearly!$D:$AM, 10, FALSE), 1)</f>
        <v>3.206558098290558E-2</v>
      </c>
      <c r="X15" s="7">
        <f>$B15 * IFERROR(VLOOKUP("electricity|NOx|Work loss days", US_national_yearly!$D:$AM, 32, FALSE) / VLOOKUP("electricity|NOx|Work loss days", US_national_yearly!$D:$AM, 10, FALSE), 1)</f>
        <v>3.225529769269668E-2</v>
      </c>
      <c r="Y15" s="7">
        <f>$B15 * IFERROR(VLOOKUP("electricity|NOx|Work loss days", US_national_yearly!$D:$AM, 33, FALSE) / VLOOKUP("electricity|NOx|Work loss days", US_national_yearly!$D:$AM, 10, FALSE), 1)</f>
        <v>3.244501440248778E-2</v>
      </c>
      <c r="Z15" s="7">
        <f>$B15 * IFERROR(VLOOKUP("electricity|NOx|Work loss days", US_national_yearly!$D:$AM, 34, FALSE) / VLOOKUP("electricity|NOx|Work loss days", US_national_yearly!$D:$AM, 10, FALSE), 1)</f>
        <v>3.2634731112278881E-2</v>
      </c>
      <c r="AA15" s="7">
        <f>$B15 * IFERROR(VLOOKUP("electricity|NOx|Work loss days", US_national_yearly!$D:$AM, 35, FALSE) / VLOOKUP("electricity|NOx|Work loss days", US_national_yearly!$D:$AM, 10, FALSE), 1)</f>
        <v>3.2824447822069988E-2</v>
      </c>
      <c r="AB15" s="7">
        <f>$B15 * IFERROR(VLOOKUP("electricity|NOx|Work loss days", US_national_yearly!$D:$AM, 36, FALSE) / VLOOKUP("electricity|NOx|Work loss days", US_national_yearly!$D:$AM, 10, FALSE), 1)</f>
        <v>3.3014164531861089E-2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5.3836136115403797E-5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5.5421967441019504E-5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5.7007798766635217E-5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5.8593630092250917E-5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6.0179461417866637E-5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6.1698018041458157E-5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6.321657466504969E-5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6.4512740698003388E-5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6.5808906730957086E-5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6.7105072763910798E-5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6.8401238796864509E-5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6.9697404829818208E-5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7.0529248057573412E-5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7.1361091285328617E-5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7.2192934513083822E-5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7.3024777740839013E-5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7.3856620968594218E-5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7.4265985680707825E-5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7.4675350392821419E-5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7.5084715104935026E-5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7.5494079817048633E-5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7.5903444529162227E-5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7.6148792350289916E-5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7.6394140171417605E-5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7.6639487992545294E-5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7.688483581367297E-5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7.7130183634800659E-5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5.4348461998425513E-4</v>
      </c>
      <c r="C2" s="7">
        <f>$B2 * IFERROR(VLOOKUP("electricity|SO2|Premature mortality", US_national_yearly!$D:$AM, 11, FALSE) / VLOOKUP("electricity|SO2|Premature mortality", US_national_yearly!$D:$AM, 10, FALSE), 1)</f>
        <v>5.5045221819789421E-4</v>
      </c>
      <c r="D2" s="7">
        <f>$B2 * IFERROR(VLOOKUP("electricity|SO2|Premature mortality", US_national_yearly!$D:$AM, 12, FALSE) / VLOOKUP("electricity|SO2|Premature mortality", US_national_yearly!$D:$AM, 10, FALSE), 1)</f>
        <v>5.5741981641153329E-4</v>
      </c>
      <c r="E2" s="7">
        <f>$B2 * IFERROR(VLOOKUP("electricity|SO2|Premature mortality", US_national_yearly!$D:$AM, 13, FALSE) / VLOOKUP("electricity|SO2|Premature mortality", US_national_yearly!$D:$AM, 10, FALSE), 1)</f>
        <v>5.6438741462517237E-4</v>
      </c>
      <c r="F2" s="7">
        <f>$B2 * IFERROR(VLOOKUP("electricity|SO2|Premature mortality", US_national_yearly!$D:$AM, 14, FALSE) / VLOOKUP("electricity|SO2|Premature mortality", US_national_yearly!$D:$AM, 10, FALSE), 1)</f>
        <v>5.7135501283881135E-4</v>
      </c>
      <c r="G2" s="7">
        <f>$B2 * IFERROR(VLOOKUP("electricity|SO2|Premature mortality", US_national_yearly!$D:$AM, 15, FALSE) / VLOOKUP("electricity|SO2|Premature mortality", US_national_yearly!$D:$AM, 10, FALSE), 1)</f>
        <v>5.8477740167136737E-4</v>
      </c>
      <c r="H2" s="7">
        <f>$B2 * IFERROR(VLOOKUP("electricity|SO2|Premature mortality", US_national_yearly!$D:$AM, 16, FALSE) / VLOOKUP("electricity|SO2|Premature mortality", US_national_yearly!$D:$AM, 10, FALSE), 1)</f>
        <v>5.9819979050392328E-4</v>
      </c>
      <c r="I2" s="7">
        <f>$B2 * IFERROR(VLOOKUP("electricity|SO2|Premature mortality", US_national_yearly!$D:$AM, 17, FALSE) / VLOOKUP("electricity|SO2|Premature mortality", US_national_yearly!$D:$AM, 10, FALSE), 1)</f>
        <v>6.0723491204074285E-4</v>
      </c>
      <c r="J2" s="7">
        <f>$B2 * IFERROR(VLOOKUP("electricity|SO2|Premature mortality", US_national_yearly!$D:$AM, 18, FALSE) / VLOOKUP("electricity|SO2|Premature mortality", US_national_yearly!$D:$AM, 10, FALSE), 1)</f>
        <v>6.1627003357756242E-4</v>
      </c>
      <c r="K2" s="7">
        <f>$B2 * IFERROR(VLOOKUP("electricity|SO2|Premature mortality", US_national_yearly!$D:$AM, 19, FALSE) / VLOOKUP("electricity|SO2|Premature mortality", US_national_yearly!$D:$AM, 10, FALSE), 1)</f>
        <v>6.2530515511438189E-4</v>
      </c>
      <c r="L2" s="7">
        <f>$B2 * IFERROR(VLOOKUP("electricity|SO2|Premature mortality", US_national_yearly!$D:$AM, 20, FALSE) / VLOOKUP("electricity|SO2|Premature mortality", US_national_yearly!$D:$AM, 10, FALSE), 1)</f>
        <v>6.3434027665120168E-4</v>
      </c>
      <c r="M2" s="7">
        <f>$B2 * IFERROR(VLOOKUP("electricity|SO2|Premature mortality", US_national_yearly!$D:$AM, 21, FALSE) / VLOOKUP("electricity|SO2|Premature mortality", US_national_yearly!$D:$AM, 10, FALSE), 1)</f>
        <v>6.4337539818802114E-4</v>
      </c>
      <c r="N2" s="7">
        <f>$B2 * IFERROR(VLOOKUP("electricity|SO2|Premature mortality", US_national_yearly!$D:$AM, 22, FALSE) / VLOOKUP("electricity|SO2|Premature mortality", US_national_yearly!$D:$AM, 10, FALSE), 1)</f>
        <v>6.5061632796120433E-4</v>
      </c>
      <c r="O2" s="7">
        <f>$B2 * IFERROR(VLOOKUP("electricity|SO2|Premature mortality", US_national_yearly!$D:$AM, 23, FALSE) / VLOOKUP("electricity|SO2|Premature mortality", US_national_yearly!$D:$AM, 10, FALSE), 1)</f>
        <v>6.5785725773438762E-4</v>
      </c>
      <c r="P2" s="7">
        <f>$B2 * IFERROR(VLOOKUP("electricity|SO2|Premature mortality", US_national_yearly!$D:$AM, 24, FALSE) / VLOOKUP("electricity|SO2|Premature mortality", US_national_yearly!$D:$AM, 10, FALSE), 1)</f>
        <v>6.650981875075707E-4</v>
      </c>
      <c r="Q2" s="7">
        <f>$B2 * IFERROR(VLOOKUP("electricity|SO2|Premature mortality", US_national_yearly!$D:$AM, 25, FALSE) / VLOOKUP("electricity|SO2|Premature mortality", US_national_yearly!$D:$AM, 10, FALSE), 1)</f>
        <v>6.7233911728075389E-4</v>
      </c>
      <c r="R2" s="7">
        <f>$B2 * IFERROR(VLOOKUP("electricity|SO2|Premature mortality", US_national_yearly!$D:$AM, 26, FALSE) / VLOOKUP("electricity|SO2|Premature mortality", US_national_yearly!$D:$AM, 10, FALSE), 1)</f>
        <v>6.7958004705393708E-4</v>
      </c>
      <c r="S2" s="7">
        <f>$B2 * IFERROR(VLOOKUP("electricity|SO2|Premature mortality", US_national_yearly!$D:$AM, 27, FALSE) / VLOOKUP("electricity|SO2|Premature mortality", US_national_yearly!$D:$AM, 10, FALSE), 1)</f>
        <v>6.8373148359717102E-4</v>
      </c>
      <c r="T2" s="7">
        <f>$B2 * IFERROR(VLOOKUP("electricity|SO2|Premature mortality", US_national_yearly!$D:$AM, 28, FALSE) / VLOOKUP("electricity|SO2|Premature mortality", US_national_yearly!$D:$AM, 10, FALSE), 1)</f>
        <v>6.8788292014040507E-4</v>
      </c>
      <c r="U2" s="7">
        <f>$B2 * IFERROR(VLOOKUP("electricity|SO2|Premature mortality", US_national_yearly!$D:$AM, 29, FALSE) / VLOOKUP("electricity|SO2|Premature mortality", US_national_yearly!$D:$AM, 10, FALSE), 1)</f>
        <v>6.9203435668363901E-4</v>
      </c>
      <c r="V2" s="7">
        <f>$B2 * IFERROR(VLOOKUP("electricity|SO2|Premature mortality", US_national_yearly!$D:$AM, 30, FALSE) / VLOOKUP("electricity|SO2|Premature mortality", US_national_yearly!$D:$AM, 10, FALSE), 1)</f>
        <v>6.9618579322687306E-4</v>
      </c>
      <c r="W2" s="7">
        <f>$B2 * IFERROR(VLOOKUP("electricity|SO2|Premature mortality", US_national_yearly!$D:$AM, 31, FALSE) / VLOOKUP("electricity|SO2|Premature mortality", US_national_yearly!$D:$AM, 10, FALSE), 1)</f>
        <v>7.0033722977010701E-4</v>
      </c>
      <c r="X2" s="7">
        <f>$B2 * IFERROR(VLOOKUP("electricity|SO2|Premature mortality", US_national_yearly!$D:$AM, 32, FALSE) / VLOOKUP("electricity|SO2|Premature mortality", US_national_yearly!$D:$AM, 10, FALSE), 1)</f>
        <v>7.0156043256503322E-4</v>
      </c>
      <c r="Y2" s="7">
        <f>$B2 * IFERROR(VLOOKUP("electricity|SO2|Premature mortality", US_national_yearly!$D:$AM, 33, FALSE) / VLOOKUP("electricity|SO2|Premature mortality", US_national_yearly!$D:$AM, 10, FALSE), 1)</f>
        <v>7.0278363535995932E-4</v>
      </c>
      <c r="Z2" s="7">
        <f>$B2 * IFERROR(VLOOKUP("electricity|SO2|Premature mortality", US_national_yearly!$D:$AM, 34, FALSE) / VLOOKUP("electricity|SO2|Premature mortality", US_national_yearly!$D:$AM, 10, FALSE), 1)</f>
        <v>7.0400683815488542E-4</v>
      </c>
      <c r="AA2" s="7">
        <f>$B2 * IFERROR(VLOOKUP("electricity|SO2|Premature mortality", US_national_yearly!$D:$AM, 35, FALSE) / VLOOKUP("electricity|SO2|Premature mortality", US_national_yearly!$D:$AM, 10, FALSE), 1)</f>
        <v>7.0523004094981163E-4</v>
      </c>
      <c r="AB2" s="7">
        <f>$B2 * IFERROR(VLOOKUP("electricity|SO2|Premature mortality", US_national_yearly!$D:$AM, 36, FALSE) / VLOOKUP("electricity|SO2|Premature mortality", US_national_yearly!$D:$AM, 10, FALSE), 1)</f>
        <v>7.0645324374473773E-4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1.6930414983549732E-6</v>
      </c>
      <c r="C3" s="7">
        <f>$B3 * IFERROR(VLOOKUP("electricity|SO2|Infant mortality", US_national_yearly!$D:$AM, 11, FALSE) / VLOOKUP("electricity|SO2|Infant mortality", US_national_yearly!$D:$AM, 10, FALSE), 1)</f>
        <v>1.6787385167842804E-6</v>
      </c>
      <c r="D3" s="7">
        <f>$B3 * IFERROR(VLOOKUP("electricity|SO2|Infant mortality", US_national_yearly!$D:$AM, 12, FALSE) / VLOOKUP("electricity|SO2|Infant mortality", US_national_yearly!$D:$AM, 10, FALSE), 1)</f>
        <v>1.6644355352135873E-6</v>
      </c>
      <c r="E3" s="7">
        <f>$B3 * IFERROR(VLOOKUP("electricity|SO2|Infant mortality", US_national_yearly!$D:$AM, 13, FALSE) / VLOOKUP("electricity|SO2|Infant mortality", US_national_yearly!$D:$AM, 10, FALSE), 1)</f>
        <v>1.6501325536428943E-6</v>
      </c>
      <c r="F3" s="7">
        <f>$B3 * IFERROR(VLOOKUP("electricity|SO2|Infant mortality", US_national_yearly!$D:$AM, 14, FALSE) / VLOOKUP("electricity|SO2|Infant mortality", US_national_yearly!$D:$AM, 10, FALSE), 1)</f>
        <v>1.6358295720722015E-6</v>
      </c>
      <c r="G3" s="7">
        <f>$B3 * IFERROR(VLOOKUP("electricity|SO2|Infant mortality", US_national_yearly!$D:$AM, 15, FALSE) / VLOOKUP("electricity|SO2|Infant mortality", US_national_yearly!$D:$AM, 10, FALSE), 1)</f>
        <v>1.0879114034720637E-6</v>
      </c>
      <c r="H3" s="7">
        <f>$B3 * IFERROR(VLOOKUP("electricity|SO2|Infant mortality", US_national_yearly!$D:$AM, 16, FALSE) / VLOOKUP("electricity|SO2|Infant mortality", US_national_yearly!$D:$AM, 10, FALSE), 1)</f>
        <v>5.399932348719257E-7</v>
      </c>
      <c r="I3" s="7">
        <f>$B3 * IFERROR(VLOOKUP("electricity|SO2|Infant mortality", US_national_yearly!$D:$AM, 17, FALSE) / VLOOKUP("electricity|SO2|Infant mortality", US_national_yearly!$D:$AM, 10, FALSE), 1)</f>
        <v>5.3653863860633969E-7</v>
      </c>
      <c r="J3" s="7">
        <f>$B3 * IFERROR(VLOOKUP("electricity|SO2|Infant mortality", US_national_yearly!$D:$AM, 18, FALSE) / VLOOKUP("electricity|SO2|Infant mortality", US_national_yearly!$D:$AM, 10, FALSE), 1)</f>
        <v>5.3308404234075368E-7</v>
      </c>
      <c r="K3" s="7">
        <f>$B3 * IFERROR(VLOOKUP("electricity|SO2|Infant mortality", US_national_yearly!$D:$AM, 19, FALSE) / VLOOKUP("electricity|SO2|Infant mortality", US_national_yearly!$D:$AM, 10, FALSE), 1)</f>
        <v>5.2962944607516778E-7</v>
      </c>
      <c r="L3" s="7">
        <f>$B3 * IFERROR(VLOOKUP("electricity|SO2|Infant mortality", US_national_yearly!$D:$AM, 20, FALSE) / VLOOKUP("electricity|SO2|Infant mortality", US_national_yearly!$D:$AM, 10, FALSE), 1)</f>
        <v>5.2617484980958178E-7</v>
      </c>
      <c r="M3" s="7">
        <f>$B3 * IFERROR(VLOOKUP("electricity|SO2|Infant mortality", US_national_yearly!$D:$AM, 21, FALSE) / VLOOKUP("electricity|SO2|Infant mortality", US_national_yearly!$D:$AM, 10, FALSE), 1)</f>
        <v>5.2272025354399577E-7</v>
      </c>
      <c r="N3" s="7">
        <f>$B3 * IFERROR(VLOOKUP("electricity|SO2|Infant mortality", US_national_yearly!$D:$AM, 22, FALSE) / VLOOKUP("electricity|SO2|Infant mortality", US_national_yearly!$D:$AM, 10, FALSE), 1)</f>
        <v>5.2053126826649399E-7</v>
      </c>
      <c r="O3" s="7">
        <f>$B3 * IFERROR(VLOOKUP("electricity|SO2|Infant mortality", US_national_yearly!$D:$AM, 23, FALSE) / VLOOKUP("electricity|SO2|Infant mortality", US_national_yearly!$D:$AM, 10, FALSE), 1)</f>
        <v>5.18342282988992E-7</v>
      </c>
      <c r="P3" s="7">
        <f>$B3 * IFERROR(VLOOKUP("electricity|SO2|Infant mortality", US_national_yearly!$D:$AM, 24, FALSE) / VLOOKUP("electricity|SO2|Infant mortality", US_national_yearly!$D:$AM, 10, FALSE), 1)</f>
        <v>5.1615329771149012E-7</v>
      </c>
      <c r="Q3" s="7">
        <f>$B3 * IFERROR(VLOOKUP("electricity|SO2|Infant mortality", US_national_yearly!$D:$AM, 25, FALSE) / VLOOKUP("electricity|SO2|Infant mortality", US_national_yearly!$D:$AM, 10, FALSE), 1)</f>
        <v>5.1396431243398824E-7</v>
      </c>
      <c r="R3" s="7">
        <f>$B3 * IFERROR(VLOOKUP("electricity|SO2|Infant mortality", US_national_yearly!$D:$AM, 26, FALSE) / VLOOKUP("electricity|SO2|Infant mortality", US_national_yearly!$D:$AM, 10, FALSE), 1)</f>
        <v>5.1177532715648646E-7</v>
      </c>
      <c r="S3" s="7">
        <f>$B3 * IFERROR(VLOOKUP("electricity|SO2|Infant mortality", US_national_yearly!$D:$AM, 27, FALSE) / VLOOKUP("electricity|SO2|Infant mortality", US_national_yearly!$D:$AM, 10, FALSE), 1)</f>
        <v>5.0904703437619408E-7</v>
      </c>
      <c r="T3" s="7">
        <f>$B3 * IFERROR(VLOOKUP("electricity|SO2|Infant mortality", US_national_yearly!$D:$AM, 28, FALSE) / VLOOKUP("electricity|SO2|Infant mortality", US_national_yearly!$D:$AM, 10, FALSE), 1)</f>
        <v>5.0631874159590169E-7</v>
      </c>
      <c r="U3" s="7">
        <f>$B3 * IFERROR(VLOOKUP("electricity|SO2|Infant mortality", US_national_yearly!$D:$AM, 29, FALSE) / VLOOKUP("electricity|SO2|Infant mortality", US_national_yearly!$D:$AM, 10, FALSE), 1)</f>
        <v>5.0359044881560941E-7</v>
      </c>
      <c r="V3" s="7">
        <f>$B3 * IFERROR(VLOOKUP("electricity|SO2|Infant mortality", US_national_yearly!$D:$AM, 30, FALSE) / VLOOKUP("electricity|SO2|Infant mortality", US_national_yearly!$D:$AM, 10, FALSE), 1)</f>
        <v>5.0086215603531713E-7</v>
      </c>
      <c r="W3" s="7">
        <f>$B3 * IFERROR(VLOOKUP("electricity|SO2|Infant mortality", US_national_yearly!$D:$AM, 31, FALSE) / VLOOKUP("electricity|SO2|Infant mortality", US_national_yearly!$D:$AM, 10, FALSE), 1)</f>
        <v>4.9813386325502474E-7</v>
      </c>
      <c r="X3" s="7">
        <f>$B3 * IFERROR(VLOOKUP("electricity|SO2|Infant mortality", US_national_yearly!$D:$AM, 32, FALSE) / VLOOKUP("electricity|SO2|Infant mortality", US_national_yearly!$D:$AM, 10, FALSE), 1)</f>
        <v>4.9522285475355189E-7</v>
      </c>
      <c r="Y3" s="7">
        <f>$B3 * IFERROR(VLOOKUP("electricity|SO2|Infant mortality", US_national_yearly!$D:$AM, 33, FALSE) / VLOOKUP("electricity|SO2|Infant mortality", US_national_yearly!$D:$AM, 10, FALSE), 1)</f>
        <v>4.9231184625207893E-7</v>
      </c>
      <c r="Z3" s="7">
        <f>$B3 * IFERROR(VLOOKUP("electricity|SO2|Infant mortality", US_national_yearly!$D:$AM, 34, FALSE) / VLOOKUP("electricity|SO2|Infant mortality", US_national_yearly!$D:$AM, 10, FALSE), 1)</f>
        <v>4.8940083775060618E-7</v>
      </c>
      <c r="AA3" s="7">
        <f>$B3 * IFERROR(VLOOKUP("electricity|SO2|Infant mortality", US_national_yearly!$D:$AM, 35, FALSE) / VLOOKUP("electricity|SO2|Infant mortality", US_national_yearly!$D:$AM, 10, FALSE), 1)</f>
        <v>4.8648982924913333E-7</v>
      </c>
      <c r="AB3" s="7">
        <f>$B3 * IFERROR(VLOOKUP("electricity|SO2|Infant mortality", US_national_yearly!$D:$AM, 36, FALSE) / VLOOKUP("electricity|SO2|Infant mortality", US_national_yearly!$D:$AM, 10, FALSE), 1)</f>
        <v>4.8357882074766047E-7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1.5626634009559457E-3</v>
      </c>
      <c r="C6" s="7">
        <f>$B6 * IFERROR(VLOOKUP("electricity|SO2|Asthma symptoms cough", US_national_yearly!$D:$AM, 11, FALSE) / VLOOKUP("electricity|SO2|Asthma symptoms cough", US_national_yearly!$D:$AM, 10, FALSE), 1)</f>
        <v>1.5626634009559457E-3</v>
      </c>
      <c r="D6" s="7">
        <f>$B6 * IFERROR(VLOOKUP("electricity|SO2|Asthma symptoms cough", US_national_yearly!$D:$AM, 12, FALSE) / VLOOKUP("electricity|SO2|Asthma symptoms cough", US_national_yearly!$D:$AM, 10, FALSE), 1)</f>
        <v>1.5626634009559457E-3</v>
      </c>
      <c r="E6" s="7">
        <f>$B6 * IFERROR(VLOOKUP("electricity|SO2|Asthma symptoms cough", US_national_yearly!$D:$AM, 13, FALSE) / VLOOKUP("electricity|SO2|Asthma symptoms cough", US_national_yearly!$D:$AM, 10, FALSE), 1)</f>
        <v>1.5626634009559457E-3</v>
      </c>
      <c r="F6" s="7">
        <f>$B6 * IFERROR(VLOOKUP("electricity|SO2|Asthma symptoms cough", US_national_yearly!$D:$AM, 14, FALSE) / VLOOKUP("electricity|SO2|Asthma symptoms cough", US_national_yearly!$D:$AM, 10, FALSE), 1)</f>
        <v>1.5626634009559457E-3</v>
      </c>
      <c r="G6" s="7">
        <f>$B6 * IFERROR(VLOOKUP("electricity|SO2|Asthma symptoms cough", US_national_yearly!$D:$AM, 15, FALSE) / VLOOKUP("electricity|SO2|Asthma symptoms cough", US_national_yearly!$D:$AM, 10, FALSE), 1)</f>
        <v>1.5626634009559457E-3</v>
      </c>
      <c r="H6" s="7">
        <f>$B6 * IFERROR(VLOOKUP("electricity|SO2|Asthma symptoms cough", US_national_yearly!$D:$AM, 16, FALSE) / VLOOKUP("electricity|SO2|Asthma symptoms cough", US_national_yearly!$D:$AM, 10, FALSE), 1)</f>
        <v>1.5626634009559457E-3</v>
      </c>
      <c r="I6" s="7">
        <f>$B6 * IFERROR(VLOOKUP("electricity|SO2|Asthma symptoms cough", US_national_yearly!$D:$AM, 17, FALSE) / VLOOKUP("electricity|SO2|Asthma symptoms cough", US_national_yearly!$D:$AM, 10, FALSE), 1)</f>
        <v>1.5626634009559457E-3</v>
      </c>
      <c r="J6" s="7">
        <f>$B6 * IFERROR(VLOOKUP("electricity|SO2|Asthma symptoms cough", US_national_yearly!$D:$AM, 18, FALSE) / VLOOKUP("electricity|SO2|Asthma symptoms cough", US_national_yearly!$D:$AM, 10, FALSE), 1)</f>
        <v>1.5626634009559457E-3</v>
      </c>
      <c r="K6" s="7">
        <f>$B6 * IFERROR(VLOOKUP("electricity|SO2|Asthma symptoms cough", US_national_yearly!$D:$AM, 19, FALSE) / VLOOKUP("electricity|SO2|Asthma symptoms cough", US_national_yearly!$D:$AM, 10, FALSE), 1)</f>
        <v>1.5626634009559457E-3</v>
      </c>
      <c r="L6" s="7">
        <f>$B6 * IFERROR(VLOOKUP("electricity|SO2|Asthma symptoms cough", US_national_yearly!$D:$AM, 20, FALSE) / VLOOKUP("electricity|SO2|Asthma symptoms cough", US_national_yearly!$D:$AM, 10, FALSE), 1)</f>
        <v>1.5626634009559457E-3</v>
      </c>
      <c r="M6" s="7">
        <f>$B6 * IFERROR(VLOOKUP("electricity|SO2|Asthma symptoms cough", US_national_yearly!$D:$AM, 21, FALSE) / VLOOKUP("electricity|SO2|Asthma symptoms cough", US_national_yearly!$D:$AM, 10, FALSE), 1)</f>
        <v>1.5626634009559457E-3</v>
      </c>
      <c r="N6" s="7">
        <f>$B6 * IFERROR(VLOOKUP("electricity|SO2|Asthma symptoms cough", US_national_yearly!$D:$AM, 22, FALSE) / VLOOKUP("electricity|SO2|Asthma symptoms cough", US_national_yearly!$D:$AM, 10, FALSE), 1)</f>
        <v>1.5626634009559457E-3</v>
      </c>
      <c r="O6" s="7">
        <f>$B6 * IFERROR(VLOOKUP("electricity|SO2|Asthma symptoms cough", US_national_yearly!$D:$AM, 23, FALSE) / VLOOKUP("electricity|SO2|Asthma symptoms cough", US_national_yearly!$D:$AM, 10, FALSE), 1)</f>
        <v>1.5626634009559457E-3</v>
      </c>
      <c r="P6" s="7">
        <f>$B6 * IFERROR(VLOOKUP("electricity|SO2|Asthma symptoms cough", US_national_yearly!$D:$AM, 24, FALSE) / VLOOKUP("electricity|SO2|Asthma symptoms cough", US_national_yearly!$D:$AM, 10, FALSE), 1)</f>
        <v>1.5626634009559457E-3</v>
      </c>
      <c r="Q6" s="7">
        <f>$B6 * IFERROR(VLOOKUP("electricity|SO2|Asthma symptoms cough", US_national_yearly!$D:$AM, 25, FALSE) / VLOOKUP("electricity|SO2|Asthma symptoms cough", US_national_yearly!$D:$AM, 10, FALSE), 1)</f>
        <v>1.5626634009559457E-3</v>
      </c>
      <c r="R6" s="7">
        <f>$B6 * IFERROR(VLOOKUP("electricity|SO2|Asthma symptoms cough", US_national_yearly!$D:$AM, 26, FALSE) / VLOOKUP("electricity|SO2|Asthma symptoms cough", US_national_yearly!$D:$AM, 10, FALSE), 1)</f>
        <v>1.5626634009559457E-3</v>
      </c>
      <c r="S6" s="7">
        <f>$B6 * IFERROR(VLOOKUP("electricity|SO2|Asthma symptoms cough", US_national_yearly!$D:$AM, 27, FALSE) / VLOOKUP("electricity|SO2|Asthma symptoms cough", US_national_yearly!$D:$AM, 10, FALSE), 1)</f>
        <v>1.5626634009559457E-3</v>
      </c>
      <c r="T6" s="7">
        <f>$B6 * IFERROR(VLOOKUP("electricity|SO2|Asthma symptoms cough", US_national_yearly!$D:$AM, 28, FALSE) / VLOOKUP("electricity|SO2|Asthma symptoms cough", US_national_yearly!$D:$AM, 10, FALSE), 1)</f>
        <v>1.5626634009559457E-3</v>
      </c>
      <c r="U6" s="7">
        <f>$B6 * IFERROR(VLOOKUP("electricity|SO2|Asthma symptoms cough", US_national_yearly!$D:$AM, 29, FALSE) / VLOOKUP("electricity|SO2|Asthma symptoms cough", US_national_yearly!$D:$AM, 10, FALSE), 1)</f>
        <v>1.5626634009559457E-3</v>
      </c>
      <c r="V6" s="7">
        <f>$B6 * IFERROR(VLOOKUP("electricity|SO2|Asthma symptoms cough", US_national_yearly!$D:$AM, 30, FALSE) / VLOOKUP("electricity|SO2|Asthma symptoms cough", US_national_yearly!$D:$AM, 10, FALSE), 1)</f>
        <v>1.5626634009559457E-3</v>
      </c>
      <c r="W6" s="7">
        <f>$B6 * IFERROR(VLOOKUP("electricity|SO2|Asthma symptoms cough", US_national_yearly!$D:$AM, 31, FALSE) / VLOOKUP("electricity|SO2|Asthma symptoms cough", US_national_yearly!$D:$AM, 10, FALSE), 1)</f>
        <v>1.5626634009559457E-3</v>
      </c>
      <c r="X6" s="7">
        <f>$B6 * IFERROR(VLOOKUP("electricity|SO2|Asthma symptoms cough", US_national_yearly!$D:$AM, 32, FALSE) / VLOOKUP("electricity|SO2|Asthma symptoms cough", US_national_yearly!$D:$AM, 10, FALSE), 1)</f>
        <v>1.5626634009559457E-3</v>
      </c>
      <c r="Y6" s="7">
        <f>$B6 * IFERROR(VLOOKUP("electricity|SO2|Asthma symptoms cough", US_national_yearly!$D:$AM, 33, FALSE) / VLOOKUP("electricity|SO2|Asthma symptoms cough", US_national_yearly!$D:$AM, 10, FALSE), 1)</f>
        <v>1.5626634009559457E-3</v>
      </c>
      <c r="Z6" s="7">
        <f>$B6 * IFERROR(VLOOKUP("electricity|SO2|Asthma symptoms cough", US_national_yearly!$D:$AM, 34, FALSE) / VLOOKUP("electricity|SO2|Asthma symptoms cough", US_national_yearly!$D:$AM, 10, FALSE), 1)</f>
        <v>1.5626634009559457E-3</v>
      </c>
      <c r="AA6" s="7">
        <f>$B6 * IFERROR(VLOOKUP("electricity|SO2|Asthma symptoms cough", US_national_yearly!$D:$AM, 35, FALSE) / VLOOKUP("electricity|SO2|Asthma symptoms cough", US_national_yearly!$D:$AM, 10, FALSE), 1)</f>
        <v>1.5626634009559457E-3</v>
      </c>
      <c r="AB6" s="7">
        <f>$B6 * IFERROR(VLOOKUP("electricity|SO2|Asthma symptoms cough", US_national_yearly!$D:$AM, 36, FALSE) / VLOOKUP("electricity|SO2|Asthma symptoms cough", US_national_yearly!$D:$AM, 10, FALSE), 1)</f>
        <v>1.5626634009559457E-3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2.1043535112312004E-3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2.1043535112312004E-3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2.1043535112312004E-3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2.1043535112312004E-3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2.1043535112312004E-3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2.1043535112312004E-3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2.1043535112312004E-3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2.1043535112312004E-3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2.1043535112312004E-3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2.1043535112312004E-3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2.1043535112312004E-3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2.1043535112312004E-3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2.1043535112312004E-3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2.1043535112312004E-3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2.1043535112312004E-3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2.1043535112312004E-3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2.1043535112312004E-3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2.1043535112312004E-3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2.1043535112312004E-3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2.1043535112312004E-3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2.1043535112312004E-3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2.1043535112312004E-3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2.1043535112312004E-3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2.1043535112312004E-3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2.1043535112312004E-3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2.1043535112312004E-3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2.1043535112312004E-3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3.2150937700683971E-3</v>
      </c>
      <c r="C8" s="7">
        <f>$B8 * IFERROR(VLOOKUP("electricity|SO2|Asthma symptoms wheeze", US_national_yearly!$D:$AM, 11, FALSE) / VLOOKUP("electricity|SO2|Asthma symptoms wheeze", US_national_yearly!$D:$AM, 10, FALSE), 1)</f>
        <v>3.2150937700683971E-3</v>
      </c>
      <c r="D8" s="7">
        <f>$B8 * IFERROR(VLOOKUP("electricity|SO2|Asthma symptoms wheeze", US_national_yearly!$D:$AM, 12, FALSE) / VLOOKUP("electricity|SO2|Asthma symptoms wheeze", US_national_yearly!$D:$AM, 10, FALSE), 1)</f>
        <v>3.2150937700683971E-3</v>
      </c>
      <c r="E8" s="7">
        <f>$B8 * IFERROR(VLOOKUP("electricity|SO2|Asthma symptoms wheeze", US_national_yearly!$D:$AM, 13, FALSE) / VLOOKUP("electricity|SO2|Asthma symptoms wheeze", US_national_yearly!$D:$AM, 10, FALSE), 1)</f>
        <v>3.2150937700683971E-3</v>
      </c>
      <c r="F8" s="7">
        <f>$B8 * IFERROR(VLOOKUP("electricity|SO2|Asthma symptoms wheeze", US_national_yearly!$D:$AM, 14, FALSE) / VLOOKUP("electricity|SO2|Asthma symptoms wheeze", US_national_yearly!$D:$AM, 10, FALSE), 1)</f>
        <v>3.2150937700683971E-3</v>
      </c>
      <c r="G8" s="7">
        <f>$B8 * IFERROR(VLOOKUP("electricity|SO2|Asthma symptoms wheeze", US_national_yearly!$D:$AM, 15, FALSE) / VLOOKUP("electricity|SO2|Asthma symptoms wheeze", US_national_yearly!$D:$AM, 10, FALSE), 1)</f>
        <v>3.2150937700683971E-3</v>
      </c>
      <c r="H8" s="7">
        <f>$B8 * IFERROR(VLOOKUP("electricity|SO2|Asthma symptoms wheeze", US_national_yearly!$D:$AM, 16, FALSE) / VLOOKUP("electricity|SO2|Asthma symptoms wheeze", US_national_yearly!$D:$AM, 10, FALSE), 1)</f>
        <v>3.2150937700683971E-3</v>
      </c>
      <c r="I8" s="7">
        <f>$B8 * IFERROR(VLOOKUP("electricity|SO2|Asthma symptoms wheeze", US_national_yearly!$D:$AM, 17, FALSE) / VLOOKUP("electricity|SO2|Asthma symptoms wheeze", US_national_yearly!$D:$AM, 10, FALSE), 1)</f>
        <v>3.2150937700683971E-3</v>
      </c>
      <c r="J8" s="7">
        <f>$B8 * IFERROR(VLOOKUP("electricity|SO2|Asthma symptoms wheeze", US_national_yearly!$D:$AM, 18, FALSE) / VLOOKUP("electricity|SO2|Asthma symptoms wheeze", US_national_yearly!$D:$AM, 10, FALSE), 1)</f>
        <v>3.2150937700683971E-3</v>
      </c>
      <c r="K8" s="7">
        <f>$B8 * IFERROR(VLOOKUP("electricity|SO2|Asthma symptoms wheeze", US_national_yearly!$D:$AM, 19, FALSE) / VLOOKUP("electricity|SO2|Asthma symptoms wheeze", US_national_yearly!$D:$AM, 10, FALSE), 1)</f>
        <v>3.2150937700683971E-3</v>
      </c>
      <c r="L8" s="7">
        <f>$B8 * IFERROR(VLOOKUP("electricity|SO2|Asthma symptoms wheeze", US_national_yearly!$D:$AM, 20, FALSE) / VLOOKUP("electricity|SO2|Asthma symptoms wheeze", US_national_yearly!$D:$AM, 10, FALSE), 1)</f>
        <v>3.2150937700683971E-3</v>
      </c>
      <c r="M8" s="7">
        <f>$B8 * IFERROR(VLOOKUP("electricity|SO2|Asthma symptoms wheeze", US_national_yearly!$D:$AM, 21, FALSE) / VLOOKUP("electricity|SO2|Asthma symptoms wheeze", US_national_yearly!$D:$AM, 10, FALSE), 1)</f>
        <v>3.2150937700683971E-3</v>
      </c>
      <c r="N8" s="7">
        <f>$B8 * IFERROR(VLOOKUP("electricity|SO2|Asthma symptoms wheeze", US_national_yearly!$D:$AM, 22, FALSE) / VLOOKUP("electricity|SO2|Asthma symptoms wheeze", US_national_yearly!$D:$AM, 10, FALSE), 1)</f>
        <v>3.2150937700683971E-3</v>
      </c>
      <c r="O8" s="7">
        <f>$B8 * IFERROR(VLOOKUP("electricity|SO2|Asthma symptoms wheeze", US_national_yearly!$D:$AM, 23, FALSE) / VLOOKUP("electricity|SO2|Asthma symptoms wheeze", US_national_yearly!$D:$AM, 10, FALSE), 1)</f>
        <v>3.2150937700683971E-3</v>
      </c>
      <c r="P8" s="7">
        <f>$B8 * IFERROR(VLOOKUP("electricity|SO2|Asthma symptoms wheeze", US_national_yearly!$D:$AM, 24, FALSE) / VLOOKUP("electricity|SO2|Asthma symptoms wheeze", US_national_yearly!$D:$AM, 10, FALSE), 1)</f>
        <v>3.2150937700683971E-3</v>
      </c>
      <c r="Q8" s="7">
        <f>$B8 * IFERROR(VLOOKUP("electricity|SO2|Asthma symptoms wheeze", US_national_yearly!$D:$AM, 25, FALSE) / VLOOKUP("electricity|SO2|Asthma symptoms wheeze", US_national_yearly!$D:$AM, 10, FALSE), 1)</f>
        <v>3.2150937700683971E-3</v>
      </c>
      <c r="R8" s="7">
        <f>$B8 * IFERROR(VLOOKUP("electricity|SO2|Asthma symptoms wheeze", US_national_yearly!$D:$AM, 26, FALSE) / VLOOKUP("electricity|SO2|Asthma symptoms wheeze", US_national_yearly!$D:$AM, 10, FALSE), 1)</f>
        <v>3.2150937700683971E-3</v>
      </c>
      <c r="S8" s="7">
        <f>$B8 * IFERROR(VLOOKUP("electricity|SO2|Asthma symptoms wheeze", US_national_yearly!$D:$AM, 27, FALSE) / VLOOKUP("electricity|SO2|Asthma symptoms wheeze", US_national_yearly!$D:$AM, 10, FALSE), 1)</f>
        <v>3.2150937700683971E-3</v>
      </c>
      <c r="T8" s="7">
        <f>$B8 * IFERROR(VLOOKUP("electricity|SO2|Asthma symptoms wheeze", US_national_yearly!$D:$AM, 28, FALSE) / VLOOKUP("electricity|SO2|Asthma symptoms wheeze", US_national_yearly!$D:$AM, 10, FALSE), 1)</f>
        <v>3.2150937700683971E-3</v>
      </c>
      <c r="U8" s="7">
        <f>$B8 * IFERROR(VLOOKUP("electricity|SO2|Asthma symptoms wheeze", US_national_yearly!$D:$AM, 29, FALSE) / VLOOKUP("electricity|SO2|Asthma symptoms wheeze", US_national_yearly!$D:$AM, 10, FALSE), 1)</f>
        <v>3.2150937700683971E-3</v>
      </c>
      <c r="V8" s="7">
        <f>$B8 * IFERROR(VLOOKUP("electricity|SO2|Asthma symptoms wheeze", US_national_yearly!$D:$AM, 30, FALSE) / VLOOKUP("electricity|SO2|Asthma symptoms wheeze", US_national_yearly!$D:$AM, 10, FALSE), 1)</f>
        <v>3.2150937700683971E-3</v>
      </c>
      <c r="W8" s="7">
        <f>$B8 * IFERROR(VLOOKUP("electricity|SO2|Asthma symptoms wheeze", US_national_yearly!$D:$AM, 31, FALSE) / VLOOKUP("electricity|SO2|Asthma symptoms wheeze", US_national_yearly!$D:$AM, 10, FALSE), 1)</f>
        <v>3.2150937700683971E-3</v>
      </c>
      <c r="X8" s="7">
        <f>$B8 * IFERROR(VLOOKUP("electricity|SO2|Asthma symptoms wheeze", US_national_yearly!$D:$AM, 32, FALSE) / VLOOKUP("electricity|SO2|Asthma symptoms wheeze", US_national_yearly!$D:$AM, 10, FALSE), 1)</f>
        <v>3.2150937700683971E-3</v>
      </c>
      <c r="Y8" s="7">
        <f>$B8 * IFERROR(VLOOKUP("electricity|SO2|Asthma symptoms wheeze", US_national_yearly!$D:$AM, 33, FALSE) / VLOOKUP("electricity|SO2|Asthma symptoms wheeze", US_national_yearly!$D:$AM, 10, FALSE), 1)</f>
        <v>3.2150937700683971E-3</v>
      </c>
      <c r="Z8" s="7">
        <f>$B8 * IFERROR(VLOOKUP("electricity|SO2|Asthma symptoms wheeze", US_national_yearly!$D:$AM, 34, FALSE) / VLOOKUP("electricity|SO2|Asthma symptoms wheeze", US_national_yearly!$D:$AM, 10, FALSE), 1)</f>
        <v>3.2150937700683971E-3</v>
      </c>
      <c r="AA8" s="7">
        <f>$B8 * IFERROR(VLOOKUP("electricity|SO2|Asthma symptoms wheeze", US_national_yearly!$D:$AM, 35, FALSE) / VLOOKUP("electricity|SO2|Asthma symptoms wheeze", US_national_yearly!$D:$AM, 10, FALSE), 1)</f>
        <v>3.2150937700683971E-3</v>
      </c>
      <c r="AB8" s="7">
        <f>$B8 * IFERROR(VLOOKUP("electricity|SO2|Asthma symptoms wheeze", US_national_yearly!$D:$AM, 36, FALSE) / VLOOKUP("electricity|SO2|Asthma symptoms wheeze", US_national_yearly!$D:$AM, 10, FALSE), 1)</f>
        <v>3.2150937700683971E-3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3.5727558558958287E-5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3.593798069244694E-5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3.6148402825935599E-5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3.6358824959424252E-5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3.6569247092912918E-5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3.6798543158205183E-5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3.7027839223497454E-5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3.7248425389290517E-5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3.7469011555083594E-5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3.7689597720876664E-5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3.7910183886669727E-5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3.8130770052462797E-5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3.8288987774442132E-5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3.8447205496421481E-5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3.8605423218400823E-5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3.8763640940380158E-5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3.8921858662359506E-5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3.9071192902391122E-5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3.9220527142422751E-5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3.9369861382454367E-5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3.9519195622485989E-5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3.9668529862517618E-5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3.9811790222173608E-5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3.9955050581829625E-5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4.0098310941485635E-5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4.0241571301141631E-5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4.0384831660797641E-5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2.4040211872617843E-4</v>
      </c>
      <c r="C13" s="7">
        <f>$B13 * IFERROR(VLOOKUP("electricity|SO2|Non-fatal heart attacks", US_national_yearly!$D:$AM, 11, FALSE) / VLOOKUP("electricity|SO2|Non-fatal heart attacks", US_national_yearly!$D:$AM, 10, FALSE), 1)</f>
        <v>2.4748330004643003E-4</v>
      </c>
      <c r="D13" s="7">
        <f>$B13 * IFERROR(VLOOKUP("electricity|SO2|Non-fatal heart attacks", US_national_yearly!$D:$AM, 12, FALSE) / VLOOKUP("electricity|SO2|Non-fatal heart attacks", US_national_yearly!$D:$AM, 10, FALSE), 1)</f>
        <v>2.5456448136668158E-4</v>
      </c>
      <c r="E13" s="7">
        <f>$B13 * IFERROR(VLOOKUP("electricity|SO2|Non-fatal heart attacks", US_national_yearly!$D:$AM, 13, FALSE) / VLOOKUP("electricity|SO2|Non-fatal heart attacks", US_national_yearly!$D:$AM, 10, FALSE), 1)</f>
        <v>2.6164566268693318E-4</v>
      </c>
      <c r="F13" s="7">
        <f>$B13 * IFERROR(VLOOKUP("electricity|SO2|Non-fatal heart attacks", US_national_yearly!$D:$AM, 14, FALSE) / VLOOKUP("electricity|SO2|Non-fatal heart attacks", US_national_yearly!$D:$AM, 10, FALSE), 1)</f>
        <v>2.6872684400718473E-4</v>
      </c>
      <c r="G13" s="7">
        <f>$B13 * IFERROR(VLOOKUP("electricity|SO2|Non-fatal heart attacks", US_national_yearly!$D:$AM, 15, FALSE) / VLOOKUP("electricity|SO2|Non-fatal heart attacks", US_national_yearly!$D:$AM, 10, FALSE), 1)</f>
        <v>2.7544709753723757E-4</v>
      </c>
      <c r="H13" s="7">
        <f>$B13 * IFERROR(VLOOKUP("electricity|SO2|Non-fatal heart attacks", US_national_yearly!$D:$AM, 16, FALSE) / VLOOKUP("electricity|SO2|Non-fatal heart attacks", US_national_yearly!$D:$AM, 10, FALSE), 1)</f>
        <v>2.8216735106729042E-4</v>
      </c>
      <c r="I13" s="7">
        <f>$B13 * IFERROR(VLOOKUP("electricity|SO2|Non-fatal heart attacks", US_national_yearly!$D:$AM, 17, FALSE) / VLOOKUP("electricity|SO2|Non-fatal heart attacks", US_national_yearly!$D:$AM, 10, FALSE), 1)</f>
        <v>2.8764022835538937E-4</v>
      </c>
      <c r="J13" s="7">
        <f>$B13 * IFERROR(VLOOKUP("electricity|SO2|Non-fatal heart attacks", US_national_yearly!$D:$AM, 18, FALSE) / VLOOKUP("electricity|SO2|Non-fatal heart attacks", US_national_yearly!$D:$AM, 10, FALSE), 1)</f>
        <v>2.9311310564348827E-4</v>
      </c>
      <c r="K13" s="7">
        <f>$B13 * IFERROR(VLOOKUP("electricity|SO2|Non-fatal heart attacks", US_national_yearly!$D:$AM, 19, FALSE) / VLOOKUP("electricity|SO2|Non-fatal heart attacks", US_national_yearly!$D:$AM, 10, FALSE), 1)</f>
        <v>2.9858598293158723E-4</v>
      </c>
      <c r="L13" s="7">
        <f>$B13 * IFERROR(VLOOKUP("electricity|SO2|Non-fatal heart attacks", US_national_yearly!$D:$AM, 20, FALSE) / VLOOKUP("electricity|SO2|Non-fatal heart attacks", US_national_yearly!$D:$AM, 10, FALSE), 1)</f>
        <v>3.0405886021968607E-4</v>
      </c>
      <c r="M13" s="7">
        <f>$B13 * IFERROR(VLOOKUP("electricity|SO2|Non-fatal heart attacks", US_national_yearly!$D:$AM, 21, FALSE) / VLOOKUP("electricity|SO2|Non-fatal heart attacks", US_national_yearly!$D:$AM, 10, FALSE), 1)</f>
        <v>3.0953173750778503E-4</v>
      </c>
      <c r="N13" s="7">
        <f>$B13 * IFERROR(VLOOKUP("electricity|SO2|Non-fatal heart attacks", US_national_yearly!$D:$AM, 22, FALSE) / VLOOKUP("electricity|SO2|Non-fatal heart attacks", US_national_yearly!$D:$AM, 10, FALSE), 1)</f>
        <v>3.1314084242472568E-4</v>
      </c>
      <c r="O13" s="7">
        <f>$B13 * IFERROR(VLOOKUP("electricity|SO2|Non-fatal heart attacks", US_national_yearly!$D:$AM, 23, FALSE) / VLOOKUP("electricity|SO2|Non-fatal heart attacks", US_national_yearly!$D:$AM, 10, FALSE), 1)</f>
        <v>3.1674994734166628E-4</v>
      </c>
      <c r="P13" s="7">
        <f>$B13 * IFERROR(VLOOKUP("electricity|SO2|Non-fatal heart attacks", US_national_yearly!$D:$AM, 24, FALSE) / VLOOKUP("electricity|SO2|Non-fatal heart attacks", US_national_yearly!$D:$AM, 10, FALSE), 1)</f>
        <v>3.2035905225860693E-4</v>
      </c>
      <c r="Q13" s="7">
        <f>$B13 * IFERROR(VLOOKUP("electricity|SO2|Non-fatal heart attacks", US_national_yearly!$D:$AM, 25, FALSE) / VLOOKUP("electricity|SO2|Non-fatal heart attacks", US_national_yearly!$D:$AM, 10, FALSE), 1)</f>
        <v>3.2396815717554759E-4</v>
      </c>
      <c r="R13" s="7">
        <f>$B13 * IFERROR(VLOOKUP("electricity|SO2|Non-fatal heart attacks", US_national_yearly!$D:$AM, 26, FALSE) / VLOOKUP("electricity|SO2|Non-fatal heart attacks", US_national_yearly!$D:$AM, 10, FALSE), 1)</f>
        <v>3.2757726209248824E-4</v>
      </c>
      <c r="S13" s="7">
        <f>$B13 * IFERROR(VLOOKUP("electricity|SO2|Non-fatal heart attacks", US_national_yearly!$D:$AM, 27, FALSE) / VLOOKUP("electricity|SO2|Non-fatal heart attacks", US_national_yearly!$D:$AM, 10, FALSE), 1)</f>
        <v>3.2954125110232712E-4</v>
      </c>
      <c r="T13" s="7">
        <f>$B13 * IFERROR(VLOOKUP("electricity|SO2|Non-fatal heart attacks", US_national_yearly!$D:$AM, 28, FALSE) / VLOOKUP("electricity|SO2|Non-fatal heart attacks", US_national_yearly!$D:$AM, 10, FALSE), 1)</f>
        <v>3.3150524011216605E-4</v>
      </c>
      <c r="U13" s="7">
        <f>$B13 * IFERROR(VLOOKUP("electricity|SO2|Non-fatal heart attacks", US_national_yearly!$D:$AM, 29, FALSE) / VLOOKUP("electricity|SO2|Non-fatal heart attacks", US_national_yearly!$D:$AM, 10, FALSE), 1)</f>
        <v>3.3346922912200498E-4</v>
      </c>
      <c r="V13" s="7">
        <f>$B13 * IFERROR(VLOOKUP("electricity|SO2|Non-fatal heart attacks", US_national_yearly!$D:$AM, 30, FALSE) / VLOOKUP("electricity|SO2|Non-fatal heart attacks", US_national_yearly!$D:$AM, 10, FALSE), 1)</f>
        <v>3.354332181318438E-4</v>
      </c>
      <c r="W13" s="7">
        <f>$B13 * IFERROR(VLOOKUP("electricity|SO2|Non-fatal heart attacks", US_national_yearly!$D:$AM, 31, FALSE) / VLOOKUP("electricity|SO2|Non-fatal heart attacks", US_national_yearly!$D:$AM, 10, FALSE), 1)</f>
        <v>3.3739720714168268E-4</v>
      </c>
      <c r="X13" s="7">
        <f>$B13 * IFERROR(VLOOKUP("electricity|SO2|Non-fatal heart attacks", US_national_yearly!$D:$AM, 32, FALSE) / VLOOKUP("electricity|SO2|Non-fatal heart attacks", US_national_yearly!$D:$AM, 10, FALSE), 1)</f>
        <v>3.3890587858118949E-4</v>
      </c>
      <c r="Y13" s="7">
        <f>$B13 * IFERROR(VLOOKUP("electricity|SO2|Non-fatal heart attacks", US_national_yearly!$D:$AM, 33, FALSE) / VLOOKUP("electricity|SO2|Non-fatal heart attacks", US_national_yearly!$D:$AM, 10, FALSE), 1)</f>
        <v>3.4041455002069629E-4</v>
      </c>
      <c r="Z13" s="7">
        <f>$B13 * IFERROR(VLOOKUP("electricity|SO2|Non-fatal heart attacks", US_national_yearly!$D:$AM, 34, FALSE) / VLOOKUP("electricity|SO2|Non-fatal heart attacks", US_national_yearly!$D:$AM, 10, FALSE), 1)</f>
        <v>3.4192322146020299E-4</v>
      </c>
      <c r="AA13" s="7">
        <f>$B13 * IFERROR(VLOOKUP("electricity|SO2|Non-fatal heart attacks", US_national_yearly!$D:$AM, 35, FALSE) / VLOOKUP("electricity|SO2|Non-fatal heart attacks", US_national_yearly!$D:$AM, 10, FALSE), 1)</f>
        <v>3.4343189289970974E-4</v>
      </c>
      <c r="AB13" s="7">
        <f>$B13 * IFERROR(VLOOKUP("electricity|SO2|Non-fatal heart attacks", US_national_yearly!$D:$AM, 36, FALSE) / VLOOKUP("electricity|SO2|Non-fatal heart attacks", US_national_yearly!$D:$AM, 10, FALSE), 1)</f>
        <v>3.4494056433921649E-4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0.19736256166000496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0.19785852433613241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0.19835448701225988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0.19885044968838739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0.19934641236451481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0.20006297120762886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0.20077953005074292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0.20200848363539847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0.20323743722005408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0.20446639080470963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0.20569534438936526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0.20692429797402082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0.20861674457929535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0.21030919118456987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0.21200163778984438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0.21369408439511892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0.21538653100039343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0.21712155559956575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0.2188565801987381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0.2205916047979104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0.22232662939708275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0.22406165399625511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0.2255882854892709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0.22711491698228667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0.22864154847530244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0.23016817996831823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0.231694811461334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3.3501897425305287E-2</v>
      </c>
      <c r="C15" s="7">
        <f>$B15 * IFERROR(VLOOKUP("electricity|SO2|Work loss days", US_national_yearly!$D:$AM, 11, FALSE) / VLOOKUP("electricity|SO2|Work loss days", US_national_yearly!$D:$AM, 10, FALSE), 1)</f>
        <v>3.3610377582372071E-2</v>
      </c>
      <c r="D15" s="7">
        <f>$B15 * IFERROR(VLOOKUP("electricity|SO2|Work loss days", US_national_yearly!$D:$AM, 12, FALSE) / VLOOKUP("electricity|SO2|Work loss days", US_national_yearly!$D:$AM, 10, FALSE), 1)</f>
        <v>3.3718857739438862E-2</v>
      </c>
      <c r="E15" s="7">
        <f>$B15 * IFERROR(VLOOKUP("electricity|SO2|Work loss days", US_national_yearly!$D:$AM, 13, FALSE) / VLOOKUP("electricity|SO2|Work loss days", US_national_yearly!$D:$AM, 10, FALSE), 1)</f>
        <v>3.3827337896505653E-2</v>
      </c>
      <c r="F15" s="7">
        <f>$B15 * IFERROR(VLOOKUP("electricity|SO2|Work loss days", US_national_yearly!$D:$AM, 14, FALSE) / VLOOKUP("electricity|SO2|Work loss days", US_national_yearly!$D:$AM, 10, FALSE), 1)</f>
        <v>3.3935818053572438E-2</v>
      </c>
      <c r="G15" s="7">
        <f>$B15 * IFERROR(VLOOKUP("electricity|SO2|Work loss days", US_national_yearly!$D:$AM, 15, FALSE) / VLOOKUP("electricity|SO2|Work loss days", US_national_yearly!$D:$AM, 10, FALSE), 1)</f>
        <v>3.4074787856633856E-2</v>
      </c>
      <c r="H15" s="7">
        <f>$B15 * IFERROR(VLOOKUP("electricity|SO2|Work loss days", US_national_yearly!$D:$AM, 16, FALSE) / VLOOKUP("electricity|SO2|Work loss days", US_national_yearly!$D:$AM, 10, FALSE), 1)</f>
        <v>3.4213757659695268E-2</v>
      </c>
      <c r="I15" s="7">
        <f>$B15 * IFERROR(VLOOKUP("electricity|SO2|Work loss days", US_national_yearly!$D:$AM, 17, FALSE) / VLOOKUP("electricity|SO2|Work loss days", US_national_yearly!$D:$AM, 10, FALSE), 1)</f>
        <v>3.4417086828461264E-2</v>
      </c>
      <c r="J15" s="7">
        <f>$B15 * IFERROR(VLOOKUP("electricity|SO2|Work loss days", US_national_yearly!$D:$AM, 18, FALSE) / VLOOKUP("electricity|SO2|Work loss days", US_national_yearly!$D:$AM, 10, FALSE), 1)</f>
        <v>3.4620415997227254E-2</v>
      </c>
      <c r="K15" s="7">
        <f>$B15 * IFERROR(VLOOKUP("electricity|SO2|Work loss days", US_national_yearly!$D:$AM, 19, FALSE) / VLOOKUP("electricity|SO2|Work loss days", US_national_yearly!$D:$AM, 10, FALSE), 1)</f>
        <v>3.4823745165993257E-2</v>
      </c>
      <c r="L15" s="7">
        <f>$B15 * IFERROR(VLOOKUP("electricity|SO2|Work loss days", US_national_yearly!$D:$AM, 20, FALSE) / VLOOKUP("electricity|SO2|Work loss days", US_national_yearly!$D:$AM, 10, FALSE), 1)</f>
        <v>3.5027074334759246E-2</v>
      </c>
      <c r="M15" s="7">
        <f>$B15 * IFERROR(VLOOKUP("electricity|SO2|Work loss days", US_national_yearly!$D:$AM, 21, FALSE) / VLOOKUP("electricity|SO2|Work loss days", US_national_yearly!$D:$AM, 10, FALSE), 1)</f>
        <v>3.523040350352525E-2</v>
      </c>
      <c r="N15" s="7">
        <f>$B15 * IFERROR(VLOOKUP("electricity|SO2|Work loss days", US_national_yearly!$D:$AM, 22, FALSE) / VLOOKUP("electricity|SO2|Work loss days", US_national_yearly!$D:$AM, 10, FALSE), 1)</f>
        <v>3.5487665468807522E-2</v>
      </c>
      <c r="O15" s="7">
        <f>$B15 * IFERROR(VLOOKUP("electricity|SO2|Work loss days", US_national_yearly!$D:$AM, 23, FALSE) / VLOOKUP("electricity|SO2|Work loss days", US_national_yearly!$D:$AM, 10, FALSE), 1)</f>
        <v>3.5744927434089808E-2</v>
      </c>
      <c r="P15" s="7">
        <f>$B15 * IFERROR(VLOOKUP("electricity|SO2|Work loss days", US_national_yearly!$D:$AM, 24, FALSE) / VLOOKUP("electricity|SO2|Work loss days", US_national_yearly!$D:$AM, 10, FALSE), 1)</f>
        <v>3.6002189399372088E-2</v>
      </c>
      <c r="Q15" s="7">
        <f>$B15 * IFERROR(VLOOKUP("electricity|SO2|Work loss days", US_national_yearly!$D:$AM, 25, FALSE) / VLOOKUP("electricity|SO2|Work loss days", US_national_yearly!$D:$AM, 10, FALSE), 1)</f>
        <v>3.6259451364654367E-2</v>
      </c>
      <c r="R15" s="7">
        <f>$B15 * IFERROR(VLOOKUP("electricity|SO2|Work loss days", US_national_yearly!$D:$AM, 26, FALSE) / VLOOKUP("electricity|SO2|Work loss days", US_national_yearly!$D:$AM, 10, FALSE), 1)</f>
        <v>3.6516713329936647E-2</v>
      </c>
      <c r="S15" s="7">
        <f>$B15 * IFERROR(VLOOKUP("electricity|SO2|Work loss days", US_national_yearly!$D:$AM, 27, FALSE) / VLOOKUP("electricity|SO2|Work loss days", US_national_yearly!$D:$AM, 10, FALSE), 1)</f>
        <v>3.6805127999949179E-2</v>
      </c>
      <c r="T15" s="7">
        <f>$B15 * IFERROR(VLOOKUP("electricity|SO2|Work loss days", US_national_yearly!$D:$AM, 28, FALSE) / VLOOKUP("electricity|SO2|Work loss days", US_national_yearly!$D:$AM, 10, FALSE), 1)</f>
        <v>3.7093542669961725E-2</v>
      </c>
      <c r="U15" s="7">
        <f>$B15 * IFERROR(VLOOKUP("electricity|SO2|Work loss days", US_national_yearly!$D:$AM, 29, FALSE) / VLOOKUP("electricity|SO2|Work loss days", US_national_yearly!$D:$AM, 10, FALSE), 1)</f>
        <v>3.7381957339974264E-2</v>
      </c>
      <c r="V15" s="7">
        <f>$B15 * IFERROR(VLOOKUP("electricity|SO2|Work loss days", US_national_yearly!$D:$AM, 30, FALSE) / VLOOKUP("electricity|SO2|Work loss days", US_national_yearly!$D:$AM, 10, FALSE), 1)</f>
        <v>3.7670372009986804E-2</v>
      </c>
      <c r="W15" s="7">
        <f>$B15 * IFERROR(VLOOKUP("electricity|SO2|Work loss days", US_national_yearly!$D:$AM, 31, FALSE) / VLOOKUP("electricity|SO2|Work loss days", US_national_yearly!$D:$AM, 10, FALSE), 1)</f>
        <v>3.7958786679999343E-2</v>
      </c>
      <c r="X15" s="7">
        <f>$B15 * IFERROR(VLOOKUP("electricity|SO2|Work loss days", US_national_yearly!$D:$AM, 32, FALSE) / VLOOKUP("electricity|SO2|Work loss days", US_national_yearly!$D:$AM, 10, FALSE), 1)</f>
        <v>3.8218619771775722E-2</v>
      </c>
      <c r="Y15" s="7">
        <f>$B15 * IFERROR(VLOOKUP("electricity|SO2|Work loss days", US_national_yearly!$D:$AM, 33, FALSE) / VLOOKUP("electricity|SO2|Work loss days", US_national_yearly!$D:$AM, 10, FALSE), 1)</f>
        <v>3.8478452863552108E-2</v>
      </c>
      <c r="Z15" s="7">
        <f>$B15 * IFERROR(VLOOKUP("electricity|SO2|Work loss days", US_national_yearly!$D:$AM, 34, FALSE) / VLOOKUP("electricity|SO2|Work loss days", US_national_yearly!$D:$AM, 10, FALSE), 1)</f>
        <v>3.873828595532848E-2</v>
      </c>
      <c r="AA15" s="7">
        <f>$B15 * IFERROR(VLOOKUP("electricity|SO2|Work loss days", US_national_yearly!$D:$AM, 35, FALSE) / VLOOKUP("electricity|SO2|Work loss days", US_national_yearly!$D:$AM, 10, FALSE), 1)</f>
        <v>3.8998119047104859E-2</v>
      </c>
      <c r="AB15" s="7">
        <f>$B15 * IFERROR(VLOOKUP("electricity|SO2|Work loss days", US_national_yearly!$D:$AM, 36, FALSE) / VLOOKUP("electricity|SO2|Work loss days", US_national_yearly!$D:$AM, 10, FALSE), 1)</f>
        <v>3.9257952138881239E-2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6.1956656506849725E-5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6.3834115427484369E-5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6.5711574348119027E-5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6.7589033268753684E-5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6.9466492189388328E-5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7.1276242954288239E-5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7.3085993719188163E-5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7.4652768323646624E-5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7.6219542928105085E-5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7.7786317532563533E-5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7.9353092137021981E-5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8.0919866741480443E-5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8.1989186231819913E-5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8.3058505722159371E-5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8.4127825212498855E-5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8.5197144702838312E-5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8.6266464193177783E-5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8.685268472703885E-5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8.7438905260899905E-5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8.8025125794760959E-5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8.8611346328622013E-5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8.9197566862483067E-5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8.9602227757433275E-5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9.0006888652383456E-5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9.041154954733365E-5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9.0816210442283844E-5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9.1220871337234025E-5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3.1281119852191556E-2</v>
      </c>
      <c r="C2" s="7">
        <f>$B2 * IFERROR(VLOOKUP("buildings|PM25|Premature mortality", US_national_yearly!$D:$AM, 11, FALSE) / VLOOKUP("buildings|PM25|Premature mortality", US_national_yearly!$D:$AM, 10, FALSE), 1)</f>
        <v>3.1669218087597879E-2</v>
      </c>
      <c r="D2" s="7">
        <f>$B2 * IFERROR(VLOOKUP("buildings|PM25|Premature mortality", US_national_yearly!$D:$AM, 12, FALSE) / VLOOKUP("buildings|PM25|Premature mortality", US_national_yearly!$D:$AM, 10, FALSE), 1)</f>
        <v>3.2057316323004195E-2</v>
      </c>
      <c r="E2" s="7">
        <f>$B2 * IFERROR(VLOOKUP("buildings|PM25|Premature mortality", US_national_yearly!$D:$AM, 13, FALSE) / VLOOKUP("buildings|PM25|Premature mortality", US_national_yearly!$D:$AM, 10, FALSE), 1)</f>
        <v>3.2445414558410518E-2</v>
      </c>
      <c r="F2" s="7">
        <f>$B2 * IFERROR(VLOOKUP("buildings|PM25|Premature mortality", US_national_yearly!$D:$AM, 14, FALSE) / VLOOKUP("buildings|PM25|Premature mortality", US_national_yearly!$D:$AM, 10, FALSE), 1)</f>
        <v>3.2833512793816834E-2</v>
      </c>
      <c r="G2" s="7">
        <f>$B2 * IFERROR(VLOOKUP("buildings|PM25|Premature mortality", US_national_yearly!$D:$AM, 15, FALSE) / VLOOKUP("buildings|PM25|Premature mortality", US_national_yearly!$D:$AM, 10, FALSE), 1)</f>
        <v>3.3589219645876009E-2</v>
      </c>
      <c r="H2" s="7">
        <f>$B2 * IFERROR(VLOOKUP("buildings|PM25|Premature mortality", US_national_yearly!$D:$AM, 16, FALSE) / VLOOKUP("buildings|PM25|Premature mortality", US_national_yearly!$D:$AM, 10, FALSE), 1)</f>
        <v>3.4344926497935191E-2</v>
      </c>
      <c r="I2" s="7">
        <f>$B2 * IFERROR(VLOOKUP("buildings|PM25|Premature mortality", US_national_yearly!$D:$AM, 17, FALSE) / VLOOKUP("buildings|PM25|Premature mortality", US_national_yearly!$D:$AM, 10, FALSE), 1)</f>
        <v>3.4841941878212837E-2</v>
      </c>
      <c r="J2" s="7">
        <f>$B2 * IFERROR(VLOOKUP("buildings|PM25|Premature mortality", US_national_yearly!$D:$AM, 18, FALSE) / VLOOKUP("buildings|PM25|Premature mortality", US_national_yearly!$D:$AM, 10, FALSE), 1)</f>
        <v>3.5338957258490476E-2</v>
      </c>
      <c r="K2" s="7">
        <f>$B2 * IFERROR(VLOOKUP("buildings|PM25|Premature mortality", US_national_yearly!$D:$AM, 19, FALSE) / VLOOKUP("buildings|PM25|Premature mortality", US_national_yearly!$D:$AM, 10, FALSE), 1)</f>
        <v>3.5835972638768122E-2</v>
      </c>
      <c r="L2" s="7">
        <f>$B2 * IFERROR(VLOOKUP("buildings|PM25|Premature mortality", US_national_yearly!$D:$AM, 20, FALSE) / VLOOKUP("buildings|PM25|Premature mortality", US_national_yearly!$D:$AM, 10, FALSE), 1)</f>
        <v>3.6332988019045769E-2</v>
      </c>
      <c r="M2" s="7">
        <f>$B2 * IFERROR(VLOOKUP("buildings|PM25|Premature mortality", US_national_yearly!$D:$AM, 21, FALSE) / VLOOKUP("buildings|PM25|Premature mortality", US_national_yearly!$D:$AM, 10, FALSE), 1)</f>
        <v>3.6830003399323415E-2</v>
      </c>
      <c r="N2" s="7">
        <f>$B2 * IFERROR(VLOOKUP("buildings|PM25|Premature mortality", US_national_yearly!$D:$AM, 22, FALSE) / VLOOKUP("buildings|PM25|Premature mortality", US_national_yearly!$D:$AM, 10, FALSE), 1)</f>
        <v>3.721648809667933E-2</v>
      </c>
      <c r="O2" s="7">
        <f>$B2 * IFERROR(VLOOKUP("buildings|PM25|Premature mortality", US_national_yearly!$D:$AM, 23, FALSE) / VLOOKUP("buildings|PM25|Premature mortality", US_national_yearly!$D:$AM, 10, FALSE), 1)</f>
        <v>3.7602972794035253E-2</v>
      </c>
      <c r="P2" s="7">
        <f>$B2 * IFERROR(VLOOKUP("buildings|PM25|Premature mortality", US_national_yearly!$D:$AM, 24, FALSE) / VLOOKUP("buildings|PM25|Premature mortality", US_national_yearly!$D:$AM, 10, FALSE), 1)</f>
        <v>3.7989457491391168E-2</v>
      </c>
      <c r="Q2" s="7">
        <f>$B2 * IFERROR(VLOOKUP("buildings|PM25|Premature mortality", US_national_yearly!$D:$AM, 25, FALSE) / VLOOKUP("buildings|PM25|Premature mortality", US_national_yearly!$D:$AM, 10, FALSE), 1)</f>
        <v>3.8375942188747091E-2</v>
      </c>
      <c r="R2" s="7">
        <f>$B2 * IFERROR(VLOOKUP("buildings|PM25|Premature mortality", US_national_yearly!$D:$AM, 26, FALSE) / VLOOKUP("buildings|PM25|Premature mortality", US_national_yearly!$D:$AM, 10, FALSE), 1)</f>
        <v>3.8762426886103006E-2</v>
      </c>
      <c r="S2" s="7">
        <f>$B2 * IFERROR(VLOOKUP("buildings|PM25|Premature mortality", US_national_yearly!$D:$AM, 27, FALSE) / VLOOKUP("buildings|PM25|Premature mortality", US_national_yearly!$D:$AM, 10, FALSE), 1)</f>
        <v>3.8967847341652935E-2</v>
      </c>
      <c r="T2" s="7">
        <f>$B2 * IFERROR(VLOOKUP("buildings|PM25|Premature mortality", US_national_yearly!$D:$AM, 28, FALSE) / VLOOKUP("buildings|PM25|Premature mortality", US_national_yearly!$D:$AM, 10, FALSE), 1)</f>
        <v>3.9173267797202864E-2</v>
      </c>
      <c r="U2" s="7">
        <f>$B2 * IFERROR(VLOOKUP("buildings|PM25|Premature mortality", US_national_yearly!$D:$AM, 29, FALSE) / VLOOKUP("buildings|PM25|Premature mortality", US_national_yearly!$D:$AM, 10, FALSE), 1)</f>
        <v>3.9378688252752793E-2</v>
      </c>
      <c r="V2" s="7">
        <f>$B2 * IFERROR(VLOOKUP("buildings|PM25|Premature mortality", US_national_yearly!$D:$AM, 30, FALSE) / VLOOKUP("buildings|PM25|Premature mortality", US_national_yearly!$D:$AM, 10, FALSE), 1)</f>
        <v>3.9584108708302729E-2</v>
      </c>
      <c r="W2" s="7">
        <f>$B2 * IFERROR(VLOOKUP("buildings|PM25|Premature mortality", US_national_yearly!$D:$AM, 31, FALSE) / VLOOKUP("buildings|PM25|Premature mortality", US_national_yearly!$D:$AM, 10, FALSE), 1)</f>
        <v>3.9789529163852651E-2</v>
      </c>
      <c r="X2" s="7">
        <f>$B2 * IFERROR(VLOOKUP("buildings|PM25|Premature mortality", US_national_yearly!$D:$AM, 32, FALSE) / VLOOKUP("buildings|PM25|Premature mortality", US_national_yearly!$D:$AM, 10, FALSE), 1)</f>
        <v>3.9826400486474491E-2</v>
      </c>
      <c r="Y2" s="7">
        <f>$B2 * IFERROR(VLOOKUP("buildings|PM25|Premature mortality", US_national_yearly!$D:$AM, 33, FALSE) / VLOOKUP("buildings|PM25|Premature mortality", US_national_yearly!$D:$AM, 10, FALSE), 1)</f>
        <v>3.9863271809096323E-2</v>
      </c>
      <c r="Z2" s="7">
        <f>$B2 * IFERROR(VLOOKUP("buildings|PM25|Premature mortality", US_national_yearly!$D:$AM, 34, FALSE) / VLOOKUP("buildings|PM25|Premature mortality", US_national_yearly!$D:$AM, 10, FALSE), 1)</f>
        <v>3.9900143131718163E-2</v>
      </c>
      <c r="AA2" s="7">
        <f>$B2 * IFERROR(VLOOKUP("buildings|PM25|Premature mortality", US_national_yearly!$D:$AM, 35, FALSE) / VLOOKUP("buildings|PM25|Premature mortality", US_national_yearly!$D:$AM, 10, FALSE), 1)</f>
        <v>3.9937014454340003E-2</v>
      </c>
      <c r="AB2" s="7">
        <f>$B2 * IFERROR(VLOOKUP("buildings|PM25|Premature mortality", US_national_yearly!$D:$AM, 36, FALSE) / VLOOKUP("buildings|PM25|Premature mortality", US_national_yearly!$D:$AM, 10, FALSE), 1)</f>
        <v>3.9973885776961829E-2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1.1000153517350805E-4</v>
      </c>
      <c r="C3" s="7">
        <f>$B3 * IFERROR(VLOOKUP("buildings|PM25|Infant mortality", US_national_yearly!$D:$AM, 11, FALSE) / VLOOKUP("buildings|PM25|Infant mortality", US_national_yearly!$D:$AM, 10, FALSE), 1)</f>
        <v>1.0904874393472714E-4</v>
      </c>
      <c r="D3" s="7">
        <f>$B3 * IFERROR(VLOOKUP("buildings|PM25|Infant mortality", US_national_yearly!$D:$AM, 12, FALSE) / VLOOKUP("buildings|PM25|Infant mortality", US_national_yearly!$D:$AM, 10, FALSE), 1)</f>
        <v>1.0809595269594624E-4</v>
      </c>
      <c r="E3" s="7">
        <f>$B3 * IFERROR(VLOOKUP("buildings|PM25|Infant mortality", US_national_yearly!$D:$AM, 13, FALSE) / VLOOKUP("buildings|PM25|Infant mortality", US_national_yearly!$D:$AM, 10, FALSE), 1)</f>
        <v>1.0714316145716532E-4</v>
      </c>
      <c r="F3" s="7">
        <f>$B3 * IFERROR(VLOOKUP("buildings|PM25|Infant mortality", US_national_yearly!$D:$AM, 14, FALSE) / VLOOKUP("buildings|PM25|Infant mortality", US_national_yearly!$D:$AM, 10, FALSE), 1)</f>
        <v>1.0619037021838443E-4</v>
      </c>
      <c r="G3" s="7">
        <f>$B3 * IFERROR(VLOOKUP("buildings|PM25|Infant mortality", US_national_yearly!$D:$AM, 15, FALSE) / VLOOKUP("buildings|PM25|Infant mortality", US_national_yearly!$D:$AM, 10, FALSE), 1)</f>
        <v>7.0612743696177592E-5</v>
      </c>
      <c r="H3" s="7">
        <f>$B3 * IFERROR(VLOOKUP("buildings|PM25|Infant mortality", US_national_yearly!$D:$AM, 16, FALSE) / VLOOKUP("buildings|PM25|Infant mortality", US_national_yearly!$D:$AM, 10, FALSE), 1)</f>
        <v>3.5035117173970755E-5</v>
      </c>
      <c r="I3" s="7">
        <f>$B3 * IFERROR(VLOOKUP("buildings|PM25|Infant mortality", US_national_yearly!$D:$AM, 17, FALSE) / VLOOKUP("buildings|PM25|Infant mortality", US_national_yearly!$D:$AM, 10, FALSE), 1)</f>
        <v>3.4806814139141281E-5</v>
      </c>
      <c r="J3" s="7">
        <f>$B3 * IFERROR(VLOOKUP("buildings|PM25|Infant mortality", US_national_yearly!$D:$AM, 18, FALSE) / VLOOKUP("buildings|PM25|Infant mortality", US_national_yearly!$D:$AM, 10, FALSE), 1)</f>
        <v>3.45785111043118E-5</v>
      </c>
      <c r="K3" s="7">
        <f>$B3 * IFERROR(VLOOKUP("buildings|PM25|Infant mortality", US_national_yearly!$D:$AM, 19, FALSE) / VLOOKUP("buildings|PM25|Infant mortality", US_national_yearly!$D:$AM, 10, FALSE), 1)</f>
        <v>3.4350208069482327E-5</v>
      </c>
      <c r="L3" s="7">
        <f>$B3 * IFERROR(VLOOKUP("buildings|PM25|Infant mortality", US_national_yearly!$D:$AM, 20, FALSE) / VLOOKUP("buildings|PM25|Infant mortality", US_national_yearly!$D:$AM, 10, FALSE), 1)</f>
        <v>3.4121905034652853E-5</v>
      </c>
      <c r="M3" s="7">
        <f>$B3 * IFERROR(VLOOKUP("buildings|PM25|Infant mortality", US_national_yearly!$D:$AM, 21, FALSE) / VLOOKUP("buildings|PM25|Infant mortality", US_national_yearly!$D:$AM, 10, FALSE), 1)</f>
        <v>3.3893601999823372E-5</v>
      </c>
      <c r="N3" s="7">
        <f>$B3 * IFERROR(VLOOKUP("buildings|PM25|Infant mortality", US_national_yearly!$D:$AM, 22, FALSE) / VLOOKUP("buildings|PM25|Infant mortality", US_national_yearly!$D:$AM, 10, FALSE), 1)</f>
        <v>3.3750753770722292E-5</v>
      </c>
      <c r="O3" s="7">
        <f>$B3 * IFERROR(VLOOKUP("buildings|PM25|Infant mortality", US_national_yearly!$D:$AM, 23, FALSE) / VLOOKUP("buildings|PM25|Infant mortality", US_national_yearly!$D:$AM, 10, FALSE), 1)</f>
        <v>3.3607905541621212E-5</v>
      </c>
      <c r="P3" s="7">
        <f>$B3 * IFERROR(VLOOKUP("buildings|PM25|Infant mortality", US_national_yearly!$D:$AM, 24, FALSE) / VLOOKUP("buildings|PM25|Infant mortality", US_national_yearly!$D:$AM, 10, FALSE), 1)</f>
        <v>3.3465057312520133E-5</v>
      </c>
      <c r="Q3" s="7">
        <f>$B3 * IFERROR(VLOOKUP("buildings|PM25|Infant mortality", US_national_yearly!$D:$AM, 25, FALSE) / VLOOKUP("buildings|PM25|Infant mortality", US_national_yearly!$D:$AM, 10, FALSE), 1)</f>
        <v>3.3322209083419053E-5</v>
      </c>
      <c r="R3" s="7">
        <f>$B3 * IFERROR(VLOOKUP("buildings|PM25|Infant mortality", US_national_yearly!$D:$AM, 26, FALSE) / VLOOKUP("buildings|PM25|Infant mortality", US_national_yearly!$D:$AM, 10, FALSE), 1)</f>
        <v>3.3179360854317973E-5</v>
      </c>
      <c r="S3" s="7">
        <f>$B3 * IFERROR(VLOOKUP("buildings|PM25|Infant mortality", US_national_yearly!$D:$AM, 27, FALSE) / VLOOKUP("buildings|PM25|Infant mortality", US_national_yearly!$D:$AM, 10, FALSE), 1)</f>
        <v>3.3001005017672223E-5</v>
      </c>
      <c r="T3" s="7">
        <f>$B3 * IFERROR(VLOOKUP("buildings|PM25|Infant mortality", US_national_yearly!$D:$AM, 28, FALSE) / VLOOKUP("buildings|PM25|Infant mortality", US_national_yearly!$D:$AM, 10, FALSE), 1)</f>
        <v>3.2822649181026486E-5</v>
      </c>
      <c r="U3" s="7">
        <f>$B3 * IFERROR(VLOOKUP("buildings|PM25|Infant mortality", US_national_yearly!$D:$AM, 29, FALSE) / VLOOKUP("buildings|PM25|Infant mortality", US_national_yearly!$D:$AM, 10, FALSE), 1)</f>
        <v>3.2644293344380736E-5</v>
      </c>
      <c r="V3" s="7">
        <f>$B3 * IFERROR(VLOOKUP("buildings|PM25|Infant mortality", US_national_yearly!$D:$AM, 30, FALSE) / VLOOKUP("buildings|PM25|Infant mortality", US_national_yearly!$D:$AM, 10, FALSE), 1)</f>
        <v>3.2465937507734993E-5</v>
      </c>
      <c r="W3" s="7">
        <f>$B3 * IFERROR(VLOOKUP("buildings|PM25|Infant mortality", US_national_yearly!$D:$AM, 31, FALSE) / VLOOKUP("buildings|PM25|Infant mortality", US_national_yearly!$D:$AM, 10, FALSE), 1)</f>
        <v>3.2287581671089249E-5</v>
      </c>
      <c r="X3" s="7">
        <f>$B3 * IFERROR(VLOOKUP("buildings|PM25|Infant mortality", US_national_yearly!$D:$AM, 32, FALSE) / VLOOKUP("buildings|PM25|Infant mortality", US_national_yearly!$D:$AM, 10, FALSE), 1)</f>
        <v>3.2095558648942478E-5</v>
      </c>
      <c r="Y3" s="7">
        <f>$B3 * IFERROR(VLOOKUP("buildings|PM25|Infant mortality", US_national_yearly!$D:$AM, 33, FALSE) / VLOOKUP("buildings|PM25|Infant mortality", US_national_yearly!$D:$AM, 10, FALSE), 1)</f>
        <v>3.1903535626795714E-5</v>
      </c>
      <c r="Z3" s="7">
        <f>$B3 * IFERROR(VLOOKUP("buildings|PM25|Infant mortality", US_national_yearly!$D:$AM, 34, FALSE) / VLOOKUP("buildings|PM25|Infant mortality", US_national_yearly!$D:$AM, 10, FALSE), 1)</f>
        <v>3.1711512604648949E-5</v>
      </c>
      <c r="AA3" s="7">
        <f>$B3 * IFERROR(VLOOKUP("buildings|PM25|Infant mortality", US_national_yearly!$D:$AM, 35, FALSE) / VLOOKUP("buildings|PM25|Infant mortality", US_national_yearly!$D:$AM, 10, FALSE), 1)</f>
        <v>3.1519489582502178E-5</v>
      </c>
      <c r="AB3" s="7">
        <f>$B3 * IFERROR(VLOOKUP("buildings|PM25|Infant mortality", US_national_yearly!$D:$AM, 36, FALSE) / VLOOKUP("buildings|PM25|Infant mortality", US_national_yearly!$D:$AM, 10, FALSE), 1)</f>
        <v>3.132746656035542E-5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0.10358109176834054</v>
      </c>
      <c r="C6" s="7">
        <f>$B6 * IFERROR(VLOOKUP("buildings|PM25|Asthma symptoms cough", US_national_yearly!$D:$AM, 11, FALSE) / VLOOKUP("buildings|PM25|Asthma symptoms cough", US_national_yearly!$D:$AM, 10, FALSE), 1)</f>
        <v>0.10358109176834054</v>
      </c>
      <c r="D6" s="7">
        <f>$B6 * IFERROR(VLOOKUP("buildings|PM25|Asthma symptoms cough", US_national_yearly!$D:$AM, 12, FALSE) / VLOOKUP("buildings|PM25|Asthma symptoms cough", US_national_yearly!$D:$AM, 10, FALSE), 1)</f>
        <v>0.10358109176834054</v>
      </c>
      <c r="E6" s="7">
        <f>$B6 * IFERROR(VLOOKUP("buildings|PM25|Asthma symptoms cough", US_national_yearly!$D:$AM, 13, FALSE) / VLOOKUP("buildings|PM25|Asthma symptoms cough", US_national_yearly!$D:$AM, 10, FALSE), 1)</f>
        <v>0.10358109176834054</v>
      </c>
      <c r="F6" s="7">
        <f>$B6 * IFERROR(VLOOKUP("buildings|PM25|Asthma symptoms cough", US_national_yearly!$D:$AM, 14, FALSE) / VLOOKUP("buildings|PM25|Asthma symptoms cough", US_national_yearly!$D:$AM, 10, FALSE), 1)</f>
        <v>0.10358109176834054</v>
      </c>
      <c r="G6" s="7">
        <f>$B6 * IFERROR(VLOOKUP("buildings|PM25|Asthma symptoms cough", US_national_yearly!$D:$AM, 15, FALSE) / VLOOKUP("buildings|PM25|Asthma symptoms cough", US_national_yearly!$D:$AM, 10, FALSE), 1)</f>
        <v>0.10358109176834054</v>
      </c>
      <c r="H6" s="7">
        <f>$B6 * IFERROR(VLOOKUP("buildings|PM25|Asthma symptoms cough", US_national_yearly!$D:$AM, 16, FALSE) / VLOOKUP("buildings|PM25|Asthma symptoms cough", US_national_yearly!$D:$AM, 10, FALSE), 1)</f>
        <v>0.10358109176834054</v>
      </c>
      <c r="I6" s="7">
        <f>$B6 * IFERROR(VLOOKUP("buildings|PM25|Asthma symptoms cough", US_national_yearly!$D:$AM, 17, FALSE) / VLOOKUP("buildings|PM25|Asthma symptoms cough", US_national_yearly!$D:$AM, 10, FALSE), 1)</f>
        <v>0.10358109176834054</v>
      </c>
      <c r="J6" s="7">
        <f>$B6 * IFERROR(VLOOKUP("buildings|PM25|Asthma symptoms cough", US_national_yearly!$D:$AM, 18, FALSE) / VLOOKUP("buildings|PM25|Asthma symptoms cough", US_national_yearly!$D:$AM, 10, FALSE), 1)</f>
        <v>0.10358109176834054</v>
      </c>
      <c r="K6" s="7">
        <f>$B6 * IFERROR(VLOOKUP("buildings|PM25|Asthma symptoms cough", US_national_yearly!$D:$AM, 19, FALSE) / VLOOKUP("buildings|PM25|Asthma symptoms cough", US_national_yearly!$D:$AM, 10, FALSE), 1)</f>
        <v>0.10358109176834054</v>
      </c>
      <c r="L6" s="7">
        <f>$B6 * IFERROR(VLOOKUP("buildings|PM25|Asthma symptoms cough", US_national_yearly!$D:$AM, 20, FALSE) / VLOOKUP("buildings|PM25|Asthma symptoms cough", US_national_yearly!$D:$AM, 10, FALSE), 1)</f>
        <v>0.10358109176834054</v>
      </c>
      <c r="M6" s="7">
        <f>$B6 * IFERROR(VLOOKUP("buildings|PM25|Asthma symptoms cough", US_national_yearly!$D:$AM, 21, FALSE) / VLOOKUP("buildings|PM25|Asthma symptoms cough", US_national_yearly!$D:$AM, 10, FALSE), 1)</f>
        <v>0.10358109176834054</v>
      </c>
      <c r="N6" s="7">
        <f>$B6 * IFERROR(VLOOKUP("buildings|PM25|Asthma symptoms cough", US_national_yearly!$D:$AM, 22, FALSE) / VLOOKUP("buildings|PM25|Asthma symptoms cough", US_national_yearly!$D:$AM, 10, FALSE), 1)</f>
        <v>0.10358109176834054</v>
      </c>
      <c r="O6" s="7">
        <f>$B6 * IFERROR(VLOOKUP("buildings|PM25|Asthma symptoms cough", US_national_yearly!$D:$AM, 23, FALSE) / VLOOKUP("buildings|PM25|Asthma symptoms cough", US_national_yearly!$D:$AM, 10, FALSE), 1)</f>
        <v>0.10358109176834054</v>
      </c>
      <c r="P6" s="7">
        <f>$B6 * IFERROR(VLOOKUP("buildings|PM25|Asthma symptoms cough", US_national_yearly!$D:$AM, 24, FALSE) / VLOOKUP("buildings|PM25|Asthma symptoms cough", US_national_yearly!$D:$AM, 10, FALSE), 1)</f>
        <v>0.10358109176834054</v>
      </c>
      <c r="Q6" s="7">
        <f>$B6 * IFERROR(VLOOKUP("buildings|PM25|Asthma symptoms cough", US_national_yearly!$D:$AM, 25, FALSE) / VLOOKUP("buildings|PM25|Asthma symptoms cough", US_national_yearly!$D:$AM, 10, FALSE), 1)</f>
        <v>0.10358109176834054</v>
      </c>
      <c r="R6" s="7">
        <f>$B6 * IFERROR(VLOOKUP("buildings|PM25|Asthma symptoms cough", US_national_yearly!$D:$AM, 26, FALSE) / VLOOKUP("buildings|PM25|Asthma symptoms cough", US_national_yearly!$D:$AM, 10, FALSE), 1)</f>
        <v>0.10358109176834054</v>
      </c>
      <c r="S6" s="7">
        <f>$B6 * IFERROR(VLOOKUP("buildings|PM25|Asthma symptoms cough", US_national_yearly!$D:$AM, 27, FALSE) / VLOOKUP("buildings|PM25|Asthma symptoms cough", US_national_yearly!$D:$AM, 10, FALSE), 1)</f>
        <v>0.10358109176834054</v>
      </c>
      <c r="T6" s="7">
        <f>$B6 * IFERROR(VLOOKUP("buildings|PM25|Asthma symptoms cough", US_national_yearly!$D:$AM, 28, FALSE) / VLOOKUP("buildings|PM25|Asthma symptoms cough", US_national_yearly!$D:$AM, 10, FALSE), 1)</f>
        <v>0.10358109176834054</v>
      </c>
      <c r="U6" s="7">
        <f>$B6 * IFERROR(VLOOKUP("buildings|PM25|Asthma symptoms cough", US_national_yearly!$D:$AM, 29, FALSE) / VLOOKUP("buildings|PM25|Asthma symptoms cough", US_national_yearly!$D:$AM, 10, FALSE), 1)</f>
        <v>0.10358109176834054</v>
      </c>
      <c r="V6" s="7">
        <f>$B6 * IFERROR(VLOOKUP("buildings|PM25|Asthma symptoms cough", US_national_yearly!$D:$AM, 30, FALSE) / VLOOKUP("buildings|PM25|Asthma symptoms cough", US_national_yearly!$D:$AM, 10, FALSE), 1)</f>
        <v>0.10358109176834054</v>
      </c>
      <c r="W6" s="7">
        <f>$B6 * IFERROR(VLOOKUP("buildings|PM25|Asthma symptoms cough", US_national_yearly!$D:$AM, 31, FALSE) / VLOOKUP("buildings|PM25|Asthma symptoms cough", US_national_yearly!$D:$AM, 10, FALSE), 1)</f>
        <v>0.10358109176834054</v>
      </c>
      <c r="X6" s="7">
        <f>$B6 * IFERROR(VLOOKUP("buildings|PM25|Asthma symptoms cough", US_national_yearly!$D:$AM, 32, FALSE) / VLOOKUP("buildings|PM25|Asthma symptoms cough", US_national_yearly!$D:$AM, 10, FALSE), 1)</f>
        <v>0.10358109176834054</v>
      </c>
      <c r="Y6" s="7">
        <f>$B6 * IFERROR(VLOOKUP("buildings|PM25|Asthma symptoms cough", US_national_yearly!$D:$AM, 33, FALSE) / VLOOKUP("buildings|PM25|Asthma symptoms cough", US_national_yearly!$D:$AM, 10, FALSE), 1)</f>
        <v>0.10358109176834054</v>
      </c>
      <c r="Z6" s="7">
        <f>$B6 * IFERROR(VLOOKUP("buildings|PM25|Asthma symptoms cough", US_national_yearly!$D:$AM, 34, FALSE) / VLOOKUP("buildings|PM25|Asthma symptoms cough", US_national_yearly!$D:$AM, 10, FALSE), 1)</f>
        <v>0.10358109176834054</v>
      </c>
      <c r="AA6" s="7">
        <f>$B6 * IFERROR(VLOOKUP("buildings|PM25|Asthma symptoms cough", US_national_yearly!$D:$AM, 35, FALSE) / VLOOKUP("buildings|PM25|Asthma symptoms cough", US_national_yearly!$D:$AM, 10, FALSE), 1)</f>
        <v>0.10358109176834054</v>
      </c>
      <c r="AB6" s="7">
        <f>$B6 * IFERROR(VLOOKUP("buildings|PM25|Asthma symptoms cough", US_national_yearly!$D:$AM, 36, FALSE) / VLOOKUP("buildings|PM25|Asthma symptoms cough", US_national_yearly!$D:$AM, 10, FALSE), 1)</f>
        <v>0.10358109176834054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0.13948709073615026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0.13948709073615026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0.13948709073615026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0.13948709073615026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0.13948709073615026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0.13948709073615026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0.13948709073615026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0.13948709073615026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0.13948709073615026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0.13948709073615026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0.13948709073615026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0.13948709073615026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0.13948709073615026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0.13948709073615026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0.13948709073615026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0.13948709073615026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0.13948709073615026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0.13948709073615026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0.13948709073615026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0.13948709073615026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0.13948709073615026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0.13948709073615026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0.13948709073615026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0.13948709073615026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0.13948709073615026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0.13948709073615026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0.13948709073615026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0.21311220483737697</v>
      </c>
      <c r="C8" s="7">
        <f>$B8 * IFERROR(VLOOKUP("buildings|PM25|Asthma symptoms wheeze", US_national_yearly!$D:$AM, 11, FALSE) / VLOOKUP("buildings|PM25|Asthma symptoms wheeze", US_national_yearly!$D:$AM, 10, FALSE), 1)</f>
        <v>0.21311220483737697</v>
      </c>
      <c r="D8" s="7">
        <f>$B8 * IFERROR(VLOOKUP("buildings|PM25|Asthma symptoms wheeze", US_national_yearly!$D:$AM, 12, FALSE) / VLOOKUP("buildings|PM25|Asthma symptoms wheeze", US_national_yearly!$D:$AM, 10, FALSE), 1)</f>
        <v>0.21311220483737697</v>
      </c>
      <c r="E8" s="7">
        <f>$B8 * IFERROR(VLOOKUP("buildings|PM25|Asthma symptoms wheeze", US_national_yearly!$D:$AM, 13, FALSE) / VLOOKUP("buildings|PM25|Asthma symptoms wheeze", US_national_yearly!$D:$AM, 10, FALSE), 1)</f>
        <v>0.21311220483737697</v>
      </c>
      <c r="F8" s="7">
        <f>$B8 * IFERROR(VLOOKUP("buildings|PM25|Asthma symptoms wheeze", US_national_yearly!$D:$AM, 14, FALSE) / VLOOKUP("buildings|PM25|Asthma symptoms wheeze", US_national_yearly!$D:$AM, 10, FALSE), 1)</f>
        <v>0.21311220483737697</v>
      </c>
      <c r="G8" s="7">
        <f>$B8 * IFERROR(VLOOKUP("buildings|PM25|Asthma symptoms wheeze", US_national_yearly!$D:$AM, 15, FALSE) / VLOOKUP("buildings|PM25|Asthma symptoms wheeze", US_national_yearly!$D:$AM, 10, FALSE), 1)</f>
        <v>0.21311220483737697</v>
      </c>
      <c r="H8" s="7">
        <f>$B8 * IFERROR(VLOOKUP("buildings|PM25|Asthma symptoms wheeze", US_national_yearly!$D:$AM, 16, FALSE) / VLOOKUP("buildings|PM25|Asthma symptoms wheeze", US_national_yearly!$D:$AM, 10, FALSE), 1)</f>
        <v>0.21311220483737697</v>
      </c>
      <c r="I8" s="7">
        <f>$B8 * IFERROR(VLOOKUP("buildings|PM25|Asthma symptoms wheeze", US_national_yearly!$D:$AM, 17, FALSE) / VLOOKUP("buildings|PM25|Asthma symptoms wheeze", US_national_yearly!$D:$AM, 10, FALSE), 1)</f>
        <v>0.21311220483737697</v>
      </c>
      <c r="J8" s="7">
        <f>$B8 * IFERROR(VLOOKUP("buildings|PM25|Asthma symptoms wheeze", US_national_yearly!$D:$AM, 18, FALSE) / VLOOKUP("buildings|PM25|Asthma symptoms wheeze", US_national_yearly!$D:$AM, 10, FALSE), 1)</f>
        <v>0.21311220483737697</v>
      </c>
      <c r="K8" s="7">
        <f>$B8 * IFERROR(VLOOKUP("buildings|PM25|Asthma symptoms wheeze", US_national_yearly!$D:$AM, 19, FALSE) / VLOOKUP("buildings|PM25|Asthma symptoms wheeze", US_national_yearly!$D:$AM, 10, FALSE), 1)</f>
        <v>0.21311220483737697</v>
      </c>
      <c r="L8" s="7">
        <f>$B8 * IFERROR(VLOOKUP("buildings|PM25|Asthma symptoms wheeze", US_national_yearly!$D:$AM, 20, FALSE) / VLOOKUP("buildings|PM25|Asthma symptoms wheeze", US_national_yearly!$D:$AM, 10, FALSE), 1)</f>
        <v>0.21311220483737697</v>
      </c>
      <c r="M8" s="7">
        <f>$B8 * IFERROR(VLOOKUP("buildings|PM25|Asthma symptoms wheeze", US_national_yearly!$D:$AM, 21, FALSE) / VLOOKUP("buildings|PM25|Asthma symptoms wheeze", US_national_yearly!$D:$AM, 10, FALSE), 1)</f>
        <v>0.21311220483737697</v>
      </c>
      <c r="N8" s="7">
        <f>$B8 * IFERROR(VLOOKUP("buildings|PM25|Asthma symptoms wheeze", US_national_yearly!$D:$AM, 22, FALSE) / VLOOKUP("buildings|PM25|Asthma symptoms wheeze", US_national_yearly!$D:$AM, 10, FALSE), 1)</f>
        <v>0.21311220483737697</v>
      </c>
      <c r="O8" s="7">
        <f>$B8 * IFERROR(VLOOKUP("buildings|PM25|Asthma symptoms wheeze", US_national_yearly!$D:$AM, 23, FALSE) / VLOOKUP("buildings|PM25|Asthma symptoms wheeze", US_national_yearly!$D:$AM, 10, FALSE), 1)</f>
        <v>0.21311220483737697</v>
      </c>
      <c r="P8" s="7">
        <f>$B8 * IFERROR(VLOOKUP("buildings|PM25|Asthma symptoms wheeze", US_national_yearly!$D:$AM, 24, FALSE) / VLOOKUP("buildings|PM25|Asthma symptoms wheeze", US_national_yearly!$D:$AM, 10, FALSE), 1)</f>
        <v>0.21311220483737697</v>
      </c>
      <c r="Q8" s="7">
        <f>$B8 * IFERROR(VLOOKUP("buildings|PM25|Asthma symptoms wheeze", US_national_yearly!$D:$AM, 25, FALSE) / VLOOKUP("buildings|PM25|Asthma symptoms wheeze", US_national_yearly!$D:$AM, 10, FALSE), 1)</f>
        <v>0.21311220483737697</v>
      </c>
      <c r="R8" s="7">
        <f>$B8 * IFERROR(VLOOKUP("buildings|PM25|Asthma symptoms wheeze", US_national_yearly!$D:$AM, 26, FALSE) / VLOOKUP("buildings|PM25|Asthma symptoms wheeze", US_national_yearly!$D:$AM, 10, FALSE), 1)</f>
        <v>0.21311220483737697</v>
      </c>
      <c r="S8" s="7">
        <f>$B8 * IFERROR(VLOOKUP("buildings|PM25|Asthma symptoms wheeze", US_national_yearly!$D:$AM, 27, FALSE) / VLOOKUP("buildings|PM25|Asthma symptoms wheeze", US_national_yearly!$D:$AM, 10, FALSE), 1)</f>
        <v>0.21311220483737697</v>
      </c>
      <c r="T8" s="7">
        <f>$B8 * IFERROR(VLOOKUP("buildings|PM25|Asthma symptoms wheeze", US_national_yearly!$D:$AM, 28, FALSE) / VLOOKUP("buildings|PM25|Asthma symptoms wheeze", US_national_yearly!$D:$AM, 10, FALSE), 1)</f>
        <v>0.21311220483737697</v>
      </c>
      <c r="U8" s="7">
        <f>$B8 * IFERROR(VLOOKUP("buildings|PM25|Asthma symptoms wheeze", US_national_yearly!$D:$AM, 29, FALSE) / VLOOKUP("buildings|PM25|Asthma symptoms wheeze", US_national_yearly!$D:$AM, 10, FALSE), 1)</f>
        <v>0.21311220483737697</v>
      </c>
      <c r="V8" s="7">
        <f>$B8 * IFERROR(VLOOKUP("buildings|PM25|Asthma symptoms wheeze", US_national_yearly!$D:$AM, 30, FALSE) / VLOOKUP("buildings|PM25|Asthma symptoms wheeze", US_national_yearly!$D:$AM, 10, FALSE), 1)</f>
        <v>0.21311220483737697</v>
      </c>
      <c r="W8" s="7">
        <f>$B8 * IFERROR(VLOOKUP("buildings|PM25|Asthma symptoms wheeze", US_national_yearly!$D:$AM, 31, FALSE) / VLOOKUP("buildings|PM25|Asthma symptoms wheeze", US_national_yearly!$D:$AM, 10, FALSE), 1)</f>
        <v>0.21311220483737697</v>
      </c>
      <c r="X8" s="7">
        <f>$B8 * IFERROR(VLOOKUP("buildings|PM25|Asthma symptoms wheeze", US_national_yearly!$D:$AM, 32, FALSE) / VLOOKUP("buildings|PM25|Asthma symptoms wheeze", US_national_yearly!$D:$AM, 10, FALSE), 1)</f>
        <v>0.21311220483737697</v>
      </c>
      <c r="Y8" s="7">
        <f>$B8 * IFERROR(VLOOKUP("buildings|PM25|Asthma symptoms wheeze", US_national_yearly!$D:$AM, 33, FALSE) / VLOOKUP("buildings|PM25|Asthma symptoms wheeze", US_national_yearly!$D:$AM, 10, FALSE), 1)</f>
        <v>0.21311220483737697</v>
      </c>
      <c r="Z8" s="7">
        <f>$B8 * IFERROR(VLOOKUP("buildings|PM25|Asthma symptoms wheeze", US_national_yearly!$D:$AM, 34, FALSE) / VLOOKUP("buildings|PM25|Asthma symptoms wheeze", US_national_yearly!$D:$AM, 10, FALSE), 1)</f>
        <v>0.21311220483737697</v>
      </c>
      <c r="AA8" s="7">
        <f>$B8 * IFERROR(VLOOKUP("buildings|PM25|Asthma symptoms wheeze", US_national_yearly!$D:$AM, 35, FALSE) / VLOOKUP("buildings|PM25|Asthma symptoms wheeze", US_national_yearly!$D:$AM, 10, FALSE), 1)</f>
        <v>0.21311220483737697</v>
      </c>
      <c r="AB8" s="7">
        <f>$B8 * IFERROR(VLOOKUP("buildings|PM25|Asthma symptoms wheeze", US_national_yearly!$D:$AM, 36, FALSE) / VLOOKUP("buildings|PM25|Asthma symptoms wheeze", US_national_yearly!$D:$AM, 10, FALSE), 1)</f>
        <v>0.21311220483737697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2.1365937207564168E-3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2.14890940220853E-3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2.1612250836606432E-3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2.1735407651127569E-3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2.1858564465648701E-3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2.1991462078790281E-3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2.2124359691931858E-3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2.225075733973173E-3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2.2377154987531594E-3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2.2503552635331462E-3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2.2629950283131334E-3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2.2756347930931197E-3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2.2847262080208219E-3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2.293817622948524E-3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2.3029090378762261E-3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2.3120004528039274E-3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2.3210918677316296E-3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2.3297539215889353E-3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2.3384159754462419E-3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2.3470780293035477E-3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2.3557400831608535E-3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2.3644021370181601E-3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2.3727683079531963E-3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2.3811344788882334E-3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2.38950064982327E-3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2.397866820758307E-3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2.4062329916933437E-3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1.5029714855835865E-2</v>
      </c>
      <c r="C13" s="7">
        <f>$B13 * IFERROR(VLOOKUP("buildings|PM25|Non-fatal heart attacks", US_national_yearly!$D:$AM, 11, FALSE) / VLOOKUP("buildings|PM25|Non-fatal heart attacks", US_national_yearly!$D:$AM, 10, FALSE), 1)</f>
        <v>1.546687537988577E-2</v>
      </c>
      <c r="D13" s="7">
        <f>$B13 * IFERROR(VLOOKUP("buildings|PM25|Non-fatal heart attacks", US_national_yearly!$D:$AM, 12, FALSE) / VLOOKUP("buildings|PM25|Non-fatal heart attacks", US_national_yearly!$D:$AM, 10, FALSE), 1)</f>
        <v>1.5904035903935673E-2</v>
      </c>
      <c r="E13" s="7">
        <f>$B13 * IFERROR(VLOOKUP("buildings|PM25|Non-fatal heart attacks", US_national_yearly!$D:$AM, 13, FALSE) / VLOOKUP("buildings|PM25|Non-fatal heart attacks", US_national_yearly!$D:$AM, 10, FALSE), 1)</f>
        <v>1.6341196427985573E-2</v>
      </c>
      <c r="F13" s="7">
        <f>$B13 * IFERROR(VLOOKUP("buildings|PM25|Non-fatal heart attacks", US_national_yearly!$D:$AM, 14, FALSE) / VLOOKUP("buildings|PM25|Non-fatal heart attacks", US_national_yearly!$D:$AM, 10, FALSE), 1)</f>
        <v>1.6778356952035479E-2</v>
      </c>
      <c r="G13" s="7">
        <f>$B13 * IFERROR(VLOOKUP("buildings|PM25|Non-fatal heart attacks", US_national_yearly!$D:$AM, 15, FALSE) / VLOOKUP("buildings|PM25|Non-fatal heart attacks", US_national_yearly!$D:$AM, 10, FALSE), 1)</f>
        <v>1.7190842874973345E-2</v>
      </c>
      <c r="H13" s="7">
        <f>$B13 * IFERROR(VLOOKUP("buildings|PM25|Non-fatal heart attacks", US_national_yearly!$D:$AM, 16, FALSE) / VLOOKUP("buildings|PM25|Non-fatal heart attacks", US_national_yearly!$D:$AM, 10, FALSE), 1)</f>
        <v>1.7603328797911204E-2</v>
      </c>
      <c r="I13" s="7">
        <f>$B13 * IFERROR(VLOOKUP("buildings|PM25|Non-fatal heart attacks", US_national_yearly!$D:$AM, 17, FALSE) / VLOOKUP("buildings|PM25|Non-fatal heart attacks", US_national_yearly!$D:$AM, 10, FALSE), 1)</f>
        <v>1.7935205760218519E-2</v>
      </c>
      <c r="J13" s="7">
        <f>$B13 * IFERROR(VLOOKUP("buildings|PM25|Non-fatal heart attacks", US_national_yearly!$D:$AM, 18, FALSE) / VLOOKUP("buildings|PM25|Non-fatal heart attacks", US_national_yearly!$D:$AM, 10, FALSE), 1)</f>
        <v>1.8267082722525831E-2</v>
      </c>
      <c r="K13" s="7">
        <f>$B13 * IFERROR(VLOOKUP("buildings|PM25|Non-fatal heart attacks", US_national_yearly!$D:$AM, 19, FALSE) / VLOOKUP("buildings|PM25|Non-fatal heart attacks", US_national_yearly!$D:$AM, 10, FALSE), 1)</f>
        <v>1.859895968483314E-2</v>
      </c>
      <c r="L13" s="7">
        <f>$B13 * IFERROR(VLOOKUP("buildings|PM25|Non-fatal heart attacks", US_national_yearly!$D:$AM, 20, FALSE) / VLOOKUP("buildings|PM25|Non-fatal heart attacks", US_national_yearly!$D:$AM, 10, FALSE), 1)</f>
        <v>1.8930836647140452E-2</v>
      </c>
      <c r="M13" s="7">
        <f>$B13 * IFERROR(VLOOKUP("buildings|PM25|Non-fatal heart attacks", US_national_yearly!$D:$AM, 21, FALSE) / VLOOKUP("buildings|PM25|Non-fatal heart attacks", US_national_yearly!$D:$AM, 10, FALSE), 1)</f>
        <v>1.926271360944776E-2</v>
      </c>
      <c r="N13" s="7">
        <f>$B13 * IFERROR(VLOOKUP("buildings|PM25|Non-fatal heart attacks", US_national_yearly!$D:$AM, 22, FALSE) / VLOOKUP("buildings|PM25|Non-fatal heart attacks", US_national_yearly!$D:$AM, 10, FALSE), 1)</f>
        <v>1.9477111312104629E-2</v>
      </c>
      <c r="O13" s="7">
        <f>$B13 * IFERROR(VLOOKUP("buildings|PM25|Non-fatal heart attacks", US_national_yearly!$D:$AM, 23, FALSE) / VLOOKUP("buildings|PM25|Non-fatal heart attacks", US_national_yearly!$D:$AM, 10, FALSE), 1)</f>
        <v>1.9691509014761494E-2</v>
      </c>
      <c r="P13" s="7">
        <f>$B13 * IFERROR(VLOOKUP("buildings|PM25|Non-fatal heart attacks", US_national_yearly!$D:$AM, 24, FALSE) / VLOOKUP("buildings|PM25|Non-fatal heart attacks", US_national_yearly!$D:$AM, 10, FALSE), 1)</f>
        <v>1.9905906717418358E-2</v>
      </c>
      <c r="Q13" s="7">
        <f>$B13 * IFERROR(VLOOKUP("buildings|PM25|Non-fatal heart attacks", US_national_yearly!$D:$AM, 25, FALSE) / VLOOKUP("buildings|PM25|Non-fatal heart attacks", US_national_yearly!$D:$AM, 10, FALSE), 1)</f>
        <v>2.0120304420075227E-2</v>
      </c>
      <c r="R13" s="7">
        <f>$B13 * IFERROR(VLOOKUP("buildings|PM25|Non-fatal heart attacks", US_national_yearly!$D:$AM, 26, FALSE) / VLOOKUP("buildings|PM25|Non-fatal heart attacks", US_national_yearly!$D:$AM, 10, FALSE), 1)</f>
        <v>2.0334702122732091E-2</v>
      </c>
      <c r="S13" s="7">
        <f>$B13 * IFERROR(VLOOKUP("buildings|PM25|Non-fatal heart attacks", US_national_yearly!$D:$AM, 27, FALSE) / VLOOKUP("buildings|PM25|Non-fatal heart attacks", US_national_yearly!$D:$AM, 10, FALSE), 1)</f>
        <v>2.0448099113426387E-2</v>
      </c>
      <c r="T13" s="7">
        <f>$B13 * IFERROR(VLOOKUP("buildings|PM25|Non-fatal heart attacks", US_national_yearly!$D:$AM, 28, FALSE) / VLOOKUP("buildings|PM25|Non-fatal heart attacks", US_national_yearly!$D:$AM, 10, FALSE), 1)</f>
        <v>2.0561496104120686E-2</v>
      </c>
      <c r="U13" s="7">
        <f>$B13 * IFERROR(VLOOKUP("buildings|PM25|Non-fatal heart attacks", US_national_yearly!$D:$AM, 29, FALSE) / VLOOKUP("buildings|PM25|Non-fatal heart attacks", US_national_yearly!$D:$AM, 10, FALSE), 1)</f>
        <v>2.0674893094814985E-2</v>
      </c>
      <c r="V13" s="7">
        <f>$B13 * IFERROR(VLOOKUP("buildings|PM25|Non-fatal heart attacks", US_national_yearly!$D:$AM, 30, FALSE) / VLOOKUP("buildings|PM25|Non-fatal heart attacks", US_national_yearly!$D:$AM, 10, FALSE), 1)</f>
        <v>2.0788290085509281E-2</v>
      </c>
      <c r="W13" s="7">
        <f>$B13 * IFERROR(VLOOKUP("buildings|PM25|Non-fatal heart attacks", US_national_yearly!$D:$AM, 31, FALSE) / VLOOKUP("buildings|PM25|Non-fatal heart attacks", US_national_yearly!$D:$AM, 10, FALSE), 1)</f>
        <v>2.090168707620358E-2</v>
      </c>
      <c r="X13" s="7">
        <f>$B13 * IFERROR(VLOOKUP("buildings|PM25|Non-fatal heart attacks", US_national_yearly!$D:$AM, 32, FALSE) / VLOOKUP("buildings|PM25|Non-fatal heart attacks", US_national_yearly!$D:$AM, 10, FALSE), 1)</f>
        <v>2.0987990468447949E-2</v>
      </c>
      <c r="Y13" s="7">
        <f>$B13 * IFERROR(VLOOKUP("buildings|PM25|Non-fatal heart attacks", US_national_yearly!$D:$AM, 33, FALSE) / VLOOKUP("buildings|PM25|Non-fatal heart attacks", US_national_yearly!$D:$AM, 10, FALSE), 1)</f>
        <v>2.1074293860692313E-2</v>
      </c>
      <c r="Z13" s="7">
        <f>$B13 * IFERROR(VLOOKUP("buildings|PM25|Non-fatal heart attacks", US_national_yearly!$D:$AM, 34, FALSE) / VLOOKUP("buildings|PM25|Non-fatal heart attacks", US_national_yearly!$D:$AM, 10, FALSE), 1)</f>
        <v>2.1160597252936678E-2</v>
      </c>
      <c r="AA13" s="7">
        <f>$B13 * IFERROR(VLOOKUP("buildings|PM25|Non-fatal heart attacks", US_national_yearly!$D:$AM, 35, FALSE) / VLOOKUP("buildings|PM25|Non-fatal heart attacks", US_national_yearly!$D:$AM, 10, FALSE), 1)</f>
        <v>2.1246900645181043E-2</v>
      </c>
      <c r="AB13" s="7">
        <f>$B13 * IFERROR(VLOOKUP("buildings|PM25|Non-fatal heart attacks", US_national_yearly!$D:$AM, 36, FALSE) / VLOOKUP("buildings|PM25|Non-fatal heart attacks", US_national_yearly!$D:$AM, 10, FALSE), 1)</f>
        <v>2.1333204037425415E-2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13.334537529469053</v>
      </c>
      <c r="C14" s="7">
        <f>$B14 * IFERROR(VLOOKUP("buildings|PM25|Minor restricted activity days", US_national_yearly!$D:$AM, 11, FALSE) / VLOOKUP("buildings|PM25|Minor restricted activity days", US_national_yearly!$D:$AM, 10, FALSE), 1)</f>
        <v>13.36770127187177</v>
      </c>
      <c r="D14" s="7">
        <f>$B14 * IFERROR(VLOOKUP("buildings|PM25|Minor restricted activity days", US_national_yearly!$D:$AM, 12, FALSE) / VLOOKUP("buildings|PM25|Minor restricted activity days", US_national_yearly!$D:$AM, 10, FALSE), 1)</f>
        <v>13.400865014274489</v>
      </c>
      <c r="E14" s="7">
        <f>$B14 * IFERROR(VLOOKUP("buildings|PM25|Minor restricted activity days", US_national_yearly!$D:$AM, 13, FALSE) / VLOOKUP("buildings|PM25|Minor restricted activity days", US_national_yearly!$D:$AM, 10, FALSE), 1)</f>
        <v>13.434028756677206</v>
      </c>
      <c r="F14" s="7">
        <f>$B14 * IFERROR(VLOOKUP("buildings|PM25|Minor restricted activity days", US_national_yearly!$D:$AM, 14, FALSE) / VLOOKUP("buildings|PM25|Minor restricted activity days", US_national_yearly!$D:$AM, 10, FALSE), 1)</f>
        <v>13.467192499079921</v>
      </c>
      <c r="G14" s="7">
        <f>$B14 * IFERROR(VLOOKUP("buildings|PM25|Minor restricted activity days", US_national_yearly!$D:$AM, 15, FALSE) / VLOOKUP("buildings|PM25|Minor restricted activity days", US_national_yearly!$D:$AM, 10, FALSE), 1)</f>
        <v>13.515833639952495</v>
      </c>
      <c r="H14" s="7">
        <f>$B14 * IFERROR(VLOOKUP("buildings|PM25|Minor restricted activity days", US_national_yearly!$D:$AM, 16, FALSE) / VLOOKUP("buildings|PM25|Minor restricted activity days", US_national_yearly!$D:$AM, 10, FALSE), 1)</f>
        <v>13.564474780825064</v>
      </c>
      <c r="I14" s="7">
        <f>$B14 * IFERROR(VLOOKUP("buildings|PM25|Minor restricted activity days", US_national_yearly!$D:$AM, 17, FALSE) / VLOOKUP("buildings|PM25|Minor restricted activity days", US_national_yearly!$D:$AM, 10, FALSE), 1)</f>
        <v>13.647186555373365</v>
      </c>
      <c r="J14" s="7">
        <f>$B14 * IFERROR(VLOOKUP("buildings|PM25|Minor restricted activity days", US_national_yearly!$D:$AM, 18, FALSE) / VLOOKUP("buildings|PM25|Minor restricted activity days", US_national_yearly!$D:$AM, 10, FALSE), 1)</f>
        <v>13.729898329921669</v>
      </c>
      <c r="K14" s="7">
        <f>$B14 * IFERROR(VLOOKUP("buildings|PM25|Minor restricted activity days", US_national_yearly!$D:$AM, 19, FALSE) / VLOOKUP("buildings|PM25|Minor restricted activity days", US_national_yearly!$D:$AM, 10, FALSE), 1)</f>
        <v>13.812610104469963</v>
      </c>
      <c r="L14" s="7">
        <f>$B14 * IFERROR(VLOOKUP("buildings|PM25|Minor restricted activity days", US_national_yearly!$D:$AM, 20, FALSE) / VLOOKUP("buildings|PM25|Minor restricted activity days", US_national_yearly!$D:$AM, 10, FALSE), 1)</f>
        <v>13.89532187901826</v>
      </c>
      <c r="M14" s="7">
        <f>$B14 * IFERROR(VLOOKUP("buildings|PM25|Minor restricted activity days", US_national_yearly!$D:$AM, 21, FALSE) / VLOOKUP("buildings|PM25|Minor restricted activity days", US_national_yearly!$D:$AM, 10, FALSE), 1)</f>
        <v>13.978033653566555</v>
      </c>
      <c r="N14" s="7">
        <f>$B14 * IFERROR(VLOOKUP("buildings|PM25|Minor restricted activity days", US_national_yearly!$D:$AM, 22, FALSE) / VLOOKUP("buildings|PM25|Minor restricted activity days", US_national_yearly!$D:$AM, 10, FALSE), 1)</f>
        <v>14.090418999829341</v>
      </c>
      <c r="O14" s="7">
        <f>$B14 * IFERROR(VLOOKUP("buildings|PM25|Minor restricted activity days", US_national_yearly!$D:$AM, 23, FALSE) / VLOOKUP("buildings|PM25|Minor restricted activity days", US_national_yearly!$D:$AM, 10, FALSE), 1)</f>
        <v>14.202804346092121</v>
      </c>
      <c r="P14" s="7">
        <f>$B14 * IFERROR(VLOOKUP("buildings|PM25|Minor restricted activity days", US_national_yearly!$D:$AM, 24, FALSE) / VLOOKUP("buildings|PM25|Minor restricted activity days", US_national_yearly!$D:$AM, 10, FALSE), 1)</f>
        <v>14.315189692354902</v>
      </c>
      <c r="Q14" s="7">
        <f>$B14 * IFERROR(VLOOKUP("buildings|PM25|Minor restricted activity days", US_national_yearly!$D:$AM, 25, FALSE) / VLOOKUP("buildings|PM25|Minor restricted activity days", US_national_yearly!$D:$AM, 10, FALSE), 1)</f>
        <v>14.427575038617684</v>
      </c>
      <c r="R14" s="7">
        <f>$B14 * IFERROR(VLOOKUP("buildings|PM25|Minor restricted activity days", US_national_yearly!$D:$AM, 26, FALSE) / VLOOKUP("buildings|PM25|Minor restricted activity days", US_national_yearly!$D:$AM, 10, FALSE), 1)</f>
        <v>14.539960384880464</v>
      </c>
      <c r="S14" s="7">
        <f>$B14 * IFERROR(VLOOKUP("buildings|PM25|Minor restricted activity days", US_national_yearly!$D:$AM, 27, FALSE) / VLOOKUP("buildings|PM25|Minor restricted activity days", US_national_yearly!$D:$AM, 10, FALSE), 1)</f>
        <v>14.653042189213544</v>
      </c>
      <c r="T14" s="7">
        <f>$B14 * IFERROR(VLOOKUP("buildings|PM25|Minor restricted activity days", US_national_yearly!$D:$AM, 28, FALSE) / VLOOKUP("buildings|PM25|Minor restricted activity days", US_national_yearly!$D:$AM, 10, FALSE), 1)</f>
        <v>14.766123993546621</v>
      </c>
      <c r="U14" s="7">
        <f>$B14 * IFERROR(VLOOKUP("buildings|PM25|Minor restricted activity days", US_national_yearly!$D:$AM, 29, FALSE) / VLOOKUP("buildings|PM25|Minor restricted activity days", US_national_yearly!$D:$AM, 10, FALSE), 1)</f>
        <v>14.879205797879701</v>
      </c>
      <c r="V14" s="7">
        <f>$B14 * IFERROR(VLOOKUP("buildings|PM25|Minor restricted activity days", US_national_yearly!$D:$AM, 30, FALSE) / VLOOKUP("buildings|PM25|Minor restricted activity days", US_national_yearly!$D:$AM, 10, FALSE), 1)</f>
        <v>14.992287602212777</v>
      </c>
      <c r="W14" s="7">
        <f>$B14 * IFERROR(VLOOKUP("buildings|PM25|Minor restricted activity days", US_national_yearly!$D:$AM, 31, FALSE) / VLOOKUP("buildings|PM25|Minor restricted activity days", US_national_yearly!$D:$AM, 10, FALSE), 1)</f>
        <v>15.105369406545856</v>
      </c>
      <c r="X14" s="7">
        <f>$B14 * IFERROR(VLOOKUP("buildings|PM25|Minor restricted activity days", US_national_yearly!$D:$AM, 32, FALSE) / VLOOKUP("buildings|PM25|Minor restricted activity days", US_national_yearly!$D:$AM, 10, FALSE), 1)</f>
        <v>15.203558969416177</v>
      </c>
      <c r="Y14" s="7">
        <f>$B14 * IFERROR(VLOOKUP("buildings|PM25|Minor restricted activity days", US_national_yearly!$D:$AM, 33, FALSE) / VLOOKUP("buildings|PM25|Minor restricted activity days", US_national_yearly!$D:$AM, 10, FALSE), 1)</f>
        <v>15.301748532286496</v>
      </c>
      <c r="Z14" s="7">
        <f>$B14 * IFERROR(VLOOKUP("buildings|PM25|Minor restricted activity days", US_national_yearly!$D:$AM, 34, FALSE) / VLOOKUP("buildings|PM25|Minor restricted activity days", US_national_yearly!$D:$AM, 10, FALSE), 1)</f>
        <v>15.399938095156809</v>
      </c>
      <c r="AA14" s="7">
        <f>$B14 * IFERROR(VLOOKUP("buildings|PM25|Minor restricted activity days", US_national_yearly!$D:$AM, 35, FALSE) / VLOOKUP("buildings|PM25|Minor restricted activity days", US_national_yearly!$D:$AM, 10, FALSE), 1)</f>
        <v>15.498127658027126</v>
      </c>
      <c r="AB14" s="7">
        <f>$B14 * IFERROR(VLOOKUP("buildings|PM25|Minor restricted activity days", US_national_yearly!$D:$AM, 36, FALSE) / VLOOKUP("buildings|PM25|Minor restricted activity days", US_national_yearly!$D:$AM, 10, FALSE), 1)</f>
        <v>15.596317220897445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2.2714448160800949</v>
      </c>
      <c r="C15" s="7">
        <f>$B15 * IFERROR(VLOOKUP("buildings|PM25|Work loss days", US_national_yearly!$D:$AM, 11, FALSE) / VLOOKUP("buildings|PM25|Work loss days", US_national_yearly!$D:$AM, 10, FALSE), 1)</f>
        <v>2.2785730997730131</v>
      </c>
      <c r="D15" s="7">
        <f>$B15 * IFERROR(VLOOKUP("buildings|PM25|Work loss days", US_national_yearly!$D:$AM, 12, FALSE) / VLOOKUP("buildings|PM25|Work loss days", US_national_yearly!$D:$AM, 10, FALSE), 1)</f>
        <v>2.2857013834659305</v>
      </c>
      <c r="E15" s="7">
        <f>$B15 * IFERROR(VLOOKUP("buildings|PM25|Work loss days", US_national_yearly!$D:$AM, 13, FALSE) / VLOOKUP("buildings|PM25|Work loss days", US_national_yearly!$D:$AM, 10, FALSE), 1)</f>
        <v>2.292829667158848</v>
      </c>
      <c r="F15" s="7">
        <f>$B15 * IFERROR(VLOOKUP("buildings|PM25|Work loss days", US_national_yearly!$D:$AM, 14, FALSE) / VLOOKUP("buildings|PM25|Work loss days", US_national_yearly!$D:$AM, 10, FALSE), 1)</f>
        <v>2.2999579508517658</v>
      </c>
      <c r="G15" s="7">
        <f>$B15 * IFERROR(VLOOKUP("buildings|PM25|Work loss days", US_national_yearly!$D:$AM, 15, FALSE) / VLOOKUP("buildings|PM25|Work loss days", US_national_yearly!$D:$AM, 10, FALSE), 1)</f>
        <v>2.3092752564334047</v>
      </c>
      <c r="H15" s="7">
        <f>$B15 * IFERROR(VLOOKUP("buildings|PM25|Work loss days", US_national_yearly!$D:$AM, 16, FALSE) / VLOOKUP("buildings|PM25|Work loss days", US_national_yearly!$D:$AM, 10, FALSE), 1)</f>
        <v>2.318592562015044</v>
      </c>
      <c r="I15" s="7">
        <f>$B15 * IFERROR(VLOOKUP("buildings|PM25|Work loss days", US_national_yearly!$D:$AM, 17, FALSE) / VLOOKUP("buildings|PM25|Work loss days", US_national_yearly!$D:$AM, 10, FALSE), 1)</f>
        <v>2.3322765747783878</v>
      </c>
      <c r="J15" s="7">
        <f>$B15 * IFERROR(VLOOKUP("buildings|PM25|Work loss days", US_national_yearly!$D:$AM, 18, FALSE) / VLOOKUP("buildings|PM25|Work loss days", US_national_yearly!$D:$AM, 10, FALSE), 1)</f>
        <v>2.3459605875417311</v>
      </c>
      <c r="K15" s="7">
        <f>$B15 * IFERROR(VLOOKUP("buildings|PM25|Work loss days", US_national_yearly!$D:$AM, 19, FALSE) / VLOOKUP("buildings|PM25|Work loss days", US_national_yearly!$D:$AM, 10, FALSE), 1)</f>
        <v>2.3596446003050748</v>
      </c>
      <c r="L15" s="7">
        <f>$B15 * IFERROR(VLOOKUP("buildings|PM25|Work loss days", US_national_yearly!$D:$AM, 20, FALSE) / VLOOKUP("buildings|PM25|Work loss days", US_national_yearly!$D:$AM, 10, FALSE), 1)</f>
        <v>2.3733286130684186</v>
      </c>
      <c r="M15" s="7">
        <f>$B15 * IFERROR(VLOOKUP("buildings|PM25|Work loss days", US_national_yearly!$D:$AM, 21, FALSE) / VLOOKUP("buildings|PM25|Work loss days", US_national_yearly!$D:$AM, 10, FALSE), 1)</f>
        <v>2.3870126258317628</v>
      </c>
      <c r="N15" s="7">
        <f>$B15 * IFERROR(VLOOKUP("buildings|PM25|Work loss days", US_national_yearly!$D:$AM, 22, FALSE) / VLOOKUP("buildings|PM25|Work loss days", US_national_yearly!$D:$AM, 10, FALSE), 1)</f>
        <v>2.4042170620013907</v>
      </c>
      <c r="O15" s="7">
        <f>$B15 * IFERROR(VLOOKUP("buildings|PM25|Work loss days", US_national_yearly!$D:$AM, 23, FALSE) / VLOOKUP("buildings|PM25|Work loss days", US_national_yearly!$D:$AM, 10, FALSE), 1)</f>
        <v>2.4214214981710187</v>
      </c>
      <c r="P15" s="7">
        <f>$B15 * IFERROR(VLOOKUP("buildings|PM25|Work loss days", US_national_yearly!$D:$AM, 24, FALSE) / VLOOKUP("buildings|PM25|Work loss days", US_national_yearly!$D:$AM, 10, FALSE), 1)</f>
        <v>2.4386259343406467</v>
      </c>
      <c r="Q15" s="7">
        <f>$B15 * IFERROR(VLOOKUP("buildings|PM25|Work loss days", US_national_yearly!$D:$AM, 25, FALSE) / VLOOKUP("buildings|PM25|Work loss days", US_national_yearly!$D:$AM, 10, FALSE), 1)</f>
        <v>2.4558303705102742</v>
      </c>
      <c r="R15" s="7">
        <f>$B15 * IFERROR(VLOOKUP("buildings|PM25|Work loss days", US_national_yearly!$D:$AM, 26, FALSE) / VLOOKUP("buildings|PM25|Work loss days", US_national_yearly!$D:$AM, 10, FALSE), 1)</f>
        <v>2.4730348066799026</v>
      </c>
      <c r="S15" s="7">
        <f>$B15 * IFERROR(VLOOKUP("buildings|PM25|Work loss days", US_national_yearly!$D:$AM, 27, FALSE) / VLOOKUP("buildings|PM25|Work loss days", US_national_yearly!$D:$AM, 10, FALSE), 1)</f>
        <v>2.4920392446552544</v>
      </c>
      <c r="T15" s="7">
        <f>$B15 * IFERROR(VLOOKUP("buildings|PM25|Work loss days", US_national_yearly!$D:$AM, 28, FALSE) / VLOOKUP("buildings|PM25|Work loss days", US_national_yearly!$D:$AM, 10, FALSE), 1)</f>
        <v>2.5110436826306066</v>
      </c>
      <c r="U15" s="7">
        <f>$B15 * IFERROR(VLOOKUP("buildings|PM25|Work loss days", US_national_yearly!$D:$AM, 29, FALSE) / VLOOKUP("buildings|PM25|Work loss days", US_national_yearly!$D:$AM, 10, FALSE), 1)</f>
        <v>2.5300481206059584</v>
      </c>
      <c r="V15" s="7">
        <f>$B15 * IFERROR(VLOOKUP("buildings|PM25|Work loss days", US_national_yearly!$D:$AM, 30, FALSE) / VLOOKUP("buildings|PM25|Work loss days", US_national_yearly!$D:$AM, 10, FALSE), 1)</f>
        <v>2.5490525585813102</v>
      </c>
      <c r="W15" s="7">
        <f>$B15 * IFERROR(VLOOKUP("buildings|PM25|Work loss days", US_national_yearly!$D:$AM, 31, FALSE) / VLOOKUP("buildings|PM25|Work loss days", US_national_yearly!$D:$AM, 10, FALSE), 1)</f>
        <v>2.5680569965566624</v>
      </c>
      <c r="X15" s="7">
        <f>$B15 * IFERROR(VLOOKUP("buildings|PM25|Work loss days", US_national_yearly!$D:$AM, 32, FALSE) / VLOOKUP("buildings|PM25|Work loss days", US_national_yearly!$D:$AM, 10, FALSE), 1)</f>
        <v>2.5849216239580066</v>
      </c>
      <c r="Y15" s="7">
        <f>$B15 * IFERROR(VLOOKUP("buildings|PM25|Work loss days", US_national_yearly!$D:$AM, 33, FALSE) / VLOOKUP("buildings|PM25|Work loss days", US_national_yearly!$D:$AM, 10, FALSE), 1)</f>
        <v>2.6017862513593508</v>
      </c>
      <c r="Z15" s="7">
        <f>$B15 * IFERROR(VLOOKUP("buildings|PM25|Work loss days", US_national_yearly!$D:$AM, 34, FALSE) / VLOOKUP("buildings|PM25|Work loss days", US_national_yearly!$D:$AM, 10, FALSE), 1)</f>
        <v>2.618650878760695</v>
      </c>
      <c r="AA15" s="7">
        <f>$B15 * IFERROR(VLOOKUP("buildings|PM25|Work loss days", US_national_yearly!$D:$AM, 35, FALSE) / VLOOKUP("buildings|PM25|Work loss days", US_national_yearly!$D:$AM, 10, FALSE), 1)</f>
        <v>2.6355155061620392</v>
      </c>
      <c r="AB15" s="7">
        <f>$B15 * IFERROR(VLOOKUP("buildings|PM25|Work loss days", US_national_yearly!$D:$AM, 36, FALSE) / VLOOKUP("buildings|PM25|Work loss days", US_national_yearly!$D:$AM, 10, FALSE), 1)</f>
        <v>2.6523801335633834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3.871549318765244E-3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3.9872557839891899E-3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4.1029622492131362E-3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4.2186687144370807E-3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4.3343751796610271E-3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4.4452394879793446E-3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4.5561037962976621E-3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4.6510138446334507E-3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4.7459238929692393E-3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4.8408339413050288E-3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4.9357439896408183E-3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5.0306540379766087E-3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5.0940302986343545E-3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5.1574065592921003E-3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5.2207828199498461E-3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5.2841590806075927E-3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5.3475353412653385E-3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5.3812113592793314E-3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5.4148873772933235E-3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5.4485633953073173E-3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5.4822394133213093E-3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5.5159154313353031E-3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5.5386856896557585E-3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5.561455947976213E-3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5.5842262062966684E-3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5.6069964646171221E-3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5.6297667229375774E-3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1.8007961649474011E-3</v>
      </c>
      <c r="C2" s="7">
        <f>$B2 * IFERROR(VLOOKUP("buildings|NOx|Premature mortality", US_national_yearly!$D:$AM, 11, FALSE) / VLOOKUP("buildings|NOx|Premature mortality", US_national_yearly!$D:$AM, 10, FALSE), 1)</f>
        <v>1.8272835065738838E-3</v>
      </c>
      <c r="D2" s="7">
        <f>$B2 * IFERROR(VLOOKUP("buildings|NOx|Premature mortality", US_national_yearly!$D:$AM, 12, FALSE) / VLOOKUP("buildings|NOx|Premature mortality", US_national_yearly!$D:$AM, 10, FALSE), 1)</f>
        <v>1.8537708482003661E-3</v>
      </c>
      <c r="E2" s="7">
        <f>$B2 * IFERROR(VLOOKUP("buildings|NOx|Premature mortality", US_national_yearly!$D:$AM, 13, FALSE) / VLOOKUP("buildings|NOx|Premature mortality", US_national_yearly!$D:$AM, 10, FALSE), 1)</f>
        <v>1.880258189826849E-3</v>
      </c>
      <c r="F2" s="7">
        <f>$B2 * IFERROR(VLOOKUP("buildings|NOx|Premature mortality", US_national_yearly!$D:$AM, 14, FALSE) / VLOOKUP("buildings|NOx|Premature mortality", US_national_yearly!$D:$AM, 10, FALSE), 1)</f>
        <v>1.9067455314533313E-3</v>
      </c>
      <c r="G2" s="7">
        <f>$B2 * IFERROR(VLOOKUP("buildings|NOx|Premature mortality", US_national_yearly!$D:$AM, 15, FALSE) / VLOOKUP("buildings|NOx|Premature mortality", US_national_yearly!$D:$AM, 10, FALSE), 1)</f>
        <v>1.9542999078992155E-3</v>
      </c>
      <c r="H2" s="7">
        <f>$B2 * IFERROR(VLOOKUP("buildings|NOx|Premature mortality", US_national_yearly!$D:$AM, 16, FALSE) / VLOOKUP("buildings|NOx|Premature mortality", US_national_yearly!$D:$AM, 10, FALSE), 1)</f>
        <v>2.0018542843451004E-3</v>
      </c>
      <c r="I2" s="7">
        <f>$B2 * IFERROR(VLOOKUP("buildings|NOx|Premature mortality", US_national_yearly!$D:$AM, 17, FALSE) / VLOOKUP("buildings|NOx|Premature mortality", US_national_yearly!$D:$AM, 10, FALSE), 1)</f>
        <v>2.0325864840569697E-3</v>
      </c>
      <c r="J2" s="7">
        <f>$B2 * IFERROR(VLOOKUP("buildings|NOx|Premature mortality", US_national_yearly!$D:$AM, 18, FALSE) / VLOOKUP("buildings|NOx|Premature mortality", US_national_yearly!$D:$AM, 10, FALSE), 1)</f>
        <v>2.063318683768839E-3</v>
      </c>
      <c r="K2" s="7">
        <f>$B2 * IFERROR(VLOOKUP("buildings|NOx|Premature mortality", US_national_yearly!$D:$AM, 19, FALSE) / VLOOKUP("buildings|NOx|Premature mortality", US_national_yearly!$D:$AM, 10, FALSE), 1)</f>
        <v>2.0940508834807084E-3</v>
      </c>
      <c r="L2" s="7">
        <f>$B2 * IFERROR(VLOOKUP("buildings|NOx|Premature mortality", US_national_yearly!$D:$AM, 20, FALSE) / VLOOKUP("buildings|NOx|Premature mortality", US_national_yearly!$D:$AM, 10, FALSE), 1)</f>
        <v>2.1247830831925777E-3</v>
      </c>
      <c r="M2" s="7">
        <f>$B2 * IFERROR(VLOOKUP("buildings|NOx|Premature mortality", US_national_yearly!$D:$AM, 21, FALSE) / VLOOKUP("buildings|NOx|Premature mortality", US_national_yearly!$D:$AM, 10, FALSE), 1)</f>
        <v>2.1555152829044475E-3</v>
      </c>
      <c r="N2" s="7">
        <f>$B2 * IFERROR(VLOOKUP("buildings|NOx|Premature mortality", US_national_yearly!$D:$AM, 22, FALSE) / VLOOKUP("buildings|NOx|Premature mortality", US_national_yearly!$D:$AM, 10, FALSE), 1)</f>
        <v>2.1782866697478806E-3</v>
      </c>
      <c r="O2" s="7">
        <f>$B2 * IFERROR(VLOOKUP("buildings|NOx|Premature mortality", US_national_yearly!$D:$AM, 23, FALSE) / VLOOKUP("buildings|NOx|Premature mortality", US_national_yearly!$D:$AM, 10, FALSE), 1)</f>
        <v>2.2010580565913146E-3</v>
      </c>
      <c r="P2" s="7">
        <f>$B2 * IFERROR(VLOOKUP("buildings|NOx|Premature mortality", US_national_yearly!$D:$AM, 24, FALSE) / VLOOKUP("buildings|NOx|Premature mortality", US_national_yearly!$D:$AM, 10, FALSE), 1)</f>
        <v>2.2238294434347482E-3</v>
      </c>
      <c r="Q2" s="7">
        <f>$B2 * IFERROR(VLOOKUP("buildings|NOx|Premature mortality", US_national_yearly!$D:$AM, 25, FALSE) / VLOOKUP("buildings|NOx|Premature mortality", US_national_yearly!$D:$AM, 10, FALSE), 1)</f>
        <v>2.2466008302781818E-3</v>
      </c>
      <c r="R2" s="7">
        <f>$B2 * IFERROR(VLOOKUP("buildings|NOx|Premature mortality", US_national_yearly!$D:$AM, 26, FALSE) / VLOOKUP("buildings|NOx|Premature mortality", US_national_yearly!$D:$AM, 10, FALSE), 1)</f>
        <v>2.2693722171216154E-3</v>
      </c>
      <c r="S2" s="7">
        <f>$B2 * IFERROR(VLOOKUP("buildings|NOx|Premature mortality", US_national_yearly!$D:$AM, 27, FALSE) / VLOOKUP("buildings|NOx|Premature mortality", US_national_yearly!$D:$AM, 10, FALSE), 1)</f>
        <v>2.2797249873581673E-3</v>
      </c>
      <c r="T2" s="7">
        <f>$B2 * IFERROR(VLOOKUP("buildings|NOx|Premature mortality", US_national_yearly!$D:$AM, 28, FALSE) / VLOOKUP("buildings|NOx|Premature mortality", US_national_yearly!$D:$AM, 10, FALSE), 1)</f>
        <v>2.2900777575947189E-3</v>
      </c>
      <c r="U2" s="7">
        <f>$B2 * IFERROR(VLOOKUP("buildings|NOx|Premature mortality", US_national_yearly!$D:$AM, 29, FALSE) / VLOOKUP("buildings|NOx|Premature mortality", US_national_yearly!$D:$AM, 10, FALSE), 1)</f>
        <v>2.3004305278312705E-3</v>
      </c>
      <c r="V2" s="7">
        <f>$B2 * IFERROR(VLOOKUP("buildings|NOx|Premature mortality", US_national_yearly!$D:$AM, 30, FALSE) / VLOOKUP("buildings|NOx|Premature mortality", US_national_yearly!$D:$AM, 10, FALSE), 1)</f>
        <v>2.3107832980678224E-3</v>
      </c>
      <c r="W2" s="7">
        <f>$B2 * IFERROR(VLOOKUP("buildings|NOx|Premature mortality", US_national_yearly!$D:$AM, 31, FALSE) / VLOOKUP("buildings|NOx|Premature mortality", US_national_yearly!$D:$AM, 10, FALSE), 1)</f>
        <v>2.321136068304374E-3</v>
      </c>
      <c r="X2" s="7">
        <f>$B2 * IFERROR(VLOOKUP("buildings|NOx|Premature mortality", US_national_yearly!$D:$AM, 32, FALSE) / VLOOKUP("buildings|NOx|Premature mortality", US_national_yearly!$D:$AM, 10, FALSE), 1)</f>
        <v>2.3215006844328522E-3</v>
      </c>
      <c r="Y2" s="7">
        <f>$B2 * IFERROR(VLOOKUP("buildings|NOx|Premature mortality", US_national_yearly!$D:$AM, 33, FALSE) / VLOOKUP("buildings|NOx|Premature mortality", US_national_yearly!$D:$AM, 10, FALSE), 1)</f>
        <v>2.3218653005613304E-3</v>
      </c>
      <c r="Z2" s="7">
        <f>$B2 * IFERROR(VLOOKUP("buildings|NOx|Premature mortality", US_national_yearly!$D:$AM, 34, FALSE) / VLOOKUP("buildings|NOx|Premature mortality", US_national_yearly!$D:$AM, 10, FALSE), 1)</f>
        <v>2.3222299166898086E-3</v>
      </c>
      <c r="AA2" s="7">
        <f>$B2 * IFERROR(VLOOKUP("buildings|NOx|Premature mortality", US_national_yearly!$D:$AM, 35, FALSE) / VLOOKUP("buildings|NOx|Premature mortality", US_national_yearly!$D:$AM, 10, FALSE), 1)</f>
        <v>2.3225945328182863E-3</v>
      </c>
      <c r="AB2" s="7">
        <f>$B2 * IFERROR(VLOOKUP("buildings|NOx|Premature mortality", US_national_yearly!$D:$AM, 36, FALSE) / VLOOKUP("buildings|NOx|Premature mortality", US_national_yearly!$D:$AM, 10, FALSE), 1)</f>
        <v>2.322959148946765E-3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6.1952073414748109E-6</v>
      </c>
      <c r="C3" s="7">
        <f>$B3 * IFERROR(VLOOKUP("buildings|NOx|Infant mortality", US_national_yearly!$D:$AM, 11, FALSE) / VLOOKUP("buildings|NOx|Infant mortality", US_national_yearly!$D:$AM, 10, FALSE), 1)</f>
        <v>6.1363601426526498E-6</v>
      </c>
      <c r="D3" s="7">
        <f>$B3 * IFERROR(VLOOKUP("buildings|NOx|Infant mortality", US_national_yearly!$D:$AM, 12, FALSE) / VLOOKUP("buildings|NOx|Infant mortality", US_national_yearly!$D:$AM, 10, FALSE), 1)</f>
        <v>6.077512943830486E-6</v>
      </c>
      <c r="E3" s="7">
        <f>$B3 * IFERROR(VLOOKUP("buildings|NOx|Infant mortality", US_national_yearly!$D:$AM, 13, FALSE) / VLOOKUP("buildings|NOx|Infant mortality", US_national_yearly!$D:$AM, 10, FALSE), 1)</f>
        <v>6.0186657450083249E-6</v>
      </c>
      <c r="F3" s="7">
        <f>$B3 * IFERROR(VLOOKUP("buildings|NOx|Infant mortality", US_national_yearly!$D:$AM, 14, FALSE) / VLOOKUP("buildings|NOx|Infant mortality", US_national_yearly!$D:$AM, 10, FALSE), 1)</f>
        <v>5.959818546186162E-6</v>
      </c>
      <c r="G3" s="7">
        <f>$B3 * IFERROR(VLOOKUP("buildings|NOx|Infant mortality", US_national_yearly!$D:$AM, 15, FALSE) / VLOOKUP("buildings|NOx|Infant mortality", US_national_yearly!$D:$AM, 10, FALSE), 1)</f>
        <v>3.9557547469598114E-6</v>
      </c>
      <c r="H3" s="7">
        <f>$B3 * IFERROR(VLOOKUP("buildings|NOx|Infant mortality", US_national_yearly!$D:$AM, 16, FALSE) / VLOOKUP("buildings|NOx|Infant mortality", US_national_yearly!$D:$AM, 10, FALSE), 1)</f>
        <v>1.9516909477334604E-6</v>
      </c>
      <c r="I3" s="7">
        <f>$B3 * IFERROR(VLOOKUP("buildings|NOx|Infant mortality", US_national_yearly!$D:$AM, 17, FALSE) / VLOOKUP("buildings|NOx|Infant mortality", US_national_yearly!$D:$AM, 10, FALSE), 1)</f>
        <v>1.9379031131002898E-6</v>
      </c>
      <c r="J3" s="7">
        <f>$B3 * IFERROR(VLOOKUP("buildings|NOx|Infant mortality", US_national_yearly!$D:$AM, 18, FALSE) / VLOOKUP("buildings|NOx|Infant mortality", US_national_yearly!$D:$AM, 10, FALSE), 1)</f>
        <v>1.9241152784671188E-6</v>
      </c>
      <c r="K3" s="7">
        <f>$B3 * IFERROR(VLOOKUP("buildings|NOx|Infant mortality", US_national_yearly!$D:$AM, 19, FALSE) / VLOOKUP("buildings|NOx|Infant mortality", US_national_yearly!$D:$AM, 10, FALSE), 1)</f>
        <v>1.9103274438339478E-6</v>
      </c>
      <c r="L3" s="7">
        <f>$B3 * IFERROR(VLOOKUP("buildings|NOx|Infant mortality", US_national_yearly!$D:$AM, 20, FALSE) / VLOOKUP("buildings|NOx|Infant mortality", US_national_yearly!$D:$AM, 10, FALSE), 1)</f>
        <v>1.8965396092007773E-6</v>
      </c>
      <c r="M3" s="7">
        <f>$B3 * IFERROR(VLOOKUP("buildings|NOx|Infant mortality", US_national_yearly!$D:$AM, 21, FALSE) / VLOOKUP("buildings|NOx|Infant mortality", US_national_yearly!$D:$AM, 10, FALSE), 1)</f>
        <v>1.8827517745676063E-6</v>
      </c>
      <c r="N3" s="7">
        <f>$B3 * IFERROR(VLOOKUP("buildings|NOx|Infant mortality", US_national_yearly!$D:$AM, 22, FALSE) / VLOOKUP("buildings|NOx|Infant mortality", US_national_yearly!$D:$AM, 10, FALSE), 1)</f>
        <v>1.8736153485360566E-6</v>
      </c>
      <c r="O3" s="7">
        <f>$B3 * IFERROR(VLOOKUP("buildings|NOx|Infant mortality", US_national_yearly!$D:$AM, 23, FALSE) / VLOOKUP("buildings|NOx|Infant mortality", US_national_yearly!$D:$AM, 10, FALSE), 1)</f>
        <v>1.8644789225045069E-6</v>
      </c>
      <c r="P3" s="7">
        <f>$B3 * IFERROR(VLOOKUP("buildings|NOx|Infant mortality", US_national_yearly!$D:$AM, 24, FALSE) / VLOOKUP("buildings|NOx|Infant mortality", US_national_yearly!$D:$AM, 10, FALSE), 1)</f>
        <v>1.8553424964729572E-6</v>
      </c>
      <c r="Q3" s="7">
        <f>$B3 * IFERROR(VLOOKUP("buildings|NOx|Infant mortality", US_national_yearly!$D:$AM, 25, FALSE) / VLOOKUP("buildings|NOx|Infant mortality", US_national_yearly!$D:$AM, 10, FALSE), 1)</f>
        <v>1.8462060704414079E-6</v>
      </c>
      <c r="R3" s="7">
        <f>$B3 * IFERROR(VLOOKUP("buildings|NOx|Infant mortality", US_national_yearly!$D:$AM, 26, FALSE) / VLOOKUP("buildings|NOx|Infant mortality", US_national_yearly!$D:$AM, 10, FALSE), 1)</f>
        <v>1.8370696444098582E-6</v>
      </c>
      <c r="S3" s="7">
        <f>$B3 * IFERROR(VLOOKUP("buildings|NOx|Infant mortality", US_national_yearly!$D:$AM, 27, FALSE) / VLOOKUP("buildings|NOx|Infant mortality", US_national_yearly!$D:$AM, 10, FALSE), 1)</f>
        <v>1.8260791074176024E-6</v>
      </c>
      <c r="T3" s="7">
        <f>$B3 * IFERROR(VLOOKUP("buildings|NOx|Infant mortality", US_national_yearly!$D:$AM, 28, FALSE) / VLOOKUP("buildings|NOx|Infant mortality", US_national_yearly!$D:$AM, 10, FALSE), 1)</f>
        <v>1.8150885704253469E-6</v>
      </c>
      <c r="U3" s="7">
        <f>$B3 * IFERROR(VLOOKUP("buildings|NOx|Infant mortality", US_national_yearly!$D:$AM, 29, FALSE) / VLOOKUP("buildings|NOx|Infant mortality", US_national_yearly!$D:$AM, 10, FALSE), 1)</f>
        <v>1.8040980334330913E-6</v>
      </c>
      <c r="V3" s="7">
        <f>$B3 * IFERROR(VLOOKUP("buildings|NOx|Infant mortality", US_national_yearly!$D:$AM, 30, FALSE) / VLOOKUP("buildings|NOx|Infant mortality", US_national_yearly!$D:$AM, 10, FALSE), 1)</f>
        <v>1.7931074964408357E-6</v>
      </c>
      <c r="W3" s="7">
        <f>$B3 * IFERROR(VLOOKUP("buildings|NOx|Infant mortality", US_national_yearly!$D:$AM, 31, FALSE) / VLOOKUP("buildings|NOx|Infant mortality", US_national_yearly!$D:$AM, 10, FALSE), 1)</f>
        <v>1.7821169594485802E-6</v>
      </c>
      <c r="X3" s="7">
        <f>$B3 * IFERROR(VLOOKUP("buildings|NOx|Infant mortality", US_national_yearly!$D:$AM, 32, FALSE) / VLOOKUP("buildings|NOx|Infant mortality", US_national_yearly!$D:$AM, 10, FALSE), 1)</f>
        <v>1.7704880080547289E-6</v>
      </c>
      <c r="Y3" s="7">
        <f>$B3 * IFERROR(VLOOKUP("buildings|NOx|Infant mortality", US_national_yearly!$D:$AM, 33, FALSE) / VLOOKUP("buildings|NOx|Infant mortality", US_national_yearly!$D:$AM, 10, FALSE), 1)</f>
        <v>1.7588590566608777E-6</v>
      </c>
      <c r="Z3" s="7">
        <f>$B3 * IFERROR(VLOOKUP("buildings|NOx|Infant mortality", US_national_yearly!$D:$AM, 34, FALSE) / VLOOKUP("buildings|NOx|Infant mortality", US_national_yearly!$D:$AM, 10, FALSE), 1)</f>
        <v>1.7472301052670263E-6</v>
      </c>
      <c r="AA3" s="7">
        <f>$B3 * IFERROR(VLOOKUP("buildings|NOx|Infant mortality", US_national_yearly!$D:$AM, 35, FALSE) / VLOOKUP("buildings|NOx|Infant mortality", US_national_yearly!$D:$AM, 10, FALSE), 1)</f>
        <v>1.7356011538731749E-6</v>
      </c>
      <c r="AB3" s="7">
        <f>$B3 * IFERROR(VLOOKUP("buildings|NOx|Infant mortality", US_national_yearly!$D:$AM, 36, FALSE) / VLOOKUP("buildings|NOx|Infant mortality", US_national_yearly!$D:$AM, 10, FALSE), 1)</f>
        <v>1.7239722024793235E-6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5.9145824824811026E-3</v>
      </c>
      <c r="C6" s="7">
        <f>$B6 * IFERROR(VLOOKUP("buildings|NOx|Asthma symptoms cough", US_national_yearly!$D:$AM, 11, FALSE) / VLOOKUP("buildings|NOx|Asthma symptoms cough", US_national_yearly!$D:$AM, 10, FALSE), 1)</f>
        <v>5.9955251547767667E-3</v>
      </c>
      <c r="D6" s="7">
        <f>$B6 * IFERROR(VLOOKUP("buildings|NOx|Asthma symptoms cough", US_national_yearly!$D:$AM, 12, FALSE) / VLOOKUP("buildings|NOx|Asthma symptoms cough", US_national_yearly!$D:$AM, 10, FALSE), 1)</f>
        <v>6.0764678270724317E-3</v>
      </c>
      <c r="E6" s="7">
        <f>$B6 * IFERROR(VLOOKUP("buildings|NOx|Asthma symptoms cough", US_national_yearly!$D:$AM, 13, FALSE) / VLOOKUP("buildings|NOx|Asthma symptoms cough", US_national_yearly!$D:$AM, 10, FALSE), 1)</f>
        <v>6.1574104993680958E-3</v>
      </c>
      <c r="F6" s="7">
        <f>$B6 * IFERROR(VLOOKUP("buildings|NOx|Asthma symptoms cough", US_national_yearly!$D:$AM, 14, FALSE) / VLOOKUP("buildings|NOx|Asthma symptoms cough", US_national_yearly!$D:$AM, 10, FALSE), 1)</f>
        <v>6.2383531716637599E-3</v>
      </c>
      <c r="G6" s="7">
        <f>$B6 * IFERROR(VLOOKUP("buildings|NOx|Asthma symptoms cough", US_national_yearly!$D:$AM, 15, FALSE) / VLOOKUP("buildings|NOx|Asthma symptoms cough", US_national_yearly!$D:$AM, 10, FALSE), 1)</f>
        <v>6.3030415338347434E-3</v>
      </c>
      <c r="H6" s="7">
        <f>$B6 * IFERROR(VLOOKUP("buildings|NOx|Asthma symptoms cough", US_national_yearly!$D:$AM, 16, FALSE) / VLOOKUP("buildings|NOx|Asthma symptoms cough", US_national_yearly!$D:$AM, 10, FALSE), 1)</f>
        <v>6.367729896005727E-3</v>
      </c>
      <c r="I6" s="7">
        <f>$B6 * IFERROR(VLOOKUP("buildings|NOx|Asthma symptoms cough", US_national_yearly!$D:$AM, 17, FALSE) / VLOOKUP("buildings|NOx|Asthma symptoms cough", US_national_yearly!$D:$AM, 10, FALSE), 1)</f>
        <v>6.3901166275916153E-3</v>
      </c>
      <c r="J6" s="7">
        <f>$B6 * IFERROR(VLOOKUP("buildings|NOx|Asthma symptoms cough", US_national_yearly!$D:$AM, 18, FALSE) / VLOOKUP("buildings|NOx|Asthma symptoms cough", US_national_yearly!$D:$AM, 10, FALSE), 1)</f>
        <v>6.4125033591775037E-3</v>
      </c>
      <c r="K6" s="7">
        <f>$B6 * IFERROR(VLOOKUP("buildings|NOx|Asthma symptoms cough", US_national_yearly!$D:$AM, 19, FALSE) / VLOOKUP("buildings|NOx|Asthma symptoms cough", US_national_yearly!$D:$AM, 10, FALSE), 1)</f>
        <v>6.4348900907633903E-3</v>
      </c>
      <c r="L6" s="7">
        <f>$B6 * IFERROR(VLOOKUP("buildings|NOx|Asthma symptoms cough", US_national_yearly!$D:$AM, 20, FALSE) / VLOOKUP("buildings|NOx|Asthma symptoms cough", US_national_yearly!$D:$AM, 10, FALSE), 1)</f>
        <v>6.4572768223492786E-3</v>
      </c>
      <c r="M6" s="7">
        <f>$B6 * IFERROR(VLOOKUP("buildings|NOx|Asthma symptoms cough", US_national_yearly!$D:$AM, 21, FALSE) / VLOOKUP("buildings|NOx|Asthma symptoms cough", US_national_yearly!$D:$AM, 10, FALSE), 1)</f>
        <v>6.4796635539351661E-3</v>
      </c>
      <c r="N6" s="7">
        <f>$B6 * IFERROR(VLOOKUP("buildings|NOx|Asthma symptoms cough", US_national_yearly!$D:$AM, 22, FALSE) / VLOOKUP("buildings|NOx|Asthma symptoms cough", US_national_yearly!$D:$AM, 10, FALSE), 1)</f>
        <v>6.5055496072167459E-3</v>
      </c>
      <c r="O6" s="7">
        <f>$B6 * IFERROR(VLOOKUP("buildings|NOx|Asthma symptoms cough", US_national_yearly!$D:$AM, 23, FALSE) / VLOOKUP("buildings|NOx|Asthma symptoms cough", US_national_yearly!$D:$AM, 10, FALSE), 1)</f>
        <v>6.5314356604983239E-3</v>
      </c>
      <c r="P6" s="7">
        <f>$B6 * IFERROR(VLOOKUP("buildings|NOx|Asthma symptoms cough", US_national_yearly!$D:$AM, 24, FALSE) / VLOOKUP("buildings|NOx|Asthma symptoms cough", US_national_yearly!$D:$AM, 10, FALSE), 1)</f>
        <v>6.5573217137799029E-3</v>
      </c>
      <c r="Q6" s="7">
        <f>$B6 * IFERROR(VLOOKUP("buildings|NOx|Asthma symptoms cough", US_national_yearly!$D:$AM, 25, FALSE) / VLOOKUP("buildings|NOx|Asthma symptoms cough", US_national_yearly!$D:$AM, 10, FALSE), 1)</f>
        <v>6.5832077670614827E-3</v>
      </c>
      <c r="R6" s="7">
        <f>$B6 * IFERROR(VLOOKUP("buildings|NOx|Asthma symptoms cough", US_national_yearly!$D:$AM, 26, FALSE) / VLOOKUP("buildings|NOx|Asthma symptoms cough", US_national_yearly!$D:$AM, 10, FALSE), 1)</f>
        <v>6.6090938203430608E-3</v>
      </c>
      <c r="S6" s="7">
        <f>$B6 * IFERROR(VLOOKUP("buildings|NOx|Asthma symptoms cough", US_national_yearly!$D:$AM, 27, FALSE) / VLOOKUP("buildings|NOx|Asthma symptoms cough", US_national_yearly!$D:$AM, 10, FALSE), 1)</f>
        <v>6.6429015545251182E-3</v>
      </c>
      <c r="T6" s="7">
        <f>$B6 * IFERROR(VLOOKUP("buildings|NOx|Asthma symptoms cough", US_national_yearly!$D:$AM, 28, FALSE) / VLOOKUP("buildings|NOx|Asthma symptoms cough", US_national_yearly!$D:$AM, 10, FALSE), 1)</f>
        <v>6.6767092887071748E-3</v>
      </c>
      <c r="U6" s="7">
        <f>$B6 * IFERROR(VLOOKUP("buildings|NOx|Asthma symptoms cough", US_national_yearly!$D:$AM, 29, FALSE) / VLOOKUP("buildings|NOx|Asthma symptoms cough", US_national_yearly!$D:$AM, 10, FALSE), 1)</f>
        <v>6.7105170228892305E-3</v>
      </c>
      <c r="V6" s="7">
        <f>$B6 * IFERROR(VLOOKUP("buildings|NOx|Asthma symptoms cough", US_national_yearly!$D:$AM, 30, FALSE) / VLOOKUP("buildings|NOx|Asthma symptoms cough", US_national_yearly!$D:$AM, 10, FALSE), 1)</f>
        <v>6.7443247570712897E-3</v>
      </c>
      <c r="W6" s="7">
        <f>$B6 * IFERROR(VLOOKUP("buildings|NOx|Asthma symptoms cough", US_national_yearly!$D:$AM, 31, FALSE) / VLOOKUP("buildings|NOx|Asthma symptoms cough", US_national_yearly!$D:$AM, 10, FALSE), 1)</f>
        <v>6.7781324912533454E-3</v>
      </c>
      <c r="X6" s="7">
        <f>$B6 * IFERROR(VLOOKUP("buildings|NOx|Asthma symptoms cough", US_national_yearly!$D:$AM, 32, FALSE) / VLOOKUP("buildings|NOx|Asthma symptoms cough", US_national_yearly!$D:$AM, 10, FALSE), 1)</f>
        <v>6.8095445283427713E-3</v>
      </c>
      <c r="Y6" s="7">
        <f>$B6 * IFERROR(VLOOKUP("buildings|NOx|Asthma symptoms cough", US_national_yearly!$D:$AM, 33, FALSE) / VLOOKUP("buildings|NOx|Asthma symptoms cough", US_national_yearly!$D:$AM, 10, FALSE), 1)</f>
        <v>6.8409565654321989E-3</v>
      </c>
      <c r="Z6" s="7">
        <f>$B6 * IFERROR(VLOOKUP("buildings|NOx|Asthma symptoms cough", US_national_yearly!$D:$AM, 34, FALSE) / VLOOKUP("buildings|NOx|Asthma symptoms cough", US_national_yearly!$D:$AM, 10, FALSE), 1)</f>
        <v>6.8723686025216257E-3</v>
      </c>
      <c r="AA6" s="7">
        <f>$B6 * IFERROR(VLOOKUP("buildings|NOx|Asthma symptoms cough", US_national_yearly!$D:$AM, 35, FALSE) / VLOOKUP("buildings|NOx|Asthma symptoms cough", US_national_yearly!$D:$AM, 10, FALSE), 1)</f>
        <v>6.9037806396110533E-3</v>
      </c>
      <c r="AB6" s="7">
        <f>$B6 * IFERROR(VLOOKUP("buildings|NOx|Asthma symptoms cough", US_national_yearly!$D:$AM, 36, FALSE) / VLOOKUP("buildings|NOx|Asthma symptoms cough", US_national_yearly!$D:$AM, 10, FALSE), 1)</f>
        <v>6.9351926767004801E-3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7.9647915358326063E-3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8.073791877246668E-3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8.1827922186607296E-3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8.2917925600747896E-3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8.4007929014888513E-3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8.4879045985496639E-3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8.5750162956104749E-3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8.6051630808344735E-3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8.6353098660584705E-3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8.6654566512824709E-3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8.6956034365064695E-3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8.7257502217304682E-3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8.7606093206717469E-3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8.7954684196130239E-3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8.8303275185543026E-3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8.8651866174955813E-3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8.90004571643686E-3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8.9455724386447964E-3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8.9910991608527328E-3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9.0366258830606692E-3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9.0821526052686039E-3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9.1276793274765403E-3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9.1699799169796415E-3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9.2122805064827409E-3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9.2545810959858404E-3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9.2968816854889381E-3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9.3391822749920392E-3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1.2169037125994405E-2</v>
      </c>
      <c r="C8" s="7">
        <f>$B8 * IFERROR(VLOOKUP("buildings|NOx|Asthma symptoms wheeze", US_national_yearly!$D:$AM, 11, FALSE) / VLOOKUP("buildings|NOx|Asthma symptoms wheeze", US_national_yearly!$D:$AM, 10, FALSE), 1)</f>
        <v>1.2335573713750143E-2</v>
      </c>
      <c r="D8" s="7">
        <f>$B8 * IFERROR(VLOOKUP("buildings|NOx|Asthma symptoms wheeze", US_national_yearly!$D:$AM, 12, FALSE) / VLOOKUP("buildings|NOx|Asthma symptoms wheeze", US_national_yearly!$D:$AM, 10, FALSE), 1)</f>
        <v>1.2502110301505881E-2</v>
      </c>
      <c r="E8" s="7">
        <f>$B8 * IFERROR(VLOOKUP("buildings|NOx|Asthma symptoms wheeze", US_national_yearly!$D:$AM, 13, FALSE) / VLOOKUP("buildings|NOx|Asthma symptoms wheeze", US_national_yearly!$D:$AM, 10, FALSE), 1)</f>
        <v>1.2668646889261618E-2</v>
      </c>
      <c r="F8" s="7">
        <f>$B8 * IFERROR(VLOOKUP("buildings|NOx|Asthma symptoms wheeze", US_national_yearly!$D:$AM, 14, FALSE) / VLOOKUP("buildings|NOx|Asthma symptoms wheeze", US_national_yearly!$D:$AM, 10, FALSE), 1)</f>
        <v>1.283518347701736E-2</v>
      </c>
      <c r="G8" s="7">
        <f>$B8 * IFERROR(VLOOKUP("buildings|NOx|Asthma symptoms wheeze", US_national_yearly!$D:$AM, 15, FALSE) / VLOOKUP("buildings|NOx|Asthma symptoms wheeze", US_national_yearly!$D:$AM, 10, FALSE), 1)</f>
        <v>1.2968277416198463E-2</v>
      </c>
      <c r="H8" s="7">
        <f>$B8 * IFERROR(VLOOKUP("buildings|NOx|Asthma symptoms wheeze", US_national_yearly!$D:$AM, 16, FALSE) / VLOOKUP("buildings|NOx|Asthma symptoms wheeze", US_national_yearly!$D:$AM, 10, FALSE), 1)</f>
        <v>1.3101371355379565E-2</v>
      </c>
      <c r="I8" s="7">
        <f>$B8 * IFERROR(VLOOKUP("buildings|NOx|Asthma symptoms wheeze", US_national_yearly!$D:$AM, 17, FALSE) / VLOOKUP("buildings|NOx|Asthma symptoms wheeze", US_national_yearly!$D:$AM, 10, FALSE), 1)</f>
        <v>1.3147431236826861E-2</v>
      </c>
      <c r="J8" s="7">
        <f>$B8 * IFERROR(VLOOKUP("buildings|NOx|Asthma symptoms wheeze", US_national_yearly!$D:$AM, 18, FALSE) / VLOOKUP("buildings|NOx|Asthma symptoms wheeze", US_national_yearly!$D:$AM, 10, FALSE), 1)</f>
        <v>1.3193491118274154E-2</v>
      </c>
      <c r="K8" s="7">
        <f>$B8 * IFERROR(VLOOKUP("buildings|NOx|Asthma symptoms wheeze", US_national_yearly!$D:$AM, 19, FALSE) / VLOOKUP("buildings|NOx|Asthma symptoms wheeze", US_national_yearly!$D:$AM, 10, FALSE), 1)</f>
        <v>1.3239550999721449E-2</v>
      </c>
      <c r="L8" s="7">
        <f>$B8 * IFERROR(VLOOKUP("buildings|NOx|Asthma symptoms wheeze", US_national_yearly!$D:$AM, 20, FALSE) / VLOOKUP("buildings|NOx|Asthma symptoms wheeze", US_national_yearly!$D:$AM, 10, FALSE), 1)</f>
        <v>1.3285610881168742E-2</v>
      </c>
      <c r="M8" s="7">
        <f>$B8 * IFERROR(VLOOKUP("buildings|NOx|Asthma symptoms wheeze", US_national_yearly!$D:$AM, 21, FALSE) / VLOOKUP("buildings|NOx|Asthma symptoms wheeze", US_national_yearly!$D:$AM, 10, FALSE), 1)</f>
        <v>1.3331670762616038E-2</v>
      </c>
      <c r="N8" s="7">
        <f>$B8 * IFERROR(VLOOKUP("buildings|NOx|Asthma symptoms wheeze", US_national_yearly!$D:$AM, 22, FALSE) / VLOOKUP("buildings|NOx|Asthma symptoms wheeze", US_national_yearly!$D:$AM, 10, FALSE), 1)</f>
        <v>1.3384930370467127E-2</v>
      </c>
      <c r="O8" s="7">
        <f>$B8 * IFERROR(VLOOKUP("buildings|NOx|Asthma symptoms wheeze", US_national_yearly!$D:$AM, 23, FALSE) / VLOOKUP("buildings|NOx|Asthma symptoms wheeze", US_national_yearly!$D:$AM, 10, FALSE), 1)</f>
        <v>1.343818997831822E-2</v>
      </c>
      <c r="P8" s="7">
        <f>$B8 * IFERROR(VLOOKUP("buildings|NOx|Asthma symptoms wheeze", US_national_yearly!$D:$AM, 24, FALSE) / VLOOKUP("buildings|NOx|Asthma symptoms wheeze", US_national_yearly!$D:$AM, 10, FALSE), 1)</f>
        <v>1.349144958616931E-2</v>
      </c>
      <c r="Q8" s="7">
        <f>$B8 * IFERROR(VLOOKUP("buildings|NOx|Asthma symptoms wheeze", US_national_yearly!$D:$AM, 25, FALSE) / VLOOKUP("buildings|NOx|Asthma symptoms wheeze", US_national_yearly!$D:$AM, 10, FALSE), 1)</f>
        <v>1.3544709194020402E-2</v>
      </c>
      <c r="R8" s="7">
        <f>$B8 * IFERROR(VLOOKUP("buildings|NOx|Asthma symptoms wheeze", US_national_yearly!$D:$AM, 26, FALSE) / VLOOKUP("buildings|NOx|Asthma symptoms wheeze", US_national_yearly!$D:$AM, 10, FALSE), 1)</f>
        <v>1.3597968801871491E-2</v>
      </c>
      <c r="S8" s="7">
        <f>$B8 * IFERROR(VLOOKUP("buildings|NOx|Asthma symptoms wheeze", US_national_yearly!$D:$AM, 27, FALSE) / VLOOKUP("buildings|NOx|Asthma symptoms wheeze", US_national_yearly!$D:$AM, 10, FALSE), 1)</f>
        <v>1.3667526978458293E-2</v>
      </c>
      <c r="T8" s="7">
        <f>$B8 * IFERROR(VLOOKUP("buildings|NOx|Asthma symptoms wheeze", US_national_yearly!$D:$AM, 28, FALSE) / VLOOKUP("buildings|NOx|Asthma symptoms wheeze", US_national_yearly!$D:$AM, 10, FALSE), 1)</f>
        <v>1.3737085155045094E-2</v>
      </c>
      <c r="U8" s="7">
        <f>$B8 * IFERROR(VLOOKUP("buildings|NOx|Asthma symptoms wheeze", US_national_yearly!$D:$AM, 29, FALSE) / VLOOKUP("buildings|NOx|Asthma symptoms wheeze", US_national_yearly!$D:$AM, 10, FALSE), 1)</f>
        <v>1.3806643331631896E-2</v>
      </c>
      <c r="V8" s="7">
        <f>$B8 * IFERROR(VLOOKUP("buildings|NOx|Asthma symptoms wheeze", US_national_yearly!$D:$AM, 30, FALSE) / VLOOKUP("buildings|NOx|Asthma symptoms wheeze", US_national_yearly!$D:$AM, 10, FALSE), 1)</f>
        <v>1.3876201508218697E-2</v>
      </c>
      <c r="W8" s="7">
        <f>$B8 * IFERROR(VLOOKUP("buildings|NOx|Asthma symptoms wheeze", US_national_yearly!$D:$AM, 31, FALSE) / VLOOKUP("buildings|NOx|Asthma symptoms wheeze", US_national_yearly!$D:$AM, 10, FALSE), 1)</f>
        <v>1.3945759684805499E-2</v>
      </c>
      <c r="X8" s="7">
        <f>$B8 * IFERROR(VLOOKUP("buildings|NOx|Asthma symptoms wheeze", US_national_yearly!$D:$AM, 32, FALSE) / VLOOKUP("buildings|NOx|Asthma symptoms wheeze", US_national_yearly!$D:$AM, 10, FALSE), 1)</f>
        <v>1.4010388802248381E-2</v>
      </c>
      <c r="Y8" s="7">
        <f>$B8 * IFERROR(VLOOKUP("buildings|NOx|Asthma symptoms wheeze", US_national_yearly!$D:$AM, 33, FALSE) / VLOOKUP("buildings|NOx|Asthma symptoms wheeze", US_national_yearly!$D:$AM, 10, FALSE), 1)</f>
        <v>1.4075017919691261E-2</v>
      </c>
      <c r="Z8" s="7">
        <f>$B8 * IFERROR(VLOOKUP("buildings|NOx|Asthma symptoms wheeze", US_national_yearly!$D:$AM, 34, FALSE) / VLOOKUP("buildings|NOx|Asthma symptoms wheeze", US_national_yearly!$D:$AM, 10, FALSE), 1)</f>
        <v>1.4139647037134146E-2</v>
      </c>
      <c r="AA8" s="7">
        <f>$B8 * IFERROR(VLOOKUP("buildings|NOx|Asthma symptoms wheeze", US_national_yearly!$D:$AM, 35, FALSE) / VLOOKUP("buildings|NOx|Asthma symptoms wheeze", US_national_yearly!$D:$AM, 10, FALSE), 1)</f>
        <v>1.4204276154577027E-2</v>
      </c>
      <c r="AB8" s="7">
        <f>$B8 * IFERROR(VLOOKUP("buildings|NOx|Asthma symptoms wheeze", US_national_yearly!$D:$AM, 36, FALSE) / VLOOKUP("buildings|NOx|Asthma symptoms wheeze", US_national_yearly!$D:$AM, 10, FALSE), 1)</f>
        <v>1.4268905272019912E-2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1.2311512391950839E-4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1.2619107532608071E-4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1.2926702673265303E-4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1.3234297813922535E-4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1.354189295457977E-4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1.3835963269101444E-4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1.4130033583623113E-4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1.4379839387434608E-4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1.4629645191246101E-4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1.4879450995057596E-4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1.5129256798869088E-4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1.5379062602680581E-4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1.5546056408045271E-4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1.5713050213409958E-4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1.5880044018774645E-4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1.6047037824139338E-4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1.6214031629504022E-4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1.6303568650756522E-4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1.6393105672009019E-4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1.6482642693261518E-4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1.6572179714514015E-4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1.6661716735766509E-4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1.6723009051580493E-4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1.6784301367394472E-4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1.6845593683208456E-4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1.6906885999022435E-4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1.6968178314836417E-4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8.6461308864443985E-4</v>
      </c>
      <c r="C13" s="7">
        <f>$B13 * IFERROR(VLOOKUP("buildings|NOx|Non-fatal heart attacks", US_national_yearly!$D:$AM, 11, FALSE) / VLOOKUP("buildings|NOx|Non-fatal heart attacks", US_national_yearly!$D:$AM, 10, FALSE), 1)</f>
        <v>8.8934790628289137E-4</v>
      </c>
      <c r="D13" s="7">
        <f>$B13 * IFERROR(VLOOKUP("buildings|NOx|Non-fatal heart attacks", US_national_yearly!$D:$AM, 12, FALSE) / VLOOKUP("buildings|NOx|Non-fatal heart attacks", US_national_yearly!$D:$AM, 10, FALSE), 1)</f>
        <v>9.1408272392134332E-4</v>
      </c>
      <c r="E13" s="7">
        <f>$B13 * IFERROR(VLOOKUP("buildings|NOx|Non-fatal heart attacks", US_national_yearly!$D:$AM, 13, FALSE) / VLOOKUP("buildings|NOx|Non-fatal heart attacks", US_national_yearly!$D:$AM, 10, FALSE), 1)</f>
        <v>9.3881754155979494E-4</v>
      </c>
      <c r="F13" s="7">
        <f>$B13 * IFERROR(VLOOKUP("buildings|NOx|Non-fatal heart attacks", US_national_yearly!$D:$AM, 14, FALSE) / VLOOKUP("buildings|NOx|Non-fatal heart attacks", US_national_yearly!$D:$AM, 10, FALSE), 1)</f>
        <v>9.6355235919824646E-4</v>
      </c>
      <c r="G13" s="7">
        <f>$B13 * IFERROR(VLOOKUP("buildings|NOx|Non-fatal heart attacks", US_national_yearly!$D:$AM, 15, FALSE) / VLOOKUP("buildings|NOx|Non-fatal heart attacks", US_national_yearly!$D:$AM, 10, FALSE), 1)</f>
        <v>9.8667191005084452E-4</v>
      </c>
      <c r="H13" s="7">
        <f>$B13 * IFERROR(VLOOKUP("buildings|NOx|Non-fatal heart attacks", US_national_yearly!$D:$AM, 16, FALSE) / VLOOKUP("buildings|NOx|Non-fatal heart attacks", US_national_yearly!$D:$AM, 10, FALSE), 1)</f>
        <v>1.0097914609034429E-3</v>
      </c>
      <c r="I13" s="7">
        <f>$B13 * IFERROR(VLOOKUP("buildings|NOx|Non-fatal heart attacks", US_national_yearly!$D:$AM, 17, FALSE) / VLOOKUP("buildings|NOx|Non-fatal heart attacks", US_national_yearly!$D:$AM, 10, FALSE), 1)</f>
        <v>1.0280311245876468E-3</v>
      </c>
      <c r="J13" s="7">
        <f>$B13 * IFERROR(VLOOKUP("buildings|NOx|Non-fatal heart attacks", US_national_yearly!$D:$AM, 18, FALSE) / VLOOKUP("buildings|NOx|Non-fatal heart attacks", US_national_yearly!$D:$AM, 10, FALSE), 1)</f>
        <v>1.0462707882718508E-3</v>
      </c>
      <c r="K13" s="7">
        <f>$B13 * IFERROR(VLOOKUP("buildings|NOx|Non-fatal heart attacks", US_national_yearly!$D:$AM, 19, FALSE) / VLOOKUP("buildings|NOx|Non-fatal heart attacks", US_national_yearly!$D:$AM, 10, FALSE), 1)</f>
        <v>1.0645104519560551E-3</v>
      </c>
      <c r="L13" s="7">
        <f>$B13 * IFERROR(VLOOKUP("buildings|NOx|Non-fatal heart attacks", US_national_yearly!$D:$AM, 20, FALSE) / VLOOKUP("buildings|NOx|Non-fatal heart attacks", US_national_yearly!$D:$AM, 10, FALSE), 1)</f>
        <v>1.0827501156402586E-3</v>
      </c>
      <c r="M13" s="7">
        <f>$B13 * IFERROR(VLOOKUP("buildings|NOx|Non-fatal heart attacks", US_national_yearly!$D:$AM, 21, FALSE) / VLOOKUP("buildings|NOx|Non-fatal heart attacks", US_national_yearly!$D:$AM, 10, FALSE), 1)</f>
        <v>1.1009897793244627E-3</v>
      </c>
      <c r="N13" s="7">
        <f>$B13 * IFERROR(VLOOKUP("buildings|NOx|Non-fatal heart attacks", US_national_yearly!$D:$AM, 22, FALSE) / VLOOKUP("buildings|NOx|Non-fatal heart attacks", US_national_yearly!$D:$AM, 10, FALSE), 1)</f>
        <v>1.1119669618473139E-3</v>
      </c>
      <c r="O13" s="7">
        <f>$B13 * IFERROR(VLOOKUP("buildings|NOx|Non-fatal heart attacks", US_national_yearly!$D:$AM, 23, FALSE) / VLOOKUP("buildings|NOx|Non-fatal heart attacks", US_national_yearly!$D:$AM, 10, FALSE), 1)</f>
        <v>1.1229441443701645E-3</v>
      </c>
      <c r="P13" s="7">
        <f>$B13 * IFERROR(VLOOKUP("buildings|NOx|Non-fatal heart attacks", US_national_yearly!$D:$AM, 24, FALSE) / VLOOKUP("buildings|NOx|Non-fatal heart attacks", US_national_yearly!$D:$AM, 10, FALSE), 1)</f>
        <v>1.1339213268930157E-3</v>
      </c>
      <c r="Q13" s="7">
        <f>$B13 * IFERROR(VLOOKUP("buildings|NOx|Non-fatal heart attacks", US_national_yearly!$D:$AM, 25, FALSE) / VLOOKUP("buildings|NOx|Non-fatal heart attacks", US_national_yearly!$D:$AM, 10, FALSE), 1)</f>
        <v>1.1448985094158666E-3</v>
      </c>
      <c r="R13" s="7">
        <f>$B13 * IFERROR(VLOOKUP("buildings|NOx|Non-fatal heart attacks", US_national_yearly!$D:$AM, 26, FALSE) / VLOOKUP("buildings|NOx|Non-fatal heart attacks", US_national_yearly!$D:$AM, 10, FALSE), 1)</f>
        <v>1.1558756919387175E-3</v>
      </c>
      <c r="S13" s="7">
        <f>$B13 * IFERROR(VLOOKUP("buildings|NOx|Non-fatal heart attacks", US_national_yearly!$D:$AM, 27, FALSE) / VLOOKUP("buildings|NOx|Non-fatal heart attacks", US_national_yearly!$D:$AM, 10, FALSE), 1)</f>
        <v>1.1608641543136655E-3</v>
      </c>
      <c r="T13" s="7">
        <f>$B13 * IFERROR(VLOOKUP("buildings|NOx|Non-fatal heart attacks", US_national_yearly!$D:$AM, 28, FALSE) / VLOOKUP("buildings|NOx|Non-fatal heart attacks", US_national_yearly!$D:$AM, 10, FALSE), 1)</f>
        <v>1.1658526166886138E-3</v>
      </c>
      <c r="U13" s="7">
        <f>$B13 * IFERROR(VLOOKUP("buildings|NOx|Non-fatal heart attacks", US_national_yearly!$D:$AM, 29, FALSE) / VLOOKUP("buildings|NOx|Non-fatal heart attacks", US_national_yearly!$D:$AM, 10, FALSE), 1)</f>
        <v>1.1708410790635621E-3</v>
      </c>
      <c r="V13" s="7">
        <f>$B13 * IFERROR(VLOOKUP("buildings|NOx|Non-fatal heart attacks", US_national_yearly!$D:$AM, 30, FALSE) / VLOOKUP("buildings|NOx|Non-fatal heart attacks", US_national_yearly!$D:$AM, 10, FALSE), 1)</f>
        <v>1.1758295414385101E-3</v>
      </c>
      <c r="W13" s="7">
        <f>$B13 * IFERROR(VLOOKUP("buildings|NOx|Non-fatal heart attacks", US_national_yearly!$D:$AM, 31, FALSE) / VLOOKUP("buildings|NOx|Non-fatal heart attacks", US_national_yearly!$D:$AM, 10, FALSE), 1)</f>
        <v>1.1808180038134584E-3</v>
      </c>
      <c r="X13" s="7">
        <f>$B13 * IFERROR(VLOOKUP("buildings|NOx|Non-fatal heart attacks", US_national_yearly!$D:$AM, 32, FALSE) / VLOOKUP("buildings|NOx|Non-fatal heart attacks", US_national_yearly!$D:$AM, 10, FALSE), 1)</f>
        <v>1.1841548789243311E-3</v>
      </c>
      <c r="Y13" s="7">
        <f>$B13 * IFERROR(VLOOKUP("buildings|NOx|Non-fatal heart attacks", US_national_yearly!$D:$AM, 33, FALSE) / VLOOKUP("buildings|NOx|Non-fatal heart attacks", US_national_yearly!$D:$AM, 10, FALSE), 1)</f>
        <v>1.187491754035204E-3</v>
      </c>
      <c r="Z13" s="7">
        <f>$B13 * IFERROR(VLOOKUP("buildings|NOx|Non-fatal heart attacks", US_national_yearly!$D:$AM, 34, FALSE) / VLOOKUP("buildings|NOx|Non-fatal heart attacks", US_national_yearly!$D:$AM, 10, FALSE), 1)</f>
        <v>1.1908286291460769E-3</v>
      </c>
      <c r="AA13" s="7">
        <f>$B13 * IFERROR(VLOOKUP("buildings|NOx|Non-fatal heart attacks", US_national_yearly!$D:$AM, 35, FALSE) / VLOOKUP("buildings|NOx|Non-fatal heart attacks", US_national_yearly!$D:$AM, 10, FALSE), 1)</f>
        <v>1.1941655042569499E-3</v>
      </c>
      <c r="AB13" s="7">
        <f>$B13 * IFERROR(VLOOKUP("buildings|NOx|Non-fatal heart attacks", US_national_yearly!$D:$AM, 36, FALSE) / VLOOKUP("buildings|NOx|Non-fatal heart attacks", US_national_yearly!$D:$AM, 10, FALSE), 1)</f>
        <v>1.1975023793678226E-3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0.76429979100376078</v>
      </c>
      <c r="C14" s="7">
        <f>$B14 * IFERROR(VLOOKUP("buildings|NOx|Minor restricted activity days", US_national_yearly!$D:$AM, 11, FALSE) / VLOOKUP("buildings|NOx|Minor restricted activity days", US_national_yearly!$D:$AM, 10, FALSE), 1)</f>
        <v>0.7654858035279184</v>
      </c>
      <c r="D14" s="7">
        <f>$B14 * IFERROR(VLOOKUP("buildings|NOx|Minor restricted activity days", US_national_yearly!$D:$AM, 12, FALSE) / VLOOKUP("buildings|NOx|Minor restricted activity days", US_national_yearly!$D:$AM, 10, FALSE), 1)</f>
        <v>0.76667181605207591</v>
      </c>
      <c r="E14" s="7">
        <f>$B14 * IFERROR(VLOOKUP("buildings|NOx|Minor restricted activity days", US_national_yearly!$D:$AM, 13, FALSE) / VLOOKUP("buildings|NOx|Minor restricted activity days", US_national_yearly!$D:$AM, 10, FALSE), 1)</f>
        <v>0.76785782857623353</v>
      </c>
      <c r="F14" s="7">
        <f>$B14 * IFERROR(VLOOKUP("buildings|NOx|Minor restricted activity days", US_national_yearly!$D:$AM, 14, FALSE) / VLOOKUP("buildings|NOx|Minor restricted activity days", US_national_yearly!$D:$AM, 10, FALSE), 1)</f>
        <v>0.76904384110039103</v>
      </c>
      <c r="G14" s="7">
        <f>$B14 * IFERROR(VLOOKUP("buildings|NOx|Minor restricted activity days", US_national_yearly!$D:$AM, 15, FALSE) / VLOOKUP("buildings|NOx|Minor restricted activity days", US_national_yearly!$D:$AM, 10, FALSE), 1)</f>
        <v>0.77117451465814868</v>
      </c>
      <c r="H14" s="7">
        <f>$B14 * IFERROR(VLOOKUP("buildings|NOx|Minor restricted activity days", US_national_yearly!$D:$AM, 16, FALSE) / VLOOKUP("buildings|NOx|Minor restricted activity days", US_national_yearly!$D:$AM, 10, FALSE), 1)</f>
        <v>0.77330518821590621</v>
      </c>
      <c r="I14" s="7">
        <f>$B14 * IFERROR(VLOOKUP("buildings|NOx|Minor restricted activity days", US_national_yearly!$D:$AM, 17, FALSE) / VLOOKUP("buildings|NOx|Minor restricted activity days", US_national_yearly!$D:$AM, 10, FALSE), 1)</f>
        <v>0.77745939376929907</v>
      </c>
      <c r="J14" s="7">
        <f>$B14 * IFERROR(VLOOKUP("buildings|NOx|Minor restricted activity days", US_national_yearly!$D:$AM, 18, FALSE) / VLOOKUP("buildings|NOx|Minor restricted activity days", US_national_yearly!$D:$AM, 10, FALSE), 1)</f>
        <v>0.78161359932269181</v>
      </c>
      <c r="K14" s="7">
        <f>$B14 * IFERROR(VLOOKUP("buildings|NOx|Minor restricted activity days", US_national_yearly!$D:$AM, 19, FALSE) / VLOOKUP("buildings|NOx|Minor restricted activity days", US_national_yearly!$D:$AM, 10, FALSE), 1)</f>
        <v>0.78576780487608466</v>
      </c>
      <c r="L14" s="7">
        <f>$B14 * IFERROR(VLOOKUP("buildings|NOx|Minor restricted activity days", US_national_yearly!$D:$AM, 20, FALSE) / VLOOKUP("buildings|NOx|Minor restricted activity days", US_national_yearly!$D:$AM, 10, FALSE), 1)</f>
        <v>0.78992201042947741</v>
      </c>
      <c r="M14" s="7">
        <f>$B14 * IFERROR(VLOOKUP("buildings|NOx|Minor restricted activity days", US_national_yearly!$D:$AM, 21, FALSE) / VLOOKUP("buildings|NOx|Minor restricted activity days", US_national_yearly!$D:$AM, 10, FALSE), 1)</f>
        <v>0.79407621598287026</v>
      </c>
      <c r="N14" s="7">
        <f>$B14 * IFERROR(VLOOKUP("buildings|NOx|Minor restricted activity days", US_national_yearly!$D:$AM, 22, FALSE) / VLOOKUP("buildings|NOx|Minor restricted activity days", US_national_yearly!$D:$AM, 10, FALSE), 1)</f>
        <v>0.80001925686537156</v>
      </c>
      <c r="O14" s="7">
        <f>$B14 * IFERROR(VLOOKUP("buildings|NOx|Minor restricted activity days", US_national_yearly!$D:$AM, 23, FALSE) / VLOOKUP("buildings|NOx|Minor restricted activity days", US_national_yearly!$D:$AM, 10, FALSE), 1)</f>
        <v>0.80596229774787276</v>
      </c>
      <c r="P14" s="7">
        <f>$B14 * IFERROR(VLOOKUP("buildings|NOx|Minor restricted activity days", US_national_yearly!$D:$AM, 24, FALSE) / VLOOKUP("buildings|NOx|Minor restricted activity days", US_national_yearly!$D:$AM, 10, FALSE), 1)</f>
        <v>0.81190533863037417</v>
      </c>
      <c r="Q14" s="7">
        <f>$B14 * IFERROR(VLOOKUP("buildings|NOx|Minor restricted activity days", US_national_yearly!$D:$AM, 25, FALSE) / VLOOKUP("buildings|NOx|Minor restricted activity days", US_national_yearly!$D:$AM, 10, FALSE), 1)</f>
        <v>0.81784837951287526</v>
      </c>
      <c r="R14" s="7">
        <f>$B14 * IFERROR(VLOOKUP("buildings|NOx|Minor restricted activity days", US_national_yearly!$D:$AM, 26, FALSE) / VLOOKUP("buildings|NOx|Minor restricted activity days", US_national_yearly!$D:$AM, 10, FALSE), 1)</f>
        <v>0.82379142039537645</v>
      </c>
      <c r="S14" s="7">
        <f>$B14 * IFERROR(VLOOKUP("buildings|NOx|Minor restricted activity days", US_national_yearly!$D:$AM, 27, FALSE) / VLOOKUP("buildings|NOx|Minor restricted activity days", US_national_yearly!$D:$AM, 10, FALSE), 1)</f>
        <v>0.82973275043776917</v>
      </c>
      <c r="T14" s="7">
        <f>$B14 * IFERROR(VLOOKUP("buildings|NOx|Minor restricted activity days", US_national_yearly!$D:$AM, 28, FALSE) / VLOOKUP("buildings|NOx|Minor restricted activity days", US_national_yearly!$D:$AM, 10, FALSE), 1)</f>
        <v>0.83567408048016179</v>
      </c>
      <c r="U14" s="7">
        <f>$B14 * IFERROR(VLOOKUP("buildings|NOx|Minor restricted activity days", US_national_yearly!$D:$AM, 29, FALSE) / VLOOKUP("buildings|NOx|Minor restricted activity days", US_national_yearly!$D:$AM, 10, FALSE), 1)</f>
        <v>0.84161541052255462</v>
      </c>
      <c r="V14" s="7">
        <f>$B14 * IFERROR(VLOOKUP("buildings|NOx|Minor restricted activity days", US_national_yearly!$D:$AM, 30, FALSE) / VLOOKUP("buildings|NOx|Minor restricted activity days", US_national_yearly!$D:$AM, 10, FALSE), 1)</f>
        <v>0.84755674056494723</v>
      </c>
      <c r="W14" s="7">
        <f>$B14 * IFERROR(VLOOKUP("buildings|NOx|Minor restricted activity days", US_national_yearly!$D:$AM, 31, FALSE) / VLOOKUP("buildings|NOx|Minor restricted activity days", US_national_yearly!$D:$AM, 10, FALSE), 1)</f>
        <v>0.85349807060733984</v>
      </c>
      <c r="X14" s="7">
        <f>$B14 * IFERROR(VLOOKUP("buildings|NOx|Minor restricted activity days", US_national_yearly!$D:$AM, 32, FALSE) / VLOOKUP("buildings|NOx|Minor restricted activity days", US_national_yearly!$D:$AM, 10, FALSE), 1)</f>
        <v>0.85852289747551824</v>
      </c>
      <c r="Y14" s="7">
        <f>$B14 * IFERROR(VLOOKUP("buildings|NOx|Minor restricted activity days", US_national_yearly!$D:$AM, 33, FALSE) / VLOOKUP("buildings|NOx|Minor restricted activity days", US_national_yearly!$D:$AM, 10, FALSE), 1)</f>
        <v>0.86354772434369687</v>
      </c>
      <c r="Z14" s="7">
        <f>$B14 * IFERROR(VLOOKUP("buildings|NOx|Minor restricted activity days", US_national_yearly!$D:$AM, 34, FALSE) / VLOOKUP("buildings|NOx|Minor restricted activity days", US_national_yearly!$D:$AM, 10, FALSE), 1)</f>
        <v>0.86857255121187504</v>
      </c>
      <c r="AA14" s="7">
        <f>$B14 * IFERROR(VLOOKUP("buildings|NOx|Minor restricted activity days", US_national_yearly!$D:$AM, 35, FALSE) / VLOOKUP("buildings|NOx|Minor restricted activity days", US_national_yearly!$D:$AM, 10, FALSE), 1)</f>
        <v>0.87359737808005355</v>
      </c>
      <c r="AB14" s="7">
        <f>$B14 * IFERROR(VLOOKUP("buildings|NOx|Minor restricted activity days", US_national_yearly!$D:$AM, 36, FALSE) / VLOOKUP("buildings|NOx|Minor restricted activity days", US_national_yearly!$D:$AM, 10, FALSE), 1)</f>
        <v>0.87862220494823196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0.13013081858465705</v>
      </c>
      <c r="C15" s="7">
        <f>$B15 * IFERROR(VLOOKUP("buildings|NOx|Work loss days", US_national_yearly!$D:$AM, 11, FALSE) / VLOOKUP("buildings|NOx|Work loss days", US_national_yearly!$D:$AM, 10, FALSE), 1)</f>
        <v>0.13042253740325085</v>
      </c>
      <c r="D15" s="7">
        <f>$B15 * IFERROR(VLOOKUP("buildings|NOx|Work loss days", US_national_yearly!$D:$AM, 12, FALSE) / VLOOKUP("buildings|NOx|Work loss days", US_national_yearly!$D:$AM, 10, FALSE), 1)</f>
        <v>0.13071425622184463</v>
      </c>
      <c r="E15" s="7">
        <f>$B15 * IFERROR(VLOOKUP("buildings|NOx|Work loss days", US_national_yearly!$D:$AM, 13, FALSE) / VLOOKUP("buildings|NOx|Work loss days", US_national_yearly!$D:$AM, 10, FALSE), 1)</f>
        <v>0.1310059750404384</v>
      </c>
      <c r="F15" s="7">
        <f>$B15 * IFERROR(VLOOKUP("buildings|NOx|Work loss days", US_national_yearly!$D:$AM, 14, FALSE) / VLOOKUP("buildings|NOx|Work loss days", US_national_yearly!$D:$AM, 10, FALSE), 1)</f>
        <v>0.13129769385903217</v>
      </c>
      <c r="G15" s="7">
        <f>$B15 * IFERROR(VLOOKUP("buildings|NOx|Work loss days", US_national_yearly!$D:$AM, 15, FALSE) / VLOOKUP("buildings|NOx|Work loss days", US_national_yearly!$D:$AM, 10, FALSE), 1)</f>
        <v>0.13172261502439503</v>
      </c>
      <c r="H15" s="7">
        <f>$B15 * IFERROR(VLOOKUP("buildings|NOx|Work loss days", US_national_yearly!$D:$AM, 16, FALSE) / VLOOKUP("buildings|NOx|Work loss days", US_national_yearly!$D:$AM, 10, FALSE), 1)</f>
        <v>0.13214753618975786</v>
      </c>
      <c r="I15" s="7">
        <f>$B15 * IFERROR(VLOOKUP("buildings|NOx|Work loss days", US_national_yearly!$D:$AM, 17, FALSE) / VLOOKUP("buildings|NOx|Work loss days", US_national_yearly!$D:$AM, 10, FALSE), 1)</f>
        <v>0.13283476179303433</v>
      </c>
      <c r="J15" s="7">
        <f>$B15 * IFERROR(VLOOKUP("buildings|NOx|Work loss days", US_national_yearly!$D:$AM, 18, FALSE) / VLOOKUP("buildings|NOx|Work loss days", US_national_yearly!$D:$AM, 10, FALSE), 1)</f>
        <v>0.13352198739631074</v>
      </c>
      <c r="K15" s="7">
        <f>$B15 * IFERROR(VLOOKUP("buildings|NOx|Work loss days", US_national_yearly!$D:$AM, 19, FALSE) / VLOOKUP("buildings|NOx|Work loss days", US_national_yearly!$D:$AM, 10, FALSE), 1)</f>
        <v>0.13420921299958719</v>
      </c>
      <c r="L15" s="7">
        <f>$B15 * IFERROR(VLOOKUP("buildings|NOx|Work loss days", US_national_yearly!$D:$AM, 20, FALSE) / VLOOKUP("buildings|NOx|Work loss days", US_national_yearly!$D:$AM, 10, FALSE), 1)</f>
        <v>0.13489643860286363</v>
      </c>
      <c r="M15" s="7">
        <f>$B15 * IFERROR(VLOOKUP("buildings|NOx|Work loss days", US_national_yearly!$D:$AM, 21, FALSE) / VLOOKUP("buildings|NOx|Work loss days", US_national_yearly!$D:$AM, 10, FALSE), 1)</f>
        <v>0.13558366420614004</v>
      </c>
      <c r="N15" s="7">
        <f>$B15 * IFERROR(VLOOKUP("buildings|NOx|Work loss days", US_national_yearly!$D:$AM, 22, FALSE) / VLOOKUP("buildings|NOx|Work loss days", US_national_yearly!$D:$AM, 10, FALSE), 1)</f>
        <v>0.13647774584957023</v>
      </c>
      <c r="O15" s="7">
        <f>$B15 * IFERROR(VLOOKUP("buildings|NOx|Work loss days", US_national_yearly!$D:$AM, 23, FALSE) / VLOOKUP("buildings|NOx|Work loss days", US_national_yearly!$D:$AM, 10, FALSE), 1)</f>
        <v>0.13737182749300039</v>
      </c>
      <c r="P15" s="7">
        <f>$B15 * IFERROR(VLOOKUP("buildings|NOx|Work loss days", US_national_yearly!$D:$AM, 24, FALSE) / VLOOKUP("buildings|NOx|Work loss days", US_national_yearly!$D:$AM, 10, FALSE), 1)</f>
        <v>0.13826590913643058</v>
      </c>
      <c r="Q15" s="7">
        <f>$B15 * IFERROR(VLOOKUP("buildings|NOx|Work loss days", US_national_yearly!$D:$AM, 25, FALSE) / VLOOKUP("buildings|NOx|Work loss days", US_national_yearly!$D:$AM, 10, FALSE), 1)</f>
        <v>0.13915999077986077</v>
      </c>
      <c r="R15" s="7">
        <f>$B15 * IFERROR(VLOOKUP("buildings|NOx|Work loss days", US_national_yearly!$D:$AM, 26, FALSE) / VLOOKUP("buildings|NOx|Work loss days", US_national_yearly!$D:$AM, 10, FALSE), 1)</f>
        <v>0.14005407242329096</v>
      </c>
      <c r="S15" s="7">
        <f>$B15 * IFERROR(VLOOKUP("buildings|NOx|Work loss days", US_national_yearly!$D:$AM, 27, FALSE) / VLOOKUP("buildings|NOx|Work loss days", US_national_yearly!$D:$AM, 10, FALSE), 1)</f>
        <v>0.14105036972827084</v>
      </c>
      <c r="T15" s="7">
        <f>$B15 * IFERROR(VLOOKUP("buildings|NOx|Work loss days", US_national_yearly!$D:$AM, 28, FALSE) / VLOOKUP("buildings|NOx|Work loss days", US_national_yearly!$D:$AM, 10, FALSE), 1)</f>
        <v>0.14204666703325075</v>
      </c>
      <c r="U15" s="7">
        <f>$B15 * IFERROR(VLOOKUP("buildings|NOx|Work loss days", US_national_yearly!$D:$AM, 29, FALSE) / VLOOKUP("buildings|NOx|Work loss days", US_national_yearly!$D:$AM, 10, FALSE), 1)</f>
        <v>0.14304296433823066</v>
      </c>
      <c r="V15" s="7">
        <f>$B15 * IFERROR(VLOOKUP("buildings|NOx|Work loss days", US_national_yearly!$D:$AM, 30, FALSE) / VLOOKUP("buildings|NOx|Work loss days", US_national_yearly!$D:$AM, 10, FALSE), 1)</f>
        <v>0.14403926164321054</v>
      </c>
      <c r="W15" s="7">
        <f>$B15 * IFERROR(VLOOKUP("buildings|NOx|Work loss days", US_national_yearly!$D:$AM, 31, FALSE) / VLOOKUP("buildings|NOx|Work loss days", US_national_yearly!$D:$AM, 10, FALSE), 1)</f>
        <v>0.14503555894819042</v>
      </c>
      <c r="X15" s="7">
        <f>$B15 * IFERROR(VLOOKUP("buildings|NOx|Work loss days", US_national_yearly!$D:$AM, 32, FALSE) / VLOOKUP("buildings|NOx|Work loss days", US_national_yearly!$D:$AM, 10, FALSE), 1)</f>
        <v>0.14590055317250999</v>
      </c>
      <c r="Y15" s="7">
        <f>$B15 * IFERROR(VLOOKUP("buildings|NOx|Work loss days", US_national_yearly!$D:$AM, 33, FALSE) / VLOOKUP("buildings|NOx|Work loss days", US_national_yearly!$D:$AM, 10, FALSE), 1)</f>
        <v>0.14676554739682957</v>
      </c>
      <c r="Z15" s="7">
        <f>$B15 * IFERROR(VLOOKUP("buildings|NOx|Work loss days", US_national_yearly!$D:$AM, 34, FALSE) / VLOOKUP("buildings|NOx|Work loss days", US_national_yearly!$D:$AM, 10, FALSE), 1)</f>
        <v>0.14763054162114914</v>
      </c>
      <c r="AA15" s="7">
        <f>$B15 * IFERROR(VLOOKUP("buildings|NOx|Work loss days", US_national_yearly!$D:$AM, 35, FALSE) / VLOOKUP("buildings|NOx|Work loss days", US_national_yearly!$D:$AM, 10, FALSE), 1)</f>
        <v>0.14849553584546871</v>
      </c>
      <c r="AB15" s="7">
        <f>$B15 * IFERROR(VLOOKUP("buildings|NOx|Work loss days", US_national_yearly!$D:$AM, 36, FALSE) / VLOOKUP("buildings|NOx|Work loss days", US_national_yearly!$D:$AM, 10, FALSE), 1)</f>
        <v>0.14936053006978828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2.2277630229549614E-4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2.2932594537870908E-4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2.3587558846192207E-4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2.4242523154513503E-4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2.4897487462834794E-4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2.5519691643511498E-4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2.6141895824188197E-4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2.6665419211897412E-4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2.7188942599606626E-4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2.7712465987315835E-4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2.823598937502505E-4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2.8759512762734253E-4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2.9086994524912769E-4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2.9414476287091269E-4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2.9741958049269779E-4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3.006943981144829E-4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3.039692157362679E-4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3.0546557308590424E-4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3.0696193043554053E-4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3.0845828778517688E-4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3.0995464513481323E-4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3.1145100248444957E-4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3.1228505696266878E-4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3.1311911144088809E-4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3.1395316591910729E-4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3.147872203973266E-4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3.1562127487554581E-4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2.3760777939040565E-3</v>
      </c>
      <c r="C2" s="7">
        <f>$B2 * IFERROR(VLOOKUP("buildings|SO2|Premature mortality", US_national_yearly!$D:$AM, 11, FALSE) / VLOOKUP("buildings|SO2|Premature mortality", US_national_yearly!$D:$AM, 10, FALSE), 1)</f>
        <v>2.4061789259481859E-3</v>
      </c>
      <c r="D2" s="7">
        <f>$B2 * IFERROR(VLOOKUP("buildings|SO2|Premature mortality", US_national_yearly!$D:$AM, 12, FALSE) / VLOOKUP("buildings|SO2|Premature mortality", US_national_yearly!$D:$AM, 10, FALSE), 1)</f>
        <v>2.4362800579923144E-3</v>
      </c>
      <c r="E2" s="7">
        <f>$B2 * IFERROR(VLOOKUP("buildings|SO2|Premature mortality", US_national_yearly!$D:$AM, 13, FALSE) / VLOOKUP("buildings|SO2|Premature mortality", US_national_yearly!$D:$AM, 10, FALSE), 1)</f>
        <v>2.4663811900364433E-3</v>
      </c>
      <c r="F2" s="7">
        <f>$B2 * IFERROR(VLOOKUP("buildings|SO2|Premature mortality", US_national_yearly!$D:$AM, 14, FALSE) / VLOOKUP("buildings|SO2|Premature mortality", US_national_yearly!$D:$AM, 10, FALSE), 1)</f>
        <v>2.4964823220805727E-3</v>
      </c>
      <c r="G2" s="7">
        <f>$B2 * IFERROR(VLOOKUP("buildings|SO2|Premature mortality", US_national_yearly!$D:$AM, 15, FALSE) / VLOOKUP("buildings|SO2|Premature mortality", US_national_yearly!$D:$AM, 10, FALSE), 1)</f>
        <v>2.5544810957946452E-3</v>
      </c>
      <c r="H2" s="7">
        <f>$B2 * IFERROR(VLOOKUP("buildings|SO2|Premature mortality", US_national_yearly!$D:$AM, 16, FALSE) / VLOOKUP("buildings|SO2|Premature mortality", US_national_yearly!$D:$AM, 10, FALSE), 1)</f>
        <v>2.6124798695087181E-3</v>
      </c>
      <c r="I2" s="7">
        <f>$B2 * IFERROR(VLOOKUP("buildings|SO2|Premature mortality", US_national_yearly!$D:$AM, 17, FALSE) / VLOOKUP("buildings|SO2|Premature mortality", US_national_yearly!$D:$AM, 10, FALSE), 1)</f>
        <v>2.6508283255531947E-3</v>
      </c>
      <c r="J2" s="7">
        <f>$B2 * IFERROR(VLOOKUP("buildings|SO2|Premature mortality", US_national_yearly!$D:$AM, 18, FALSE) / VLOOKUP("buildings|SO2|Premature mortality", US_national_yearly!$D:$AM, 10, FALSE), 1)</f>
        <v>2.6891767815976709E-3</v>
      </c>
      <c r="K2" s="7">
        <f>$B2 * IFERROR(VLOOKUP("buildings|SO2|Premature mortality", US_national_yearly!$D:$AM, 19, FALSE) / VLOOKUP("buildings|SO2|Premature mortality", US_national_yearly!$D:$AM, 10, FALSE), 1)</f>
        <v>2.7275252376421475E-3</v>
      </c>
      <c r="L2" s="7">
        <f>$B2 * IFERROR(VLOOKUP("buildings|SO2|Premature mortality", US_national_yearly!$D:$AM, 20, FALSE) / VLOOKUP("buildings|SO2|Premature mortality", US_national_yearly!$D:$AM, 10, FALSE), 1)</f>
        <v>2.7658736936866232E-3</v>
      </c>
      <c r="M2" s="7">
        <f>$B2 * IFERROR(VLOOKUP("buildings|SO2|Premature mortality", US_national_yearly!$D:$AM, 21, FALSE) / VLOOKUP("buildings|SO2|Premature mortality", US_national_yearly!$D:$AM, 10, FALSE), 1)</f>
        <v>2.8042221497310998E-3</v>
      </c>
      <c r="N2" s="7">
        <f>$B2 * IFERROR(VLOOKUP("buildings|SO2|Premature mortality", US_national_yearly!$D:$AM, 22, FALSE) / VLOOKUP("buildings|SO2|Premature mortality", US_national_yearly!$D:$AM, 10, FALSE), 1)</f>
        <v>2.8341786165757936E-3</v>
      </c>
      <c r="O2" s="7">
        <f>$B2 * IFERROR(VLOOKUP("buildings|SO2|Premature mortality", US_national_yearly!$D:$AM, 23, FALSE) / VLOOKUP("buildings|SO2|Premature mortality", US_national_yearly!$D:$AM, 10, FALSE), 1)</f>
        <v>2.8641350834204861E-3</v>
      </c>
      <c r="P2" s="7">
        <f>$B2 * IFERROR(VLOOKUP("buildings|SO2|Premature mortality", US_national_yearly!$D:$AM, 24, FALSE) / VLOOKUP("buildings|SO2|Premature mortality", US_national_yearly!$D:$AM, 10, FALSE), 1)</f>
        <v>2.8940915502651795E-3</v>
      </c>
      <c r="Q2" s="7">
        <f>$B2 * IFERROR(VLOOKUP("buildings|SO2|Premature mortality", US_national_yearly!$D:$AM, 25, FALSE) / VLOOKUP("buildings|SO2|Premature mortality", US_national_yearly!$D:$AM, 10, FALSE), 1)</f>
        <v>2.9240480171098724E-3</v>
      </c>
      <c r="R2" s="7">
        <f>$B2 * IFERROR(VLOOKUP("buildings|SO2|Premature mortality", US_national_yearly!$D:$AM, 26, FALSE) / VLOOKUP("buildings|SO2|Premature mortality", US_national_yearly!$D:$AM, 10, FALSE), 1)</f>
        <v>2.9540044839545657E-3</v>
      </c>
      <c r="S2" s="7">
        <f>$B2 * IFERROR(VLOOKUP("buildings|SO2|Premature mortality", US_national_yearly!$D:$AM, 27, FALSE) / VLOOKUP("buildings|SO2|Premature mortality", US_national_yearly!$D:$AM, 10, FALSE), 1)</f>
        <v>2.9700375269551588E-3</v>
      </c>
      <c r="T2" s="7">
        <f>$B2 * IFERROR(VLOOKUP("buildings|SO2|Premature mortality", US_national_yearly!$D:$AM, 28, FALSE) / VLOOKUP("buildings|SO2|Premature mortality", US_national_yearly!$D:$AM, 10, FALSE), 1)</f>
        <v>2.9860705699557523E-3</v>
      </c>
      <c r="U2" s="7">
        <f>$B2 * IFERROR(VLOOKUP("buildings|SO2|Premature mortality", US_national_yearly!$D:$AM, 29, FALSE) / VLOOKUP("buildings|SO2|Premature mortality", US_national_yearly!$D:$AM, 10, FALSE), 1)</f>
        <v>3.0021036129563457E-3</v>
      </c>
      <c r="V2" s="7">
        <f>$B2 * IFERROR(VLOOKUP("buildings|SO2|Premature mortality", US_national_yearly!$D:$AM, 30, FALSE) / VLOOKUP("buildings|SO2|Premature mortality", US_national_yearly!$D:$AM, 10, FALSE), 1)</f>
        <v>3.0181366559569392E-3</v>
      </c>
      <c r="W2" s="7">
        <f>$B2 * IFERROR(VLOOKUP("buildings|SO2|Premature mortality", US_national_yearly!$D:$AM, 31, FALSE) / VLOOKUP("buildings|SO2|Premature mortality", US_national_yearly!$D:$AM, 10, FALSE), 1)</f>
        <v>3.0341696989575322E-3</v>
      </c>
      <c r="X2" s="7">
        <f>$B2 * IFERROR(VLOOKUP("buildings|SO2|Premature mortality", US_national_yearly!$D:$AM, 32, FALSE) / VLOOKUP("buildings|SO2|Premature mortality", US_national_yearly!$D:$AM, 10, FALSE), 1)</f>
        <v>3.0374094150869774E-3</v>
      </c>
      <c r="Y2" s="7">
        <f>$B2 * IFERROR(VLOOKUP("buildings|SO2|Premature mortality", US_national_yearly!$D:$AM, 33, FALSE) / VLOOKUP("buildings|SO2|Premature mortality", US_national_yearly!$D:$AM, 10, FALSE), 1)</f>
        <v>3.0406491312164221E-3</v>
      </c>
      <c r="Z2" s="7">
        <f>$B2 * IFERROR(VLOOKUP("buildings|SO2|Premature mortality", US_national_yearly!$D:$AM, 34, FALSE) / VLOOKUP("buildings|SO2|Premature mortality", US_national_yearly!$D:$AM, 10, FALSE), 1)</f>
        <v>3.0438888473458669E-3</v>
      </c>
      <c r="AA2" s="7">
        <f>$B2 * IFERROR(VLOOKUP("buildings|SO2|Premature mortality", US_national_yearly!$D:$AM, 35, FALSE) / VLOOKUP("buildings|SO2|Premature mortality", US_national_yearly!$D:$AM, 10, FALSE), 1)</f>
        <v>3.0471285634753116E-3</v>
      </c>
      <c r="AB2" s="7">
        <f>$B2 * IFERROR(VLOOKUP("buildings|SO2|Premature mortality", US_national_yearly!$D:$AM, 36, FALSE) / VLOOKUP("buildings|SO2|Premature mortality", US_national_yearly!$D:$AM, 10, FALSE), 1)</f>
        <v>3.0503682796047568E-3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7.9753880340558054E-6</v>
      </c>
      <c r="C3" s="7">
        <f>$B3 * IFERROR(VLOOKUP("buildings|SO2|Infant mortality", US_national_yearly!$D:$AM, 11, FALSE) / VLOOKUP("buildings|SO2|Infant mortality", US_national_yearly!$D:$AM, 10, FALSE), 1)</f>
        <v>7.907027735608983E-6</v>
      </c>
      <c r="D3" s="7">
        <f>$B3 * IFERROR(VLOOKUP("buildings|SO2|Infant mortality", US_national_yearly!$D:$AM, 12, FALSE) / VLOOKUP("buildings|SO2|Infant mortality", US_national_yearly!$D:$AM, 10, FALSE), 1)</f>
        <v>7.8386674371621589E-6</v>
      </c>
      <c r="E3" s="7">
        <f>$B3 * IFERROR(VLOOKUP("buildings|SO2|Infant mortality", US_national_yearly!$D:$AM, 13, FALSE) / VLOOKUP("buildings|SO2|Infant mortality", US_national_yearly!$D:$AM, 10, FALSE), 1)</f>
        <v>7.7703071387153365E-6</v>
      </c>
      <c r="F3" s="7">
        <f>$B3 * IFERROR(VLOOKUP("buildings|SO2|Infant mortality", US_national_yearly!$D:$AM, 14, FALSE) / VLOOKUP("buildings|SO2|Infant mortality", US_national_yearly!$D:$AM, 10, FALSE), 1)</f>
        <v>7.7019468402685141E-6</v>
      </c>
      <c r="G3" s="7">
        <f>$B3 * IFERROR(VLOOKUP("buildings|SO2|Infant mortality", US_national_yearly!$D:$AM, 15, FALSE) / VLOOKUP("buildings|SO2|Infant mortality", US_national_yearly!$D:$AM, 10, FALSE), 1)</f>
        <v>5.1291914695672862E-6</v>
      </c>
      <c r="H3" s="7">
        <f>$B3 * IFERROR(VLOOKUP("buildings|SO2|Infant mortality", US_national_yearly!$D:$AM, 16, FALSE) / VLOOKUP("buildings|SO2|Infant mortality", US_national_yearly!$D:$AM, 10, FALSE), 1)</f>
        <v>2.5564360988660582E-6</v>
      </c>
      <c r="I3" s="7">
        <f>$B3 * IFERROR(VLOOKUP("buildings|SO2|Infant mortality", US_national_yearly!$D:$AM, 17, FALSE) / VLOOKUP("buildings|SO2|Infant mortality", US_national_yearly!$D:$AM, 10, FALSE), 1)</f>
        <v>2.5403967364746242E-6</v>
      </c>
      <c r="J3" s="7">
        <f>$B3 * IFERROR(VLOOKUP("buildings|SO2|Infant mortality", US_national_yearly!$D:$AM, 18, FALSE) / VLOOKUP("buildings|SO2|Infant mortality", US_national_yearly!$D:$AM, 10, FALSE), 1)</f>
        <v>2.5243573740831902E-6</v>
      </c>
      <c r="K3" s="7">
        <f>$B3 * IFERROR(VLOOKUP("buildings|SO2|Infant mortality", US_national_yearly!$D:$AM, 19, FALSE) / VLOOKUP("buildings|SO2|Infant mortality", US_national_yearly!$D:$AM, 10, FALSE), 1)</f>
        <v>2.5083180116917561E-6</v>
      </c>
      <c r="L3" s="7">
        <f>$B3 * IFERROR(VLOOKUP("buildings|SO2|Infant mortality", US_national_yearly!$D:$AM, 20, FALSE) / VLOOKUP("buildings|SO2|Infant mortality", US_national_yearly!$D:$AM, 10, FALSE), 1)</f>
        <v>2.4922786493003221E-6</v>
      </c>
      <c r="M3" s="7">
        <f>$B3 * IFERROR(VLOOKUP("buildings|SO2|Infant mortality", US_national_yearly!$D:$AM, 21, FALSE) / VLOOKUP("buildings|SO2|Infant mortality", US_national_yearly!$D:$AM, 10, FALSE), 1)</f>
        <v>2.4762392869088885E-6</v>
      </c>
      <c r="N3" s="7">
        <f>$B3 * IFERROR(VLOOKUP("buildings|SO2|Infant mortality", US_national_yearly!$D:$AM, 22, FALSE) / VLOOKUP("buildings|SO2|Infant mortality", US_national_yearly!$D:$AM, 10, FALSE), 1)</f>
        <v>2.4661843105833866E-6</v>
      </c>
      <c r="O3" s="7">
        <f>$B3 * IFERROR(VLOOKUP("buildings|SO2|Infant mortality", US_national_yearly!$D:$AM, 23, FALSE) / VLOOKUP("buildings|SO2|Infant mortality", US_national_yearly!$D:$AM, 10, FALSE), 1)</f>
        <v>2.4561293342578847E-6</v>
      </c>
      <c r="P3" s="7">
        <f>$B3 * IFERROR(VLOOKUP("buildings|SO2|Infant mortality", US_national_yearly!$D:$AM, 24, FALSE) / VLOOKUP("buildings|SO2|Infant mortality", US_national_yearly!$D:$AM, 10, FALSE), 1)</f>
        <v>2.4460743579323828E-6</v>
      </c>
      <c r="Q3" s="7">
        <f>$B3 * IFERROR(VLOOKUP("buildings|SO2|Infant mortality", US_national_yearly!$D:$AM, 25, FALSE) / VLOOKUP("buildings|SO2|Infant mortality", US_national_yearly!$D:$AM, 10, FALSE), 1)</f>
        <v>2.4360193816068808E-6</v>
      </c>
      <c r="R3" s="7">
        <f>$B3 * IFERROR(VLOOKUP("buildings|SO2|Infant mortality", US_national_yearly!$D:$AM, 26, FALSE) / VLOOKUP("buildings|SO2|Infant mortality", US_national_yearly!$D:$AM, 10, FALSE), 1)</f>
        <v>2.4259644052813789E-6</v>
      </c>
      <c r="S3" s="7">
        <f>$B3 * IFERROR(VLOOKUP("buildings|SO2|Infant mortality", US_national_yearly!$D:$AM, 27, FALSE) / VLOOKUP("buildings|SO2|Infant mortality", US_national_yearly!$D:$AM, 10, FALSE), 1)</f>
        <v>2.4133385427557259E-6</v>
      </c>
      <c r="T3" s="7">
        <f>$B3 * IFERROR(VLOOKUP("buildings|SO2|Infant mortality", US_national_yearly!$D:$AM, 28, FALSE) / VLOOKUP("buildings|SO2|Infant mortality", US_national_yearly!$D:$AM, 10, FALSE), 1)</f>
        <v>2.4007126802300723E-6</v>
      </c>
      <c r="U3" s="7">
        <f>$B3 * IFERROR(VLOOKUP("buildings|SO2|Infant mortality", US_national_yearly!$D:$AM, 29, FALSE) / VLOOKUP("buildings|SO2|Infant mortality", US_national_yearly!$D:$AM, 10, FALSE), 1)</f>
        <v>2.3880868177044193E-6</v>
      </c>
      <c r="V3" s="7">
        <f>$B3 * IFERROR(VLOOKUP("buildings|SO2|Infant mortality", US_national_yearly!$D:$AM, 30, FALSE) / VLOOKUP("buildings|SO2|Infant mortality", US_national_yearly!$D:$AM, 10, FALSE), 1)</f>
        <v>2.3754609551787662E-6</v>
      </c>
      <c r="W3" s="7">
        <f>$B3 * IFERROR(VLOOKUP("buildings|SO2|Infant mortality", US_national_yearly!$D:$AM, 31, FALSE) / VLOOKUP("buildings|SO2|Infant mortality", US_national_yearly!$D:$AM, 10, FALSE), 1)</f>
        <v>2.3628350926531131E-6</v>
      </c>
      <c r="X3" s="7">
        <f>$B3 * IFERROR(VLOOKUP("buildings|SO2|Infant mortality", US_national_yearly!$D:$AM, 32, FALSE) / VLOOKUP("buildings|SO2|Infant mortality", US_national_yearly!$D:$AM, 10, FALSE), 1)</f>
        <v>2.3490456501872528E-6</v>
      </c>
      <c r="Y3" s="7">
        <f>$B3 * IFERROR(VLOOKUP("buildings|SO2|Infant mortality", US_national_yearly!$D:$AM, 33, FALSE) / VLOOKUP("buildings|SO2|Infant mortality", US_national_yearly!$D:$AM, 10, FALSE), 1)</f>
        <v>2.3352562077213921E-6</v>
      </c>
      <c r="Z3" s="7">
        <f>$B3 * IFERROR(VLOOKUP("buildings|SO2|Infant mortality", US_national_yearly!$D:$AM, 34, FALSE) / VLOOKUP("buildings|SO2|Infant mortality", US_national_yearly!$D:$AM, 10, FALSE), 1)</f>
        <v>2.3214667652555322E-6</v>
      </c>
      <c r="AA3" s="7">
        <f>$B3 * IFERROR(VLOOKUP("buildings|SO2|Infant mortality", US_national_yearly!$D:$AM, 35, FALSE) / VLOOKUP("buildings|SO2|Infant mortality", US_national_yearly!$D:$AM, 10, FALSE), 1)</f>
        <v>2.3076773227896711E-6</v>
      </c>
      <c r="AB3" s="7">
        <f>$B3 * IFERROR(VLOOKUP("buildings|SO2|Infant mortality", US_national_yearly!$D:$AM, 36, FALSE) / VLOOKUP("buildings|SO2|Infant mortality", US_national_yearly!$D:$AM, 10, FALSE), 1)</f>
        <v>2.2938878803238108E-6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7.4541779540348635E-3</v>
      </c>
      <c r="C6" s="7">
        <f>$B6 * IFERROR(VLOOKUP("buildings|SO2|Asthma symptoms cough", US_national_yearly!$D:$AM, 11, FALSE) / VLOOKUP("buildings|SO2|Asthma symptoms cough", US_national_yearly!$D:$AM, 10, FALSE), 1)</f>
        <v>7.4541779540348635E-3</v>
      </c>
      <c r="D6" s="7">
        <f>$B6 * IFERROR(VLOOKUP("buildings|SO2|Asthma symptoms cough", US_national_yearly!$D:$AM, 12, FALSE) / VLOOKUP("buildings|SO2|Asthma symptoms cough", US_national_yearly!$D:$AM, 10, FALSE), 1)</f>
        <v>7.4541779540348635E-3</v>
      </c>
      <c r="E6" s="7">
        <f>$B6 * IFERROR(VLOOKUP("buildings|SO2|Asthma symptoms cough", US_national_yearly!$D:$AM, 13, FALSE) / VLOOKUP("buildings|SO2|Asthma symptoms cough", US_national_yearly!$D:$AM, 10, FALSE), 1)</f>
        <v>7.4541779540348635E-3</v>
      </c>
      <c r="F6" s="7">
        <f>$B6 * IFERROR(VLOOKUP("buildings|SO2|Asthma symptoms cough", US_national_yearly!$D:$AM, 14, FALSE) / VLOOKUP("buildings|SO2|Asthma symptoms cough", US_national_yearly!$D:$AM, 10, FALSE), 1)</f>
        <v>7.4541779540348635E-3</v>
      </c>
      <c r="G6" s="7">
        <f>$B6 * IFERROR(VLOOKUP("buildings|SO2|Asthma symptoms cough", US_national_yearly!$D:$AM, 15, FALSE) / VLOOKUP("buildings|SO2|Asthma symptoms cough", US_national_yearly!$D:$AM, 10, FALSE), 1)</f>
        <v>7.4541779540348635E-3</v>
      </c>
      <c r="H6" s="7">
        <f>$B6 * IFERROR(VLOOKUP("buildings|SO2|Asthma symptoms cough", US_national_yearly!$D:$AM, 16, FALSE) / VLOOKUP("buildings|SO2|Asthma symptoms cough", US_national_yearly!$D:$AM, 10, FALSE), 1)</f>
        <v>7.4541779540348635E-3</v>
      </c>
      <c r="I6" s="7">
        <f>$B6 * IFERROR(VLOOKUP("buildings|SO2|Asthma symptoms cough", US_national_yearly!$D:$AM, 17, FALSE) / VLOOKUP("buildings|SO2|Asthma symptoms cough", US_national_yearly!$D:$AM, 10, FALSE), 1)</f>
        <v>7.4541779540348635E-3</v>
      </c>
      <c r="J6" s="7">
        <f>$B6 * IFERROR(VLOOKUP("buildings|SO2|Asthma symptoms cough", US_national_yearly!$D:$AM, 18, FALSE) / VLOOKUP("buildings|SO2|Asthma symptoms cough", US_national_yearly!$D:$AM, 10, FALSE), 1)</f>
        <v>7.4541779540348635E-3</v>
      </c>
      <c r="K6" s="7">
        <f>$B6 * IFERROR(VLOOKUP("buildings|SO2|Asthma symptoms cough", US_national_yearly!$D:$AM, 19, FALSE) / VLOOKUP("buildings|SO2|Asthma symptoms cough", US_national_yearly!$D:$AM, 10, FALSE), 1)</f>
        <v>7.4541779540348635E-3</v>
      </c>
      <c r="L6" s="7">
        <f>$B6 * IFERROR(VLOOKUP("buildings|SO2|Asthma symptoms cough", US_national_yearly!$D:$AM, 20, FALSE) / VLOOKUP("buildings|SO2|Asthma symptoms cough", US_national_yearly!$D:$AM, 10, FALSE), 1)</f>
        <v>7.4541779540348635E-3</v>
      </c>
      <c r="M6" s="7">
        <f>$B6 * IFERROR(VLOOKUP("buildings|SO2|Asthma symptoms cough", US_national_yearly!$D:$AM, 21, FALSE) / VLOOKUP("buildings|SO2|Asthma symptoms cough", US_national_yearly!$D:$AM, 10, FALSE), 1)</f>
        <v>7.4541779540348635E-3</v>
      </c>
      <c r="N6" s="7">
        <f>$B6 * IFERROR(VLOOKUP("buildings|SO2|Asthma symptoms cough", US_national_yearly!$D:$AM, 22, FALSE) / VLOOKUP("buildings|SO2|Asthma symptoms cough", US_national_yearly!$D:$AM, 10, FALSE), 1)</f>
        <v>7.4541779540348635E-3</v>
      </c>
      <c r="O6" s="7">
        <f>$B6 * IFERROR(VLOOKUP("buildings|SO2|Asthma symptoms cough", US_national_yearly!$D:$AM, 23, FALSE) / VLOOKUP("buildings|SO2|Asthma symptoms cough", US_national_yearly!$D:$AM, 10, FALSE), 1)</f>
        <v>7.4541779540348635E-3</v>
      </c>
      <c r="P6" s="7">
        <f>$B6 * IFERROR(VLOOKUP("buildings|SO2|Asthma symptoms cough", US_national_yearly!$D:$AM, 24, FALSE) / VLOOKUP("buildings|SO2|Asthma symptoms cough", US_national_yearly!$D:$AM, 10, FALSE), 1)</f>
        <v>7.4541779540348635E-3</v>
      </c>
      <c r="Q6" s="7">
        <f>$B6 * IFERROR(VLOOKUP("buildings|SO2|Asthma symptoms cough", US_national_yearly!$D:$AM, 25, FALSE) / VLOOKUP("buildings|SO2|Asthma symptoms cough", US_national_yearly!$D:$AM, 10, FALSE), 1)</f>
        <v>7.4541779540348635E-3</v>
      </c>
      <c r="R6" s="7">
        <f>$B6 * IFERROR(VLOOKUP("buildings|SO2|Asthma symptoms cough", US_national_yearly!$D:$AM, 26, FALSE) / VLOOKUP("buildings|SO2|Asthma symptoms cough", US_national_yearly!$D:$AM, 10, FALSE), 1)</f>
        <v>7.4541779540348635E-3</v>
      </c>
      <c r="S6" s="7">
        <f>$B6 * IFERROR(VLOOKUP("buildings|SO2|Asthma symptoms cough", US_national_yearly!$D:$AM, 27, FALSE) / VLOOKUP("buildings|SO2|Asthma symptoms cough", US_national_yearly!$D:$AM, 10, FALSE), 1)</f>
        <v>7.4541779540348635E-3</v>
      </c>
      <c r="T6" s="7">
        <f>$B6 * IFERROR(VLOOKUP("buildings|SO2|Asthma symptoms cough", US_national_yearly!$D:$AM, 28, FALSE) / VLOOKUP("buildings|SO2|Asthma symptoms cough", US_national_yearly!$D:$AM, 10, FALSE), 1)</f>
        <v>7.4541779540348635E-3</v>
      </c>
      <c r="U6" s="7">
        <f>$B6 * IFERROR(VLOOKUP("buildings|SO2|Asthma symptoms cough", US_national_yearly!$D:$AM, 29, FALSE) / VLOOKUP("buildings|SO2|Asthma symptoms cough", US_national_yearly!$D:$AM, 10, FALSE), 1)</f>
        <v>7.4541779540348635E-3</v>
      </c>
      <c r="V6" s="7">
        <f>$B6 * IFERROR(VLOOKUP("buildings|SO2|Asthma symptoms cough", US_national_yearly!$D:$AM, 30, FALSE) / VLOOKUP("buildings|SO2|Asthma symptoms cough", US_national_yearly!$D:$AM, 10, FALSE), 1)</f>
        <v>7.4541779540348635E-3</v>
      </c>
      <c r="W6" s="7">
        <f>$B6 * IFERROR(VLOOKUP("buildings|SO2|Asthma symptoms cough", US_national_yearly!$D:$AM, 31, FALSE) / VLOOKUP("buildings|SO2|Asthma symptoms cough", US_national_yearly!$D:$AM, 10, FALSE), 1)</f>
        <v>7.4541779540348635E-3</v>
      </c>
      <c r="X6" s="7">
        <f>$B6 * IFERROR(VLOOKUP("buildings|SO2|Asthma symptoms cough", US_national_yearly!$D:$AM, 32, FALSE) / VLOOKUP("buildings|SO2|Asthma symptoms cough", US_national_yearly!$D:$AM, 10, FALSE), 1)</f>
        <v>7.4541779540348635E-3</v>
      </c>
      <c r="Y6" s="7">
        <f>$B6 * IFERROR(VLOOKUP("buildings|SO2|Asthma symptoms cough", US_national_yearly!$D:$AM, 33, FALSE) / VLOOKUP("buildings|SO2|Asthma symptoms cough", US_national_yearly!$D:$AM, 10, FALSE), 1)</f>
        <v>7.4541779540348635E-3</v>
      </c>
      <c r="Z6" s="7">
        <f>$B6 * IFERROR(VLOOKUP("buildings|SO2|Asthma symptoms cough", US_national_yearly!$D:$AM, 34, FALSE) / VLOOKUP("buildings|SO2|Asthma symptoms cough", US_national_yearly!$D:$AM, 10, FALSE), 1)</f>
        <v>7.4541779540348635E-3</v>
      </c>
      <c r="AA6" s="7">
        <f>$B6 * IFERROR(VLOOKUP("buildings|SO2|Asthma symptoms cough", US_national_yearly!$D:$AM, 35, FALSE) / VLOOKUP("buildings|SO2|Asthma symptoms cough", US_national_yearly!$D:$AM, 10, FALSE), 1)</f>
        <v>7.4541779540348635E-3</v>
      </c>
      <c r="AB6" s="7">
        <f>$B6 * IFERROR(VLOOKUP("buildings|SO2|Asthma symptoms cough", US_national_yearly!$D:$AM, 36, FALSE) / VLOOKUP("buildings|SO2|Asthma symptoms cough", US_national_yearly!$D:$AM, 10, FALSE), 1)</f>
        <v>7.4541779540348635E-3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1.0038144383028434E-2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1.0038144383028434E-2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1.0038144383028434E-2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1.0038144383028434E-2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1.0038144383028434E-2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1.0038144383028434E-2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1.0038144383028434E-2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1.0038144383028434E-2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1.0038144383028434E-2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1.0038144383028434E-2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1.0038144383028434E-2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1.0038144383028434E-2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1.0038144383028434E-2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1.0038144383028434E-2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1.0038144383028434E-2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1.0038144383028434E-2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1.0038144383028434E-2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1.0038144383028434E-2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1.0038144383028434E-2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1.0038144383028434E-2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1.0038144383028434E-2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1.0038144383028434E-2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1.0038144383028434E-2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1.0038144383028434E-2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1.0038144383028434E-2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1.0038144383028434E-2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1.0038144383028434E-2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1.5336540166608022E-2</v>
      </c>
      <c r="C8" s="7">
        <f>$B8 * IFERROR(VLOOKUP("buildings|SO2|Asthma symptoms wheeze", US_national_yearly!$D:$AM, 11, FALSE) / VLOOKUP("buildings|SO2|Asthma symptoms wheeze", US_national_yearly!$D:$AM, 10, FALSE), 1)</f>
        <v>1.5336540166608022E-2</v>
      </c>
      <c r="D8" s="7">
        <f>$B8 * IFERROR(VLOOKUP("buildings|SO2|Asthma symptoms wheeze", US_national_yearly!$D:$AM, 12, FALSE) / VLOOKUP("buildings|SO2|Asthma symptoms wheeze", US_national_yearly!$D:$AM, 10, FALSE), 1)</f>
        <v>1.5336540166608022E-2</v>
      </c>
      <c r="E8" s="7">
        <f>$B8 * IFERROR(VLOOKUP("buildings|SO2|Asthma symptoms wheeze", US_national_yearly!$D:$AM, 13, FALSE) / VLOOKUP("buildings|SO2|Asthma symptoms wheeze", US_national_yearly!$D:$AM, 10, FALSE), 1)</f>
        <v>1.5336540166608022E-2</v>
      </c>
      <c r="F8" s="7">
        <f>$B8 * IFERROR(VLOOKUP("buildings|SO2|Asthma symptoms wheeze", US_national_yearly!$D:$AM, 14, FALSE) / VLOOKUP("buildings|SO2|Asthma symptoms wheeze", US_national_yearly!$D:$AM, 10, FALSE), 1)</f>
        <v>1.5336540166608022E-2</v>
      </c>
      <c r="G8" s="7">
        <f>$B8 * IFERROR(VLOOKUP("buildings|SO2|Asthma symptoms wheeze", US_national_yearly!$D:$AM, 15, FALSE) / VLOOKUP("buildings|SO2|Asthma symptoms wheeze", US_national_yearly!$D:$AM, 10, FALSE), 1)</f>
        <v>1.5336540166608022E-2</v>
      </c>
      <c r="H8" s="7">
        <f>$B8 * IFERROR(VLOOKUP("buildings|SO2|Asthma symptoms wheeze", US_national_yearly!$D:$AM, 16, FALSE) / VLOOKUP("buildings|SO2|Asthma symptoms wheeze", US_national_yearly!$D:$AM, 10, FALSE), 1)</f>
        <v>1.5336540166608022E-2</v>
      </c>
      <c r="I8" s="7">
        <f>$B8 * IFERROR(VLOOKUP("buildings|SO2|Asthma symptoms wheeze", US_national_yearly!$D:$AM, 17, FALSE) / VLOOKUP("buildings|SO2|Asthma symptoms wheeze", US_national_yearly!$D:$AM, 10, FALSE), 1)</f>
        <v>1.5336540166608022E-2</v>
      </c>
      <c r="J8" s="7">
        <f>$B8 * IFERROR(VLOOKUP("buildings|SO2|Asthma symptoms wheeze", US_national_yearly!$D:$AM, 18, FALSE) / VLOOKUP("buildings|SO2|Asthma symptoms wheeze", US_national_yearly!$D:$AM, 10, FALSE), 1)</f>
        <v>1.5336540166608022E-2</v>
      </c>
      <c r="K8" s="7">
        <f>$B8 * IFERROR(VLOOKUP("buildings|SO2|Asthma symptoms wheeze", US_national_yearly!$D:$AM, 19, FALSE) / VLOOKUP("buildings|SO2|Asthma symptoms wheeze", US_national_yearly!$D:$AM, 10, FALSE), 1)</f>
        <v>1.5336540166608022E-2</v>
      </c>
      <c r="L8" s="7">
        <f>$B8 * IFERROR(VLOOKUP("buildings|SO2|Asthma symptoms wheeze", US_national_yearly!$D:$AM, 20, FALSE) / VLOOKUP("buildings|SO2|Asthma symptoms wheeze", US_national_yearly!$D:$AM, 10, FALSE), 1)</f>
        <v>1.5336540166608022E-2</v>
      </c>
      <c r="M8" s="7">
        <f>$B8 * IFERROR(VLOOKUP("buildings|SO2|Asthma symptoms wheeze", US_national_yearly!$D:$AM, 21, FALSE) / VLOOKUP("buildings|SO2|Asthma symptoms wheeze", US_national_yearly!$D:$AM, 10, FALSE), 1)</f>
        <v>1.5336540166608022E-2</v>
      </c>
      <c r="N8" s="7">
        <f>$B8 * IFERROR(VLOOKUP("buildings|SO2|Asthma symptoms wheeze", US_national_yearly!$D:$AM, 22, FALSE) / VLOOKUP("buildings|SO2|Asthma symptoms wheeze", US_national_yearly!$D:$AM, 10, FALSE), 1)</f>
        <v>1.5336540166608022E-2</v>
      </c>
      <c r="O8" s="7">
        <f>$B8 * IFERROR(VLOOKUP("buildings|SO2|Asthma symptoms wheeze", US_national_yearly!$D:$AM, 23, FALSE) / VLOOKUP("buildings|SO2|Asthma symptoms wheeze", US_national_yearly!$D:$AM, 10, FALSE), 1)</f>
        <v>1.5336540166608022E-2</v>
      </c>
      <c r="P8" s="7">
        <f>$B8 * IFERROR(VLOOKUP("buildings|SO2|Asthma symptoms wheeze", US_national_yearly!$D:$AM, 24, FALSE) / VLOOKUP("buildings|SO2|Asthma symptoms wheeze", US_national_yearly!$D:$AM, 10, FALSE), 1)</f>
        <v>1.5336540166608022E-2</v>
      </c>
      <c r="Q8" s="7">
        <f>$B8 * IFERROR(VLOOKUP("buildings|SO2|Asthma symptoms wheeze", US_national_yearly!$D:$AM, 25, FALSE) / VLOOKUP("buildings|SO2|Asthma symptoms wheeze", US_national_yearly!$D:$AM, 10, FALSE), 1)</f>
        <v>1.5336540166608022E-2</v>
      </c>
      <c r="R8" s="7">
        <f>$B8 * IFERROR(VLOOKUP("buildings|SO2|Asthma symptoms wheeze", US_national_yearly!$D:$AM, 26, FALSE) / VLOOKUP("buildings|SO2|Asthma symptoms wheeze", US_national_yearly!$D:$AM, 10, FALSE), 1)</f>
        <v>1.5336540166608022E-2</v>
      </c>
      <c r="S8" s="7">
        <f>$B8 * IFERROR(VLOOKUP("buildings|SO2|Asthma symptoms wheeze", US_national_yearly!$D:$AM, 27, FALSE) / VLOOKUP("buildings|SO2|Asthma symptoms wheeze", US_national_yearly!$D:$AM, 10, FALSE), 1)</f>
        <v>1.5336540166608022E-2</v>
      </c>
      <c r="T8" s="7">
        <f>$B8 * IFERROR(VLOOKUP("buildings|SO2|Asthma symptoms wheeze", US_national_yearly!$D:$AM, 28, FALSE) / VLOOKUP("buildings|SO2|Asthma symptoms wheeze", US_national_yearly!$D:$AM, 10, FALSE), 1)</f>
        <v>1.5336540166608022E-2</v>
      </c>
      <c r="U8" s="7">
        <f>$B8 * IFERROR(VLOOKUP("buildings|SO2|Asthma symptoms wheeze", US_national_yearly!$D:$AM, 29, FALSE) / VLOOKUP("buildings|SO2|Asthma symptoms wheeze", US_national_yearly!$D:$AM, 10, FALSE), 1)</f>
        <v>1.5336540166608022E-2</v>
      </c>
      <c r="V8" s="7">
        <f>$B8 * IFERROR(VLOOKUP("buildings|SO2|Asthma symptoms wheeze", US_national_yearly!$D:$AM, 30, FALSE) / VLOOKUP("buildings|SO2|Asthma symptoms wheeze", US_national_yearly!$D:$AM, 10, FALSE), 1)</f>
        <v>1.5336540166608022E-2</v>
      </c>
      <c r="W8" s="7">
        <f>$B8 * IFERROR(VLOOKUP("buildings|SO2|Asthma symptoms wheeze", US_national_yearly!$D:$AM, 31, FALSE) / VLOOKUP("buildings|SO2|Asthma symptoms wheeze", US_national_yearly!$D:$AM, 10, FALSE), 1)</f>
        <v>1.5336540166608022E-2</v>
      </c>
      <c r="X8" s="7">
        <f>$B8 * IFERROR(VLOOKUP("buildings|SO2|Asthma symptoms wheeze", US_national_yearly!$D:$AM, 32, FALSE) / VLOOKUP("buildings|SO2|Asthma symptoms wheeze", US_national_yearly!$D:$AM, 10, FALSE), 1)</f>
        <v>1.5336540166608022E-2</v>
      </c>
      <c r="Y8" s="7">
        <f>$B8 * IFERROR(VLOOKUP("buildings|SO2|Asthma symptoms wheeze", US_national_yearly!$D:$AM, 33, FALSE) / VLOOKUP("buildings|SO2|Asthma symptoms wheeze", US_national_yearly!$D:$AM, 10, FALSE), 1)</f>
        <v>1.5336540166608022E-2</v>
      </c>
      <c r="Z8" s="7">
        <f>$B8 * IFERROR(VLOOKUP("buildings|SO2|Asthma symptoms wheeze", US_national_yearly!$D:$AM, 34, FALSE) / VLOOKUP("buildings|SO2|Asthma symptoms wheeze", US_national_yearly!$D:$AM, 10, FALSE), 1)</f>
        <v>1.5336540166608022E-2</v>
      </c>
      <c r="AA8" s="7">
        <f>$B8 * IFERROR(VLOOKUP("buildings|SO2|Asthma symptoms wheeze", US_national_yearly!$D:$AM, 35, FALSE) / VLOOKUP("buildings|SO2|Asthma symptoms wheeze", US_national_yearly!$D:$AM, 10, FALSE), 1)</f>
        <v>1.5336540166608022E-2</v>
      </c>
      <c r="AB8" s="7">
        <f>$B8 * IFERROR(VLOOKUP("buildings|SO2|Asthma symptoms wheeze", US_national_yearly!$D:$AM, 36, FALSE) / VLOOKUP("buildings|SO2|Asthma symptoms wheeze", US_national_yearly!$D:$AM, 10, FALSE), 1)</f>
        <v>1.5336540166608022E-2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1.5992650890065947E-4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1.608710961173277E-4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1.6181568333399591E-4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1.6276027055066414E-4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1.6370485776733232E-4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1.6473433882873583E-4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1.6576381989013932E-4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1.6677694282712441E-4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1.6779006576410951E-4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1.6880318870109458E-4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1.6981631163807967E-4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1.7082943457506476E-4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1.7156918203219511E-4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1.7230892948932544E-4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1.7304867694645579E-4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1.7378842440358611E-4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1.7452817186071643E-4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1.7523352974445816E-4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1.7593888762819991E-4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1.7664424551194164E-4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1.7734960339568337E-4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1.7805496127942512E-4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1.7872523530654437E-4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1.7939550933366368E-4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1.8006578336078293E-4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1.8073605738790218E-4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1.8140633141502149E-4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1.1026347409827018E-3</v>
      </c>
      <c r="C13" s="7">
        <f>$B13 * IFERROR(VLOOKUP("buildings|SO2|Non-fatal heart attacks", US_national_yearly!$D:$AM, 11, FALSE) / VLOOKUP("buildings|SO2|Non-fatal heart attacks", US_national_yearly!$D:$AM, 10, FALSE), 1)</f>
        <v>1.1350145572371394E-3</v>
      </c>
      <c r="D13" s="7">
        <f>$B13 * IFERROR(VLOOKUP("buildings|SO2|Non-fatal heart attacks", US_national_yearly!$D:$AM, 12, FALSE) / VLOOKUP("buildings|SO2|Non-fatal heart attacks", US_national_yearly!$D:$AM, 10, FALSE), 1)</f>
        <v>1.1673943734915768E-3</v>
      </c>
      <c r="E13" s="7">
        <f>$B13 * IFERROR(VLOOKUP("buildings|SO2|Non-fatal heart attacks", US_national_yearly!$D:$AM, 13, FALSE) / VLOOKUP("buildings|SO2|Non-fatal heart attacks", US_national_yearly!$D:$AM, 10, FALSE), 1)</f>
        <v>1.1997741897460143E-3</v>
      </c>
      <c r="F13" s="7">
        <f>$B13 * IFERROR(VLOOKUP("buildings|SO2|Non-fatal heart attacks", US_national_yearly!$D:$AM, 14, FALSE) / VLOOKUP("buildings|SO2|Non-fatal heart attacks", US_national_yearly!$D:$AM, 10, FALSE), 1)</f>
        <v>1.2321540060004519E-3</v>
      </c>
      <c r="G13" s="7">
        <f>$B13 * IFERROR(VLOOKUP("buildings|SO2|Non-fatal heart attacks", US_national_yearly!$D:$AM, 15, FALSE) / VLOOKUP("buildings|SO2|Non-fatal heart attacks", US_national_yearly!$D:$AM, 10, FALSE), 1)</f>
        <v>1.2626933949546107E-3</v>
      </c>
      <c r="H13" s="7">
        <f>$B13 * IFERROR(VLOOKUP("buildings|SO2|Non-fatal heart attacks", US_national_yearly!$D:$AM, 16, FALSE) / VLOOKUP("buildings|SO2|Non-fatal heart attacks", US_national_yearly!$D:$AM, 10, FALSE), 1)</f>
        <v>1.29323278390877E-3</v>
      </c>
      <c r="I13" s="7">
        <f>$B13 * IFERROR(VLOOKUP("buildings|SO2|Non-fatal heart attacks", US_national_yearly!$D:$AM, 17, FALSE) / VLOOKUP("buildings|SO2|Non-fatal heart attacks", US_national_yearly!$D:$AM, 10, FALSE), 1)</f>
        <v>1.3178149677510454E-3</v>
      </c>
      <c r="J13" s="7">
        <f>$B13 * IFERROR(VLOOKUP("buildings|SO2|Non-fatal heart attacks", US_national_yearly!$D:$AM, 18, FALSE) / VLOOKUP("buildings|SO2|Non-fatal heart attacks", US_national_yearly!$D:$AM, 10, FALSE), 1)</f>
        <v>1.3423971515933212E-3</v>
      </c>
      <c r="K13" s="7">
        <f>$B13 * IFERROR(VLOOKUP("buildings|SO2|Non-fatal heart attacks", US_national_yearly!$D:$AM, 19, FALSE) / VLOOKUP("buildings|SO2|Non-fatal heart attacks", US_national_yearly!$D:$AM, 10, FALSE), 1)</f>
        <v>1.3669793354355968E-3</v>
      </c>
      <c r="L13" s="7">
        <f>$B13 * IFERROR(VLOOKUP("buildings|SO2|Non-fatal heart attacks", US_national_yearly!$D:$AM, 20, FALSE) / VLOOKUP("buildings|SO2|Non-fatal heart attacks", US_national_yearly!$D:$AM, 10, FALSE), 1)</f>
        <v>1.3915615192778726E-3</v>
      </c>
      <c r="M13" s="7">
        <f>$B13 * IFERROR(VLOOKUP("buildings|SO2|Non-fatal heart attacks", US_national_yearly!$D:$AM, 21, FALSE) / VLOOKUP("buildings|SO2|Non-fatal heart attacks", US_national_yearly!$D:$AM, 10, FALSE), 1)</f>
        <v>1.4161437031201484E-3</v>
      </c>
      <c r="N13" s="7">
        <f>$B13 * IFERROR(VLOOKUP("buildings|SO2|Non-fatal heart attacks", US_national_yearly!$D:$AM, 22, FALSE) / VLOOKUP("buildings|SO2|Non-fatal heart attacks", US_national_yearly!$D:$AM, 10, FALSE), 1)</f>
        <v>1.4320986831571454E-3</v>
      </c>
      <c r="O13" s="7">
        <f>$B13 * IFERROR(VLOOKUP("buildings|SO2|Non-fatal heart attacks", US_national_yearly!$D:$AM, 23, FALSE) / VLOOKUP("buildings|SO2|Non-fatal heart attacks", US_national_yearly!$D:$AM, 10, FALSE), 1)</f>
        <v>1.4480536631941428E-3</v>
      </c>
      <c r="P13" s="7">
        <f>$B13 * IFERROR(VLOOKUP("buildings|SO2|Non-fatal heart attacks", US_national_yearly!$D:$AM, 24, FALSE) / VLOOKUP("buildings|SO2|Non-fatal heart attacks", US_national_yearly!$D:$AM, 10, FALSE), 1)</f>
        <v>1.4640086432311399E-3</v>
      </c>
      <c r="Q13" s="7">
        <f>$B13 * IFERROR(VLOOKUP("buildings|SO2|Non-fatal heart attacks", US_national_yearly!$D:$AM, 25, FALSE) / VLOOKUP("buildings|SO2|Non-fatal heart attacks", US_national_yearly!$D:$AM, 10, FALSE), 1)</f>
        <v>1.4799636232681369E-3</v>
      </c>
      <c r="R13" s="7">
        <f>$B13 * IFERROR(VLOOKUP("buildings|SO2|Non-fatal heart attacks", US_national_yearly!$D:$AM, 26, FALSE) / VLOOKUP("buildings|SO2|Non-fatal heart attacks", US_national_yearly!$D:$AM, 10, FALSE), 1)</f>
        <v>1.4959186033051343E-3</v>
      </c>
      <c r="S13" s="7">
        <f>$B13 * IFERROR(VLOOKUP("buildings|SO2|Non-fatal heart attacks", US_national_yearly!$D:$AM, 27, FALSE) / VLOOKUP("buildings|SO2|Non-fatal heart attacks", US_national_yearly!$D:$AM, 10, FALSE), 1)</f>
        <v>1.5042502677561401E-3</v>
      </c>
      <c r="T13" s="7">
        <f>$B13 * IFERROR(VLOOKUP("buildings|SO2|Non-fatal heart attacks", US_national_yearly!$D:$AM, 28, FALSE) / VLOOKUP("buildings|SO2|Non-fatal heart attacks", US_national_yearly!$D:$AM, 10, FALSE), 1)</f>
        <v>1.5125819322071459E-3</v>
      </c>
      <c r="U13" s="7">
        <f>$B13 * IFERROR(VLOOKUP("buildings|SO2|Non-fatal heart attacks", US_national_yearly!$D:$AM, 29, FALSE) / VLOOKUP("buildings|SO2|Non-fatal heart attacks", US_national_yearly!$D:$AM, 10, FALSE), 1)</f>
        <v>1.5209135966581511E-3</v>
      </c>
      <c r="V13" s="7">
        <f>$B13 * IFERROR(VLOOKUP("buildings|SO2|Non-fatal heart attacks", US_national_yearly!$D:$AM, 30, FALSE) / VLOOKUP("buildings|SO2|Non-fatal heart attacks", US_national_yearly!$D:$AM, 10, FALSE), 1)</f>
        <v>1.5292452611091569E-3</v>
      </c>
      <c r="W13" s="7">
        <f>$B13 * IFERROR(VLOOKUP("buildings|SO2|Non-fatal heart attacks", US_national_yearly!$D:$AM, 31, FALSE) / VLOOKUP("buildings|SO2|Non-fatal heart attacks", US_national_yearly!$D:$AM, 10, FALSE), 1)</f>
        <v>1.5375769255601623E-3</v>
      </c>
      <c r="X13" s="7">
        <f>$B13 * IFERROR(VLOOKUP("buildings|SO2|Non-fatal heart attacks", US_national_yearly!$D:$AM, 32, FALSE) / VLOOKUP("buildings|SO2|Non-fatal heart attacks", US_national_yearly!$D:$AM, 10, FALSE), 1)</f>
        <v>1.543869610385264E-3</v>
      </c>
      <c r="Y13" s="7">
        <f>$B13 * IFERROR(VLOOKUP("buildings|SO2|Non-fatal heart attacks", US_national_yearly!$D:$AM, 33, FALSE) / VLOOKUP("buildings|SO2|Non-fatal heart attacks", US_national_yearly!$D:$AM, 10, FALSE), 1)</f>
        <v>1.5501622952103658E-3</v>
      </c>
      <c r="Z13" s="7">
        <f>$B13 * IFERROR(VLOOKUP("buildings|SO2|Non-fatal heart attacks", US_national_yearly!$D:$AM, 34, FALSE) / VLOOKUP("buildings|SO2|Non-fatal heart attacks", US_national_yearly!$D:$AM, 10, FALSE), 1)</f>
        <v>1.5564549800354671E-3</v>
      </c>
      <c r="AA13" s="7">
        <f>$B13 * IFERROR(VLOOKUP("buildings|SO2|Non-fatal heart attacks", US_national_yearly!$D:$AM, 35, FALSE) / VLOOKUP("buildings|SO2|Non-fatal heart attacks", US_national_yearly!$D:$AM, 10, FALSE), 1)</f>
        <v>1.5627476648605689E-3</v>
      </c>
      <c r="AB13" s="7">
        <f>$B13 * IFERROR(VLOOKUP("buildings|SO2|Non-fatal heart attacks", US_national_yearly!$D:$AM, 36, FALSE) / VLOOKUP("buildings|SO2|Non-fatal heart attacks", US_national_yearly!$D:$AM, 10, FALSE), 1)</f>
        <v>1.5690403496856702E-3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0.954332419879932</v>
      </c>
      <c r="C14" s="7">
        <f>$B14 * IFERROR(VLOOKUP("buildings|SO2|Minor restricted activity days", US_national_yearly!$D:$AM, 11, FALSE) / VLOOKUP("buildings|SO2|Minor restricted activity days", US_national_yearly!$D:$AM, 10, FALSE), 1)</f>
        <v>0.9567482621282648</v>
      </c>
      <c r="D14" s="7">
        <f>$B14 * IFERROR(VLOOKUP("buildings|SO2|Minor restricted activity days", US_national_yearly!$D:$AM, 12, FALSE) / VLOOKUP("buildings|SO2|Minor restricted activity days", US_national_yearly!$D:$AM, 10, FALSE), 1)</f>
        <v>0.95916410437659783</v>
      </c>
      <c r="E14" s="7">
        <f>$B14 * IFERROR(VLOOKUP("buildings|SO2|Minor restricted activity days", US_national_yearly!$D:$AM, 13, FALSE) / VLOOKUP("buildings|SO2|Minor restricted activity days", US_national_yearly!$D:$AM, 10, FALSE), 1)</f>
        <v>0.96157994662493085</v>
      </c>
      <c r="F14" s="7">
        <f>$B14 * IFERROR(VLOOKUP("buildings|SO2|Minor restricted activity days", US_national_yearly!$D:$AM, 14, FALSE) / VLOOKUP("buildings|SO2|Minor restricted activity days", US_national_yearly!$D:$AM, 10, FALSE), 1)</f>
        <v>0.96399578887326365</v>
      </c>
      <c r="G14" s="7">
        <f>$B14 * IFERROR(VLOOKUP("buildings|SO2|Minor restricted activity days", US_national_yearly!$D:$AM, 15, FALSE) / VLOOKUP("buildings|SO2|Minor restricted activity days", US_national_yearly!$D:$AM, 10, FALSE), 1)</f>
        <v>0.96754803419265378</v>
      </c>
      <c r="H14" s="7">
        <f>$B14 * IFERROR(VLOOKUP("buildings|SO2|Minor restricted activity days", US_national_yearly!$D:$AM, 16, FALSE) / VLOOKUP("buildings|SO2|Minor restricted activity days", US_national_yearly!$D:$AM, 10, FALSE), 1)</f>
        <v>0.97110027951204381</v>
      </c>
      <c r="I14" s="7">
        <f>$B14 * IFERROR(VLOOKUP("buildings|SO2|Minor restricted activity days", US_national_yearly!$D:$AM, 17, FALSE) / VLOOKUP("buildings|SO2|Minor restricted activity days", US_national_yearly!$D:$AM, 10, FALSE), 1)</f>
        <v>0.97715011077320579</v>
      </c>
      <c r="J14" s="7">
        <f>$B14 * IFERROR(VLOOKUP("buildings|SO2|Minor restricted activity days", US_national_yearly!$D:$AM, 18, FALSE) / VLOOKUP("buildings|SO2|Minor restricted activity days", US_national_yearly!$D:$AM, 10, FALSE), 1)</f>
        <v>0.98319994203436789</v>
      </c>
      <c r="K14" s="7">
        <f>$B14 * IFERROR(VLOOKUP("buildings|SO2|Minor restricted activity days", US_national_yearly!$D:$AM, 19, FALSE) / VLOOKUP("buildings|SO2|Minor restricted activity days", US_national_yearly!$D:$AM, 10, FALSE), 1)</f>
        <v>0.98924977329552988</v>
      </c>
      <c r="L14" s="7">
        <f>$B14 * IFERROR(VLOOKUP("buildings|SO2|Minor restricted activity days", US_national_yearly!$D:$AM, 20, FALSE) / VLOOKUP("buildings|SO2|Minor restricted activity days", US_national_yearly!$D:$AM, 10, FALSE), 1)</f>
        <v>0.99529960455669175</v>
      </c>
      <c r="M14" s="7">
        <f>$B14 * IFERROR(VLOOKUP("buildings|SO2|Minor restricted activity days", US_national_yearly!$D:$AM, 21, FALSE) / VLOOKUP("buildings|SO2|Minor restricted activity days", US_national_yearly!$D:$AM, 10, FALSE), 1)</f>
        <v>1.0013494358178536</v>
      </c>
      <c r="N14" s="7">
        <f>$B14 * IFERROR(VLOOKUP("buildings|SO2|Minor restricted activity days", US_national_yearly!$D:$AM, 22, FALSE) / VLOOKUP("buildings|SO2|Minor restricted activity days", US_national_yearly!$D:$AM, 10, FALSE), 1)</f>
        <v>1.0096222621537727</v>
      </c>
      <c r="O14" s="7">
        <f>$B14 * IFERROR(VLOOKUP("buildings|SO2|Minor restricted activity days", US_national_yearly!$D:$AM, 23, FALSE) / VLOOKUP("buildings|SO2|Minor restricted activity days", US_national_yearly!$D:$AM, 10, FALSE), 1)</f>
        <v>1.0178950884896918</v>
      </c>
      <c r="P14" s="7">
        <f>$B14 * IFERROR(VLOOKUP("buildings|SO2|Minor restricted activity days", US_national_yearly!$D:$AM, 24, FALSE) / VLOOKUP("buildings|SO2|Minor restricted activity days", US_national_yearly!$D:$AM, 10, FALSE), 1)</f>
        <v>1.0261679148256106</v>
      </c>
      <c r="Q14" s="7">
        <f>$B14 * IFERROR(VLOOKUP("buildings|SO2|Minor restricted activity days", US_national_yearly!$D:$AM, 25, FALSE) / VLOOKUP("buildings|SO2|Minor restricted activity days", US_national_yearly!$D:$AM, 10, FALSE), 1)</f>
        <v>1.0344407411615295</v>
      </c>
      <c r="R14" s="7">
        <f>$B14 * IFERROR(VLOOKUP("buildings|SO2|Minor restricted activity days", US_national_yearly!$D:$AM, 26, FALSE) / VLOOKUP("buildings|SO2|Minor restricted activity days", US_national_yearly!$D:$AM, 10, FALSE), 1)</f>
        <v>1.0427135674974486</v>
      </c>
      <c r="S14" s="7">
        <f>$B14 * IFERROR(VLOOKUP("buildings|SO2|Minor restricted activity days", US_national_yearly!$D:$AM, 27, FALSE) / VLOOKUP("buildings|SO2|Minor restricted activity days", US_national_yearly!$D:$AM, 10, FALSE), 1)</f>
        <v>1.0511471768606808</v>
      </c>
      <c r="T14" s="7">
        <f>$B14 * IFERROR(VLOOKUP("buildings|SO2|Minor restricted activity days", US_national_yearly!$D:$AM, 28, FALSE) / VLOOKUP("buildings|SO2|Minor restricted activity days", US_national_yearly!$D:$AM, 10, FALSE), 1)</f>
        <v>1.0595807862239131</v>
      </c>
      <c r="U14" s="7">
        <f>$B14 * IFERROR(VLOOKUP("buildings|SO2|Minor restricted activity days", US_national_yearly!$D:$AM, 29, FALSE) / VLOOKUP("buildings|SO2|Minor restricted activity days", US_national_yearly!$D:$AM, 10, FALSE), 1)</f>
        <v>1.0680143955871451</v>
      </c>
      <c r="V14" s="7">
        <f>$B14 * IFERROR(VLOOKUP("buildings|SO2|Minor restricted activity days", US_national_yearly!$D:$AM, 30, FALSE) / VLOOKUP("buildings|SO2|Minor restricted activity days", US_national_yearly!$D:$AM, 10, FALSE), 1)</f>
        <v>1.0764480049503773</v>
      </c>
      <c r="W14" s="7">
        <f>$B14 * IFERROR(VLOOKUP("buildings|SO2|Minor restricted activity days", US_national_yearly!$D:$AM, 31, FALSE) / VLOOKUP("buildings|SO2|Minor restricted activity days", US_national_yearly!$D:$AM, 10, FALSE), 1)</f>
        <v>1.0848816143136097</v>
      </c>
      <c r="X14" s="7">
        <f>$B14 * IFERROR(VLOOKUP("buildings|SO2|Minor restricted activity days", US_national_yearly!$D:$AM, 32, FALSE) / VLOOKUP("buildings|SO2|Minor restricted activity days", US_national_yearly!$D:$AM, 10, FALSE), 1)</f>
        <v>1.0922984856873821</v>
      </c>
      <c r="Y14" s="7">
        <f>$B14 * IFERROR(VLOOKUP("buildings|SO2|Minor restricted activity days", US_national_yearly!$D:$AM, 33, FALSE) / VLOOKUP("buildings|SO2|Minor restricted activity days", US_national_yearly!$D:$AM, 10, FALSE), 1)</f>
        <v>1.0997153570611546</v>
      </c>
      <c r="Z14" s="7">
        <f>$B14 * IFERROR(VLOOKUP("buildings|SO2|Minor restricted activity days", US_national_yearly!$D:$AM, 34, FALSE) / VLOOKUP("buildings|SO2|Minor restricted activity days", US_national_yearly!$D:$AM, 10, FALSE), 1)</f>
        <v>1.107132228434927</v>
      </c>
      <c r="AA14" s="7">
        <f>$B14 * IFERROR(VLOOKUP("buildings|SO2|Minor restricted activity days", US_national_yearly!$D:$AM, 35, FALSE) / VLOOKUP("buildings|SO2|Minor restricted activity days", US_national_yearly!$D:$AM, 10, FALSE), 1)</f>
        <v>1.1145490998086995</v>
      </c>
      <c r="AB14" s="7">
        <f>$B14 * IFERROR(VLOOKUP("buildings|SO2|Minor restricted activity days", US_national_yearly!$D:$AM, 36, FALSE) / VLOOKUP("buildings|SO2|Minor restricted activity days", US_national_yearly!$D:$AM, 10, FALSE), 1)</f>
        <v>1.1219659711824719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0.16251077796412658</v>
      </c>
      <c r="C15" s="7">
        <f>$B15 * IFERROR(VLOOKUP("buildings|SO2|Work loss days", US_national_yearly!$D:$AM, 11, FALSE) / VLOOKUP("buildings|SO2|Work loss days", US_national_yearly!$D:$AM, 10, FALSE), 1)</f>
        <v>0.16303877283519125</v>
      </c>
      <c r="D15" s="7">
        <f>$B15 * IFERROR(VLOOKUP("buildings|SO2|Work loss days", US_national_yearly!$D:$AM, 12, FALSE) / VLOOKUP("buildings|SO2|Work loss days", US_national_yearly!$D:$AM, 10, FALSE), 1)</f>
        <v>0.16356676770625594</v>
      </c>
      <c r="E15" s="7">
        <f>$B15 * IFERROR(VLOOKUP("buildings|SO2|Work loss days", US_national_yearly!$D:$AM, 13, FALSE) / VLOOKUP("buildings|SO2|Work loss days", US_national_yearly!$D:$AM, 10, FALSE), 1)</f>
        <v>0.16409476257732061</v>
      </c>
      <c r="F15" s="7">
        <f>$B15 * IFERROR(VLOOKUP("buildings|SO2|Work loss days", US_national_yearly!$D:$AM, 14, FALSE) / VLOOKUP("buildings|SO2|Work loss days", US_national_yearly!$D:$AM, 10, FALSE), 1)</f>
        <v>0.16462275744838525</v>
      </c>
      <c r="G15" s="7">
        <f>$B15 * IFERROR(VLOOKUP("buildings|SO2|Work loss days", US_national_yearly!$D:$AM, 15, FALSE) / VLOOKUP("buildings|SO2|Work loss days", US_national_yearly!$D:$AM, 10, FALSE), 1)</f>
        <v>0.16531234796850378</v>
      </c>
      <c r="H15" s="7">
        <f>$B15 * IFERROR(VLOOKUP("buildings|SO2|Work loss days", US_national_yearly!$D:$AM, 16, FALSE) / VLOOKUP("buildings|SO2|Work loss days", US_national_yearly!$D:$AM, 10, FALSE), 1)</f>
        <v>0.16600193848862232</v>
      </c>
      <c r="I15" s="7">
        <f>$B15 * IFERROR(VLOOKUP("buildings|SO2|Work loss days", US_national_yearly!$D:$AM, 17, FALSE) / VLOOKUP("buildings|SO2|Work loss days", US_national_yearly!$D:$AM, 10, FALSE), 1)</f>
        <v>0.16701015842691086</v>
      </c>
      <c r="J15" s="7">
        <f>$B15 * IFERROR(VLOOKUP("buildings|SO2|Work loss days", US_national_yearly!$D:$AM, 18, FALSE) / VLOOKUP("buildings|SO2|Work loss days", US_national_yearly!$D:$AM, 10, FALSE), 1)</f>
        <v>0.16801837836519937</v>
      </c>
      <c r="K15" s="7">
        <f>$B15 * IFERROR(VLOOKUP("buildings|SO2|Work loss days", US_national_yearly!$D:$AM, 19, FALSE) / VLOOKUP("buildings|SO2|Work loss days", US_national_yearly!$D:$AM, 10, FALSE), 1)</f>
        <v>0.16902659830348787</v>
      </c>
      <c r="L15" s="7">
        <f>$B15 * IFERROR(VLOOKUP("buildings|SO2|Work loss days", US_national_yearly!$D:$AM, 20, FALSE) / VLOOKUP("buildings|SO2|Work loss days", US_national_yearly!$D:$AM, 10, FALSE), 1)</f>
        <v>0.17003481824177638</v>
      </c>
      <c r="M15" s="7">
        <f>$B15 * IFERROR(VLOOKUP("buildings|SO2|Work loss days", US_national_yearly!$D:$AM, 21, FALSE) / VLOOKUP("buildings|SO2|Work loss days", US_national_yearly!$D:$AM, 10, FALSE), 1)</f>
        <v>0.17104303818006486</v>
      </c>
      <c r="N15" s="7">
        <f>$B15 * IFERROR(VLOOKUP("buildings|SO2|Work loss days", US_national_yearly!$D:$AM, 22, FALSE) / VLOOKUP("buildings|SO2|Work loss days", US_national_yearly!$D:$AM, 10, FALSE), 1)</f>
        <v>0.17230732946674032</v>
      </c>
      <c r="O15" s="7">
        <f>$B15 * IFERROR(VLOOKUP("buildings|SO2|Work loss days", US_national_yearly!$D:$AM, 23, FALSE) / VLOOKUP("buildings|SO2|Work loss days", US_national_yearly!$D:$AM, 10, FALSE), 1)</f>
        <v>0.17357162075341576</v>
      </c>
      <c r="P15" s="7">
        <f>$B15 * IFERROR(VLOOKUP("buildings|SO2|Work loss days", US_national_yearly!$D:$AM, 24, FALSE) / VLOOKUP("buildings|SO2|Work loss days", US_national_yearly!$D:$AM, 10, FALSE), 1)</f>
        <v>0.17483591204009119</v>
      </c>
      <c r="Q15" s="7">
        <f>$B15 * IFERROR(VLOOKUP("buildings|SO2|Work loss days", US_national_yearly!$D:$AM, 25, FALSE) / VLOOKUP("buildings|SO2|Work loss days", US_national_yearly!$D:$AM, 10, FALSE), 1)</f>
        <v>0.17610020332676665</v>
      </c>
      <c r="R15" s="7">
        <f>$B15 * IFERROR(VLOOKUP("buildings|SO2|Work loss days", US_national_yearly!$D:$AM, 26, FALSE) / VLOOKUP("buildings|SO2|Work loss days", US_national_yearly!$D:$AM, 10, FALSE), 1)</f>
        <v>0.17736449461344203</v>
      </c>
      <c r="S15" s="7">
        <f>$B15 * IFERROR(VLOOKUP("buildings|SO2|Work loss days", US_national_yearly!$D:$AM, 27, FALSE) / VLOOKUP("buildings|SO2|Work loss days", US_national_yearly!$D:$AM, 10, FALSE), 1)</f>
        <v>0.17877681872565337</v>
      </c>
      <c r="T15" s="7">
        <f>$B15 * IFERROR(VLOOKUP("buildings|SO2|Work loss days", US_national_yearly!$D:$AM, 28, FALSE) / VLOOKUP("buildings|SO2|Work loss days", US_national_yearly!$D:$AM, 10, FALSE), 1)</f>
        <v>0.18018914283786472</v>
      </c>
      <c r="U15" s="7">
        <f>$B15 * IFERROR(VLOOKUP("buildings|SO2|Work loss days", US_national_yearly!$D:$AM, 29, FALSE) / VLOOKUP("buildings|SO2|Work loss days", US_national_yearly!$D:$AM, 10, FALSE), 1)</f>
        <v>0.18160146695007606</v>
      </c>
      <c r="V15" s="7">
        <f>$B15 * IFERROR(VLOOKUP("buildings|SO2|Work loss days", US_national_yearly!$D:$AM, 30, FALSE) / VLOOKUP("buildings|SO2|Work loss days", US_national_yearly!$D:$AM, 10, FALSE), 1)</f>
        <v>0.18301379106228738</v>
      </c>
      <c r="W15" s="7">
        <f>$B15 * IFERROR(VLOOKUP("buildings|SO2|Work loss days", US_national_yearly!$D:$AM, 31, FALSE) / VLOOKUP("buildings|SO2|Work loss days", US_national_yearly!$D:$AM, 10, FALSE), 1)</f>
        <v>0.18442611517449872</v>
      </c>
      <c r="X15" s="7">
        <f>$B15 * IFERROR(VLOOKUP("buildings|SO2|Work loss days", US_national_yearly!$D:$AM, 32, FALSE) / VLOOKUP("buildings|SO2|Work loss days", US_national_yearly!$D:$AM, 10, FALSE), 1)</f>
        <v>0.18569421575104322</v>
      </c>
      <c r="Y15" s="7">
        <f>$B15 * IFERROR(VLOOKUP("buildings|SO2|Work loss days", US_national_yearly!$D:$AM, 33, FALSE) / VLOOKUP("buildings|SO2|Work loss days", US_national_yearly!$D:$AM, 10, FALSE), 1)</f>
        <v>0.18696231632758772</v>
      </c>
      <c r="Z15" s="7">
        <f>$B15 * IFERROR(VLOOKUP("buildings|SO2|Work loss days", US_national_yearly!$D:$AM, 34, FALSE) / VLOOKUP("buildings|SO2|Work loss days", US_national_yearly!$D:$AM, 10, FALSE), 1)</f>
        <v>0.1882304169041322</v>
      </c>
      <c r="AA15" s="7">
        <f>$B15 * IFERROR(VLOOKUP("buildings|SO2|Work loss days", US_national_yearly!$D:$AM, 35, FALSE) / VLOOKUP("buildings|SO2|Work loss days", US_national_yearly!$D:$AM, 10, FALSE), 1)</f>
        <v>0.1894985174806767</v>
      </c>
      <c r="AB15" s="7">
        <f>$B15 * IFERROR(VLOOKUP("buildings|SO2|Work loss days", US_national_yearly!$D:$AM, 36, FALSE) / VLOOKUP("buildings|SO2|Work loss days", US_national_yearly!$D:$AM, 10, FALSE), 1)</f>
        <v>0.19076661805722114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2.8430415857129149E-4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2.9290417698566861E-4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3.0150419540004577E-4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3.1010421381442294E-4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3.187042322288001E-4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3.2694253473979112E-4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3.3518083725078208E-4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3.4224104590685538E-4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3.4930125456292862E-4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3.5636146321900192E-4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3.6342167187507522E-4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3.7048188053114841E-4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3.7522266914926771E-4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3.7996345776738702E-4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3.8470424638550633E-4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3.8944503500362558E-4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3.9418582362174488E-4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3.966789042081802E-4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3.9917198479461546E-4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4.0166506538105072E-4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4.0415814596748604E-4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4.066512265539213E-4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4.083253357722645E-4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4.099994449906076E-4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4.1167355420895075E-4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4.1334766342729395E-4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4.1502177264563704E-4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1.3227056381825978E-2</v>
      </c>
      <c r="C2" s="7">
        <f>$B2 * IFERROR(VLOOKUP("industry|PM25|Premature mortality", US_national_yearly!$D:$AM, 11, FALSE) / VLOOKUP("industry|PM25|Premature mortality", US_national_yearly!$D:$AM, 10, FALSE), 1)</f>
        <v>1.3391776458403939E-2</v>
      </c>
      <c r="D2" s="7">
        <f>$B2 * IFERROR(VLOOKUP("industry|PM25|Premature mortality", US_national_yearly!$D:$AM, 12, FALSE) / VLOOKUP("industry|PM25|Premature mortality", US_national_yearly!$D:$AM, 10, FALSE), 1)</f>
        <v>1.3556496534981899E-2</v>
      </c>
      <c r="E2" s="7">
        <f>$B2 * IFERROR(VLOOKUP("industry|PM25|Premature mortality", US_national_yearly!$D:$AM, 13, FALSE) / VLOOKUP("industry|PM25|Premature mortality", US_national_yearly!$D:$AM, 10, FALSE), 1)</f>
        <v>1.372121661155986E-2</v>
      </c>
      <c r="F2" s="7">
        <f>$B2 * IFERROR(VLOOKUP("industry|PM25|Premature mortality", US_national_yearly!$D:$AM, 14, FALSE) / VLOOKUP("industry|PM25|Premature mortality", US_national_yearly!$D:$AM, 10, FALSE), 1)</f>
        <v>1.3885936688137819E-2</v>
      </c>
      <c r="G2" s="7">
        <f>$B2 * IFERROR(VLOOKUP("industry|PM25|Premature mortality", US_national_yearly!$D:$AM, 15, FALSE) / VLOOKUP("industry|PM25|Premature mortality", US_national_yearly!$D:$AM, 10, FALSE), 1)</f>
        <v>1.420639703861438E-2</v>
      </c>
      <c r="H2" s="7">
        <f>$B2 * IFERROR(VLOOKUP("industry|PM25|Premature mortality", US_national_yearly!$D:$AM, 16, FALSE) / VLOOKUP("industry|PM25|Premature mortality", US_national_yearly!$D:$AM, 10, FALSE), 1)</f>
        <v>1.4526857389090939E-2</v>
      </c>
      <c r="I2" s="7">
        <f>$B2 * IFERROR(VLOOKUP("industry|PM25|Premature mortality", US_national_yearly!$D:$AM, 17, FALSE) / VLOOKUP("industry|PM25|Premature mortality", US_national_yearly!$D:$AM, 10, FALSE), 1)</f>
        <v>1.4738456293196612E-2</v>
      </c>
      <c r="J2" s="7">
        <f>$B2 * IFERROR(VLOOKUP("industry|PM25|Premature mortality", US_national_yearly!$D:$AM, 18, FALSE) / VLOOKUP("industry|PM25|Premature mortality", US_national_yearly!$D:$AM, 10, FALSE), 1)</f>
        <v>1.4950055197302281E-2</v>
      </c>
      <c r="K2" s="7">
        <f>$B2 * IFERROR(VLOOKUP("industry|PM25|Premature mortality", US_national_yearly!$D:$AM, 19, FALSE) / VLOOKUP("industry|PM25|Premature mortality", US_national_yearly!$D:$AM, 10, FALSE), 1)</f>
        <v>1.5161654101407952E-2</v>
      </c>
      <c r="L2" s="7">
        <f>$B2 * IFERROR(VLOOKUP("industry|PM25|Premature mortality", US_national_yearly!$D:$AM, 20, FALSE) / VLOOKUP("industry|PM25|Premature mortality", US_national_yearly!$D:$AM, 10, FALSE), 1)</f>
        <v>1.5373253005513621E-2</v>
      </c>
      <c r="M2" s="7">
        <f>$B2 * IFERROR(VLOOKUP("industry|PM25|Premature mortality", US_national_yearly!$D:$AM, 21, FALSE) / VLOOKUP("industry|PM25|Premature mortality", US_national_yearly!$D:$AM, 10, FALSE), 1)</f>
        <v>1.5584851909619293E-2</v>
      </c>
      <c r="N2" s="7">
        <f>$B2 * IFERROR(VLOOKUP("industry|PM25|Premature mortality", US_national_yearly!$D:$AM, 22, FALSE) / VLOOKUP("industry|PM25|Premature mortality", US_national_yearly!$D:$AM, 10, FALSE), 1)</f>
        <v>1.5749705546960653E-2</v>
      </c>
      <c r="O2" s="7">
        <f>$B2 * IFERROR(VLOOKUP("industry|PM25|Premature mortality", US_national_yearly!$D:$AM, 23, FALSE) / VLOOKUP("industry|PM25|Premature mortality", US_national_yearly!$D:$AM, 10, FALSE), 1)</f>
        <v>1.5914559184302009E-2</v>
      </c>
      <c r="P2" s="7">
        <f>$B2 * IFERROR(VLOOKUP("industry|PM25|Premature mortality", US_national_yearly!$D:$AM, 24, FALSE) / VLOOKUP("industry|PM25|Premature mortality", US_national_yearly!$D:$AM, 10, FALSE), 1)</f>
        <v>1.6079412821643366E-2</v>
      </c>
      <c r="Q2" s="7">
        <f>$B2 * IFERROR(VLOOKUP("industry|PM25|Premature mortality", US_national_yearly!$D:$AM, 25, FALSE) / VLOOKUP("industry|PM25|Premature mortality", US_national_yearly!$D:$AM, 10, FALSE), 1)</f>
        <v>1.6244266458984725E-2</v>
      </c>
      <c r="R2" s="7">
        <f>$B2 * IFERROR(VLOOKUP("industry|PM25|Premature mortality", US_national_yearly!$D:$AM, 26, FALSE) / VLOOKUP("industry|PM25|Premature mortality", US_national_yearly!$D:$AM, 10, FALSE), 1)</f>
        <v>1.6409120096326082E-2</v>
      </c>
      <c r="S2" s="7">
        <f>$B2 * IFERROR(VLOOKUP("industry|PM25|Premature mortality", US_national_yearly!$D:$AM, 27, FALSE) / VLOOKUP("industry|PM25|Premature mortality", US_national_yearly!$D:$AM, 10, FALSE), 1)</f>
        <v>1.6498134946114608E-2</v>
      </c>
      <c r="T2" s="7">
        <f>$B2 * IFERROR(VLOOKUP("industry|PM25|Premature mortality", US_national_yearly!$D:$AM, 28, FALSE) / VLOOKUP("industry|PM25|Premature mortality", US_national_yearly!$D:$AM, 10, FALSE), 1)</f>
        <v>1.6587149795903134E-2</v>
      </c>
      <c r="U2" s="7">
        <f>$B2 * IFERROR(VLOOKUP("industry|PM25|Premature mortality", US_national_yearly!$D:$AM, 29, FALSE) / VLOOKUP("industry|PM25|Premature mortality", US_national_yearly!$D:$AM, 10, FALSE), 1)</f>
        <v>1.6676164645691664E-2</v>
      </c>
      <c r="V2" s="7">
        <f>$B2 * IFERROR(VLOOKUP("industry|PM25|Premature mortality", US_national_yearly!$D:$AM, 30, FALSE) / VLOOKUP("industry|PM25|Premature mortality", US_national_yearly!$D:$AM, 10, FALSE), 1)</f>
        <v>1.676517949548019E-2</v>
      </c>
      <c r="W2" s="7">
        <f>$B2 * IFERROR(VLOOKUP("industry|PM25|Premature mortality", US_national_yearly!$D:$AM, 31, FALSE) / VLOOKUP("industry|PM25|Premature mortality", US_national_yearly!$D:$AM, 10, FALSE), 1)</f>
        <v>1.6854194345268716E-2</v>
      </c>
      <c r="X2" s="7">
        <f>$B2 * IFERROR(VLOOKUP("industry|PM25|Premature mortality", US_national_yearly!$D:$AM, 32, FALSE) / VLOOKUP("industry|PM25|Premature mortality", US_national_yearly!$D:$AM, 10, FALSE), 1)</f>
        <v>1.6872572791722343E-2</v>
      </c>
      <c r="Y2" s="7">
        <f>$B2 * IFERROR(VLOOKUP("industry|PM25|Premature mortality", US_national_yearly!$D:$AM, 33, FALSE) / VLOOKUP("industry|PM25|Premature mortality", US_national_yearly!$D:$AM, 10, FALSE), 1)</f>
        <v>1.689095123817598E-2</v>
      </c>
      <c r="Z2" s="7">
        <f>$B2 * IFERROR(VLOOKUP("industry|PM25|Premature mortality", US_national_yearly!$D:$AM, 34, FALSE) / VLOOKUP("industry|PM25|Premature mortality", US_national_yearly!$D:$AM, 10, FALSE), 1)</f>
        <v>1.6909329684629607E-2</v>
      </c>
      <c r="AA2" s="7">
        <f>$B2 * IFERROR(VLOOKUP("industry|PM25|Premature mortality", US_national_yearly!$D:$AM, 35, FALSE) / VLOOKUP("industry|PM25|Premature mortality", US_national_yearly!$D:$AM, 10, FALSE), 1)</f>
        <v>1.6927708131083241E-2</v>
      </c>
      <c r="AB2" s="7">
        <f>$B2 * IFERROR(VLOOKUP("industry|PM25|Premature mortality", US_national_yearly!$D:$AM, 36, FALSE) / VLOOKUP("industry|PM25|Premature mortality", US_national_yearly!$D:$AM, 10, FALSE), 1)</f>
        <v>1.6946086577536872E-2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4.246415054707801E-5</v>
      </c>
      <c r="C3" s="7">
        <f>$B3 * IFERROR(VLOOKUP("industry|PM25|Infant mortality", US_national_yearly!$D:$AM, 11, FALSE) / VLOOKUP("industry|PM25|Infant mortality", US_national_yearly!$D:$AM, 10, FALSE), 1)</f>
        <v>4.2094421606758762E-5</v>
      </c>
      <c r="D3" s="7">
        <f>$B3 * IFERROR(VLOOKUP("industry|PM25|Infant mortality", US_national_yearly!$D:$AM, 12, FALSE) / VLOOKUP("industry|PM25|Infant mortality", US_national_yearly!$D:$AM, 10, FALSE), 1)</f>
        <v>4.1724692666439508E-5</v>
      </c>
      <c r="E3" s="7">
        <f>$B3 * IFERROR(VLOOKUP("industry|PM25|Infant mortality", US_national_yearly!$D:$AM, 13, FALSE) / VLOOKUP("industry|PM25|Infant mortality", US_national_yearly!$D:$AM, 10, FALSE), 1)</f>
        <v>4.1354963726120246E-5</v>
      </c>
      <c r="F3" s="7">
        <f>$B3 * IFERROR(VLOOKUP("industry|PM25|Infant mortality", US_national_yearly!$D:$AM, 14, FALSE) / VLOOKUP("industry|PM25|Infant mortality", US_national_yearly!$D:$AM, 10, FALSE), 1)</f>
        <v>4.0985234785800998E-5</v>
      </c>
      <c r="G3" s="7">
        <f>$B3 * IFERROR(VLOOKUP("industry|PM25|Infant mortality", US_national_yearly!$D:$AM, 15, FALSE) / VLOOKUP("industry|PM25|Infant mortality", US_national_yearly!$D:$AM, 10, FALSE), 1)</f>
        <v>2.7232024597111172E-5</v>
      </c>
      <c r="H3" s="7">
        <f>$B3 * IFERROR(VLOOKUP("industry|PM25|Infant mortality", US_national_yearly!$D:$AM, 16, FALSE) / VLOOKUP("industry|PM25|Infant mortality", US_national_yearly!$D:$AM, 10, FALSE), 1)</f>
        <v>1.3478814408421349E-5</v>
      </c>
      <c r="I3" s="7">
        <f>$B3 * IFERROR(VLOOKUP("industry|PM25|Infant mortality", US_national_yearly!$D:$AM, 17, FALSE) / VLOOKUP("industry|PM25|Infant mortality", US_national_yearly!$D:$AM, 10, FALSE), 1)</f>
        <v>1.338909960419835E-5</v>
      </c>
      <c r="J3" s="7">
        <f>$B3 * IFERROR(VLOOKUP("industry|PM25|Infant mortality", US_national_yearly!$D:$AM, 18, FALSE) / VLOOKUP("industry|PM25|Infant mortality", US_national_yearly!$D:$AM, 10, FALSE), 1)</f>
        <v>1.3299384799975352E-5</v>
      </c>
      <c r="K3" s="7">
        <f>$B3 * IFERROR(VLOOKUP("industry|PM25|Infant mortality", US_national_yearly!$D:$AM, 19, FALSE) / VLOOKUP("industry|PM25|Infant mortality", US_national_yearly!$D:$AM, 10, FALSE), 1)</f>
        <v>1.3209669995752353E-5</v>
      </c>
      <c r="L3" s="7">
        <f>$B3 * IFERROR(VLOOKUP("industry|PM25|Infant mortality", US_national_yearly!$D:$AM, 20, FALSE) / VLOOKUP("industry|PM25|Infant mortality", US_national_yearly!$D:$AM, 10, FALSE), 1)</f>
        <v>1.3119955191529352E-5</v>
      </c>
      <c r="M3" s="7">
        <f>$B3 * IFERROR(VLOOKUP("industry|PM25|Infant mortality", US_national_yearly!$D:$AM, 21, FALSE) / VLOOKUP("industry|PM25|Infant mortality", US_national_yearly!$D:$AM, 10, FALSE), 1)</f>
        <v>1.3030240387306356E-5</v>
      </c>
      <c r="N3" s="7">
        <f>$B3 * IFERROR(VLOOKUP("industry|PM25|Infant mortality", US_national_yearly!$D:$AM, 22, FALSE) / VLOOKUP("industry|PM25|Infant mortality", US_national_yearly!$D:$AM, 10, FALSE), 1)</f>
        <v>1.2972993605862081E-5</v>
      </c>
      <c r="O3" s="7">
        <f>$B3 * IFERROR(VLOOKUP("industry|PM25|Infant mortality", US_national_yearly!$D:$AM, 23, FALSE) / VLOOKUP("industry|PM25|Infant mortality", US_national_yearly!$D:$AM, 10, FALSE), 1)</f>
        <v>1.2915746824417809E-5</v>
      </c>
      <c r="P3" s="7">
        <f>$B3 * IFERROR(VLOOKUP("industry|PM25|Infant mortality", US_national_yearly!$D:$AM, 24, FALSE) / VLOOKUP("industry|PM25|Infant mortality", US_national_yearly!$D:$AM, 10, FALSE), 1)</f>
        <v>1.285850004297354E-5</v>
      </c>
      <c r="Q3" s="7">
        <f>$B3 * IFERROR(VLOOKUP("industry|PM25|Infant mortality", US_national_yearly!$D:$AM, 25, FALSE) / VLOOKUP("industry|PM25|Infant mortality", US_national_yearly!$D:$AM, 10, FALSE), 1)</f>
        <v>1.2801253261529268E-5</v>
      </c>
      <c r="R3" s="7">
        <f>$B3 * IFERROR(VLOOKUP("industry|PM25|Infant mortality", US_national_yearly!$D:$AM, 26, FALSE) / VLOOKUP("industry|PM25|Infant mortality", US_national_yearly!$D:$AM, 10, FALSE), 1)</f>
        <v>1.2744006480084996E-5</v>
      </c>
      <c r="S3" s="7">
        <f>$B3 * IFERROR(VLOOKUP("industry|PM25|Infant mortality", US_national_yearly!$D:$AM, 27, FALSE) / VLOOKUP("industry|PM25|Infant mortality", US_national_yearly!$D:$AM, 10, FALSE), 1)</f>
        <v>1.2673598107741598E-5</v>
      </c>
      <c r="T3" s="7">
        <f>$B3 * IFERROR(VLOOKUP("industry|PM25|Infant mortality", US_national_yearly!$D:$AM, 28, FALSE) / VLOOKUP("industry|PM25|Infant mortality", US_national_yearly!$D:$AM, 10, FALSE), 1)</f>
        <v>1.2603189735398201E-5</v>
      </c>
      <c r="U3" s="7">
        <f>$B3 * IFERROR(VLOOKUP("industry|PM25|Infant mortality", US_national_yearly!$D:$AM, 29, FALSE) / VLOOKUP("industry|PM25|Infant mortality", US_national_yearly!$D:$AM, 10, FALSE), 1)</f>
        <v>1.2532781363054802E-5</v>
      </c>
      <c r="V3" s="7">
        <f>$B3 * IFERROR(VLOOKUP("industry|PM25|Infant mortality", US_national_yearly!$D:$AM, 30, FALSE) / VLOOKUP("industry|PM25|Infant mortality", US_national_yearly!$D:$AM, 10, FALSE), 1)</f>
        <v>1.2462372990711405E-5</v>
      </c>
      <c r="W3" s="7">
        <f>$B3 * IFERROR(VLOOKUP("industry|PM25|Infant mortality", US_national_yearly!$D:$AM, 31, FALSE) / VLOOKUP("industry|PM25|Infant mortality", US_national_yearly!$D:$AM, 10, FALSE), 1)</f>
        <v>1.2391964618368008E-5</v>
      </c>
      <c r="X3" s="7">
        <f>$B3 * IFERROR(VLOOKUP("industry|PM25|Infant mortality", US_national_yearly!$D:$AM, 32, FALSE) / VLOOKUP("industry|PM25|Infant mortality", US_national_yearly!$D:$AM, 10, FALSE), 1)</f>
        <v>1.231672445010563E-5</v>
      </c>
      <c r="Y3" s="7">
        <f>$B3 * IFERROR(VLOOKUP("industry|PM25|Infant mortality", US_national_yearly!$D:$AM, 33, FALSE) / VLOOKUP("industry|PM25|Infant mortality", US_national_yearly!$D:$AM, 10, FALSE), 1)</f>
        <v>1.224148428184325E-5</v>
      </c>
      <c r="Z3" s="7">
        <f>$B3 * IFERROR(VLOOKUP("industry|PM25|Infant mortality", US_national_yearly!$D:$AM, 34, FALSE) / VLOOKUP("industry|PM25|Infant mortality", US_national_yearly!$D:$AM, 10, FALSE), 1)</f>
        <v>1.2166244113580871E-5</v>
      </c>
      <c r="AA3" s="7">
        <f>$B3 * IFERROR(VLOOKUP("industry|PM25|Infant mortality", US_national_yearly!$D:$AM, 35, FALSE) / VLOOKUP("industry|PM25|Infant mortality", US_national_yearly!$D:$AM, 10, FALSE), 1)</f>
        <v>1.2091003945318491E-5</v>
      </c>
      <c r="AB3" s="7">
        <f>$B3 * IFERROR(VLOOKUP("industry|PM25|Infant mortality", US_national_yearly!$D:$AM, 36, FALSE) / VLOOKUP("industry|PM25|Infant mortality", US_national_yearly!$D:$AM, 10, FALSE), 1)</f>
        <v>1.2015763777056111E-5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3.8451942262363988E-2</v>
      </c>
      <c r="C6" s="7">
        <f>$B6 * IFERROR(VLOOKUP("industry|PM25|Asthma symptoms cough", US_national_yearly!$D:$AM, 11, FALSE) / VLOOKUP("industry|PM25|Asthma symptoms cough", US_national_yearly!$D:$AM, 10, FALSE), 1)</f>
        <v>3.8451942262363988E-2</v>
      </c>
      <c r="D6" s="7">
        <f>$B6 * IFERROR(VLOOKUP("industry|PM25|Asthma symptoms cough", US_national_yearly!$D:$AM, 12, FALSE) / VLOOKUP("industry|PM25|Asthma symptoms cough", US_national_yearly!$D:$AM, 10, FALSE), 1)</f>
        <v>3.8451942262363988E-2</v>
      </c>
      <c r="E6" s="7">
        <f>$B6 * IFERROR(VLOOKUP("industry|PM25|Asthma symptoms cough", US_national_yearly!$D:$AM, 13, FALSE) / VLOOKUP("industry|PM25|Asthma symptoms cough", US_national_yearly!$D:$AM, 10, FALSE), 1)</f>
        <v>3.8451942262363988E-2</v>
      </c>
      <c r="F6" s="7">
        <f>$B6 * IFERROR(VLOOKUP("industry|PM25|Asthma symptoms cough", US_national_yearly!$D:$AM, 14, FALSE) / VLOOKUP("industry|PM25|Asthma symptoms cough", US_national_yearly!$D:$AM, 10, FALSE), 1)</f>
        <v>3.8451942262363988E-2</v>
      </c>
      <c r="G6" s="7">
        <f>$B6 * IFERROR(VLOOKUP("industry|PM25|Asthma symptoms cough", US_national_yearly!$D:$AM, 15, FALSE) / VLOOKUP("industry|PM25|Asthma symptoms cough", US_national_yearly!$D:$AM, 10, FALSE), 1)</f>
        <v>3.8451942262363988E-2</v>
      </c>
      <c r="H6" s="7">
        <f>$B6 * IFERROR(VLOOKUP("industry|PM25|Asthma symptoms cough", US_national_yearly!$D:$AM, 16, FALSE) / VLOOKUP("industry|PM25|Asthma symptoms cough", US_national_yearly!$D:$AM, 10, FALSE), 1)</f>
        <v>3.8451942262363988E-2</v>
      </c>
      <c r="I6" s="7">
        <f>$B6 * IFERROR(VLOOKUP("industry|PM25|Asthma symptoms cough", US_national_yearly!$D:$AM, 17, FALSE) / VLOOKUP("industry|PM25|Asthma symptoms cough", US_national_yearly!$D:$AM, 10, FALSE), 1)</f>
        <v>3.8451942262363988E-2</v>
      </c>
      <c r="J6" s="7">
        <f>$B6 * IFERROR(VLOOKUP("industry|PM25|Asthma symptoms cough", US_national_yearly!$D:$AM, 18, FALSE) / VLOOKUP("industry|PM25|Asthma symptoms cough", US_national_yearly!$D:$AM, 10, FALSE), 1)</f>
        <v>3.8451942262363988E-2</v>
      </c>
      <c r="K6" s="7">
        <f>$B6 * IFERROR(VLOOKUP("industry|PM25|Asthma symptoms cough", US_national_yearly!$D:$AM, 19, FALSE) / VLOOKUP("industry|PM25|Asthma symptoms cough", US_national_yearly!$D:$AM, 10, FALSE), 1)</f>
        <v>3.8451942262363988E-2</v>
      </c>
      <c r="L6" s="7">
        <f>$B6 * IFERROR(VLOOKUP("industry|PM25|Asthma symptoms cough", US_national_yearly!$D:$AM, 20, FALSE) / VLOOKUP("industry|PM25|Asthma symptoms cough", US_national_yearly!$D:$AM, 10, FALSE), 1)</f>
        <v>3.8451942262363988E-2</v>
      </c>
      <c r="M6" s="7">
        <f>$B6 * IFERROR(VLOOKUP("industry|PM25|Asthma symptoms cough", US_national_yearly!$D:$AM, 21, FALSE) / VLOOKUP("industry|PM25|Asthma symptoms cough", US_national_yearly!$D:$AM, 10, FALSE), 1)</f>
        <v>3.8451942262363988E-2</v>
      </c>
      <c r="N6" s="7">
        <f>$B6 * IFERROR(VLOOKUP("industry|PM25|Asthma symptoms cough", US_national_yearly!$D:$AM, 22, FALSE) / VLOOKUP("industry|PM25|Asthma symptoms cough", US_national_yearly!$D:$AM, 10, FALSE), 1)</f>
        <v>3.8451942262363988E-2</v>
      </c>
      <c r="O6" s="7">
        <f>$B6 * IFERROR(VLOOKUP("industry|PM25|Asthma symptoms cough", US_national_yearly!$D:$AM, 23, FALSE) / VLOOKUP("industry|PM25|Asthma symptoms cough", US_national_yearly!$D:$AM, 10, FALSE), 1)</f>
        <v>3.8451942262363988E-2</v>
      </c>
      <c r="P6" s="7">
        <f>$B6 * IFERROR(VLOOKUP("industry|PM25|Asthma symptoms cough", US_national_yearly!$D:$AM, 24, FALSE) / VLOOKUP("industry|PM25|Asthma symptoms cough", US_national_yearly!$D:$AM, 10, FALSE), 1)</f>
        <v>3.8451942262363988E-2</v>
      </c>
      <c r="Q6" s="7">
        <f>$B6 * IFERROR(VLOOKUP("industry|PM25|Asthma symptoms cough", US_national_yearly!$D:$AM, 25, FALSE) / VLOOKUP("industry|PM25|Asthma symptoms cough", US_national_yearly!$D:$AM, 10, FALSE), 1)</f>
        <v>3.8451942262363988E-2</v>
      </c>
      <c r="R6" s="7">
        <f>$B6 * IFERROR(VLOOKUP("industry|PM25|Asthma symptoms cough", US_national_yearly!$D:$AM, 26, FALSE) / VLOOKUP("industry|PM25|Asthma symptoms cough", US_national_yearly!$D:$AM, 10, FALSE), 1)</f>
        <v>3.8451942262363988E-2</v>
      </c>
      <c r="S6" s="7">
        <f>$B6 * IFERROR(VLOOKUP("industry|PM25|Asthma symptoms cough", US_national_yearly!$D:$AM, 27, FALSE) / VLOOKUP("industry|PM25|Asthma symptoms cough", US_national_yearly!$D:$AM, 10, FALSE), 1)</f>
        <v>3.8451942262363988E-2</v>
      </c>
      <c r="T6" s="7">
        <f>$B6 * IFERROR(VLOOKUP("industry|PM25|Asthma symptoms cough", US_national_yearly!$D:$AM, 28, FALSE) / VLOOKUP("industry|PM25|Asthma symptoms cough", US_national_yearly!$D:$AM, 10, FALSE), 1)</f>
        <v>3.8451942262363988E-2</v>
      </c>
      <c r="U6" s="7">
        <f>$B6 * IFERROR(VLOOKUP("industry|PM25|Asthma symptoms cough", US_national_yearly!$D:$AM, 29, FALSE) / VLOOKUP("industry|PM25|Asthma symptoms cough", US_national_yearly!$D:$AM, 10, FALSE), 1)</f>
        <v>3.8451942262363988E-2</v>
      </c>
      <c r="V6" s="7">
        <f>$B6 * IFERROR(VLOOKUP("industry|PM25|Asthma symptoms cough", US_national_yearly!$D:$AM, 30, FALSE) / VLOOKUP("industry|PM25|Asthma symptoms cough", US_national_yearly!$D:$AM, 10, FALSE), 1)</f>
        <v>3.8451942262363988E-2</v>
      </c>
      <c r="W6" s="7">
        <f>$B6 * IFERROR(VLOOKUP("industry|PM25|Asthma symptoms cough", US_national_yearly!$D:$AM, 31, FALSE) / VLOOKUP("industry|PM25|Asthma symptoms cough", US_national_yearly!$D:$AM, 10, FALSE), 1)</f>
        <v>3.8451942262363988E-2</v>
      </c>
      <c r="X6" s="7">
        <f>$B6 * IFERROR(VLOOKUP("industry|PM25|Asthma symptoms cough", US_national_yearly!$D:$AM, 32, FALSE) / VLOOKUP("industry|PM25|Asthma symptoms cough", US_national_yearly!$D:$AM, 10, FALSE), 1)</f>
        <v>3.8451942262363988E-2</v>
      </c>
      <c r="Y6" s="7">
        <f>$B6 * IFERROR(VLOOKUP("industry|PM25|Asthma symptoms cough", US_national_yearly!$D:$AM, 33, FALSE) / VLOOKUP("industry|PM25|Asthma symptoms cough", US_national_yearly!$D:$AM, 10, FALSE), 1)</f>
        <v>3.8451942262363988E-2</v>
      </c>
      <c r="Z6" s="7">
        <f>$B6 * IFERROR(VLOOKUP("industry|PM25|Asthma symptoms cough", US_national_yearly!$D:$AM, 34, FALSE) / VLOOKUP("industry|PM25|Asthma symptoms cough", US_national_yearly!$D:$AM, 10, FALSE), 1)</f>
        <v>3.8451942262363988E-2</v>
      </c>
      <c r="AA6" s="7">
        <f>$B6 * IFERROR(VLOOKUP("industry|PM25|Asthma symptoms cough", US_national_yearly!$D:$AM, 35, FALSE) / VLOOKUP("industry|PM25|Asthma symptoms cough", US_national_yearly!$D:$AM, 10, FALSE), 1)</f>
        <v>3.8451942262363988E-2</v>
      </c>
      <c r="AB6" s="7">
        <f>$B6 * IFERROR(VLOOKUP("industry|PM25|Asthma symptoms cough", US_national_yearly!$D:$AM, 36, FALSE) / VLOOKUP("industry|PM25|Asthma symptoms cough", US_national_yearly!$D:$AM, 10, FALSE), 1)</f>
        <v>3.8451942262363988E-2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5.1777352299345283E-2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5.1777352299345283E-2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5.1777352299345283E-2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5.1777352299345283E-2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5.1777352299345283E-2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5.1777352299345283E-2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5.1777352299345283E-2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5.1777352299345283E-2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5.1777352299345283E-2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5.1777352299345283E-2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5.1777352299345283E-2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5.1777352299345283E-2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5.1777352299345283E-2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5.1777352299345283E-2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5.1777352299345283E-2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5.1777352299345283E-2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5.1777352299345283E-2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5.1777352299345283E-2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5.1777352299345283E-2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5.1777352299345283E-2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5.1777352299345283E-2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5.1777352299345283E-2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5.1777352299345283E-2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5.1777352299345283E-2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5.1777352299345283E-2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5.1777352299345283E-2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5.1777352299345283E-2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7.9120445485282478E-2</v>
      </c>
      <c r="C8" s="7">
        <f>$B8 * IFERROR(VLOOKUP("industry|PM25|Asthma symptoms wheeze", US_national_yearly!$D:$AM, 11, FALSE) / VLOOKUP("industry|PM25|Asthma symptoms wheeze", US_national_yearly!$D:$AM, 10, FALSE), 1)</f>
        <v>7.9120445485282478E-2</v>
      </c>
      <c r="D8" s="7">
        <f>$B8 * IFERROR(VLOOKUP("industry|PM25|Asthma symptoms wheeze", US_national_yearly!$D:$AM, 12, FALSE) / VLOOKUP("industry|PM25|Asthma symptoms wheeze", US_national_yearly!$D:$AM, 10, FALSE), 1)</f>
        <v>7.9120445485282478E-2</v>
      </c>
      <c r="E8" s="7">
        <f>$B8 * IFERROR(VLOOKUP("industry|PM25|Asthma symptoms wheeze", US_national_yearly!$D:$AM, 13, FALSE) / VLOOKUP("industry|PM25|Asthma symptoms wheeze", US_national_yearly!$D:$AM, 10, FALSE), 1)</f>
        <v>7.9120445485282478E-2</v>
      </c>
      <c r="F8" s="7">
        <f>$B8 * IFERROR(VLOOKUP("industry|PM25|Asthma symptoms wheeze", US_national_yearly!$D:$AM, 14, FALSE) / VLOOKUP("industry|PM25|Asthma symptoms wheeze", US_national_yearly!$D:$AM, 10, FALSE), 1)</f>
        <v>7.9120445485282478E-2</v>
      </c>
      <c r="G8" s="7">
        <f>$B8 * IFERROR(VLOOKUP("industry|PM25|Asthma symptoms wheeze", US_national_yearly!$D:$AM, 15, FALSE) / VLOOKUP("industry|PM25|Asthma symptoms wheeze", US_national_yearly!$D:$AM, 10, FALSE), 1)</f>
        <v>7.9120445485282478E-2</v>
      </c>
      <c r="H8" s="7">
        <f>$B8 * IFERROR(VLOOKUP("industry|PM25|Asthma symptoms wheeze", US_national_yearly!$D:$AM, 16, FALSE) / VLOOKUP("industry|PM25|Asthma symptoms wheeze", US_national_yearly!$D:$AM, 10, FALSE), 1)</f>
        <v>7.9120445485282478E-2</v>
      </c>
      <c r="I8" s="7">
        <f>$B8 * IFERROR(VLOOKUP("industry|PM25|Asthma symptoms wheeze", US_national_yearly!$D:$AM, 17, FALSE) / VLOOKUP("industry|PM25|Asthma symptoms wheeze", US_national_yearly!$D:$AM, 10, FALSE), 1)</f>
        <v>7.9120445485282478E-2</v>
      </c>
      <c r="J8" s="7">
        <f>$B8 * IFERROR(VLOOKUP("industry|PM25|Asthma symptoms wheeze", US_national_yearly!$D:$AM, 18, FALSE) / VLOOKUP("industry|PM25|Asthma symptoms wheeze", US_national_yearly!$D:$AM, 10, FALSE), 1)</f>
        <v>7.9120445485282478E-2</v>
      </c>
      <c r="K8" s="7">
        <f>$B8 * IFERROR(VLOOKUP("industry|PM25|Asthma symptoms wheeze", US_national_yearly!$D:$AM, 19, FALSE) / VLOOKUP("industry|PM25|Asthma symptoms wheeze", US_national_yearly!$D:$AM, 10, FALSE), 1)</f>
        <v>7.9120445485282478E-2</v>
      </c>
      <c r="L8" s="7">
        <f>$B8 * IFERROR(VLOOKUP("industry|PM25|Asthma symptoms wheeze", US_national_yearly!$D:$AM, 20, FALSE) / VLOOKUP("industry|PM25|Asthma symptoms wheeze", US_national_yearly!$D:$AM, 10, FALSE), 1)</f>
        <v>7.9120445485282478E-2</v>
      </c>
      <c r="M8" s="7">
        <f>$B8 * IFERROR(VLOOKUP("industry|PM25|Asthma symptoms wheeze", US_national_yearly!$D:$AM, 21, FALSE) / VLOOKUP("industry|PM25|Asthma symptoms wheeze", US_national_yearly!$D:$AM, 10, FALSE), 1)</f>
        <v>7.9120445485282478E-2</v>
      </c>
      <c r="N8" s="7">
        <f>$B8 * IFERROR(VLOOKUP("industry|PM25|Asthma symptoms wheeze", US_national_yearly!$D:$AM, 22, FALSE) / VLOOKUP("industry|PM25|Asthma symptoms wheeze", US_national_yearly!$D:$AM, 10, FALSE), 1)</f>
        <v>7.9120445485282478E-2</v>
      </c>
      <c r="O8" s="7">
        <f>$B8 * IFERROR(VLOOKUP("industry|PM25|Asthma symptoms wheeze", US_national_yearly!$D:$AM, 23, FALSE) / VLOOKUP("industry|PM25|Asthma symptoms wheeze", US_national_yearly!$D:$AM, 10, FALSE), 1)</f>
        <v>7.9120445485282478E-2</v>
      </c>
      <c r="P8" s="7">
        <f>$B8 * IFERROR(VLOOKUP("industry|PM25|Asthma symptoms wheeze", US_national_yearly!$D:$AM, 24, FALSE) / VLOOKUP("industry|PM25|Asthma symptoms wheeze", US_national_yearly!$D:$AM, 10, FALSE), 1)</f>
        <v>7.9120445485282478E-2</v>
      </c>
      <c r="Q8" s="7">
        <f>$B8 * IFERROR(VLOOKUP("industry|PM25|Asthma symptoms wheeze", US_national_yearly!$D:$AM, 25, FALSE) / VLOOKUP("industry|PM25|Asthma symptoms wheeze", US_national_yearly!$D:$AM, 10, FALSE), 1)</f>
        <v>7.9120445485282478E-2</v>
      </c>
      <c r="R8" s="7">
        <f>$B8 * IFERROR(VLOOKUP("industry|PM25|Asthma symptoms wheeze", US_national_yearly!$D:$AM, 26, FALSE) / VLOOKUP("industry|PM25|Asthma symptoms wheeze", US_national_yearly!$D:$AM, 10, FALSE), 1)</f>
        <v>7.9120445485282478E-2</v>
      </c>
      <c r="S8" s="7">
        <f>$B8 * IFERROR(VLOOKUP("industry|PM25|Asthma symptoms wheeze", US_national_yearly!$D:$AM, 27, FALSE) / VLOOKUP("industry|PM25|Asthma symptoms wheeze", US_national_yearly!$D:$AM, 10, FALSE), 1)</f>
        <v>7.9120445485282478E-2</v>
      </c>
      <c r="T8" s="7">
        <f>$B8 * IFERROR(VLOOKUP("industry|PM25|Asthma symptoms wheeze", US_national_yearly!$D:$AM, 28, FALSE) / VLOOKUP("industry|PM25|Asthma symptoms wheeze", US_national_yearly!$D:$AM, 10, FALSE), 1)</f>
        <v>7.9120445485282478E-2</v>
      </c>
      <c r="U8" s="7">
        <f>$B8 * IFERROR(VLOOKUP("industry|PM25|Asthma symptoms wheeze", US_national_yearly!$D:$AM, 29, FALSE) / VLOOKUP("industry|PM25|Asthma symptoms wheeze", US_national_yearly!$D:$AM, 10, FALSE), 1)</f>
        <v>7.9120445485282478E-2</v>
      </c>
      <c r="V8" s="7">
        <f>$B8 * IFERROR(VLOOKUP("industry|PM25|Asthma symptoms wheeze", US_national_yearly!$D:$AM, 30, FALSE) / VLOOKUP("industry|PM25|Asthma symptoms wheeze", US_national_yearly!$D:$AM, 10, FALSE), 1)</f>
        <v>7.9120445485282478E-2</v>
      </c>
      <c r="W8" s="7">
        <f>$B8 * IFERROR(VLOOKUP("industry|PM25|Asthma symptoms wheeze", US_national_yearly!$D:$AM, 31, FALSE) / VLOOKUP("industry|PM25|Asthma symptoms wheeze", US_national_yearly!$D:$AM, 10, FALSE), 1)</f>
        <v>7.9120445485282478E-2</v>
      </c>
      <c r="X8" s="7">
        <f>$B8 * IFERROR(VLOOKUP("industry|PM25|Asthma symptoms wheeze", US_national_yearly!$D:$AM, 32, FALSE) / VLOOKUP("industry|PM25|Asthma symptoms wheeze", US_national_yearly!$D:$AM, 10, FALSE), 1)</f>
        <v>7.9120445485282478E-2</v>
      </c>
      <c r="Y8" s="7">
        <f>$B8 * IFERROR(VLOOKUP("industry|PM25|Asthma symptoms wheeze", US_national_yearly!$D:$AM, 33, FALSE) / VLOOKUP("industry|PM25|Asthma symptoms wheeze", US_national_yearly!$D:$AM, 10, FALSE), 1)</f>
        <v>7.9120445485282478E-2</v>
      </c>
      <c r="Z8" s="7">
        <f>$B8 * IFERROR(VLOOKUP("industry|PM25|Asthma symptoms wheeze", US_national_yearly!$D:$AM, 34, FALSE) / VLOOKUP("industry|PM25|Asthma symptoms wheeze", US_national_yearly!$D:$AM, 10, FALSE), 1)</f>
        <v>7.9120445485282478E-2</v>
      </c>
      <c r="AA8" s="7">
        <f>$B8 * IFERROR(VLOOKUP("industry|PM25|Asthma symptoms wheeze", US_national_yearly!$D:$AM, 35, FALSE) / VLOOKUP("industry|PM25|Asthma symptoms wheeze", US_national_yearly!$D:$AM, 10, FALSE), 1)</f>
        <v>7.9120445485282478E-2</v>
      </c>
      <c r="AB8" s="7">
        <f>$B8 * IFERROR(VLOOKUP("industry|PM25|Asthma symptoms wheeze", US_national_yearly!$D:$AM, 36, FALSE) / VLOOKUP("industry|PM25|Asthma symptoms wheeze", US_national_yearly!$D:$AM, 10, FALSE), 1)</f>
        <v>7.9120445485282478E-2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8.6113278522919679E-4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8.6602192143582447E-4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8.7091105764245216E-4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8.7580019384907984E-4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8.8068933005570774E-4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8.8597540849256887E-4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8.9126148692943022E-4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8.9627599734955568E-4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9.0129050776968113E-4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9.0630501818980637E-4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9.1131952860993182E-4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9.1633403903005727E-4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9.1988066178183862E-4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9.2342728453361975E-4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9.2697390728540099E-4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9.3052053003718212E-4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9.3406715278896346E-4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9.3741224507765597E-4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9.4075733736634847E-4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9.4410242965504109E-4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9.4744752194373359E-4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9.5079261423242631E-4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9.5401345177603528E-4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9.5723428931964425E-4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9.6045512686325344E-4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9.6367596440686263E-4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9.6689680195047171E-4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5.7926347668948944E-3</v>
      </c>
      <c r="C13" s="7">
        <f>$B13 * IFERROR(VLOOKUP("industry|PM25|Non-fatal heart attacks", US_national_yearly!$D:$AM, 11, FALSE) / VLOOKUP("industry|PM25|Non-fatal heart attacks", US_national_yearly!$D:$AM, 10, FALSE), 1)</f>
        <v>5.9612598838222888E-3</v>
      </c>
      <c r="D13" s="7">
        <f>$B13 * IFERROR(VLOOKUP("industry|PM25|Non-fatal heart attacks", US_national_yearly!$D:$AM, 12, FALSE) / VLOOKUP("industry|PM25|Non-fatal heart attacks", US_national_yearly!$D:$AM, 10, FALSE), 1)</f>
        <v>6.1298850007496814E-3</v>
      </c>
      <c r="E13" s="7">
        <f>$B13 * IFERROR(VLOOKUP("industry|PM25|Non-fatal heart attacks", US_national_yearly!$D:$AM, 13, FALSE) / VLOOKUP("industry|PM25|Non-fatal heart attacks", US_national_yearly!$D:$AM, 10, FALSE), 1)</f>
        <v>6.2985101176770749E-3</v>
      </c>
      <c r="F13" s="7">
        <f>$B13 * IFERROR(VLOOKUP("industry|PM25|Non-fatal heart attacks", US_national_yearly!$D:$AM, 14, FALSE) / VLOOKUP("industry|PM25|Non-fatal heart attacks", US_national_yearly!$D:$AM, 10, FALSE), 1)</f>
        <v>6.4671352346044693E-3</v>
      </c>
      <c r="G13" s="7">
        <f>$B13 * IFERROR(VLOOKUP("industry|PM25|Non-fatal heart attacks", US_national_yearly!$D:$AM, 15, FALSE) / VLOOKUP("industry|PM25|Non-fatal heart attacks", US_national_yearly!$D:$AM, 10, FALSE), 1)</f>
        <v>6.6263292015602713E-3</v>
      </c>
      <c r="H13" s="7">
        <f>$B13 * IFERROR(VLOOKUP("industry|PM25|Non-fatal heart attacks", US_national_yearly!$D:$AM, 16, FALSE) / VLOOKUP("industry|PM25|Non-fatal heart attacks", US_national_yearly!$D:$AM, 10, FALSE), 1)</f>
        <v>6.7855231685160751E-3</v>
      </c>
      <c r="I13" s="7">
        <f>$B13 * IFERROR(VLOOKUP("industry|PM25|Non-fatal heart attacks", US_national_yearly!$D:$AM, 17, FALSE) / VLOOKUP("industry|PM25|Non-fatal heart attacks", US_national_yearly!$D:$AM, 10, FALSE), 1)</f>
        <v>6.9140737670261611E-3</v>
      </c>
      <c r="J13" s="7">
        <f>$B13 * IFERROR(VLOOKUP("industry|PM25|Non-fatal heart attacks", US_national_yearly!$D:$AM, 18, FALSE) / VLOOKUP("industry|PM25|Non-fatal heart attacks", US_national_yearly!$D:$AM, 10, FALSE), 1)</f>
        <v>7.0426243655362453E-3</v>
      </c>
      <c r="K13" s="7">
        <f>$B13 * IFERROR(VLOOKUP("industry|PM25|Non-fatal heart attacks", US_national_yearly!$D:$AM, 19, FALSE) / VLOOKUP("industry|PM25|Non-fatal heart attacks", US_national_yearly!$D:$AM, 10, FALSE), 1)</f>
        <v>7.1711749640463295E-3</v>
      </c>
      <c r="L13" s="7">
        <f>$B13 * IFERROR(VLOOKUP("industry|PM25|Non-fatal heart attacks", US_national_yearly!$D:$AM, 20, FALSE) / VLOOKUP("industry|PM25|Non-fatal heart attacks", US_national_yearly!$D:$AM, 10, FALSE), 1)</f>
        <v>7.2997255625564146E-3</v>
      </c>
      <c r="M13" s="7">
        <f>$B13 * IFERROR(VLOOKUP("industry|PM25|Non-fatal heart attacks", US_national_yearly!$D:$AM, 21, FALSE) / VLOOKUP("industry|PM25|Non-fatal heart attacks", US_national_yearly!$D:$AM, 10, FALSE), 1)</f>
        <v>7.4282761610664988E-3</v>
      </c>
      <c r="N13" s="7">
        <f>$B13 * IFERROR(VLOOKUP("industry|PM25|Non-fatal heart attacks", US_national_yearly!$D:$AM, 22, FALSE) / VLOOKUP("industry|PM25|Non-fatal heart attacks", US_national_yearly!$D:$AM, 10, FALSE), 1)</f>
        <v>7.5113912821051431E-3</v>
      </c>
      <c r="O13" s="7">
        <f>$B13 * IFERROR(VLOOKUP("industry|PM25|Non-fatal heart attacks", US_national_yearly!$D:$AM, 23, FALSE) / VLOOKUP("industry|PM25|Non-fatal heart attacks", US_national_yearly!$D:$AM, 10, FALSE), 1)</f>
        <v>7.5945064031437866E-3</v>
      </c>
      <c r="P13" s="7">
        <f>$B13 * IFERROR(VLOOKUP("industry|PM25|Non-fatal heart attacks", US_national_yearly!$D:$AM, 24, FALSE) / VLOOKUP("industry|PM25|Non-fatal heart attacks", US_national_yearly!$D:$AM, 10, FALSE), 1)</f>
        <v>7.6776215241824309E-3</v>
      </c>
      <c r="Q13" s="7">
        <f>$B13 * IFERROR(VLOOKUP("industry|PM25|Non-fatal heart attacks", US_national_yearly!$D:$AM, 25, FALSE) / VLOOKUP("industry|PM25|Non-fatal heart attacks", US_national_yearly!$D:$AM, 10, FALSE), 1)</f>
        <v>7.7607366452210726E-3</v>
      </c>
      <c r="R13" s="7">
        <f>$B13 * IFERROR(VLOOKUP("industry|PM25|Non-fatal heart attacks", US_national_yearly!$D:$AM, 26, FALSE) / VLOOKUP("industry|PM25|Non-fatal heart attacks", US_national_yearly!$D:$AM, 10, FALSE), 1)</f>
        <v>7.843851766259716E-3</v>
      </c>
      <c r="S13" s="7">
        <f>$B13 * IFERROR(VLOOKUP("industry|PM25|Non-fatal heart attacks", US_national_yearly!$D:$AM, 27, FALSE) / VLOOKUP("industry|PM25|Non-fatal heart attacks", US_national_yearly!$D:$AM, 10, FALSE), 1)</f>
        <v>7.8882438673836142E-3</v>
      </c>
      <c r="T13" s="7">
        <f>$B13 * IFERROR(VLOOKUP("industry|PM25|Non-fatal heart attacks", US_national_yearly!$D:$AM, 28, FALSE) / VLOOKUP("industry|PM25|Non-fatal heart attacks", US_national_yearly!$D:$AM, 10, FALSE), 1)</f>
        <v>7.9326359685075142E-3</v>
      </c>
      <c r="U13" s="7">
        <f>$B13 * IFERROR(VLOOKUP("industry|PM25|Non-fatal heart attacks", US_national_yearly!$D:$AM, 29, FALSE) / VLOOKUP("industry|PM25|Non-fatal heart attacks", US_national_yearly!$D:$AM, 10, FALSE), 1)</f>
        <v>7.9770280696314123E-3</v>
      </c>
      <c r="V13" s="7">
        <f>$B13 * IFERROR(VLOOKUP("industry|PM25|Non-fatal heart attacks", US_national_yearly!$D:$AM, 30, FALSE) / VLOOKUP("industry|PM25|Non-fatal heart attacks", US_national_yearly!$D:$AM, 10, FALSE), 1)</f>
        <v>8.0214201707553088E-3</v>
      </c>
      <c r="W13" s="7">
        <f>$B13 * IFERROR(VLOOKUP("industry|PM25|Non-fatal heart attacks", US_national_yearly!$D:$AM, 31, FALSE) / VLOOKUP("industry|PM25|Non-fatal heart attacks", US_national_yearly!$D:$AM, 10, FALSE), 1)</f>
        <v>8.0658122718792087E-3</v>
      </c>
      <c r="X13" s="7">
        <f>$B13 * IFERROR(VLOOKUP("industry|PM25|Non-fatal heart attacks", US_national_yearly!$D:$AM, 32, FALSE) / VLOOKUP("industry|PM25|Non-fatal heart attacks", US_national_yearly!$D:$AM, 10, FALSE), 1)</f>
        <v>8.1000738090560263E-3</v>
      </c>
      <c r="Y13" s="7">
        <f>$B13 * IFERROR(VLOOKUP("industry|PM25|Non-fatal heart attacks", US_national_yearly!$D:$AM, 33, FALSE) / VLOOKUP("industry|PM25|Non-fatal heart attacks", US_national_yearly!$D:$AM, 10, FALSE), 1)</f>
        <v>8.1343353462328422E-3</v>
      </c>
      <c r="Z13" s="7">
        <f>$B13 * IFERROR(VLOOKUP("industry|PM25|Non-fatal heart attacks", US_national_yearly!$D:$AM, 34, FALSE) / VLOOKUP("industry|PM25|Non-fatal heart attacks", US_national_yearly!$D:$AM, 10, FALSE), 1)</f>
        <v>8.1685968834096581E-3</v>
      </c>
      <c r="AA13" s="7">
        <f>$B13 * IFERROR(VLOOKUP("industry|PM25|Non-fatal heart attacks", US_national_yearly!$D:$AM, 35, FALSE) / VLOOKUP("industry|PM25|Non-fatal heart attacks", US_national_yearly!$D:$AM, 10, FALSE), 1)</f>
        <v>8.2028584205864757E-3</v>
      </c>
      <c r="AB13" s="7">
        <f>$B13 * IFERROR(VLOOKUP("industry|PM25|Non-fatal heart attacks", US_national_yearly!$D:$AM, 36, FALSE) / VLOOKUP("industry|PM25|Non-fatal heart attacks", US_national_yearly!$D:$AM, 10, FALSE), 1)</f>
        <v>8.2371199577632916E-3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4.8223931719763495</v>
      </c>
      <c r="C14" s="7">
        <f>$B14 * IFERROR(VLOOKUP("industry|PM25|Minor restricted activity days", US_national_yearly!$D:$AM, 11, FALSE) / VLOOKUP("industry|PM25|Minor restricted activity days", US_national_yearly!$D:$AM, 10, FALSE), 1)</f>
        <v>4.8342040121940748</v>
      </c>
      <c r="D14" s="7">
        <f>$B14 * IFERROR(VLOOKUP("industry|PM25|Minor restricted activity days", US_national_yearly!$D:$AM, 12, FALSE) / VLOOKUP("industry|PM25|Minor restricted activity days", US_national_yearly!$D:$AM, 10, FALSE), 1)</f>
        <v>4.846014852411801</v>
      </c>
      <c r="E14" s="7">
        <f>$B14 * IFERROR(VLOOKUP("industry|PM25|Minor restricted activity days", US_national_yearly!$D:$AM, 13, FALSE) / VLOOKUP("industry|PM25|Minor restricted activity days", US_national_yearly!$D:$AM, 10, FALSE), 1)</f>
        <v>4.8578256926295262</v>
      </c>
      <c r="F14" s="7">
        <f>$B14 * IFERROR(VLOOKUP("industry|PM25|Minor restricted activity days", US_national_yearly!$D:$AM, 14, FALSE) / VLOOKUP("industry|PM25|Minor restricted activity days", US_national_yearly!$D:$AM, 10, FALSE), 1)</f>
        <v>4.8696365328472515</v>
      </c>
      <c r="G14" s="7">
        <f>$B14 * IFERROR(VLOOKUP("industry|PM25|Minor restricted activity days", US_national_yearly!$D:$AM, 15, FALSE) / VLOOKUP("industry|PM25|Minor restricted activity days", US_national_yearly!$D:$AM, 10, FALSE), 1)</f>
        <v>4.8869729266867346</v>
      </c>
      <c r="H14" s="7">
        <f>$B14 * IFERROR(VLOOKUP("industry|PM25|Minor restricted activity days", US_national_yearly!$D:$AM, 16, FALSE) / VLOOKUP("industry|PM25|Minor restricted activity days", US_national_yearly!$D:$AM, 10, FALSE), 1)</f>
        <v>4.9043093205262158</v>
      </c>
      <c r="I14" s="7">
        <f>$B14 * IFERROR(VLOOKUP("industry|PM25|Minor restricted activity days", US_national_yearly!$D:$AM, 17, FALSE) / VLOOKUP("industry|PM25|Minor restricted activity days", US_national_yearly!$D:$AM, 10, FALSE), 1)</f>
        <v>4.933759395997412</v>
      </c>
      <c r="J14" s="7">
        <f>$B14 * IFERROR(VLOOKUP("industry|PM25|Minor restricted activity days", US_national_yearly!$D:$AM, 18, FALSE) / VLOOKUP("industry|PM25|Minor restricted activity days", US_national_yearly!$D:$AM, 10, FALSE), 1)</f>
        <v>4.9632094714686099</v>
      </c>
      <c r="K14" s="7">
        <f>$B14 * IFERROR(VLOOKUP("industry|PM25|Minor restricted activity days", US_national_yearly!$D:$AM, 19, FALSE) / VLOOKUP("industry|PM25|Minor restricted activity days", US_national_yearly!$D:$AM, 10, FALSE), 1)</f>
        <v>4.9926595469398052</v>
      </c>
      <c r="L14" s="7">
        <f>$B14 * IFERROR(VLOOKUP("industry|PM25|Minor restricted activity days", US_national_yearly!$D:$AM, 20, FALSE) / VLOOKUP("industry|PM25|Minor restricted activity days", US_national_yearly!$D:$AM, 10, FALSE), 1)</f>
        <v>5.0221096224110022</v>
      </c>
      <c r="M14" s="7">
        <f>$B14 * IFERROR(VLOOKUP("industry|PM25|Minor restricted activity days", US_national_yearly!$D:$AM, 21, FALSE) / VLOOKUP("industry|PM25|Minor restricted activity days", US_national_yearly!$D:$AM, 10, FALSE), 1)</f>
        <v>5.0515596978821984</v>
      </c>
      <c r="N14" s="7">
        <f>$B14 * IFERROR(VLOOKUP("industry|PM25|Minor restricted activity days", US_national_yearly!$D:$AM, 22, FALSE) / VLOOKUP("industry|PM25|Minor restricted activity days", US_national_yearly!$D:$AM, 10, FALSE), 1)</f>
        <v>5.0917914089036991</v>
      </c>
      <c r="O14" s="7">
        <f>$B14 * IFERROR(VLOOKUP("industry|PM25|Minor restricted activity days", US_national_yearly!$D:$AM, 23, FALSE) / VLOOKUP("industry|PM25|Minor restricted activity days", US_national_yearly!$D:$AM, 10, FALSE), 1)</f>
        <v>5.1320231199252033</v>
      </c>
      <c r="P14" s="7">
        <f>$B14 * IFERROR(VLOOKUP("industry|PM25|Minor restricted activity days", US_national_yearly!$D:$AM, 24, FALSE) / VLOOKUP("industry|PM25|Minor restricted activity days", US_national_yearly!$D:$AM, 10, FALSE), 1)</f>
        <v>5.1722548309467031</v>
      </c>
      <c r="Q14" s="7">
        <f>$B14 * IFERROR(VLOOKUP("industry|PM25|Minor restricted activity days", US_national_yearly!$D:$AM, 25, FALSE) / VLOOKUP("industry|PM25|Minor restricted activity days", US_national_yearly!$D:$AM, 10, FALSE), 1)</f>
        <v>5.2124865419682092</v>
      </c>
      <c r="R14" s="7">
        <f>$B14 * IFERROR(VLOOKUP("industry|PM25|Minor restricted activity days", US_national_yearly!$D:$AM, 26, FALSE) / VLOOKUP("industry|PM25|Minor restricted activity days", US_national_yearly!$D:$AM, 10, FALSE), 1)</f>
        <v>5.252718252989709</v>
      </c>
      <c r="S14" s="7">
        <f>$B14 * IFERROR(VLOOKUP("industry|PM25|Minor restricted activity days", US_national_yearly!$D:$AM, 27, FALSE) / VLOOKUP("industry|PM25|Minor restricted activity days", US_national_yearly!$D:$AM, 10, FALSE), 1)</f>
        <v>5.2933362041715188</v>
      </c>
      <c r="T14" s="7">
        <f>$B14 * IFERROR(VLOOKUP("industry|PM25|Minor restricted activity days", US_national_yearly!$D:$AM, 28, FALSE) / VLOOKUP("industry|PM25|Minor restricted activity days", US_national_yearly!$D:$AM, 10, FALSE), 1)</f>
        <v>5.3339541553533287</v>
      </c>
      <c r="U14" s="7">
        <f>$B14 * IFERROR(VLOOKUP("industry|PM25|Minor restricted activity days", US_national_yearly!$D:$AM, 29, FALSE) / VLOOKUP("industry|PM25|Minor restricted activity days", US_national_yearly!$D:$AM, 10, FALSE), 1)</f>
        <v>5.3745721065351377</v>
      </c>
      <c r="V14" s="7">
        <f>$B14 * IFERROR(VLOOKUP("industry|PM25|Minor restricted activity days", US_national_yearly!$D:$AM, 30, FALSE) / VLOOKUP("industry|PM25|Minor restricted activity days", US_national_yearly!$D:$AM, 10, FALSE), 1)</f>
        <v>5.4151900577169476</v>
      </c>
      <c r="W14" s="7">
        <f>$B14 * IFERROR(VLOOKUP("industry|PM25|Minor restricted activity days", US_national_yearly!$D:$AM, 31, FALSE) / VLOOKUP("industry|PM25|Minor restricted activity days", US_national_yearly!$D:$AM, 10, FALSE), 1)</f>
        <v>5.4558080088987575</v>
      </c>
      <c r="X14" s="7">
        <f>$B14 * IFERROR(VLOOKUP("industry|PM25|Minor restricted activity days", US_national_yearly!$D:$AM, 32, FALSE) / VLOOKUP("industry|PM25|Minor restricted activity days", US_national_yearly!$D:$AM, 10, FALSE), 1)</f>
        <v>5.4911035209253676</v>
      </c>
      <c r="Y14" s="7">
        <f>$B14 * IFERROR(VLOOKUP("industry|PM25|Minor restricted activity days", US_national_yearly!$D:$AM, 33, FALSE) / VLOOKUP("industry|PM25|Minor restricted activity days", US_national_yearly!$D:$AM, 10, FALSE), 1)</f>
        <v>5.5263990329519785</v>
      </c>
      <c r="Z14" s="7">
        <f>$B14 * IFERROR(VLOOKUP("industry|PM25|Minor restricted activity days", US_national_yearly!$D:$AM, 34, FALSE) / VLOOKUP("industry|PM25|Minor restricted activity days", US_national_yearly!$D:$AM, 10, FALSE), 1)</f>
        <v>5.5616945449785895</v>
      </c>
      <c r="AA14" s="7">
        <f>$B14 * IFERROR(VLOOKUP("industry|PM25|Minor restricted activity days", US_national_yearly!$D:$AM, 35, FALSE) / VLOOKUP("industry|PM25|Minor restricted activity days", US_national_yearly!$D:$AM, 10, FALSE), 1)</f>
        <v>5.5969900570052005</v>
      </c>
      <c r="AB14" s="7">
        <f>$B14 * IFERROR(VLOOKUP("industry|PM25|Minor restricted activity days", US_national_yearly!$D:$AM, 36, FALSE) / VLOOKUP("industry|PM25|Minor restricted activity days", US_national_yearly!$D:$AM, 10, FALSE), 1)</f>
        <v>5.6322855690318114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0.81968971238434774</v>
      </c>
      <c r="C15" s="7">
        <f>$B15 * IFERROR(VLOOKUP("industry|PM25|Work loss days", US_national_yearly!$D:$AM, 11, FALSE) / VLOOKUP("industry|PM25|Work loss days", US_national_yearly!$D:$AM, 10, FALSE), 1)</f>
        <v>0.82223107959776176</v>
      </c>
      <c r="D15" s="7">
        <f>$B15 * IFERROR(VLOOKUP("industry|PM25|Work loss days", US_national_yearly!$D:$AM, 12, FALSE) / VLOOKUP("industry|PM25|Work loss days", US_national_yearly!$D:$AM, 10, FALSE), 1)</f>
        <v>0.8247724468111759</v>
      </c>
      <c r="E15" s="7">
        <f>$B15 * IFERROR(VLOOKUP("industry|PM25|Work loss days", US_national_yearly!$D:$AM, 13, FALSE) / VLOOKUP("industry|PM25|Work loss days", US_national_yearly!$D:$AM, 10, FALSE), 1)</f>
        <v>0.8273138140245897</v>
      </c>
      <c r="F15" s="7">
        <f>$B15 * IFERROR(VLOOKUP("industry|PM25|Work loss days", US_national_yearly!$D:$AM, 14, FALSE) / VLOOKUP("industry|PM25|Work loss days", US_national_yearly!$D:$AM, 10, FALSE), 1)</f>
        <v>0.82985518123800373</v>
      </c>
      <c r="G15" s="7">
        <f>$B15 * IFERROR(VLOOKUP("industry|PM25|Work loss days", US_national_yearly!$D:$AM, 15, FALSE) / VLOOKUP("industry|PM25|Work loss days", US_national_yearly!$D:$AM, 10, FALSE), 1)</f>
        <v>0.83317304740847731</v>
      </c>
      <c r="H15" s="7">
        <f>$B15 * IFERROR(VLOOKUP("industry|PM25|Work loss days", US_national_yearly!$D:$AM, 16, FALSE) / VLOOKUP("industry|PM25|Work loss days", US_national_yearly!$D:$AM, 10, FALSE), 1)</f>
        <v>0.83649091357895078</v>
      </c>
      <c r="I15" s="7">
        <f>$B15 * IFERROR(VLOOKUP("industry|PM25|Work loss days", US_national_yearly!$D:$AM, 17, FALSE) / VLOOKUP("industry|PM25|Work loss days", US_national_yearly!$D:$AM, 10, FALSE), 1)</f>
        <v>0.84134932560927644</v>
      </c>
      <c r="J15" s="7">
        <f>$B15 * IFERROR(VLOOKUP("industry|PM25|Work loss days", US_national_yearly!$D:$AM, 18, FALSE) / VLOOKUP("industry|PM25|Work loss days", US_national_yearly!$D:$AM, 10, FALSE), 1)</f>
        <v>0.84620773763960211</v>
      </c>
      <c r="K15" s="7">
        <f>$B15 * IFERROR(VLOOKUP("industry|PM25|Work loss days", US_national_yearly!$D:$AM, 19, FALSE) / VLOOKUP("industry|PM25|Work loss days", US_national_yearly!$D:$AM, 10, FALSE), 1)</f>
        <v>0.85106614966992755</v>
      </c>
      <c r="L15" s="7">
        <f>$B15 * IFERROR(VLOOKUP("industry|PM25|Work loss days", US_national_yearly!$D:$AM, 20, FALSE) / VLOOKUP("industry|PM25|Work loss days", US_national_yearly!$D:$AM, 10, FALSE), 1)</f>
        <v>0.85592456170025322</v>
      </c>
      <c r="M15" s="7">
        <f>$B15 * IFERROR(VLOOKUP("industry|PM25|Work loss days", US_national_yearly!$D:$AM, 21, FALSE) / VLOOKUP("industry|PM25|Work loss days", US_national_yearly!$D:$AM, 10, FALSE), 1)</f>
        <v>0.86078297373057888</v>
      </c>
      <c r="N15" s="7">
        <f>$B15 * IFERROR(VLOOKUP("industry|PM25|Work loss days", US_national_yearly!$D:$AM, 22, FALSE) / VLOOKUP("industry|PM25|Work loss days", US_national_yearly!$D:$AM, 10, FALSE), 1)</f>
        <v>0.86691365200795689</v>
      </c>
      <c r="O15" s="7">
        <f>$B15 * IFERROR(VLOOKUP("industry|PM25|Work loss days", US_national_yearly!$D:$AM, 23, FALSE) / VLOOKUP("industry|PM25|Work loss days", US_national_yearly!$D:$AM, 10, FALSE), 1)</f>
        <v>0.8730443302853349</v>
      </c>
      <c r="P15" s="7">
        <f>$B15 * IFERROR(VLOOKUP("industry|PM25|Work loss days", US_national_yearly!$D:$AM, 24, FALSE) / VLOOKUP("industry|PM25|Work loss days", US_national_yearly!$D:$AM, 10, FALSE), 1)</f>
        <v>0.8791750085627128</v>
      </c>
      <c r="Q15" s="7">
        <f>$B15 * IFERROR(VLOOKUP("industry|PM25|Work loss days", US_national_yearly!$D:$AM, 25, FALSE) / VLOOKUP("industry|PM25|Work loss days", US_national_yearly!$D:$AM, 10, FALSE), 1)</f>
        <v>0.88530568684009081</v>
      </c>
      <c r="R15" s="7">
        <f>$B15 * IFERROR(VLOOKUP("industry|PM25|Work loss days", US_national_yearly!$D:$AM, 26, FALSE) / VLOOKUP("industry|PM25|Work loss days", US_national_yearly!$D:$AM, 10, FALSE), 1)</f>
        <v>0.89143636511746871</v>
      </c>
      <c r="S15" s="7">
        <f>$B15 * IFERROR(VLOOKUP("industry|PM25|Work loss days", US_national_yearly!$D:$AM, 27, FALSE) / VLOOKUP("industry|PM25|Work loss days", US_national_yearly!$D:$AM, 10, FALSE), 1)</f>
        <v>0.89823441819016803</v>
      </c>
      <c r="T15" s="7">
        <f>$B15 * IFERROR(VLOOKUP("industry|PM25|Work loss days", US_national_yearly!$D:$AM, 28, FALSE) / VLOOKUP("industry|PM25|Work loss days", US_national_yearly!$D:$AM, 10, FALSE), 1)</f>
        <v>0.90503247126286712</v>
      </c>
      <c r="U15" s="7">
        <f>$B15 * IFERROR(VLOOKUP("industry|PM25|Work loss days", US_national_yearly!$D:$AM, 29, FALSE) / VLOOKUP("industry|PM25|Work loss days", US_national_yearly!$D:$AM, 10, FALSE), 1)</f>
        <v>0.91183052433556622</v>
      </c>
      <c r="V15" s="7">
        <f>$B15 * IFERROR(VLOOKUP("industry|PM25|Work loss days", US_national_yearly!$D:$AM, 30, FALSE) / VLOOKUP("industry|PM25|Work loss days", US_national_yearly!$D:$AM, 10, FALSE), 1)</f>
        <v>0.91862857740826542</v>
      </c>
      <c r="W15" s="7">
        <f>$B15 * IFERROR(VLOOKUP("industry|PM25|Work loss days", US_national_yearly!$D:$AM, 31, FALSE) / VLOOKUP("industry|PM25|Work loss days", US_national_yearly!$D:$AM, 10, FALSE), 1)</f>
        <v>0.92542663048096463</v>
      </c>
      <c r="X15" s="7">
        <f>$B15 * IFERROR(VLOOKUP("industry|PM25|Work loss days", US_national_yearly!$D:$AM, 32, FALSE) / VLOOKUP("industry|PM25|Work loss days", US_national_yearly!$D:$AM, 10, FALSE), 1)</f>
        <v>0.93146759451231886</v>
      </c>
      <c r="Y15" s="7">
        <f>$B15 * IFERROR(VLOOKUP("industry|PM25|Work loss days", US_national_yearly!$D:$AM, 33, FALSE) / VLOOKUP("industry|PM25|Work loss days", US_national_yearly!$D:$AM, 10, FALSE), 1)</f>
        <v>0.93750855854367332</v>
      </c>
      <c r="Z15" s="7">
        <f>$B15 * IFERROR(VLOOKUP("industry|PM25|Work loss days", US_national_yearly!$D:$AM, 34, FALSE) / VLOOKUP("industry|PM25|Work loss days", US_national_yearly!$D:$AM, 10, FALSE), 1)</f>
        <v>0.94354952257502778</v>
      </c>
      <c r="AA15" s="7">
        <f>$B15 * IFERROR(VLOOKUP("industry|PM25|Work loss days", US_national_yearly!$D:$AM, 35, FALSE) / VLOOKUP("industry|PM25|Work loss days", US_national_yearly!$D:$AM, 10, FALSE), 1)</f>
        <v>0.9495904866063819</v>
      </c>
      <c r="AB15" s="7">
        <f>$B15 * IFERROR(VLOOKUP("industry|PM25|Work loss days", US_national_yearly!$D:$AM, 36, FALSE) / VLOOKUP("industry|PM25|Work loss days", US_national_yearly!$D:$AM, 10, FALSE), 1)</f>
        <v>0.95563145063773636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1.4976243743076748E-3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1.5424192795009191E-3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1.5872141846941636E-3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1.6320090898874079E-3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1.6768039950806519E-3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1.719736682949221E-3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1.7626693708177898E-3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1.7995308457325716E-3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1.8363923206473531E-3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1.8732537955621353E-3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1.9101152704769171E-3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1.9469767453916989E-3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1.9716003496079819E-3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1.9962239538242645E-3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2.0208475580405475E-3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2.04547116225683E-3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2.070094766473113E-3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2.0832874964764854E-3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2.0964802264798583E-3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2.1096729564832311E-3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2.1228656864866035E-3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2.1360584164899763E-3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2.1451177923598888E-3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2.1541771682298005E-3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2.1632365440997126E-3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2.1722959199696242E-3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2.1813552958395363E-3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6.8079953885367462E-4</v>
      </c>
      <c r="C2" s="7">
        <f>$B2 * IFERROR(VLOOKUP("industry|NOx|Premature mortality", US_national_yearly!$D:$AM, 11, FALSE) / VLOOKUP("industry|NOx|Premature mortality", US_national_yearly!$D:$AM, 10, FALSE), 1)</f>
        <v>6.9086634293947808E-4</v>
      </c>
      <c r="D2" s="7">
        <f>$B2 * IFERROR(VLOOKUP("industry|NOx|Premature mortality", US_national_yearly!$D:$AM, 12, FALSE) / VLOOKUP("industry|NOx|Premature mortality", US_national_yearly!$D:$AM, 10, FALSE), 1)</f>
        <v>7.0093314702528164E-4</v>
      </c>
      <c r="E2" s="7">
        <f>$B2 * IFERROR(VLOOKUP("industry|NOx|Premature mortality", US_national_yearly!$D:$AM, 13, FALSE) / VLOOKUP("industry|NOx|Premature mortality", US_national_yearly!$D:$AM, 10, FALSE), 1)</f>
        <v>7.109999511110851E-4</v>
      </c>
      <c r="F2" s="7">
        <f>$B2 * IFERROR(VLOOKUP("industry|NOx|Premature mortality", US_national_yearly!$D:$AM, 14, FALSE) / VLOOKUP("industry|NOx|Premature mortality", US_national_yearly!$D:$AM, 10, FALSE), 1)</f>
        <v>7.2106675519688866E-4</v>
      </c>
      <c r="G2" s="7">
        <f>$B2 * IFERROR(VLOOKUP("industry|NOx|Premature mortality", US_national_yearly!$D:$AM, 15, FALSE) / VLOOKUP("industry|NOx|Premature mortality", US_national_yearly!$D:$AM, 10, FALSE), 1)</f>
        <v>7.3912030476460419E-4</v>
      </c>
      <c r="H2" s="7">
        <f>$B2 * IFERROR(VLOOKUP("industry|NOx|Premature mortality", US_national_yearly!$D:$AM, 16, FALSE) / VLOOKUP("industry|NOx|Premature mortality", US_national_yearly!$D:$AM, 10, FALSE), 1)</f>
        <v>7.5717385433231971E-4</v>
      </c>
      <c r="I2" s="7">
        <f>$B2 * IFERROR(VLOOKUP("industry|NOx|Premature mortality", US_national_yearly!$D:$AM, 17, FALSE) / VLOOKUP("industry|NOx|Premature mortality", US_national_yearly!$D:$AM, 10, FALSE), 1)</f>
        <v>7.6888579941135869E-4</v>
      </c>
      <c r="J2" s="7">
        <f>$B2 * IFERROR(VLOOKUP("industry|NOx|Premature mortality", US_national_yearly!$D:$AM, 18, FALSE) / VLOOKUP("industry|NOx|Premature mortality", US_national_yearly!$D:$AM, 10, FALSE), 1)</f>
        <v>7.8059774449039778E-4</v>
      </c>
      <c r="K2" s="7">
        <f>$B2 * IFERROR(VLOOKUP("industry|NOx|Premature mortality", US_national_yearly!$D:$AM, 19, FALSE) / VLOOKUP("industry|NOx|Premature mortality", US_national_yearly!$D:$AM, 10, FALSE), 1)</f>
        <v>7.9230968956943697E-4</v>
      </c>
      <c r="L2" s="7">
        <f>$B2 * IFERROR(VLOOKUP("industry|NOx|Premature mortality", US_national_yearly!$D:$AM, 20, FALSE) / VLOOKUP("industry|NOx|Premature mortality", US_national_yearly!$D:$AM, 10, FALSE), 1)</f>
        <v>8.0402163464847595E-4</v>
      </c>
      <c r="M2" s="7">
        <f>$B2 * IFERROR(VLOOKUP("industry|NOx|Premature mortality", US_national_yearly!$D:$AM, 21, FALSE) / VLOOKUP("industry|NOx|Premature mortality", US_national_yearly!$D:$AM, 10, FALSE), 1)</f>
        <v>8.1573357972751503E-4</v>
      </c>
      <c r="N2" s="7">
        <f>$B2 * IFERROR(VLOOKUP("industry|NOx|Premature mortality", US_national_yearly!$D:$AM, 22, FALSE) / VLOOKUP("industry|NOx|Premature mortality", US_national_yearly!$D:$AM, 10, FALSE), 1)</f>
        <v>8.2444879516326832E-4</v>
      </c>
      <c r="O2" s="7">
        <f>$B2 * IFERROR(VLOOKUP("industry|NOx|Premature mortality", US_national_yearly!$D:$AM, 23, FALSE) / VLOOKUP("industry|NOx|Premature mortality", US_national_yearly!$D:$AM, 10, FALSE), 1)</f>
        <v>8.3316401059902161E-4</v>
      </c>
      <c r="P2" s="7">
        <f>$B2 * IFERROR(VLOOKUP("industry|NOx|Premature mortality", US_national_yearly!$D:$AM, 24, FALSE) / VLOOKUP("industry|NOx|Premature mortality", US_national_yearly!$D:$AM, 10, FALSE), 1)</f>
        <v>8.4187922603477458E-4</v>
      </c>
      <c r="Q2" s="7">
        <f>$B2 * IFERROR(VLOOKUP("industry|NOx|Premature mortality", US_national_yearly!$D:$AM, 25, FALSE) / VLOOKUP("industry|NOx|Premature mortality", US_national_yearly!$D:$AM, 10, FALSE), 1)</f>
        <v>8.5059444147052787E-4</v>
      </c>
      <c r="R2" s="7">
        <f>$B2 * IFERROR(VLOOKUP("industry|NOx|Premature mortality", US_national_yearly!$D:$AM, 26, FALSE) / VLOOKUP("industry|NOx|Premature mortality", US_national_yearly!$D:$AM, 10, FALSE), 1)</f>
        <v>8.5930965690628105E-4</v>
      </c>
      <c r="S2" s="7">
        <f>$B2 * IFERROR(VLOOKUP("industry|NOx|Premature mortality", US_national_yearly!$D:$AM, 27, FALSE) / VLOOKUP("industry|NOx|Premature mortality", US_national_yearly!$D:$AM, 10, FALSE), 1)</f>
        <v>8.6336798738961861E-4</v>
      </c>
      <c r="T2" s="7">
        <f>$B2 * IFERROR(VLOOKUP("industry|NOx|Premature mortality", US_national_yearly!$D:$AM, 28, FALSE) / VLOOKUP("industry|NOx|Premature mortality", US_national_yearly!$D:$AM, 10, FALSE), 1)</f>
        <v>8.6742631787295628E-4</v>
      </c>
      <c r="U2" s="7">
        <f>$B2 * IFERROR(VLOOKUP("industry|NOx|Premature mortality", US_national_yearly!$D:$AM, 29, FALSE) / VLOOKUP("industry|NOx|Premature mortality", US_national_yearly!$D:$AM, 10, FALSE), 1)</f>
        <v>8.7148464835629395E-4</v>
      </c>
      <c r="V2" s="7">
        <f>$B2 * IFERROR(VLOOKUP("industry|NOx|Premature mortality", US_national_yearly!$D:$AM, 30, FALSE) / VLOOKUP("industry|NOx|Premature mortality", US_national_yearly!$D:$AM, 10, FALSE), 1)</f>
        <v>8.7554297883963151E-4</v>
      </c>
      <c r="W2" s="7">
        <f>$B2 * IFERROR(VLOOKUP("industry|NOx|Premature mortality", US_national_yearly!$D:$AM, 31, FALSE) / VLOOKUP("industry|NOx|Premature mortality", US_national_yearly!$D:$AM, 10, FALSE), 1)</f>
        <v>8.7960130932296908E-4</v>
      </c>
      <c r="X2" s="7">
        <f>$B2 * IFERROR(VLOOKUP("industry|NOx|Premature mortality", US_national_yearly!$D:$AM, 32, FALSE) / VLOOKUP("industry|NOx|Premature mortality", US_national_yearly!$D:$AM, 10, FALSE), 1)</f>
        <v>8.799114599177619E-4</v>
      </c>
      <c r="Y2" s="7">
        <f>$B2 * IFERROR(VLOOKUP("industry|NOx|Premature mortality", US_national_yearly!$D:$AM, 33, FALSE) / VLOOKUP("industry|NOx|Premature mortality", US_national_yearly!$D:$AM, 10, FALSE), 1)</f>
        <v>8.8022161051255472E-4</v>
      </c>
      <c r="Z2" s="7">
        <f>$B2 * IFERROR(VLOOKUP("industry|NOx|Premature mortality", US_national_yearly!$D:$AM, 34, FALSE) / VLOOKUP("industry|NOx|Premature mortality", US_national_yearly!$D:$AM, 10, FALSE), 1)</f>
        <v>8.8053176110734765E-4</v>
      </c>
      <c r="AA2" s="7">
        <f>$B2 * IFERROR(VLOOKUP("industry|NOx|Premature mortality", US_national_yearly!$D:$AM, 35, FALSE) / VLOOKUP("industry|NOx|Premature mortality", US_national_yearly!$D:$AM, 10, FALSE), 1)</f>
        <v>8.8084191170214048E-4</v>
      </c>
      <c r="AB2" s="7">
        <f>$B2 * IFERROR(VLOOKUP("industry|NOx|Premature mortality", US_national_yearly!$D:$AM, 36, FALSE) / VLOOKUP("industry|NOx|Premature mortality", US_national_yearly!$D:$AM, 10, FALSE), 1)</f>
        <v>8.811520622969333E-4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2.2287519966427893E-6</v>
      </c>
      <c r="C3" s="7">
        <f>$B3 * IFERROR(VLOOKUP("industry|NOx|Infant mortality", US_national_yearly!$D:$AM, 11, FALSE) / VLOOKUP("industry|NOx|Infant mortality", US_national_yearly!$D:$AM, 10, FALSE), 1)</f>
        <v>2.2074076122700006E-6</v>
      </c>
      <c r="D3" s="7">
        <f>$B3 * IFERROR(VLOOKUP("industry|NOx|Infant mortality", US_national_yearly!$D:$AM, 12, FALSE) / VLOOKUP("industry|NOx|Infant mortality", US_national_yearly!$D:$AM, 10, FALSE), 1)</f>
        <v>2.1860632278972114E-6</v>
      </c>
      <c r="E3" s="7">
        <f>$B3 * IFERROR(VLOOKUP("industry|NOx|Infant mortality", US_national_yearly!$D:$AM, 13, FALSE) / VLOOKUP("industry|NOx|Infant mortality", US_national_yearly!$D:$AM, 10, FALSE), 1)</f>
        <v>2.1647188435244231E-6</v>
      </c>
      <c r="F3" s="7">
        <f>$B3 * IFERROR(VLOOKUP("industry|NOx|Infant mortality", US_national_yearly!$D:$AM, 14, FALSE) / VLOOKUP("industry|NOx|Infant mortality", US_national_yearly!$D:$AM, 10, FALSE), 1)</f>
        <v>2.143374459151634E-6</v>
      </c>
      <c r="G3" s="7">
        <f>$B3 * IFERROR(VLOOKUP("industry|NOx|Infant mortality", US_national_yearly!$D:$AM, 15, FALSE) / VLOOKUP("industry|NOx|Infant mortality", US_national_yearly!$D:$AM, 10, FALSE), 1)</f>
        <v>1.4216750632335132E-6</v>
      </c>
      <c r="H3" s="7">
        <f>$B3 * IFERROR(VLOOKUP("industry|NOx|Infant mortality", US_national_yearly!$D:$AM, 16, FALSE) / VLOOKUP("industry|NOx|Infant mortality", US_national_yearly!$D:$AM, 10, FALSE), 1)</f>
        <v>6.999756673153923E-7</v>
      </c>
      <c r="I3" s="7">
        <f>$B3 * IFERROR(VLOOKUP("industry|NOx|Infant mortality", US_national_yearly!$D:$AM, 17, FALSE) / VLOOKUP("industry|NOx|Infant mortality", US_national_yearly!$D:$AM, 10, FALSE), 1)</f>
        <v>6.9492914497767143E-7</v>
      </c>
      <c r="J3" s="7">
        <f>$B3 * IFERROR(VLOOKUP("industry|NOx|Infant mortality", US_national_yearly!$D:$AM, 18, FALSE) / VLOOKUP("industry|NOx|Infant mortality", US_national_yearly!$D:$AM, 10, FALSE), 1)</f>
        <v>6.8988262263995067E-7</v>
      </c>
      <c r="K3" s="7">
        <f>$B3 * IFERROR(VLOOKUP("industry|NOx|Infant mortality", US_national_yearly!$D:$AM, 19, FALSE) / VLOOKUP("industry|NOx|Infant mortality", US_national_yearly!$D:$AM, 10, FALSE), 1)</f>
        <v>6.8483610030222969E-7</v>
      </c>
      <c r="L3" s="7">
        <f>$B3 * IFERROR(VLOOKUP("industry|NOx|Infant mortality", US_national_yearly!$D:$AM, 20, FALSE) / VLOOKUP("industry|NOx|Infant mortality", US_national_yearly!$D:$AM, 10, FALSE), 1)</f>
        <v>6.7978957796450872E-7</v>
      </c>
      <c r="M3" s="7">
        <f>$B3 * IFERROR(VLOOKUP("industry|NOx|Infant mortality", US_national_yearly!$D:$AM, 21, FALSE) / VLOOKUP("industry|NOx|Infant mortality", US_national_yearly!$D:$AM, 10, FALSE), 1)</f>
        <v>6.7474305562678785E-7</v>
      </c>
      <c r="N3" s="7">
        <f>$B3 * IFERROR(VLOOKUP("industry|NOx|Infant mortality", US_national_yearly!$D:$AM, 22, FALSE) / VLOOKUP("industry|NOx|Infant mortality", US_national_yearly!$D:$AM, 10, FALSE), 1)</f>
        <v>6.7134293650892094E-7</v>
      </c>
      <c r="O3" s="7">
        <f>$B3 * IFERROR(VLOOKUP("industry|NOx|Infant mortality", US_national_yearly!$D:$AM, 23, FALSE) / VLOOKUP("industry|NOx|Infant mortality", US_national_yearly!$D:$AM, 10, FALSE), 1)</f>
        <v>6.6794281739105382E-7</v>
      </c>
      <c r="P3" s="7">
        <f>$B3 * IFERROR(VLOOKUP("industry|NOx|Infant mortality", US_national_yearly!$D:$AM, 24, FALSE) / VLOOKUP("industry|NOx|Infant mortality", US_national_yearly!$D:$AM, 10, FALSE), 1)</f>
        <v>6.6454269827318691E-7</v>
      </c>
      <c r="Q3" s="7">
        <f>$B3 * IFERROR(VLOOKUP("industry|NOx|Infant mortality", US_national_yearly!$D:$AM, 25, FALSE) / VLOOKUP("industry|NOx|Infant mortality", US_national_yearly!$D:$AM, 10, FALSE), 1)</f>
        <v>6.6114257915532E-7</v>
      </c>
      <c r="R3" s="7">
        <f>$B3 * IFERROR(VLOOKUP("industry|NOx|Infant mortality", US_national_yearly!$D:$AM, 26, FALSE) / VLOOKUP("industry|NOx|Infant mortality", US_national_yearly!$D:$AM, 10, FALSE), 1)</f>
        <v>6.5774246003745309E-7</v>
      </c>
      <c r="S3" s="7">
        <f>$B3 * IFERROR(VLOOKUP("industry|NOx|Infant mortality", US_national_yearly!$D:$AM, 27, FALSE) / VLOOKUP("industry|NOx|Infant mortality", US_national_yearly!$D:$AM, 10, FALSE), 1)</f>
        <v>6.5370487937257274E-7</v>
      </c>
      <c r="T3" s="7">
        <f>$B3 * IFERROR(VLOOKUP("industry|NOx|Infant mortality", US_national_yearly!$D:$AM, 28, FALSE) / VLOOKUP("industry|NOx|Infant mortality", US_national_yearly!$D:$AM, 10, FALSE), 1)</f>
        <v>6.4966729870769239E-7</v>
      </c>
      <c r="U3" s="7">
        <f>$B3 * IFERROR(VLOOKUP("industry|NOx|Infant mortality", US_national_yearly!$D:$AM, 29, FALSE) / VLOOKUP("industry|NOx|Infant mortality", US_national_yearly!$D:$AM, 10, FALSE), 1)</f>
        <v>6.4562971804281204E-7</v>
      </c>
      <c r="V3" s="7">
        <f>$B3 * IFERROR(VLOOKUP("industry|NOx|Infant mortality", US_national_yearly!$D:$AM, 30, FALSE) / VLOOKUP("industry|NOx|Infant mortality", US_national_yearly!$D:$AM, 10, FALSE), 1)</f>
        <v>6.4159213737793179E-7</v>
      </c>
      <c r="W3" s="7">
        <f>$B3 * IFERROR(VLOOKUP("industry|NOx|Infant mortality", US_national_yearly!$D:$AM, 31, FALSE) / VLOOKUP("industry|NOx|Infant mortality", US_national_yearly!$D:$AM, 10, FALSE), 1)</f>
        <v>6.3755455671305155E-7</v>
      </c>
      <c r="X3" s="7">
        <f>$B3 * IFERROR(VLOOKUP("industry|NOx|Infant mortality", US_national_yearly!$D:$AM, 32, FALSE) / VLOOKUP("industry|NOx|Infant mortality", US_national_yearly!$D:$AM, 10, FALSE), 1)</f>
        <v>6.3331464994140727E-7</v>
      </c>
      <c r="Y3" s="7">
        <f>$B3 * IFERROR(VLOOKUP("industry|NOx|Infant mortality", US_national_yearly!$D:$AM, 33, FALSE) / VLOOKUP("industry|NOx|Infant mortality", US_national_yearly!$D:$AM, 10, FALSE), 1)</f>
        <v>6.2907474316976309E-7</v>
      </c>
      <c r="Z3" s="7">
        <f>$B3 * IFERROR(VLOOKUP("industry|NOx|Infant mortality", US_national_yearly!$D:$AM, 34, FALSE) / VLOOKUP("industry|NOx|Infant mortality", US_national_yearly!$D:$AM, 10, FALSE), 1)</f>
        <v>6.2483483639811881E-7</v>
      </c>
      <c r="AA3" s="7">
        <f>$B3 * IFERROR(VLOOKUP("industry|NOx|Infant mortality", US_national_yearly!$D:$AM, 35, FALSE) / VLOOKUP("industry|NOx|Infant mortality", US_national_yearly!$D:$AM, 10, FALSE), 1)</f>
        <v>6.2059492962647463E-7</v>
      </c>
      <c r="AB3" s="7">
        <f>$B3 * IFERROR(VLOOKUP("industry|NOx|Infant mortality", US_national_yearly!$D:$AM, 36, FALSE) / VLOOKUP("industry|NOx|Infant mortality", US_national_yearly!$D:$AM, 10, FALSE), 1)</f>
        <v>6.1635502285483046E-7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2.0022274686552497E-3</v>
      </c>
      <c r="C6" s="7">
        <f>$B6 * IFERROR(VLOOKUP("industry|NOx|Asthma symptoms cough", US_national_yearly!$D:$AM, 11, FALSE) / VLOOKUP("industry|NOx|Asthma symptoms cough", US_national_yearly!$D:$AM, 10, FALSE), 1)</f>
        <v>2.0296186198183437E-3</v>
      </c>
      <c r="D6" s="7">
        <f>$B6 * IFERROR(VLOOKUP("industry|NOx|Asthma symptoms cough", US_national_yearly!$D:$AM, 12, FALSE) / VLOOKUP("industry|NOx|Asthma symptoms cough", US_national_yearly!$D:$AM, 10, FALSE), 1)</f>
        <v>2.0570097709814374E-3</v>
      </c>
      <c r="E6" s="7">
        <f>$B6 * IFERROR(VLOOKUP("industry|NOx|Asthma symptoms cough", US_national_yearly!$D:$AM, 13, FALSE) / VLOOKUP("industry|NOx|Asthma symptoms cough", US_national_yearly!$D:$AM, 10, FALSE), 1)</f>
        <v>2.0844009221445314E-3</v>
      </c>
      <c r="F6" s="7">
        <f>$B6 * IFERROR(VLOOKUP("industry|NOx|Asthma symptoms cough", US_national_yearly!$D:$AM, 14, FALSE) / VLOOKUP("industry|NOx|Asthma symptoms cough", US_national_yearly!$D:$AM, 10, FALSE), 1)</f>
        <v>2.1117920733076255E-3</v>
      </c>
      <c r="G6" s="7">
        <f>$B6 * IFERROR(VLOOKUP("industry|NOx|Asthma symptoms cough", US_national_yearly!$D:$AM, 15, FALSE) / VLOOKUP("industry|NOx|Asthma symptoms cough", US_national_yearly!$D:$AM, 10, FALSE), 1)</f>
        <v>2.1337555271471209E-3</v>
      </c>
      <c r="H6" s="7">
        <f>$B6 * IFERROR(VLOOKUP("industry|NOx|Asthma symptoms cough", US_national_yearly!$D:$AM, 16, FALSE) / VLOOKUP("industry|NOx|Asthma symptoms cough", US_national_yearly!$D:$AM, 10, FALSE), 1)</f>
        <v>2.1557189809866166E-3</v>
      </c>
      <c r="I6" s="7">
        <f>$B6 * IFERROR(VLOOKUP("industry|NOx|Asthma symptoms cough", US_national_yearly!$D:$AM, 17, FALSE) / VLOOKUP("industry|NOx|Asthma symptoms cough", US_national_yearly!$D:$AM, 10, FALSE), 1)</f>
        <v>2.1633624576302486E-3</v>
      </c>
      <c r="J6" s="7">
        <f>$B6 * IFERROR(VLOOKUP("industry|NOx|Asthma symptoms cough", US_national_yearly!$D:$AM, 18, FALSE) / VLOOKUP("industry|NOx|Asthma symptoms cough", US_national_yearly!$D:$AM, 10, FALSE), 1)</f>
        <v>2.1710059342738811E-3</v>
      </c>
      <c r="K6" s="7">
        <f>$B6 * IFERROR(VLOOKUP("industry|NOx|Asthma symptoms cough", US_national_yearly!$D:$AM, 19, FALSE) / VLOOKUP("industry|NOx|Asthma symptoms cough", US_national_yearly!$D:$AM, 10, FALSE), 1)</f>
        <v>2.1786494109175126E-3</v>
      </c>
      <c r="L6" s="7">
        <f>$B6 * IFERROR(VLOOKUP("industry|NOx|Asthma symptoms cough", US_national_yearly!$D:$AM, 20, FALSE) / VLOOKUP("industry|NOx|Asthma symptoms cough", US_national_yearly!$D:$AM, 10, FALSE), 1)</f>
        <v>2.1862928875611451E-3</v>
      </c>
      <c r="M6" s="7">
        <f>$B6 * IFERROR(VLOOKUP("industry|NOx|Asthma symptoms cough", US_national_yearly!$D:$AM, 21, FALSE) / VLOOKUP("industry|NOx|Asthma symptoms cough", US_national_yearly!$D:$AM, 10, FALSE), 1)</f>
        <v>2.1939363642047771E-3</v>
      </c>
      <c r="N6" s="7">
        <f>$B6 * IFERROR(VLOOKUP("industry|NOx|Asthma symptoms cough", US_national_yearly!$D:$AM, 22, FALSE) / VLOOKUP("industry|NOx|Asthma symptoms cough", US_national_yearly!$D:$AM, 10, FALSE), 1)</f>
        <v>2.2026616014502514E-3</v>
      </c>
      <c r="O6" s="7">
        <f>$B6 * IFERROR(VLOOKUP("industry|NOx|Asthma symptoms cough", US_national_yearly!$D:$AM, 23, FALSE) / VLOOKUP("industry|NOx|Asthma symptoms cough", US_national_yearly!$D:$AM, 10, FALSE), 1)</f>
        <v>2.2113868386957249E-3</v>
      </c>
      <c r="P6" s="7">
        <f>$B6 * IFERROR(VLOOKUP("industry|NOx|Asthma symptoms cough", US_national_yearly!$D:$AM, 24, FALSE) / VLOOKUP("industry|NOx|Asthma symptoms cough", US_national_yearly!$D:$AM, 10, FALSE), 1)</f>
        <v>2.2201120759411989E-3</v>
      </c>
      <c r="Q6" s="7">
        <f>$B6 * IFERROR(VLOOKUP("industry|NOx|Asthma symptoms cough", US_national_yearly!$D:$AM, 25, FALSE) / VLOOKUP("industry|NOx|Asthma symptoms cough", US_national_yearly!$D:$AM, 10, FALSE), 1)</f>
        <v>2.2288373131866728E-3</v>
      </c>
      <c r="R6" s="7">
        <f>$B6 * IFERROR(VLOOKUP("industry|NOx|Asthma symptoms cough", US_national_yearly!$D:$AM, 26, FALSE) / VLOOKUP("industry|NOx|Asthma symptoms cough", US_national_yearly!$D:$AM, 10, FALSE), 1)</f>
        <v>2.2375625504321471E-3</v>
      </c>
      <c r="S6" s="7">
        <f>$B6 * IFERROR(VLOOKUP("industry|NOx|Asthma symptoms cough", US_national_yearly!$D:$AM, 27, FALSE) / VLOOKUP("industry|NOx|Asthma symptoms cough", US_national_yearly!$D:$AM, 10, FALSE), 1)</f>
        <v>2.2488177204218781E-3</v>
      </c>
      <c r="T6" s="7">
        <f>$B6 * IFERROR(VLOOKUP("industry|NOx|Asthma symptoms cough", US_national_yearly!$D:$AM, 28, FALSE) / VLOOKUP("industry|NOx|Asthma symptoms cough", US_national_yearly!$D:$AM, 10, FALSE), 1)</f>
        <v>2.2600728904116096E-3</v>
      </c>
      <c r="U6" s="7">
        <f>$B6 * IFERROR(VLOOKUP("industry|NOx|Asthma symptoms cough", US_national_yearly!$D:$AM, 29, FALSE) / VLOOKUP("industry|NOx|Asthma symptoms cough", US_national_yearly!$D:$AM, 10, FALSE), 1)</f>
        <v>2.2713280604013406E-3</v>
      </c>
      <c r="V6" s="7">
        <f>$B6 * IFERROR(VLOOKUP("industry|NOx|Asthma symptoms cough", US_national_yearly!$D:$AM, 30, FALSE) / VLOOKUP("industry|NOx|Asthma symptoms cough", US_national_yearly!$D:$AM, 10, FALSE), 1)</f>
        <v>2.2825832303910712E-3</v>
      </c>
      <c r="W6" s="7">
        <f>$B6 * IFERROR(VLOOKUP("industry|NOx|Asthma symptoms cough", US_national_yearly!$D:$AM, 31, FALSE) / VLOOKUP("industry|NOx|Asthma symptoms cough", US_national_yearly!$D:$AM, 10, FALSE), 1)</f>
        <v>2.293838400380803E-3</v>
      </c>
      <c r="X6" s="7">
        <f>$B6 * IFERROR(VLOOKUP("industry|NOx|Asthma symptoms cough", US_national_yearly!$D:$AM, 32, FALSE) / VLOOKUP("industry|NOx|Asthma symptoms cough", US_national_yearly!$D:$AM, 10, FALSE), 1)</f>
        <v>2.3042728084682954E-3</v>
      </c>
      <c r="Y6" s="7">
        <f>$B6 * IFERROR(VLOOKUP("industry|NOx|Asthma symptoms cough", US_national_yearly!$D:$AM, 33, FALSE) / VLOOKUP("industry|NOx|Asthma symptoms cough", US_national_yearly!$D:$AM, 10, FALSE), 1)</f>
        <v>2.3147072165557877E-3</v>
      </c>
      <c r="Z6" s="7">
        <f>$B6 * IFERROR(VLOOKUP("industry|NOx|Asthma symptoms cough", US_national_yearly!$D:$AM, 34, FALSE) / VLOOKUP("industry|NOx|Asthma symptoms cough", US_national_yearly!$D:$AM, 10, FALSE), 1)</f>
        <v>2.32514162464328E-3</v>
      </c>
      <c r="AA6" s="7">
        <f>$B6 * IFERROR(VLOOKUP("industry|NOx|Asthma symptoms cough", US_national_yearly!$D:$AM, 35, FALSE) / VLOOKUP("industry|NOx|Asthma symptoms cough", US_national_yearly!$D:$AM, 10, FALSE), 1)</f>
        <v>2.3355760327307723E-3</v>
      </c>
      <c r="AB6" s="7">
        <f>$B6 * IFERROR(VLOOKUP("industry|NOx|Asthma symptoms cough", US_national_yearly!$D:$AM, 36, FALSE) / VLOOKUP("industry|NOx|Asthma symptoms cough", US_national_yearly!$D:$AM, 10, FALSE), 1)</f>
        <v>2.3460104408182646E-3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2.6962705867477261E-3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2.7331564831894794E-3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2.7700423796312326E-3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2.8069282760729859E-3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2.8438141725147395E-3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2.8733909390304471E-3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2.9029677055461551E-3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2.9132606823961201E-3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2.9235536592460845E-3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2.9338466360960495E-3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2.9441396129460153E-3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2.9544325897959802E-3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2.9661823038874529E-3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2.977932017978926E-3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2.9896817320703996E-3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3.0014314461618732E-3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3.0131811602533464E-3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3.0283377716159624E-3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3.0434943829785789E-3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3.0586509943411949E-3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3.0738076057038118E-3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3.0889642170664269E-3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3.1030155613052247E-3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3.1170669055440221E-3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3.1311182497828194E-3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3.1451695940216164E-3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3.1592209382604137E-3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4.1195130940917439E-3</v>
      </c>
      <c r="C8" s="7">
        <f>$B8 * IFERROR(VLOOKUP("industry|NOx|Asthma symptoms wheeze", US_national_yearly!$D:$AM, 11, FALSE) / VLOOKUP("industry|NOx|Asthma symptoms wheeze", US_national_yearly!$D:$AM, 10, FALSE), 1)</f>
        <v>4.1758694310820368E-3</v>
      </c>
      <c r="D8" s="7">
        <f>$B8 * IFERROR(VLOOKUP("industry|NOx|Asthma symptoms wheeze", US_national_yearly!$D:$AM, 12, FALSE) / VLOOKUP("industry|NOx|Asthma symptoms wheeze", US_national_yearly!$D:$AM, 10, FALSE), 1)</f>
        <v>4.2322257680723306E-3</v>
      </c>
      <c r="E8" s="7">
        <f>$B8 * IFERROR(VLOOKUP("industry|NOx|Asthma symptoms wheeze", US_national_yearly!$D:$AM, 13, FALSE) / VLOOKUP("industry|NOx|Asthma symptoms wheeze", US_national_yearly!$D:$AM, 10, FALSE), 1)</f>
        <v>4.2885821050626235E-3</v>
      </c>
      <c r="F8" s="7">
        <f>$B8 * IFERROR(VLOOKUP("industry|NOx|Asthma symptoms wheeze", US_national_yearly!$D:$AM, 14, FALSE) / VLOOKUP("industry|NOx|Asthma symptoms wheeze", US_national_yearly!$D:$AM, 10, FALSE), 1)</f>
        <v>4.3449384420529156E-3</v>
      </c>
      <c r="G8" s="7">
        <f>$B8 * IFERROR(VLOOKUP("industry|NOx|Asthma symptoms wheeze", US_national_yearly!$D:$AM, 15, FALSE) / VLOOKUP("industry|NOx|Asthma symptoms wheeze", US_national_yearly!$D:$AM, 10, FALSE), 1)</f>
        <v>4.3901274813522408E-3</v>
      </c>
      <c r="H8" s="7">
        <f>$B8 * IFERROR(VLOOKUP("industry|NOx|Asthma symptoms wheeze", US_national_yearly!$D:$AM, 16, FALSE) / VLOOKUP("industry|NOx|Asthma symptoms wheeze", US_national_yearly!$D:$AM, 10, FALSE), 1)</f>
        <v>4.4353165206515643E-3</v>
      </c>
      <c r="I8" s="7">
        <f>$B8 * IFERROR(VLOOKUP("industry|NOx|Asthma symptoms wheeze", US_national_yearly!$D:$AM, 17, FALSE) / VLOOKUP("industry|NOx|Asthma symptoms wheeze", US_national_yearly!$D:$AM, 10, FALSE), 1)</f>
        <v>4.4510427069448071E-3</v>
      </c>
      <c r="J8" s="7">
        <f>$B8 * IFERROR(VLOOKUP("industry|NOx|Asthma symptoms wheeze", US_national_yearly!$D:$AM, 18, FALSE) / VLOOKUP("industry|NOx|Asthma symptoms wheeze", US_national_yearly!$D:$AM, 10, FALSE), 1)</f>
        <v>4.4667688932380489E-3</v>
      </c>
      <c r="K8" s="7">
        <f>$B8 * IFERROR(VLOOKUP("industry|NOx|Asthma symptoms wheeze", US_national_yearly!$D:$AM, 19, FALSE) / VLOOKUP("industry|NOx|Asthma symptoms wheeze", US_national_yearly!$D:$AM, 10, FALSE), 1)</f>
        <v>4.4824950795312917E-3</v>
      </c>
      <c r="L8" s="7">
        <f>$B8 * IFERROR(VLOOKUP("industry|NOx|Asthma symptoms wheeze", US_national_yearly!$D:$AM, 20, FALSE) / VLOOKUP("industry|NOx|Asthma symptoms wheeze", US_national_yearly!$D:$AM, 10, FALSE), 1)</f>
        <v>4.4982212658245327E-3</v>
      </c>
      <c r="M8" s="7">
        <f>$B8 * IFERROR(VLOOKUP("industry|NOx|Asthma symptoms wheeze", US_national_yearly!$D:$AM, 21, FALSE) / VLOOKUP("industry|NOx|Asthma symptoms wheeze", US_national_yearly!$D:$AM, 10, FALSE), 1)</f>
        <v>4.5139474521177763E-3</v>
      </c>
      <c r="N8" s="7">
        <f>$B8 * IFERROR(VLOOKUP("industry|NOx|Asthma symptoms wheeze", US_national_yearly!$D:$AM, 22, FALSE) / VLOOKUP("industry|NOx|Asthma symptoms wheeze", US_national_yearly!$D:$AM, 10, FALSE), 1)</f>
        <v>4.5318993230717784E-3</v>
      </c>
      <c r="O8" s="7">
        <f>$B8 * IFERROR(VLOOKUP("industry|NOx|Asthma symptoms wheeze", US_national_yearly!$D:$AM, 23, FALSE) / VLOOKUP("industry|NOx|Asthma symptoms wheeze", US_national_yearly!$D:$AM, 10, FALSE), 1)</f>
        <v>4.5498511940257804E-3</v>
      </c>
      <c r="P8" s="7">
        <f>$B8 * IFERROR(VLOOKUP("industry|NOx|Asthma symptoms wheeze", US_national_yearly!$D:$AM, 24, FALSE) / VLOOKUP("industry|NOx|Asthma symptoms wheeze", US_national_yearly!$D:$AM, 10, FALSE), 1)</f>
        <v>4.5678030649797816E-3</v>
      </c>
      <c r="Q8" s="7">
        <f>$B8 * IFERROR(VLOOKUP("industry|NOx|Asthma symptoms wheeze", US_national_yearly!$D:$AM, 25, FALSE) / VLOOKUP("industry|NOx|Asthma symptoms wheeze", US_national_yearly!$D:$AM, 10, FALSE), 1)</f>
        <v>4.5857549359337845E-3</v>
      </c>
      <c r="R8" s="7">
        <f>$B8 * IFERROR(VLOOKUP("industry|NOx|Asthma symptoms wheeze", US_national_yearly!$D:$AM, 26, FALSE) / VLOOKUP("industry|NOx|Asthma symptoms wheeze", US_national_yearly!$D:$AM, 10, FALSE), 1)</f>
        <v>4.6037068068877866E-3</v>
      </c>
      <c r="S8" s="7">
        <f>$B8 * IFERROR(VLOOKUP("industry|NOx|Asthma symptoms wheeze", US_national_yearly!$D:$AM, 27, FALSE) / VLOOKUP("industry|NOx|Asthma symptoms wheeze", US_national_yearly!$D:$AM, 10, FALSE), 1)</f>
        <v>4.6268639261120631E-3</v>
      </c>
      <c r="T8" s="7">
        <f>$B8 * IFERROR(VLOOKUP("industry|NOx|Asthma symptoms wheeze", US_national_yearly!$D:$AM, 28, FALSE) / VLOOKUP("industry|NOx|Asthma symptoms wheeze", US_national_yearly!$D:$AM, 10, FALSE), 1)</f>
        <v>4.6500210453363387E-3</v>
      </c>
      <c r="U8" s="7">
        <f>$B8 * IFERROR(VLOOKUP("industry|NOx|Asthma symptoms wheeze", US_national_yearly!$D:$AM, 29, FALSE) / VLOOKUP("industry|NOx|Asthma symptoms wheeze", US_national_yearly!$D:$AM, 10, FALSE), 1)</f>
        <v>4.6731781645606143E-3</v>
      </c>
      <c r="V8" s="7">
        <f>$B8 * IFERROR(VLOOKUP("industry|NOx|Asthma symptoms wheeze", US_national_yearly!$D:$AM, 30, FALSE) / VLOOKUP("industry|NOx|Asthma symptoms wheeze", US_national_yearly!$D:$AM, 10, FALSE), 1)</f>
        <v>4.69633528378489E-3</v>
      </c>
      <c r="W8" s="7">
        <f>$B8 * IFERROR(VLOOKUP("industry|NOx|Asthma symptoms wheeze", US_national_yearly!$D:$AM, 31, FALSE) / VLOOKUP("industry|NOx|Asthma symptoms wheeze", US_national_yearly!$D:$AM, 10, FALSE), 1)</f>
        <v>4.7194924030091664E-3</v>
      </c>
      <c r="X8" s="7">
        <f>$B8 * IFERROR(VLOOKUP("industry|NOx|Asthma symptoms wheeze", US_national_yearly!$D:$AM, 32, FALSE) / VLOOKUP("industry|NOx|Asthma symptoms wheeze", US_national_yearly!$D:$AM, 10, FALSE), 1)</f>
        <v>4.7409608332801929E-3</v>
      </c>
      <c r="Y8" s="7">
        <f>$B8 * IFERROR(VLOOKUP("industry|NOx|Asthma symptoms wheeze", US_national_yearly!$D:$AM, 33, FALSE) / VLOOKUP("industry|NOx|Asthma symptoms wheeze", US_national_yearly!$D:$AM, 10, FALSE), 1)</f>
        <v>4.7624292635512185E-3</v>
      </c>
      <c r="Z8" s="7">
        <f>$B8 * IFERROR(VLOOKUP("industry|NOx|Asthma symptoms wheeze", US_national_yearly!$D:$AM, 34, FALSE) / VLOOKUP("industry|NOx|Asthma symptoms wheeze", US_national_yearly!$D:$AM, 10, FALSE), 1)</f>
        <v>4.7838976938222449E-3</v>
      </c>
      <c r="AA8" s="7">
        <f>$B8 * IFERROR(VLOOKUP("industry|NOx|Asthma symptoms wheeze", US_national_yearly!$D:$AM, 35, FALSE) / VLOOKUP("industry|NOx|Asthma symptoms wheeze", US_national_yearly!$D:$AM, 10, FALSE), 1)</f>
        <v>4.8053661240932697E-3</v>
      </c>
      <c r="AB8" s="7">
        <f>$B8 * IFERROR(VLOOKUP("industry|NOx|Asthma symptoms wheeze", US_national_yearly!$D:$AM, 36, FALSE) / VLOOKUP("industry|NOx|Asthma symptoms wheeze", US_national_yearly!$D:$AM, 10, FALSE), 1)</f>
        <v>4.8268345543642996E-3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4.4227262647022229E-5</v>
      </c>
      <c r="C12" s="7">
        <f>$B12 * IFERROR(VLOOKUP("industry|NOx|Respiratory hospital admissions", US_national_yearly!$D:$AM, 11, FALSE) / VLOOKUP("industry|NOx|Respiratory hospital admissions", US_national_yearly!$D:$AM, 10, FALSE), 1)</f>
        <v>4.5338398010249093E-5</v>
      </c>
      <c r="D12" s="7">
        <f>$B12 * IFERROR(VLOOKUP("industry|NOx|Respiratory hospital admissions", US_national_yearly!$D:$AM, 12, FALSE) / VLOOKUP("industry|NOx|Respiratory hospital admissions", US_national_yearly!$D:$AM, 10, FALSE), 1)</f>
        <v>4.6449533373475956E-5</v>
      </c>
      <c r="E12" s="7">
        <f>$B12 * IFERROR(VLOOKUP("industry|NOx|Respiratory hospital admissions", US_national_yearly!$D:$AM, 13, FALSE) / VLOOKUP("industry|NOx|Respiratory hospital admissions", US_national_yearly!$D:$AM, 10, FALSE), 1)</f>
        <v>4.7560668736702833E-5</v>
      </c>
      <c r="F12" s="7">
        <f>$B12 * IFERROR(VLOOKUP("industry|NOx|Respiratory hospital admissions", US_national_yearly!$D:$AM, 14, FALSE) / VLOOKUP("industry|NOx|Respiratory hospital admissions", US_national_yearly!$D:$AM, 10, FALSE), 1)</f>
        <v>4.8671804099929689E-5</v>
      </c>
      <c r="G12" s="7">
        <f>$B12 * IFERROR(VLOOKUP("industry|NOx|Respiratory hospital admissions", US_national_yearly!$D:$AM, 15, FALSE) / VLOOKUP("industry|NOx|Respiratory hospital admissions", US_national_yearly!$D:$AM, 10, FALSE), 1)</f>
        <v>4.9734654483985686E-5</v>
      </c>
      <c r="H12" s="7">
        <f>$B12 * IFERROR(VLOOKUP("industry|NOx|Respiratory hospital admissions", US_national_yearly!$D:$AM, 16, FALSE) / VLOOKUP("industry|NOx|Respiratory hospital admissions", US_national_yearly!$D:$AM, 10, FALSE), 1)</f>
        <v>5.0797504868041689E-5</v>
      </c>
      <c r="I12" s="7">
        <f>$B12 * IFERROR(VLOOKUP("industry|NOx|Respiratory hospital admissions", US_national_yearly!$D:$AM, 17, FALSE) / VLOOKUP("industry|NOx|Respiratory hospital admissions", US_national_yearly!$D:$AM, 10, FALSE), 1)</f>
        <v>5.1702666296771636E-5</v>
      </c>
      <c r="J12" s="7">
        <f>$B12 * IFERROR(VLOOKUP("industry|NOx|Respiratory hospital admissions", US_national_yearly!$D:$AM, 18, FALSE) / VLOOKUP("industry|NOx|Respiratory hospital admissions", US_national_yearly!$D:$AM, 10, FALSE), 1)</f>
        <v>5.260782772550159E-5</v>
      </c>
      <c r="K12" s="7">
        <f>$B12 * IFERROR(VLOOKUP("industry|NOx|Respiratory hospital admissions", US_national_yearly!$D:$AM, 19, FALSE) / VLOOKUP("industry|NOx|Respiratory hospital admissions", US_national_yearly!$D:$AM, 10, FALSE), 1)</f>
        <v>5.3512989154231544E-5</v>
      </c>
      <c r="L12" s="7">
        <f>$B12 * IFERROR(VLOOKUP("industry|NOx|Respiratory hospital admissions", US_national_yearly!$D:$AM, 20, FALSE) / VLOOKUP("industry|NOx|Respiratory hospital admissions", US_national_yearly!$D:$AM, 10, FALSE), 1)</f>
        <v>5.4418150582961505E-5</v>
      </c>
      <c r="M12" s="7">
        <f>$B12 * IFERROR(VLOOKUP("industry|NOx|Respiratory hospital admissions", US_national_yearly!$D:$AM, 21, FALSE) / VLOOKUP("industry|NOx|Respiratory hospital admissions", US_national_yearly!$D:$AM, 10, FALSE), 1)</f>
        <v>5.5323312011691452E-5</v>
      </c>
      <c r="N12" s="7">
        <f>$B12 * IFERROR(VLOOKUP("industry|NOx|Respiratory hospital admissions", US_national_yearly!$D:$AM, 22, FALSE) / VLOOKUP("industry|NOx|Respiratory hospital admissions", US_national_yearly!$D:$AM, 10, FALSE), 1)</f>
        <v>5.5929966578850229E-5</v>
      </c>
      <c r="O12" s="7">
        <f>$B12 * IFERROR(VLOOKUP("industry|NOx|Respiratory hospital admissions", US_national_yearly!$D:$AM, 23, FALSE) / VLOOKUP("industry|NOx|Respiratory hospital admissions", US_national_yearly!$D:$AM, 10, FALSE), 1)</f>
        <v>5.6536621146008999E-5</v>
      </c>
      <c r="P12" s="7">
        <f>$B12 * IFERROR(VLOOKUP("industry|NOx|Respiratory hospital admissions", US_national_yearly!$D:$AM, 24, FALSE) / VLOOKUP("industry|NOx|Respiratory hospital admissions", US_national_yearly!$D:$AM, 10, FALSE), 1)</f>
        <v>5.7143275713167783E-5</v>
      </c>
      <c r="Q12" s="7">
        <f>$B12 * IFERROR(VLOOKUP("industry|NOx|Respiratory hospital admissions", US_national_yearly!$D:$AM, 25, FALSE) / VLOOKUP("industry|NOx|Respiratory hospital admissions", US_national_yearly!$D:$AM, 10, FALSE), 1)</f>
        <v>5.7749930280326553E-5</v>
      </c>
      <c r="R12" s="7">
        <f>$B12 * IFERROR(VLOOKUP("industry|NOx|Respiratory hospital admissions", US_national_yearly!$D:$AM, 26, FALSE) / VLOOKUP("industry|NOx|Respiratory hospital admissions", US_national_yearly!$D:$AM, 10, FALSE), 1)</f>
        <v>5.835658484748533E-5</v>
      </c>
      <c r="S12" s="7">
        <f>$B12 * IFERROR(VLOOKUP("industry|NOx|Respiratory hospital admissions", US_national_yearly!$D:$AM, 27, FALSE) / VLOOKUP("industry|NOx|Respiratory hospital admissions", US_national_yearly!$D:$AM, 10, FALSE), 1)</f>
        <v>5.8685945566986843E-5</v>
      </c>
      <c r="T12" s="7">
        <f>$B12 * IFERROR(VLOOKUP("industry|NOx|Respiratory hospital admissions", US_national_yearly!$D:$AM, 28, FALSE) / VLOOKUP("industry|NOx|Respiratory hospital admissions", US_national_yearly!$D:$AM, 10, FALSE), 1)</f>
        <v>5.9015306286488369E-5</v>
      </c>
      <c r="U12" s="7">
        <f>$B12 * IFERROR(VLOOKUP("industry|NOx|Respiratory hospital admissions", US_national_yearly!$D:$AM, 29, FALSE) / VLOOKUP("industry|NOx|Respiratory hospital admissions", US_national_yearly!$D:$AM, 10, FALSE), 1)</f>
        <v>5.9344667005989883E-5</v>
      </c>
      <c r="V12" s="7">
        <f>$B12 * IFERROR(VLOOKUP("industry|NOx|Respiratory hospital admissions", US_national_yearly!$D:$AM, 30, FALSE) / VLOOKUP("industry|NOx|Respiratory hospital admissions", US_national_yearly!$D:$AM, 10, FALSE), 1)</f>
        <v>5.9674027725491396E-5</v>
      </c>
      <c r="W12" s="7">
        <f>$B12 * IFERROR(VLOOKUP("industry|NOx|Respiratory hospital admissions", US_national_yearly!$D:$AM, 31, FALSE) / VLOOKUP("industry|NOx|Respiratory hospital admissions", US_national_yearly!$D:$AM, 10, FALSE), 1)</f>
        <v>6.0003388444992915E-5</v>
      </c>
      <c r="X12" s="7">
        <f>$B12 * IFERROR(VLOOKUP("industry|NOx|Respiratory hospital admissions", US_national_yearly!$D:$AM, 32, FALSE) / VLOOKUP("industry|NOx|Respiratory hospital admissions", US_national_yearly!$D:$AM, 10, FALSE), 1)</f>
        <v>6.0233039027638154E-5</v>
      </c>
      <c r="Y12" s="7">
        <f>$B12 * IFERROR(VLOOKUP("industry|NOx|Respiratory hospital admissions", US_national_yearly!$D:$AM, 33, FALSE) / VLOOKUP("industry|NOx|Respiratory hospital admissions", US_national_yearly!$D:$AM, 10, FALSE), 1)</f>
        <v>6.0462689610283386E-5</v>
      </c>
      <c r="Z12" s="7">
        <f>$B12 * IFERROR(VLOOKUP("industry|NOx|Respiratory hospital admissions", US_national_yearly!$D:$AM, 34, FALSE) / VLOOKUP("industry|NOx|Respiratory hospital admissions", US_national_yearly!$D:$AM, 10, FALSE), 1)</f>
        <v>6.0692340192928631E-5</v>
      </c>
      <c r="AA12" s="7">
        <f>$B12 * IFERROR(VLOOKUP("industry|NOx|Respiratory hospital admissions", US_national_yearly!$D:$AM, 35, FALSE) / VLOOKUP("industry|NOx|Respiratory hospital admissions", US_national_yearly!$D:$AM, 10, FALSE), 1)</f>
        <v>6.0921990775573863E-5</v>
      </c>
      <c r="AB12" s="7">
        <f>$B12 * IFERROR(VLOOKUP("industry|NOx|Respiratory hospital admissions", US_national_yearly!$D:$AM, 36, FALSE) / VLOOKUP("industry|NOx|Respiratory hospital admissions", US_national_yearly!$D:$AM, 10, FALSE), 1)</f>
        <v>6.1151641358219095E-5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2.9964910687318714E-4</v>
      </c>
      <c r="C13" s="7">
        <f>$B13 * IFERROR(VLOOKUP("industry|NOx|Non-fatal heart attacks", US_national_yearly!$D:$AM, 11, FALSE) / VLOOKUP("industry|NOx|Non-fatal heart attacks", US_national_yearly!$D:$AM, 10, FALSE), 1)</f>
        <v>3.0821036900431566E-4</v>
      </c>
      <c r="D13" s="7">
        <f>$B13 * IFERROR(VLOOKUP("industry|NOx|Non-fatal heart attacks", US_national_yearly!$D:$AM, 12, FALSE) / VLOOKUP("industry|NOx|Non-fatal heart attacks", US_national_yearly!$D:$AM, 10, FALSE), 1)</f>
        <v>3.1677163113544418E-4</v>
      </c>
      <c r="E13" s="7">
        <f>$B13 * IFERROR(VLOOKUP("industry|NOx|Non-fatal heart attacks", US_national_yearly!$D:$AM, 13, FALSE) / VLOOKUP("industry|NOx|Non-fatal heart attacks", US_national_yearly!$D:$AM, 10, FALSE), 1)</f>
        <v>3.2533289326657275E-4</v>
      </c>
      <c r="F13" s="7">
        <f>$B13 * IFERROR(VLOOKUP("industry|NOx|Non-fatal heart attacks", US_national_yearly!$D:$AM, 14, FALSE) / VLOOKUP("industry|NOx|Non-fatal heart attacks", US_national_yearly!$D:$AM, 10, FALSE), 1)</f>
        <v>3.3389415539770127E-4</v>
      </c>
      <c r="G13" s="7">
        <f>$B13 * IFERROR(VLOOKUP("industry|NOx|Non-fatal heart attacks", US_national_yearly!$D:$AM, 15, FALSE) / VLOOKUP("industry|NOx|Non-fatal heart attacks", US_national_yearly!$D:$AM, 10, FALSE), 1)</f>
        <v>3.4190142943069725E-4</v>
      </c>
      <c r="H13" s="7">
        <f>$B13 * IFERROR(VLOOKUP("industry|NOx|Non-fatal heart attacks", US_national_yearly!$D:$AM, 16, FALSE) / VLOOKUP("industry|NOx|Non-fatal heart attacks", US_national_yearly!$D:$AM, 10, FALSE), 1)</f>
        <v>3.4990870346369312E-4</v>
      </c>
      <c r="I13" s="7">
        <f>$B13 * IFERROR(VLOOKUP("industry|NOx|Non-fatal heart attacks", US_national_yearly!$D:$AM, 17, FALSE) / VLOOKUP("industry|NOx|Non-fatal heart attacks", US_national_yearly!$D:$AM, 10, FALSE), 1)</f>
        <v>3.5624161550582413E-4</v>
      </c>
      <c r="J13" s="7">
        <f>$B13 * IFERROR(VLOOKUP("industry|NOx|Non-fatal heart attacks", US_national_yearly!$D:$AM, 18, FALSE) / VLOOKUP("industry|NOx|Non-fatal heart attacks", US_national_yearly!$D:$AM, 10, FALSE), 1)</f>
        <v>3.6257452754795508E-4</v>
      </c>
      <c r="K13" s="7">
        <f>$B13 * IFERROR(VLOOKUP("industry|NOx|Non-fatal heart attacks", US_national_yearly!$D:$AM, 19, FALSE) / VLOOKUP("industry|NOx|Non-fatal heart attacks", US_national_yearly!$D:$AM, 10, FALSE), 1)</f>
        <v>3.6890743959008593E-4</v>
      </c>
      <c r="L13" s="7">
        <f>$B13 * IFERROR(VLOOKUP("industry|NOx|Non-fatal heart attacks", US_national_yearly!$D:$AM, 20, FALSE) / VLOOKUP("industry|NOx|Non-fatal heart attacks", US_national_yearly!$D:$AM, 10, FALSE), 1)</f>
        <v>3.7524035163221699E-4</v>
      </c>
      <c r="M13" s="7">
        <f>$B13 * IFERROR(VLOOKUP("industry|NOx|Non-fatal heart attacks", US_national_yearly!$D:$AM, 21, FALSE) / VLOOKUP("industry|NOx|Non-fatal heart attacks", US_national_yearly!$D:$AM, 10, FALSE), 1)</f>
        <v>3.8157326367434805E-4</v>
      </c>
      <c r="N13" s="7">
        <f>$B13 * IFERROR(VLOOKUP("industry|NOx|Non-fatal heart attacks", US_national_yearly!$D:$AM, 22, FALSE) / VLOOKUP("industry|NOx|Non-fatal heart attacks", US_national_yearly!$D:$AM, 10, FALSE), 1)</f>
        <v>3.8538853922897366E-4</v>
      </c>
      <c r="O13" s="7">
        <f>$B13 * IFERROR(VLOOKUP("industry|NOx|Non-fatal heart attacks", US_national_yearly!$D:$AM, 23, FALSE) / VLOOKUP("industry|NOx|Non-fatal heart attacks", US_national_yearly!$D:$AM, 10, FALSE), 1)</f>
        <v>3.8920381478359923E-4</v>
      </c>
      <c r="P13" s="7">
        <f>$B13 * IFERROR(VLOOKUP("industry|NOx|Non-fatal heart attacks", US_national_yearly!$D:$AM, 24, FALSE) / VLOOKUP("industry|NOx|Non-fatal heart attacks", US_national_yearly!$D:$AM, 10, FALSE), 1)</f>
        <v>3.9301909033822479E-4</v>
      </c>
      <c r="Q13" s="7">
        <f>$B13 * IFERROR(VLOOKUP("industry|NOx|Non-fatal heart attacks", US_national_yearly!$D:$AM, 25, FALSE) / VLOOKUP("industry|NOx|Non-fatal heart attacks", US_national_yearly!$D:$AM, 10, FALSE), 1)</f>
        <v>3.9683436589285035E-4</v>
      </c>
      <c r="R13" s="7">
        <f>$B13 * IFERROR(VLOOKUP("industry|NOx|Non-fatal heart attacks", US_national_yearly!$D:$AM, 26, FALSE) / VLOOKUP("industry|NOx|Non-fatal heart attacks", US_national_yearly!$D:$AM, 10, FALSE), 1)</f>
        <v>4.0064964144747591E-4</v>
      </c>
      <c r="S13" s="7">
        <f>$B13 * IFERROR(VLOOKUP("industry|NOx|Non-fatal heart attacks", US_national_yearly!$D:$AM, 27, FALSE) / VLOOKUP("industry|NOx|Non-fatal heart attacks", US_national_yearly!$D:$AM, 10, FALSE), 1)</f>
        <v>4.0240016597301498E-4</v>
      </c>
      <c r="T13" s="7">
        <f>$B13 * IFERROR(VLOOKUP("industry|NOx|Non-fatal heart attacks", US_national_yearly!$D:$AM, 28, FALSE) / VLOOKUP("industry|NOx|Non-fatal heart attacks", US_national_yearly!$D:$AM, 10, FALSE), 1)</f>
        <v>4.0415069049855404E-4</v>
      </c>
      <c r="U13" s="7">
        <f>$B13 * IFERROR(VLOOKUP("industry|NOx|Non-fatal heart attacks", US_national_yearly!$D:$AM, 29, FALSE) / VLOOKUP("industry|NOx|Non-fatal heart attacks", US_national_yearly!$D:$AM, 10, FALSE), 1)</f>
        <v>4.0590121502409311E-4</v>
      </c>
      <c r="V13" s="7">
        <f>$B13 * IFERROR(VLOOKUP("industry|NOx|Non-fatal heart attacks", US_national_yearly!$D:$AM, 30, FALSE) / VLOOKUP("industry|NOx|Non-fatal heart attacks", US_national_yearly!$D:$AM, 10, FALSE), 1)</f>
        <v>4.0765173954963218E-4</v>
      </c>
      <c r="W13" s="7">
        <f>$B13 * IFERROR(VLOOKUP("industry|NOx|Non-fatal heart attacks", US_national_yearly!$D:$AM, 31, FALSE) / VLOOKUP("industry|NOx|Non-fatal heart attacks", US_national_yearly!$D:$AM, 10, FALSE), 1)</f>
        <v>4.0940226407517124E-4</v>
      </c>
      <c r="X13" s="7">
        <f>$B13 * IFERROR(VLOOKUP("industry|NOx|Non-fatal heart attacks", US_national_yearly!$D:$AM, 32, FALSE) / VLOOKUP("industry|NOx|Non-fatal heart attacks", US_national_yearly!$D:$AM, 10, FALSE), 1)</f>
        <v>4.1058367635187886E-4</v>
      </c>
      <c r="Y13" s="7">
        <f>$B13 * IFERROR(VLOOKUP("industry|NOx|Non-fatal heart attacks", US_national_yearly!$D:$AM, 33, FALSE) / VLOOKUP("industry|NOx|Non-fatal heart attacks", US_national_yearly!$D:$AM, 10, FALSE), 1)</f>
        <v>4.1176508862858654E-4</v>
      </c>
      <c r="Z13" s="7">
        <f>$B13 * IFERROR(VLOOKUP("industry|NOx|Non-fatal heart attacks", US_national_yearly!$D:$AM, 34, FALSE) / VLOOKUP("industry|NOx|Non-fatal heart attacks", US_national_yearly!$D:$AM, 10, FALSE), 1)</f>
        <v>4.1294650090529416E-4</v>
      </c>
      <c r="AA13" s="7">
        <f>$B13 * IFERROR(VLOOKUP("industry|NOx|Non-fatal heart attacks", US_national_yearly!$D:$AM, 35, FALSE) / VLOOKUP("industry|NOx|Non-fatal heart attacks", US_national_yearly!$D:$AM, 10, FALSE), 1)</f>
        <v>4.1412791318200178E-4</v>
      </c>
      <c r="AB13" s="7">
        <f>$B13 * IFERROR(VLOOKUP("industry|NOx|Non-fatal heart attacks", US_national_yearly!$D:$AM, 36, FALSE) / VLOOKUP("industry|NOx|Non-fatal heart attacks", US_national_yearly!$D:$AM, 10, FALSE), 1)</f>
        <v>4.1530932545870945E-4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0.25167190130257983</v>
      </c>
      <c r="C14" s="7">
        <f>$B14 * IFERROR(VLOOKUP("industry|NOx|Minor restricted activity days", US_national_yearly!$D:$AM, 11, FALSE) / VLOOKUP("industry|NOx|Minor restricted activity days", US_national_yearly!$D:$AM, 10, FALSE), 1)</f>
        <v>0.25204477264450009</v>
      </c>
      <c r="D14" s="7">
        <f>$B14 * IFERROR(VLOOKUP("industry|NOx|Minor restricted activity days", US_national_yearly!$D:$AM, 12, FALSE) / VLOOKUP("industry|NOx|Minor restricted activity days", US_national_yearly!$D:$AM, 10, FALSE), 1)</f>
        <v>0.25241764398642036</v>
      </c>
      <c r="E14" s="7">
        <f>$B14 * IFERROR(VLOOKUP("industry|NOx|Minor restricted activity days", US_national_yearly!$D:$AM, 13, FALSE) / VLOOKUP("industry|NOx|Minor restricted activity days", US_national_yearly!$D:$AM, 10, FALSE), 1)</f>
        <v>0.25279051532834063</v>
      </c>
      <c r="F14" s="7">
        <f>$B14 * IFERROR(VLOOKUP("industry|NOx|Minor restricted activity days", US_national_yearly!$D:$AM, 14, FALSE) / VLOOKUP("industry|NOx|Minor restricted activity days", US_national_yearly!$D:$AM, 10, FALSE), 1)</f>
        <v>0.25316338667026089</v>
      </c>
      <c r="G14" s="7">
        <f>$B14 * IFERROR(VLOOKUP("industry|NOx|Minor restricted activity days", US_national_yearly!$D:$AM, 15, FALSE) / VLOOKUP("industry|NOx|Minor restricted activity days", US_national_yearly!$D:$AM, 10, FALSE), 1)</f>
        <v>0.25384216407795118</v>
      </c>
      <c r="H14" s="7">
        <f>$B14 * IFERROR(VLOOKUP("industry|NOx|Minor restricted activity days", US_national_yearly!$D:$AM, 16, FALSE) / VLOOKUP("industry|NOx|Minor restricted activity days", US_national_yearly!$D:$AM, 10, FALSE), 1)</f>
        <v>0.25452094148564153</v>
      </c>
      <c r="I14" s="7">
        <f>$B14 * IFERROR(VLOOKUP("industry|NOx|Minor restricted activity days", US_national_yearly!$D:$AM, 17, FALSE) / VLOOKUP("industry|NOx|Minor restricted activity days", US_national_yearly!$D:$AM, 10, FALSE), 1)</f>
        <v>0.25585721143497309</v>
      </c>
      <c r="J14" s="7">
        <f>$B14 * IFERROR(VLOOKUP("industry|NOx|Minor restricted activity days", US_national_yearly!$D:$AM, 18, FALSE) / VLOOKUP("industry|NOx|Minor restricted activity days", US_national_yearly!$D:$AM, 10, FALSE), 1)</f>
        <v>0.25719348138430459</v>
      </c>
      <c r="K14" s="7">
        <f>$B14 * IFERROR(VLOOKUP("industry|NOx|Minor restricted activity days", US_national_yearly!$D:$AM, 19, FALSE) / VLOOKUP("industry|NOx|Minor restricted activity days", US_national_yearly!$D:$AM, 10, FALSE), 1)</f>
        <v>0.25852975133363598</v>
      </c>
      <c r="L14" s="7">
        <f>$B14 * IFERROR(VLOOKUP("industry|NOx|Minor restricted activity days", US_national_yearly!$D:$AM, 20, FALSE) / VLOOKUP("industry|NOx|Minor restricted activity days", US_national_yearly!$D:$AM, 10, FALSE), 1)</f>
        <v>0.25986602128296754</v>
      </c>
      <c r="M14" s="7">
        <f>$B14 * IFERROR(VLOOKUP("industry|NOx|Minor restricted activity days", US_national_yearly!$D:$AM, 21, FALSE) / VLOOKUP("industry|NOx|Minor restricted activity days", US_national_yearly!$D:$AM, 10, FALSE), 1)</f>
        <v>0.26120229123229904</v>
      </c>
      <c r="N14" s="7">
        <f>$B14 * IFERROR(VLOOKUP("industry|NOx|Minor restricted activity days", US_national_yearly!$D:$AM, 22, FALSE) / VLOOKUP("industry|NOx|Minor restricted activity days", US_national_yearly!$D:$AM, 10, FALSE), 1)</f>
        <v>0.26312660929174314</v>
      </c>
      <c r="O14" s="7">
        <f>$B14 * IFERROR(VLOOKUP("industry|NOx|Minor restricted activity days", US_national_yearly!$D:$AM, 23, FALSE) / VLOOKUP("industry|NOx|Minor restricted activity days", US_national_yearly!$D:$AM, 10, FALSE), 1)</f>
        <v>0.26505092735118724</v>
      </c>
      <c r="P14" s="7">
        <f>$B14 * IFERROR(VLOOKUP("industry|NOx|Minor restricted activity days", US_national_yearly!$D:$AM, 24, FALSE) / VLOOKUP("industry|NOx|Minor restricted activity days", US_national_yearly!$D:$AM, 10, FALSE), 1)</f>
        <v>0.26697524541063133</v>
      </c>
      <c r="Q14" s="7">
        <f>$B14 * IFERROR(VLOOKUP("industry|NOx|Minor restricted activity days", US_national_yearly!$D:$AM, 25, FALSE) / VLOOKUP("industry|NOx|Minor restricted activity days", US_national_yearly!$D:$AM, 10, FALSE), 1)</f>
        <v>0.26889956347007543</v>
      </c>
      <c r="R14" s="7">
        <f>$B14 * IFERROR(VLOOKUP("industry|NOx|Minor restricted activity days", US_national_yearly!$D:$AM, 26, FALSE) / VLOOKUP("industry|NOx|Minor restricted activity days", US_national_yearly!$D:$AM, 10, FALSE), 1)</f>
        <v>0.27082388152951953</v>
      </c>
      <c r="S14" s="7">
        <f>$B14 * IFERROR(VLOOKUP("industry|NOx|Minor restricted activity days", US_national_yearly!$D:$AM, 27, FALSE) / VLOOKUP("industry|NOx|Minor restricted activity days", US_national_yearly!$D:$AM, 10, FALSE), 1)</f>
        <v>0.272750259828967</v>
      </c>
      <c r="T14" s="7">
        <f>$B14 * IFERROR(VLOOKUP("industry|NOx|Minor restricted activity days", US_national_yearly!$D:$AM, 28, FALSE) / VLOOKUP("industry|NOx|Minor restricted activity days", US_national_yearly!$D:$AM, 10, FALSE), 1)</f>
        <v>0.27467663812841453</v>
      </c>
      <c r="U14" s="7">
        <f>$B14 * IFERROR(VLOOKUP("industry|NOx|Minor restricted activity days", US_national_yearly!$D:$AM, 29, FALSE) / VLOOKUP("industry|NOx|Minor restricted activity days", US_national_yearly!$D:$AM, 10, FALSE), 1)</f>
        <v>0.276603016427862</v>
      </c>
      <c r="V14" s="7">
        <f>$B14 * IFERROR(VLOOKUP("industry|NOx|Minor restricted activity days", US_national_yearly!$D:$AM, 30, FALSE) / VLOOKUP("industry|NOx|Minor restricted activity days", US_national_yearly!$D:$AM, 10, FALSE), 1)</f>
        <v>0.27852939472730953</v>
      </c>
      <c r="W14" s="7">
        <f>$B14 * IFERROR(VLOOKUP("industry|NOx|Minor restricted activity days", US_national_yearly!$D:$AM, 31, FALSE) / VLOOKUP("industry|NOx|Minor restricted activity days", US_national_yearly!$D:$AM, 10, FALSE), 1)</f>
        <v>0.28045577302675706</v>
      </c>
      <c r="X14" s="7">
        <f>$B14 * IFERROR(VLOOKUP("industry|NOx|Minor restricted activity days", US_national_yearly!$D:$AM, 32, FALSE) / VLOOKUP("industry|NOx|Minor restricted activity days", US_national_yearly!$D:$AM, 10, FALSE), 1)</f>
        <v>0.28208218611044511</v>
      </c>
      <c r="Y14" s="7">
        <f>$B14 * IFERROR(VLOOKUP("industry|NOx|Minor restricted activity days", US_national_yearly!$D:$AM, 33, FALSE) / VLOOKUP("industry|NOx|Minor restricted activity days", US_national_yearly!$D:$AM, 10, FALSE), 1)</f>
        <v>0.2837085991941331</v>
      </c>
      <c r="Z14" s="7">
        <f>$B14 * IFERROR(VLOOKUP("industry|NOx|Minor restricted activity days", US_national_yearly!$D:$AM, 34, FALSE) / VLOOKUP("industry|NOx|Minor restricted activity days", US_national_yearly!$D:$AM, 10, FALSE), 1)</f>
        <v>0.28533501227782115</v>
      </c>
      <c r="AA14" s="7">
        <f>$B14 * IFERROR(VLOOKUP("industry|NOx|Minor restricted activity days", US_national_yearly!$D:$AM, 35, FALSE) / VLOOKUP("industry|NOx|Minor restricted activity days", US_national_yearly!$D:$AM, 10, FALSE), 1)</f>
        <v>0.2869614253615092</v>
      </c>
      <c r="AB14" s="7">
        <f>$B14 * IFERROR(VLOOKUP("industry|NOx|Minor restricted activity days", US_national_yearly!$D:$AM, 36, FALSE) / VLOOKUP("industry|NOx|Minor restricted activity days", US_national_yearly!$D:$AM, 10, FALSE), 1)</f>
        <v>0.28858783844519725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4.2817406744519254E-2</v>
      </c>
      <c r="C15" s="7">
        <f>$B15 * IFERROR(VLOOKUP("industry|NOx|Work loss days", US_national_yearly!$D:$AM, 11, FALSE) / VLOOKUP("industry|NOx|Work loss days", US_national_yearly!$D:$AM, 10, FALSE), 1)</f>
        <v>4.2910178229791374E-2</v>
      </c>
      <c r="D15" s="7">
        <f>$B15 * IFERROR(VLOOKUP("industry|NOx|Work loss days", US_national_yearly!$D:$AM, 12, FALSE) / VLOOKUP("industry|NOx|Work loss days", US_national_yearly!$D:$AM, 10, FALSE), 1)</f>
        <v>4.3002949715063479E-2</v>
      </c>
      <c r="E15" s="7">
        <f>$B15 * IFERROR(VLOOKUP("industry|NOx|Work loss days", US_national_yearly!$D:$AM, 13, FALSE) / VLOOKUP("industry|NOx|Work loss days", US_national_yearly!$D:$AM, 10, FALSE), 1)</f>
        <v>4.3095721200335599E-2</v>
      </c>
      <c r="F15" s="7">
        <f>$B15 * IFERROR(VLOOKUP("industry|NOx|Work loss days", US_national_yearly!$D:$AM, 14, FALSE) / VLOOKUP("industry|NOx|Work loss days", US_national_yearly!$D:$AM, 10, FALSE), 1)</f>
        <v>4.3188492685607711E-2</v>
      </c>
      <c r="G15" s="7">
        <f>$B15 * IFERROR(VLOOKUP("industry|NOx|Work loss days", US_national_yearly!$D:$AM, 15, FALSE) / VLOOKUP("industry|NOx|Work loss days", US_national_yearly!$D:$AM, 10, FALSE), 1)</f>
        <v>4.3324194100795528E-2</v>
      </c>
      <c r="H15" s="7">
        <f>$B15 * IFERROR(VLOOKUP("industry|NOx|Work loss days", US_national_yearly!$D:$AM, 16, FALSE) / VLOOKUP("industry|NOx|Work loss days", US_national_yearly!$D:$AM, 10, FALSE), 1)</f>
        <v>4.3459895515983345E-2</v>
      </c>
      <c r="I15" s="7">
        <f>$B15 * IFERROR(VLOOKUP("industry|NOx|Work loss days", US_national_yearly!$D:$AM, 17, FALSE) / VLOOKUP("industry|NOx|Work loss days", US_national_yearly!$D:$AM, 10, FALSE), 1)</f>
        <v>4.3680375907945039E-2</v>
      </c>
      <c r="J15" s="7">
        <f>$B15 * IFERROR(VLOOKUP("industry|NOx|Work loss days", US_national_yearly!$D:$AM, 18, FALSE) / VLOOKUP("industry|NOx|Work loss days", US_national_yearly!$D:$AM, 10, FALSE), 1)</f>
        <v>4.390085629990672E-2</v>
      </c>
      <c r="K15" s="7">
        <f>$B15 * IFERROR(VLOOKUP("industry|NOx|Work loss days", US_national_yearly!$D:$AM, 19, FALSE) / VLOOKUP("industry|NOx|Work loss days", US_national_yearly!$D:$AM, 10, FALSE), 1)</f>
        <v>4.4121336691868407E-2</v>
      </c>
      <c r="L15" s="7">
        <f>$B15 * IFERROR(VLOOKUP("industry|NOx|Work loss days", US_national_yearly!$D:$AM, 20, FALSE) / VLOOKUP("industry|NOx|Work loss days", US_national_yearly!$D:$AM, 10, FALSE), 1)</f>
        <v>4.4341817083830087E-2</v>
      </c>
      <c r="M15" s="7">
        <f>$B15 * IFERROR(VLOOKUP("industry|NOx|Work loss days", US_national_yearly!$D:$AM, 21, FALSE) / VLOOKUP("industry|NOx|Work loss days", US_national_yearly!$D:$AM, 10, FALSE), 1)</f>
        <v>4.4562297475791775E-2</v>
      </c>
      <c r="N15" s="7">
        <f>$B15 * IFERROR(VLOOKUP("industry|NOx|Work loss days", US_national_yearly!$D:$AM, 22, FALSE) / VLOOKUP("industry|NOx|Work loss days", US_national_yearly!$D:$AM, 10, FALSE), 1)</f>
        <v>4.4850635828649378E-2</v>
      </c>
      <c r="O15" s="7">
        <f>$B15 * IFERROR(VLOOKUP("industry|NOx|Work loss days", US_national_yearly!$D:$AM, 23, FALSE) / VLOOKUP("industry|NOx|Work loss days", US_national_yearly!$D:$AM, 10, FALSE), 1)</f>
        <v>4.5138974181506981E-2</v>
      </c>
      <c r="P15" s="7">
        <f>$B15 * IFERROR(VLOOKUP("industry|NOx|Work loss days", US_national_yearly!$D:$AM, 24, FALSE) / VLOOKUP("industry|NOx|Work loss days", US_national_yearly!$D:$AM, 10, FALSE), 1)</f>
        <v>4.5427312534364578E-2</v>
      </c>
      <c r="Q15" s="7">
        <f>$B15 * IFERROR(VLOOKUP("industry|NOx|Work loss days", US_national_yearly!$D:$AM, 25, FALSE) / VLOOKUP("industry|NOx|Work loss days", US_national_yearly!$D:$AM, 10, FALSE), 1)</f>
        <v>4.5715650887222174E-2</v>
      </c>
      <c r="R15" s="7">
        <f>$B15 * IFERROR(VLOOKUP("industry|NOx|Work loss days", US_national_yearly!$D:$AM, 26, FALSE) / VLOOKUP("industry|NOx|Work loss days", US_national_yearly!$D:$AM, 10, FALSE), 1)</f>
        <v>4.6003989240079785E-2</v>
      </c>
      <c r="S15" s="7">
        <f>$B15 * IFERROR(VLOOKUP("industry|NOx|Work loss days", US_national_yearly!$D:$AM, 27, FALSE) / VLOOKUP("industry|NOx|Work loss days", US_national_yearly!$D:$AM, 10, FALSE), 1)</f>
        <v>4.6326334053370444E-2</v>
      </c>
      <c r="T15" s="7">
        <f>$B15 * IFERROR(VLOOKUP("industry|NOx|Work loss days", US_national_yearly!$D:$AM, 28, FALSE) / VLOOKUP("industry|NOx|Work loss days", US_national_yearly!$D:$AM, 10, FALSE), 1)</f>
        <v>4.6648678866661117E-2</v>
      </c>
      <c r="U15" s="7">
        <f>$B15 * IFERROR(VLOOKUP("industry|NOx|Work loss days", US_national_yearly!$D:$AM, 29, FALSE) / VLOOKUP("industry|NOx|Work loss days", US_national_yearly!$D:$AM, 10, FALSE), 1)</f>
        <v>4.697102367995179E-2</v>
      </c>
      <c r="V15" s="7">
        <f>$B15 * IFERROR(VLOOKUP("industry|NOx|Work loss days", US_national_yearly!$D:$AM, 30, FALSE) / VLOOKUP("industry|NOx|Work loss days", US_national_yearly!$D:$AM, 10, FALSE), 1)</f>
        <v>4.7293368493242449E-2</v>
      </c>
      <c r="W15" s="7">
        <f>$B15 * IFERROR(VLOOKUP("industry|NOx|Work loss days", US_national_yearly!$D:$AM, 31, FALSE) / VLOOKUP("industry|NOx|Work loss days", US_national_yearly!$D:$AM, 10, FALSE), 1)</f>
        <v>4.7615713306533122E-2</v>
      </c>
      <c r="X15" s="7">
        <f>$B15 * IFERROR(VLOOKUP("industry|NOx|Work loss days", US_national_yearly!$D:$AM, 32, FALSE) / VLOOKUP("industry|NOx|Work loss days", US_national_yearly!$D:$AM, 10, FALSE), 1)</f>
        <v>4.7895358673836992E-2</v>
      </c>
      <c r="Y15" s="7">
        <f>$B15 * IFERROR(VLOOKUP("industry|NOx|Work loss days", US_national_yearly!$D:$AM, 33, FALSE) / VLOOKUP("industry|NOx|Work loss days", US_national_yearly!$D:$AM, 10, FALSE), 1)</f>
        <v>4.8175004041140862E-2</v>
      </c>
      <c r="Z15" s="7">
        <f>$B15 * IFERROR(VLOOKUP("industry|NOx|Work loss days", US_national_yearly!$D:$AM, 34, FALSE) / VLOOKUP("industry|NOx|Work loss days", US_national_yearly!$D:$AM, 10, FALSE), 1)</f>
        <v>4.8454649408444732E-2</v>
      </c>
      <c r="AA15" s="7">
        <f>$B15 * IFERROR(VLOOKUP("industry|NOx|Work loss days", US_national_yearly!$D:$AM, 35, FALSE) / VLOOKUP("industry|NOx|Work loss days", US_national_yearly!$D:$AM, 10, FALSE), 1)</f>
        <v>4.8734294775748602E-2</v>
      </c>
      <c r="AB15" s="7">
        <f>$B15 * IFERROR(VLOOKUP("industry|NOx|Work loss days", US_national_yearly!$D:$AM, 36, FALSE) / VLOOKUP("industry|NOx|Work loss days", US_national_yearly!$D:$AM, 10, FALSE), 1)</f>
        <v>4.9013940143052478E-2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7.7291736060381214E-5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7.956122788920949E-5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8.1830719718037765E-5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8.4100211546866055E-5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8.6369703375694344E-5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8.8526683216300469E-5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9.0683663056906607E-5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9.2502153135346298E-5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9.432064321378599E-5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9.6139133292225668E-5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9.795762337066536E-5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9.9776113449105024E-5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1.0091456307036252E-4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1.0205301269161997E-4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1.0319146231287743E-4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1.0432991193413489E-4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1.0546836155539234E-4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1.0599355075622592E-4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1.0651873995705948E-4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1.0704392915789305E-4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1.0756911835872663E-4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1.080943075595602E-4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1.0839103578761944E-4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1.0868776401567866E-4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1.0898449224373789E-4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1.0928122047179711E-4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1.0957794869985636E-4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1.6121495415175389E-3</v>
      </c>
      <c r="C2" s="7">
        <f>$B2 * IFERROR(VLOOKUP("industry|SO2|Premature mortality", US_national_yearly!$D:$AM, 11, FALSE) / VLOOKUP("industry|SO2|Premature mortality", US_national_yearly!$D:$AM, 10, FALSE), 1)</f>
        <v>1.6325866043867857E-3</v>
      </c>
      <c r="D2" s="7">
        <f>$B2 * IFERROR(VLOOKUP("industry|SO2|Premature mortality", US_national_yearly!$D:$AM, 12, FALSE) / VLOOKUP("industry|SO2|Premature mortality", US_national_yearly!$D:$AM, 10, FALSE), 1)</f>
        <v>1.6530236672560323E-3</v>
      </c>
      <c r="E2" s="7">
        <f>$B2 * IFERROR(VLOOKUP("industry|SO2|Premature mortality", US_national_yearly!$D:$AM, 13, FALSE) / VLOOKUP("industry|SO2|Premature mortality", US_national_yearly!$D:$AM, 10, FALSE), 1)</f>
        <v>1.6734607301252789E-3</v>
      </c>
      <c r="F2" s="7">
        <f>$B2 * IFERROR(VLOOKUP("industry|SO2|Premature mortality", US_national_yearly!$D:$AM, 14, FALSE) / VLOOKUP("industry|SO2|Premature mortality", US_national_yearly!$D:$AM, 10, FALSE), 1)</f>
        <v>1.6938977929945259E-3</v>
      </c>
      <c r="G2" s="7">
        <f>$B2 * IFERROR(VLOOKUP("industry|SO2|Premature mortality", US_national_yearly!$D:$AM, 15, FALSE) / VLOOKUP("industry|SO2|Premature mortality", US_national_yearly!$D:$AM, 10, FALSE), 1)</f>
        <v>1.7332894880839262E-3</v>
      </c>
      <c r="H2" s="7">
        <f>$B2 * IFERROR(VLOOKUP("industry|SO2|Premature mortality", US_national_yearly!$D:$AM, 16, FALSE) / VLOOKUP("industry|SO2|Premature mortality", US_national_yearly!$D:$AM, 10, FALSE), 1)</f>
        <v>1.7726811831733265E-3</v>
      </c>
      <c r="I2" s="7">
        <f>$B2 * IFERROR(VLOOKUP("industry|SO2|Premature mortality", US_national_yearly!$D:$AM, 17, FALSE) / VLOOKUP("industry|SO2|Premature mortality", US_national_yearly!$D:$AM, 10, FALSE), 1)</f>
        <v>1.7987652107078092E-3</v>
      </c>
      <c r="J2" s="7">
        <f>$B2 * IFERROR(VLOOKUP("industry|SO2|Premature mortality", US_national_yearly!$D:$AM, 18, FALSE) / VLOOKUP("industry|SO2|Premature mortality", US_national_yearly!$D:$AM, 10, FALSE), 1)</f>
        <v>1.8248492382422915E-3</v>
      </c>
      <c r="K2" s="7">
        <f>$B2 * IFERROR(VLOOKUP("industry|SO2|Premature mortality", US_national_yearly!$D:$AM, 19, FALSE) / VLOOKUP("industry|SO2|Premature mortality", US_national_yearly!$D:$AM, 10, FALSE), 1)</f>
        <v>1.8509332657767738E-3</v>
      </c>
      <c r="L2" s="7">
        <f>$B2 * IFERROR(VLOOKUP("industry|SO2|Premature mortality", US_national_yearly!$D:$AM, 20, FALSE) / VLOOKUP("industry|SO2|Premature mortality", US_national_yearly!$D:$AM, 10, FALSE), 1)</f>
        <v>1.8770172933112565E-3</v>
      </c>
      <c r="M2" s="7">
        <f>$B2 * IFERROR(VLOOKUP("industry|SO2|Premature mortality", US_national_yearly!$D:$AM, 21, FALSE) / VLOOKUP("industry|SO2|Premature mortality", US_national_yearly!$D:$AM, 10, FALSE), 1)</f>
        <v>1.9031013208457388E-3</v>
      </c>
      <c r="N2" s="7">
        <f>$B2 * IFERROR(VLOOKUP("industry|SO2|Premature mortality", US_national_yearly!$D:$AM, 22, FALSE) / VLOOKUP("industry|SO2|Premature mortality", US_national_yearly!$D:$AM, 10, FALSE), 1)</f>
        <v>1.9235052321516007E-3</v>
      </c>
      <c r="O2" s="7">
        <f>$B2 * IFERROR(VLOOKUP("industry|SO2|Premature mortality", US_national_yearly!$D:$AM, 23, FALSE) / VLOOKUP("industry|SO2|Premature mortality", US_national_yearly!$D:$AM, 10, FALSE), 1)</f>
        <v>1.9439091434574629E-3</v>
      </c>
      <c r="P2" s="7">
        <f>$B2 * IFERROR(VLOOKUP("industry|SO2|Premature mortality", US_national_yearly!$D:$AM, 24, FALSE) / VLOOKUP("industry|SO2|Premature mortality", US_national_yearly!$D:$AM, 10, FALSE), 1)</f>
        <v>1.964313054763325E-3</v>
      </c>
      <c r="Q2" s="7">
        <f>$B2 * IFERROR(VLOOKUP("industry|SO2|Premature mortality", US_national_yearly!$D:$AM, 25, FALSE) / VLOOKUP("industry|SO2|Premature mortality", US_national_yearly!$D:$AM, 10, FALSE), 1)</f>
        <v>1.9847169660691874E-3</v>
      </c>
      <c r="R2" s="7">
        <f>$B2 * IFERROR(VLOOKUP("industry|SO2|Premature mortality", US_national_yearly!$D:$AM, 26, FALSE) / VLOOKUP("industry|SO2|Premature mortality", US_national_yearly!$D:$AM, 10, FALSE), 1)</f>
        <v>2.0051208773750493E-3</v>
      </c>
      <c r="S2" s="7">
        <f>$B2 * IFERROR(VLOOKUP("industry|SO2|Premature mortality", US_national_yearly!$D:$AM, 27, FALSE) / VLOOKUP("industry|SO2|Premature mortality", US_national_yearly!$D:$AM, 10, FALSE), 1)</f>
        <v>2.0161378654147905E-3</v>
      </c>
      <c r="T2" s="7">
        <f>$B2 * IFERROR(VLOOKUP("industry|SO2|Premature mortality", US_national_yearly!$D:$AM, 28, FALSE) / VLOOKUP("industry|SO2|Premature mortality", US_national_yearly!$D:$AM, 10, FALSE), 1)</f>
        <v>2.0271548534545321E-3</v>
      </c>
      <c r="U2" s="7">
        <f>$B2 * IFERROR(VLOOKUP("industry|SO2|Premature mortality", US_national_yearly!$D:$AM, 29, FALSE) / VLOOKUP("industry|SO2|Premature mortality", US_national_yearly!$D:$AM, 10, FALSE), 1)</f>
        <v>2.0381718414942741E-3</v>
      </c>
      <c r="V2" s="7">
        <f>$B2 * IFERROR(VLOOKUP("industry|SO2|Premature mortality", US_national_yearly!$D:$AM, 30, FALSE) / VLOOKUP("industry|SO2|Premature mortality", US_national_yearly!$D:$AM, 10, FALSE), 1)</f>
        <v>2.0491888295340157E-3</v>
      </c>
      <c r="W2" s="7">
        <f>$B2 * IFERROR(VLOOKUP("industry|SO2|Premature mortality", US_national_yearly!$D:$AM, 31, FALSE) / VLOOKUP("industry|SO2|Premature mortality", US_national_yearly!$D:$AM, 10, FALSE), 1)</f>
        <v>2.0602058175737572E-3</v>
      </c>
      <c r="X2" s="7">
        <f>$B2 * IFERROR(VLOOKUP("industry|SO2|Premature mortality", US_national_yearly!$D:$AM, 32, FALSE) / VLOOKUP("industry|SO2|Premature mortality", US_national_yearly!$D:$AM, 10, FALSE), 1)</f>
        <v>2.0625770095712586E-3</v>
      </c>
      <c r="Y2" s="7">
        <f>$B2 * IFERROR(VLOOKUP("industry|SO2|Premature mortality", US_national_yearly!$D:$AM, 33, FALSE) / VLOOKUP("industry|SO2|Premature mortality", US_national_yearly!$D:$AM, 10, FALSE), 1)</f>
        <v>2.06494820156876E-3</v>
      </c>
      <c r="Z2" s="7">
        <f>$B2 * IFERROR(VLOOKUP("industry|SO2|Premature mortality", US_national_yearly!$D:$AM, 34, FALSE) / VLOOKUP("industry|SO2|Premature mortality", US_national_yearly!$D:$AM, 10, FALSE), 1)</f>
        <v>2.0673193935662614E-3</v>
      </c>
      <c r="AA2" s="7">
        <f>$B2 * IFERROR(VLOOKUP("industry|SO2|Premature mortality", US_national_yearly!$D:$AM, 35, FALSE) / VLOOKUP("industry|SO2|Premature mortality", US_national_yearly!$D:$AM, 10, FALSE), 1)</f>
        <v>2.0696905855637627E-3</v>
      </c>
      <c r="AB2" s="7">
        <f>$B2 * IFERROR(VLOOKUP("industry|SO2|Premature mortality", US_national_yearly!$D:$AM, 36, FALSE) / VLOOKUP("industry|SO2|Premature mortality", US_national_yearly!$D:$AM, 10, FALSE), 1)</f>
        <v>2.0720617775612641E-3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5.1525097835546531E-6</v>
      </c>
      <c r="C3" s="7">
        <f>$B3 * IFERROR(VLOOKUP("industry|SO2|Infant mortality", US_national_yearly!$D:$AM, 11, FALSE) / VLOOKUP("industry|SO2|Infant mortality", US_national_yearly!$D:$AM, 10, FALSE), 1)</f>
        <v>5.1081823445418741E-6</v>
      </c>
      <c r="D3" s="7">
        <f>$B3 * IFERROR(VLOOKUP("industry|SO2|Infant mortality", US_national_yearly!$D:$AM, 12, FALSE) / VLOOKUP("industry|SO2|Infant mortality", US_national_yearly!$D:$AM, 10, FALSE), 1)</f>
        <v>5.063854905529095E-6</v>
      </c>
      <c r="E3" s="7">
        <f>$B3 * IFERROR(VLOOKUP("industry|SO2|Infant mortality", US_national_yearly!$D:$AM, 13, FALSE) / VLOOKUP("industry|SO2|Infant mortality", US_national_yearly!$D:$AM, 10, FALSE), 1)</f>
        <v>5.0195274665163151E-6</v>
      </c>
      <c r="F3" s="7">
        <f>$B3 * IFERROR(VLOOKUP("industry|SO2|Infant mortality", US_national_yearly!$D:$AM, 14, FALSE) / VLOOKUP("industry|SO2|Infant mortality", US_national_yearly!$D:$AM, 10, FALSE), 1)</f>
        <v>4.975200027503537E-6</v>
      </c>
      <c r="G3" s="7">
        <f>$B3 * IFERROR(VLOOKUP("industry|SO2|Infant mortality", US_national_yearly!$D:$AM, 15, FALSE) / VLOOKUP("industry|SO2|Infant mortality", US_national_yearly!$D:$AM, 10, FALSE), 1)</f>
        <v>3.3119824306579898E-6</v>
      </c>
      <c r="H3" s="7">
        <f>$B3 * IFERROR(VLOOKUP("industry|SO2|Infant mortality", US_national_yearly!$D:$AM, 16, FALSE) / VLOOKUP("industry|SO2|Infant mortality", US_national_yearly!$D:$AM, 10, FALSE), 1)</f>
        <v>1.6487648338124429E-6</v>
      </c>
      <c r="I3" s="7">
        <f>$B3 * IFERROR(VLOOKUP("industry|SO2|Infant mortality", US_national_yearly!$D:$AM, 17, FALSE) / VLOOKUP("industry|SO2|Infant mortality", US_national_yearly!$D:$AM, 10, FALSE), 1)</f>
        <v>1.6382953177420939E-6</v>
      </c>
      <c r="J3" s="7">
        <f>$B3 * IFERROR(VLOOKUP("industry|SO2|Infant mortality", US_national_yearly!$D:$AM, 18, FALSE) / VLOOKUP("industry|SO2|Infant mortality", US_national_yearly!$D:$AM, 10, FALSE), 1)</f>
        <v>1.627825801671745E-6</v>
      </c>
      <c r="K3" s="7">
        <f>$B3 * IFERROR(VLOOKUP("industry|SO2|Infant mortality", US_national_yearly!$D:$AM, 19, FALSE) / VLOOKUP("industry|SO2|Infant mortality", US_national_yearly!$D:$AM, 10, FALSE), 1)</f>
        <v>1.617356285601396E-6</v>
      </c>
      <c r="L3" s="7">
        <f>$B3 * IFERROR(VLOOKUP("industry|SO2|Infant mortality", US_national_yearly!$D:$AM, 20, FALSE) / VLOOKUP("industry|SO2|Infant mortality", US_national_yearly!$D:$AM, 10, FALSE), 1)</f>
        <v>1.6068867695310469E-6</v>
      </c>
      <c r="M3" s="7">
        <f>$B3 * IFERROR(VLOOKUP("industry|SO2|Infant mortality", US_national_yearly!$D:$AM, 21, FALSE) / VLOOKUP("industry|SO2|Infant mortality", US_national_yearly!$D:$AM, 10, FALSE), 1)</f>
        <v>1.5964172534606979E-6</v>
      </c>
      <c r="N3" s="7">
        <f>$B3 * IFERROR(VLOOKUP("industry|SO2|Infant mortality", US_national_yearly!$D:$AM, 22, FALSE) / VLOOKUP("industry|SO2|Infant mortality", US_national_yearly!$D:$AM, 10, FALSE), 1)</f>
        <v>1.5897816249900721E-6</v>
      </c>
      <c r="O3" s="7">
        <f>$B3 * IFERROR(VLOOKUP("industry|SO2|Infant mortality", US_national_yearly!$D:$AM, 23, FALSE) / VLOOKUP("industry|SO2|Infant mortality", US_national_yearly!$D:$AM, 10, FALSE), 1)</f>
        <v>1.5831459965194463E-6</v>
      </c>
      <c r="P3" s="7">
        <f>$B3 * IFERROR(VLOOKUP("industry|SO2|Infant mortality", US_national_yearly!$D:$AM, 24, FALSE) / VLOOKUP("industry|SO2|Infant mortality", US_national_yearly!$D:$AM, 10, FALSE), 1)</f>
        <v>1.5765103680488204E-6</v>
      </c>
      <c r="Q3" s="7">
        <f>$B3 * IFERROR(VLOOKUP("industry|SO2|Infant mortality", US_national_yearly!$D:$AM, 25, FALSE) / VLOOKUP("industry|SO2|Infant mortality", US_national_yearly!$D:$AM, 10, FALSE), 1)</f>
        <v>1.5698747395781946E-6</v>
      </c>
      <c r="R3" s="7">
        <f>$B3 * IFERROR(VLOOKUP("industry|SO2|Infant mortality", US_national_yearly!$D:$AM, 26, FALSE) / VLOOKUP("industry|SO2|Infant mortality", US_national_yearly!$D:$AM, 10, FALSE), 1)</f>
        <v>1.5632391111075688E-6</v>
      </c>
      <c r="S3" s="7">
        <f>$B3 * IFERROR(VLOOKUP("industry|SO2|Infant mortality", US_national_yearly!$D:$AM, 27, FALSE) / VLOOKUP("industry|SO2|Infant mortality", US_national_yearly!$D:$AM, 10, FALSE), 1)</f>
        <v>1.5549811471730286E-6</v>
      </c>
      <c r="T3" s="7">
        <f>$B3 * IFERROR(VLOOKUP("industry|SO2|Infant mortality", US_national_yearly!$D:$AM, 28, FALSE) / VLOOKUP("industry|SO2|Infant mortality", US_national_yearly!$D:$AM, 10, FALSE), 1)</f>
        <v>1.5467231832384883E-6</v>
      </c>
      <c r="U3" s="7">
        <f>$B3 * IFERROR(VLOOKUP("industry|SO2|Infant mortality", US_national_yearly!$D:$AM, 29, FALSE) / VLOOKUP("industry|SO2|Infant mortality", US_national_yearly!$D:$AM, 10, FALSE), 1)</f>
        <v>1.5384652193039481E-6</v>
      </c>
      <c r="V3" s="7">
        <f>$B3 * IFERROR(VLOOKUP("industry|SO2|Infant mortality", US_national_yearly!$D:$AM, 30, FALSE) / VLOOKUP("industry|SO2|Infant mortality", US_national_yearly!$D:$AM, 10, FALSE), 1)</f>
        <v>1.5302072553694079E-6</v>
      </c>
      <c r="W3" s="7">
        <f>$B3 * IFERROR(VLOOKUP("industry|SO2|Infant mortality", US_national_yearly!$D:$AM, 31, FALSE) / VLOOKUP("industry|SO2|Infant mortality", US_national_yearly!$D:$AM, 10, FALSE), 1)</f>
        <v>1.5219492914348677E-6</v>
      </c>
      <c r="X3" s="7">
        <f>$B3 * IFERROR(VLOOKUP("industry|SO2|Infant mortality", US_national_yearly!$D:$AM, 32, FALSE) / VLOOKUP("industry|SO2|Infant mortality", US_national_yearly!$D:$AM, 10, FALSE), 1)</f>
        <v>1.5129753489886385E-6</v>
      </c>
      <c r="Y3" s="7">
        <f>$B3 * IFERROR(VLOOKUP("industry|SO2|Infant mortality", US_national_yearly!$D:$AM, 33, FALSE) / VLOOKUP("industry|SO2|Infant mortality", US_national_yearly!$D:$AM, 10, FALSE), 1)</f>
        <v>1.5040014065424096E-6</v>
      </c>
      <c r="Z3" s="7">
        <f>$B3 * IFERROR(VLOOKUP("industry|SO2|Infant mortality", US_national_yearly!$D:$AM, 34, FALSE) / VLOOKUP("industry|SO2|Infant mortality", US_national_yearly!$D:$AM, 10, FALSE), 1)</f>
        <v>1.4950274640961804E-6</v>
      </c>
      <c r="AA3" s="7">
        <f>$B3 * IFERROR(VLOOKUP("industry|SO2|Infant mortality", US_national_yearly!$D:$AM, 35, FALSE) / VLOOKUP("industry|SO2|Infant mortality", US_national_yearly!$D:$AM, 10, FALSE), 1)</f>
        <v>1.4860535216499514E-6</v>
      </c>
      <c r="AB3" s="7">
        <f>$B3 * IFERROR(VLOOKUP("industry|SO2|Infant mortality", US_national_yearly!$D:$AM, 36, FALSE) / VLOOKUP("industry|SO2|Infant mortality", US_national_yearly!$D:$AM, 10, FALSE), 1)</f>
        <v>1.4770795792037222E-6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4.5092725506751989E-3</v>
      </c>
      <c r="C6" s="7">
        <f>$B6 * IFERROR(VLOOKUP("industry|SO2|Asthma symptoms cough", US_national_yearly!$D:$AM, 11, FALSE) / VLOOKUP("industry|SO2|Asthma symptoms cough", US_national_yearly!$D:$AM, 10, FALSE), 1)</f>
        <v>4.5092725506751989E-3</v>
      </c>
      <c r="D6" s="7">
        <f>$B6 * IFERROR(VLOOKUP("industry|SO2|Asthma symptoms cough", US_national_yearly!$D:$AM, 12, FALSE) / VLOOKUP("industry|SO2|Asthma symptoms cough", US_national_yearly!$D:$AM, 10, FALSE), 1)</f>
        <v>4.5092725506751989E-3</v>
      </c>
      <c r="E6" s="7">
        <f>$B6 * IFERROR(VLOOKUP("industry|SO2|Asthma symptoms cough", US_national_yearly!$D:$AM, 13, FALSE) / VLOOKUP("industry|SO2|Asthma symptoms cough", US_national_yearly!$D:$AM, 10, FALSE), 1)</f>
        <v>4.5092725506751989E-3</v>
      </c>
      <c r="F6" s="7">
        <f>$B6 * IFERROR(VLOOKUP("industry|SO2|Asthma symptoms cough", US_national_yearly!$D:$AM, 14, FALSE) / VLOOKUP("industry|SO2|Asthma symptoms cough", US_national_yearly!$D:$AM, 10, FALSE), 1)</f>
        <v>4.5092725506751989E-3</v>
      </c>
      <c r="G6" s="7">
        <f>$B6 * IFERROR(VLOOKUP("industry|SO2|Asthma symptoms cough", US_national_yearly!$D:$AM, 15, FALSE) / VLOOKUP("industry|SO2|Asthma symptoms cough", US_national_yearly!$D:$AM, 10, FALSE), 1)</f>
        <v>4.5092725506751989E-3</v>
      </c>
      <c r="H6" s="7">
        <f>$B6 * IFERROR(VLOOKUP("industry|SO2|Asthma symptoms cough", US_national_yearly!$D:$AM, 16, FALSE) / VLOOKUP("industry|SO2|Asthma symptoms cough", US_national_yearly!$D:$AM, 10, FALSE), 1)</f>
        <v>4.5092725506751989E-3</v>
      </c>
      <c r="I6" s="7">
        <f>$B6 * IFERROR(VLOOKUP("industry|SO2|Asthma symptoms cough", US_national_yearly!$D:$AM, 17, FALSE) / VLOOKUP("industry|SO2|Asthma symptoms cough", US_national_yearly!$D:$AM, 10, FALSE), 1)</f>
        <v>4.5092725506751989E-3</v>
      </c>
      <c r="J6" s="7">
        <f>$B6 * IFERROR(VLOOKUP("industry|SO2|Asthma symptoms cough", US_national_yearly!$D:$AM, 18, FALSE) / VLOOKUP("industry|SO2|Asthma symptoms cough", US_national_yearly!$D:$AM, 10, FALSE), 1)</f>
        <v>4.5092725506751989E-3</v>
      </c>
      <c r="K6" s="7">
        <f>$B6 * IFERROR(VLOOKUP("industry|SO2|Asthma symptoms cough", US_national_yearly!$D:$AM, 19, FALSE) / VLOOKUP("industry|SO2|Asthma symptoms cough", US_national_yearly!$D:$AM, 10, FALSE), 1)</f>
        <v>4.5092725506751989E-3</v>
      </c>
      <c r="L6" s="7">
        <f>$B6 * IFERROR(VLOOKUP("industry|SO2|Asthma symptoms cough", US_national_yearly!$D:$AM, 20, FALSE) / VLOOKUP("industry|SO2|Asthma symptoms cough", US_national_yearly!$D:$AM, 10, FALSE), 1)</f>
        <v>4.5092725506751989E-3</v>
      </c>
      <c r="M6" s="7">
        <f>$B6 * IFERROR(VLOOKUP("industry|SO2|Asthma symptoms cough", US_national_yearly!$D:$AM, 21, FALSE) / VLOOKUP("industry|SO2|Asthma symptoms cough", US_national_yearly!$D:$AM, 10, FALSE), 1)</f>
        <v>4.5092725506751989E-3</v>
      </c>
      <c r="N6" s="7">
        <f>$B6 * IFERROR(VLOOKUP("industry|SO2|Asthma symptoms cough", US_national_yearly!$D:$AM, 22, FALSE) / VLOOKUP("industry|SO2|Asthma symptoms cough", US_national_yearly!$D:$AM, 10, FALSE), 1)</f>
        <v>4.5092725506751989E-3</v>
      </c>
      <c r="O6" s="7">
        <f>$B6 * IFERROR(VLOOKUP("industry|SO2|Asthma symptoms cough", US_national_yearly!$D:$AM, 23, FALSE) / VLOOKUP("industry|SO2|Asthma symptoms cough", US_national_yearly!$D:$AM, 10, FALSE), 1)</f>
        <v>4.5092725506751989E-3</v>
      </c>
      <c r="P6" s="7">
        <f>$B6 * IFERROR(VLOOKUP("industry|SO2|Asthma symptoms cough", US_national_yearly!$D:$AM, 24, FALSE) / VLOOKUP("industry|SO2|Asthma symptoms cough", US_national_yearly!$D:$AM, 10, FALSE), 1)</f>
        <v>4.5092725506751989E-3</v>
      </c>
      <c r="Q6" s="7">
        <f>$B6 * IFERROR(VLOOKUP("industry|SO2|Asthma symptoms cough", US_national_yearly!$D:$AM, 25, FALSE) / VLOOKUP("industry|SO2|Asthma symptoms cough", US_national_yearly!$D:$AM, 10, FALSE), 1)</f>
        <v>4.5092725506751989E-3</v>
      </c>
      <c r="R6" s="7">
        <f>$B6 * IFERROR(VLOOKUP("industry|SO2|Asthma symptoms cough", US_national_yearly!$D:$AM, 26, FALSE) / VLOOKUP("industry|SO2|Asthma symptoms cough", US_national_yearly!$D:$AM, 10, FALSE), 1)</f>
        <v>4.5092725506751989E-3</v>
      </c>
      <c r="S6" s="7">
        <f>$B6 * IFERROR(VLOOKUP("industry|SO2|Asthma symptoms cough", US_national_yearly!$D:$AM, 27, FALSE) / VLOOKUP("industry|SO2|Asthma symptoms cough", US_national_yearly!$D:$AM, 10, FALSE), 1)</f>
        <v>4.5092725506751989E-3</v>
      </c>
      <c r="T6" s="7">
        <f>$B6 * IFERROR(VLOOKUP("industry|SO2|Asthma symptoms cough", US_national_yearly!$D:$AM, 28, FALSE) / VLOOKUP("industry|SO2|Asthma symptoms cough", US_national_yearly!$D:$AM, 10, FALSE), 1)</f>
        <v>4.5092725506751989E-3</v>
      </c>
      <c r="U6" s="7">
        <f>$B6 * IFERROR(VLOOKUP("industry|SO2|Asthma symptoms cough", US_national_yearly!$D:$AM, 29, FALSE) / VLOOKUP("industry|SO2|Asthma symptoms cough", US_national_yearly!$D:$AM, 10, FALSE), 1)</f>
        <v>4.5092725506751989E-3</v>
      </c>
      <c r="V6" s="7">
        <f>$B6 * IFERROR(VLOOKUP("industry|SO2|Asthma symptoms cough", US_national_yearly!$D:$AM, 30, FALSE) / VLOOKUP("industry|SO2|Asthma symptoms cough", US_national_yearly!$D:$AM, 10, FALSE), 1)</f>
        <v>4.5092725506751989E-3</v>
      </c>
      <c r="W6" s="7">
        <f>$B6 * IFERROR(VLOOKUP("industry|SO2|Asthma symptoms cough", US_national_yearly!$D:$AM, 31, FALSE) / VLOOKUP("industry|SO2|Asthma symptoms cough", US_national_yearly!$D:$AM, 10, FALSE), 1)</f>
        <v>4.5092725506751989E-3</v>
      </c>
      <c r="X6" s="7">
        <f>$B6 * IFERROR(VLOOKUP("industry|SO2|Asthma symptoms cough", US_national_yearly!$D:$AM, 32, FALSE) / VLOOKUP("industry|SO2|Asthma symptoms cough", US_national_yearly!$D:$AM, 10, FALSE), 1)</f>
        <v>4.5092725506751989E-3</v>
      </c>
      <c r="Y6" s="7">
        <f>$B6 * IFERROR(VLOOKUP("industry|SO2|Asthma symptoms cough", US_national_yearly!$D:$AM, 33, FALSE) / VLOOKUP("industry|SO2|Asthma symptoms cough", US_national_yearly!$D:$AM, 10, FALSE), 1)</f>
        <v>4.5092725506751989E-3</v>
      </c>
      <c r="Z6" s="7">
        <f>$B6 * IFERROR(VLOOKUP("industry|SO2|Asthma symptoms cough", US_national_yearly!$D:$AM, 34, FALSE) / VLOOKUP("industry|SO2|Asthma symptoms cough", US_national_yearly!$D:$AM, 10, FALSE), 1)</f>
        <v>4.5092725506751989E-3</v>
      </c>
      <c r="AA6" s="7">
        <f>$B6 * IFERROR(VLOOKUP("industry|SO2|Asthma symptoms cough", US_national_yearly!$D:$AM, 35, FALSE) / VLOOKUP("industry|SO2|Asthma symptoms cough", US_national_yearly!$D:$AM, 10, FALSE), 1)</f>
        <v>4.5092725506751989E-3</v>
      </c>
      <c r="AB6" s="7">
        <f>$B6 * IFERROR(VLOOKUP("industry|SO2|Asthma symptoms cough", US_national_yearly!$D:$AM, 36, FALSE) / VLOOKUP("industry|SO2|Asthma symptoms cough", US_national_yearly!$D:$AM, 10, FALSE), 1)</f>
        <v>4.5092725506751989E-3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6.0723673829441291E-3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6.0723673829441291E-3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6.0723673829441291E-3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6.0723673829441291E-3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6.0723673829441291E-3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6.0723673829441291E-3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6.0723673829441291E-3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6.0723673829441291E-3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6.0723673829441291E-3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6.0723673829441291E-3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6.0723673829441291E-3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6.0723673829441291E-3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6.0723673829441291E-3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6.0723673829441291E-3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6.0723673829441291E-3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6.0723673829441291E-3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6.0723673829441291E-3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6.0723673829441291E-3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6.0723673829441291E-3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6.0723673829441291E-3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6.0723673829441291E-3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6.0723673829441291E-3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6.0723673829441291E-3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6.0723673829441291E-3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6.0723673829441291E-3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6.0723673829441291E-3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6.0723673829441291E-3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9.2776282140223827E-3</v>
      </c>
      <c r="C8" s="7">
        <f>$B8 * IFERROR(VLOOKUP("industry|SO2|Asthma symptoms wheeze", US_national_yearly!$D:$AM, 11, FALSE) / VLOOKUP("industry|SO2|Asthma symptoms wheeze", US_national_yearly!$D:$AM, 10, FALSE), 1)</f>
        <v>9.2776282140223827E-3</v>
      </c>
      <c r="D8" s="7">
        <f>$B8 * IFERROR(VLOOKUP("industry|SO2|Asthma symptoms wheeze", US_national_yearly!$D:$AM, 12, FALSE) / VLOOKUP("industry|SO2|Asthma symptoms wheeze", US_national_yearly!$D:$AM, 10, FALSE), 1)</f>
        <v>9.2776282140223827E-3</v>
      </c>
      <c r="E8" s="7">
        <f>$B8 * IFERROR(VLOOKUP("industry|SO2|Asthma symptoms wheeze", US_national_yearly!$D:$AM, 13, FALSE) / VLOOKUP("industry|SO2|Asthma symptoms wheeze", US_national_yearly!$D:$AM, 10, FALSE), 1)</f>
        <v>9.2776282140223827E-3</v>
      </c>
      <c r="F8" s="7">
        <f>$B8 * IFERROR(VLOOKUP("industry|SO2|Asthma symptoms wheeze", US_national_yearly!$D:$AM, 14, FALSE) / VLOOKUP("industry|SO2|Asthma symptoms wheeze", US_national_yearly!$D:$AM, 10, FALSE), 1)</f>
        <v>9.2776282140223827E-3</v>
      </c>
      <c r="G8" s="7">
        <f>$B8 * IFERROR(VLOOKUP("industry|SO2|Asthma symptoms wheeze", US_national_yearly!$D:$AM, 15, FALSE) / VLOOKUP("industry|SO2|Asthma symptoms wheeze", US_national_yearly!$D:$AM, 10, FALSE), 1)</f>
        <v>9.2776282140223827E-3</v>
      </c>
      <c r="H8" s="7">
        <f>$B8 * IFERROR(VLOOKUP("industry|SO2|Asthma symptoms wheeze", US_national_yearly!$D:$AM, 16, FALSE) / VLOOKUP("industry|SO2|Asthma symptoms wheeze", US_national_yearly!$D:$AM, 10, FALSE), 1)</f>
        <v>9.2776282140223827E-3</v>
      </c>
      <c r="I8" s="7">
        <f>$B8 * IFERROR(VLOOKUP("industry|SO2|Asthma symptoms wheeze", US_national_yearly!$D:$AM, 17, FALSE) / VLOOKUP("industry|SO2|Asthma symptoms wheeze", US_national_yearly!$D:$AM, 10, FALSE), 1)</f>
        <v>9.2776282140223827E-3</v>
      </c>
      <c r="J8" s="7">
        <f>$B8 * IFERROR(VLOOKUP("industry|SO2|Asthma symptoms wheeze", US_national_yearly!$D:$AM, 18, FALSE) / VLOOKUP("industry|SO2|Asthma symptoms wheeze", US_national_yearly!$D:$AM, 10, FALSE), 1)</f>
        <v>9.2776282140223827E-3</v>
      </c>
      <c r="K8" s="7">
        <f>$B8 * IFERROR(VLOOKUP("industry|SO2|Asthma symptoms wheeze", US_national_yearly!$D:$AM, 19, FALSE) / VLOOKUP("industry|SO2|Asthma symptoms wheeze", US_national_yearly!$D:$AM, 10, FALSE), 1)</f>
        <v>9.2776282140223827E-3</v>
      </c>
      <c r="L8" s="7">
        <f>$B8 * IFERROR(VLOOKUP("industry|SO2|Asthma symptoms wheeze", US_national_yearly!$D:$AM, 20, FALSE) / VLOOKUP("industry|SO2|Asthma symptoms wheeze", US_national_yearly!$D:$AM, 10, FALSE), 1)</f>
        <v>9.2776282140223827E-3</v>
      </c>
      <c r="M8" s="7">
        <f>$B8 * IFERROR(VLOOKUP("industry|SO2|Asthma symptoms wheeze", US_national_yearly!$D:$AM, 21, FALSE) / VLOOKUP("industry|SO2|Asthma symptoms wheeze", US_national_yearly!$D:$AM, 10, FALSE), 1)</f>
        <v>9.2776282140223827E-3</v>
      </c>
      <c r="N8" s="7">
        <f>$B8 * IFERROR(VLOOKUP("industry|SO2|Asthma symptoms wheeze", US_national_yearly!$D:$AM, 22, FALSE) / VLOOKUP("industry|SO2|Asthma symptoms wheeze", US_national_yearly!$D:$AM, 10, FALSE), 1)</f>
        <v>9.2776282140223827E-3</v>
      </c>
      <c r="O8" s="7">
        <f>$B8 * IFERROR(VLOOKUP("industry|SO2|Asthma symptoms wheeze", US_national_yearly!$D:$AM, 23, FALSE) / VLOOKUP("industry|SO2|Asthma symptoms wheeze", US_national_yearly!$D:$AM, 10, FALSE), 1)</f>
        <v>9.2776282140223827E-3</v>
      </c>
      <c r="P8" s="7">
        <f>$B8 * IFERROR(VLOOKUP("industry|SO2|Asthma symptoms wheeze", US_national_yearly!$D:$AM, 24, FALSE) / VLOOKUP("industry|SO2|Asthma symptoms wheeze", US_national_yearly!$D:$AM, 10, FALSE), 1)</f>
        <v>9.2776282140223827E-3</v>
      </c>
      <c r="Q8" s="7">
        <f>$B8 * IFERROR(VLOOKUP("industry|SO2|Asthma symptoms wheeze", US_national_yearly!$D:$AM, 25, FALSE) / VLOOKUP("industry|SO2|Asthma symptoms wheeze", US_national_yearly!$D:$AM, 10, FALSE), 1)</f>
        <v>9.2776282140223827E-3</v>
      </c>
      <c r="R8" s="7">
        <f>$B8 * IFERROR(VLOOKUP("industry|SO2|Asthma symptoms wheeze", US_national_yearly!$D:$AM, 26, FALSE) / VLOOKUP("industry|SO2|Asthma symptoms wheeze", US_national_yearly!$D:$AM, 10, FALSE), 1)</f>
        <v>9.2776282140223827E-3</v>
      </c>
      <c r="S8" s="7">
        <f>$B8 * IFERROR(VLOOKUP("industry|SO2|Asthma symptoms wheeze", US_national_yearly!$D:$AM, 27, FALSE) / VLOOKUP("industry|SO2|Asthma symptoms wheeze", US_national_yearly!$D:$AM, 10, FALSE), 1)</f>
        <v>9.2776282140223827E-3</v>
      </c>
      <c r="T8" s="7">
        <f>$B8 * IFERROR(VLOOKUP("industry|SO2|Asthma symptoms wheeze", US_national_yearly!$D:$AM, 28, FALSE) / VLOOKUP("industry|SO2|Asthma symptoms wheeze", US_national_yearly!$D:$AM, 10, FALSE), 1)</f>
        <v>9.2776282140223827E-3</v>
      </c>
      <c r="U8" s="7">
        <f>$B8 * IFERROR(VLOOKUP("industry|SO2|Asthma symptoms wheeze", US_national_yearly!$D:$AM, 29, FALSE) / VLOOKUP("industry|SO2|Asthma symptoms wheeze", US_national_yearly!$D:$AM, 10, FALSE), 1)</f>
        <v>9.2776282140223827E-3</v>
      </c>
      <c r="V8" s="7">
        <f>$B8 * IFERROR(VLOOKUP("industry|SO2|Asthma symptoms wheeze", US_national_yearly!$D:$AM, 30, FALSE) / VLOOKUP("industry|SO2|Asthma symptoms wheeze", US_national_yearly!$D:$AM, 10, FALSE), 1)</f>
        <v>9.2776282140223827E-3</v>
      </c>
      <c r="W8" s="7">
        <f>$B8 * IFERROR(VLOOKUP("industry|SO2|Asthma symptoms wheeze", US_national_yearly!$D:$AM, 31, FALSE) / VLOOKUP("industry|SO2|Asthma symptoms wheeze", US_national_yearly!$D:$AM, 10, FALSE), 1)</f>
        <v>9.2776282140223827E-3</v>
      </c>
      <c r="X8" s="7">
        <f>$B8 * IFERROR(VLOOKUP("industry|SO2|Asthma symptoms wheeze", US_national_yearly!$D:$AM, 32, FALSE) / VLOOKUP("industry|SO2|Asthma symptoms wheeze", US_national_yearly!$D:$AM, 10, FALSE), 1)</f>
        <v>9.2776282140223827E-3</v>
      </c>
      <c r="Y8" s="7">
        <f>$B8 * IFERROR(VLOOKUP("industry|SO2|Asthma symptoms wheeze", US_national_yearly!$D:$AM, 33, FALSE) / VLOOKUP("industry|SO2|Asthma symptoms wheeze", US_national_yearly!$D:$AM, 10, FALSE), 1)</f>
        <v>9.2776282140223827E-3</v>
      </c>
      <c r="Z8" s="7">
        <f>$B8 * IFERROR(VLOOKUP("industry|SO2|Asthma symptoms wheeze", US_national_yearly!$D:$AM, 34, FALSE) / VLOOKUP("industry|SO2|Asthma symptoms wheeze", US_national_yearly!$D:$AM, 10, FALSE), 1)</f>
        <v>9.2776282140223827E-3</v>
      </c>
      <c r="AA8" s="7">
        <f>$B8 * IFERROR(VLOOKUP("industry|SO2|Asthma symptoms wheeze", US_national_yearly!$D:$AM, 35, FALSE) / VLOOKUP("industry|SO2|Asthma symptoms wheeze", US_national_yearly!$D:$AM, 10, FALSE), 1)</f>
        <v>9.2776282140223827E-3</v>
      </c>
      <c r="AB8" s="7">
        <f>$B8 * IFERROR(VLOOKUP("industry|SO2|Asthma symptoms wheeze", US_national_yearly!$D:$AM, 36, FALSE) / VLOOKUP("industry|SO2|Asthma symptoms wheeze", US_national_yearly!$D:$AM, 10, FALSE), 1)</f>
        <v>9.2776282140223827E-3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1.029932086028652E-4</v>
      </c>
      <c r="C12" s="7">
        <f>$B12 * IFERROR(VLOOKUP("industry|SO2|Respiratory hospital admissions", US_national_yearly!$D:$AM, 11, FALSE) / VLOOKUP("industry|SO2|Respiratory hospital admissions", US_national_yearly!$D:$AM, 10, FALSE), 1)</f>
        <v>1.0359655218593008E-4</v>
      </c>
      <c r="D12" s="7">
        <f>$B12 * IFERROR(VLOOKUP("industry|SO2|Respiratory hospital admissions", US_national_yearly!$D:$AM, 12, FALSE) / VLOOKUP("industry|SO2|Respiratory hospital admissions", US_national_yearly!$D:$AM, 10, FALSE), 1)</f>
        <v>1.0419989576899497E-4</v>
      </c>
      <c r="E12" s="7">
        <f>$B12 * IFERROR(VLOOKUP("industry|SO2|Respiratory hospital admissions", US_national_yearly!$D:$AM, 13, FALSE) / VLOOKUP("industry|SO2|Respiratory hospital admissions", US_national_yearly!$D:$AM, 10, FALSE), 1)</f>
        <v>1.0480323935205985E-4</v>
      </c>
      <c r="F12" s="7">
        <f>$B12 * IFERROR(VLOOKUP("industry|SO2|Respiratory hospital admissions", US_national_yearly!$D:$AM, 14, FALSE) / VLOOKUP("industry|SO2|Respiratory hospital admissions", US_national_yearly!$D:$AM, 10, FALSE), 1)</f>
        <v>1.0540658293512476E-4</v>
      </c>
      <c r="G12" s="7">
        <f>$B12 * IFERROR(VLOOKUP("industry|SO2|Respiratory hospital admissions", US_national_yearly!$D:$AM, 15, FALSE) / VLOOKUP("industry|SO2|Respiratory hospital admissions", US_national_yearly!$D:$AM, 10, FALSE), 1)</f>
        <v>1.0606434415276409E-4</v>
      </c>
      <c r="H12" s="7">
        <f>$B12 * IFERROR(VLOOKUP("industry|SO2|Respiratory hospital admissions", US_national_yearly!$D:$AM, 16, FALSE) / VLOOKUP("industry|SO2|Respiratory hospital admissions", US_national_yearly!$D:$AM, 10, FALSE), 1)</f>
        <v>1.0672210537040341E-4</v>
      </c>
      <c r="I12" s="7">
        <f>$B12 * IFERROR(VLOOKUP("industry|SO2|Respiratory hospital admissions", US_national_yearly!$D:$AM, 17, FALSE) / VLOOKUP("industry|SO2|Respiratory hospital admissions", US_national_yearly!$D:$AM, 10, FALSE), 1)</f>
        <v>1.0736813473996983E-4</v>
      </c>
      <c r="J12" s="7">
        <f>$B12 * IFERROR(VLOOKUP("industry|SO2|Respiratory hospital admissions", US_national_yearly!$D:$AM, 18, FALSE) / VLOOKUP("industry|SO2|Respiratory hospital admissions", US_national_yearly!$D:$AM, 10, FALSE), 1)</f>
        <v>1.0801416410953622E-4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1.0866019347910261E-4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1.0930622284866902E-4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1.0995225221823543E-4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1.1041972816300132E-4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1.1088720410776721E-4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1.1135468005253309E-4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1.1182215599729898E-4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1.1228963194206486E-4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1.1273389637034895E-4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1.1317816079863301E-4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1.1362242522691708E-4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1.1406668965520117E-4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1.1451095408348523E-4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1.1493283425827398E-4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1.1535471443306275E-4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1.1577659460785151E-4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1.1619847478264026E-4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1.1662035495742903E-4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6.8816663297390055E-4</v>
      </c>
      <c r="C13" s="7">
        <f>$B13 * IFERROR(VLOOKUP("industry|SO2|Non-fatal heart attacks", US_national_yearly!$D:$AM, 11, FALSE) / VLOOKUP("industry|SO2|Non-fatal heart attacks", US_national_yearly!$D:$AM, 10, FALSE), 1)</f>
        <v>7.0836862473749786E-4</v>
      </c>
      <c r="D13" s="7">
        <f>$B13 * IFERROR(VLOOKUP("industry|SO2|Non-fatal heart attacks", US_national_yearly!$D:$AM, 12, FALSE) / VLOOKUP("industry|SO2|Non-fatal heart attacks", US_national_yearly!$D:$AM, 10, FALSE), 1)</f>
        <v>7.2857061650109507E-4</v>
      </c>
      <c r="E13" s="7">
        <f>$B13 * IFERROR(VLOOKUP("industry|SO2|Non-fatal heart attacks", US_national_yearly!$D:$AM, 13, FALSE) / VLOOKUP("industry|SO2|Non-fatal heart attacks", US_national_yearly!$D:$AM, 10, FALSE), 1)</f>
        <v>7.4877260826469228E-4</v>
      </c>
      <c r="F13" s="7">
        <f>$B13 * IFERROR(VLOOKUP("industry|SO2|Non-fatal heart attacks", US_national_yearly!$D:$AM, 14, FALSE) / VLOOKUP("industry|SO2|Non-fatal heart attacks", US_national_yearly!$D:$AM, 10, FALSE), 1)</f>
        <v>7.6897460002828971E-4</v>
      </c>
      <c r="G13" s="7">
        <f>$B13 * IFERROR(VLOOKUP("industry|SO2|Non-fatal heart attacks", US_national_yearly!$D:$AM, 15, FALSE) / VLOOKUP("industry|SO2|Non-fatal heart attacks", US_national_yearly!$D:$AM, 10, FALSE), 1)</f>
        <v>7.8803962090549264E-4</v>
      </c>
      <c r="H13" s="7">
        <f>$B13 * IFERROR(VLOOKUP("industry|SO2|Non-fatal heart attacks", US_national_yearly!$D:$AM, 16, FALSE) / VLOOKUP("industry|SO2|Non-fatal heart attacks", US_national_yearly!$D:$AM, 10, FALSE), 1)</f>
        <v>8.0710464178269578E-4</v>
      </c>
      <c r="I13" s="7">
        <f>$B13 * IFERROR(VLOOKUP("industry|SO2|Non-fatal heart attacks", US_national_yearly!$D:$AM, 17, FALSE) / VLOOKUP("industry|SO2|Non-fatal heart attacks", US_national_yearly!$D:$AM, 10, FALSE), 1)</f>
        <v>8.2247434865134284E-4</v>
      </c>
      <c r="J13" s="7">
        <f>$B13 * IFERROR(VLOOKUP("industry|SO2|Non-fatal heart attacks", US_national_yearly!$D:$AM, 18, FALSE) / VLOOKUP("industry|SO2|Non-fatal heart attacks", US_national_yearly!$D:$AM, 10, FALSE), 1)</f>
        <v>8.3784405551999021E-4</v>
      </c>
      <c r="K13" s="7">
        <f>$B13 * IFERROR(VLOOKUP("industry|SO2|Non-fatal heart attacks", US_national_yearly!$D:$AM, 19, FALSE) / VLOOKUP("industry|SO2|Non-fatal heart attacks", US_national_yearly!$D:$AM, 10, FALSE), 1)</f>
        <v>8.5321376238863748E-4</v>
      </c>
      <c r="L13" s="7">
        <f>$B13 * IFERROR(VLOOKUP("industry|SO2|Non-fatal heart attacks", US_national_yearly!$D:$AM, 20, FALSE) / VLOOKUP("industry|SO2|Non-fatal heart attacks", US_national_yearly!$D:$AM, 10, FALSE), 1)</f>
        <v>8.6858346925728464E-4</v>
      </c>
      <c r="M13" s="7">
        <f>$B13 * IFERROR(VLOOKUP("industry|SO2|Non-fatal heart attacks", US_national_yearly!$D:$AM, 21, FALSE) / VLOOKUP("industry|SO2|Non-fatal heart attacks", US_national_yearly!$D:$AM, 10, FALSE), 1)</f>
        <v>8.8395317612593191E-4</v>
      </c>
      <c r="N13" s="7">
        <f>$B13 * IFERROR(VLOOKUP("industry|SO2|Non-fatal heart attacks", US_national_yearly!$D:$AM, 22, FALSE) / VLOOKUP("industry|SO2|Non-fatal heart attacks", US_national_yearly!$D:$AM, 10, FALSE), 1)</f>
        <v>8.939381565430712E-4</v>
      </c>
      <c r="O13" s="7">
        <f>$B13 * IFERROR(VLOOKUP("industry|SO2|Non-fatal heart attacks", US_national_yearly!$D:$AM, 23, FALSE) / VLOOKUP("industry|SO2|Non-fatal heart attacks", US_national_yearly!$D:$AM, 10, FALSE), 1)</f>
        <v>9.0392313696021091E-4</v>
      </c>
      <c r="P13" s="7">
        <f>$B13 * IFERROR(VLOOKUP("industry|SO2|Non-fatal heart attacks", US_national_yearly!$D:$AM, 24, FALSE) / VLOOKUP("industry|SO2|Non-fatal heart attacks", US_national_yearly!$D:$AM, 10, FALSE), 1)</f>
        <v>9.139081173773502E-4</v>
      </c>
      <c r="Q13" s="7">
        <f>$B13 * IFERROR(VLOOKUP("industry|SO2|Non-fatal heart attacks", US_national_yearly!$D:$AM, 25, FALSE) / VLOOKUP("industry|SO2|Non-fatal heart attacks", US_national_yearly!$D:$AM, 10, FALSE), 1)</f>
        <v>9.2389309779448959E-4</v>
      </c>
      <c r="R13" s="7">
        <f>$B13 * IFERROR(VLOOKUP("industry|SO2|Non-fatal heart attacks", US_national_yearly!$D:$AM, 26, FALSE) / VLOOKUP("industry|SO2|Non-fatal heart attacks", US_national_yearly!$D:$AM, 10, FALSE), 1)</f>
        <v>9.3387807821162898E-4</v>
      </c>
      <c r="S13" s="7">
        <f>$B13 * IFERROR(VLOOKUP("industry|SO2|Non-fatal heart attacks", US_national_yearly!$D:$AM, 27, FALSE) / VLOOKUP("industry|SO2|Non-fatal heart attacks", US_national_yearly!$D:$AM, 10, FALSE), 1)</f>
        <v>9.3912233673555266E-4</v>
      </c>
      <c r="T13" s="7">
        <f>$B13 * IFERROR(VLOOKUP("industry|SO2|Non-fatal heart attacks", US_national_yearly!$D:$AM, 28, FALSE) / VLOOKUP("industry|SO2|Non-fatal heart attacks", US_national_yearly!$D:$AM, 10, FALSE), 1)</f>
        <v>9.4436659525947634E-4</v>
      </c>
      <c r="U13" s="7">
        <f>$B13 * IFERROR(VLOOKUP("industry|SO2|Non-fatal heart attacks", US_national_yearly!$D:$AM, 29, FALSE) / VLOOKUP("industry|SO2|Non-fatal heart attacks", US_national_yearly!$D:$AM, 10, FALSE), 1)</f>
        <v>9.4961085378340003E-4</v>
      </c>
      <c r="V13" s="7">
        <f>$B13 * IFERROR(VLOOKUP("industry|SO2|Non-fatal heart attacks", US_national_yearly!$D:$AM, 30, FALSE) / VLOOKUP("industry|SO2|Non-fatal heart attacks", US_national_yearly!$D:$AM, 10, FALSE), 1)</f>
        <v>9.5485511230732371E-4</v>
      </c>
      <c r="W13" s="7">
        <f>$B13 * IFERROR(VLOOKUP("industry|SO2|Non-fatal heart attacks", US_national_yearly!$D:$AM, 31, FALSE) / VLOOKUP("industry|SO2|Non-fatal heart attacks", US_national_yearly!$D:$AM, 10, FALSE), 1)</f>
        <v>9.6009937083124739E-4</v>
      </c>
      <c r="X13" s="7">
        <f>$B13 * IFERROR(VLOOKUP("industry|SO2|Non-fatal heart attacks", US_national_yearly!$D:$AM, 32, FALSE) / VLOOKUP("industry|SO2|Non-fatal heart attacks", US_national_yearly!$D:$AM, 10, FALSE), 1)</f>
        <v>9.6408223384608508E-4</v>
      </c>
      <c r="Y13" s="7">
        <f>$B13 * IFERROR(VLOOKUP("industry|SO2|Non-fatal heart attacks", US_national_yearly!$D:$AM, 33, FALSE) / VLOOKUP("industry|SO2|Non-fatal heart attacks", US_national_yearly!$D:$AM, 10, FALSE), 1)</f>
        <v>9.6806509686092276E-4</v>
      </c>
      <c r="Z13" s="7">
        <f>$B13 * IFERROR(VLOOKUP("industry|SO2|Non-fatal heart attacks", US_national_yearly!$D:$AM, 34, FALSE) / VLOOKUP("industry|SO2|Non-fatal heart attacks", US_national_yearly!$D:$AM, 10, FALSE), 1)</f>
        <v>9.7204795987576044E-4</v>
      </c>
      <c r="AA13" s="7">
        <f>$B13 * IFERROR(VLOOKUP("industry|SO2|Non-fatal heart attacks", US_national_yearly!$D:$AM, 35, FALSE) / VLOOKUP("industry|SO2|Non-fatal heart attacks", US_national_yearly!$D:$AM, 10, FALSE), 1)</f>
        <v>9.7603082289059824E-4</v>
      </c>
      <c r="AB13" s="7">
        <f>$B13 * IFERROR(VLOOKUP("industry|SO2|Non-fatal heart attacks", US_national_yearly!$D:$AM, 36, FALSE) / VLOOKUP("industry|SO2|Non-fatal heart attacks", US_national_yearly!$D:$AM, 10, FALSE), 1)</f>
        <v>9.8001368590543581E-4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0.56112194584142183</v>
      </c>
      <c r="C14" s="7">
        <f>$B14 * IFERROR(VLOOKUP("industry|SO2|Minor restricted activity days", US_national_yearly!$D:$AM, 11, FALSE) / VLOOKUP("industry|SO2|Minor restricted activity days", US_national_yearly!$D:$AM, 10, FALSE), 1)</f>
        <v>0.56252553013009265</v>
      </c>
      <c r="D14" s="7">
        <f>$B14 * IFERROR(VLOOKUP("industry|SO2|Minor restricted activity days", US_national_yearly!$D:$AM, 12, FALSE) / VLOOKUP("industry|SO2|Minor restricted activity days", US_national_yearly!$D:$AM, 10, FALSE), 1)</f>
        <v>0.56392911441876337</v>
      </c>
      <c r="E14" s="7">
        <f>$B14 * IFERROR(VLOOKUP("industry|SO2|Minor restricted activity days", US_national_yearly!$D:$AM, 13, FALSE) / VLOOKUP("industry|SO2|Minor restricted activity days", US_national_yearly!$D:$AM, 10, FALSE), 1)</f>
        <v>0.56533269870743419</v>
      </c>
      <c r="F14" s="7">
        <f>$B14 * IFERROR(VLOOKUP("industry|SO2|Minor restricted activity days", US_national_yearly!$D:$AM, 14, FALSE) / VLOOKUP("industry|SO2|Minor restricted activity days", US_national_yearly!$D:$AM, 10, FALSE), 1)</f>
        <v>0.56673628299610501</v>
      </c>
      <c r="G14" s="7">
        <f>$B14 * IFERROR(VLOOKUP("industry|SO2|Minor restricted activity days", US_national_yearly!$D:$AM, 15, FALSE) / VLOOKUP("industry|SO2|Minor restricted activity days", US_national_yearly!$D:$AM, 10, FALSE), 1)</f>
        <v>0.56880108922847816</v>
      </c>
      <c r="H14" s="7">
        <f>$B14 * IFERROR(VLOOKUP("industry|SO2|Minor restricted activity days", US_national_yearly!$D:$AM, 16, FALSE) / VLOOKUP("industry|SO2|Minor restricted activity days", US_national_yearly!$D:$AM, 10, FALSE), 1)</f>
        <v>0.5708658954608512</v>
      </c>
      <c r="I14" s="7">
        <f>$B14 * IFERROR(VLOOKUP("industry|SO2|Minor restricted activity days", US_national_yearly!$D:$AM, 17, FALSE) / VLOOKUP("industry|SO2|Minor restricted activity days", US_national_yearly!$D:$AM, 10, FALSE), 1)</f>
        <v>0.57438701464384245</v>
      </c>
      <c r="J14" s="7">
        <f>$B14 * IFERROR(VLOOKUP("industry|SO2|Minor restricted activity days", US_national_yearly!$D:$AM, 18, FALSE) / VLOOKUP("industry|SO2|Minor restricted activity days", US_national_yearly!$D:$AM, 10, FALSE), 1)</f>
        <v>0.5779081338268337</v>
      </c>
      <c r="K14" s="7">
        <f>$B14 * IFERROR(VLOOKUP("industry|SO2|Minor restricted activity days", US_national_yearly!$D:$AM, 19, FALSE) / VLOOKUP("industry|SO2|Minor restricted activity days", US_national_yearly!$D:$AM, 10, FALSE), 1)</f>
        <v>0.58142925300982506</v>
      </c>
      <c r="L14" s="7">
        <f>$B14 * IFERROR(VLOOKUP("industry|SO2|Minor restricted activity days", US_national_yearly!$D:$AM, 20, FALSE) / VLOOKUP("industry|SO2|Minor restricted activity days", US_national_yearly!$D:$AM, 10, FALSE), 1)</f>
        <v>0.58495037219281631</v>
      </c>
      <c r="M14" s="7">
        <f>$B14 * IFERROR(VLOOKUP("industry|SO2|Minor restricted activity days", US_national_yearly!$D:$AM, 21, FALSE) / VLOOKUP("industry|SO2|Minor restricted activity days", US_national_yearly!$D:$AM, 10, FALSE), 1)</f>
        <v>0.58847149137580756</v>
      </c>
      <c r="N14" s="7">
        <f>$B14 * IFERROR(VLOOKUP("industry|SO2|Minor restricted activity days", US_national_yearly!$D:$AM, 22, FALSE) / VLOOKUP("industry|SO2|Minor restricted activity days", US_national_yearly!$D:$AM, 10, FALSE), 1)</f>
        <v>0.5932993692508981</v>
      </c>
      <c r="O14" s="7">
        <f>$B14 * IFERROR(VLOOKUP("industry|SO2|Minor restricted activity days", US_national_yearly!$D:$AM, 23, FALSE) / VLOOKUP("industry|SO2|Minor restricted activity days", US_national_yearly!$D:$AM, 10, FALSE), 1)</f>
        <v>0.59812724712598875</v>
      </c>
      <c r="P14" s="7">
        <f>$B14 * IFERROR(VLOOKUP("industry|SO2|Minor restricted activity days", US_national_yearly!$D:$AM, 24, FALSE) / VLOOKUP("industry|SO2|Minor restricted activity days", US_national_yearly!$D:$AM, 10, FALSE), 1)</f>
        <v>0.60295512500107928</v>
      </c>
      <c r="Q14" s="7">
        <f>$B14 * IFERROR(VLOOKUP("industry|SO2|Minor restricted activity days", US_national_yearly!$D:$AM, 25, FALSE) / VLOOKUP("industry|SO2|Minor restricted activity days", US_national_yearly!$D:$AM, 10, FALSE), 1)</f>
        <v>0.60778300287616993</v>
      </c>
      <c r="R14" s="7">
        <f>$B14 * IFERROR(VLOOKUP("industry|SO2|Minor restricted activity days", US_national_yearly!$D:$AM, 26, FALSE) / VLOOKUP("industry|SO2|Minor restricted activity days", US_national_yearly!$D:$AM, 10, FALSE), 1)</f>
        <v>0.61261088075126047</v>
      </c>
      <c r="S14" s="7">
        <f>$B14 * IFERROR(VLOOKUP("industry|SO2|Minor restricted activity days", US_national_yearly!$D:$AM, 27, FALSE) / VLOOKUP("industry|SO2|Minor restricted activity days", US_national_yearly!$D:$AM, 10, FALSE), 1)</f>
        <v>0.61753812003178643</v>
      </c>
      <c r="T14" s="7">
        <f>$B14 * IFERROR(VLOOKUP("industry|SO2|Minor restricted activity days", US_national_yearly!$D:$AM, 28, FALSE) / VLOOKUP("industry|SO2|Minor restricted activity days", US_national_yearly!$D:$AM, 10, FALSE), 1)</f>
        <v>0.62246535931231239</v>
      </c>
      <c r="U14" s="7">
        <f>$B14 * IFERROR(VLOOKUP("industry|SO2|Minor restricted activity days", US_national_yearly!$D:$AM, 29, FALSE) / VLOOKUP("industry|SO2|Minor restricted activity days", US_national_yearly!$D:$AM, 10, FALSE), 1)</f>
        <v>0.62739259859283825</v>
      </c>
      <c r="V14" s="7">
        <f>$B14 * IFERROR(VLOOKUP("industry|SO2|Minor restricted activity days", US_national_yearly!$D:$AM, 30, FALSE) / VLOOKUP("industry|SO2|Minor restricted activity days", US_national_yearly!$D:$AM, 10, FALSE), 1)</f>
        <v>0.63231983787336432</v>
      </c>
      <c r="W14" s="7">
        <f>$B14 * IFERROR(VLOOKUP("industry|SO2|Minor restricted activity days", US_national_yearly!$D:$AM, 31, FALSE) / VLOOKUP("industry|SO2|Minor restricted activity days", US_national_yearly!$D:$AM, 10, FALSE), 1)</f>
        <v>0.63724707715389017</v>
      </c>
      <c r="X14" s="7">
        <f>$B14 * IFERROR(VLOOKUP("industry|SO2|Minor restricted activity days", US_national_yearly!$D:$AM, 32, FALSE) / VLOOKUP("industry|SO2|Minor restricted activity days", US_national_yearly!$D:$AM, 10, FALSE), 1)</f>
        <v>0.64157955976466119</v>
      </c>
      <c r="Y14" s="7">
        <f>$B14 * IFERROR(VLOOKUP("industry|SO2|Minor restricted activity days", US_national_yearly!$D:$AM, 33, FALSE) / VLOOKUP("industry|SO2|Minor restricted activity days", US_national_yearly!$D:$AM, 10, FALSE), 1)</f>
        <v>0.64591204237543209</v>
      </c>
      <c r="Z14" s="7">
        <f>$B14 * IFERROR(VLOOKUP("industry|SO2|Minor restricted activity days", US_national_yearly!$D:$AM, 34, FALSE) / VLOOKUP("industry|SO2|Minor restricted activity days", US_national_yearly!$D:$AM, 10, FALSE), 1)</f>
        <v>0.65024452498620311</v>
      </c>
      <c r="AA14" s="7">
        <f>$B14 * IFERROR(VLOOKUP("industry|SO2|Minor restricted activity days", US_national_yearly!$D:$AM, 35, FALSE) / VLOOKUP("industry|SO2|Minor restricted activity days", US_national_yearly!$D:$AM, 10, FALSE), 1)</f>
        <v>0.65457700759697401</v>
      </c>
      <c r="AB14" s="7">
        <f>$B14 * IFERROR(VLOOKUP("industry|SO2|Minor restricted activity days", US_national_yearly!$D:$AM, 36, FALSE) / VLOOKUP("industry|SO2|Minor restricted activity days", US_national_yearly!$D:$AM, 10, FALSE), 1)</f>
        <v>0.65890949020774503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9.5291168843517488E-2</v>
      </c>
      <c r="C15" s="7">
        <f>$B15 * IFERROR(VLOOKUP("industry|SO2|Work loss days", US_national_yearly!$D:$AM, 11, FALSE) / VLOOKUP("industry|SO2|Work loss days", US_national_yearly!$D:$AM, 10, FALSE), 1)</f>
        <v>9.5597614476820178E-2</v>
      </c>
      <c r="D15" s="7">
        <f>$B15 * IFERROR(VLOOKUP("industry|SO2|Work loss days", US_national_yearly!$D:$AM, 12, FALSE) / VLOOKUP("industry|SO2|Work loss days", US_national_yearly!$D:$AM, 10, FALSE), 1)</f>
        <v>9.5904060110122924E-2</v>
      </c>
      <c r="E15" s="7">
        <f>$B15 * IFERROR(VLOOKUP("industry|SO2|Work loss days", US_national_yearly!$D:$AM, 13, FALSE) / VLOOKUP("industry|SO2|Work loss days", US_national_yearly!$D:$AM, 10, FALSE), 1)</f>
        <v>9.6210505743425614E-2</v>
      </c>
      <c r="F15" s="7">
        <f>$B15 * IFERROR(VLOOKUP("industry|SO2|Work loss days", US_national_yearly!$D:$AM, 14, FALSE) / VLOOKUP("industry|SO2|Work loss days", US_national_yearly!$D:$AM, 10, FALSE), 1)</f>
        <v>9.651695137672836E-2</v>
      </c>
      <c r="G15" s="7">
        <f>$B15 * IFERROR(VLOOKUP("industry|SO2|Work loss days", US_national_yearly!$D:$AM, 15, FALSE) / VLOOKUP("industry|SO2|Work loss days", US_national_yearly!$D:$AM, 10, FALSE), 1)</f>
        <v>9.6916945741507457E-2</v>
      </c>
      <c r="H15" s="7">
        <f>$B15 * IFERROR(VLOOKUP("industry|SO2|Work loss days", US_national_yearly!$D:$AM, 16, FALSE) / VLOOKUP("industry|SO2|Work loss days", US_national_yearly!$D:$AM, 10, FALSE), 1)</f>
        <v>9.7316940106286567E-2</v>
      </c>
      <c r="I15" s="7">
        <f>$B15 * IFERROR(VLOOKUP("industry|SO2|Work loss days", US_national_yearly!$D:$AM, 17, FALSE) / VLOOKUP("industry|SO2|Work loss days", US_national_yearly!$D:$AM, 10, FALSE), 1)</f>
        <v>9.7901619154833891E-2</v>
      </c>
      <c r="J15" s="7">
        <f>$B15 * IFERROR(VLOOKUP("industry|SO2|Work loss days", US_national_yearly!$D:$AM, 18, FALSE) / VLOOKUP("industry|SO2|Work loss days", US_national_yearly!$D:$AM, 10, FALSE), 1)</f>
        <v>9.8486298203381187E-2</v>
      </c>
      <c r="K15" s="7">
        <f>$B15 * IFERROR(VLOOKUP("industry|SO2|Work loss days", US_national_yearly!$D:$AM, 19, FALSE) / VLOOKUP("industry|SO2|Work loss days", US_national_yearly!$D:$AM, 10, FALSE), 1)</f>
        <v>9.9070977251928496E-2</v>
      </c>
      <c r="L15" s="7">
        <f>$B15 * IFERROR(VLOOKUP("industry|SO2|Work loss days", US_national_yearly!$D:$AM, 20, FALSE) / VLOOKUP("industry|SO2|Work loss days", US_national_yearly!$D:$AM, 10, FALSE), 1)</f>
        <v>9.965565630047582E-2</v>
      </c>
      <c r="M15" s="7">
        <f>$B15 * IFERROR(VLOOKUP("industry|SO2|Work loss days", US_national_yearly!$D:$AM, 21, FALSE) / VLOOKUP("industry|SO2|Work loss days", US_national_yearly!$D:$AM, 10, FALSE), 1)</f>
        <v>0.10024033534902312</v>
      </c>
      <c r="N15" s="7">
        <f>$B15 * IFERROR(VLOOKUP("industry|SO2|Work loss days", US_national_yearly!$D:$AM, 22, FALSE) / VLOOKUP("industry|SO2|Work loss days", US_national_yearly!$D:$AM, 10, FALSE), 1)</f>
        <v>0.10097519083698775</v>
      </c>
      <c r="O15" s="7">
        <f>$B15 * IFERROR(VLOOKUP("industry|SO2|Work loss days", US_national_yearly!$D:$AM, 23, FALSE) / VLOOKUP("industry|SO2|Work loss days", US_national_yearly!$D:$AM, 10, FALSE), 1)</f>
        <v>0.1017100463249524</v>
      </c>
      <c r="P15" s="7">
        <f>$B15 * IFERROR(VLOOKUP("industry|SO2|Work loss days", US_national_yearly!$D:$AM, 24, FALSE) / VLOOKUP("industry|SO2|Work loss days", US_national_yearly!$D:$AM, 10, FALSE), 1)</f>
        <v>0.10244490181291703</v>
      </c>
      <c r="Q15" s="7">
        <f>$B15 * IFERROR(VLOOKUP("industry|SO2|Work loss days", US_national_yearly!$D:$AM, 25, FALSE) / VLOOKUP("industry|SO2|Work loss days", US_national_yearly!$D:$AM, 10, FALSE), 1)</f>
        <v>0.10317975730088166</v>
      </c>
      <c r="R15" s="7">
        <f>$B15 * IFERROR(VLOOKUP("industry|SO2|Work loss days", US_national_yearly!$D:$AM, 26, FALSE) / VLOOKUP("industry|SO2|Work loss days", US_national_yearly!$D:$AM, 10, FALSE), 1)</f>
        <v>0.1039146127888463</v>
      </c>
      <c r="S15" s="7">
        <f>$B15 * IFERROR(VLOOKUP("industry|SO2|Work loss days", US_national_yearly!$D:$AM, 27, FALSE) / VLOOKUP("industry|SO2|Work loss days", US_national_yearly!$D:$AM, 10, FALSE), 1)</f>
        <v>0.10473688579455909</v>
      </c>
      <c r="T15" s="7">
        <f>$B15 * IFERROR(VLOOKUP("industry|SO2|Work loss days", US_national_yearly!$D:$AM, 28, FALSE) / VLOOKUP("industry|SO2|Work loss days", US_national_yearly!$D:$AM, 10, FALSE), 1)</f>
        <v>0.10555915880027189</v>
      </c>
      <c r="U15" s="7">
        <f>$B15 * IFERROR(VLOOKUP("industry|SO2|Work loss days", US_national_yearly!$D:$AM, 29, FALSE) / VLOOKUP("industry|SO2|Work loss days", US_national_yearly!$D:$AM, 10, FALSE), 1)</f>
        <v>0.10638143180598472</v>
      </c>
      <c r="V15" s="7">
        <f>$B15 * IFERROR(VLOOKUP("industry|SO2|Work loss days", US_national_yearly!$D:$AM, 30, FALSE) / VLOOKUP("industry|SO2|Work loss days", US_national_yearly!$D:$AM, 10, FALSE), 1)</f>
        <v>0.10720370481169751</v>
      </c>
      <c r="W15" s="7">
        <f>$B15 * IFERROR(VLOOKUP("industry|SO2|Work loss days", US_national_yearly!$D:$AM, 31, FALSE) / VLOOKUP("industry|SO2|Work loss days", US_national_yearly!$D:$AM, 10, FALSE), 1)</f>
        <v>0.10802597781741033</v>
      </c>
      <c r="X15" s="7">
        <f>$B15 * IFERROR(VLOOKUP("industry|SO2|Work loss days", US_national_yearly!$D:$AM, 32, FALSE) / VLOOKUP("industry|SO2|Work loss days", US_national_yearly!$D:$AM, 10, FALSE), 1)</f>
        <v>0.10876452114232572</v>
      </c>
      <c r="Y15" s="7">
        <f>$B15 * IFERROR(VLOOKUP("industry|SO2|Work loss days", US_national_yearly!$D:$AM, 33, FALSE) / VLOOKUP("industry|SO2|Work loss days", US_national_yearly!$D:$AM, 10, FALSE), 1)</f>
        <v>0.10950306446724113</v>
      </c>
      <c r="Z15" s="7">
        <f>$B15 * IFERROR(VLOOKUP("industry|SO2|Work loss days", US_national_yearly!$D:$AM, 34, FALSE) / VLOOKUP("industry|SO2|Work loss days", US_national_yearly!$D:$AM, 10, FALSE), 1)</f>
        <v>0.11024160779215651</v>
      </c>
      <c r="AA15" s="7">
        <f>$B15 * IFERROR(VLOOKUP("industry|SO2|Work loss days", US_national_yearly!$D:$AM, 35, FALSE) / VLOOKUP("industry|SO2|Work loss days", US_national_yearly!$D:$AM, 10, FALSE), 1)</f>
        <v>0.11098015111707193</v>
      </c>
      <c r="AB15" s="7">
        <f>$B15 * IFERROR(VLOOKUP("industry|SO2|Work loss days", US_national_yearly!$D:$AM, 36, FALSE) / VLOOKUP("industry|SO2|Work loss days", US_national_yearly!$D:$AM, 10, FALSE), 1)</f>
        <v>0.11171869444198733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1.7744583229110827E-4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1.8281129679295857E-4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1.881767612948089E-4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1.9354222579665923E-4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1.9890769029850955E-4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2.0404974056548002E-4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2.0919179083245048E-4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2.1360385001826214E-4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2.1801590920407382E-4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2.2242796838988551E-4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2.268400275756972E-4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2.3125208676150885E-4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2.3421634728609822E-4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2.3718060781068758E-4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2.4014486833527692E-4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2.4310912885986628E-4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2.4607338938445564E-4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2.4764077543019464E-4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2.4920816147593365E-4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2.507755475216726E-4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2.5234293356741165E-4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2.539103196131506E-4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2.5497028815260012E-4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2.5603025669204953E-4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2.5709022523149905E-4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2.5815019377094852E-4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2.5921016231039793E-4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6.8079953885367462E-4</v>
      </c>
      <c r="C2" s="7">
        <f>$B2 * IFERROR(VLOOKUP("LULUCF|PM25|Premature mortality", US_national_yearly!$D:$AM, 11, FALSE) / VLOOKUP("LULUCF|PM25|Premature mortality", US_national_yearly!$D:$AM, 10, FALSE), 1)</f>
        <v>6.8923996117271078E-4</v>
      </c>
      <c r="D2" s="7">
        <f>$B2 * IFERROR(VLOOKUP("LULUCF|PM25|Premature mortality", US_national_yearly!$D:$AM, 12, FALSE) / VLOOKUP("LULUCF|PM25|Premature mortality", US_national_yearly!$D:$AM, 10, FALSE), 1)</f>
        <v>6.9768038349174682E-4</v>
      </c>
      <c r="E2" s="7">
        <f>$B2 * IFERROR(VLOOKUP("LULUCF|PM25|Premature mortality", US_national_yearly!$D:$AM, 13, FALSE) / VLOOKUP("LULUCF|PM25|Premature mortality", US_national_yearly!$D:$AM, 10, FALSE), 1)</f>
        <v>7.0612080581078287E-4</v>
      </c>
      <c r="F2" s="7">
        <f>$B2 * IFERROR(VLOOKUP("LULUCF|PM25|Premature mortality", US_national_yearly!$D:$AM, 14, FALSE) / VLOOKUP("LULUCF|PM25|Premature mortality", US_national_yearly!$D:$AM, 10, FALSE), 1)</f>
        <v>7.1456122812981891E-4</v>
      </c>
      <c r="G2" s="7">
        <f>$B2 * IFERROR(VLOOKUP("LULUCF|PM25|Premature mortality", US_national_yearly!$D:$AM, 15, FALSE) / VLOOKUP("LULUCF|PM25|Premature mortality", US_national_yearly!$D:$AM, 10, FALSE), 1)</f>
        <v>7.3099888693998344E-4</v>
      </c>
      <c r="H2" s="7">
        <f>$B2 * IFERROR(VLOOKUP("LULUCF|PM25|Premature mortality", US_national_yearly!$D:$AM, 16, FALSE) / VLOOKUP("LULUCF|PM25|Premature mortality", US_national_yearly!$D:$AM, 10, FALSE), 1)</f>
        <v>7.4743654575014785E-4</v>
      </c>
      <c r="I2" s="7">
        <f>$B2 * IFERROR(VLOOKUP("LULUCF|PM25|Premature mortality", US_national_yearly!$D:$AM, 17, FALSE) / VLOOKUP("LULUCF|PM25|Premature mortality", US_national_yearly!$D:$AM, 10, FALSE), 1)</f>
        <v>7.5823349200213768E-4</v>
      </c>
      <c r="J2" s="7">
        <f>$B2 * IFERROR(VLOOKUP("LULUCF|PM25|Premature mortality", US_national_yearly!$D:$AM, 18, FALSE) / VLOOKUP("LULUCF|PM25|Premature mortality", US_national_yearly!$D:$AM, 10, FALSE), 1)</f>
        <v>7.6903043825412784E-4</v>
      </c>
      <c r="K2" s="7">
        <f>$B2 * IFERROR(VLOOKUP("LULUCF|PM25|Premature mortality", US_national_yearly!$D:$AM, 19, FALSE) / VLOOKUP("LULUCF|PM25|Premature mortality", US_national_yearly!$D:$AM, 10, FALSE), 1)</f>
        <v>7.7982738450611778E-4</v>
      </c>
      <c r="L2" s="7">
        <f>$B2 * IFERROR(VLOOKUP("LULUCF|PM25|Premature mortality", US_national_yearly!$D:$AM, 20, FALSE) / VLOOKUP("LULUCF|PM25|Premature mortality", US_national_yearly!$D:$AM, 10, FALSE), 1)</f>
        <v>7.9062433075810794E-4</v>
      </c>
      <c r="M2" s="7">
        <f>$B2 * IFERROR(VLOOKUP("LULUCF|PM25|Premature mortality", US_national_yearly!$D:$AM, 21, FALSE) / VLOOKUP("LULUCF|PM25|Premature mortality", US_national_yearly!$D:$AM, 10, FALSE), 1)</f>
        <v>8.0142127701009788E-4</v>
      </c>
      <c r="N2" s="7">
        <f>$B2 * IFERROR(VLOOKUP("LULUCF|PM25|Premature mortality", US_national_yearly!$D:$AM, 22, FALSE) / VLOOKUP("LULUCF|PM25|Premature mortality", US_national_yearly!$D:$AM, 10, FALSE), 1)</f>
        <v>8.0980441861349534E-4</v>
      </c>
      <c r="O2" s="7">
        <f>$B2 * IFERROR(VLOOKUP("LULUCF|PM25|Premature mortality", US_national_yearly!$D:$AM, 23, FALSE) / VLOOKUP("LULUCF|PM25|Premature mortality", US_national_yearly!$D:$AM, 10, FALSE), 1)</f>
        <v>8.1818756021689279E-4</v>
      </c>
      <c r="P2" s="7">
        <f>$B2 * IFERROR(VLOOKUP("LULUCF|PM25|Premature mortality", US_national_yearly!$D:$AM, 24, FALSE) / VLOOKUP("LULUCF|PM25|Premature mortality", US_national_yearly!$D:$AM, 10, FALSE), 1)</f>
        <v>8.2657070182029025E-4</v>
      </c>
      <c r="Q2" s="7">
        <f>$B2 * IFERROR(VLOOKUP("LULUCF|PM25|Premature mortality", US_national_yearly!$D:$AM, 25, FALSE) / VLOOKUP("LULUCF|PM25|Premature mortality", US_national_yearly!$D:$AM, 10, FALSE), 1)</f>
        <v>8.349538434236877E-4</v>
      </c>
      <c r="R2" s="7">
        <f>$B2 * IFERROR(VLOOKUP("LULUCF|PM25|Premature mortality", US_national_yearly!$D:$AM, 26, FALSE) / VLOOKUP("LULUCF|PM25|Premature mortality", US_national_yearly!$D:$AM, 10, FALSE), 1)</f>
        <v>8.4333698502708537E-4</v>
      </c>
      <c r="S2" s="7">
        <f>$B2 * IFERROR(VLOOKUP("LULUCF|PM25|Premature mortality", US_national_yearly!$D:$AM, 27, FALSE) / VLOOKUP("LULUCF|PM25|Premature mortality", US_national_yearly!$D:$AM, 10, FALSE), 1)</f>
        <v>8.4777812437712653E-4</v>
      </c>
      <c r="T2" s="7">
        <f>$B2 * IFERROR(VLOOKUP("LULUCF|PM25|Premature mortality", US_national_yearly!$D:$AM, 28, FALSE) / VLOOKUP("LULUCF|PM25|Premature mortality", US_national_yearly!$D:$AM, 10, FALSE), 1)</f>
        <v>8.5221926372716769E-4</v>
      </c>
      <c r="U2" s="7">
        <f>$B2 * IFERROR(VLOOKUP("LULUCF|PM25|Premature mortality", US_national_yearly!$D:$AM, 29, FALSE) / VLOOKUP("LULUCF|PM25|Premature mortality", US_national_yearly!$D:$AM, 10, FALSE), 1)</f>
        <v>8.5666040307720874E-4</v>
      </c>
      <c r="V2" s="7">
        <f>$B2 * IFERROR(VLOOKUP("LULUCF|PM25|Premature mortality", US_national_yearly!$D:$AM, 30, FALSE) / VLOOKUP("LULUCF|PM25|Premature mortality", US_national_yearly!$D:$AM, 10, FALSE), 1)</f>
        <v>8.6110154242724989E-4</v>
      </c>
      <c r="W2" s="7">
        <f>$B2 * IFERROR(VLOOKUP("LULUCF|PM25|Premature mortality", US_national_yearly!$D:$AM, 31, FALSE) / VLOOKUP("LULUCF|PM25|Premature mortality", US_national_yearly!$D:$AM, 10, FALSE), 1)</f>
        <v>8.6554268177729094E-4</v>
      </c>
      <c r="X2" s="7">
        <f>$B2 * IFERROR(VLOOKUP("LULUCF|PM25|Premature mortality", US_national_yearly!$D:$AM, 32, FALSE) / VLOOKUP("LULUCF|PM25|Premature mortality", US_national_yearly!$D:$AM, 10, FALSE), 1)</f>
        <v>8.6631924934723844E-4</v>
      </c>
      <c r="Y2" s="7">
        <f>$B2 * IFERROR(VLOOKUP("LULUCF|PM25|Premature mortality", US_national_yearly!$D:$AM, 33, FALSE) / VLOOKUP("LULUCF|PM25|Premature mortality", US_national_yearly!$D:$AM, 10, FALSE), 1)</f>
        <v>8.6709581691718604E-4</v>
      </c>
      <c r="Z2" s="7">
        <f>$B2 * IFERROR(VLOOKUP("LULUCF|PM25|Premature mortality", US_national_yearly!$D:$AM, 34, FALSE) / VLOOKUP("LULUCF|PM25|Premature mortality", US_national_yearly!$D:$AM, 10, FALSE), 1)</f>
        <v>8.6787238448713343E-4</v>
      </c>
      <c r="AA2" s="7">
        <f>$B2 * IFERROR(VLOOKUP("LULUCF|PM25|Premature mortality", US_national_yearly!$D:$AM, 35, FALSE) / VLOOKUP("LULUCF|PM25|Premature mortality", US_national_yearly!$D:$AM, 10, FALSE), 1)</f>
        <v>8.6864895205708103E-4</v>
      </c>
      <c r="AB2" s="7">
        <f>$B2 * IFERROR(VLOOKUP("LULUCF|PM25|Premature mortality", US_national_yearly!$D:$AM, 36, FALSE) / VLOOKUP("LULUCF|PM25|Premature mortality", US_national_yearly!$D:$AM, 10, FALSE), 1)</f>
        <v>8.6942551962702853E-4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2.2287519966427893E-6</v>
      </c>
      <c r="C3" s="7">
        <f>$B3 * IFERROR(VLOOKUP("LULUCF|PM25|Infant mortality", US_national_yearly!$D:$AM, 11, FALSE) / VLOOKUP("LULUCF|PM25|Infant mortality", US_national_yearly!$D:$AM, 10, FALSE), 1)</f>
        <v>2.2093193129827572E-6</v>
      </c>
      <c r="D3" s="7">
        <f>$B3 * IFERROR(VLOOKUP("LULUCF|PM25|Infant mortality", US_national_yearly!$D:$AM, 12, FALSE) / VLOOKUP("LULUCF|PM25|Infant mortality", US_national_yearly!$D:$AM, 10, FALSE), 1)</f>
        <v>2.1898866293227251E-6</v>
      </c>
      <c r="E3" s="7">
        <f>$B3 * IFERROR(VLOOKUP("LULUCF|PM25|Infant mortality", US_national_yearly!$D:$AM, 13, FALSE) / VLOOKUP("LULUCF|PM25|Infant mortality", US_national_yearly!$D:$AM, 10, FALSE), 1)</f>
        <v>2.1704539456626931E-6</v>
      </c>
      <c r="F3" s="7">
        <f>$B3 * IFERROR(VLOOKUP("LULUCF|PM25|Infant mortality", US_national_yearly!$D:$AM, 14, FALSE) / VLOOKUP("LULUCF|PM25|Infant mortality", US_national_yearly!$D:$AM, 10, FALSE), 1)</f>
        <v>2.1510212620026606E-6</v>
      </c>
      <c r="G3" s="7">
        <f>$B3 * IFERROR(VLOOKUP("LULUCF|PM25|Infant mortality", US_national_yearly!$D:$AM, 15, FALSE) / VLOOKUP("LULUCF|PM25|Infant mortality", US_national_yearly!$D:$AM, 10, FALSE), 1)</f>
        <v>1.430544201566652E-6</v>
      </c>
      <c r="H3" s="7">
        <f>$B3 * IFERROR(VLOOKUP("LULUCF|PM25|Infant mortality", US_national_yearly!$D:$AM, 16, FALSE) / VLOOKUP("LULUCF|PM25|Infant mortality", US_national_yearly!$D:$AM, 10, FALSE), 1)</f>
        <v>7.1006714113064298E-7</v>
      </c>
      <c r="I3" s="7">
        <f>$B3 * IFERROR(VLOOKUP("LULUCF|PM25|Infant mortality", US_national_yearly!$D:$AM, 17, FALSE) / VLOOKUP("LULUCF|PM25|Infant mortality", US_national_yearly!$D:$AM, 10, FALSE), 1)</f>
        <v>7.0542567943703865E-7</v>
      </c>
      <c r="J3" s="7">
        <f>$B3 * IFERROR(VLOOKUP("LULUCF|PM25|Infant mortality", US_national_yearly!$D:$AM, 18, FALSE) / VLOOKUP("LULUCF|PM25|Infant mortality", US_national_yearly!$D:$AM, 10, FALSE), 1)</f>
        <v>7.0078421774343431E-7</v>
      </c>
      <c r="K3" s="7">
        <f>$B3 * IFERROR(VLOOKUP("LULUCF|PM25|Infant mortality", US_national_yearly!$D:$AM, 19, FALSE) / VLOOKUP("LULUCF|PM25|Infant mortality", US_national_yearly!$D:$AM, 10, FALSE), 1)</f>
        <v>6.9614275604982997E-7</v>
      </c>
      <c r="L3" s="7">
        <f>$B3 * IFERROR(VLOOKUP("LULUCF|PM25|Infant mortality", US_national_yearly!$D:$AM, 20, FALSE) / VLOOKUP("LULUCF|PM25|Infant mortality", US_national_yearly!$D:$AM, 10, FALSE), 1)</f>
        <v>6.9150129435622574E-7</v>
      </c>
      <c r="M3" s="7">
        <f>$B3 * IFERROR(VLOOKUP("LULUCF|PM25|Infant mortality", US_national_yearly!$D:$AM, 21, FALSE) / VLOOKUP("LULUCF|PM25|Infant mortality", US_national_yearly!$D:$AM, 10, FALSE), 1)</f>
        <v>6.8685983266262151E-7</v>
      </c>
      <c r="N3" s="7">
        <f>$B3 * IFERROR(VLOOKUP("LULUCF|PM25|Infant mortality", US_national_yearly!$D:$AM, 22, FALSE) / VLOOKUP("LULUCF|PM25|Infant mortality", US_national_yearly!$D:$AM, 10, FALSE), 1)</f>
        <v>6.8394448085904262E-7</v>
      </c>
      <c r="O3" s="7">
        <f>$B3 * IFERROR(VLOOKUP("LULUCF|PM25|Infant mortality", US_national_yearly!$D:$AM, 23, FALSE) / VLOOKUP("LULUCF|PM25|Infant mortality", US_national_yearly!$D:$AM, 10, FALSE), 1)</f>
        <v>6.8102912905546384E-7</v>
      </c>
      <c r="P3" s="7">
        <f>$B3 * IFERROR(VLOOKUP("LULUCF|PM25|Infant mortality", US_national_yearly!$D:$AM, 24, FALSE) / VLOOKUP("LULUCF|PM25|Infant mortality", US_national_yearly!$D:$AM, 10, FALSE), 1)</f>
        <v>6.7811377725188485E-7</v>
      </c>
      <c r="Q3" s="7">
        <f>$B3 * IFERROR(VLOOKUP("LULUCF|PM25|Infant mortality", US_national_yearly!$D:$AM, 25, FALSE) / VLOOKUP("LULUCF|PM25|Infant mortality", US_national_yearly!$D:$AM, 10, FALSE), 1)</f>
        <v>6.7519842544830618E-7</v>
      </c>
      <c r="R3" s="7">
        <f>$B3 * IFERROR(VLOOKUP("LULUCF|PM25|Infant mortality", US_national_yearly!$D:$AM, 26, FALSE) / VLOOKUP("LULUCF|PM25|Infant mortality", US_national_yearly!$D:$AM, 10, FALSE), 1)</f>
        <v>6.7228307364472729E-7</v>
      </c>
      <c r="S3" s="7">
        <f>$B3 * IFERROR(VLOOKUP("LULUCF|PM25|Infant mortality", US_national_yearly!$D:$AM, 27, FALSE) / VLOOKUP("LULUCF|PM25|Infant mortality", US_national_yearly!$D:$AM, 10, FALSE), 1)</f>
        <v>6.6864902801253801E-7</v>
      </c>
      <c r="T3" s="7">
        <f>$B3 * IFERROR(VLOOKUP("LULUCF|PM25|Infant mortality", US_national_yearly!$D:$AM, 28, FALSE) / VLOOKUP("LULUCF|PM25|Infant mortality", US_national_yearly!$D:$AM, 10, FALSE), 1)</f>
        <v>6.6501498238034873E-7</v>
      </c>
      <c r="U3" s="7">
        <f>$B3 * IFERROR(VLOOKUP("LULUCF|PM25|Infant mortality", US_national_yearly!$D:$AM, 29, FALSE) / VLOOKUP("LULUCF|PM25|Infant mortality", US_national_yearly!$D:$AM, 10, FALSE), 1)</f>
        <v>6.6138093674815944E-7</v>
      </c>
      <c r="V3" s="7">
        <f>$B3 * IFERROR(VLOOKUP("LULUCF|PM25|Infant mortality", US_national_yearly!$D:$AM, 30, FALSE) / VLOOKUP("LULUCF|PM25|Infant mortality", US_national_yearly!$D:$AM, 10, FALSE), 1)</f>
        <v>6.5774689111597027E-7</v>
      </c>
      <c r="W3" s="7">
        <f>$B3 * IFERROR(VLOOKUP("LULUCF|PM25|Infant mortality", US_national_yearly!$D:$AM, 31, FALSE) / VLOOKUP("LULUCF|PM25|Infant mortality", US_national_yearly!$D:$AM, 10, FALSE), 1)</f>
        <v>6.5411284548378088E-7</v>
      </c>
      <c r="X3" s="7">
        <f>$B3 * IFERROR(VLOOKUP("LULUCF|PM25|Infant mortality", US_national_yearly!$D:$AM, 32, FALSE) / VLOOKUP("LULUCF|PM25|Infant mortality", US_national_yearly!$D:$AM, 10, FALSE), 1)</f>
        <v>6.5019488754066369E-7</v>
      </c>
      <c r="Y3" s="7">
        <f>$B3 * IFERROR(VLOOKUP("LULUCF|PM25|Infant mortality", US_national_yearly!$D:$AM, 33, FALSE) / VLOOKUP("LULUCF|PM25|Infant mortality", US_national_yearly!$D:$AM, 10, FALSE), 1)</f>
        <v>6.4627692959754629E-7</v>
      </c>
      <c r="Z3" s="7">
        <f>$B3 * IFERROR(VLOOKUP("LULUCF|PM25|Infant mortality", US_national_yearly!$D:$AM, 34, FALSE) / VLOOKUP("LULUCF|PM25|Infant mortality", US_national_yearly!$D:$AM, 10, FALSE), 1)</f>
        <v>6.4235897165442911E-7</v>
      </c>
      <c r="AA3" s="7">
        <f>$B3 * IFERROR(VLOOKUP("LULUCF|PM25|Infant mortality", US_national_yearly!$D:$AM, 35, FALSE) / VLOOKUP("LULUCF|PM25|Infant mortality", US_national_yearly!$D:$AM, 10, FALSE), 1)</f>
        <v>6.3844101371131171E-7</v>
      </c>
      <c r="AB3" s="7">
        <f>$B3 * IFERROR(VLOOKUP("LULUCF|PM25|Infant mortality", US_national_yearly!$D:$AM, 36, FALSE) / VLOOKUP("LULUCF|PM25|Infant mortality", US_national_yearly!$D:$AM, 10, FALSE), 1)</f>
        <v>6.3452305576819452E-7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2.0022274686552497E-3</v>
      </c>
      <c r="C6" s="7">
        <f>$B6 * IFERROR(VLOOKUP("LULUCF|PM25|Asthma symptoms cough", US_national_yearly!$D:$AM, 11, FALSE) / VLOOKUP("LULUCF|PM25|Asthma symptoms cough", US_national_yearly!$D:$AM, 10, FALSE), 1)</f>
        <v>2.0022274686552497E-3</v>
      </c>
      <c r="D6" s="7">
        <f>$B6 * IFERROR(VLOOKUP("LULUCF|PM25|Asthma symptoms cough", US_national_yearly!$D:$AM, 12, FALSE) / VLOOKUP("LULUCF|PM25|Asthma symptoms cough", US_national_yearly!$D:$AM, 10, FALSE), 1)</f>
        <v>2.0022274686552497E-3</v>
      </c>
      <c r="E6" s="7">
        <f>$B6 * IFERROR(VLOOKUP("LULUCF|PM25|Asthma symptoms cough", US_national_yearly!$D:$AM, 13, FALSE) / VLOOKUP("LULUCF|PM25|Asthma symptoms cough", US_national_yearly!$D:$AM, 10, FALSE), 1)</f>
        <v>2.0022274686552497E-3</v>
      </c>
      <c r="F6" s="7">
        <f>$B6 * IFERROR(VLOOKUP("LULUCF|PM25|Asthma symptoms cough", US_national_yearly!$D:$AM, 14, FALSE) / VLOOKUP("LULUCF|PM25|Asthma symptoms cough", US_national_yearly!$D:$AM, 10, FALSE), 1)</f>
        <v>2.0022274686552497E-3</v>
      </c>
      <c r="G6" s="7">
        <f>$B6 * IFERROR(VLOOKUP("LULUCF|PM25|Asthma symptoms cough", US_national_yearly!$D:$AM, 15, FALSE) / VLOOKUP("LULUCF|PM25|Asthma symptoms cough", US_national_yearly!$D:$AM, 10, FALSE), 1)</f>
        <v>2.0022274686552497E-3</v>
      </c>
      <c r="H6" s="7">
        <f>$B6 * IFERROR(VLOOKUP("LULUCF|PM25|Asthma symptoms cough", US_national_yearly!$D:$AM, 16, FALSE) / VLOOKUP("LULUCF|PM25|Asthma symptoms cough", US_national_yearly!$D:$AM, 10, FALSE), 1)</f>
        <v>2.0022274686552497E-3</v>
      </c>
      <c r="I6" s="7">
        <f>$B6 * IFERROR(VLOOKUP("LULUCF|PM25|Asthma symptoms cough", US_national_yearly!$D:$AM, 17, FALSE) / VLOOKUP("LULUCF|PM25|Asthma symptoms cough", US_national_yearly!$D:$AM, 10, FALSE), 1)</f>
        <v>2.0022274686552497E-3</v>
      </c>
      <c r="J6" s="7">
        <f>$B6 * IFERROR(VLOOKUP("LULUCF|PM25|Asthma symptoms cough", US_national_yearly!$D:$AM, 18, FALSE) / VLOOKUP("LULUCF|PM25|Asthma symptoms cough", US_national_yearly!$D:$AM, 10, FALSE), 1)</f>
        <v>2.0022274686552497E-3</v>
      </c>
      <c r="K6" s="7">
        <f>$B6 * IFERROR(VLOOKUP("LULUCF|PM25|Asthma symptoms cough", US_national_yearly!$D:$AM, 19, FALSE) / VLOOKUP("LULUCF|PM25|Asthma symptoms cough", US_national_yearly!$D:$AM, 10, FALSE), 1)</f>
        <v>2.0022274686552497E-3</v>
      </c>
      <c r="L6" s="7">
        <f>$B6 * IFERROR(VLOOKUP("LULUCF|PM25|Asthma symptoms cough", US_national_yearly!$D:$AM, 20, FALSE) / VLOOKUP("LULUCF|PM25|Asthma symptoms cough", US_national_yearly!$D:$AM, 10, FALSE), 1)</f>
        <v>2.0022274686552497E-3</v>
      </c>
      <c r="M6" s="7">
        <f>$B6 * IFERROR(VLOOKUP("LULUCF|PM25|Asthma symptoms cough", US_national_yearly!$D:$AM, 21, FALSE) / VLOOKUP("LULUCF|PM25|Asthma symptoms cough", US_national_yearly!$D:$AM, 10, FALSE), 1)</f>
        <v>2.0022274686552497E-3</v>
      </c>
      <c r="N6" s="7">
        <f>$B6 * IFERROR(VLOOKUP("LULUCF|PM25|Asthma symptoms cough", US_national_yearly!$D:$AM, 22, FALSE) / VLOOKUP("LULUCF|PM25|Asthma symptoms cough", US_national_yearly!$D:$AM, 10, FALSE), 1)</f>
        <v>2.0022274686552497E-3</v>
      </c>
      <c r="O6" s="7">
        <f>$B6 * IFERROR(VLOOKUP("LULUCF|PM25|Asthma symptoms cough", US_national_yearly!$D:$AM, 23, FALSE) / VLOOKUP("LULUCF|PM25|Asthma symptoms cough", US_national_yearly!$D:$AM, 10, FALSE), 1)</f>
        <v>2.0022274686552497E-3</v>
      </c>
      <c r="P6" s="7">
        <f>$B6 * IFERROR(VLOOKUP("LULUCF|PM25|Asthma symptoms cough", US_national_yearly!$D:$AM, 24, FALSE) / VLOOKUP("LULUCF|PM25|Asthma symptoms cough", US_national_yearly!$D:$AM, 10, FALSE), 1)</f>
        <v>2.0022274686552497E-3</v>
      </c>
      <c r="Q6" s="7">
        <f>$B6 * IFERROR(VLOOKUP("LULUCF|PM25|Asthma symptoms cough", US_national_yearly!$D:$AM, 25, FALSE) / VLOOKUP("LULUCF|PM25|Asthma symptoms cough", US_national_yearly!$D:$AM, 10, FALSE), 1)</f>
        <v>2.0022274686552497E-3</v>
      </c>
      <c r="R6" s="7">
        <f>$B6 * IFERROR(VLOOKUP("LULUCF|PM25|Asthma symptoms cough", US_national_yearly!$D:$AM, 26, FALSE) / VLOOKUP("LULUCF|PM25|Asthma symptoms cough", US_national_yearly!$D:$AM, 10, FALSE), 1)</f>
        <v>2.0022274686552497E-3</v>
      </c>
      <c r="S6" s="7">
        <f>$B6 * IFERROR(VLOOKUP("LULUCF|PM25|Asthma symptoms cough", US_national_yearly!$D:$AM, 27, FALSE) / VLOOKUP("LULUCF|PM25|Asthma symptoms cough", US_national_yearly!$D:$AM, 10, FALSE), 1)</f>
        <v>2.0022274686552497E-3</v>
      </c>
      <c r="T6" s="7">
        <f>$B6 * IFERROR(VLOOKUP("LULUCF|PM25|Asthma symptoms cough", US_national_yearly!$D:$AM, 28, FALSE) / VLOOKUP("LULUCF|PM25|Asthma symptoms cough", US_national_yearly!$D:$AM, 10, FALSE), 1)</f>
        <v>2.0022274686552497E-3</v>
      </c>
      <c r="U6" s="7">
        <f>$B6 * IFERROR(VLOOKUP("LULUCF|PM25|Asthma symptoms cough", US_national_yearly!$D:$AM, 29, FALSE) / VLOOKUP("LULUCF|PM25|Asthma symptoms cough", US_national_yearly!$D:$AM, 10, FALSE), 1)</f>
        <v>2.0022274686552497E-3</v>
      </c>
      <c r="V6" s="7">
        <f>$B6 * IFERROR(VLOOKUP("LULUCF|PM25|Asthma symptoms cough", US_national_yearly!$D:$AM, 30, FALSE) / VLOOKUP("LULUCF|PM25|Asthma symptoms cough", US_national_yearly!$D:$AM, 10, FALSE), 1)</f>
        <v>2.0022274686552497E-3</v>
      </c>
      <c r="W6" s="7">
        <f>$B6 * IFERROR(VLOOKUP("LULUCF|PM25|Asthma symptoms cough", US_national_yearly!$D:$AM, 31, FALSE) / VLOOKUP("LULUCF|PM25|Asthma symptoms cough", US_national_yearly!$D:$AM, 10, FALSE), 1)</f>
        <v>2.0022274686552497E-3</v>
      </c>
      <c r="X6" s="7">
        <f>$B6 * IFERROR(VLOOKUP("LULUCF|PM25|Asthma symptoms cough", US_national_yearly!$D:$AM, 32, FALSE) / VLOOKUP("LULUCF|PM25|Asthma symptoms cough", US_national_yearly!$D:$AM, 10, FALSE), 1)</f>
        <v>2.0022274686552497E-3</v>
      </c>
      <c r="Y6" s="7">
        <f>$B6 * IFERROR(VLOOKUP("LULUCF|PM25|Asthma symptoms cough", US_national_yearly!$D:$AM, 33, FALSE) / VLOOKUP("LULUCF|PM25|Asthma symptoms cough", US_national_yearly!$D:$AM, 10, FALSE), 1)</f>
        <v>2.0022274686552497E-3</v>
      </c>
      <c r="Z6" s="7">
        <f>$B6 * IFERROR(VLOOKUP("LULUCF|PM25|Asthma symptoms cough", US_national_yearly!$D:$AM, 34, FALSE) / VLOOKUP("LULUCF|PM25|Asthma symptoms cough", US_national_yearly!$D:$AM, 10, FALSE), 1)</f>
        <v>2.0022274686552497E-3</v>
      </c>
      <c r="AA6" s="7">
        <f>$B6 * IFERROR(VLOOKUP("LULUCF|PM25|Asthma symptoms cough", US_national_yearly!$D:$AM, 35, FALSE) / VLOOKUP("LULUCF|PM25|Asthma symptoms cough", US_national_yearly!$D:$AM, 10, FALSE), 1)</f>
        <v>2.0022274686552497E-3</v>
      </c>
      <c r="AB6" s="7">
        <f>$B6 * IFERROR(VLOOKUP("LULUCF|PM25|Asthma symptoms cough", US_national_yearly!$D:$AM, 36, FALSE) / VLOOKUP("LULUCF|PM25|Asthma symptoms cough", US_national_yearly!$D:$AM, 10, FALSE), 1)</f>
        <v>2.0022274686552497E-3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2.6962705867477261E-3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2.6962705867477261E-3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2.6962705867477261E-3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2.6962705867477261E-3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2.6962705867477261E-3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2.6962705867477261E-3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2.6962705867477261E-3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2.6962705867477261E-3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2.6962705867477261E-3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2.6962705867477261E-3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2.6962705867477261E-3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2.6962705867477261E-3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2.6962705867477261E-3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2.6962705867477261E-3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2.6962705867477261E-3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2.6962705867477261E-3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2.6962705867477261E-3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2.6962705867477261E-3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2.6962705867477261E-3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2.6962705867477261E-3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2.6962705867477261E-3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2.6962705867477261E-3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2.6962705867477261E-3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2.6962705867477261E-3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2.6962705867477261E-3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2.6962705867477261E-3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2.6962705867477261E-3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4.1195130940917439E-3</v>
      </c>
      <c r="C8" s="7">
        <f>$B8 * IFERROR(VLOOKUP("LULUCF|PM25|Asthma symptoms wheeze", US_national_yearly!$D:$AM, 11, FALSE) / VLOOKUP("LULUCF|PM25|Asthma symptoms wheeze", US_national_yearly!$D:$AM, 10, FALSE), 1)</f>
        <v>4.1195130940917439E-3</v>
      </c>
      <c r="D8" s="7">
        <f>$B8 * IFERROR(VLOOKUP("LULUCF|PM25|Asthma symptoms wheeze", US_national_yearly!$D:$AM, 12, FALSE) / VLOOKUP("LULUCF|PM25|Asthma symptoms wheeze", US_national_yearly!$D:$AM, 10, FALSE), 1)</f>
        <v>4.1195130940917439E-3</v>
      </c>
      <c r="E8" s="7">
        <f>$B8 * IFERROR(VLOOKUP("LULUCF|PM25|Asthma symptoms wheeze", US_national_yearly!$D:$AM, 13, FALSE) / VLOOKUP("LULUCF|PM25|Asthma symptoms wheeze", US_national_yearly!$D:$AM, 10, FALSE), 1)</f>
        <v>4.1195130940917439E-3</v>
      </c>
      <c r="F8" s="7">
        <f>$B8 * IFERROR(VLOOKUP("LULUCF|PM25|Asthma symptoms wheeze", US_national_yearly!$D:$AM, 14, FALSE) / VLOOKUP("LULUCF|PM25|Asthma symptoms wheeze", US_national_yearly!$D:$AM, 10, FALSE), 1)</f>
        <v>4.1195130940917439E-3</v>
      </c>
      <c r="G8" s="7">
        <f>$B8 * IFERROR(VLOOKUP("LULUCF|PM25|Asthma symptoms wheeze", US_national_yearly!$D:$AM, 15, FALSE) / VLOOKUP("LULUCF|PM25|Asthma symptoms wheeze", US_national_yearly!$D:$AM, 10, FALSE), 1)</f>
        <v>4.1195130940917439E-3</v>
      </c>
      <c r="H8" s="7">
        <f>$B8 * IFERROR(VLOOKUP("LULUCF|PM25|Asthma symptoms wheeze", US_national_yearly!$D:$AM, 16, FALSE) / VLOOKUP("LULUCF|PM25|Asthma symptoms wheeze", US_national_yearly!$D:$AM, 10, FALSE), 1)</f>
        <v>4.1195130940917439E-3</v>
      </c>
      <c r="I8" s="7">
        <f>$B8 * IFERROR(VLOOKUP("LULUCF|PM25|Asthma symptoms wheeze", US_national_yearly!$D:$AM, 17, FALSE) / VLOOKUP("LULUCF|PM25|Asthma symptoms wheeze", US_national_yearly!$D:$AM, 10, FALSE), 1)</f>
        <v>4.1195130940917439E-3</v>
      </c>
      <c r="J8" s="7">
        <f>$B8 * IFERROR(VLOOKUP("LULUCF|PM25|Asthma symptoms wheeze", US_national_yearly!$D:$AM, 18, FALSE) / VLOOKUP("LULUCF|PM25|Asthma symptoms wheeze", US_national_yearly!$D:$AM, 10, FALSE), 1)</f>
        <v>4.1195130940917439E-3</v>
      </c>
      <c r="K8" s="7">
        <f>$B8 * IFERROR(VLOOKUP("LULUCF|PM25|Asthma symptoms wheeze", US_national_yearly!$D:$AM, 19, FALSE) / VLOOKUP("LULUCF|PM25|Asthma symptoms wheeze", US_national_yearly!$D:$AM, 10, FALSE), 1)</f>
        <v>4.1195130940917439E-3</v>
      </c>
      <c r="L8" s="7">
        <f>$B8 * IFERROR(VLOOKUP("LULUCF|PM25|Asthma symptoms wheeze", US_national_yearly!$D:$AM, 20, FALSE) / VLOOKUP("LULUCF|PM25|Asthma symptoms wheeze", US_national_yearly!$D:$AM, 10, FALSE), 1)</f>
        <v>4.1195130940917439E-3</v>
      </c>
      <c r="M8" s="7">
        <f>$B8 * IFERROR(VLOOKUP("LULUCF|PM25|Asthma symptoms wheeze", US_national_yearly!$D:$AM, 21, FALSE) / VLOOKUP("LULUCF|PM25|Asthma symptoms wheeze", US_national_yearly!$D:$AM, 10, FALSE), 1)</f>
        <v>4.1195130940917439E-3</v>
      </c>
      <c r="N8" s="7">
        <f>$B8 * IFERROR(VLOOKUP("LULUCF|PM25|Asthma symptoms wheeze", US_national_yearly!$D:$AM, 22, FALSE) / VLOOKUP("LULUCF|PM25|Asthma symptoms wheeze", US_national_yearly!$D:$AM, 10, FALSE), 1)</f>
        <v>4.1195130940917439E-3</v>
      </c>
      <c r="O8" s="7">
        <f>$B8 * IFERROR(VLOOKUP("LULUCF|PM25|Asthma symptoms wheeze", US_national_yearly!$D:$AM, 23, FALSE) / VLOOKUP("LULUCF|PM25|Asthma symptoms wheeze", US_national_yearly!$D:$AM, 10, FALSE), 1)</f>
        <v>4.1195130940917439E-3</v>
      </c>
      <c r="P8" s="7">
        <f>$B8 * IFERROR(VLOOKUP("LULUCF|PM25|Asthma symptoms wheeze", US_national_yearly!$D:$AM, 24, FALSE) / VLOOKUP("LULUCF|PM25|Asthma symptoms wheeze", US_national_yearly!$D:$AM, 10, FALSE), 1)</f>
        <v>4.1195130940917439E-3</v>
      </c>
      <c r="Q8" s="7">
        <f>$B8 * IFERROR(VLOOKUP("LULUCF|PM25|Asthma symptoms wheeze", US_national_yearly!$D:$AM, 25, FALSE) / VLOOKUP("LULUCF|PM25|Asthma symptoms wheeze", US_national_yearly!$D:$AM, 10, FALSE), 1)</f>
        <v>4.1195130940917439E-3</v>
      </c>
      <c r="R8" s="7">
        <f>$B8 * IFERROR(VLOOKUP("LULUCF|PM25|Asthma symptoms wheeze", US_national_yearly!$D:$AM, 26, FALSE) / VLOOKUP("LULUCF|PM25|Asthma symptoms wheeze", US_national_yearly!$D:$AM, 10, FALSE), 1)</f>
        <v>4.1195130940917439E-3</v>
      </c>
      <c r="S8" s="7">
        <f>$B8 * IFERROR(VLOOKUP("LULUCF|PM25|Asthma symptoms wheeze", US_national_yearly!$D:$AM, 27, FALSE) / VLOOKUP("LULUCF|PM25|Asthma symptoms wheeze", US_national_yearly!$D:$AM, 10, FALSE), 1)</f>
        <v>4.1195130940917439E-3</v>
      </c>
      <c r="T8" s="7">
        <f>$B8 * IFERROR(VLOOKUP("LULUCF|PM25|Asthma symptoms wheeze", US_national_yearly!$D:$AM, 28, FALSE) / VLOOKUP("LULUCF|PM25|Asthma symptoms wheeze", US_national_yearly!$D:$AM, 10, FALSE), 1)</f>
        <v>4.1195130940917439E-3</v>
      </c>
      <c r="U8" s="7">
        <f>$B8 * IFERROR(VLOOKUP("LULUCF|PM25|Asthma symptoms wheeze", US_national_yearly!$D:$AM, 29, FALSE) / VLOOKUP("LULUCF|PM25|Asthma symptoms wheeze", US_national_yearly!$D:$AM, 10, FALSE), 1)</f>
        <v>4.1195130940917439E-3</v>
      </c>
      <c r="V8" s="7">
        <f>$B8 * IFERROR(VLOOKUP("LULUCF|PM25|Asthma symptoms wheeze", US_national_yearly!$D:$AM, 30, FALSE) / VLOOKUP("LULUCF|PM25|Asthma symptoms wheeze", US_national_yearly!$D:$AM, 10, FALSE), 1)</f>
        <v>4.1195130940917439E-3</v>
      </c>
      <c r="W8" s="7">
        <f>$B8 * IFERROR(VLOOKUP("LULUCF|PM25|Asthma symptoms wheeze", US_national_yearly!$D:$AM, 31, FALSE) / VLOOKUP("LULUCF|PM25|Asthma symptoms wheeze", US_national_yearly!$D:$AM, 10, FALSE), 1)</f>
        <v>4.1195130940917439E-3</v>
      </c>
      <c r="X8" s="7">
        <f>$B8 * IFERROR(VLOOKUP("LULUCF|PM25|Asthma symptoms wheeze", US_national_yearly!$D:$AM, 32, FALSE) / VLOOKUP("LULUCF|PM25|Asthma symptoms wheeze", US_national_yearly!$D:$AM, 10, FALSE), 1)</f>
        <v>4.1195130940917439E-3</v>
      </c>
      <c r="Y8" s="7">
        <f>$B8 * IFERROR(VLOOKUP("LULUCF|PM25|Asthma symptoms wheeze", US_national_yearly!$D:$AM, 33, FALSE) / VLOOKUP("LULUCF|PM25|Asthma symptoms wheeze", US_national_yearly!$D:$AM, 10, FALSE), 1)</f>
        <v>4.1195130940917439E-3</v>
      </c>
      <c r="Z8" s="7">
        <f>$B8 * IFERROR(VLOOKUP("LULUCF|PM25|Asthma symptoms wheeze", US_national_yearly!$D:$AM, 34, FALSE) / VLOOKUP("LULUCF|PM25|Asthma symptoms wheeze", US_national_yearly!$D:$AM, 10, FALSE), 1)</f>
        <v>4.1195130940917439E-3</v>
      </c>
      <c r="AA8" s="7">
        <f>$B8 * IFERROR(VLOOKUP("LULUCF|PM25|Asthma symptoms wheeze", US_national_yearly!$D:$AM, 35, FALSE) / VLOOKUP("LULUCF|PM25|Asthma symptoms wheeze", US_national_yearly!$D:$AM, 10, FALSE), 1)</f>
        <v>4.1195130940917439E-3</v>
      </c>
      <c r="AB8" s="7">
        <f>$B8 * IFERROR(VLOOKUP("LULUCF|PM25|Asthma symptoms wheeze", US_national_yearly!$D:$AM, 36, FALSE) / VLOOKUP("LULUCF|PM25|Asthma symptoms wheeze", US_national_yearly!$D:$AM, 10, FALSE), 1)</f>
        <v>4.1195130940917439E-3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4.4227262647022229E-5</v>
      </c>
      <c r="C12" s="7">
        <f>$B12 * IFERROR(VLOOKUP("LULUCF|PM25|Respiratory hospital admissions", US_national_yearly!$D:$AM, 11, FALSE) / VLOOKUP("LULUCF|PM25|Respiratory hospital admissions", US_national_yearly!$D:$AM, 10, FALSE), 1)</f>
        <v>4.4480755490409267E-5</v>
      </c>
      <c r="D12" s="7">
        <f>$B12 * IFERROR(VLOOKUP("LULUCF|PM25|Respiratory hospital admissions", US_national_yearly!$D:$AM, 12, FALSE) / VLOOKUP("LULUCF|PM25|Respiratory hospital admissions", US_national_yearly!$D:$AM, 10, FALSE), 1)</f>
        <v>4.4734248333796292E-5</v>
      </c>
      <c r="E12" s="7">
        <f>$B12 * IFERROR(VLOOKUP("LULUCF|PM25|Respiratory hospital admissions", US_national_yearly!$D:$AM, 13, FALSE) / VLOOKUP("LULUCF|PM25|Respiratory hospital admissions", US_national_yearly!$D:$AM, 10, FALSE), 1)</f>
        <v>4.4987741177183323E-5</v>
      </c>
      <c r="F12" s="7">
        <f>$B12 * IFERROR(VLOOKUP("LULUCF|PM25|Respiratory hospital admissions", US_national_yearly!$D:$AM, 14, FALSE) / VLOOKUP("LULUCF|PM25|Respiratory hospital admissions", US_national_yearly!$D:$AM, 10, FALSE), 1)</f>
        <v>4.5241234020570354E-5</v>
      </c>
      <c r="G12" s="7">
        <f>$B12 * IFERROR(VLOOKUP("LULUCF|PM25|Respiratory hospital admissions", US_national_yearly!$D:$AM, 15, FALSE) / VLOOKUP("LULUCF|PM25|Respiratory hospital admissions", US_national_yearly!$D:$AM, 10, FALSE), 1)</f>
        <v>4.5515017104235461E-5</v>
      </c>
      <c r="H12" s="7">
        <f>$B12 * IFERROR(VLOOKUP("LULUCF|PM25|Respiratory hospital admissions", US_national_yearly!$D:$AM, 16, FALSE) / VLOOKUP("LULUCF|PM25|Respiratory hospital admissions", US_national_yearly!$D:$AM, 10, FALSE), 1)</f>
        <v>4.5788800187900576E-5</v>
      </c>
      <c r="I12" s="7">
        <f>$B12 * IFERROR(VLOOKUP("LULUCF|PM25|Respiratory hospital admissions", US_national_yearly!$D:$AM, 17, FALSE) / VLOOKUP("LULUCF|PM25|Respiratory hospital admissions", US_national_yearly!$D:$AM, 10, FALSE), 1)</f>
        <v>4.6050389522361714E-5</v>
      </c>
      <c r="J12" s="7">
        <f>$B12 * IFERROR(VLOOKUP("LULUCF|PM25|Respiratory hospital admissions", US_national_yearly!$D:$AM, 18, FALSE) / VLOOKUP("LULUCF|PM25|Respiratory hospital admissions", US_national_yearly!$D:$AM, 10, FALSE), 1)</f>
        <v>4.6311978856822879E-5</v>
      </c>
      <c r="K12" s="7">
        <f>$B12 * IFERROR(VLOOKUP("LULUCF|PM25|Respiratory hospital admissions", US_national_yearly!$D:$AM, 19, FALSE) / VLOOKUP("LULUCF|PM25|Respiratory hospital admissions", US_national_yearly!$D:$AM, 10, FALSE), 1)</f>
        <v>4.6573568191284031E-5</v>
      </c>
      <c r="L12" s="7">
        <f>$B12 * IFERROR(VLOOKUP("LULUCF|PM25|Respiratory hospital admissions", US_national_yearly!$D:$AM, 20, FALSE) / VLOOKUP("LULUCF|PM25|Respiratory hospital admissions", US_national_yearly!$D:$AM, 10, FALSE), 1)</f>
        <v>4.6835157525745196E-5</v>
      </c>
      <c r="M12" s="7">
        <f>$B12 * IFERROR(VLOOKUP("LULUCF|PM25|Respiratory hospital admissions", US_national_yearly!$D:$AM, 21, FALSE) / VLOOKUP("LULUCF|PM25|Respiratory hospital admissions", US_national_yearly!$D:$AM, 10, FALSE), 1)</f>
        <v>4.7096746860206341E-5</v>
      </c>
      <c r="N12" s="7">
        <f>$B12 * IFERROR(VLOOKUP("LULUCF|PM25|Respiratory hospital admissions", US_national_yearly!$D:$AM, 22, FALSE) / VLOOKUP("LULUCF|PM25|Respiratory hospital admissions", US_national_yearly!$D:$AM, 10, FALSE), 1)</f>
        <v>4.7284497159204338E-5</v>
      </c>
      <c r="O12" s="7">
        <f>$B12 * IFERROR(VLOOKUP("LULUCF|PM25|Respiratory hospital admissions", US_national_yearly!$D:$AM, 23, FALSE) / VLOOKUP("LULUCF|PM25|Respiratory hospital admissions", US_national_yearly!$D:$AM, 10, FALSE), 1)</f>
        <v>4.7472247458202335E-5</v>
      </c>
      <c r="P12" s="7">
        <f>$B12 * IFERROR(VLOOKUP("LULUCF|PM25|Respiratory hospital admissions", US_national_yearly!$D:$AM, 24, FALSE) / VLOOKUP("LULUCF|PM25|Respiratory hospital admissions", US_national_yearly!$D:$AM, 10, FALSE), 1)</f>
        <v>4.7659997757200319E-5</v>
      </c>
      <c r="Q12" s="7">
        <f>$B12 * IFERROR(VLOOKUP("LULUCF|PM25|Respiratory hospital admissions", US_national_yearly!$D:$AM, 25, FALSE) / VLOOKUP("LULUCF|PM25|Respiratory hospital admissions", US_national_yearly!$D:$AM, 10, FALSE), 1)</f>
        <v>4.7847748056198309E-5</v>
      </c>
      <c r="R12" s="7">
        <f>$B12 * IFERROR(VLOOKUP("LULUCF|PM25|Respiratory hospital admissions", US_national_yearly!$D:$AM, 26, FALSE) / VLOOKUP("LULUCF|PM25|Respiratory hospital admissions", US_national_yearly!$D:$AM, 10, FALSE), 1)</f>
        <v>4.8035498355196313E-5</v>
      </c>
      <c r="S12" s="7">
        <f>$B12 * IFERROR(VLOOKUP("LULUCF|PM25|Respiratory hospital admissions", US_national_yearly!$D:$AM, 27, FALSE) / VLOOKUP("LULUCF|PM25|Respiratory hospital admissions", US_national_yearly!$D:$AM, 10, FALSE), 1)</f>
        <v>4.8214261379299413E-5</v>
      </c>
      <c r="T12" s="7">
        <f>$B12 * IFERROR(VLOOKUP("LULUCF|PM25|Respiratory hospital admissions", US_national_yearly!$D:$AM, 28, FALSE) / VLOOKUP("LULUCF|PM25|Respiratory hospital admissions", US_national_yearly!$D:$AM, 10, FALSE), 1)</f>
        <v>4.8393024403402526E-5</v>
      </c>
      <c r="U12" s="7">
        <f>$B12 * IFERROR(VLOOKUP("LULUCF|PM25|Respiratory hospital admissions", US_national_yearly!$D:$AM, 29, FALSE) / VLOOKUP("LULUCF|PM25|Respiratory hospital admissions", US_national_yearly!$D:$AM, 10, FALSE), 1)</f>
        <v>4.8571787427505625E-5</v>
      </c>
      <c r="V12" s="7">
        <f>$B12 * IFERROR(VLOOKUP("LULUCF|PM25|Respiratory hospital admissions", US_national_yearly!$D:$AM, 30, FALSE) / VLOOKUP("LULUCF|PM25|Respiratory hospital admissions", US_national_yearly!$D:$AM, 10, FALSE), 1)</f>
        <v>4.8750550451608725E-5</v>
      </c>
      <c r="W12" s="7">
        <f>$B12 * IFERROR(VLOOKUP("LULUCF|PM25|Respiratory hospital admissions", US_national_yearly!$D:$AM, 31, FALSE) / VLOOKUP("LULUCF|PM25|Respiratory hospital admissions", US_national_yearly!$D:$AM, 10, FALSE), 1)</f>
        <v>4.8929313475711824E-5</v>
      </c>
      <c r="X12" s="7">
        <f>$B12 * IFERROR(VLOOKUP("LULUCF|PM25|Respiratory hospital admissions", US_national_yearly!$D:$AM, 32, FALSE) / VLOOKUP("LULUCF|PM25|Respiratory hospital admissions", US_national_yearly!$D:$AM, 10, FALSE), 1)</f>
        <v>4.9101285785230566E-5</v>
      </c>
      <c r="Y12" s="7">
        <f>$B12 * IFERROR(VLOOKUP("LULUCF|PM25|Respiratory hospital admissions", US_national_yearly!$D:$AM, 33, FALSE) / VLOOKUP("LULUCF|PM25|Respiratory hospital admissions", US_national_yearly!$D:$AM, 10, FALSE), 1)</f>
        <v>4.9273258094749295E-5</v>
      </c>
      <c r="Z12" s="7">
        <f>$B12 * IFERROR(VLOOKUP("LULUCF|PM25|Respiratory hospital admissions", US_national_yearly!$D:$AM, 34, FALSE) / VLOOKUP("LULUCF|PM25|Respiratory hospital admissions", US_national_yearly!$D:$AM, 10, FALSE), 1)</f>
        <v>4.9445230404268024E-5</v>
      </c>
      <c r="AA12" s="7">
        <f>$B12 * IFERROR(VLOOKUP("LULUCF|PM25|Respiratory hospital admissions", US_national_yearly!$D:$AM, 35, FALSE) / VLOOKUP("LULUCF|PM25|Respiratory hospital admissions", US_national_yearly!$D:$AM, 10, FALSE), 1)</f>
        <v>4.9617202713786745E-5</v>
      </c>
      <c r="AB12" s="7">
        <f>$B12 * IFERROR(VLOOKUP("LULUCF|PM25|Respiratory hospital admissions", US_national_yearly!$D:$AM, 36, FALSE) / VLOOKUP("LULUCF|PM25|Respiratory hospital admissions", US_national_yearly!$D:$AM, 10, FALSE), 1)</f>
        <v>4.9789175023305481E-5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2.9964910687318714E-4</v>
      </c>
      <c r="C13" s="7">
        <f>$B13 * IFERROR(VLOOKUP("LULUCF|PM25|Non-fatal heart attacks", US_national_yearly!$D:$AM, 11, FALSE) / VLOOKUP("LULUCF|PM25|Non-fatal heart attacks", US_national_yearly!$D:$AM, 10, FALSE), 1)</f>
        <v>3.0836070158771228E-4</v>
      </c>
      <c r="D13" s="7">
        <f>$B13 * IFERROR(VLOOKUP("LULUCF|PM25|Non-fatal heart attacks", US_national_yearly!$D:$AM, 12, FALSE) / VLOOKUP("LULUCF|PM25|Non-fatal heart attacks", US_national_yearly!$D:$AM, 10, FALSE), 1)</f>
        <v>3.1707229630223747E-4</v>
      </c>
      <c r="E13" s="7">
        <f>$B13 * IFERROR(VLOOKUP("LULUCF|PM25|Non-fatal heart attacks", US_national_yearly!$D:$AM, 13, FALSE) / VLOOKUP("LULUCF|PM25|Non-fatal heart attacks", US_national_yearly!$D:$AM, 10, FALSE), 1)</f>
        <v>3.2578389101676255E-4</v>
      </c>
      <c r="F13" s="7">
        <f>$B13 * IFERROR(VLOOKUP("LULUCF|PM25|Non-fatal heart attacks", US_national_yearly!$D:$AM, 14, FALSE) / VLOOKUP("LULUCF|PM25|Non-fatal heart attacks", US_national_yearly!$D:$AM, 10, FALSE), 1)</f>
        <v>3.3449548573128779E-4</v>
      </c>
      <c r="G13" s="7">
        <f>$B13 * IFERROR(VLOOKUP("LULUCF|PM25|Non-fatal heart attacks", US_national_yearly!$D:$AM, 15, FALSE) / VLOOKUP("LULUCF|PM25|Non-fatal heart attacks", US_national_yearly!$D:$AM, 10, FALSE), 1)</f>
        <v>3.4271107028342566E-4</v>
      </c>
      <c r="H13" s="7">
        <f>$B13 * IFERROR(VLOOKUP("LULUCF|PM25|Non-fatal heart attacks", US_national_yearly!$D:$AM, 16, FALSE) / VLOOKUP("LULUCF|PM25|Non-fatal heart attacks", US_national_yearly!$D:$AM, 10, FALSE), 1)</f>
        <v>3.5092665483556348E-4</v>
      </c>
      <c r="I13" s="7">
        <f>$B13 * IFERROR(VLOOKUP("LULUCF|PM25|Non-fatal heart attacks", US_national_yearly!$D:$AM, 17, FALSE) / VLOOKUP("LULUCF|PM25|Non-fatal heart attacks", US_national_yearly!$D:$AM, 10, FALSE), 1)</f>
        <v>3.5752925103859869E-4</v>
      </c>
      <c r="J13" s="7">
        <f>$B13 * IFERROR(VLOOKUP("LULUCF|PM25|Non-fatal heart attacks", US_national_yearly!$D:$AM, 18, FALSE) / VLOOKUP("LULUCF|PM25|Non-fatal heart attacks", US_national_yearly!$D:$AM, 10, FALSE), 1)</f>
        <v>3.6413184724163396E-4</v>
      </c>
      <c r="K13" s="7">
        <f>$B13 * IFERROR(VLOOKUP("LULUCF|PM25|Non-fatal heart attacks", US_national_yearly!$D:$AM, 19, FALSE) / VLOOKUP("LULUCF|PM25|Non-fatal heart attacks", US_national_yearly!$D:$AM, 10, FALSE), 1)</f>
        <v>3.7073444344466923E-4</v>
      </c>
      <c r="L13" s="7">
        <f>$B13 * IFERROR(VLOOKUP("LULUCF|PM25|Non-fatal heart attacks", US_national_yearly!$D:$AM, 20, FALSE) / VLOOKUP("LULUCF|PM25|Non-fatal heart attacks", US_national_yearly!$D:$AM, 10, FALSE), 1)</f>
        <v>3.7733703964770449E-4</v>
      </c>
      <c r="M13" s="7">
        <f>$B13 * IFERROR(VLOOKUP("LULUCF|PM25|Non-fatal heart attacks", US_national_yearly!$D:$AM, 21, FALSE) / VLOOKUP("LULUCF|PM25|Non-fatal heart attacks", US_national_yearly!$D:$AM, 10, FALSE), 1)</f>
        <v>3.8393963585073982E-4</v>
      </c>
      <c r="N13" s="7">
        <f>$B13 * IFERROR(VLOOKUP("LULUCF|PM25|Non-fatal heart attacks", US_national_yearly!$D:$AM, 22, FALSE) / VLOOKUP("LULUCF|PM25|Non-fatal heart attacks", US_national_yearly!$D:$AM, 10, FALSE), 1)</f>
        <v>3.8819765842516835E-4</v>
      </c>
      <c r="O13" s="7">
        <f>$B13 * IFERROR(VLOOKUP("LULUCF|PM25|Non-fatal heart attacks", US_national_yearly!$D:$AM, 23, FALSE) / VLOOKUP("LULUCF|PM25|Non-fatal heart attacks", US_national_yearly!$D:$AM, 10, FALSE), 1)</f>
        <v>3.9245568099959699E-4</v>
      </c>
      <c r="P13" s="7">
        <f>$B13 * IFERROR(VLOOKUP("LULUCF|PM25|Non-fatal heart attacks", US_national_yearly!$D:$AM, 24, FALSE) / VLOOKUP("LULUCF|PM25|Non-fatal heart attacks", US_national_yearly!$D:$AM, 10, FALSE), 1)</f>
        <v>3.9671370357402563E-4</v>
      </c>
      <c r="Q13" s="7">
        <f>$B13 * IFERROR(VLOOKUP("LULUCF|PM25|Non-fatal heart attacks", US_national_yearly!$D:$AM, 25, FALSE) / VLOOKUP("LULUCF|PM25|Non-fatal heart attacks", US_national_yearly!$D:$AM, 10, FALSE), 1)</f>
        <v>4.0097172614845416E-4</v>
      </c>
      <c r="R13" s="7">
        <f>$B13 * IFERROR(VLOOKUP("LULUCF|PM25|Non-fatal heart attacks", US_national_yearly!$D:$AM, 26, FALSE) / VLOOKUP("LULUCF|PM25|Non-fatal heart attacks", US_national_yearly!$D:$AM, 10, FALSE), 1)</f>
        <v>4.052297487228828E-4</v>
      </c>
      <c r="S13" s="7">
        <f>$B13 * IFERROR(VLOOKUP("LULUCF|PM25|Non-fatal heart attacks", US_national_yearly!$D:$AM, 27, FALSE) / VLOOKUP("LULUCF|PM25|Non-fatal heart attacks", US_national_yearly!$D:$AM, 10, FALSE), 1)</f>
        <v>4.0747214506135342E-4</v>
      </c>
      <c r="T13" s="7">
        <f>$B13 * IFERROR(VLOOKUP("LULUCF|PM25|Non-fatal heart attacks", US_national_yearly!$D:$AM, 28, FALSE) / VLOOKUP("LULUCF|PM25|Non-fatal heart attacks", US_national_yearly!$D:$AM, 10, FALSE), 1)</f>
        <v>4.0971454139982416E-4</v>
      </c>
      <c r="U13" s="7">
        <f>$B13 * IFERROR(VLOOKUP("LULUCF|PM25|Non-fatal heart attacks", US_national_yearly!$D:$AM, 29, FALSE) / VLOOKUP("LULUCF|PM25|Non-fatal heart attacks", US_national_yearly!$D:$AM, 10, FALSE), 1)</f>
        <v>4.1195693773829494E-4</v>
      </c>
      <c r="V13" s="7">
        <f>$B13 * IFERROR(VLOOKUP("LULUCF|PM25|Non-fatal heart attacks", US_national_yearly!$D:$AM, 30, FALSE) / VLOOKUP("LULUCF|PM25|Non-fatal heart attacks", US_national_yearly!$D:$AM, 10, FALSE), 1)</f>
        <v>4.1419933407676562E-4</v>
      </c>
      <c r="W13" s="7">
        <f>$B13 * IFERROR(VLOOKUP("LULUCF|PM25|Non-fatal heart attacks", US_national_yearly!$D:$AM, 31, FALSE) / VLOOKUP("LULUCF|PM25|Non-fatal heart attacks", US_national_yearly!$D:$AM, 10, FALSE), 1)</f>
        <v>4.164417304152363E-4</v>
      </c>
      <c r="X13" s="7">
        <f>$B13 * IFERROR(VLOOKUP("LULUCF|PM25|Non-fatal heart attacks", US_national_yearly!$D:$AM, 32, FALSE) / VLOOKUP("LULUCF|PM25|Non-fatal heart attacks", US_national_yearly!$D:$AM, 10, FALSE), 1)</f>
        <v>4.1814403347998225E-4</v>
      </c>
      <c r="Y13" s="7">
        <f>$B13 * IFERROR(VLOOKUP("LULUCF|PM25|Non-fatal heart attacks", US_national_yearly!$D:$AM, 33, FALSE) / VLOOKUP("LULUCF|PM25|Non-fatal heart attacks", US_national_yearly!$D:$AM, 10, FALSE), 1)</f>
        <v>4.1984633654472826E-4</v>
      </c>
      <c r="Z13" s="7">
        <f>$B13 * IFERROR(VLOOKUP("LULUCF|PM25|Non-fatal heart attacks", US_national_yearly!$D:$AM, 34, FALSE) / VLOOKUP("LULUCF|PM25|Non-fatal heart attacks", US_national_yearly!$D:$AM, 10, FALSE), 1)</f>
        <v>4.2154863960947421E-4</v>
      </c>
      <c r="AA13" s="7">
        <f>$B13 * IFERROR(VLOOKUP("LULUCF|PM25|Non-fatal heart attacks", US_national_yearly!$D:$AM, 35, FALSE) / VLOOKUP("LULUCF|PM25|Non-fatal heart attacks", US_national_yearly!$D:$AM, 10, FALSE), 1)</f>
        <v>4.2325094267422022E-4</v>
      </c>
      <c r="AB13" s="7">
        <f>$B13 * IFERROR(VLOOKUP("LULUCF|PM25|Non-fatal heart attacks", US_national_yearly!$D:$AM, 36, FALSE) / VLOOKUP("LULUCF|PM25|Non-fatal heart attacks", US_national_yearly!$D:$AM, 10, FALSE), 1)</f>
        <v>4.2495324573896612E-4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0.25167190130257983</v>
      </c>
      <c r="C14" s="7">
        <f>$B14 * IFERROR(VLOOKUP("LULUCF|PM25|Minor restricted activity days", US_national_yearly!$D:$AM, 11, FALSE) / VLOOKUP("LULUCF|PM25|Minor restricted activity days", US_national_yearly!$D:$AM, 10, FALSE), 1)</f>
        <v>0.25228651393155394</v>
      </c>
      <c r="D14" s="7">
        <f>$B14 * IFERROR(VLOOKUP("LULUCF|PM25|Minor restricted activity days", US_national_yearly!$D:$AM, 12, FALSE) / VLOOKUP("LULUCF|PM25|Minor restricted activity days", US_national_yearly!$D:$AM, 10, FALSE), 1)</f>
        <v>0.25290112656052804</v>
      </c>
      <c r="E14" s="7">
        <f>$B14 * IFERROR(VLOOKUP("LULUCF|PM25|Minor restricted activity days", US_national_yearly!$D:$AM, 13, FALSE) / VLOOKUP("LULUCF|PM25|Minor restricted activity days", US_national_yearly!$D:$AM, 10, FALSE), 1)</f>
        <v>0.25351573918950221</v>
      </c>
      <c r="F14" s="7">
        <f>$B14 * IFERROR(VLOOKUP("LULUCF|PM25|Minor restricted activity days", US_national_yearly!$D:$AM, 14, FALSE) / VLOOKUP("LULUCF|PM25|Minor restricted activity days", US_national_yearly!$D:$AM, 10, FALSE), 1)</f>
        <v>0.25413035181847626</v>
      </c>
      <c r="G14" s="7">
        <f>$B14 * IFERROR(VLOOKUP("LULUCF|PM25|Minor restricted activity days", US_national_yearly!$D:$AM, 15, FALSE) / VLOOKUP("LULUCF|PM25|Minor restricted activity days", US_national_yearly!$D:$AM, 10, FALSE), 1)</f>
        <v>0.25503719435876554</v>
      </c>
      <c r="H14" s="7">
        <f>$B14 * IFERROR(VLOOKUP("LULUCF|PM25|Minor restricted activity days", US_national_yearly!$D:$AM, 16, FALSE) / VLOOKUP("LULUCF|PM25|Minor restricted activity days", US_national_yearly!$D:$AM, 10, FALSE), 1)</f>
        <v>0.25594403689905482</v>
      </c>
      <c r="I14" s="7">
        <f>$B14 * IFERROR(VLOOKUP("LULUCF|PM25|Minor restricted activity days", US_national_yearly!$D:$AM, 17, FALSE) / VLOOKUP("LULUCF|PM25|Minor restricted activity days", US_national_yearly!$D:$AM, 10, FALSE), 1)</f>
        <v>0.25749432237329839</v>
      </c>
      <c r="J14" s="7">
        <f>$B14 * IFERROR(VLOOKUP("LULUCF|PM25|Minor restricted activity days", US_national_yearly!$D:$AM, 18, FALSE) / VLOOKUP("LULUCF|PM25|Minor restricted activity days", US_national_yearly!$D:$AM, 10, FALSE), 1)</f>
        <v>0.25904460784754185</v>
      </c>
      <c r="K14" s="7">
        <f>$B14 * IFERROR(VLOOKUP("LULUCF|PM25|Minor restricted activity days", US_national_yearly!$D:$AM, 19, FALSE) / VLOOKUP("LULUCF|PM25|Minor restricted activity days", US_national_yearly!$D:$AM, 10, FALSE), 1)</f>
        <v>0.26059489332178543</v>
      </c>
      <c r="L14" s="7">
        <f>$B14 * IFERROR(VLOOKUP("LULUCF|PM25|Minor restricted activity days", US_national_yearly!$D:$AM, 20, FALSE) / VLOOKUP("LULUCF|PM25|Minor restricted activity days", US_national_yearly!$D:$AM, 10, FALSE), 1)</f>
        <v>0.26214517879602894</v>
      </c>
      <c r="M14" s="7">
        <f>$B14 * IFERROR(VLOOKUP("LULUCF|PM25|Minor restricted activity days", US_national_yearly!$D:$AM, 21, FALSE) / VLOOKUP("LULUCF|PM25|Minor restricted activity days", US_national_yearly!$D:$AM, 10, FALSE), 1)</f>
        <v>0.26369546427027246</v>
      </c>
      <c r="N14" s="7">
        <f>$B14 * IFERROR(VLOOKUP("LULUCF|PM25|Minor restricted activity days", US_national_yearly!$D:$AM, 22, FALSE) / VLOOKUP("LULUCF|PM25|Minor restricted activity days", US_national_yearly!$D:$AM, 10, FALSE), 1)</f>
        <v>0.26580726174748109</v>
      </c>
      <c r="O14" s="7">
        <f>$B14 * IFERROR(VLOOKUP("LULUCF|PM25|Minor restricted activity days", US_national_yearly!$D:$AM, 23, FALSE) / VLOOKUP("LULUCF|PM25|Minor restricted activity days", US_national_yearly!$D:$AM, 10, FALSE), 1)</f>
        <v>0.26791905922468973</v>
      </c>
      <c r="P14" s="7">
        <f>$B14 * IFERROR(VLOOKUP("LULUCF|PM25|Minor restricted activity days", US_national_yearly!$D:$AM, 24, FALSE) / VLOOKUP("LULUCF|PM25|Minor restricted activity days", US_national_yearly!$D:$AM, 10, FALSE), 1)</f>
        <v>0.27003085670189841</v>
      </c>
      <c r="Q14" s="7">
        <f>$B14 * IFERROR(VLOOKUP("LULUCF|PM25|Minor restricted activity days", US_national_yearly!$D:$AM, 25, FALSE) / VLOOKUP("LULUCF|PM25|Minor restricted activity days", US_national_yearly!$D:$AM, 10, FALSE), 1)</f>
        <v>0.27214265417910705</v>
      </c>
      <c r="R14" s="7">
        <f>$B14 * IFERROR(VLOOKUP("LULUCF|PM25|Minor restricted activity days", US_national_yearly!$D:$AM, 26, FALSE) / VLOOKUP("LULUCF|PM25|Minor restricted activity days", US_national_yearly!$D:$AM, 10, FALSE), 1)</f>
        <v>0.27425445165631562</v>
      </c>
      <c r="S14" s="7">
        <f>$B14 * IFERROR(VLOOKUP("LULUCF|PM25|Minor restricted activity days", US_national_yearly!$D:$AM, 27, FALSE) / VLOOKUP("LULUCF|PM25|Minor restricted activity days", US_national_yearly!$D:$AM, 10, FALSE), 1)</f>
        <v>0.2763807923907573</v>
      </c>
      <c r="T14" s="7">
        <f>$B14 * IFERROR(VLOOKUP("LULUCF|PM25|Minor restricted activity days", US_national_yearly!$D:$AM, 28, FALSE) / VLOOKUP("LULUCF|PM25|Minor restricted activity days", US_national_yearly!$D:$AM, 10, FALSE), 1)</f>
        <v>0.27850713312519898</v>
      </c>
      <c r="U14" s="7">
        <f>$B14 * IFERROR(VLOOKUP("LULUCF|PM25|Minor restricted activity days", US_national_yearly!$D:$AM, 29, FALSE) / VLOOKUP("LULUCF|PM25|Minor restricted activity days", US_national_yearly!$D:$AM, 10, FALSE), 1)</f>
        <v>0.2806334738596406</v>
      </c>
      <c r="V14" s="7">
        <f>$B14 * IFERROR(VLOOKUP("LULUCF|PM25|Minor restricted activity days", US_national_yearly!$D:$AM, 30, FALSE) / VLOOKUP("LULUCF|PM25|Minor restricted activity days", US_national_yearly!$D:$AM, 10, FALSE), 1)</f>
        <v>0.28275981459408228</v>
      </c>
      <c r="W14" s="7">
        <f>$B14 * IFERROR(VLOOKUP("LULUCF|PM25|Minor restricted activity days", US_national_yearly!$D:$AM, 31, FALSE) / VLOOKUP("LULUCF|PM25|Minor restricted activity days", US_national_yearly!$D:$AM, 10, FALSE), 1)</f>
        <v>0.28488615532852396</v>
      </c>
      <c r="X14" s="7">
        <f>$B14 * IFERROR(VLOOKUP("LULUCF|PM25|Minor restricted activity days", US_national_yearly!$D:$AM, 32, FALSE) / VLOOKUP("LULUCF|PM25|Minor restricted activity days", US_national_yearly!$D:$AM, 10, FALSE), 1)</f>
        <v>0.28673203299996713</v>
      </c>
      <c r="Y14" s="7">
        <f>$B14 * IFERROR(VLOOKUP("LULUCF|PM25|Minor restricted activity days", US_national_yearly!$D:$AM, 33, FALSE) / VLOOKUP("LULUCF|PM25|Minor restricted activity days", US_national_yearly!$D:$AM, 10, FALSE), 1)</f>
        <v>0.28857791067141036</v>
      </c>
      <c r="Z14" s="7">
        <f>$B14 * IFERROR(VLOOKUP("LULUCF|PM25|Minor restricted activity days", US_national_yearly!$D:$AM, 34, FALSE) / VLOOKUP("LULUCF|PM25|Minor restricted activity days", US_national_yearly!$D:$AM, 10, FALSE), 1)</f>
        <v>0.29042378834285354</v>
      </c>
      <c r="AA14" s="7">
        <f>$B14 * IFERROR(VLOOKUP("LULUCF|PM25|Minor restricted activity days", US_national_yearly!$D:$AM, 35, FALSE) / VLOOKUP("LULUCF|PM25|Minor restricted activity days", US_national_yearly!$D:$AM, 10, FALSE), 1)</f>
        <v>0.29226966601429671</v>
      </c>
      <c r="AB14" s="7">
        <f>$B14 * IFERROR(VLOOKUP("LULUCF|PM25|Minor restricted activity days", US_national_yearly!$D:$AM, 36, FALSE) / VLOOKUP("LULUCF|PM25|Minor restricted activity days", US_national_yearly!$D:$AM, 10, FALSE), 1)</f>
        <v>0.29411554368573989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4.2817406744519254E-2</v>
      </c>
      <c r="C15" s="7">
        <f>$B15 * IFERROR(VLOOKUP("LULUCF|PM25|Work loss days", US_national_yearly!$D:$AM, 11, FALSE) / VLOOKUP("LULUCF|PM25|Work loss days", US_national_yearly!$D:$AM, 10, FALSE), 1)</f>
        <v>4.2950125283847826E-2</v>
      </c>
      <c r="D15" s="7">
        <f>$B15 * IFERROR(VLOOKUP("LULUCF|PM25|Work loss days", US_national_yearly!$D:$AM, 12, FALSE) / VLOOKUP("LULUCF|PM25|Work loss days", US_national_yearly!$D:$AM, 10, FALSE), 1)</f>
        <v>4.3082843823176405E-2</v>
      </c>
      <c r="E15" s="7">
        <f>$B15 * IFERROR(VLOOKUP("LULUCF|PM25|Work loss days", US_national_yearly!$D:$AM, 13, FALSE) / VLOOKUP("LULUCF|PM25|Work loss days", US_national_yearly!$D:$AM, 10, FALSE), 1)</f>
        <v>4.321556236250497E-2</v>
      </c>
      <c r="F15" s="7">
        <f>$B15 * IFERROR(VLOOKUP("LULUCF|PM25|Work loss days", US_national_yearly!$D:$AM, 14, FALSE) / VLOOKUP("LULUCF|PM25|Work loss days", US_national_yearly!$D:$AM, 10, FALSE), 1)</f>
        <v>4.3348280901833541E-2</v>
      </c>
      <c r="G15" s="7">
        <f>$B15 * IFERROR(VLOOKUP("LULUCF|PM25|Work loss days", US_national_yearly!$D:$AM, 15, FALSE) / VLOOKUP("LULUCF|PM25|Work loss days", US_national_yearly!$D:$AM, 10, FALSE), 1)</f>
        <v>4.3522283375790581E-2</v>
      </c>
      <c r="H15" s="7">
        <f>$B15 * IFERROR(VLOOKUP("LULUCF|PM25|Work loss days", US_national_yearly!$D:$AM, 16, FALSE) / VLOOKUP("LULUCF|PM25|Work loss days", US_national_yearly!$D:$AM, 10, FALSE), 1)</f>
        <v>4.3696285849747635E-2</v>
      </c>
      <c r="I15" s="7">
        <f>$B15 * IFERROR(VLOOKUP("LULUCF|PM25|Work loss days", US_national_yearly!$D:$AM, 17, FALSE) / VLOOKUP("LULUCF|PM25|Work loss days", US_national_yearly!$D:$AM, 10, FALSE), 1)</f>
        <v>4.3952523630295448E-2</v>
      </c>
      <c r="J15" s="7">
        <f>$B15 * IFERROR(VLOOKUP("LULUCF|PM25|Work loss days", US_national_yearly!$D:$AM, 18, FALSE) / VLOOKUP("LULUCF|PM25|Work loss days", US_national_yearly!$D:$AM, 10, FALSE), 1)</f>
        <v>4.4208761410843261E-2</v>
      </c>
      <c r="K15" s="7">
        <f>$B15 * IFERROR(VLOOKUP("LULUCF|PM25|Work loss days", US_national_yearly!$D:$AM, 19, FALSE) / VLOOKUP("LULUCF|PM25|Work loss days", US_national_yearly!$D:$AM, 10, FALSE), 1)</f>
        <v>4.4464999191391082E-2</v>
      </c>
      <c r="L15" s="7">
        <f>$B15 * IFERROR(VLOOKUP("LULUCF|PM25|Work loss days", US_national_yearly!$D:$AM, 20, FALSE) / VLOOKUP("LULUCF|PM25|Work loss days", US_national_yearly!$D:$AM, 10, FALSE), 1)</f>
        <v>4.4721236971938895E-2</v>
      </c>
      <c r="M15" s="7">
        <f>$B15 * IFERROR(VLOOKUP("LULUCF|PM25|Work loss days", US_national_yearly!$D:$AM, 21, FALSE) / VLOOKUP("LULUCF|PM25|Work loss days", US_national_yearly!$D:$AM, 10, FALSE), 1)</f>
        <v>4.4977474752486708E-2</v>
      </c>
      <c r="N15" s="7">
        <f>$B15 * IFERROR(VLOOKUP("LULUCF|PM25|Work loss days", US_national_yearly!$D:$AM, 22, FALSE) / VLOOKUP("LULUCF|PM25|Work loss days", US_national_yearly!$D:$AM, 10, FALSE), 1)</f>
        <v>4.5299969393636536E-2</v>
      </c>
      <c r="O15" s="7">
        <f>$B15 * IFERROR(VLOOKUP("LULUCF|PM25|Work loss days", US_national_yearly!$D:$AM, 23, FALSE) / VLOOKUP("LULUCF|PM25|Work loss days", US_national_yearly!$D:$AM, 10, FALSE), 1)</f>
        <v>4.5622464034786356E-2</v>
      </c>
      <c r="P15" s="7">
        <f>$B15 * IFERROR(VLOOKUP("LULUCF|PM25|Work loss days", US_national_yearly!$D:$AM, 24, FALSE) / VLOOKUP("LULUCF|PM25|Work loss days", US_national_yearly!$D:$AM, 10, FALSE), 1)</f>
        <v>4.5944958675936183E-2</v>
      </c>
      <c r="Q15" s="7">
        <f>$B15 * IFERROR(VLOOKUP("LULUCF|PM25|Work loss days", US_national_yearly!$D:$AM, 25, FALSE) / VLOOKUP("LULUCF|PM25|Work loss days", US_national_yearly!$D:$AM, 10, FALSE), 1)</f>
        <v>4.6267453317086003E-2</v>
      </c>
      <c r="R15" s="7">
        <f>$B15 * IFERROR(VLOOKUP("LULUCF|PM25|Work loss days", US_national_yearly!$D:$AM, 26, FALSE) / VLOOKUP("LULUCF|PM25|Work loss days", US_national_yearly!$D:$AM, 10, FALSE), 1)</f>
        <v>4.6589947958235831E-2</v>
      </c>
      <c r="S15" s="7">
        <f>$B15 * IFERROR(VLOOKUP("LULUCF|PM25|Work loss days", US_national_yearly!$D:$AM, 27, FALSE) / VLOOKUP("LULUCF|PM25|Work loss days", US_national_yearly!$D:$AM, 10, FALSE), 1)</f>
        <v>4.6946640799757369E-2</v>
      </c>
      <c r="T15" s="7">
        <f>$B15 * IFERROR(VLOOKUP("LULUCF|PM25|Work loss days", US_national_yearly!$D:$AM, 28, FALSE) / VLOOKUP("LULUCF|PM25|Work loss days", US_national_yearly!$D:$AM, 10, FALSE), 1)</f>
        <v>4.7303333641278915E-2</v>
      </c>
      <c r="U15" s="7">
        <f>$B15 * IFERROR(VLOOKUP("LULUCF|PM25|Work loss days", US_national_yearly!$D:$AM, 29, FALSE) / VLOOKUP("LULUCF|PM25|Work loss days", US_national_yearly!$D:$AM, 10, FALSE), 1)</f>
        <v>4.7660026482800447E-2</v>
      </c>
      <c r="V15" s="7">
        <f>$B15 * IFERROR(VLOOKUP("LULUCF|PM25|Work loss days", US_national_yearly!$D:$AM, 30, FALSE) / VLOOKUP("LULUCF|PM25|Work loss days", US_national_yearly!$D:$AM, 10, FALSE), 1)</f>
        <v>4.8016719324321992E-2</v>
      </c>
      <c r="W15" s="7">
        <f>$B15 * IFERROR(VLOOKUP("LULUCF|PM25|Work loss days", US_national_yearly!$D:$AM, 31, FALSE) / VLOOKUP("LULUCF|PM25|Work loss days", US_national_yearly!$D:$AM, 10, FALSE), 1)</f>
        <v>4.8373412165843531E-2</v>
      </c>
      <c r="X15" s="7">
        <f>$B15 * IFERROR(VLOOKUP("LULUCF|PM25|Work loss days", US_national_yearly!$D:$AM, 32, FALSE) / VLOOKUP("LULUCF|PM25|Work loss days", US_national_yearly!$D:$AM, 10, FALSE), 1)</f>
        <v>4.8689894917624578E-2</v>
      </c>
      <c r="Y15" s="7">
        <f>$B15 * IFERROR(VLOOKUP("LULUCF|PM25|Work loss days", US_national_yearly!$D:$AM, 33, FALSE) / VLOOKUP("LULUCF|PM25|Work loss days", US_national_yearly!$D:$AM, 10, FALSE), 1)</f>
        <v>4.9006377669405618E-2</v>
      </c>
      <c r="Z15" s="7">
        <f>$B15 * IFERROR(VLOOKUP("LULUCF|PM25|Work loss days", US_national_yearly!$D:$AM, 34, FALSE) / VLOOKUP("LULUCF|PM25|Work loss days", US_national_yearly!$D:$AM, 10, FALSE), 1)</f>
        <v>4.9322860421186672E-2</v>
      </c>
      <c r="AA15" s="7">
        <f>$B15 * IFERROR(VLOOKUP("LULUCF|PM25|Work loss days", US_national_yearly!$D:$AM, 35, FALSE) / VLOOKUP("LULUCF|PM25|Work loss days", US_national_yearly!$D:$AM, 10, FALSE), 1)</f>
        <v>4.9639343172967726E-2</v>
      </c>
      <c r="AB15" s="7">
        <f>$B15 * IFERROR(VLOOKUP("LULUCF|PM25|Work loss days", US_national_yearly!$D:$AM, 36, FALSE) / VLOOKUP("LULUCF|PM25|Work loss days", US_national_yearly!$D:$AM, 10, FALSE), 1)</f>
        <v>4.9955825924748773E-2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7.7291736060381214E-5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7.9601267030695799E-5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8.1910798001010412E-5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8.4220328971325011E-5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8.652985994163961E-5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8.8741978067188556E-5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9.0954096192737542E-5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9.2846021063860669E-5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9.4737945934983783E-5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9.662987080610691E-5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9.852179567723005E-5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1.0041372054835318E-4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1.0167511005509795E-4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1.0293649956184273E-4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1.041978890685875E-4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1.054592785753323E-4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1.0672066808207707E-4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1.0738806089581752E-4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1.0805545370955794E-4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1.0872284652329835E-4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1.0939023933703879E-4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1.1005763215077921E-4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1.105069297718544E-4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1.1095622739292959E-4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1.1140552501400477E-4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1.1185482263507997E-4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1.1230412025615516E-4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6.8079953885367462E-4</v>
      </c>
      <c r="C2" s="7">
        <f>$B2 * IFERROR(VLOOKUP("LULUCF|NOx|Premature mortality", US_national_yearly!$D:$AM, 11, FALSE) / VLOOKUP("LULUCF|NOx|Premature mortality", US_national_yearly!$D:$AM, 10, FALSE), 1)</f>
        <v>6.9079933335578641E-4</v>
      </c>
      <c r="D2" s="7">
        <f>$B2 * IFERROR(VLOOKUP("LULUCF|NOx|Premature mortality", US_national_yearly!$D:$AM, 12, FALSE) / VLOOKUP("LULUCF|NOx|Premature mortality", US_national_yearly!$D:$AM, 10, FALSE), 1)</f>
        <v>7.0079912785789809E-4</v>
      </c>
      <c r="E2" s="7">
        <f>$B2 * IFERROR(VLOOKUP("LULUCF|NOx|Premature mortality", US_national_yearly!$D:$AM, 13, FALSE) / VLOOKUP("LULUCF|NOx|Premature mortality", US_national_yearly!$D:$AM, 10, FALSE), 1)</f>
        <v>7.1079892236000988E-4</v>
      </c>
      <c r="F2" s="7">
        <f>$B2 * IFERROR(VLOOKUP("LULUCF|NOx|Premature mortality", US_national_yearly!$D:$AM, 14, FALSE) / VLOOKUP("LULUCF|NOx|Premature mortality", US_national_yearly!$D:$AM, 10, FALSE), 1)</f>
        <v>7.2079871686212167E-4</v>
      </c>
      <c r="G2" s="7">
        <f>$B2 * IFERROR(VLOOKUP("LULUCF|NOx|Premature mortality", US_national_yearly!$D:$AM, 15, FALSE) / VLOOKUP("LULUCF|NOx|Premature mortality", US_national_yearly!$D:$AM, 10, FALSE), 1)</f>
        <v>7.3876071198137304E-4</v>
      </c>
      <c r="H2" s="7">
        <f>$B2 * IFERROR(VLOOKUP("LULUCF|NOx|Premature mortality", US_national_yearly!$D:$AM, 16, FALSE) / VLOOKUP("LULUCF|NOx|Premature mortality", US_national_yearly!$D:$AM, 10, FALSE), 1)</f>
        <v>7.5672270710062462E-4</v>
      </c>
      <c r="I2" s="7">
        <f>$B2 * IFERROR(VLOOKUP("LULUCF|NOx|Premature mortality", US_national_yearly!$D:$AM, 17, FALSE) / VLOOKUP("LULUCF|NOx|Premature mortality", US_national_yearly!$D:$AM, 10, FALSE), 1)</f>
        <v>7.6831751566463059E-4</v>
      </c>
      <c r="J2" s="7">
        <f>$B2 * IFERROR(VLOOKUP("LULUCF|NOx|Premature mortality", US_national_yearly!$D:$AM, 18, FALSE) / VLOOKUP("LULUCF|NOx|Premature mortality", US_national_yearly!$D:$AM, 10, FALSE), 1)</f>
        <v>7.7991232422863668E-4</v>
      </c>
      <c r="K2" s="7">
        <f>$B2 * IFERROR(VLOOKUP("LULUCF|NOx|Premature mortality", US_national_yearly!$D:$AM, 19, FALSE) / VLOOKUP("LULUCF|NOx|Premature mortality", US_national_yearly!$D:$AM, 10, FALSE), 1)</f>
        <v>7.9150713279264255E-4</v>
      </c>
      <c r="L2" s="7">
        <f>$B2 * IFERROR(VLOOKUP("LULUCF|NOx|Premature mortality", US_national_yearly!$D:$AM, 20, FALSE) / VLOOKUP("LULUCF|NOx|Premature mortality", US_national_yearly!$D:$AM, 10, FALSE), 1)</f>
        <v>8.0310194135664852E-4</v>
      </c>
      <c r="M2" s="7">
        <f>$B2 * IFERROR(VLOOKUP("LULUCF|NOx|Premature mortality", US_national_yearly!$D:$AM, 21, FALSE) / VLOOKUP("LULUCF|NOx|Premature mortality", US_national_yearly!$D:$AM, 10, FALSE), 1)</f>
        <v>8.1469674992065461E-4</v>
      </c>
      <c r="N2" s="7">
        <f>$B2 * IFERROR(VLOOKUP("LULUCF|NOx|Premature mortality", US_national_yearly!$D:$AM, 22, FALSE) / VLOOKUP("LULUCF|NOx|Premature mortality", US_national_yearly!$D:$AM, 10, FALSE), 1)</f>
        <v>8.2328613902954526E-4</v>
      </c>
      <c r="O2" s="7">
        <f>$B2 * IFERROR(VLOOKUP("LULUCF|NOx|Premature mortality", US_national_yearly!$D:$AM, 23, FALSE) / VLOOKUP("LULUCF|NOx|Premature mortality", US_national_yearly!$D:$AM, 10, FALSE), 1)</f>
        <v>8.3187552813843591E-4</v>
      </c>
      <c r="P2" s="7">
        <f>$B2 * IFERROR(VLOOKUP("LULUCF|NOx|Premature mortality", US_national_yearly!$D:$AM, 24, FALSE) / VLOOKUP("LULUCF|NOx|Premature mortality", US_national_yearly!$D:$AM, 10, FALSE), 1)</f>
        <v>8.4046491724732667E-4</v>
      </c>
      <c r="Q2" s="7">
        <f>$B2 * IFERROR(VLOOKUP("LULUCF|NOx|Premature mortality", US_national_yearly!$D:$AM, 25, FALSE) / VLOOKUP("LULUCF|NOx|Premature mortality", US_national_yearly!$D:$AM, 10, FALSE), 1)</f>
        <v>8.4905430635621743E-4</v>
      </c>
      <c r="R2" s="7">
        <f>$B2 * IFERROR(VLOOKUP("LULUCF|NOx|Premature mortality", US_national_yearly!$D:$AM, 26, FALSE) / VLOOKUP("LULUCF|NOx|Premature mortality", US_national_yearly!$D:$AM, 10, FALSE), 1)</f>
        <v>8.5764369546510808E-4</v>
      </c>
      <c r="S2" s="7">
        <f>$B2 * IFERROR(VLOOKUP("LULUCF|NOx|Premature mortality", US_national_yearly!$D:$AM, 27, FALSE) / VLOOKUP("LULUCF|NOx|Premature mortality", US_national_yearly!$D:$AM, 10, FALSE), 1)</f>
        <v>8.6154765930909782E-4</v>
      </c>
      <c r="T2" s="7">
        <f>$B2 * IFERROR(VLOOKUP("LULUCF|NOx|Premature mortality", US_national_yearly!$D:$AM, 28, FALSE) / VLOOKUP("LULUCF|NOx|Premature mortality", US_national_yearly!$D:$AM, 10, FALSE), 1)</f>
        <v>8.6545162315308766E-4</v>
      </c>
      <c r="U2" s="7">
        <f>$B2 * IFERROR(VLOOKUP("LULUCF|NOx|Premature mortality", US_national_yearly!$D:$AM, 29, FALSE) / VLOOKUP("LULUCF|NOx|Premature mortality", US_national_yearly!$D:$AM, 10, FALSE), 1)</f>
        <v>8.6935558699707729E-4</v>
      </c>
      <c r="V2" s="7">
        <f>$B2 * IFERROR(VLOOKUP("LULUCF|NOx|Premature mortality", US_national_yearly!$D:$AM, 30, FALSE) / VLOOKUP("LULUCF|NOx|Premature mortality", US_national_yearly!$D:$AM, 10, FALSE), 1)</f>
        <v>8.7325955084106702E-4</v>
      </c>
      <c r="W2" s="7">
        <f>$B2 * IFERROR(VLOOKUP("LULUCF|NOx|Premature mortality", US_national_yearly!$D:$AM, 31, FALSE) / VLOOKUP("LULUCF|NOx|Premature mortality", US_national_yearly!$D:$AM, 10, FALSE), 1)</f>
        <v>8.7716351468505687E-4</v>
      </c>
      <c r="X2" s="7">
        <f>$B2 * IFERROR(VLOOKUP("LULUCF|NOx|Premature mortality", US_national_yearly!$D:$AM, 32, FALSE) / VLOOKUP("LULUCF|NOx|Premature mortality", US_national_yearly!$D:$AM, 10, FALSE), 1)</f>
        <v>8.7729874575171948E-4</v>
      </c>
      <c r="Y2" s="7">
        <f>$B2 * IFERROR(VLOOKUP("LULUCF|NOx|Premature mortality", US_national_yearly!$D:$AM, 33, FALSE) / VLOOKUP("LULUCF|NOx|Premature mortality", US_national_yearly!$D:$AM, 10, FALSE), 1)</f>
        <v>8.7743397681838209E-4</v>
      </c>
      <c r="Z2" s="7">
        <f>$B2 * IFERROR(VLOOKUP("LULUCF|NOx|Premature mortality", US_national_yearly!$D:$AM, 34, FALSE) / VLOOKUP("LULUCF|NOx|Premature mortality", US_national_yearly!$D:$AM, 10, FALSE), 1)</f>
        <v>8.775692078850446E-4</v>
      </c>
      <c r="AA2" s="7">
        <f>$B2 * IFERROR(VLOOKUP("LULUCF|NOx|Premature mortality", US_national_yearly!$D:$AM, 35, FALSE) / VLOOKUP("LULUCF|NOx|Premature mortality", US_national_yearly!$D:$AM, 10, FALSE), 1)</f>
        <v>8.7770443895170743E-4</v>
      </c>
      <c r="AB2" s="7">
        <f>$B2 * IFERROR(VLOOKUP("LULUCF|NOx|Premature mortality", US_national_yearly!$D:$AM, 36, FALSE) / VLOOKUP("LULUCF|NOx|Premature mortality", US_national_yearly!$D:$AM, 10, FALSE), 1)</f>
        <v>8.7783967001837005E-4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2.2287519966427893E-6</v>
      </c>
      <c r="C3" s="7">
        <f>$B3 * IFERROR(VLOOKUP("LULUCF|NOx|Infant mortality", US_national_yearly!$D:$AM, 11, FALSE) / VLOOKUP("LULUCF|NOx|Infant mortality", US_national_yearly!$D:$AM, 10, FALSE), 1)</f>
        <v>2.2075174546525004E-6</v>
      </c>
      <c r="D3" s="7">
        <f>$B3 * IFERROR(VLOOKUP("LULUCF|NOx|Infant mortality", US_national_yearly!$D:$AM, 12, FALSE) / VLOOKUP("LULUCF|NOx|Infant mortality", US_national_yearly!$D:$AM, 10, FALSE), 1)</f>
        <v>2.1862829126622112E-6</v>
      </c>
      <c r="E3" s="7">
        <f>$B3 * IFERROR(VLOOKUP("LULUCF|NOx|Infant mortality", US_national_yearly!$D:$AM, 13, FALSE) / VLOOKUP("LULUCF|NOx|Infant mortality", US_national_yearly!$D:$AM, 10, FALSE), 1)</f>
        <v>2.1650483706719224E-6</v>
      </c>
      <c r="F3" s="7">
        <f>$B3 * IFERROR(VLOOKUP("LULUCF|NOx|Infant mortality", US_national_yearly!$D:$AM, 14, FALSE) / VLOOKUP("LULUCF|NOx|Infant mortality", US_national_yearly!$D:$AM, 10, FALSE), 1)</f>
        <v>2.1438138286816331E-6</v>
      </c>
      <c r="G3" s="7">
        <f>$B3 * IFERROR(VLOOKUP("LULUCF|NOx|Infant mortality", US_national_yearly!$D:$AM, 15, FALSE) / VLOOKUP("LULUCF|NOx|Infant mortality", US_national_yearly!$D:$AM, 10, FALSE), 1)</f>
        <v>1.4231694831123343E-6</v>
      </c>
      <c r="H3" s="7">
        <f>$B3 * IFERROR(VLOOKUP("LULUCF|NOx|Infant mortality", US_national_yearly!$D:$AM, 16, FALSE) / VLOOKUP("LULUCF|NOx|Infant mortality", US_national_yearly!$D:$AM, 10, FALSE), 1)</f>
        <v>7.0252513754303554E-7</v>
      </c>
      <c r="I3" s="7">
        <f>$B3 * IFERROR(VLOOKUP("LULUCF|NOx|Infant mortality", US_national_yearly!$D:$AM, 17, FALSE) / VLOOKUP("LULUCF|NOx|Infant mortality", US_national_yearly!$D:$AM, 10, FALSE), 1)</f>
        <v>6.9755761404687161E-7</v>
      </c>
      <c r="J3" s="7">
        <f>$B3 * IFERROR(VLOOKUP("LULUCF|NOx|Infant mortality", US_national_yearly!$D:$AM, 18, FALSE) / VLOOKUP("LULUCF|NOx|Infant mortality", US_national_yearly!$D:$AM, 10, FALSE), 1)</f>
        <v>6.9259009055070746E-7</v>
      </c>
      <c r="K3" s="7">
        <f>$B3 * IFERROR(VLOOKUP("LULUCF|NOx|Infant mortality", US_national_yearly!$D:$AM, 19, FALSE) / VLOOKUP("LULUCF|NOx|Infant mortality", US_national_yearly!$D:$AM, 10, FALSE), 1)</f>
        <v>6.8762256705454353E-7</v>
      </c>
      <c r="L3" s="7">
        <f>$B3 * IFERROR(VLOOKUP("LULUCF|NOx|Infant mortality", US_national_yearly!$D:$AM, 20, FALSE) / VLOOKUP("LULUCF|NOx|Infant mortality", US_national_yearly!$D:$AM, 10, FALSE), 1)</f>
        <v>6.8265504355837959E-7</v>
      </c>
      <c r="M3" s="7">
        <f>$B3 * IFERROR(VLOOKUP("LULUCF|NOx|Infant mortality", US_national_yearly!$D:$AM, 21, FALSE) / VLOOKUP("LULUCF|NOx|Infant mortality", US_national_yearly!$D:$AM, 10, FALSE), 1)</f>
        <v>6.7768752006221556E-7</v>
      </c>
      <c r="N3" s="7">
        <f>$B3 * IFERROR(VLOOKUP("LULUCF|NOx|Infant mortality", US_national_yearly!$D:$AM, 22, FALSE) / VLOOKUP("LULUCF|NOx|Infant mortality", US_national_yearly!$D:$AM, 10, FALSE), 1)</f>
        <v>6.7439028566996163E-7</v>
      </c>
      <c r="O3" s="7">
        <f>$B3 * IFERROR(VLOOKUP("LULUCF|NOx|Infant mortality", US_national_yearly!$D:$AM, 23, FALSE) / VLOOKUP("LULUCF|NOx|Infant mortality", US_national_yearly!$D:$AM, 10, FALSE), 1)</f>
        <v>6.7109305127770781E-7</v>
      </c>
      <c r="P3" s="7">
        <f>$B3 * IFERROR(VLOOKUP("LULUCF|NOx|Infant mortality", US_national_yearly!$D:$AM, 24, FALSE) / VLOOKUP("LULUCF|NOx|Infant mortality", US_national_yearly!$D:$AM, 10, FALSE), 1)</f>
        <v>6.6779581688545399E-7</v>
      </c>
      <c r="Q3" s="7">
        <f>$B3 * IFERROR(VLOOKUP("LULUCF|NOx|Infant mortality", US_national_yearly!$D:$AM, 25, FALSE) / VLOOKUP("LULUCF|NOx|Infant mortality", US_national_yearly!$D:$AM, 10, FALSE), 1)</f>
        <v>6.6449858249320007E-7</v>
      </c>
      <c r="R3" s="7">
        <f>$B3 * IFERROR(VLOOKUP("LULUCF|NOx|Infant mortality", US_national_yearly!$D:$AM, 26, FALSE) / VLOOKUP("LULUCF|NOx|Infant mortality", US_national_yearly!$D:$AM, 10, FALSE), 1)</f>
        <v>6.6120134810094625E-7</v>
      </c>
      <c r="S3" s="7">
        <f>$B3 * IFERROR(VLOOKUP("LULUCF|NOx|Infant mortality", US_national_yearly!$D:$AM, 27, FALSE) / VLOOKUP("LULUCF|NOx|Infant mortality", US_national_yearly!$D:$AM, 10, FALSE), 1)</f>
        <v>6.5723754802262962E-7</v>
      </c>
      <c r="T3" s="7">
        <f>$B3 * IFERROR(VLOOKUP("LULUCF|NOx|Infant mortality", US_national_yearly!$D:$AM, 28, FALSE) / VLOOKUP("LULUCF|NOx|Infant mortality", US_national_yearly!$D:$AM, 10, FALSE), 1)</f>
        <v>6.5327374794431311E-7</v>
      </c>
      <c r="U3" s="7">
        <f>$B3 * IFERROR(VLOOKUP("LULUCF|NOx|Infant mortality", US_national_yearly!$D:$AM, 29, FALSE) / VLOOKUP("LULUCF|NOx|Infant mortality", US_national_yearly!$D:$AM, 10, FALSE), 1)</f>
        <v>6.4930994786599648E-7</v>
      </c>
      <c r="V3" s="7">
        <f>$B3 * IFERROR(VLOOKUP("LULUCF|NOx|Infant mortality", US_national_yearly!$D:$AM, 30, FALSE) / VLOOKUP("LULUCF|NOx|Infant mortality", US_national_yearly!$D:$AM, 10, FALSE), 1)</f>
        <v>6.4534614778767996E-7</v>
      </c>
      <c r="W3" s="7">
        <f>$B3 * IFERROR(VLOOKUP("LULUCF|NOx|Infant mortality", US_national_yearly!$D:$AM, 31, FALSE) / VLOOKUP("LULUCF|NOx|Infant mortality", US_national_yearly!$D:$AM, 10, FALSE), 1)</f>
        <v>6.4138234770936334E-7</v>
      </c>
      <c r="X3" s="7">
        <f>$B3 * IFERROR(VLOOKUP("LULUCF|NOx|Infant mortality", US_national_yearly!$D:$AM, 32, FALSE) / VLOOKUP("LULUCF|NOx|Infant mortality", US_national_yearly!$D:$AM, 10, FALSE), 1)</f>
        <v>6.3718449174487779E-7</v>
      </c>
      <c r="Y3" s="7">
        <f>$B3 * IFERROR(VLOOKUP("LULUCF|NOx|Infant mortality", US_national_yearly!$D:$AM, 33, FALSE) / VLOOKUP("LULUCF|NOx|Infant mortality", US_national_yearly!$D:$AM, 10, FALSE), 1)</f>
        <v>6.3298663578039202E-7</v>
      </c>
      <c r="Z3" s="7">
        <f>$B3 * IFERROR(VLOOKUP("LULUCF|NOx|Infant mortality", US_national_yearly!$D:$AM, 34, FALSE) / VLOOKUP("LULUCF|NOx|Infant mortality", US_national_yearly!$D:$AM, 10, FALSE), 1)</f>
        <v>6.2878877981590626E-7</v>
      </c>
      <c r="AA3" s="7">
        <f>$B3 * IFERROR(VLOOKUP("LULUCF|NOx|Infant mortality", US_national_yearly!$D:$AM, 35, FALSE) / VLOOKUP("LULUCF|NOx|Infant mortality", US_national_yearly!$D:$AM, 10, FALSE), 1)</f>
        <v>6.245909238514206E-7</v>
      </c>
      <c r="AB3" s="7">
        <f>$B3 * IFERROR(VLOOKUP("LULUCF|NOx|Infant mortality", US_national_yearly!$D:$AM, 36, FALSE) / VLOOKUP("LULUCF|NOx|Infant mortality", US_national_yearly!$D:$AM, 10, FALSE), 1)</f>
        <v>6.2039306788693484E-7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2.0022274686552497E-3</v>
      </c>
      <c r="C6" s="7">
        <f>$B6 * IFERROR(VLOOKUP("LULUCF|NOx|Asthma symptoms cough", US_national_yearly!$D:$AM, 11, FALSE) / VLOOKUP("LULUCF|NOx|Asthma symptoms cough", US_national_yearly!$D:$AM, 10, FALSE), 1)</f>
        <v>2.0296011916640976E-3</v>
      </c>
      <c r="D6" s="7">
        <f>$B6 * IFERROR(VLOOKUP("LULUCF|NOx|Asthma symptoms cough", US_national_yearly!$D:$AM, 12, FALSE) / VLOOKUP("LULUCF|NOx|Asthma symptoms cough", US_national_yearly!$D:$AM, 10, FALSE), 1)</f>
        <v>2.0569749146729451E-3</v>
      </c>
      <c r="E6" s="7">
        <f>$B6 * IFERROR(VLOOKUP("LULUCF|NOx|Asthma symptoms cough", US_national_yearly!$D:$AM, 13, FALSE) / VLOOKUP("LULUCF|NOx|Asthma symptoms cough", US_national_yearly!$D:$AM, 10, FALSE), 1)</f>
        <v>2.084348637681793E-3</v>
      </c>
      <c r="F6" s="7">
        <f>$B6 * IFERROR(VLOOKUP("LULUCF|NOx|Asthma symptoms cough", US_national_yearly!$D:$AM, 14, FALSE) / VLOOKUP("LULUCF|NOx|Asthma symptoms cough", US_national_yearly!$D:$AM, 10, FALSE), 1)</f>
        <v>2.1117223606906405E-3</v>
      </c>
      <c r="G6" s="7">
        <f>$B6 * IFERROR(VLOOKUP("LULUCF|NOx|Asthma symptoms cough", US_national_yearly!$D:$AM, 15, FALSE) / VLOOKUP("LULUCF|NOx|Asthma symptoms cough", US_national_yearly!$D:$AM, 10, FALSE), 1)</f>
        <v>2.133576453293845E-3</v>
      </c>
      <c r="H6" s="7">
        <f>$B6 * IFERROR(VLOOKUP("LULUCF|NOx|Asthma symptoms cough", US_national_yearly!$D:$AM, 16, FALSE) / VLOOKUP("LULUCF|NOx|Asthma symptoms cough", US_national_yearly!$D:$AM, 10, FALSE), 1)</f>
        <v>2.1554305458970501E-3</v>
      </c>
      <c r="I6" s="7">
        <f>$B6 * IFERROR(VLOOKUP("LULUCF|NOx|Asthma symptoms cough", US_national_yearly!$D:$AM, 17, FALSE) / VLOOKUP("LULUCF|NOx|Asthma symptoms cough", US_national_yearly!$D:$AM, 10, FALSE), 1)</f>
        <v>2.1629524121504003E-3</v>
      </c>
      <c r="J6" s="7">
        <f>$B6 * IFERROR(VLOOKUP("LULUCF|NOx|Asthma symptoms cough", US_national_yearly!$D:$AM, 18, FALSE) / VLOOKUP("LULUCF|NOx|Asthma symptoms cough", US_national_yearly!$D:$AM, 10, FALSE), 1)</f>
        <v>2.1704742784037505E-3</v>
      </c>
      <c r="K6" s="7">
        <f>$B6 * IFERROR(VLOOKUP("LULUCF|NOx|Asthma symptoms cough", US_national_yearly!$D:$AM, 19, FALSE) / VLOOKUP("LULUCF|NOx|Asthma symptoms cough", US_national_yearly!$D:$AM, 10, FALSE), 1)</f>
        <v>2.1779961446571007E-3</v>
      </c>
      <c r="L6" s="7">
        <f>$B6 * IFERROR(VLOOKUP("LULUCF|NOx|Asthma symptoms cough", US_national_yearly!$D:$AM, 20, FALSE) / VLOOKUP("LULUCF|NOx|Asthma symptoms cough", US_national_yearly!$D:$AM, 10, FALSE), 1)</f>
        <v>2.1855180109104509E-3</v>
      </c>
      <c r="M6" s="7">
        <f>$B6 * IFERROR(VLOOKUP("LULUCF|NOx|Asthma symptoms cough", US_national_yearly!$D:$AM, 21, FALSE) / VLOOKUP("LULUCF|NOx|Asthma symptoms cough", US_national_yearly!$D:$AM, 10, FALSE), 1)</f>
        <v>2.1930398771638012E-3</v>
      </c>
      <c r="N6" s="7">
        <f>$B6 * IFERROR(VLOOKUP("LULUCF|NOx|Asthma symptoms cough", US_national_yearly!$D:$AM, 22, FALSE) / VLOOKUP("LULUCF|NOx|Asthma symptoms cough", US_national_yearly!$D:$AM, 10, FALSE), 1)</f>
        <v>2.2017620412174031E-3</v>
      </c>
      <c r="O6" s="7">
        <f>$B6 * IFERROR(VLOOKUP("LULUCF|NOx|Asthma symptoms cough", US_national_yearly!$D:$AM, 23, FALSE) / VLOOKUP("LULUCF|NOx|Asthma symptoms cough", US_national_yearly!$D:$AM, 10, FALSE), 1)</f>
        <v>2.210484205271005E-3</v>
      </c>
      <c r="P6" s="7">
        <f>$B6 * IFERROR(VLOOKUP("LULUCF|NOx|Asthma symptoms cough", US_national_yearly!$D:$AM, 24, FALSE) / VLOOKUP("LULUCF|NOx|Asthma symptoms cough", US_national_yearly!$D:$AM, 10, FALSE), 1)</f>
        <v>2.2192063693246065E-3</v>
      </c>
      <c r="Q6" s="7">
        <f>$B6 * IFERROR(VLOOKUP("LULUCF|NOx|Asthma symptoms cough", US_national_yearly!$D:$AM, 25, FALSE) / VLOOKUP("LULUCF|NOx|Asthma symptoms cough", US_national_yearly!$D:$AM, 10, FALSE), 1)</f>
        <v>2.2279285333782089E-3</v>
      </c>
      <c r="R6" s="7">
        <f>$B6 * IFERROR(VLOOKUP("LULUCF|NOx|Asthma symptoms cough", US_national_yearly!$D:$AM, 26, FALSE) / VLOOKUP("LULUCF|NOx|Asthma symptoms cough", US_national_yearly!$D:$AM, 10, FALSE), 1)</f>
        <v>2.2366506974318108E-3</v>
      </c>
      <c r="S6" s="7">
        <f>$B6 * IFERROR(VLOOKUP("LULUCF|NOx|Asthma symptoms cough", US_national_yearly!$D:$AM, 27, FALSE) / VLOOKUP("LULUCF|NOx|Asthma symptoms cough", US_national_yearly!$D:$AM, 10, FALSE), 1)</f>
        <v>2.2480446216744812E-3</v>
      </c>
      <c r="T6" s="7">
        <f>$B6 * IFERROR(VLOOKUP("LULUCF|NOx|Asthma symptoms cough", US_national_yearly!$D:$AM, 28, FALSE) / VLOOKUP("LULUCF|NOx|Asthma symptoms cough", US_national_yearly!$D:$AM, 10, FALSE), 1)</f>
        <v>2.2594385459171512E-3</v>
      </c>
      <c r="U6" s="7">
        <f>$B6 * IFERROR(VLOOKUP("LULUCF|NOx|Asthma symptoms cough", US_national_yearly!$D:$AM, 29, FALSE) / VLOOKUP("LULUCF|NOx|Asthma symptoms cough", US_national_yearly!$D:$AM, 10, FALSE), 1)</f>
        <v>2.2708324701598208E-3</v>
      </c>
      <c r="V6" s="7">
        <f>$B6 * IFERROR(VLOOKUP("LULUCF|NOx|Asthma symptoms cough", US_national_yearly!$D:$AM, 30, FALSE) / VLOOKUP("LULUCF|NOx|Asthma symptoms cough", US_national_yearly!$D:$AM, 10, FALSE), 1)</f>
        <v>2.2822263944024912E-3</v>
      </c>
      <c r="W6" s="7">
        <f>$B6 * IFERROR(VLOOKUP("LULUCF|NOx|Asthma symptoms cough", US_national_yearly!$D:$AM, 31, FALSE) / VLOOKUP("LULUCF|NOx|Asthma symptoms cough", US_national_yearly!$D:$AM, 10, FALSE), 1)</f>
        <v>2.2936203186451612E-3</v>
      </c>
      <c r="X6" s="7">
        <f>$B6 * IFERROR(VLOOKUP("LULUCF|NOx|Asthma symptoms cough", US_national_yearly!$D:$AM, 32, FALSE) / VLOOKUP("LULUCF|NOx|Asthma symptoms cough", US_national_yearly!$D:$AM, 10, FALSE), 1)</f>
        <v>2.3042069114088469E-3</v>
      </c>
      <c r="Y6" s="7">
        <f>$B6 * IFERROR(VLOOKUP("LULUCF|NOx|Asthma symptoms cough", US_national_yearly!$D:$AM, 33, FALSE) / VLOOKUP("LULUCF|NOx|Asthma symptoms cough", US_national_yearly!$D:$AM, 10, FALSE), 1)</f>
        <v>2.3147935041725322E-3</v>
      </c>
      <c r="Z6" s="7">
        <f>$B6 * IFERROR(VLOOKUP("LULUCF|NOx|Asthma symptoms cough", US_national_yearly!$D:$AM, 34, FALSE) / VLOOKUP("LULUCF|NOx|Asthma symptoms cough", US_national_yearly!$D:$AM, 10, FALSE), 1)</f>
        <v>2.3253800969362179E-3</v>
      </c>
      <c r="AA6" s="7">
        <f>$B6 * IFERROR(VLOOKUP("LULUCF|NOx|Asthma symptoms cough", US_national_yearly!$D:$AM, 35, FALSE) / VLOOKUP("LULUCF|NOx|Asthma symptoms cough", US_national_yearly!$D:$AM, 10, FALSE), 1)</f>
        <v>2.3359666896999036E-3</v>
      </c>
      <c r="AB6" s="7">
        <f>$B6 * IFERROR(VLOOKUP("LULUCF|NOx|Asthma symptoms cough", US_national_yearly!$D:$AM, 36, FALSE) / VLOOKUP("LULUCF|NOx|Asthma symptoms cough", US_national_yearly!$D:$AM, 10, FALSE), 1)</f>
        <v>2.3465532824635898E-3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2.6962705867477261E-3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2.733133013867641E-3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2.769995440987555E-3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2.8068578681074699E-3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2.8437202952273847E-3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2.8731497920808906E-3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2.9025792889343961E-3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2.9127085009841729E-3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2.9228377130339498E-3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2.9329669250837262E-3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2.943096137133503E-3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2.9532253491832798E-3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2.9649709248895208E-3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2.9767165005957618E-3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2.9884620763020024E-3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3.0002076520082434E-3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3.0119532277144844E-3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3.0272966905679757E-3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3.0426401534214679E-3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3.0579836162749592E-3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3.0733270791284497E-3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3.0886705419819411E-3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3.1029268235973047E-3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3.1171831052126679E-3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3.131439386828032E-3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3.1456956684433957E-3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3.1599519500587589E-3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4.1195130940917439E-3</v>
      </c>
      <c r="C8" s="7">
        <f>$B8 * IFERROR(VLOOKUP("LULUCF|NOx|Asthma symptoms wheeze", US_national_yearly!$D:$AM, 11, FALSE) / VLOOKUP("LULUCF|NOx|Asthma symptoms wheeze", US_national_yearly!$D:$AM, 10, FALSE), 1)</f>
        <v>4.1758335733029419E-3</v>
      </c>
      <c r="D8" s="7">
        <f>$B8 * IFERROR(VLOOKUP("LULUCF|NOx|Asthma symptoms wheeze", US_national_yearly!$D:$AM, 12, FALSE) / VLOOKUP("LULUCF|NOx|Asthma symptoms wheeze", US_national_yearly!$D:$AM, 10, FALSE), 1)</f>
        <v>4.2321540525141416E-3</v>
      </c>
      <c r="E8" s="7">
        <f>$B8 * IFERROR(VLOOKUP("LULUCF|NOx|Asthma symptoms wheeze", US_national_yearly!$D:$AM, 13, FALSE) / VLOOKUP("LULUCF|NOx|Asthma symptoms wheeze", US_national_yearly!$D:$AM, 10, FALSE), 1)</f>
        <v>4.2884745317253396E-3</v>
      </c>
      <c r="F8" s="7">
        <f>$B8 * IFERROR(VLOOKUP("LULUCF|NOx|Asthma symptoms wheeze", US_national_yearly!$D:$AM, 14, FALSE) / VLOOKUP("LULUCF|NOx|Asthma symptoms wheeze", US_national_yearly!$D:$AM, 10, FALSE), 1)</f>
        <v>4.3447950109365375E-3</v>
      </c>
      <c r="G8" s="7">
        <f>$B8 * IFERROR(VLOOKUP("LULUCF|NOx|Asthma symptoms wheeze", US_national_yearly!$D:$AM, 15, FALSE) / VLOOKUP("LULUCF|NOx|Asthma symptoms wheeze", US_national_yearly!$D:$AM, 10, FALSE), 1)</f>
        <v>4.3897590433649184E-3</v>
      </c>
      <c r="H8" s="7">
        <f>$B8 * IFERROR(VLOOKUP("LULUCF|NOx|Asthma symptoms wheeze", US_national_yearly!$D:$AM, 16, FALSE) / VLOOKUP("LULUCF|NOx|Asthma symptoms wheeze", US_national_yearly!$D:$AM, 10, FALSE), 1)</f>
        <v>4.4347230757932994E-3</v>
      </c>
      <c r="I8" s="7">
        <f>$B8 * IFERROR(VLOOKUP("LULUCF|NOx|Asthma symptoms wheeze", US_national_yearly!$D:$AM, 17, FALSE) / VLOOKUP("LULUCF|NOx|Asthma symptoms wheeze", US_national_yearly!$D:$AM, 10, FALSE), 1)</f>
        <v>4.4501990530176798E-3</v>
      </c>
      <c r="J8" s="7">
        <f>$B8 * IFERROR(VLOOKUP("LULUCF|NOx|Asthma symptoms wheeze", US_national_yearly!$D:$AM, 18, FALSE) / VLOOKUP("LULUCF|NOx|Asthma symptoms wheeze", US_national_yearly!$D:$AM, 10, FALSE), 1)</f>
        <v>4.4656750302420611E-3</v>
      </c>
      <c r="K8" s="7">
        <f>$B8 * IFERROR(VLOOKUP("LULUCF|NOx|Asthma symptoms wheeze", US_national_yearly!$D:$AM, 19, FALSE) / VLOOKUP("LULUCF|NOx|Asthma symptoms wheeze", US_national_yearly!$D:$AM, 10, FALSE), 1)</f>
        <v>4.4811510074664399E-3</v>
      </c>
      <c r="L8" s="7">
        <f>$B8 * IFERROR(VLOOKUP("LULUCF|NOx|Asthma symptoms wheeze", US_national_yearly!$D:$AM, 20, FALSE) / VLOOKUP("LULUCF|NOx|Asthma symptoms wheeze", US_national_yearly!$D:$AM, 10, FALSE), 1)</f>
        <v>4.4966269846908212E-3</v>
      </c>
      <c r="M8" s="7">
        <f>$B8 * IFERROR(VLOOKUP("LULUCF|NOx|Asthma symptoms wheeze", US_national_yearly!$D:$AM, 21, FALSE) / VLOOKUP("LULUCF|NOx|Asthma symptoms wheeze", US_national_yearly!$D:$AM, 10, FALSE), 1)</f>
        <v>4.5121029619152016E-3</v>
      </c>
      <c r="N8" s="7">
        <f>$B8 * IFERROR(VLOOKUP("LULUCF|NOx|Asthma symptoms wheeze", US_national_yearly!$D:$AM, 22, FALSE) / VLOOKUP("LULUCF|NOx|Asthma symptoms wheeze", US_national_yearly!$D:$AM, 10, FALSE), 1)</f>
        <v>4.5300485099677998E-3</v>
      </c>
      <c r="O8" s="7">
        <f>$B8 * IFERROR(VLOOKUP("LULUCF|NOx|Asthma symptoms wheeze", US_national_yearly!$D:$AM, 23, FALSE) / VLOOKUP("LULUCF|NOx|Asthma symptoms wheeze", US_national_yearly!$D:$AM, 10, FALSE), 1)</f>
        <v>4.547994058020398E-3</v>
      </c>
      <c r="P8" s="7">
        <f>$B8 * IFERROR(VLOOKUP("LULUCF|NOx|Asthma symptoms wheeze", US_national_yearly!$D:$AM, 24, FALSE) / VLOOKUP("LULUCF|NOx|Asthma symptoms wheeze", US_national_yearly!$D:$AM, 10, FALSE), 1)</f>
        <v>4.5659396060729962E-3</v>
      </c>
      <c r="Q8" s="7">
        <f>$B8 * IFERROR(VLOOKUP("LULUCF|NOx|Asthma symptoms wheeze", US_national_yearly!$D:$AM, 25, FALSE) / VLOOKUP("LULUCF|NOx|Asthma symptoms wheeze", US_national_yearly!$D:$AM, 10, FALSE), 1)</f>
        <v>4.5838851541255944E-3</v>
      </c>
      <c r="R8" s="7">
        <f>$B8 * IFERROR(VLOOKUP("LULUCF|NOx|Asthma symptoms wheeze", US_national_yearly!$D:$AM, 26, FALSE) / VLOOKUP("LULUCF|NOx|Asthma symptoms wheeze", US_national_yearly!$D:$AM, 10, FALSE), 1)</f>
        <v>4.6018307021781927E-3</v>
      </c>
      <c r="S8" s="7">
        <f>$B8 * IFERROR(VLOOKUP("LULUCF|NOx|Asthma symptoms wheeze", US_national_yearly!$D:$AM, 27, FALSE) / VLOOKUP("LULUCF|NOx|Asthma symptoms wheeze", US_national_yearly!$D:$AM, 10, FALSE), 1)</f>
        <v>4.625273303535701E-3</v>
      </c>
      <c r="T8" s="7">
        <f>$B8 * IFERROR(VLOOKUP("LULUCF|NOx|Asthma symptoms wheeze", US_national_yearly!$D:$AM, 28, FALSE) / VLOOKUP("LULUCF|NOx|Asthma symptoms wheeze", US_national_yearly!$D:$AM, 10, FALSE), 1)</f>
        <v>4.6487159048932093E-3</v>
      </c>
      <c r="U8" s="7">
        <f>$B8 * IFERROR(VLOOKUP("LULUCF|NOx|Asthma symptoms wheeze", US_national_yearly!$D:$AM, 29, FALSE) / VLOOKUP("LULUCF|NOx|Asthma symptoms wheeze", US_national_yearly!$D:$AM, 10, FALSE), 1)</f>
        <v>4.6721585062507176E-3</v>
      </c>
      <c r="V8" s="7">
        <f>$B8 * IFERROR(VLOOKUP("LULUCF|NOx|Asthma symptoms wheeze", US_national_yearly!$D:$AM, 30, FALSE) / VLOOKUP("LULUCF|NOx|Asthma symptoms wheeze", US_national_yearly!$D:$AM, 10, FALSE), 1)</f>
        <v>4.6956011076082268E-3</v>
      </c>
      <c r="W8" s="7">
        <f>$B8 * IFERROR(VLOOKUP("LULUCF|NOx|Asthma symptoms wheeze", US_national_yearly!$D:$AM, 31, FALSE) / VLOOKUP("LULUCF|NOx|Asthma symptoms wheeze", US_national_yearly!$D:$AM, 10, FALSE), 1)</f>
        <v>4.7190437089657334E-3</v>
      </c>
      <c r="X8" s="7">
        <f>$B8 * IFERROR(VLOOKUP("LULUCF|NOx|Asthma symptoms wheeze", US_national_yearly!$D:$AM, 32, FALSE) / VLOOKUP("LULUCF|NOx|Asthma symptoms wheeze", US_national_yearly!$D:$AM, 10, FALSE), 1)</f>
        <v>4.7408252539824737E-3</v>
      </c>
      <c r="Y8" s="7">
        <f>$B8 * IFERROR(VLOOKUP("LULUCF|NOx|Asthma symptoms wheeze", US_national_yearly!$D:$AM, 33, FALSE) / VLOOKUP("LULUCF|NOx|Asthma symptoms wheeze", US_national_yearly!$D:$AM, 10, FALSE), 1)</f>
        <v>4.7626067989992131E-3</v>
      </c>
      <c r="Z8" s="7">
        <f>$B8 * IFERROR(VLOOKUP("LULUCF|NOx|Asthma symptoms wheeze", US_national_yearly!$D:$AM, 34, FALSE) / VLOOKUP("LULUCF|NOx|Asthma symptoms wheeze", US_national_yearly!$D:$AM, 10, FALSE), 1)</f>
        <v>4.7843883440159534E-3</v>
      </c>
      <c r="AA8" s="7">
        <f>$B8 * IFERROR(VLOOKUP("LULUCF|NOx|Asthma symptoms wheeze", US_national_yearly!$D:$AM, 35, FALSE) / VLOOKUP("LULUCF|NOx|Asthma symptoms wheeze", US_national_yearly!$D:$AM, 10, FALSE), 1)</f>
        <v>4.8061698890326928E-3</v>
      </c>
      <c r="AB8" s="7">
        <f>$B8 * IFERROR(VLOOKUP("LULUCF|NOx|Asthma symptoms wheeze", US_national_yearly!$D:$AM, 36, FALSE) / VLOOKUP("LULUCF|NOx|Asthma symptoms wheeze", US_national_yearly!$D:$AM, 10, FALSE), 1)</f>
        <v>4.8279514340494331E-3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4.4227262647022229E-5</v>
      </c>
      <c r="C12" s="7">
        <f>$B12 * IFERROR(VLOOKUP("LULUCF|NOx|Respiratory hospital admissions", US_national_yearly!$D:$AM, 11, FALSE) / VLOOKUP("LULUCF|NOx|Respiratory hospital admissions", US_national_yearly!$D:$AM, 10, FALSE), 1)</f>
        <v>4.5330496884465689E-5</v>
      </c>
      <c r="D12" s="7">
        <f>$B12 * IFERROR(VLOOKUP("LULUCF|NOx|Respiratory hospital admissions", US_national_yearly!$D:$AM, 12, FALSE) / VLOOKUP("LULUCF|NOx|Respiratory hospital admissions", US_national_yearly!$D:$AM, 10, FALSE), 1)</f>
        <v>4.6433731121909156E-5</v>
      </c>
      <c r="E12" s="7">
        <f>$B12 * IFERROR(VLOOKUP("LULUCF|NOx|Respiratory hospital admissions", US_national_yearly!$D:$AM, 13, FALSE) / VLOOKUP("LULUCF|NOx|Respiratory hospital admissions", US_national_yearly!$D:$AM, 10, FALSE), 1)</f>
        <v>4.7536965359352623E-5</v>
      </c>
      <c r="F12" s="7">
        <f>$B12 * IFERROR(VLOOKUP("LULUCF|NOx|Respiratory hospital admissions", US_national_yearly!$D:$AM, 14, FALSE) / VLOOKUP("LULUCF|NOx|Respiratory hospital admissions", US_national_yearly!$D:$AM, 10, FALSE), 1)</f>
        <v>4.864019959679609E-5</v>
      </c>
      <c r="G12" s="7">
        <f>$B12 * IFERROR(VLOOKUP("LULUCF|NOx|Respiratory hospital admissions", US_national_yearly!$D:$AM, 15, FALSE) / VLOOKUP("LULUCF|NOx|Respiratory hospital admissions", US_national_yearly!$D:$AM, 10, FALSE), 1)</f>
        <v>4.9694929077415752E-5</v>
      </c>
      <c r="H12" s="7">
        <f>$B12 * IFERROR(VLOOKUP("LULUCF|NOx|Respiratory hospital admissions", US_national_yearly!$D:$AM, 16, FALSE) / VLOOKUP("LULUCF|NOx|Respiratory hospital admissions", US_national_yearly!$D:$AM, 10, FALSE), 1)</f>
        <v>5.0749658558035414E-5</v>
      </c>
      <c r="I12" s="7">
        <f>$B12 * IFERROR(VLOOKUP("LULUCF|NOx|Respiratory hospital admissions", US_national_yearly!$D:$AM, 17, FALSE) / VLOOKUP("LULUCF|NOx|Respiratory hospital admissions", US_national_yearly!$D:$AM, 10, FALSE), 1)</f>
        <v>5.1645145570125294E-5</v>
      </c>
      <c r="J12" s="7">
        <f>$B12 * IFERROR(VLOOKUP("LULUCF|NOx|Respiratory hospital admissions", US_national_yearly!$D:$AM, 18, FALSE) / VLOOKUP("LULUCF|NOx|Respiratory hospital admissions", US_national_yearly!$D:$AM, 10, FALSE), 1)</f>
        <v>5.2540632582215154E-5</v>
      </c>
      <c r="K12" s="7">
        <f>$B12 * IFERROR(VLOOKUP("LULUCF|NOx|Respiratory hospital admissions", US_national_yearly!$D:$AM, 19, FALSE) / VLOOKUP("LULUCF|NOx|Respiratory hospital admissions", US_national_yearly!$D:$AM, 10, FALSE), 1)</f>
        <v>5.3436119594305035E-5</v>
      </c>
      <c r="L12" s="7">
        <f>$B12 * IFERROR(VLOOKUP("LULUCF|NOx|Respiratory hospital admissions", US_national_yearly!$D:$AM, 20, FALSE) / VLOOKUP("LULUCF|NOx|Respiratory hospital admissions", US_national_yearly!$D:$AM, 10, FALSE), 1)</f>
        <v>5.4331606606394908E-5</v>
      </c>
      <c r="M12" s="7">
        <f>$B12 * IFERROR(VLOOKUP("LULUCF|NOx|Respiratory hospital admissions", US_national_yearly!$D:$AM, 21, FALSE) / VLOOKUP("LULUCF|NOx|Respiratory hospital admissions", US_national_yearly!$D:$AM, 10, FALSE), 1)</f>
        <v>5.5227093618484782E-5</v>
      </c>
      <c r="N12" s="7">
        <f>$B12 * IFERROR(VLOOKUP("LULUCF|NOx|Respiratory hospital admissions", US_national_yearly!$D:$AM, 22, FALSE) / VLOOKUP("LULUCF|NOx|Respiratory hospital admissions", US_national_yearly!$D:$AM, 10, FALSE), 1)</f>
        <v>5.5825742808915921E-5</v>
      </c>
      <c r="O12" s="7">
        <f>$B12 * IFERROR(VLOOKUP("LULUCF|NOx|Respiratory hospital admissions", US_national_yearly!$D:$AM, 23, FALSE) / VLOOKUP("LULUCF|NOx|Respiratory hospital admissions", US_national_yearly!$D:$AM, 10, FALSE), 1)</f>
        <v>5.6424391999347073E-5</v>
      </c>
      <c r="P12" s="7">
        <f>$B12 * IFERROR(VLOOKUP("LULUCF|NOx|Respiratory hospital admissions", US_national_yearly!$D:$AM, 24, FALSE) / VLOOKUP("LULUCF|NOx|Respiratory hospital admissions", US_national_yearly!$D:$AM, 10, FALSE), 1)</f>
        <v>5.7023041189778218E-5</v>
      </c>
      <c r="Q12" s="7">
        <f>$B12 * IFERROR(VLOOKUP("LULUCF|NOx|Respiratory hospital admissions", US_national_yearly!$D:$AM, 25, FALSE) / VLOOKUP("LULUCF|NOx|Respiratory hospital admissions", US_national_yearly!$D:$AM, 10, FALSE), 1)</f>
        <v>5.762169038020937E-5</v>
      </c>
      <c r="R12" s="7">
        <f>$B12 * IFERROR(VLOOKUP("LULUCF|NOx|Respiratory hospital admissions", US_national_yearly!$D:$AM, 26, FALSE) / VLOOKUP("LULUCF|NOx|Respiratory hospital admissions", US_national_yearly!$D:$AM, 10, FALSE), 1)</f>
        <v>5.8220339570640515E-5</v>
      </c>
      <c r="S12" s="7">
        <f>$B12 * IFERROR(VLOOKUP("LULUCF|NOx|Respiratory hospital admissions", US_national_yearly!$D:$AM, 27, FALSE) / VLOOKUP("LULUCF|NOx|Respiratory hospital admissions", US_national_yearly!$D:$AM, 10, FALSE), 1)</f>
        <v>5.8541079585359455E-5</v>
      </c>
      <c r="T12" s="7">
        <f>$B12 * IFERROR(VLOOKUP("LULUCF|NOx|Respiratory hospital admissions", US_national_yearly!$D:$AM, 28, FALSE) / VLOOKUP("LULUCF|NOx|Respiratory hospital admissions", US_national_yearly!$D:$AM, 10, FALSE), 1)</f>
        <v>5.8861819600078396E-5</v>
      </c>
      <c r="U12" s="7">
        <f>$B12 * IFERROR(VLOOKUP("LULUCF|NOx|Respiratory hospital admissions", US_national_yearly!$D:$AM, 29, FALSE) / VLOOKUP("LULUCF|NOx|Respiratory hospital admissions", US_national_yearly!$D:$AM, 10, FALSE), 1)</f>
        <v>5.9182559614797336E-5</v>
      </c>
      <c r="V12" s="7">
        <f>$B12 * IFERROR(VLOOKUP("LULUCF|NOx|Respiratory hospital admissions", US_national_yearly!$D:$AM, 30, FALSE) / VLOOKUP("LULUCF|NOx|Respiratory hospital admissions", US_national_yearly!$D:$AM, 10, FALSE), 1)</f>
        <v>5.9503299629516263E-5</v>
      </c>
      <c r="W12" s="7">
        <f>$B12 * IFERROR(VLOOKUP("LULUCF|NOx|Respiratory hospital admissions", US_national_yearly!$D:$AM, 31, FALSE) / VLOOKUP("LULUCF|NOx|Respiratory hospital admissions", US_national_yearly!$D:$AM, 10, FALSE), 1)</f>
        <v>5.9824039644235216E-5</v>
      </c>
      <c r="X12" s="7">
        <f>$B12 * IFERROR(VLOOKUP("LULUCF|NOx|Respiratory hospital admissions", US_national_yearly!$D:$AM, 32, FALSE) / VLOOKUP("LULUCF|NOx|Respiratory hospital admissions", US_national_yearly!$D:$AM, 10, FALSE), 1)</f>
        <v>6.00432237748803E-5</v>
      </c>
      <c r="Y12" s="7">
        <f>$B12 * IFERROR(VLOOKUP("LULUCF|NOx|Respiratory hospital admissions", US_national_yearly!$D:$AM, 33, FALSE) / VLOOKUP("LULUCF|NOx|Respiratory hospital admissions", US_national_yearly!$D:$AM, 10, FALSE), 1)</f>
        <v>6.0262407905525404E-5</v>
      </c>
      <c r="Z12" s="7">
        <f>$B12 * IFERROR(VLOOKUP("LULUCF|NOx|Respiratory hospital admissions", US_national_yearly!$D:$AM, 34, FALSE) / VLOOKUP("LULUCF|NOx|Respiratory hospital admissions", US_national_yearly!$D:$AM, 10, FALSE), 1)</f>
        <v>6.0481592036170501E-5</v>
      </c>
      <c r="AA12" s="7">
        <f>$B12 * IFERROR(VLOOKUP("LULUCF|NOx|Respiratory hospital admissions", US_national_yearly!$D:$AM, 35, FALSE) / VLOOKUP("LULUCF|NOx|Respiratory hospital admissions", US_national_yearly!$D:$AM, 10, FALSE), 1)</f>
        <v>6.0700776166815598E-5</v>
      </c>
      <c r="AB12" s="7">
        <f>$B12 * IFERROR(VLOOKUP("LULUCF|NOx|Respiratory hospital admissions", US_national_yearly!$D:$AM, 36, FALSE) / VLOOKUP("LULUCF|NOx|Respiratory hospital admissions", US_national_yearly!$D:$AM, 10, FALSE), 1)</f>
        <v>6.0919960297460688E-5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2.9964910687318714E-4</v>
      </c>
      <c r="C13" s="7">
        <f>$B13 * IFERROR(VLOOKUP("LULUCF|NOx|Non-fatal heart attacks", US_national_yearly!$D:$AM, 11, FALSE) / VLOOKUP("LULUCF|NOx|Non-fatal heart attacks", US_national_yearly!$D:$AM, 10, FALSE), 1)</f>
        <v>3.0821581083098409E-4</v>
      </c>
      <c r="D13" s="7">
        <f>$B13 * IFERROR(VLOOKUP("LULUCF|NOx|Non-fatal heart attacks", US_national_yearly!$D:$AM, 12, FALSE) / VLOOKUP("LULUCF|NOx|Non-fatal heart attacks", US_national_yearly!$D:$AM, 10, FALSE), 1)</f>
        <v>3.1678251478878109E-4</v>
      </c>
      <c r="E13" s="7">
        <f>$B13 * IFERROR(VLOOKUP("LULUCF|NOx|Non-fatal heart attacks", US_national_yearly!$D:$AM, 13, FALSE) / VLOOKUP("LULUCF|NOx|Non-fatal heart attacks", US_national_yearly!$D:$AM, 10, FALSE), 1)</f>
        <v>3.2534921874657799E-4</v>
      </c>
      <c r="F13" s="7">
        <f>$B13 * IFERROR(VLOOKUP("LULUCF|NOx|Non-fatal heart attacks", US_national_yearly!$D:$AM, 14, FALSE) / VLOOKUP("LULUCF|NOx|Non-fatal heart attacks", US_national_yearly!$D:$AM, 10, FALSE), 1)</f>
        <v>3.3391592270437493E-4</v>
      </c>
      <c r="G13" s="7">
        <f>$B13 * IFERROR(VLOOKUP("LULUCF|NOx|Non-fatal heart attacks", US_national_yearly!$D:$AM, 15, FALSE) / VLOOKUP("LULUCF|NOx|Non-fatal heart attacks", US_national_yearly!$D:$AM, 10, FALSE), 1)</f>
        <v>3.419214897483517E-4</v>
      </c>
      <c r="H13" s="7">
        <f>$B13 * IFERROR(VLOOKUP("LULUCF|NOx|Non-fatal heart attacks", US_national_yearly!$D:$AM, 16, FALSE) / VLOOKUP("LULUCF|NOx|Non-fatal heart attacks", US_national_yearly!$D:$AM, 10, FALSE), 1)</f>
        <v>3.4992705679232853E-4</v>
      </c>
      <c r="I13" s="7">
        <f>$B13 * IFERROR(VLOOKUP("LULUCF|NOx|Non-fatal heart attacks", US_national_yearly!$D:$AM, 17, FALSE) / VLOOKUP("LULUCF|NOx|Non-fatal heart attacks", US_national_yearly!$D:$AM, 10, FALSE), 1)</f>
        <v>3.5623853128281384E-4</v>
      </c>
      <c r="J13" s="7">
        <f>$B13 * IFERROR(VLOOKUP("LULUCF|NOx|Non-fatal heart attacks", US_national_yearly!$D:$AM, 18, FALSE) / VLOOKUP("LULUCF|NOx|Non-fatal heart attacks", US_national_yearly!$D:$AM, 10, FALSE), 1)</f>
        <v>3.6255000577329921E-4</v>
      </c>
      <c r="K13" s="7">
        <f>$B13 * IFERROR(VLOOKUP("LULUCF|NOx|Non-fatal heart attacks", US_national_yearly!$D:$AM, 19, FALSE) / VLOOKUP("LULUCF|NOx|Non-fatal heart attacks", US_national_yearly!$D:$AM, 10, FALSE), 1)</f>
        <v>3.6886148026378437E-4</v>
      </c>
      <c r="L13" s="7">
        <f>$B13 * IFERROR(VLOOKUP("LULUCF|NOx|Non-fatal heart attacks", US_national_yearly!$D:$AM, 20, FALSE) / VLOOKUP("LULUCF|NOx|Non-fatal heart attacks", US_national_yearly!$D:$AM, 10, FALSE), 1)</f>
        <v>3.7517295475426995E-4</v>
      </c>
      <c r="M13" s="7">
        <f>$B13 * IFERROR(VLOOKUP("LULUCF|NOx|Non-fatal heart attacks", US_national_yearly!$D:$AM, 21, FALSE) / VLOOKUP("LULUCF|NOx|Non-fatal heart attacks", US_national_yearly!$D:$AM, 10, FALSE), 1)</f>
        <v>3.8148442924475521E-4</v>
      </c>
      <c r="N13" s="7">
        <f>$B13 * IFERROR(VLOOKUP("LULUCF|NOx|Non-fatal heart attacks", US_national_yearly!$D:$AM, 22, FALSE) / VLOOKUP("LULUCF|NOx|Non-fatal heart attacks", US_national_yearly!$D:$AM, 10, FALSE), 1)</f>
        <v>3.85281603703653E-4</v>
      </c>
      <c r="O13" s="7">
        <f>$B13 * IFERROR(VLOOKUP("LULUCF|NOx|Non-fatal heart attacks", US_national_yearly!$D:$AM, 23, FALSE) / VLOOKUP("LULUCF|NOx|Non-fatal heart attacks", US_national_yearly!$D:$AM, 10, FALSE), 1)</f>
        <v>3.8907877816255073E-4</v>
      </c>
      <c r="P13" s="7">
        <f>$B13 * IFERROR(VLOOKUP("LULUCF|NOx|Non-fatal heart attacks", US_national_yearly!$D:$AM, 24, FALSE) / VLOOKUP("LULUCF|NOx|Non-fatal heart attacks", US_national_yearly!$D:$AM, 10, FALSE), 1)</f>
        <v>3.9287595262144841E-4</v>
      </c>
      <c r="Q13" s="7">
        <f>$B13 * IFERROR(VLOOKUP("LULUCF|NOx|Non-fatal heart attacks", US_national_yearly!$D:$AM, 25, FALSE) / VLOOKUP("LULUCF|NOx|Non-fatal heart attacks", US_national_yearly!$D:$AM, 10, FALSE), 1)</f>
        <v>3.9667312708034625E-4</v>
      </c>
      <c r="R13" s="7">
        <f>$B13 * IFERROR(VLOOKUP("LULUCF|NOx|Non-fatal heart attacks", US_national_yearly!$D:$AM, 26, FALSE) / VLOOKUP("LULUCF|NOx|Non-fatal heart attacks", US_national_yearly!$D:$AM, 10, FALSE), 1)</f>
        <v>4.0047030153924403E-4</v>
      </c>
      <c r="S13" s="7">
        <f>$B13 * IFERROR(VLOOKUP("LULUCF|NOx|Non-fatal heart attacks", US_national_yearly!$D:$AM, 27, FALSE) / VLOOKUP("LULUCF|NOx|Non-fatal heart attacks", US_national_yearly!$D:$AM, 10, FALSE), 1)</f>
        <v>4.0219272613647121E-4</v>
      </c>
      <c r="T13" s="7">
        <f>$B13 * IFERROR(VLOOKUP("LULUCF|NOx|Non-fatal heart attacks", US_national_yearly!$D:$AM, 28, FALSE) / VLOOKUP("LULUCF|NOx|Non-fatal heart attacks", US_national_yearly!$D:$AM, 10, FALSE), 1)</f>
        <v>4.0391515073369839E-4</v>
      </c>
      <c r="U13" s="7">
        <f>$B13 * IFERROR(VLOOKUP("LULUCF|NOx|Non-fatal heart attacks", US_national_yearly!$D:$AM, 29, FALSE) / VLOOKUP("LULUCF|NOx|Non-fatal heart attacks", US_national_yearly!$D:$AM, 10, FALSE), 1)</f>
        <v>4.0563757533092557E-4</v>
      </c>
      <c r="V13" s="7">
        <f>$B13 * IFERROR(VLOOKUP("LULUCF|NOx|Non-fatal heart attacks", US_national_yearly!$D:$AM, 30, FALSE) / VLOOKUP("LULUCF|NOx|Non-fatal heart attacks", US_national_yearly!$D:$AM, 10, FALSE), 1)</f>
        <v>4.0735999992815269E-4</v>
      </c>
      <c r="W13" s="7">
        <f>$B13 * IFERROR(VLOOKUP("LULUCF|NOx|Non-fatal heart attacks", US_national_yearly!$D:$AM, 31, FALSE) / VLOOKUP("LULUCF|NOx|Non-fatal heart attacks", US_national_yearly!$D:$AM, 10, FALSE), 1)</f>
        <v>4.0908242452537987E-4</v>
      </c>
      <c r="X13" s="7">
        <f>$B13 * IFERROR(VLOOKUP("LULUCF|NOx|Non-fatal heart attacks", US_national_yearly!$D:$AM, 32, FALSE) / VLOOKUP("LULUCF|NOx|Non-fatal heart attacks", US_national_yearly!$D:$AM, 10, FALSE), 1)</f>
        <v>4.1023343927214711E-4</v>
      </c>
      <c r="Y13" s="7">
        <f>$B13 * IFERROR(VLOOKUP("LULUCF|NOx|Non-fatal heart attacks", US_national_yearly!$D:$AM, 33, FALSE) / VLOOKUP("LULUCF|NOx|Non-fatal heart attacks", US_national_yearly!$D:$AM, 10, FALSE), 1)</f>
        <v>4.1138445401891441E-4</v>
      </c>
      <c r="Z13" s="7">
        <f>$B13 * IFERROR(VLOOKUP("LULUCF|NOx|Non-fatal heart attacks", US_national_yearly!$D:$AM, 34, FALSE) / VLOOKUP("LULUCF|NOx|Non-fatal heart attacks", US_national_yearly!$D:$AM, 10, FALSE), 1)</f>
        <v>4.1253546876568161E-4</v>
      </c>
      <c r="AA13" s="7">
        <f>$B13 * IFERROR(VLOOKUP("LULUCF|NOx|Non-fatal heart attacks", US_national_yearly!$D:$AM, 35, FALSE) / VLOOKUP("LULUCF|NOx|Non-fatal heart attacks", US_national_yearly!$D:$AM, 10, FALSE), 1)</f>
        <v>4.136864835124488E-4</v>
      </c>
      <c r="AB13" s="7">
        <f>$B13 * IFERROR(VLOOKUP("LULUCF|NOx|Non-fatal heart attacks", US_national_yearly!$D:$AM, 36, FALSE) / VLOOKUP("LULUCF|NOx|Non-fatal heart attacks", US_national_yearly!$D:$AM, 10, FALSE), 1)</f>
        <v>4.148374982592161E-4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0.25167190130257983</v>
      </c>
      <c r="C14" s="7">
        <f>$B14 * IFERROR(VLOOKUP("LULUCF|NOx|Minor restricted activity days", US_national_yearly!$D:$AM, 11, FALSE) / VLOOKUP("LULUCF|NOx|Minor restricted activity days", US_national_yearly!$D:$AM, 10, FALSE), 1)</f>
        <v>0.25205775656250845</v>
      </c>
      <c r="D14" s="7">
        <f>$B14 * IFERROR(VLOOKUP("LULUCF|NOx|Minor restricted activity days", US_national_yearly!$D:$AM, 12, FALSE) / VLOOKUP("LULUCF|NOx|Minor restricted activity days", US_national_yearly!$D:$AM, 10, FALSE), 1)</f>
        <v>0.25244361182243713</v>
      </c>
      <c r="E14" s="7">
        <f>$B14 * IFERROR(VLOOKUP("LULUCF|NOx|Minor restricted activity days", US_national_yearly!$D:$AM, 13, FALSE) / VLOOKUP("LULUCF|NOx|Minor restricted activity days", US_national_yearly!$D:$AM, 10, FALSE), 1)</f>
        <v>0.25282946708236576</v>
      </c>
      <c r="F14" s="7">
        <f>$B14 * IFERROR(VLOOKUP("LULUCF|NOx|Minor restricted activity days", US_national_yearly!$D:$AM, 14, FALSE) / VLOOKUP("LULUCF|NOx|Minor restricted activity days", US_national_yearly!$D:$AM, 10, FALSE), 1)</f>
        <v>0.25321532234229438</v>
      </c>
      <c r="G14" s="7">
        <f>$B14 * IFERROR(VLOOKUP("LULUCF|NOx|Minor restricted activity days", US_national_yearly!$D:$AM, 15, FALSE) / VLOOKUP("LULUCF|NOx|Minor restricted activity days", US_national_yearly!$D:$AM, 10, FALSE), 1)</f>
        <v>0.25391208510028185</v>
      </c>
      <c r="H14" s="7">
        <f>$B14 * IFERROR(VLOOKUP("LULUCF|NOx|Minor restricted activity days", US_national_yearly!$D:$AM, 16, FALSE) / VLOOKUP("LULUCF|NOx|Minor restricted activity days", US_national_yearly!$D:$AM, 10, FALSE), 1)</f>
        <v>0.2546088478582692</v>
      </c>
      <c r="I14" s="7">
        <f>$B14 * IFERROR(VLOOKUP("LULUCF|NOx|Minor restricted activity days", US_national_yearly!$D:$AM, 17, FALSE) / VLOOKUP("LULUCF|NOx|Minor restricted activity days", US_national_yearly!$D:$AM, 10, FALSE), 1)</f>
        <v>0.25597168826004213</v>
      </c>
      <c r="J14" s="7">
        <f>$B14 * IFERROR(VLOOKUP("LULUCF|NOx|Minor restricted activity days", US_national_yearly!$D:$AM, 18, FALSE) / VLOOKUP("LULUCF|NOx|Minor restricted activity days", US_national_yearly!$D:$AM, 10, FALSE), 1)</f>
        <v>0.257334528661815</v>
      </c>
      <c r="K14" s="7">
        <f>$B14 * IFERROR(VLOOKUP("LULUCF|NOx|Minor restricted activity days", US_national_yearly!$D:$AM, 19, FALSE) / VLOOKUP("LULUCF|NOx|Minor restricted activity days", US_national_yearly!$D:$AM, 10, FALSE), 1)</f>
        <v>0.25869736906358792</v>
      </c>
      <c r="L14" s="7">
        <f>$B14 * IFERROR(VLOOKUP("LULUCF|NOx|Minor restricted activity days", US_national_yearly!$D:$AM, 20, FALSE) / VLOOKUP("LULUCF|NOx|Minor restricted activity days", US_national_yearly!$D:$AM, 10, FALSE), 1)</f>
        <v>0.26006020946536079</v>
      </c>
      <c r="M14" s="7">
        <f>$B14 * IFERROR(VLOOKUP("LULUCF|NOx|Minor restricted activity days", US_national_yearly!$D:$AM, 21, FALSE) / VLOOKUP("LULUCF|NOx|Minor restricted activity days", US_national_yearly!$D:$AM, 10, FALSE), 1)</f>
        <v>0.26142304986713372</v>
      </c>
      <c r="N14" s="7">
        <f>$B14 * IFERROR(VLOOKUP("LULUCF|NOx|Minor restricted activity days", US_national_yearly!$D:$AM, 22, FALSE) / VLOOKUP("LULUCF|NOx|Minor restricted activity days", US_national_yearly!$D:$AM, 10, FALSE), 1)</f>
        <v>0.2633743283051046</v>
      </c>
      <c r="O14" s="7">
        <f>$B14 * IFERROR(VLOOKUP("LULUCF|NOx|Minor restricted activity days", US_national_yearly!$D:$AM, 23, FALSE) / VLOOKUP("LULUCF|NOx|Minor restricted activity days", US_national_yearly!$D:$AM, 10, FALSE), 1)</f>
        <v>0.26532560674307543</v>
      </c>
      <c r="P14" s="7">
        <f>$B14 * IFERROR(VLOOKUP("LULUCF|NOx|Minor restricted activity days", US_national_yearly!$D:$AM, 24, FALSE) / VLOOKUP("LULUCF|NOx|Minor restricted activity days", US_national_yearly!$D:$AM, 10, FALSE), 1)</f>
        <v>0.26727688518104631</v>
      </c>
      <c r="Q14" s="7">
        <f>$B14 * IFERROR(VLOOKUP("LULUCF|NOx|Minor restricted activity days", US_national_yearly!$D:$AM, 25, FALSE) / VLOOKUP("LULUCF|NOx|Minor restricted activity days", US_national_yearly!$D:$AM, 10, FALSE), 1)</f>
        <v>0.26922816361901714</v>
      </c>
      <c r="R14" s="7">
        <f>$B14 * IFERROR(VLOOKUP("LULUCF|NOx|Minor restricted activity days", US_national_yearly!$D:$AM, 26, FALSE) / VLOOKUP("LULUCF|NOx|Minor restricted activity days", US_national_yearly!$D:$AM, 10, FALSE), 1)</f>
        <v>0.27117944205698802</v>
      </c>
      <c r="S14" s="7">
        <f>$B14 * IFERROR(VLOOKUP("LULUCF|NOx|Minor restricted activity days", US_national_yearly!$D:$AM, 27, FALSE) / VLOOKUP("LULUCF|NOx|Minor restricted activity days", US_national_yearly!$D:$AM, 10, FALSE), 1)</f>
        <v>0.27313031024284368</v>
      </c>
      <c r="T14" s="7">
        <f>$B14 * IFERROR(VLOOKUP("LULUCF|NOx|Minor restricted activity days", US_national_yearly!$D:$AM, 28, FALSE) / VLOOKUP("LULUCF|NOx|Minor restricted activity days", US_national_yearly!$D:$AM, 10, FALSE), 1)</f>
        <v>0.27508117842869928</v>
      </c>
      <c r="U14" s="7">
        <f>$B14 * IFERROR(VLOOKUP("LULUCF|NOx|Minor restricted activity days", US_national_yearly!$D:$AM, 29, FALSE) / VLOOKUP("LULUCF|NOx|Minor restricted activity days", US_national_yearly!$D:$AM, 10, FALSE), 1)</f>
        <v>0.27703204661455494</v>
      </c>
      <c r="V14" s="7">
        <f>$B14 * IFERROR(VLOOKUP("LULUCF|NOx|Minor restricted activity days", US_national_yearly!$D:$AM, 30, FALSE) / VLOOKUP("LULUCF|NOx|Minor restricted activity days", US_national_yearly!$D:$AM, 10, FALSE), 1)</f>
        <v>0.27898291480041065</v>
      </c>
      <c r="W14" s="7">
        <f>$B14 * IFERROR(VLOOKUP("LULUCF|NOx|Minor restricted activity days", US_national_yearly!$D:$AM, 31, FALSE) / VLOOKUP("LULUCF|NOx|Minor restricted activity days", US_national_yearly!$D:$AM, 10, FALSE), 1)</f>
        <v>0.28093378298626626</v>
      </c>
      <c r="X14" s="7">
        <f>$B14 * IFERROR(VLOOKUP("LULUCF|NOx|Minor restricted activity days", US_national_yearly!$D:$AM, 32, FALSE) / VLOOKUP("LULUCF|NOx|Minor restricted activity days", US_national_yearly!$D:$AM, 10, FALSE), 1)</f>
        <v>0.28258316771746472</v>
      </c>
      <c r="Y14" s="7">
        <f>$B14 * IFERROR(VLOOKUP("LULUCF|NOx|Minor restricted activity days", US_national_yearly!$D:$AM, 33, FALSE) / VLOOKUP("LULUCF|NOx|Minor restricted activity days", US_national_yearly!$D:$AM, 10, FALSE), 1)</f>
        <v>0.28423255244866319</v>
      </c>
      <c r="Z14" s="7">
        <f>$B14 * IFERROR(VLOOKUP("LULUCF|NOx|Minor restricted activity days", US_national_yearly!$D:$AM, 34, FALSE) / VLOOKUP("LULUCF|NOx|Minor restricted activity days", US_national_yearly!$D:$AM, 10, FALSE), 1)</f>
        <v>0.28588193717986166</v>
      </c>
      <c r="AA14" s="7">
        <f>$B14 * IFERROR(VLOOKUP("LULUCF|NOx|Minor restricted activity days", US_national_yearly!$D:$AM, 35, FALSE) / VLOOKUP("LULUCF|NOx|Minor restricted activity days", US_national_yearly!$D:$AM, 10, FALSE), 1)</f>
        <v>0.28753132191106007</v>
      </c>
      <c r="AB14" s="7">
        <f>$B14 * IFERROR(VLOOKUP("LULUCF|NOx|Minor restricted activity days", US_national_yearly!$D:$AM, 36, FALSE) / VLOOKUP("LULUCF|NOx|Minor restricted activity days", US_national_yearly!$D:$AM, 10, FALSE), 1)</f>
        <v>0.28918070664225853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4.2817406744519254E-2</v>
      </c>
      <c r="C15" s="7">
        <f>$B15 * IFERROR(VLOOKUP("LULUCF|NOx|Work loss days", US_national_yearly!$D:$AM, 11, FALSE) / VLOOKUP("LULUCF|NOx|Work loss days", US_national_yearly!$D:$AM, 10, FALSE), 1)</f>
        <v>4.2912651762391459E-2</v>
      </c>
      <c r="D15" s="7">
        <f>$B15 * IFERROR(VLOOKUP("LULUCF|NOx|Work loss days", US_national_yearly!$D:$AM, 12, FALSE) / VLOOKUP("LULUCF|NOx|Work loss days", US_national_yearly!$D:$AM, 10, FALSE), 1)</f>
        <v>4.300789678026367E-2</v>
      </c>
      <c r="E15" s="7">
        <f>$B15 * IFERROR(VLOOKUP("LULUCF|NOx|Work loss days", US_national_yearly!$D:$AM, 13, FALSE) / VLOOKUP("LULUCF|NOx|Work loss days", US_national_yearly!$D:$AM, 10, FALSE), 1)</f>
        <v>4.3103141798135874E-2</v>
      </c>
      <c r="F15" s="7">
        <f>$B15 * IFERROR(VLOOKUP("LULUCF|NOx|Work loss days", US_national_yearly!$D:$AM, 14, FALSE) / VLOOKUP("LULUCF|NOx|Work loss days", US_national_yearly!$D:$AM, 10, FALSE), 1)</f>
        <v>4.3198386816008086E-2</v>
      </c>
      <c r="G15" s="7">
        <f>$B15 * IFERROR(VLOOKUP("LULUCF|NOx|Work loss days", US_national_yearly!$D:$AM, 15, FALSE) / VLOOKUP("LULUCF|NOx|Work loss days", US_national_yearly!$D:$AM, 10, FALSE), 1)</f>
        <v>4.3337445354583802E-2</v>
      </c>
      <c r="H15" s="7">
        <f>$B15 * IFERROR(VLOOKUP("LULUCF|NOx|Work loss days", US_national_yearly!$D:$AM, 16, FALSE) / VLOOKUP("LULUCF|NOx|Work loss days", US_national_yearly!$D:$AM, 10, FALSE), 1)</f>
        <v>4.3476503893159525E-2</v>
      </c>
      <c r="I15" s="7">
        <f>$B15 * IFERROR(VLOOKUP("LULUCF|NOx|Work loss days", US_national_yearly!$D:$AM, 17, FALSE) / VLOOKUP("LULUCF|NOx|Work loss days", US_national_yearly!$D:$AM, 10, FALSE), 1)</f>
        <v>4.3701771189205492E-2</v>
      </c>
      <c r="J15" s="7">
        <f>$B15 * IFERROR(VLOOKUP("LULUCF|NOx|Work loss days", US_national_yearly!$D:$AM, 18, FALSE) / VLOOKUP("LULUCF|NOx|Work loss days", US_national_yearly!$D:$AM, 10, FALSE), 1)</f>
        <v>4.3927038485251466E-2</v>
      </c>
      <c r="K15" s="7">
        <f>$B15 * IFERROR(VLOOKUP("LULUCF|NOx|Work loss days", US_national_yearly!$D:$AM, 19, FALSE) / VLOOKUP("LULUCF|NOx|Work loss days", US_national_yearly!$D:$AM, 10, FALSE), 1)</f>
        <v>4.4152305781297432E-2</v>
      </c>
      <c r="L15" s="7">
        <f>$B15 * IFERROR(VLOOKUP("LULUCF|NOx|Work loss days", US_national_yearly!$D:$AM, 20, FALSE) / VLOOKUP("LULUCF|NOx|Work loss days", US_national_yearly!$D:$AM, 10, FALSE), 1)</f>
        <v>4.4377573077343406E-2</v>
      </c>
      <c r="M15" s="7">
        <f>$B15 * IFERROR(VLOOKUP("LULUCF|NOx|Work loss days", US_national_yearly!$D:$AM, 21, FALSE) / VLOOKUP("LULUCF|NOx|Work loss days", US_national_yearly!$D:$AM, 10, FALSE), 1)</f>
        <v>4.460284037338938E-2</v>
      </c>
      <c r="N15" s="7">
        <f>$B15 * IFERROR(VLOOKUP("LULUCF|NOx|Work loss days", US_national_yearly!$D:$AM, 22, FALSE) / VLOOKUP("LULUCF|NOx|Work loss days", US_national_yearly!$D:$AM, 10, FALSE), 1)</f>
        <v>4.4896011936176206E-2</v>
      </c>
      <c r="O15" s="7">
        <f>$B15 * IFERROR(VLOOKUP("LULUCF|NOx|Work loss days", US_national_yearly!$D:$AM, 23, FALSE) / VLOOKUP("LULUCF|NOx|Work loss days", US_national_yearly!$D:$AM, 10, FALSE), 1)</f>
        <v>4.5189183498963024E-2</v>
      </c>
      <c r="P15" s="7">
        <f>$B15 * IFERROR(VLOOKUP("LULUCF|NOx|Work loss days", US_national_yearly!$D:$AM, 24, FALSE) / VLOOKUP("LULUCF|NOx|Work loss days", US_national_yearly!$D:$AM, 10, FALSE), 1)</f>
        <v>4.548235506174985E-2</v>
      </c>
      <c r="Q15" s="7">
        <f>$B15 * IFERROR(VLOOKUP("LULUCF|NOx|Work loss days", US_national_yearly!$D:$AM, 25, FALSE) / VLOOKUP("LULUCF|NOx|Work loss days", US_national_yearly!$D:$AM, 10, FALSE), 1)</f>
        <v>4.5775526624536662E-2</v>
      </c>
      <c r="R15" s="7">
        <f>$B15 * IFERROR(VLOOKUP("LULUCF|NOx|Work loss days", US_national_yearly!$D:$AM, 26, FALSE) / VLOOKUP("LULUCF|NOx|Work loss days", US_national_yearly!$D:$AM, 10, FALSE), 1)</f>
        <v>4.6068698187323495E-2</v>
      </c>
      <c r="S15" s="7">
        <f>$B15 * IFERROR(VLOOKUP("LULUCF|NOx|Work loss days", US_national_yearly!$D:$AM, 27, FALSE) / VLOOKUP("LULUCF|NOx|Work loss days", US_national_yearly!$D:$AM, 10, FALSE), 1)</f>
        <v>4.6395546994327075E-2</v>
      </c>
      <c r="T15" s="7">
        <f>$B15 * IFERROR(VLOOKUP("LULUCF|NOx|Work loss days", US_national_yearly!$D:$AM, 28, FALSE) / VLOOKUP("LULUCF|NOx|Work loss days", US_national_yearly!$D:$AM, 10, FALSE), 1)</f>
        <v>4.6722395801330648E-2</v>
      </c>
      <c r="U15" s="7">
        <f>$B15 * IFERROR(VLOOKUP("LULUCF|NOx|Work loss days", US_national_yearly!$D:$AM, 29, FALSE) / VLOOKUP("LULUCF|NOx|Work loss days", US_national_yearly!$D:$AM, 10, FALSE), 1)</f>
        <v>4.7049244608334206E-2</v>
      </c>
      <c r="V15" s="7">
        <f>$B15 * IFERROR(VLOOKUP("LULUCF|NOx|Work loss days", US_national_yearly!$D:$AM, 30, FALSE) / VLOOKUP("LULUCF|NOx|Work loss days", US_national_yearly!$D:$AM, 10, FALSE), 1)</f>
        <v>4.7376093415337786E-2</v>
      </c>
      <c r="W15" s="7">
        <f>$B15 * IFERROR(VLOOKUP("LULUCF|NOx|Work loss days", US_national_yearly!$D:$AM, 31, FALSE) / VLOOKUP("LULUCF|NOx|Work loss days", US_national_yearly!$D:$AM, 10, FALSE), 1)</f>
        <v>4.7702942222341359E-2</v>
      </c>
      <c r="X15" s="7">
        <f>$B15 * IFERROR(VLOOKUP("LULUCF|NOx|Work loss days", US_national_yearly!$D:$AM, 32, FALSE) / VLOOKUP("LULUCF|NOx|Work loss days", US_national_yearly!$D:$AM, 10, FALSE), 1)</f>
        <v>4.7986629560307408E-2</v>
      </c>
      <c r="Y15" s="7">
        <f>$B15 * IFERROR(VLOOKUP("LULUCF|NOx|Work loss days", US_national_yearly!$D:$AM, 33, FALSE) / VLOOKUP("LULUCF|NOx|Work loss days", US_national_yearly!$D:$AM, 10, FALSE), 1)</f>
        <v>4.8270316898273456E-2</v>
      </c>
      <c r="Z15" s="7">
        <f>$B15 * IFERROR(VLOOKUP("LULUCF|NOx|Work loss days", US_national_yearly!$D:$AM, 34, FALSE) / VLOOKUP("LULUCF|NOx|Work loss days", US_national_yearly!$D:$AM, 10, FALSE), 1)</f>
        <v>4.8554004236239505E-2</v>
      </c>
      <c r="AA15" s="7">
        <f>$B15 * IFERROR(VLOOKUP("LULUCF|NOx|Work loss days", US_national_yearly!$D:$AM, 35, FALSE) / VLOOKUP("LULUCF|NOx|Work loss days", US_national_yearly!$D:$AM, 10, FALSE), 1)</f>
        <v>4.8837691574205561E-2</v>
      </c>
      <c r="AB15" s="7">
        <f>$B15 * IFERROR(VLOOKUP("LULUCF|NOx|Work loss days", US_national_yearly!$D:$AM, 36, FALSE) / VLOOKUP("LULUCF|NOx|Work loss days", US_national_yearly!$D:$AM, 10, FALSE), 1)</f>
        <v>4.9121378912171609E-2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7.7291736060381214E-5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7.9562925259245166E-5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8.1834114458109104E-5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8.4105303656973029E-5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8.6376492855836981E-5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8.8533746997755835E-5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9.0691001139674702E-5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9.2505085450264834E-5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9.4319169760854966E-5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9.6133254071445112E-5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9.7947338382035245E-5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9.976142269262539E-5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1.008958297213325E-4</v>
      </c>
      <c r="O17" s="7">
        <f>$B17 * IFERROR(VLOOKUP("LULUCF|NOx|Cardiovascular hospital admissions", US_national_yearly!$D:$AM, 23, FALSE) / VLOOKUP("LULUCF|NOx|Cardiovascular hospital admissions", US_national_yearly!$D:$AM, 10, FALSE), 1)</f>
        <v>1.0203023675003961E-4</v>
      </c>
      <c r="P17" s="7">
        <f>$B17 * IFERROR(VLOOKUP("LULUCF|NOx|Cardiovascular hospital admissions", US_national_yearly!$D:$AM, 24, FALSE) / VLOOKUP("LULUCF|NOx|Cardiovascular hospital admissions", US_national_yearly!$D:$AM, 10, FALSE), 1)</f>
        <v>1.0316464377874672E-4</v>
      </c>
      <c r="Q17" s="7">
        <f>$B17 * IFERROR(VLOOKUP("LULUCF|NOx|Cardiovascular hospital admissions", US_national_yearly!$D:$AM, 25, FALSE) / VLOOKUP("LULUCF|NOx|Cardiovascular hospital admissions", US_national_yearly!$D:$AM, 10, FALSE), 1)</f>
        <v>1.0429905080745385E-4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1.0543345783616094E-4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1.0595105661199769E-4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1.0646865538783443E-4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1.0698625416367116E-4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1.0750385293950789E-4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1.0802145171534463E-4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1.0830951337904798E-4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1.0859757504275132E-4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1.0888563670645468E-4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1.0917369837015802E-4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1.0946176003386137E-4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6.8079953885367462E-4</v>
      </c>
      <c r="C2" s="7">
        <f>$B2 * IFERROR(VLOOKUP("LULUCF|SO2|Premature mortality", US_national_yearly!$D:$AM, 11, FALSE) / VLOOKUP("LULUCF|SO2|Premature mortality", US_national_yearly!$D:$AM, 10, FALSE), 1)</f>
        <v>6.8942149665684137E-4</v>
      </c>
      <c r="D2" s="7">
        <f>$B2 * IFERROR(VLOOKUP("LULUCF|SO2|Premature mortality", US_national_yearly!$D:$AM, 12, FALSE) / VLOOKUP("LULUCF|SO2|Premature mortality", US_national_yearly!$D:$AM, 10, FALSE), 1)</f>
        <v>6.9804345446000822E-4</v>
      </c>
      <c r="E2" s="7">
        <f>$B2 * IFERROR(VLOOKUP("LULUCF|SO2|Premature mortality", US_national_yearly!$D:$AM, 13, FALSE) / VLOOKUP("LULUCF|SO2|Premature mortality", US_national_yearly!$D:$AM, 10, FALSE), 1)</f>
        <v>7.0666541226317508E-4</v>
      </c>
      <c r="F2" s="7">
        <f>$B2 * IFERROR(VLOOKUP("LULUCF|SO2|Premature mortality", US_national_yearly!$D:$AM, 14, FALSE) / VLOOKUP("LULUCF|SO2|Premature mortality", US_national_yearly!$D:$AM, 10, FALSE), 1)</f>
        <v>7.1528737006634183E-4</v>
      </c>
      <c r="G2" s="7">
        <f>$B2 * IFERROR(VLOOKUP("LULUCF|SO2|Premature mortality", US_national_yearly!$D:$AM, 15, FALSE) / VLOOKUP("LULUCF|SO2|Premature mortality", US_national_yearly!$D:$AM, 10, FALSE), 1)</f>
        <v>7.3190139411348585E-4</v>
      </c>
      <c r="H2" s="7">
        <f>$B2 * IFERROR(VLOOKUP("LULUCF|SO2|Premature mortality", US_national_yearly!$D:$AM, 16, FALSE) / VLOOKUP("LULUCF|SO2|Premature mortality", US_national_yearly!$D:$AM, 10, FALSE), 1)</f>
        <v>7.4851541816062976E-4</v>
      </c>
      <c r="I2" s="7">
        <f>$B2 * IFERROR(VLOOKUP("LULUCF|SO2|Premature mortality", US_national_yearly!$D:$AM, 17, FALSE) / VLOOKUP("LULUCF|SO2|Premature mortality", US_national_yearly!$D:$AM, 10, FALSE), 1)</f>
        <v>7.5949498325901478E-4</v>
      </c>
      <c r="J2" s="7">
        <f>$B2 * IFERROR(VLOOKUP("LULUCF|SO2|Premature mortality", US_national_yearly!$D:$AM, 18, FALSE) / VLOOKUP("LULUCF|SO2|Premature mortality", US_national_yearly!$D:$AM, 10, FALSE), 1)</f>
        <v>7.7047454835739969E-4</v>
      </c>
      <c r="K2" s="7">
        <f>$B2 * IFERROR(VLOOKUP("LULUCF|SO2|Premature mortality", US_national_yearly!$D:$AM, 19, FALSE) / VLOOKUP("LULUCF|SO2|Premature mortality", US_national_yearly!$D:$AM, 10, FALSE), 1)</f>
        <v>7.8145411345578459E-4</v>
      </c>
      <c r="L2" s="7">
        <f>$B2 * IFERROR(VLOOKUP("LULUCF|SO2|Premature mortality", US_national_yearly!$D:$AM, 20, FALSE) / VLOOKUP("LULUCF|SO2|Premature mortality", US_national_yearly!$D:$AM, 10, FALSE), 1)</f>
        <v>7.9243367855416961E-4</v>
      </c>
      <c r="M2" s="7">
        <f>$B2 * IFERROR(VLOOKUP("LULUCF|SO2|Premature mortality", US_national_yearly!$D:$AM, 21, FALSE) / VLOOKUP("LULUCF|SO2|Premature mortality", US_national_yearly!$D:$AM, 10, FALSE), 1)</f>
        <v>8.0341324365255451E-4</v>
      </c>
      <c r="N2" s="7">
        <f>$B2 * IFERROR(VLOOKUP("LULUCF|SO2|Premature mortality", US_national_yearly!$D:$AM, 22, FALSE) / VLOOKUP("LULUCF|SO2|Premature mortality", US_national_yearly!$D:$AM, 10, FALSE), 1)</f>
        <v>8.119920802588834E-4</v>
      </c>
      <c r="O2" s="7">
        <f>$B2 * IFERROR(VLOOKUP("LULUCF|SO2|Premature mortality", US_national_yearly!$D:$AM, 23, FALSE) / VLOOKUP("LULUCF|SO2|Premature mortality", US_national_yearly!$D:$AM, 10, FALSE), 1)</f>
        <v>8.2057091686521218E-4</v>
      </c>
      <c r="P2" s="7">
        <f>$B2 * IFERROR(VLOOKUP("LULUCF|SO2|Premature mortality", US_national_yearly!$D:$AM, 24, FALSE) / VLOOKUP("LULUCF|SO2|Premature mortality", US_national_yearly!$D:$AM, 10, FALSE), 1)</f>
        <v>8.2914975347154107E-4</v>
      </c>
      <c r="Q2" s="7">
        <f>$B2 * IFERROR(VLOOKUP("LULUCF|SO2|Premature mortality", US_national_yearly!$D:$AM, 25, FALSE) / VLOOKUP("LULUCF|SO2|Premature mortality", US_national_yearly!$D:$AM, 10, FALSE), 1)</f>
        <v>8.3772859007786985E-4</v>
      </c>
      <c r="R2" s="7">
        <f>$B2 * IFERROR(VLOOKUP("LULUCF|SO2|Premature mortality", US_national_yearly!$D:$AM, 26, FALSE) / VLOOKUP("LULUCF|SO2|Premature mortality", US_national_yearly!$D:$AM, 10, FALSE), 1)</f>
        <v>8.4630742668419863E-4</v>
      </c>
      <c r="S2" s="7">
        <f>$B2 * IFERROR(VLOOKUP("LULUCF|SO2|Premature mortality", US_national_yearly!$D:$AM, 27, FALSE) / VLOOKUP("LULUCF|SO2|Premature mortality", US_national_yearly!$D:$AM, 10, FALSE), 1)</f>
        <v>8.5090150791580646E-4</v>
      </c>
      <c r="T2" s="7">
        <f>$B2 * IFERROR(VLOOKUP("LULUCF|SO2|Premature mortality", US_national_yearly!$D:$AM, 28, FALSE) / VLOOKUP("LULUCF|SO2|Premature mortality", US_national_yearly!$D:$AM, 10, FALSE), 1)</f>
        <v>8.5549558914741418E-4</v>
      </c>
      <c r="U2" s="7">
        <f>$B2 * IFERROR(VLOOKUP("LULUCF|SO2|Premature mortality", US_national_yearly!$D:$AM, 29, FALSE) / VLOOKUP("LULUCF|SO2|Premature mortality", US_national_yearly!$D:$AM, 10, FALSE), 1)</f>
        <v>8.600896703790219E-4</v>
      </c>
      <c r="V2" s="7">
        <f>$B2 * IFERROR(VLOOKUP("LULUCF|SO2|Premature mortality", US_national_yearly!$D:$AM, 30, FALSE) / VLOOKUP("LULUCF|SO2|Premature mortality", US_national_yearly!$D:$AM, 10, FALSE), 1)</f>
        <v>8.6468375161062952E-4</v>
      </c>
      <c r="W2" s="7">
        <f>$B2 * IFERROR(VLOOKUP("LULUCF|SO2|Premature mortality", US_national_yearly!$D:$AM, 31, FALSE) / VLOOKUP("LULUCF|SO2|Premature mortality", US_national_yearly!$D:$AM, 10, FALSE), 1)</f>
        <v>8.6927783284223745E-4</v>
      </c>
      <c r="X2" s="7">
        <f>$B2 * IFERROR(VLOOKUP("LULUCF|SO2|Premature mortality", US_national_yearly!$D:$AM, 32, FALSE) / VLOOKUP("LULUCF|SO2|Premature mortality", US_national_yearly!$D:$AM, 10, FALSE), 1)</f>
        <v>8.7021113449667624E-4</v>
      </c>
      <c r="Y2" s="7">
        <f>$B2 * IFERROR(VLOOKUP("LULUCF|SO2|Premature mortality", US_national_yearly!$D:$AM, 33, FALSE) / VLOOKUP("LULUCF|SO2|Premature mortality", US_national_yearly!$D:$AM, 10, FALSE), 1)</f>
        <v>8.7114443615111514E-4</v>
      </c>
      <c r="Z2" s="7">
        <f>$B2 * IFERROR(VLOOKUP("LULUCF|SO2|Premature mortality", US_national_yearly!$D:$AM, 34, FALSE) / VLOOKUP("LULUCF|SO2|Premature mortality", US_national_yearly!$D:$AM, 10, FALSE), 1)</f>
        <v>8.7207773780555414E-4</v>
      </c>
      <c r="AA2" s="7">
        <f>$B2 * IFERROR(VLOOKUP("LULUCF|SO2|Premature mortality", US_national_yearly!$D:$AM, 35, FALSE) / VLOOKUP("LULUCF|SO2|Premature mortality", US_national_yearly!$D:$AM, 10, FALSE), 1)</f>
        <v>8.7301103945999303E-4</v>
      </c>
      <c r="AB2" s="7">
        <f>$B2 * IFERROR(VLOOKUP("LULUCF|SO2|Premature mortality", US_national_yearly!$D:$AM, 36, FALSE) / VLOOKUP("LULUCF|SO2|Premature mortality", US_national_yearly!$D:$AM, 10, FALSE), 1)</f>
        <v>8.7394434111443182E-4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2.2287519966427893E-6</v>
      </c>
      <c r="C3" s="7">
        <f>$B3 * IFERROR(VLOOKUP("LULUCF|SO2|Infant mortality", US_national_yearly!$D:$AM, 11, FALSE) / VLOOKUP("LULUCF|SO2|Infant mortality", US_national_yearly!$D:$AM, 10, FALSE), 1)</f>
        <v>2.2096066104548474E-6</v>
      </c>
      <c r="D3" s="7">
        <f>$B3 * IFERROR(VLOOKUP("LULUCF|SO2|Infant mortality", US_national_yearly!$D:$AM, 12, FALSE) / VLOOKUP("LULUCF|SO2|Infant mortality", US_national_yearly!$D:$AM, 10, FALSE), 1)</f>
        <v>2.1904612242669056E-6</v>
      </c>
      <c r="E3" s="7">
        <f>$B3 * IFERROR(VLOOKUP("LULUCF|SO2|Infant mortality", US_national_yearly!$D:$AM, 13, FALSE) / VLOOKUP("LULUCF|SO2|Infant mortality", US_national_yearly!$D:$AM, 10, FALSE), 1)</f>
        <v>2.1713158380789633E-6</v>
      </c>
      <c r="F3" s="7">
        <f>$B3 * IFERROR(VLOOKUP("LULUCF|SO2|Infant mortality", US_national_yearly!$D:$AM, 14, FALSE) / VLOOKUP("LULUCF|SO2|Infant mortality", US_national_yearly!$D:$AM, 10, FALSE), 1)</f>
        <v>2.1521704518910215E-6</v>
      </c>
      <c r="G3" s="7">
        <f>$B3 * IFERROR(VLOOKUP("LULUCF|SO2|Infant mortality", US_national_yearly!$D:$AM, 15, FALSE) / VLOOKUP("LULUCF|SO2|Infant mortality", US_national_yearly!$D:$AM, 10, FALSE), 1)</f>
        <v>1.4335188601695319E-6</v>
      </c>
      <c r="H3" s="7">
        <f>$B3 * IFERROR(VLOOKUP("LULUCF|SO2|Infant mortality", US_national_yearly!$D:$AM, 16, FALSE) / VLOOKUP("LULUCF|SO2|Infant mortality", US_national_yearly!$D:$AM, 10, FALSE), 1)</f>
        <v>7.1486726844804346E-7</v>
      </c>
      <c r="I3" s="7">
        <f>$B3 * IFERROR(VLOOKUP("LULUCF|SO2|Infant mortality", US_national_yearly!$D:$AM, 17, FALSE) / VLOOKUP("LULUCF|SO2|Infant mortality", US_national_yearly!$D:$AM, 10, FALSE), 1)</f>
        <v>7.1038269020168797E-7</v>
      </c>
      <c r="J3" s="7">
        <f>$B3 * IFERROR(VLOOKUP("LULUCF|SO2|Infant mortality", US_national_yearly!$D:$AM, 18, FALSE) / VLOOKUP("LULUCF|SO2|Infant mortality", US_national_yearly!$D:$AM, 10, FALSE), 1)</f>
        <v>7.0589811195533248E-7</v>
      </c>
      <c r="K3" s="7">
        <f>$B3 * IFERROR(VLOOKUP("LULUCF|SO2|Infant mortality", US_national_yearly!$D:$AM, 19, FALSE) / VLOOKUP("LULUCF|SO2|Infant mortality", US_national_yearly!$D:$AM, 10, FALSE), 1)</f>
        <v>7.0141353370897699E-7</v>
      </c>
      <c r="L3" s="7">
        <f>$B3 * IFERROR(VLOOKUP("LULUCF|SO2|Infant mortality", US_national_yearly!$D:$AM, 20, FALSE) / VLOOKUP("LULUCF|SO2|Infant mortality", US_national_yearly!$D:$AM, 10, FALSE), 1)</f>
        <v>6.969289554626216E-7</v>
      </c>
      <c r="M3" s="7">
        <f>$B3 * IFERROR(VLOOKUP("LULUCF|SO2|Infant mortality", US_national_yearly!$D:$AM, 21, FALSE) / VLOOKUP("LULUCF|SO2|Infant mortality", US_national_yearly!$D:$AM, 10, FALSE), 1)</f>
        <v>6.9244437721626611E-7</v>
      </c>
      <c r="N3" s="7">
        <f>$B3 * IFERROR(VLOOKUP("LULUCF|SO2|Infant mortality", US_national_yearly!$D:$AM, 22, FALSE) / VLOOKUP("LULUCF|SO2|Infant mortality", US_national_yearly!$D:$AM, 10, FALSE), 1)</f>
        <v>6.8962944102555138E-7</v>
      </c>
      <c r="O3" s="7">
        <f>$B3 * IFERROR(VLOOKUP("LULUCF|SO2|Infant mortality", US_national_yearly!$D:$AM, 23, FALSE) / VLOOKUP("LULUCF|SO2|Infant mortality", US_national_yearly!$D:$AM, 10, FALSE), 1)</f>
        <v>6.8681450483483665E-7</v>
      </c>
      <c r="P3" s="7">
        <f>$B3 * IFERROR(VLOOKUP("LULUCF|SO2|Infant mortality", US_national_yearly!$D:$AM, 24, FALSE) / VLOOKUP("LULUCF|SO2|Infant mortality", US_national_yearly!$D:$AM, 10, FALSE), 1)</f>
        <v>6.8399956864412171E-7</v>
      </c>
      <c r="Q3" s="7">
        <f>$B3 * IFERROR(VLOOKUP("LULUCF|SO2|Infant mortality", US_national_yearly!$D:$AM, 25, FALSE) / VLOOKUP("LULUCF|SO2|Infant mortality", US_national_yearly!$D:$AM, 10, FALSE), 1)</f>
        <v>6.8118463245340698E-7</v>
      </c>
      <c r="R3" s="7">
        <f>$B3 * IFERROR(VLOOKUP("LULUCF|SO2|Infant mortality", US_national_yearly!$D:$AM, 26, FALSE) / VLOOKUP("LULUCF|SO2|Infant mortality", US_national_yearly!$D:$AM, 10, FALSE), 1)</f>
        <v>6.7836969626269204E-7</v>
      </c>
      <c r="S3" s="7">
        <f>$B3 * IFERROR(VLOOKUP("LULUCF|SO2|Infant mortality", US_national_yearly!$D:$AM, 27, FALSE) / VLOOKUP("LULUCF|SO2|Infant mortality", US_national_yearly!$D:$AM, 10, FALSE), 1)</f>
        <v>6.7483537238566603E-7</v>
      </c>
      <c r="T3" s="7">
        <f>$B3 * IFERROR(VLOOKUP("LULUCF|SO2|Infant mortality", US_national_yearly!$D:$AM, 28, FALSE) / VLOOKUP("LULUCF|SO2|Infant mortality", US_national_yearly!$D:$AM, 10, FALSE), 1)</f>
        <v>6.7130104850864003E-7</v>
      </c>
      <c r="U3" s="7">
        <f>$B3 * IFERROR(VLOOKUP("LULUCF|SO2|Infant mortality", US_national_yearly!$D:$AM, 29, FALSE) / VLOOKUP("LULUCF|SO2|Infant mortality", US_national_yearly!$D:$AM, 10, FALSE), 1)</f>
        <v>6.6776672463161371E-7</v>
      </c>
      <c r="V3" s="7">
        <f>$B3 * IFERROR(VLOOKUP("LULUCF|SO2|Infant mortality", US_national_yearly!$D:$AM, 30, FALSE) / VLOOKUP("LULUCF|SO2|Infant mortality", US_national_yearly!$D:$AM, 10, FALSE), 1)</f>
        <v>6.6423240075458781E-7</v>
      </c>
      <c r="W3" s="7">
        <f>$B3 * IFERROR(VLOOKUP("LULUCF|SO2|Infant mortality", US_national_yearly!$D:$AM, 31, FALSE) / VLOOKUP("LULUCF|SO2|Infant mortality", US_national_yearly!$D:$AM, 10, FALSE), 1)</f>
        <v>6.606980768775617E-7</v>
      </c>
      <c r="X3" s="7">
        <f>$B3 * IFERROR(VLOOKUP("LULUCF|SO2|Infant mortality", US_national_yearly!$D:$AM, 32, FALSE) / VLOOKUP("LULUCF|SO2|Infant mortality", US_national_yearly!$D:$AM, 10, FALSE), 1)</f>
        <v>6.5683396993289867E-7</v>
      </c>
      <c r="Y3" s="7">
        <f>$B3 * IFERROR(VLOOKUP("LULUCF|SO2|Infant mortality", US_national_yearly!$D:$AM, 33, FALSE) / VLOOKUP("LULUCF|SO2|Infant mortality", US_national_yearly!$D:$AM, 10, FALSE), 1)</f>
        <v>6.5296986298823544E-7</v>
      </c>
      <c r="Z3" s="7">
        <f>$B3 * IFERROR(VLOOKUP("LULUCF|SO2|Infant mortality", US_national_yearly!$D:$AM, 34, FALSE) / VLOOKUP("LULUCF|SO2|Infant mortality", US_national_yearly!$D:$AM, 10, FALSE), 1)</f>
        <v>6.4910575604357252E-7</v>
      </c>
      <c r="AA3" s="7">
        <f>$B3 * IFERROR(VLOOKUP("LULUCF|SO2|Infant mortality", US_national_yearly!$D:$AM, 35, FALSE) / VLOOKUP("LULUCF|SO2|Infant mortality", US_national_yearly!$D:$AM, 10, FALSE), 1)</f>
        <v>6.4524164909890928E-7</v>
      </c>
      <c r="AB3" s="7">
        <f>$B3 * IFERROR(VLOOKUP("LULUCF|SO2|Infant mortality", US_national_yearly!$D:$AM, 36, FALSE) / VLOOKUP("LULUCF|SO2|Infant mortality", US_national_yearly!$D:$AM, 10, FALSE), 1)</f>
        <v>6.4137754215424636E-7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2.0022274686552497E-3</v>
      </c>
      <c r="C6" s="7">
        <f>$B6 * IFERROR(VLOOKUP("LULUCF|SO2|Asthma symptoms cough", US_national_yearly!$D:$AM, 11, FALSE) / VLOOKUP("LULUCF|SO2|Asthma symptoms cough", US_national_yearly!$D:$AM, 10, FALSE), 1)</f>
        <v>2.0022274686552497E-3</v>
      </c>
      <c r="D6" s="7">
        <f>$B6 * IFERROR(VLOOKUP("LULUCF|SO2|Asthma symptoms cough", US_national_yearly!$D:$AM, 12, FALSE) / VLOOKUP("LULUCF|SO2|Asthma symptoms cough", US_national_yearly!$D:$AM, 10, FALSE), 1)</f>
        <v>2.0022274686552497E-3</v>
      </c>
      <c r="E6" s="7">
        <f>$B6 * IFERROR(VLOOKUP("LULUCF|SO2|Asthma symptoms cough", US_national_yearly!$D:$AM, 13, FALSE) / VLOOKUP("LULUCF|SO2|Asthma symptoms cough", US_national_yearly!$D:$AM, 10, FALSE), 1)</f>
        <v>2.0022274686552497E-3</v>
      </c>
      <c r="F6" s="7">
        <f>$B6 * IFERROR(VLOOKUP("LULUCF|SO2|Asthma symptoms cough", US_national_yearly!$D:$AM, 14, FALSE) / VLOOKUP("LULUCF|SO2|Asthma symptoms cough", US_national_yearly!$D:$AM, 10, FALSE), 1)</f>
        <v>2.0022274686552497E-3</v>
      </c>
      <c r="G6" s="7">
        <f>$B6 * IFERROR(VLOOKUP("LULUCF|SO2|Asthma symptoms cough", US_national_yearly!$D:$AM, 15, FALSE) / VLOOKUP("LULUCF|SO2|Asthma symptoms cough", US_national_yearly!$D:$AM, 10, FALSE), 1)</f>
        <v>2.0022274686552497E-3</v>
      </c>
      <c r="H6" s="7">
        <f>$B6 * IFERROR(VLOOKUP("LULUCF|SO2|Asthma symptoms cough", US_national_yearly!$D:$AM, 16, FALSE) / VLOOKUP("LULUCF|SO2|Asthma symptoms cough", US_national_yearly!$D:$AM, 10, FALSE), 1)</f>
        <v>2.0022274686552497E-3</v>
      </c>
      <c r="I6" s="7">
        <f>$B6 * IFERROR(VLOOKUP("LULUCF|SO2|Asthma symptoms cough", US_national_yearly!$D:$AM, 17, FALSE) / VLOOKUP("LULUCF|SO2|Asthma symptoms cough", US_national_yearly!$D:$AM, 10, FALSE), 1)</f>
        <v>2.0022274686552497E-3</v>
      </c>
      <c r="J6" s="7">
        <f>$B6 * IFERROR(VLOOKUP("LULUCF|SO2|Asthma symptoms cough", US_national_yearly!$D:$AM, 18, FALSE) / VLOOKUP("LULUCF|SO2|Asthma symptoms cough", US_national_yearly!$D:$AM, 10, FALSE), 1)</f>
        <v>2.0022274686552497E-3</v>
      </c>
      <c r="K6" s="7">
        <f>$B6 * IFERROR(VLOOKUP("LULUCF|SO2|Asthma symptoms cough", US_national_yearly!$D:$AM, 19, FALSE) / VLOOKUP("LULUCF|SO2|Asthma symptoms cough", US_national_yearly!$D:$AM, 10, FALSE), 1)</f>
        <v>2.0022274686552497E-3</v>
      </c>
      <c r="L6" s="7">
        <f>$B6 * IFERROR(VLOOKUP("LULUCF|SO2|Asthma symptoms cough", US_national_yearly!$D:$AM, 20, FALSE) / VLOOKUP("LULUCF|SO2|Asthma symptoms cough", US_national_yearly!$D:$AM, 10, FALSE), 1)</f>
        <v>2.0022274686552497E-3</v>
      </c>
      <c r="M6" s="7">
        <f>$B6 * IFERROR(VLOOKUP("LULUCF|SO2|Asthma symptoms cough", US_national_yearly!$D:$AM, 21, FALSE) / VLOOKUP("LULUCF|SO2|Asthma symptoms cough", US_national_yearly!$D:$AM, 10, FALSE), 1)</f>
        <v>2.0022274686552497E-3</v>
      </c>
      <c r="N6" s="7">
        <f>$B6 * IFERROR(VLOOKUP("LULUCF|SO2|Asthma symptoms cough", US_national_yearly!$D:$AM, 22, FALSE) / VLOOKUP("LULUCF|SO2|Asthma symptoms cough", US_national_yearly!$D:$AM, 10, FALSE), 1)</f>
        <v>2.0022274686552497E-3</v>
      </c>
      <c r="O6" s="7">
        <f>$B6 * IFERROR(VLOOKUP("LULUCF|SO2|Asthma symptoms cough", US_national_yearly!$D:$AM, 23, FALSE) / VLOOKUP("LULUCF|SO2|Asthma symptoms cough", US_national_yearly!$D:$AM, 10, FALSE), 1)</f>
        <v>2.0022274686552497E-3</v>
      </c>
      <c r="P6" s="7">
        <f>$B6 * IFERROR(VLOOKUP("LULUCF|SO2|Asthma symptoms cough", US_national_yearly!$D:$AM, 24, FALSE) / VLOOKUP("LULUCF|SO2|Asthma symptoms cough", US_national_yearly!$D:$AM, 10, FALSE), 1)</f>
        <v>2.0022274686552497E-3</v>
      </c>
      <c r="Q6" s="7">
        <f>$B6 * IFERROR(VLOOKUP("LULUCF|SO2|Asthma symptoms cough", US_national_yearly!$D:$AM, 25, FALSE) / VLOOKUP("LULUCF|SO2|Asthma symptoms cough", US_national_yearly!$D:$AM, 10, FALSE), 1)</f>
        <v>2.0022274686552497E-3</v>
      </c>
      <c r="R6" s="7">
        <f>$B6 * IFERROR(VLOOKUP("LULUCF|SO2|Asthma symptoms cough", US_national_yearly!$D:$AM, 26, FALSE) / VLOOKUP("LULUCF|SO2|Asthma symptoms cough", US_national_yearly!$D:$AM, 10, FALSE), 1)</f>
        <v>2.0022274686552497E-3</v>
      </c>
      <c r="S6" s="7">
        <f>$B6 * IFERROR(VLOOKUP("LULUCF|SO2|Asthma symptoms cough", US_national_yearly!$D:$AM, 27, FALSE) / VLOOKUP("LULUCF|SO2|Asthma symptoms cough", US_national_yearly!$D:$AM, 10, FALSE), 1)</f>
        <v>2.0022274686552497E-3</v>
      </c>
      <c r="T6" s="7">
        <f>$B6 * IFERROR(VLOOKUP("LULUCF|SO2|Asthma symptoms cough", US_national_yearly!$D:$AM, 28, FALSE) / VLOOKUP("LULUCF|SO2|Asthma symptoms cough", US_national_yearly!$D:$AM, 10, FALSE), 1)</f>
        <v>2.0022274686552497E-3</v>
      </c>
      <c r="U6" s="7">
        <f>$B6 * IFERROR(VLOOKUP("LULUCF|SO2|Asthma symptoms cough", US_national_yearly!$D:$AM, 29, FALSE) / VLOOKUP("LULUCF|SO2|Asthma symptoms cough", US_national_yearly!$D:$AM, 10, FALSE), 1)</f>
        <v>2.0022274686552497E-3</v>
      </c>
      <c r="V6" s="7">
        <f>$B6 * IFERROR(VLOOKUP("LULUCF|SO2|Asthma symptoms cough", US_national_yearly!$D:$AM, 30, FALSE) / VLOOKUP("LULUCF|SO2|Asthma symptoms cough", US_national_yearly!$D:$AM, 10, FALSE), 1)</f>
        <v>2.0022274686552497E-3</v>
      </c>
      <c r="W6" s="7">
        <f>$B6 * IFERROR(VLOOKUP("LULUCF|SO2|Asthma symptoms cough", US_national_yearly!$D:$AM, 31, FALSE) / VLOOKUP("LULUCF|SO2|Asthma symptoms cough", US_national_yearly!$D:$AM, 10, FALSE), 1)</f>
        <v>2.0022274686552497E-3</v>
      </c>
      <c r="X6" s="7">
        <f>$B6 * IFERROR(VLOOKUP("LULUCF|SO2|Asthma symptoms cough", US_national_yearly!$D:$AM, 32, FALSE) / VLOOKUP("LULUCF|SO2|Asthma symptoms cough", US_national_yearly!$D:$AM, 10, FALSE), 1)</f>
        <v>2.0022274686552497E-3</v>
      </c>
      <c r="Y6" s="7">
        <f>$B6 * IFERROR(VLOOKUP("LULUCF|SO2|Asthma symptoms cough", US_national_yearly!$D:$AM, 33, FALSE) / VLOOKUP("LULUCF|SO2|Asthma symptoms cough", US_national_yearly!$D:$AM, 10, FALSE), 1)</f>
        <v>2.0022274686552497E-3</v>
      </c>
      <c r="Z6" s="7">
        <f>$B6 * IFERROR(VLOOKUP("LULUCF|SO2|Asthma symptoms cough", US_national_yearly!$D:$AM, 34, FALSE) / VLOOKUP("LULUCF|SO2|Asthma symptoms cough", US_national_yearly!$D:$AM, 10, FALSE), 1)</f>
        <v>2.0022274686552497E-3</v>
      </c>
      <c r="AA6" s="7">
        <f>$B6 * IFERROR(VLOOKUP("LULUCF|SO2|Asthma symptoms cough", US_national_yearly!$D:$AM, 35, FALSE) / VLOOKUP("LULUCF|SO2|Asthma symptoms cough", US_national_yearly!$D:$AM, 10, FALSE), 1)</f>
        <v>2.0022274686552497E-3</v>
      </c>
      <c r="AB6" s="7">
        <f>$B6 * IFERROR(VLOOKUP("LULUCF|SO2|Asthma symptoms cough", US_national_yearly!$D:$AM, 36, FALSE) / VLOOKUP("LULUCF|SO2|Asthma symptoms cough", US_national_yearly!$D:$AM, 10, FALSE), 1)</f>
        <v>2.0022274686552497E-3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2.6962705867477261E-3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2.6962705867477261E-3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2.6962705867477261E-3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2.6962705867477261E-3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2.6962705867477261E-3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2.6962705867477261E-3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2.6962705867477261E-3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2.6962705867477261E-3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2.6962705867477261E-3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2.6962705867477261E-3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2.6962705867477261E-3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2.6962705867477261E-3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2.6962705867477261E-3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2.6962705867477261E-3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2.6962705867477261E-3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2.6962705867477261E-3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2.6962705867477261E-3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2.6962705867477261E-3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2.6962705867477261E-3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2.6962705867477261E-3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2.6962705867477261E-3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2.6962705867477261E-3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2.6962705867477261E-3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2.6962705867477261E-3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2.6962705867477261E-3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2.6962705867477261E-3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2.6962705867477261E-3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4.1195130940917439E-3</v>
      </c>
      <c r="C8" s="7">
        <f>$B8 * IFERROR(VLOOKUP("LULUCF|SO2|Asthma symptoms wheeze", US_national_yearly!$D:$AM, 11, FALSE) / VLOOKUP("LULUCF|SO2|Asthma symptoms wheeze", US_national_yearly!$D:$AM, 10, FALSE), 1)</f>
        <v>4.1195130940917439E-3</v>
      </c>
      <c r="D8" s="7">
        <f>$B8 * IFERROR(VLOOKUP("LULUCF|SO2|Asthma symptoms wheeze", US_national_yearly!$D:$AM, 12, FALSE) / VLOOKUP("LULUCF|SO2|Asthma symptoms wheeze", US_national_yearly!$D:$AM, 10, FALSE), 1)</f>
        <v>4.1195130940917439E-3</v>
      </c>
      <c r="E8" s="7">
        <f>$B8 * IFERROR(VLOOKUP("LULUCF|SO2|Asthma symptoms wheeze", US_national_yearly!$D:$AM, 13, FALSE) / VLOOKUP("LULUCF|SO2|Asthma symptoms wheeze", US_national_yearly!$D:$AM, 10, FALSE), 1)</f>
        <v>4.1195130940917439E-3</v>
      </c>
      <c r="F8" s="7">
        <f>$B8 * IFERROR(VLOOKUP("LULUCF|SO2|Asthma symptoms wheeze", US_national_yearly!$D:$AM, 14, FALSE) / VLOOKUP("LULUCF|SO2|Asthma symptoms wheeze", US_national_yearly!$D:$AM, 10, FALSE), 1)</f>
        <v>4.1195130940917439E-3</v>
      </c>
      <c r="G8" s="7">
        <f>$B8 * IFERROR(VLOOKUP("LULUCF|SO2|Asthma symptoms wheeze", US_national_yearly!$D:$AM, 15, FALSE) / VLOOKUP("LULUCF|SO2|Asthma symptoms wheeze", US_national_yearly!$D:$AM, 10, FALSE), 1)</f>
        <v>4.1195130940917439E-3</v>
      </c>
      <c r="H8" s="7">
        <f>$B8 * IFERROR(VLOOKUP("LULUCF|SO2|Asthma symptoms wheeze", US_national_yearly!$D:$AM, 16, FALSE) / VLOOKUP("LULUCF|SO2|Asthma symptoms wheeze", US_national_yearly!$D:$AM, 10, FALSE), 1)</f>
        <v>4.1195130940917439E-3</v>
      </c>
      <c r="I8" s="7">
        <f>$B8 * IFERROR(VLOOKUP("LULUCF|SO2|Asthma symptoms wheeze", US_national_yearly!$D:$AM, 17, FALSE) / VLOOKUP("LULUCF|SO2|Asthma symptoms wheeze", US_national_yearly!$D:$AM, 10, FALSE), 1)</f>
        <v>4.1195130940917439E-3</v>
      </c>
      <c r="J8" s="7">
        <f>$B8 * IFERROR(VLOOKUP("LULUCF|SO2|Asthma symptoms wheeze", US_national_yearly!$D:$AM, 18, FALSE) / VLOOKUP("LULUCF|SO2|Asthma symptoms wheeze", US_national_yearly!$D:$AM, 10, FALSE), 1)</f>
        <v>4.1195130940917439E-3</v>
      </c>
      <c r="K8" s="7">
        <f>$B8 * IFERROR(VLOOKUP("LULUCF|SO2|Asthma symptoms wheeze", US_national_yearly!$D:$AM, 19, FALSE) / VLOOKUP("LULUCF|SO2|Asthma symptoms wheeze", US_national_yearly!$D:$AM, 10, FALSE), 1)</f>
        <v>4.1195130940917439E-3</v>
      </c>
      <c r="L8" s="7">
        <f>$B8 * IFERROR(VLOOKUP("LULUCF|SO2|Asthma symptoms wheeze", US_national_yearly!$D:$AM, 20, FALSE) / VLOOKUP("LULUCF|SO2|Asthma symptoms wheeze", US_national_yearly!$D:$AM, 10, FALSE), 1)</f>
        <v>4.1195130940917439E-3</v>
      </c>
      <c r="M8" s="7">
        <f>$B8 * IFERROR(VLOOKUP("LULUCF|SO2|Asthma symptoms wheeze", US_national_yearly!$D:$AM, 21, FALSE) / VLOOKUP("LULUCF|SO2|Asthma symptoms wheeze", US_national_yearly!$D:$AM, 10, FALSE), 1)</f>
        <v>4.1195130940917439E-3</v>
      </c>
      <c r="N8" s="7">
        <f>$B8 * IFERROR(VLOOKUP("LULUCF|SO2|Asthma symptoms wheeze", US_national_yearly!$D:$AM, 22, FALSE) / VLOOKUP("LULUCF|SO2|Asthma symptoms wheeze", US_national_yearly!$D:$AM, 10, FALSE), 1)</f>
        <v>4.1195130940917439E-3</v>
      </c>
      <c r="O8" s="7">
        <f>$B8 * IFERROR(VLOOKUP("LULUCF|SO2|Asthma symptoms wheeze", US_national_yearly!$D:$AM, 23, FALSE) / VLOOKUP("LULUCF|SO2|Asthma symptoms wheeze", US_national_yearly!$D:$AM, 10, FALSE), 1)</f>
        <v>4.1195130940917439E-3</v>
      </c>
      <c r="P8" s="7">
        <f>$B8 * IFERROR(VLOOKUP("LULUCF|SO2|Asthma symptoms wheeze", US_national_yearly!$D:$AM, 24, FALSE) / VLOOKUP("LULUCF|SO2|Asthma symptoms wheeze", US_national_yearly!$D:$AM, 10, FALSE), 1)</f>
        <v>4.1195130940917439E-3</v>
      </c>
      <c r="Q8" s="7">
        <f>$B8 * IFERROR(VLOOKUP("LULUCF|SO2|Asthma symptoms wheeze", US_national_yearly!$D:$AM, 25, FALSE) / VLOOKUP("LULUCF|SO2|Asthma symptoms wheeze", US_national_yearly!$D:$AM, 10, FALSE), 1)</f>
        <v>4.1195130940917439E-3</v>
      </c>
      <c r="R8" s="7">
        <f>$B8 * IFERROR(VLOOKUP("LULUCF|SO2|Asthma symptoms wheeze", US_national_yearly!$D:$AM, 26, FALSE) / VLOOKUP("LULUCF|SO2|Asthma symptoms wheeze", US_national_yearly!$D:$AM, 10, FALSE), 1)</f>
        <v>4.1195130940917439E-3</v>
      </c>
      <c r="S8" s="7">
        <f>$B8 * IFERROR(VLOOKUP("LULUCF|SO2|Asthma symptoms wheeze", US_national_yearly!$D:$AM, 27, FALSE) / VLOOKUP("LULUCF|SO2|Asthma symptoms wheeze", US_national_yearly!$D:$AM, 10, FALSE), 1)</f>
        <v>4.1195130940917439E-3</v>
      </c>
      <c r="T8" s="7">
        <f>$B8 * IFERROR(VLOOKUP("LULUCF|SO2|Asthma symptoms wheeze", US_national_yearly!$D:$AM, 28, FALSE) / VLOOKUP("LULUCF|SO2|Asthma symptoms wheeze", US_national_yearly!$D:$AM, 10, FALSE), 1)</f>
        <v>4.1195130940917439E-3</v>
      </c>
      <c r="U8" s="7">
        <f>$B8 * IFERROR(VLOOKUP("LULUCF|SO2|Asthma symptoms wheeze", US_national_yearly!$D:$AM, 29, FALSE) / VLOOKUP("LULUCF|SO2|Asthma symptoms wheeze", US_national_yearly!$D:$AM, 10, FALSE), 1)</f>
        <v>4.1195130940917439E-3</v>
      </c>
      <c r="V8" s="7">
        <f>$B8 * IFERROR(VLOOKUP("LULUCF|SO2|Asthma symptoms wheeze", US_national_yearly!$D:$AM, 30, FALSE) / VLOOKUP("LULUCF|SO2|Asthma symptoms wheeze", US_national_yearly!$D:$AM, 10, FALSE), 1)</f>
        <v>4.1195130940917439E-3</v>
      </c>
      <c r="W8" s="7">
        <f>$B8 * IFERROR(VLOOKUP("LULUCF|SO2|Asthma symptoms wheeze", US_national_yearly!$D:$AM, 31, FALSE) / VLOOKUP("LULUCF|SO2|Asthma symptoms wheeze", US_national_yearly!$D:$AM, 10, FALSE), 1)</f>
        <v>4.1195130940917439E-3</v>
      </c>
      <c r="X8" s="7">
        <f>$B8 * IFERROR(VLOOKUP("LULUCF|SO2|Asthma symptoms wheeze", US_national_yearly!$D:$AM, 32, FALSE) / VLOOKUP("LULUCF|SO2|Asthma symptoms wheeze", US_national_yearly!$D:$AM, 10, FALSE), 1)</f>
        <v>4.1195130940917439E-3</v>
      </c>
      <c r="Y8" s="7">
        <f>$B8 * IFERROR(VLOOKUP("LULUCF|SO2|Asthma symptoms wheeze", US_national_yearly!$D:$AM, 33, FALSE) / VLOOKUP("LULUCF|SO2|Asthma symptoms wheeze", US_national_yearly!$D:$AM, 10, FALSE), 1)</f>
        <v>4.1195130940917439E-3</v>
      </c>
      <c r="Z8" s="7">
        <f>$B8 * IFERROR(VLOOKUP("LULUCF|SO2|Asthma symptoms wheeze", US_national_yearly!$D:$AM, 34, FALSE) / VLOOKUP("LULUCF|SO2|Asthma symptoms wheeze", US_national_yearly!$D:$AM, 10, FALSE), 1)</f>
        <v>4.1195130940917439E-3</v>
      </c>
      <c r="AA8" s="7">
        <f>$B8 * IFERROR(VLOOKUP("LULUCF|SO2|Asthma symptoms wheeze", US_national_yearly!$D:$AM, 35, FALSE) / VLOOKUP("LULUCF|SO2|Asthma symptoms wheeze", US_national_yearly!$D:$AM, 10, FALSE), 1)</f>
        <v>4.1195130940917439E-3</v>
      </c>
      <c r="AB8" s="7">
        <f>$B8 * IFERROR(VLOOKUP("LULUCF|SO2|Asthma symptoms wheeze", US_national_yearly!$D:$AM, 36, FALSE) / VLOOKUP("LULUCF|SO2|Asthma symptoms wheeze", US_national_yearly!$D:$AM, 10, FALSE), 1)</f>
        <v>4.1195130940917439E-3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4.4227262647022229E-5</v>
      </c>
      <c r="C12" s="7">
        <f>$B12 * IFERROR(VLOOKUP("LULUCF|SO2|Respiratory hospital admissions", US_national_yearly!$D:$AM, 11, FALSE) / VLOOKUP("LULUCF|SO2|Respiratory hospital admissions", US_national_yearly!$D:$AM, 10, FALSE), 1)</f>
        <v>4.4488117239983738E-5</v>
      </c>
      <c r="D12" s="7">
        <f>$B12 * IFERROR(VLOOKUP("LULUCF|SO2|Respiratory hospital admissions", US_national_yearly!$D:$AM, 12, FALSE) / VLOOKUP("LULUCF|SO2|Respiratory hospital admissions", US_national_yearly!$D:$AM, 10, FALSE), 1)</f>
        <v>4.4748971832945246E-5</v>
      </c>
      <c r="E12" s="7">
        <f>$B12 * IFERROR(VLOOKUP("LULUCF|SO2|Respiratory hospital admissions", US_national_yearly!$D:$AM, 13, FALSE) / VLOOKUP("LULUCF|SO2|Respiratory hospital admissions", US_national_yearly!$D:$AM, 10, FALSE), 1)</f>
        <v>4.5009826425906755E-5</v>
      </c>
      <c r="F12" s="7">
        <f>$B12 * IFERROR(VLOOKUP("LULUCF|SO2|Respiratory hospital admissions", US_national_yearly!$D:$AM, 14, FALSE) / VLOOKUP("LULUCF|SO2|Respiratory hospital admissions", US_national_yearly!$D:$AM, 10, FALSE), 1)</f>
        <v>4.5270681018868263E-5</v>
      </c>
      <c r="G12" s="7">
        <f>$B12 * IFERROR(VLOOKUP("LULUCF|SO2|Respiratory hospital admissions", US_national_yearly!$D:$AM, 15, FALSE) / VLOOKUP("LULUCF|SO2|Respiratory hospital admissions", US_national_yearly!$D:$AM, 10, FALSE), 1)</f>
        <v>4.5555056523799984E-5</v>
      </c>
      <c r="H12" s="7">
        <f>$B12 * IFERROR(VLOOKUP("LULUCF|SO2|Respiratory hospital admissions", US_national_yearly!$D:$AM, 16, FALSE) / VLOOKUP("LULUCF|SO2|Respiratory hospital admissions", US_national_yearly!$D:$AM, 10, FALSE), 1)</f>
        <v>4.5839432028731704E-5</v>
      </c>
      <c r="I12" s="7">
        <f>$B12 * IFERROR(VLOOKUP("LULUCF|SO2|Respiratory hospital admissions", US_national_yearly!$D:$AM, 17, FALSE) / VLOOKUP("LULUCF|SO2|Respiratory hospital admissions", US_national_yearly!$D:$AM, 10, FALSE), 1)</f>
        <v>4.6119860135516607E-5</v>
      </c>
      <c r="J12" s="7">
        <f>$B12 * IFERROR(VLOOKUP("LULUCF|SO2|Respiratory hospital admissions", US_national_yearly!$D:$AM, 18, FALSE) / VLOOKUP("LULUCF|SO2|Respiratory hospital admissions", US_national_yearly!$D:$AM, 10, FALSE), 1)</f>
        <v>4.6400288242301517E-5</v>
      </c>
      <c r="K12" s="7">
        <f>$B12 * IFERROR(VLOOKUP("LULUCF|SO2|Respiratory hospital admissions", US_national_yearly!$D:$AM, 19, FALSE) / VLOOKUP("LULUCF|SO2|Respiratory hospital admissions", US_national_yearly!$D:$AM, 10, FALSE), 1)</f>
        <v>4.6680716349086407E-5</v>
      </c>
      <c r="L12" s="7">
        <f>$B12 * IFERROR(VLOOKUP("LULUCF|SO2|Respiratory hospital admissions", US_national_yearly!$D:$AM, 20, FALSE) / VLOOKUP("LULUCF|SO2|Respiratory hospital admissions", US_national_yearly!$D:$AM, 10, FALSE), 1)</f>
        <v>4.6961144455871323E-5</v>
      </c>
      <c r="M12" s="7">
        <f>$B12 * IFERROR(VLOOKUP("LULUCF|SO2|Respiratory hospital admissions", US_national_yearly!$D:$AM, 21, FALSE) / VLOOKUP("LULUCF|SO2|Respiratory hospital admissions", US_national_yearly!$D:$AM, 10, FALSE), 1)</f>
        <v>4.7241572562656213E-5</v>
      </c>
      <c r="N12" s="7">
        <f>$B12 * IFERROR(VLOOKUP("LULUCF|SO2|Respiratory hospital admissions", US_national_yearly!$D:$AM, 22, FALSE) / VLOOKUP("LULUCF|SO2|Respiratory hospital admissions", US_national_yearly!$D:$AM, 10, FALSE), 1)</f>
        <v>4.7446276424186789E-5</v>
      </c>
      <c r="O12" s="7">
        <f>$B12 * IFERROR(VLOOKUP("LULUCF|SO2|Respiratory hospital admissions", US_national_yearly!$D:$AM, 23, FALSE) / VLOOKUP("LULUCF|SO2|Respiratory hospital admissions", US_national_yearly!$D:$AM, 10, FALSE), 1)</f>
        <v>4.7650980285717359E-5</v>
      </c>
      <c r="P12" s="7">
        <f>$B12 * IFERROR(VLOOKUP("LULUCF|SO2|Respiratory hospital admissions", US_national_yearly!$D:$AM, 24, FALSE) / VLOOKUP("LULUCF|SO2|Respiratory hospital admissions", US_national_yearly!$D:$AM, 10, FALSE), 1)</f>
        <v>4.7855684147247929E-5</v>
      </c>
      <c r="Q12" s="7">
        <f>$B12 * IFERROR(VLOOKUP("LULUCF|SO2|Respiratory hospital admissions", US_national_yearly!$D:$AM, 25, FALSE) / VLOOKUP("LULUCF|SO2|Respiratory hospital admissions", US_national_yearly!$D:$AM, 10, FALSE), 1)</f>
        <v>4.8060388008778513E-5</v>
      </c>
      <c r="R12" s="7">
        <f>$B12 * IFERROR(VLOOKUP("LULUCF|SO2|Respiratory hospital admissions", US_national_yearly!$D:$AM, 26, FALSE) / VLOOKUP("LULUCF|SO2|Respiratory hospital admissions", US_national_yearly!$D:$AM, 10, FALSE), 1)</f>
        <v>4.8265091870309082E-5</v>
      </c>
      <c r="S12" s="7">
        <f>$B12 * IFERROR(VLOOKUP("LULUCF|SO2|Respiratory hospital admissions", US_national_yearly!$D:$AM, 27, FALSE) / VLOOKUP("LULUCF|SO2|Respiratory hospital admissions", US_national_yearly!$D:$AM, 10, FALSE), 1)</f>
        <v>4.846036373486387E-5</v>
      </c>
      <c r="T12" s="7">
        <f>$B12 * IFERROR(VLOOKUP("LULUCF|SO2|Respiratory hospital admissions", US_national_yearly!$D:$AM, 28, FALSE) / VLOOKUP("LULUCF|SO2|Respiratory hospital admissions", US_national_yearly!$D:$AM, 10, FALSE), 1)</f>
        <v>4.8655635599418652E-5</v>
      </c>
      <c r="U12" s="7">
        <f>$B12 * IFERROR(VLOOKUP("LULUCF|SO2|Respiratory hospital admissions", US_national_yearly!$D:$AM, 29, FALSE) / VLOOKUP("LULUCF|SO2|Respiratory hospital admissions", US_national_yearly!$D:$AM, 10, FALSE), 1)</f>
        <v>4.885090746397344E-5</v>
      </c>
      <c r="V12" s="7">
        <f>$B12 * IFERROR(VLOOKUP("LULUCF|SO2|Respiratory hospital admissions", US_national_yearly!$D:$AM, 30, FALSE) / VLOOKUP("LULUCF|SO2|Respiratory hospital admissions", US_national_yearly!$D:$AM, 10, FALSE), 1)</f>
        <v>4.9046179328528228E-5</v>
      </c>
      <c r="W12" s="7">
        <f>$B12 * IFERROR(VLOOKUP("LULUCF|SO2|Respiratory hospital admissions", US_national_yearly!$D:$AM, 31, FALSE) / VLOOKUP("LULUCF|SO2|Respiratory hospital admissions", US_national_yearly!$D:$AM, 10, FALSE), 1)</f>
        <v>4.9241451193083016E-5</v>
      </c>
      <c r="X12" s="7">
        <f>$B12 * IFERROR(VLOOKUP("LULUCF|SO2|Respiratory hospital admissions", US_national_yearly!$D:$AM, 32, FALSE) / VLOOKUP("LULUCF|SO2|Respiratory hospital admissions", US_national_yearly!$D:$AM, 10, FALSE), 1)</f>
        <v>4.9426732132715324E-5</v>
      </c>
      <c r="Y12" s="7">
        <f>$B12 * IFERROR(VLOOKUP("LULUCF|SO2|Respiratory hospital admissions", US_national_yearly!$D:$AM, 33, FALSE) / VLOOKUP("LULUCF|SO2|Respiratory hospital admissions", US_national_yearly!$D:$AM, 10, FALSE), 1)</f>
        <v>4.9612013072347633E-5</v>
      </c>
      <c r="Z12" s="7">
        <f>$B12 * IFERROR(VLOOKUP("LULUCF|SO2|Respiratory hospital admissions", US_national_yearly!$D:$AM, 34, FALSE) / VLOOKUP("LULUCF|SO2|Respiratory hospital admissions", US_national_yearly!$D:$AM, 10, FALSE), 1)</f>
        <v>4.9797294011979941E-5</v>
      </c>
      <c r="AA12" s="7">
        <f>$B12 * IFERROR(VLOOKUP("LULUCF|SO2|Respiratory hospital admissions", US_national_yearly!$D:$AM, 35, FALSE) / VLOOKUP("LULUCF|SO2|Respiratory hospital admissions", US_national_yearly!$D:$AM, 10, FALSE), 1)</f>
        <v>4.998257495161225E-5</v>
      </c>
      <c r="AB12" s="7">
        <f>$B12 * IFERROR(VLOOKUP("LULUCF|SO2|Respiratory hospital admissions", US_national_yearly!$D:$AM, 36, FALSE) / VLOOKUP("LULUCF|SO2|Respiratory hospital admissions", US_national_yearly!$D:$AM, 10, FALSE), 1)</f>
        <v>5.0167855891244565E-5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2.9964910687318714E-4</v>
      </c>
      <c r="C13" s="7">
        <f>$B13 * IFERROR(VLOOKUP("LULUCF|SO2|Non-fatal heart attacks", US_national_yearly!$D:$AM, 11, FALSE) / VLOOKUP("LULUCF|SO2|Non-fatal heart attacks", US_national_yearly!$D:$AM, 10, FALSE), 1)</f>
        <v>3.0844571626575078E-4</v>
      </c>
      <c r="D13" s="7">
        <f>$B13 * IFERROR(VLOOKUP("LULUCF|SO2|Non-fatal heart attacks", US_national_yearly!$D:$AM, 12, FALSE) / VLOOKUP("LULUCF|SO2|Non-fatal heart attacks", US_national_yearly!$D:$AM, 10, FALSE), 1)</f>
        <v>3.1724232565831436E-4</v>
      </c>
      <c r="E13" s="7">
        <f>$B13 * IFERROR(VLOOKUP("LULUCF|SO2|Non-fatal heart attacks", US_national_yearly!$D:$AM, 13, FALSE) / VLOOKUP("LULUCF|SO2|Non-fatal heart attacks", US_national_yearly!$D:$AM, 10, FALSE), 1)</f>
        <v>3.2603893505087799E-4</v>
      </c>
      <c r="F13" s="7">
        <f>$B13 * IFERROR(VLOOKUP("LULUCF|SO2|Non-fatal heart attacks", US_national_yearly!$D:$AM, 14, FALSE) / VLOOKUP("LULUCF|SO2|Non-fatal heart attacks", US_national_yearly!$D:$AM, 10, FALSE), 1)</f>
        <v>3.3483554444344152E-4</v>
      </c>
      <c r="G13" s="7">
        <f>$B13 * IFERROR(VLOOKUP("LULUCF|SO2|Non-fatal heart attacks", US_national_yearly!$D:$AM, 15, FALSE) / VLOOKUP("LULUCF|SO2|Non-fatal heart attacks", US_national_yearly!$D:$AM, 10, FALSE), 1)</f>
        <v>3.4313156303599553E-4</v>
      </c>
      <c r="H13" s="7">
        <f>$B13 * IFERROR(VLOOKUP("LULUCF|SO2|Non-fatal heart attacks", US_national_yearly!$D:$AM, 16, FALSE) / VLOOKUP("LULUCF|SO2|Non-fatal heart attacks", US_national_yearly!$D:$AM, 10, FALSE), 1)</f>
        <v>3.5142758162854954E-4</v>
      </c>
      <c r="I13" s="7">
        <f>$B13 * IFERROR(VLOOKUP("LULUCF|SO2|Non-fatal heart attacks", US_national_yearly!$D:$AM, 17, FALSE) / VLOOKUP("LULUCF|SO2|Non-fatal heart attacks", US_national_yearly!$D:$AM, 10, FALSE), 1)</f>
        <v>3.5810327591400575E-4</v>
      </c>
      <c r="J13" s="7">
        <f>$B13 * IFERROR(VLOOKUP("LULUCF|SO2|Non-fatal heart attacks", US_national_yearly!$D:$AM, 18, FALSE) / VLOOKUP("LULUCF|SO2|Non-fatal heart attacks", US_national_yearly!$D:$AM, 10, FALSE), 1)</f>
        <v>3.6477897019946207E-4</v>
      </c>
      <c r="K13" s="7">
        <f>$B13 * IFERROR(VLOOKUP("LULUCF|SO2|Non-fatal heart attacks", US_national_yearly!$D:$AM, 19, FALSE) / VLOOKUP("LULUCF|SO2|Non-fatal heart attacks", US_national_yearly!$D:$AM, 10, FALSE), 1)</f>
        <v>3.7145466448491833E-4</v>
      </c>
      <c r="L13" s="7">
        <f>$B13 * IFERROR(VLOOKUP("LULUCF|SO2|Non-fatal heart attacks", US_national_yearly!$D:$AM, 20, FALSE) / VLOOKUP("LULUCF|SO2|Non-fatal heart attacks", US_national_yearly!$D:$AM, 10, FALSE), 1)</f>
        <v>3.781303587703747E-4</v>
      </c>
      <c r="M13" s="7">
        <f>$B13 * IFERROR(VLOOKUP("LULUCF|SO2|Non-fatal heart attacks", US_national_yearly!$D:$AM, 21, FALSE) / VLOOKUP("LULUCF|SO2|Non-fatal heart attacks", US_national_yearly!$D:$AM, 10, FALSE), 1)</f>
        <v>3.8480605305583096E-4</v>
      </c>
      <c r="N13" s="7">
        <f>$B13 * IFERROR(VLOOKUP("LULUCF|SO2|Non-fatal heart attacks", US_national_yearly!$D:$AM, 22, FALSE) / VLOOKUP("LULUCF|SO2|Non-fatal heart attacks", US_national_yearly!$D:$AM, 10, FALSE), 1)</f>
        <v>3.891406620084653E-4</v>
      </c>
      <c r="O13" s="7">
        <f>$B13 * IFERROR(VLOOKUP("LULUCF|SO2|Non-fatal heart attacks", US_national_yearly!$D:$AM, 23, FALSE) / VLOOKUP("LULUCF|SO2|Non-fatal heart attacks", US_national_yearly!$D:$AM, 10, FALSE), 1)</f>
        <v>3.934752709610997E-4</v>
      </c>
      <c r="P13" s="7">
        <f>$B13 * IFERROR(VLOOKUP("LULUCF|SO2|Non-fatal heart attacks", US_national_yearly!$D:$AM, 24, FALSE) / VLOOKUP("LULUCF|SO2|Non-fatal heart attacks", US_national_yearly!$D:$AM, 10, FALSE), 1)</f>
        <v>3.9780987991373416E-4</v>
      </c>
      <c r="Q13" s="7">
        <f>$B13 * IFERROR(VLOOKUP("LULUCF|SO2|Non-fatal heart attacks", US_national_yearly!$D:$AM, 25, FALSE) / VLOOKUP("LULUCF|SO2|Non-fatal heart attacks", US_national_yearly!$D:$AM, 10, FALSE), 1)</f>
        <v>4.0214448886636856E-4</v>
      </c>
      <c r="R13" s="7">
        <f>$B13 * IFERROR(VLOOKUP("LULUCF|SO2|Non-fatal heart attacks", US_national_yearly!$D:$AM, 26, FALSE) / VLOOKUP("LULUCF|SO2|Non-fatal heart attacks", US_national_yearly!$D:$AM, 10, FALSE), 1)</f>
        <v>4.0647909781900291E-4</v>
      </c>
      <c r="S13" s="7">
        <f>$B13 * IFERROR(VLOOKUP("LULUCF|SO2|Non-fatal heart attacks", US_national_yearly!$D:$AM, 27, FALSE) / VLOOKUP("LULUCF|SO2|Non-fatal heart attacks", US_national_yearly!$D:$AM, 10, FALSE), 1)</f>
        <v>4.0874217277191242E-4</v>
      </c>
      <c r="T13" s="7">
        <f>$B13 * IFERROR(VLOOKUP("LULUCF|SO2|Non-fatal heart attacks", US_national_yearly!$D:$AM, 28, FALSE) / VLOOKUP("LULUCF|SO2|Non-fatal heart attacks", US_national_yearly!$D:$AM, 10, FALSE), 1)</f>
        <v>4.1100524772482187E-4</v>
      </c>
      <c r="U13" s="7">
        <f>$B13 * IFERROR(VLOOKUP("LULUCF|SO2|Non-fatal heart attacks", US_national_yearly!$D:$AM, 29, FALSE) / VLOOKUP("LULUCF|SO2|Non-fatal heart attacks", US_national_yearly!$D:$AM, 10, FALSE), 1)</f>
        <v>4.1326832267773132E-4</v>
      </c>
      <c r="V13" s="7">
        <f>$B13 * IFERROR(VLOOKUP("LULUCF|SO2|Non-fatal heart attacks", US_national_yearly!$D:$AM, 30, FALSE) / VLOOKUP("LULUCF|SO2|Non-fatal heart attacks", US_national_yearly!$D:$AM, 10, FALSE), 1)</f>
        <v>4.1553139763064072E-4</v>
      </c>
      <c r="W13" s="7">
        <f>$B13 * IFERROR(VLOOKUP("LULUCF|SO2|Non-fatal heart attacks", US_national_yearly!$D:$AM, 31, FALSE) / VLOOKUP("LULUCF|SO2|Non-fatal heart attacks", US_national_yearly!$D:$AM, 10, FALSE), 1)</f>
        <v>4.1779447258355023E-4</v>
      </c>
      <c r="X13" s="7">
        <f>$B13 * IFERROR(VLOOKUP("LULUCF|SO2|Non-fatal heart attacks", US_national_yearly!$D:$AM, 32, FALSE) / VLOOKUP("LULUCF|SO2|Non-fatal heart attacks", US_national_yearly!$D:$AM, 10, FALSE), 1)</f>
        <v>4.1950289621311526E-4</v>
      </c>
      <c r="Y13" s="7">
        <f>$B13 * IFERROR(VLOOKUP("LULUCF|SO2|Non-fatal heart attacks", US_national_yearly!$D:$AM, 33, FALSE) / VLOOKUP("LULUCF|SO2|Non-fatal heart attacks", US_national_yearly!$D:$AM, 10, FALSE), 1)</f>
        <v>4.2121131984268023E-4</v>
      </c>
      <c r="Z13" s="7">
        <f>$B13 * IFERROR(VLOOKUP("LULUCF|SO2|Non-fatal heart attacks", US_national_yearly!$D:$AM, 34, FALSE) / VLOOKUP("LULUCF|SO2|Non-fatal heart attacks", US_national_yearly!$D:$AM, 10, FALSE), 1)</f>
        <v>4.229197434722452E-4</v>
      </c>
      <c r="AA13" s="7">
        <f>$B13 * IFERROR(VLOOKUP("LULUCF|SO2|Non-fatal heart attacks", US_national_yearly!$D:$AM, 35, FALSE) / VLOOKUP("LULUCF|SO2|Non-fatal heart attacks", US_national_yearly!$D:$AM, 10, FALSE), 1)</f>
        <v>4.2462816710181023E-4</v>
      </c>
      <c r="AB13" s="7">
        <f>$B13 * IFERROR(VLOOKUP("LULUCF|SO2|Non-fatal heart attacks", US_national_yearly!$D:$AM, 36, FALSE) / VLOOKUP("LULUCF|SO2|Non-fatal heart attacks", US_national_yearly!$D:$AM, 10, FALSE), 1)</f>
        <v>4.263365907313752E-4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0.25167190130257983</v>
      </c>
      <c r="C14" s="7">
        <f>$B14 * IFERROR(VLOOKUP("LULUCF|SO2|Minor restricted activity days", US_national_yearly!$D:$AM, 11, FALSE) / VLOOKUP("LULUCF|SO2|Minor restricted activity days", US_national_yearly!$D:$AM, 10, FALSE), 1)</f>
        <v>0.25230628231061836</v>
      </c>
      <c r="D14" s="7">
        <f>$B14 * IFERROR(VLOOKUP("LULUCF|SO2|Minor restricted activity days", US_national_yearly!$D:$AM, 12, FALSE) / VLOOKUP("LULUCF|SO2|Minor restricted activity days", US_national_yearly!$D:$AM, 10, FALSE), 1)</f>
        <v>0.25294066331865683</v>
      </c>
      <c r="E14" s="7">
        <f>$B14 * IFERROR(VLOOKUP("LULUCF|SO2|Minor restricted activity days", US_national_yearly!$D:$AM, 13, FALSE) / VLOOKUP("LULUCF|SO2|Minor restricted activity days", US_national_yearly!$D:$AM, 10, FALSE), 1)</f>
        <v>0.25357504432669536</v>
      </c>
      <c r="F14" s="7">
        <f>$B14 * IFERROR(VLOOKUP("LULUCF|SO2|Minor restricted activity days", US_national_yearly!$D:$AM, 14, FALSE) / VLOOKUP("LULUCF|SO2|Minor restricted activity days", US_national_yearly!$D:$AM, 10, FALSE), 1)</f>
        <v>0.25420942533473384</v>
      </c>
      <c r="G14" s="7">
        <f>$B14 * IFERROR(VLOOKUP("LULUCF|SO2|Minor restricted activity days", US_national_yearly!$D:$AM, 15, FALSE) / VLOOKUP("LULUCF|SO2|Minor restricted activity days", US_national_yearly!$D:$AM, 10, FALSE), 1)</f>
        <v>0.25514317185662827</v>
      </c>
      <c r="H14" s="7">
        <f>$B14 * IFERROR(VLOOKUP("LULUCF|SO2|Minor restricted activity days", US_national_yearly!$D:$AM, 16, FALSE) / VLOOKUP("LULUCF|SO2|Minor restricted activity days", US_national_yearly!$D:$AM, 10, FALSE), 1)</f>
        <v>0.2560769183785227</v>
      </c>
      <c r="I14" s="7">
        <f>$B14 * IFERROR(VLOOKUP("LULUCF|SO2|Minor restricted activity days", US_national_yearly!$D:$AM, 17, FALSE) / VLOOKUP("LULUCF|SO2|Minor restricted activity days", US_national_yearly!$D:$AM, 10, FALSE), 1)</f>
        <v>0.25766933603624048</v>
      </c>
      <c r="J14" s="7">
        <f>$B14 * IFERROR(VLOOKUP("LULUCF|SO2|Minor restricted activity days", US_national_yearly!$D:$AM, 18, FALSE) / VLOOKUP("LULUCF|SO2|Minor restricted activity days", US_national_yearly!$D:$AM, 10, FALSE), 1)</f>
        <v>0.25926175369395826</v>
      </c>
      <c r="K14" s="7">
        <f>$B14 * IFERROR(VLOOKUP("LULUCF|SO2|Minor restricted activity days", US_national_yearly!$D:$AM, 19, FALSE) / VLOOKUP("LULUCF|SO2|Minor restricted activity days", US_national_yearly!$D:$AM, 10, FALSE), 1)</f>
        <v>0.2608541713516761</v>
      </c>
      <c r="L14" s="7">
        <f>$B14 * IFERROR(VLOOKUP("LULUCF|SO2|Minor restricted activity days", US_national_yearly!$D:$AM, 20, FALSE) / VLOOKUP("LULUCF|SO2|Minor restricted activity days", US_national_yearly!$D:$AM, 10, FALSE), 1)</f>
        <v>0.26244658900939383</v>
      </c>
      <c r="M14" s="7">
        <f>$B14 * IFERROR(VLOOKUP("LULUCF|SO2|Minor restricted activity days", US_national_yearly!$D:$AM, 21, FALSE) / VLOOKUP("LULUCF|SO2|Minor restricted activity days", US_national_yearly!$D:$AM, 10, FALSE), 1)</f>
        <v>0.26403900666711161</v>
      </c>
      <c r="N14" s="7">
        <f>$B14 * IFERROR(VLOOKUP("LULUCF|SO2|Minor restricted activity days", US_national_yearly!$D:$AM, 22, FALSE) / VLOOKUP("LULUCF|SO2|Minor restricted activity days", US_national_yearly!$D:$AM, 10, FALSE), 1)</f>
        <v>0.26621717850515902</v>
      </c>
      <c r="O14" s="7">
        <f>$B14 * IFERROR(VLOOKUP("LULUCF|SO2|Minor restricted activity days", US_national_yearly!$D:$AM, 23, FALSE) / VLOOKUP("LULUCF|SO2|Minor restricted activity days", US_national_yearly!$D:$AM, 10, FALSE), 1)</f>
        <v>0.26839535034320638</v>
      </c>
      <c r="P14" s="7">
        <f>$B14 * IFERROR(VLOOKUP("LULUCF|SO2|Minor restricted activity days", US_national_yearly!$D:$AM, 24, FALSE) / VLOOKUP("LULUCF|SO2|Minor restricted activity days", US_national_yearly!$D:$AM, 10, FALSE), 1)</f>
        <v>0.27057352218125374</v>
      </c>
      <c r="Q14" s="7">
        <f>$B14 * IFERROR(VLOOKUP("LULUCF|SO2|Minor restricted activity days", US_national_yearly!$D:$AM, 25, FALSE) / VLOOKUP("LULUCF|SO2|Minor restricted activity days", US_national_yearly!$D:$AM, 10, FALSE), 1)</f>
        <v>0.27275169401930116</v>
      </c>
      <c r="R14" s="7">
        <f>$B14 * IFERROR(VLOOKUP("LULUCF|SO2|Minor restricted activity days", US_national_yearly!$D:$AM, 26, FALSE) / VLOOKUP("LULUCF|SO2|Minor restricted activity days", US_national_yearly!$D:$AM, 10, FALSE), 1)</f>
        <v>0.27492986585734852</v>
      </c>
      <c r="S14" s="7">
        <f>$B14 * IFERROR(VLOOKUP("LULUCF|SO2|Minor restricted activity days", US_national_yearly!$D:$AM, 27, FALSE) / VLOOKUP("LULUCF|SO2|Minor restricted activity days", US_national_yearly!$D:$AM, 10, FALSE), 1)</f>
        <v>0.27715072523246465</v>
      </c>
      <c r="T14" s="7">
        <f>$B14 * IFERROR(VLOOKUP("LULUCF|SO2|Minor restricted activity days", US_national_yearly!$D:$AM, 28, FALSE) / VLOOKUP("LULUCF|SO2|Minor restricted activity days", US_national_yearly!$D:$AM, 10, FALSE), 1)</f>
        <v>0.27937158460758083</v>
      </c>
      <c r="U14" s="7">
        <f>$B14 * IFERROR(VLOOKUP("LULUCF|SO2|Minor restricted activity days", US_national_yearly!$D:$AM, 29, FALSE) / VLOOKUP("LULUCF|SO2|Minor restricted activity days", US_national_yearly!$D:$AM, 10, FALSE), 1)</f>
        <v>0.28159244398269695</v>
      </c>
      <c r="V14" s="7">
        <f>$B14 * IFERROR(VLOOKUP("LULUCF|SO2|Minor restricted activity days", US_national_yearly!$D:$AM, 30, FALSE) / VLOOKUP("LULUCF|SO2|Minor restricted activity days", US_national_yearly!$D:$AM, 10, FALSE), 1)</f>
        <v>0.28381330335781313</v>
      </c>
      <c r="W14" s="7">
        <f>$B14 * IFERROR(VLOOKUP("LULUCF|SO2|Minor restricted activity days", US_national_yearly!$D:$AM, 31, FALSE) / VLOOKUP("LULUCF|SO2|Minor restricted activity days", US_national_yearly!$D:$AM, 10, FALSE), 1)</f>
        <v>0.28603416273292936</v>
      </c>
      <c r="X14" s="7">
        <f>$B14 * IFERROR(VLOOKUP("LULUCF|SO2|Minor restricted activity days", US_national_yearly!$D:$AM, 32, FALSE) / VLOOKUP("LULUCF|SO2|Minor restricted activity days", US_national_yearly!$D:$AM, 10, FALSE), 1)</f>
        <v>0.28798723157568895</v>
      </c>
      <c r="Y14" s="7">
        <f>$B14 * IFERROR(VLOOKUP("LULUCF|SO2|Minor restricted activity days", US_national_yearly!$D:$AM, 33, FALSE) / VLOOKUP("LULUCF|SO2|Minor restricted activity days", US_national_yearly!$D:$AM, 10, FALSE), 1)</f>
        <v>0.28994030041844859</v>
      </c>
      <c r="Z14" s="7">
        <f>$B14 * IFERROR(VLOOKUP("LULUCF|SO2|Minor restricted activity days", US_national_yearly!$D:$AM, 34, FALSE) / VLOOKUP("LULUCF|SO2|Minor restricted activity days", US_national_yearly!$D:$AM, 10, FALSE), 1)</f>
        <v>0.29189336926120829</v>
      </c>
      <c r="AA14" s="7">
        <f>$B14 * IFERROR(VLOOKUP("LULUCF|SO2|Minor restricted activity days", US_national_yearly!$D:$AM, 35, FALSE) / VLOOKUP("LULUCF|SO2|Minor restricted activity days", US_national_yearly!$D:$AM, 10, FALSE), 1)</f>
        <v>0.29384643810396793</v>
      </c>
      <c r="AB14" s="7">
        <f>$B14 * IFERROR(VLOOKUP("LULUCF|SO2|Minor restricted activity days", US_national_yearly!$D:$AM, 36, FALSE) / VLOOKUP("LULUCF|SO2|Minor restricted activity days", US_national_yearly!$D:$AM, 10, FALSE), 1)</f>
        <v>0.29579950694672763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4.2817406744519254E-2</v>
      </c>
      <c r="C15" s="7">
        <f>$B15 * IFERROR(VLOOKUP("LULUCF|SO2|Work loss days", US_national_yearly!$D:$AM, 11, FALSE) / VLOOKUP("LULUCF|SO2|Work loss days", US_national_yearly!$D:$AM, 10, FALSE), 1)</f>
        <v>4.2956128337146647E-2</v>
      </c>
      <c r="D15" s="7">
        <f>$B15 * IFERROR(VLOOKUP("LULUCF|SO2|Work loss days", US_national_yearly!$D:$AM, 12, FALSE) / VLOOKUP("LULUCF|SO2|Work loss days", US_national_yearly!$D:$AM, 10, FALSE), 1)</f>
        <v>4.309484992977404E-2</v>
      </c>
      <c r="E15" s="7">
        <f>$B15 * IFERROR(VLOOKUP("LULUCF|SO2|Work loss days", US_national_yearly!$D:$AM, 13, FALSE) / VLOOKUP("LULUCF|SO2|Work loss days", US_national_yearly!$D:$AM, 10, FALSE), 1)</f>
        <v>4.3233571522401433E-2</v>
      </c>
      <c r="F15" s="7">
        <f>$B15 * IFERROR(VLOOKUP("LULUCF|SO2|Work loss days", US_national_yearly!$D:$AM, 14, FALSE) / VLOOKUP("LULUCF|SO2|Work loss days", US_national_yearly!$D:$AM, 10, FALSE), 1)</f>
        <v>4.3372293115028826E-2</v>
      </c>
      <c r="G15" s="7">
        <f>$B15 * IFERROR(VLOOKUP("LULUCF|SO2|Work loss days", US_national_yearly!$D:$AM, 15, FALSE) / VLOOKUP("LULUCF|SO2|Work loss days", US_national_yearly!$D:$AM, 10, FALSE), 1)</f>
        <v>4.3553549849468264E-2</v>
      </c>
      <c r="H15" s="7">
        <f>$B15 * IFERROR(VLOOKUP("LULUCF|SO2|Work loss days", US_national_yearly!$D:$AM, 16, FALSE) / VLOOKUP("LULUCF|SO2|Work loss days", US_national_yearly!$D:$AM, 10, FALSE), 1)</f>
        <v>4.3734806583907687E-2</v>
      </c>
      <c r="I15" s="7">
        <f>$B15 * IFERROR(VLOOKUP("LULUCF|SO2|Work loss days", US_national_yearly!$D:$AM, 17, FALSE) / VLOOKUP("LULUCF|SO2|Work loss days", US_national_yearly!$D:$AM, 10, FALSE), 1)</f>
        <v>4.3999960854431384E-2</v>
      </c>
      <c r="J15" s="7">
        <f>$B15 * IFERROR(VLOOKUP("LULUCF|SO2|Work loss days", US_national_yearly!$D:$AM, 18, FALSE) / VLOOKUP("LULUCF|SO2|Work loss days", US_national_yearly!$D:$AM, 10, FALSE), 1)</f>
        <v>4.4265115124955082E-2</v>
      </c>
      <c r="K15" s="7">
        <f>$B15 * IFERROR(VLOOKUP("LULUCF|SO2|Work loss days", US_national_yearly!$D:$AM, 19, FALSE) / VLOOKUP("LULUCF|SO2|Work loss days", US_national_yearly!$D:$AM, 10, FALSE), 1)</f>
        <v>4.4530269395478786E-2</v>
      </c>
      <c r="L15" s="7">
        <f>$B15 * IFERROR(VLOOKUP("LULUCF|SO2|Work loss days", US_national_yearly!$D:$AM, 20, FALSE) / VLOOKUP("LULUCF|SO2|Work loss days", US_national_yearly!$D:$AM, 10, FALSE), 1)</f>
        <v>4.4795423666002483E-2</v>
      </c>
      <c r="M15" s="7">
        <f>$B15 * IFERROR(VLOOKUP("LULUCF|SO2|Work loss days", US_national_yearly!$D:$AM, 21, FALSE) / VLOOKUP("LULUCF|SO2|Work loss days", US_national_yearly!$D:$AM, 10, FALSE), 1)</f>
        <v>4.5060577936526187E-2</v>
      </c>
      <c r="N15" s="7">
        <f>$B15 * IFERROR(VLOOKUP("LULUCF|SO2|Work loss days", US_national_yearly!$D:$AM, 22, FALSE) / VLOOKUP("LULUCF|SO2|Work loss days", US_national_yearly!$D:$AM, 10, FALSE), 1)</f>
        <v>4.5393038423360073E-2</v>
      </c>
      <c r="O15" s="7">
        <f>$B15 * IFERROR(VLOOKUP("LULUCF|SO2|Work loss days", US_national_yearly!$D:$AM, 23, FALSE) / VLOOKUP("LULUCF|SO2|Work loss days", US_national_yearly!$D:$AM, 10, FALSE), 1)</f>
        <v>4.5725498910193958E-2</v>
      </c>
      <c r="P15" s="7">
        <f>$B15 * IFERROR(VLOOKUP("LULUCF|SO2|Work loss days", US_national_yearly!$D:$AM, 24, FALSE) / VLOOKUP("LULUCF|SO2|Work loss days", US_national_yearly!$D:$AM, 10, FALSE), 1)</f>
        <v>4.605795939702783E-2</v>
      </c>
      <c r="Q15" s="7">
        <f>$B15 * IFERROR(VLOOKUP("LULUCF|SO2|Work loss days", US_national_yearly!$D:$AM, 25, FALSE) / VLOOKUP("LULUCF|SO2|Work loss days", US_national_yearly!$D:$AM, 10, FALSE), 1)</f>
        <v>4.6390419883861715E-2</v>
      </c>
      <c r="R15" s="7">
        <f>$B15 * IFERROR(VLOOKUP("LULUCF|SO2|Work loss days", US_national_yearly!$D:$AM, 26, FALSE) / VLOOKUP("LULUCF|SO2|Work loss days", US_national_yearly!$D:$AM, 10, FALSE), 1)</f>
        <v>4.6722880370695601E-2</v>
      </c>
      <c r="S15" s="7">
        <f>$B15 * IFERROR(VLOOKUP("LULUCF|SO2|Work loss days", US_national_yearly!$D:$AM, 27, FALSE) / VLOOKUP("LULUCF|SO2|Work loss days", US_national_yearly!$D:$AM, 10, FALSE), 1)</f>
        <v>4.7094403868624235E-2</v>
      </c>
      <c r="T15" s="7">
        <f>$B15 * IFERROR(VLOOKUP("LULUCF|SO2|Work loss days", US_national_yearly!$D:$AM, 28, FALSE) / VLOOKUP("LULUCF|SO2|Work loss days", US_national_yearly!$D:$AM, 10, FALSE), 1)</f>
        <v>4.7465927366552883E-2</v>
      </c>
      <c r="U15" s="7">
        <f>$B15 * IFERROR(VLOOKUP("LULUCF|SO2|Work loss days", US_national_yearly!$D:$AM, 29, FALSE) / VLOOKUP("LULUCF|SO2|Work loss days", US_national_yearly!$D:$AM, 10, FALSE), 1)</f>
        <v>4.7837450864481525E-2</v>
      </c>
      <c r="V15" s="7">
        <f>$B15 * IFERROR(VLOOKUP("LULUCF|SO2|Work loss days", US_national_yearly!$D:$AM, 30, FALSE) / VLOOKUP("LULUCF|SO2|Work loss days", US_national_yearly!$D:$AM, 10, FALSE), 1)</f>
        <v>4.8208974362410159E-2</v>
      </c>
      <c r="W15" s="7">
        <f>$B15 * IFERROR(VLOOKUP("LULUCF|SO2|Work loss days", US_national_yearly!$D:$AM, 31, FALSE) / VLOOKUP("LULUCF|SO2|Work loss days", US_national_yearly!$D:$AM, 10, FALSE), 1)</f>
        <v>4.8580497860338807E-2</v>
      </c>
      <c r="X15" s="7">
        <f>$B15 * IFERROR(VLOOKUP("LULUCF|SO2|Work loss days", US_national_yearly!$D:$AM, 32, FALSE) / VLOOKUP("LULUCF|SO2|Work loss days", US_national_yearly!$D:$AM, 10, FALSE), 1)</f>
        <v>4.8914074751937243E-2</v>
      </c>
      <c r="Y15" s="7">
        <f>$B15 * IFERROR(VLOOKUP("LULUCF|SO2|Work loss days", US_national_yearly!$D:$AM, 33, FALSE) / VLOOKUP("LULUCF|SO2|Work loss days", US_national_yearly!$D:$AM, 10, FALSE), 1)</f>
        <v>4.924765164353568E-2</v>
      </c>
      <c r="Z15" s="7">
        <f>$B15 * IFERROR(VLOOKUP("LULUCF|SO2|Work loss days", US_national_yearly!$D:$AM, 34, FALSE) / VLOOKUP("LULUCF|SO2|Work loss days", US_national_yearly!$D:$AM, 10, FALSE), 1)</f>
        <v>4.9581228535134123E-2</v>
      </c>
      <c r="AA15" s="7">
        <f>$B15 * IFERROR(VLOOKUP("LULUCF|SO2|Work loss days", US_national_yearly!$D:$AM, 35, FALSE) / VLOOKUP("LULUCF|SO2|Work loss days", US_national_yearly!$D:$AM, 10, FALSE), 1)</f>
        <v>4.9914805426732559E-2</v>
      </c>
      <c r="AB15" s="7">
        <f>$B15 * IFERROR(VLOOKUP("LULUCF|SO2|Work loss days", US_national_yearly!$D:$AM, 36, FALSE) / VLOOKUP("LULUCF|SO2|Work loss days", US_national_yearly!$D:$AM, 10, FALSE), 1)</f>
        <v>5.0248382318331002E-2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7.7291736060381214E-5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7.9629334141503955E-5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8.1966932222626683E-5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8.4304530303749424E-5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8.6642128384872179E-5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8.8881325075752332E-5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9.1120521766632499E-5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9.3039076355297181E-5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9.4957630943961864E-5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9.6876185532626533E-5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9.8794740121291216E-5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1.0071329470995588E-4</v>
      </c>
      <c r="N17" s="7">
        <f>$B17 * IFERROR(VLOOKUP("LULUCF|SO2|Cardiovascular hospital admissions", US_national_yearly!$D:$AM, 22, FALSE) / VLOOKUP("LULUCF|SO2|Cardiovascular hospital admissions", US_national_yearly!$D:$AM, 10, FALSE), 1)</f>
        <v>1.0200212636642712E-4</v>
      </c>
      <c r="O17" s="7">
        <f>$B17 * IFERROR(VLOOKUP("LULUCF|SO2|Cardiovascular hospital admissions", US_national_yearly!$D:$AM, 23, FALSE) / VLOOKUP("LULUCF|SO2|Cardiovascular hospital admissions", US_national_yearly!$D:$AM, 10, FALSE), 1)</f>
        <v>1.0329095802289834E-4</v>
      </c>
      <c r="P17" s="7">
        <f>$B17 * IFERROR(VLOOKUP("LULUCF|SO2|Cardiovascular hospital admissions", US_national_yearly!$D:$AM, 24, FALSE) / VLOOKUP("LULUCF|SO2|Cardiovascular hospital admissions", US_national_yearly!$D:$AM, 10, FALSE), 1)</f>
        <v>1.0457978967936956E-4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1.0586862133584078E-4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1.0715745299231203E-4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1.0783528667871623E-4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1.0851312036512045E-4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1.0919095405152466E-4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1.0986878773792888E-4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1.105466214243331E-4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1.1100167358548596E-4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1.1145672574663884E-4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1.119117779077917E-4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1.1236683006894458E-4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1.1282188223009743E-4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2026-06-15T17:14:50Z</dcterms:modified>
</cp:coreProperties>
</file>